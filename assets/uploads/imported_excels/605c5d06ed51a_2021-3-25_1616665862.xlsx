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  <externalReference r:id="rId46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'22'!$A$1:$J$172</definedName>
    <definedName name="_xlnm.Print_Area" localSheetId="28">'23'!$A$1:$J$172</definedName>
    <definedName name="_xlnm.Print_Area" localSheetId="29">'24'!$A$1:$J$153</definedName>
    <definedName name="_xlnm.Print_Area" localSheetId="30">'25'!$A$1:$J$153</definedName>
    <definedName name="_xlnm.Print_Area" localSheetId="31">'26'!$A$1:$J$153</definedName>
    <definedName name="_xlnm.Print_Area" localSheetId="32">'27'!$A$1:$J$153</definedName>
    <definedName name="_xlnm.Print_Area" localSheetId="33">'28'!$A$1:$J$153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'8'!$A$1:$J$153</definedName>
    <definedName name="_xlnm.Print_Area" localSheetId="14">'9'!$A$1:$J$153</definedName>
  </definedNames>
  <calcPr calcId="124519"/>
</workbook>
</file>

<file path=xl/calcChain.xml><?xml version="1.0" encoding="utf-8"?>
<calcChain xmlns="http://schemas.openxmlformats.org/spreadsheetml/2006/main">
  <c r="J3" i="47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2"/>
  <c r="BF32" i="49"/>
  <c r="BE32"/>
  <c r="BD32"/>
  <c r="BC32"/>
  <c r="BB32"/>
  <c r="BA32"/>
  <c r="AZ32"/>
  <c r="AY32"/>
  <c r="AX32"/>
  <c r="AW32"/>
  <c r="AV32"/>
  <c r="AU32"/>
  <c r="AT32"/>
  <c r="AS32"/>
  <c r="AR32"/>
  <c r="AQ32"/>
  <c r="AP32"/>
  <c r="AO32"/>
  <c r="AN32"/>
  <c r="BF31"/>
  <c r="BE31"/>
  <c r="BD31"/>
  <c r="BC31"/>
  <c r="BB31"/>
  <c r="BA31"/>
  <c r="AZ31"/>
  <c r="AY31"/>
  <c r="AX31"/>
  <c r="AW31"/>
  <c r="AV31"/>
  <c r="AU31"/>
  <c r="AT31"/>
  <c r="AS31"/>
  <c r="AR31"/>
  <c r="AQ31"/>
  <c r="AP31"/>
  <c r="AO31"/>
  <c r="AN31"/>
  <c r="BF30"/>
  <c r="BE30"/>
  <c r="BD30"/>
  <c r="BC30"/>
  <c r="BB30"/>
  <c r="BA30"/>
  <c r="AZ30"/>
  <c r="AY30"/>
  <c r="AX30"/>
  <c r="AW30"/>
  <c r="AV30"/>
  <c r="AU30"/>
  <c r="AT30"/>
  <c r="AS30"/>
  <c r="AR30"/>
  <c r="AQ30"/>
  <c r="AP30"/>
  <c r="AO30"/>
  <c r="AN30"/>
  <c r="BF29"/>
  <c r="BE29"/>
  <c r="BD29"/>
  <c r="BC29"/>
  <c r="BB29"/>
  <c r="BA29"/>
  <c r="AZ29"/>
  <c r="AY29"/>
  <c r="AX29"/>
  <c r="AW29"/>
  <c r="AV29"/>
  <c r="AU29"/>
  <c r="AT29"/>
  <c r="AS29"/>
  <c r="AR29"/>
  <c r="AQ29"/>
  <c r="AP29"/>
  <c r="AO29"/>
  <c r="AN29"/>
  <c r="BF28"/>
  <c r="BE28"/>
  <c r="BD28"/>
  <c r="BC28"/>
  <c r="BB28"/>
  <c r="BA28"/>
  <c r="AZ28"/>
  <c r="AY28"/>
  <c r="AX28"/>
  <c r="AW28"/>
  <c r="AV28"/>
  <c r="AU28"/>
  <c r="AT28"/>
  <c r="AS28"/>
  <c r="AR28"/>
  <c r="AQ28"/>
  <c r="AP28"/>
  <c r="AO28"/>
  <c r="AN28"/>
  <c r="BF27"/>
  <c r="BE27"/>
  <c r="BD27"/>
  <c r="BC27"/>
  <c r="BB27"/>
  <c r="BA27"/>
  <c r="AZ27"/>
  <c r="AY27"/>
  <c r="AX27"/>
  <c r="AW27"/>
  <c r="AV27"/>
  <c r="AU27"/>
  <c r="AT27"/>
  <c r="AS27"/>
  <c r="AR27"/>
  <c r="AQ27"/>
  <c r="AP27"/>
  <c r="AO27"/>
  <c r="AN27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N26"/>
  <c r="BF25"/>
  <c r="BE25"/>
  <c r="BD25"/>
  <c r="BC25"/>
  <c r="BB25"/>
  <c r="BA25"/>
  <c r="AZ25"/>
  <c r="AY25"/>
  <c r="AX25"/>
  <c r="AW25"/>
  <c r="AV25"/>
  <c r="AU25"/>
  <c r="AT25"/>
  <c r="AS25"/>
  <c r="AR25"/>
  <c r="AQ25"/>
  <c r="AP25"/>
  <c r="AO25"/>
  <c r="AN25"/>
  <c r="BF24"/>
  <c r="BE24"/>
  <c r="BD24"/>
  <c r="BC24"/>
  <c r="BB24"/>
  <c r="BA24"/>
  <c r="AZ24"/>
  <c r="AY24"/>
  <c r="AX24"/>
  <c r="AW24"/>
  <c r="AV24"/>
  <c r="AU24"/>
  <c r="AT24"/>
  <c r="AS24"/>
  <c r="AR24"/>
  <c r="AQ24"/>
  <c r="AP24"/>
  <c r="AO24"/>
  <c r="AN24"/>
  <c r="BF23"/>
  <c r="BE23"/>
  <c r="BD23"/>
  <c r="BC23"/>
  <c r="BB23"/>
  <c r="BA23"/>
  <c r="AZ23"/>
  <c r="AY23"/>
  <c r="AX23"/>
  <c r="AW23"/>
  <c r="AV23"/>
  <c r="AU23"/>
  <c r="AT23"/>
  <c r="AS23"/>
  <c r="AR23"/>
  <c r="AQ23"/>
  <c r="AP23"/>
  <c r="AO23"/>
  <c r="AN23"/>
  <c r="BF22"/>
  <c r="BE22"/>
  <c r="BD22"/>
  <c r="BC22"/>
  <c r="BB22"/>
  <c r="BA22"/>
  <c r="AZ22"/>
  <c r="AY22"/>
  <c r="AX22"/>
  <c r="AW22"/>
  <c r="AV22"/>
  <c r="AU22"/>
  <c r="AT22"/>
  <c r="AS22"/>
  <c r="AR22"/>
  <c r="AQ22"/>
  <c r="AP22"/>
  <c r="AO22"/>
  <c r="AN22"/>
  <c r="BF21"/>
  <c r="BE21"/>
  <c r="BD21"/>
  <c r="BC21"/>
  <c r="BB21"/>
  <c r="BA21"/>
  <c r="AZ21"/>
  <c r="AY21"/>
  <c r="AX21"/>
  <c r="AW21"/>
  <c r="AV21"/>
  <c r="AU21"/>
  <c r="AT21"/>
  <c r="AS21"/>
  <c r="AR21"/>
  <c r="AQ21"/>
  <c r="AP21"/>
  <c r="AO21"/>
  <c r="AN21"/>
  <c r="BF20"/>
  <c r="BE20"/>
  <c r="BD20"/>
  <c r="BC20"/>
  <c r="BB20"/>
  <c r="BA20"/>
  <c r="AZ20"/>
  <c r="AY20"/>
  <c r="AX20"/>
  <c r="AW20"/>
  <c r="AV20"/>
  <c r="AU20"/>
  <c r="AT20"/>
  <c r="AS20"/>
  <c r="AR20"/>
  <c r="AQ20"/>
  <c r="AP20"/>
  <c r="AO20"/>
  <c r="AN20"/>
  <c r="BF19"/>
  <c r="BE19"/>
  <c r="BD19"/>
  <c r="BC19"/>
  <c r="BB19"/>
  <c r="BA19"/>
  <c r="AZ19"/>
  <c r="AY19"/>
  <c r="AX19"/>
  <c r="AW19"/>
  <c r="AV19"/>
  <c r="AU19"/>
  <c r="AT19"/>
  <c r="AS19"/>
  <c r="AR19"/>
  <c r="AQ19"/>
  <c r="AP19"/>
  <c r="AO19"/>
  <c r="AN19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O18"/>
  <c r="AN18"/>
  <c r="BF17"/>
  <c r="BE17"/>
  <c r="BD17"/>
  <c r="BC17"/>
  <c r="BB17"/>
  <c r="BA17"/>
  <c r="AZ17"/>
  <c r="AY17"/>
  <c r="AX17"/>
  <c r="AW17"/>
  <c r="AV17"/>
  <c r="AU17"/>
  <c r="AT17"/>
  <c r="AS17"/>
  <c r="AR17"/>
  <c r="AQ17"/>
  <c r="AP17"/>
  <c r="AO17"/>
  <c r="AN17"/>
  <c r="BF16"/>
  <c r="BE16"/>
  <c r="BD16"/>
  <c r="BC16"/>
  <c r="BB16"/>
  <c r="BA16"/>
  <c r="AZ16"/>
  <c r="AY16"/>
  <c r="AX16"/>
  <c r="AW16"/>
  <c r="AV16"/>
  <c r="AU16"/>
  <c r="AT16"/>
  <c r="AS16"/>
  <c r="AR16"/>
  <c r="AQ16"/>
  <c r="AP16"/>
  <c r="AO16"/>
  <c r="AN16"/>
  <c r="BF15"/>
  <c r="BE15"/>
  <c r="BD15"/>
  <c r="BC15"/>
  <c r="BB15"/>
  <c r="BA15"/>
  <c r="AZ15"/>
  <c r="AY15"/>
  <c r="AX15"/>
  <c r="AW15"/>
  <c r="AV15"/>
  <c r="AU15"/>
  <c r="AT15"/>
  <c r="AS15"/>
  <c r="AR15"/>
  <c r="AQ15"/>
  <c r="AP15"/>
  <c r="AO15"/>
  <c r="AN15"/>
  <c r="BF14"/>
  <c r="BE14"/>
  <c r="BD14"/>
  <c r="BC14"/>
  <c r="BB14"/>
  <c r="BA14"/>
  <c r="AZ14"/>
  <c r="AY14"/>
  <c r="AX14"/>
  <c r="AW14"/>
  <c r="AV14"/>
  <c r="AU14"/>
  <c r="AT14"/>
  <c r="AS14"/>
  <c r="AR14"/>
  <c r="AQ14"/>
  <c r="AP14"/>
  <c r="AO14"/>
  <c r="AN14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N13"/>
  <c r="BF12"/>
  <c r="BE12"/>
  <c r="BD12"/>
  <c r="BC12"/>
  <c r="BB12"/>
  <c r="BA12"/>
  <c r="AZ12"/>
  <c r="AY12"/>
  <c r="AX12"/>
  <c r="AW12"/>
  <c r="AV12"/>
  <c r="AU12"/>
  <c r="AT12"/>
  <c r="AS12"/>
  <c r="AR12"/>
  <c r="AQ12"/>
  <c r="AP12"/>
  <c r="AO12"/>
  <c r="AN12"/>
  <c r="BF11"/>
  <c r="BE11"/>
  <c r="BD11"/>
  <c r="BC11"/>
  <c r="BB11"/>
  <c r="BA11"/>
  <c r="AZ11"/>
  <c r="AY11"/>
  <c r="AX11"/>
  <c r="AW11"/>
  <c r="AV11"/>
  <c r="AU11"/>
  <c r="AT11"/>
  <c r="AS11"/>
  <c r="AR11"/>
  <c r="AQ11"/>
  <c r="AP11"/>
  <c r="AO11"/>
  <c r="AN11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N10"/>
  <c r="BF9"/>
  <c r="BE9"/>
  <c r="BD9"/>
  <c r="BC9"/>
  <c r="BB9"/>
  <c r="BA9"/>
  <c r="AZ9"/>
  <c r="AY9"/>
  <c r="AX9"/>
  <c r="AW9"/>
  <c r="AV9"/>
  <c r="AU9"/>
  <c r="AT9"/>
  <c r="AS9"/>
  <c r="AR9"/>
  <c r="AQ9"/>
  <c r="AP9"/>
  <c r="AO9"/>
  <c r="AN9"/>
  <c r="BF8"/>
  <c r="BE8"/>
  <c r="BD8"/>
  <c r="BC8"/>
  <c r="BB8"/>
  <c r="BA8"/>
  <c r="AZ8"/>
  <c r="AY8"/>
  <c r="AX8"/>
  <c r="AW8"/>
  <c r="AV8"/>
  <c r="AU8"/>
  <c r="AT8"/>
  <c r="AS8"/>
  <c r="AR8"/>
  <c r="AQ8"/>
  <c r="AP8"/>
  <c r="AO8"/>
  <c r="AN8"/>
  <c r="BF7"/>
  <c r="BE7"/>
  <c r="BD7"/>
  <c r="BC7"/>
  <c r="BB7"/>
  <c r="BA7"/>
  <c r="AZ7"/>
  <c r="AY7"/>
  <c r="AX7"/>
  <c r="AW7"/>
  <c r="AV7"/>
  <c r="AU7"/>
  <c r="AT7"/>
  <c r="AS7"/>
  <c r="AR7"/>
  <c r="AQ7"/>
  <c r="AP7"/>
  <c r="AO7"/>
  <c r="AN7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BF4"/>
  <c r="BE4"/>
  <c r="BD4"/>
  <c r="BC4"/>
  <c r="BB4"/>
  <c r="BA4"/>
  <c r="AZ4"/>
  <c r="AY4"/>
  <c r="AX4"/>
  <c r="AW4"/>
  <c r="AV4"/>
  <c r="AU4"/>
  <c r="AT4"/>
  <c r="AS4"/>
  <c r="AR4"/>
  <c r="AQ4"/>
  <c r="AP4"/>
  <c r="AO4"/>
  <c r="AN4"/>
  <c r="BF3"/>
  <c r="BE3"/>
  <c r="BD3"/>
  <c r="BC3"/>
  <c r="BB3"/>
  <c r="BA3"/>
  <c r="AZ3"/>
  <c r="AY3"/>
  <c r="AX3"/>
  <c r="AW3"/>
  <c r="AV3"/>
  <c r="AU3"/>
  <c r="AT3"/>
  <c r="AS3"/>
  <c r="AR3"/>
  <c r="AQ3"/>
  <c r="AP3"/>
  <c r="AO3"/>
  <c r="AN3"/>
  <c r="BF2"/>
  <c r="BE2"/>
  <c r="BD2"/>
  <c r="BC2"/>
  <c r="BB2"/>
  <c r="BA2"/>
  <c r="AZ2"/>
  <c r="AY2"/>
  <c r="AX2"/>
  <c r="AW2"/>
  <c r="AV2"/>
  <c r="AU2"/>
  <c r="AT2"/>
  <c r="AS2"/>
  <c r="AR2"/>
  <c r="AQ2"/>
  <c r="AP2"/>
  <c r="AO2"/>
  <c r="AN2"/>
  <c r="AM32"/>
  <c r="AM31"/>
  <c r="AM30"/>
  <c r="AM29"/>
  <c r="AM28"/>
  <c r="AM27"/>
  <c r="AM26"/>
  <c r="AM25"/>
  <c r="AM24"/>
  <c r="AM23"/>
  <c r="AM22"/>
  <c r="AM21"/>
  <c r="AM20"/>
  <c r="AM19"/>
  <c r="AM18"/>
  <c r="AM17"/>
  <c r="AM16"/>
  <c r="AM15"/>
  <c r="AM14"/>
  <c r="AM13"/>
  <c r="AM12"/>
  <c r="AM11"/>
  <c r="AM10"/>
  <c r="AM9"/>
  <c r="AM8"/>
  <c r="AM7"/>
  <c r="AM6"/>
  <c r="AM5"/>
  <c r="AM4"/>
  <c r="AM3"/>
  <c r="AM2"/>
  <c r="B30"/>
  <c r="B31"/>
  <c r="B32"/>
  <c r="E73" i="25"/>
  <c r="E74"/>
  <c r="E75"/>
  <c r="E76"/>
  <c r="E77"/>
  <c r="E78"/>
  <c r="E79"/>
  <c r="E80"/>
  <c r="E81"/>
  <c r="E82"/>
  <c r="E83"/>
  <c r="E84"/>
  <c r="E8"/>
  <c r="E9"/>
  <c r="E10"/>
  <c r="E11"/>
  <c r="E12"/>
  <c r="E131" i="24"/>
  <c r="E132"/>
  <c r="E133"/>
  <c r="E134"/>
  <c r="E135"/>
  <c r="E136"/>
  <c r="E137"/>
  <c r="E138"/>
  <c r="E139"/>
  <c r="E140"/>
  <c r="E124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F64" i="22"/>
  <c r="F134" i="21"/>
  <c r="E131"/>
  <c r="E132"/>
  <c r="E133"/>
  <c r="E134"/>
  <c r="E135"/>
  <c r="E136"/>
  <c r="E137"/>
  <c r="E138"/>
  <c r="E139"/>
  <c r="E140"/>
  <c r="E76"/>
  <c r="E73"/>
  <c r="E74"/>
  <c r="E75"/>
  <c r="G76"/>
  <c r="N24" i="44" s="1"/>
  <c r="E77" i="21"/>
  <c r="E38"/>
  <c r="E39"/>
  <c r="E40"/>
  <c r="E41"/>
  <c r="E42"/>
  <c r="E43"/>
  <c r="E44"/>
  <c r="E45"/>
  <c r="E46"/>
  <c r="E161" i="20"/>
  <c r="E162"/>
  <c r="E163"/>
  <c r="E164"/>
  <c r="E165"/>
  <c r="E166"/>
  <c r="E167"/>
  <c r="E168"/>
  <c r="E169"/>
  <c r="E170"/>
  <c r="E171"/>
  <c r="E160"/>
  <c r="F166" i="19"/>
  <c r="F167"/>
  <c r="F168"/>
  <c r="F169"/>
  <c r="F170"/>
  <c r="F171"/>
  <c r="F165"/>
  <c r="E161"/>
  <c r="E162"/>
  <c r="E163"/>
  <c r="E132"/>
  <c r="F10"/>
  <c r="E163" i="18"/>
  <c r="E162"/>
  <c r="E161"/>
  <c r="E160"/>
  <c r="E97"/>
  <c r="E133" i="15"/>
  <c r="F123"/>
  <c r="E125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96" i="10"/>
  <c r="E97"/>
  <c r="E98"/>
  <c r="E99"/>
  <c r="E100"/>
  <c r="E63" i="9"/>
  <c r="E64"/>
  <c r="E65"/>
  <c r="E66"/>
  <c r="E67"/>
  <c r="E68"/>
  <c r="E69"/>
  <c r="E8"/>
  <c r="E9"/>
  <c r="E10"/>
  <c r="E11"/>
  <c r="E12"/>
  <c r="F171" i="5"/>
  <c r="F170"/>
  <c r="E170"/>
  <c r="G170" s="1"/>
  <c r="F169"/>
  <c r="F168"/>
  <c r="F167"/>
  <c r="G167" s="1"/>
  <c r="F166"/>
  <c r="G166" s="1"/>
  <c r="F165"/>
  <c r="G165" s="1"/>
  <c r="F164"/>
  <c r="E164"/>
  <c r="G164" s="1"/>
  <c r="G163"/>
  <c r="G162"/>
  <c r="G161"/>
  <c r="G160"/>
  <c r="G140"/>
  <c r="H140" s="1"/>
  <c r="J140" s="1"/>
  <c r="E140"/>
  <c r="G139"/>
  <c r="H139" s="1"/>
  <c r="J139" s="1"/>
  <c r="E139"/>
  <c r="E138"/>
  <c r="G138" s="1"/>
  <c r="H138" s="1"/>
  <c r="J138" s="1"/>
  <c r="G137"/>
  <c r="H137" s="1"/>
  <c r="J137" s="1"/>
  <c r="E137"/>
  <c r="G136"/>
  <c r="H136" s="1"/>
  <c r="J136" s="1"/>
  <c r="E136"/>
  <c r="H135"/>
  <c r="J135" s="1"/>
  <c r="G135"/>
  <c r="E135"/>
  <c r="G134"/>
  <c r="H134" s="1"/>
  <c r="J134" s="1"/>
  <c r="E134"/>
  <c r="E133"/>
  <c r="G133" s="1"/>
  <c r="H132"/>
  <c r="J132" s="1"/>
  <c r="G132"/>
  <c r="E132"/>
  <c r="E131"/>
  <c r="G131" s="1"/>
  <c r="H131" s="1"/>
  <c r="J131" s="1"/>
  <c r="H130"/>
  <c r="J130" s="1"/>
  <c r="G130"/>
  <c r="E130"/>
  <c r="G127"/>
  <c r="H127" s="1"/>
  <c r="J127" s="1"/>
  <c r="E127"/>
  <c r="H126"/>
  <c r="J126" s="1"/>
  <c r="G126"/>
  <c r="E126"/>
  <c r="G125"/>
  <c r="H125" s="1"/>
  <c r="J125" s="1"/>
  <c r="E125"/>
  <c r="H124"/>
  <c r="J124" s="1"/>
  <c r="G124"/>
  <c r="E124"/>
  <c r="G123"/>
  <c r="H123" s="1"/>
  <c r="J123" s="1"/>
  <c r="E123"/>
  <c r="G116"/>
  <c r="H116" s="1"/>
  <c r="J116" s="1"/>
  <c r="E115"/>
  <c r="G115" s="1"/>
  <c r="H115" s="1"/>
  <c r="J115" s="1"/>
  <c r="E114"/>
  <c r="G114" s="1"/>
  <c r="H113"/>
  <c r="J113" s="1"/>
  <c r="G111"/>
  <c r="H111" s="1"/>
  <c r="J111" s="1"/>
  <c r="E111"/>
  <c r="E110"/>
  <c r="G110" s="1"/>
  <c r="G109"/>
  <c r="H109" s="1"/>
  <c r="J109" s="1"/>
  <c r="E109"/>
  <c r="H108"/>
  <c r="G106"/>
  <c r="H106" s="1"/>
  <c r="J106" s="1"/>
  <c r="E106"/>
  <c r="E105"/>
  <c r="G105" s="1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G93"/>
  <c r="H93" s="1"/>
  <c r="J93" s="1"/>
  <c r="E93"/>
  <c r="H92"/>
  <c r="J92" s="1"/>
  <c r="G92"/>
  <c r="G94" s="1"/>
  <c r="H94" s="1"/>
  <c r="J94" s="1"/>
  <c r="E92"/>
  <c r="G90"/>
  <c r="H90" s="1"/>
  <c r="J90" s="1"/>
  <c r="E90"/>
  <c r="H89"/>
  <c r="J89" s="1"/>
  <c r="G89"/>
  <c r="E89"/>
  <c r="G88"/>
  <c r="H88" s="1"/>
  <c r="J88" s="1"/>
  <c r="E88"/>
  <c r="H87"/>
  <c r="J87" s="1"/>
  <c r="G87"/>
  <c r="E87"/>
  <c r="G86"/>
  <c r="H86" s="1"/>
  <c r="J86" s="1"/>
  <c r="E86"/>
  <c r="E84"/>
  <c r="G84" s="1"/>
  <c r="H84" s="1"/>
  <c r="J84" s="1"/>
  <c r="G83"/>
  <c r="H83" s="1"/>
  <c r="J83" s="1"/>
  <c r="E83"/>
  <c r="E82"/>
  <c r="G82" s="1"/>
  <c r="H82" s="1"/>
  <c r="J82" s="1"/>
  <c r="G81"/>
  <c r="H81" s="1"/>
  <c r="J81" s="1"/>
  <c r="E81"/>
  <c r="E80"/>
  <c r="G80" s="1"/>
  <c r="H80" s="1"/>
  <c r="J80" s="1"/>
  <c r="G79"/>
  <c r="H79" s="1"/>
  <c r="J79" s="1"/>
  <c r="E79"/>
  <c r="E78"/>
  <c r="G78" s="1"/>
  <c r="H78" s="1"/>
  <c r="J78" s="1"/>
  <c r="G77"/>
  <c r="H77" s="1"/>
  <c r="J77" s="1"/>
  <c r="E77"/>
  <c r="E76"/>
  <c r="G76" s="1"/>
  <c r="H76" s="1"/>
  <c r="J76" s="1"/>
  <c r="G75"/>
  <c r="H75" s="1"/>
  <c r="J75" s="1"/>
  <c r="E75"/>
  <c r="E74"/>
  <c r="G74" s="1"/>
  <c r="H74" s="1"/>
  <c r="J74" s="1"/>
  <c r="G73"/>
  <c r="H73" s="1"/>
  <c r="J73" s="1"/>
  <c r="E73"/>
  <c r="E72"/>
  <c r="G72" s="1"/>
  <c r="H70"/>
  <c r="J70" s="1"/>
  <c r="E69"/>
  <c r="G69" s="1"/>
  <c r="H69" s="1"/>
  <c r="J69" s="1"/>
  <c r="E68"/>
  <c r="G68" s="1"/>
  <c r="H68" s="1"/>
  <c r="J68" s="1"/>
  <c r="E67"/>
  <c r="G67" s="1"/>
  <c r="H67" s="1"/>
  <c r="J67" s="1"/>
  <c r="E66"/>
  <c r="E168" s="1"/>
  <c r="E65"/>
  <c r="E167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G54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H45"/>
  <c r="J45" s="1"/>
  <c r="G45"/>
  <c r="E45"/>
  <c r="E44"/>
  <c r="G44" s="1"/>
  <c r="H44" s="1"/>
  <c r="J44" s="1"/>
  <c r="H43"/>
  <c r="J43" s="1"/>
  <c r="G43"/>
  <c r="E43"/>
  <c r="E42"/>
  <c r="G42" s="1"/>
  <c r="H42" s="1"/>
  <c r="J42" s="1"/>
  <c r="H41"/>
  <c r="J41" s="1"/>
  <c r="G41"/>
  <c r="E41"/>
  <c r="E40"/>
  <c r="G40" s="1"/>
  <c r="H40" s="1"/>
  <c r="J40" s="1"/>
  <c r="H39"/>
  <c r="J39" s="1"/>
  <c r="G39"/>
  <c r="G146" s="1"/>
  <c r="E38"/>
  <c r="G38" s="1"/>
  <c r="G37"/>
  <c r="G152" s="1"/>
  <c r="G36"/>
  <c r="E36"/>
  <c r="E35"/>
  <c r="G35" s="1"/>
  <c r="E29"/>
  <c r="G29" s="1"/>
  <c r="H29" s="1"/>
  <c r="J29" s="1"/>
  <c r="J24"/>
  <c r="H24"/>
  <c r="E24"/>
  <c r="J23"/>
  <c r="H23"/>
  <c r="E23"/>
  <c r="G22"/>
  <c r="H22" s="1"/>
  <c r="J22" s="1"/>
  <c r="E22"/>
  <c r="G19"/>
  <c r="F118" s="1"/>
  <c r="E19"/>
  <c r="I18"/>
  <c r="I20" s="1"/>
  <c r="G18"/>
  <c r="G20" s="1"/>
  <c r="H20" s="1"/>
  <c r="J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I7"/>
  <c r="H7"/>
  <c r="J7" s="1"/>
  <c r="G7"/>
  <c r="E7"/>
  <c r="F171" i="4"/>
  <c r="G171" s="1"/>
  <c r="E171"/>
  <c r="F170"/>
  <c r="E170"/>
  <c r="G170" s="1"/>
  <c r="G169"/>
  <c r="F169"/>
  <c r="E169"/>
  <c r="F168"/>
  <c r="G168" s="1"/>
  <c r="E168"/>
  <c r="F167"/>
  <c r="G167" s="1"/>
  <c r="E167"/>
  <c r="G166"/>
  <c r="E166"/>
  <c r="E165"/>
  <c r="G165" s="1"/>
  <c r="F164"/>
  <c r="E164"/>
  <c r="G164" s="1"/>
  <c r="G163"/>
  <c r="E163"/>
  <c r="E162"/>
  <c r="G162" s="1"/>
  <c r="G161"/>
  <c r="E161"/>
  <c r="E160"/>
  <c r="G160" s="1"/>
  <c r="G140"/>
  <c r="H140" s="1"/>
  <c r="J140" s="1"/>
  <c r="E140"/>
  <c r="E139"/>
  <c r="G139" s="1"/>
  <c r="H139" s="1"/>
  <c r="J139" s="1"/>
  <c r="H138"/>
  <c r="J138" s="1"/>
  <c r="G138"/>
  <c r="E138"/>
  <c r="G137"/>
  <c r="H137" s="1"/>
  <c r="J137" s="1"/>
  <c r="E137"/>
  <c r="H136"/>
  <c r="J136" s="1"/>
  <c r="G136"/>
  <c r="I138" s="1"/>
  <c r="E136"/>
  <c r="H135"/>
  <c r="J135" s="1"/>
  <c r="G135"/>
  <c r="E135"/>
  <c r="J134"/>
  <c r="H134"/>
  <c r="G134"/>
  <c r="E134"/>
  <c r="H133"/>
  <c r="J133" s="1"/>
  <c r="G133"/>
  <c r="E133"/>
  <c r="J132"/>
  <c r="H132"/>
  <c r="G132"/>
  <c r="I135" s="1"/>
  <c r="E132"/>
  <c r="H131"/>
  <c r="J131" s="1"/>
  <c r="G131"/>
  <c r="E131"/>
  <c r="J130"/>
  <c r="H130"/>
  <c r="G130"/>
  <c r="E130"/>
  <c r="H127"/>
  <c r="J127" s="1"/>
  <c r="G127"/>
  <c r="E127"/>
  <c r="G126"/>
  <c r="H126" s="1"/>
  <c r="J126" s="1"/>
  <c r="E126"/>
  <c r="H125"/>
  <c r="J125" s="1"/>
  <c r="G125"/>
  <c r="E125"/>
  <c r="G124"/>
  <c r="H124" s="1"/>
  <c r="J124" s="1"/>
  <c r="E124"/>
  <c r="H123"/>
  <c r="J123" s="1"/>
  <c r="G123"/>
  <c r="E123"/>
  <c r="G116"/>
  <c r="H116" s="1"/>
  <c r="J116" s="1"/>
  <c r="E115"/>
  <c r="G115" s="1"/>
  <c r="H115" s="1"/>
  <c r="J115" s="1"/>
  <c r="E114"/>
  <c r="G114" s="1"/>
  <c r="H113"/>
  <c r="J113" s="1"/>
  <c r="E111"/>
  <c r="G111" s="1"/>
  <c r="H111" s="1"/>
  <c r="J111" s="1"/>
  <c r="G110"/>
  <c r="H110" s="1"/>
  <c r="J110" s="1"/>
  <c r="E110"/>
  <c r="E109"/>
  <c r="G109" s="1"/>
  <c r="E106"/>
  <c r="G106" s="1"/>
  <c r="H106" s="1"/>
  <c r="J106" s="1"/>
  <c r="G105"/>
  <c r="H105" s="1"/>
  <c r="J105" s="1"/>
  <c r="E105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H93"/>
  <c r="J93" s="1"/>
  <c r="G93"/>
  <c r="E93"/>
  <c r="J92"/>
  <c r="H92"/>
  <c r="G92"/>
  <c r="G94" s="1"/>
  <c r="H94" s="1"/>
  <c r="J94" s="1"/>
  <c r="E92"/>
  <c r="K90"/>
  <c r="E90"/>
  <c r="G90" s="1"/>
  <c r="H90" s="1"/>
  <c r="J90" s="1"/>
  <c r="K89"/>
  <c r="G89"/>
  <c r="H89" s="1"/>
  <c r="J89" s="1"/>
  <c r="E89"/>
  <c r="E88"/>
  <c r="G88" s="1"/>
  <c r="H88" s="1"/>
  <c r="J88" s="1"/>
  <c r="G87"/>
  <c r="H87" s="1"/>
  <c r="J87" s="1"/>
  <c r="E87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J46"/>
  <c r="H46"/>
  <c r="G46"/>
  <c r="E46"/>
  <c r="H45"/>
  <c r="J45" s="1"/>
  <c r="G45"/>
  <c r="E45"/>
  <c r="J44"/>
  <c r="H44"/>
  <c r="G44"/>
  <c r="E44"/>
  <c r="H43"/>
  <c r="J43" s="1"/>
  <c r="G43"/>
  <c r="E43"/>
  <c r="J42"/>
  <c r="H42"/>
  <c r="G42"/>
  <c r="E42"/>
  <c r="H41"/>
  <c r="J41" s="1"/>
  <c r="G41"/>
  <c r="E41"/>
  <c r="J40"/>
  <c r="H40"/>
  <c r="G40"/>
  <c r="G39"/>
  <c r="E39"/>
  <c r="H38"/>
  <c r="J38" s="1"/>
  <c r="G38"/>
  <c r="G148" s="1"/>
  <c r="E38"/>
  <c r="G37"/>
  <c r="H37" s="1"/>
  <c r="J37" s="1"/>
  <c r="E37"/>
  <c r="H36"/>
  <c r="J36" s="1"/>
  <c r="G36"/>
  <c r="E36"/>
  <c r="G35"/>
  <c r="H35" s="1"/>
  <c r="J35" s="1"/>
  <c r="E35"/>
  <c r="E31"/>
  <c r="G31" s="1"/>
  <c r="H31" s="1"/>
  <c r="J31" s="1"/>
  <c r="G30"/>
  <c r="H30" s="1"/>
  <c r="J30" s="1"/>
  <c r="E30"/>
  <c r="E29"/>
  <c r="G29" s="1"/>
  <c r="H29" s="1"/>
  <c r="J29" s="1"/>
  <c r="E27"/>
  <c r="G27" s="1"/>
  <c r="J24"/>
  <c r="H24"/>
  <c r="E24"/>
  <c r="J23"/>
  <c r="H23"/>
  <c r="E23"/>
  <c r="H22"/>
  <c r="J22" s="1"/>
  <c r="G22"/>
  <c r="E22"/>
  <c r="H19"/>
  <c r="J19" s="1"/>
  <c r="G19"/>
  <c r="F118" s="1"/>
  <c r="E19"/>
  <c r="J18"/>
  <c r="I18"/>
  <c r="I20" s="1"/>
  <c r="H18"/>
  <c r="G18"/>
  <c r="G20" s="1"/>
  <c r="H20" s="1"/>
  <c r="J20" s="1"/>
  <c r="E18"/>
  <c r="G15"/>
  <c r="G128" s="1"/>
  <c r="H128" s="1"/>
  <c r="J128" s="1"/>
  <c r="E15"/>
  <c r="G12"/>
  <c r="H12" s="1"/>
  <c r="J12" s="1"/>
  <c r="E12"/>
  <c r="E11"/>
  <c r="G11" s="1"/>
  <c r="H11" s="1"/>
  <c r="J11" s="1"/>
  <c r="G10"/>
  <c r="H10" s="1"/>
  <c r="J10" s="1"/>
  <c r="E10"/>
  <c r="G9"/>
  <c r="G13" s="1"/>
  <c r="E9"/>
  <c r="H8"/>
  <c r="J8" s="1"/>
  <c r="I9" s="1"/>
  <c r="G8"/>
  <c r="E8"/>
  <c r="I7"/>
  <c r="H7"/>
  <c r="J7" s="1"/>
  <c r="G7"/>
  <c r="E7"/>
  <c r="F171" i="3"/>
  <c r="G171" s="1"/>
  <c r="E171"/>
  <c r="F170"/>
  <c r="G170" s="1"/>
  <c r="E170"/>
  <c r="G169"/>
  <c r="F169"/>
  <c r="E169"/>
  <c r="F168"/>
  <c r="G168" s="1"/>
  <c r="E168"/>
  <c r="F167"/>
  <c r="G167" s="1"/>
  <c r="E167"/>
  <c r="F166"/>
  <c r="E166"/>
  <c r="G166" s="1"/>
  <c r="G165"/>
  <c r="F165"/>
  <c r="E165"/>
  <c r="G164"/>
  <c r="F164"/>
  <c r="E164"/>
  <c r="E163"/>
  <c r="G163" s="1"/>
  <c r="G162"/>
  <c r="E162"/>
  <c r="E161"/>
  <c r="G161" s="1"/>
  <c r="G160"/>
  <c r="E160"/>
  <c r="H140"/>
  <c r="J140" s="1"/>
  <c r="G140"/>
  <c r="E140"/>
  <c r="E139"/>
  <c r="G139" s="1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G133"/>
  <c r="H133" s="1"/>
  <c r="J133" s="1"/>
  <c r="E133"/>
  <c r="E132"/>
  <c r="G132" s="1"/>
  <c r="G131"/>
  <c r="H131" s="1"/>
  <c r="J131" s="1"/>
  <c r="E13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H115"/>
  <c r="J115" s="1"/>
  <c r="G115"/>
  <c r="E115"/>
  <c r="G114"/>
  <c r="H114" s="1"/>
  <c r="J114" s="1"/>
  <c r="E114"/>
  <c r="H113"/>
  <c r="J113" s="1"/>
  <c r="E111"/>
  <c r="G111" s="1"/>
  <c r="H111" s="1"/>
  <c r="J111" s="1"/>
  <c r="J110"/>
  <c r="H110"/>
  <c r="G110"/>
  <c r="E110"/>
  <c r="E109"/>
  <c r="G109" s="1"/>
  <c r="H108"/>
  <c r="E106"/>
  <c r="G106" s="1"/>
  <c r="H106" s="1"/>
  <c r="J106" s="1"/>
  <c r="J105"/>
  <c r="H105"/>
  <c r="G105"/>
  <c r="E105"/>
  <c r="E104"/>
  <c r="G104" s="1"/>
  <c r="G100"/>
  <c r="H100" s="1"/>
  <c r="J100" s="1"/>
  <c r="E100"/>
  <c r="H99"/>
  <c r="J99" s="1"/>
  <c r="G99"/>
  <c r="E99"/>
  <c r="G98"/>
  <c r="H98" s="1"/>
  <c r="J98" s="1"/>
  <c r="E98"/>
  <c r="H97"/>
  <c r="J97" s="1"/>
  <c r="G97"/>
  <c r="E97"/>
  <c r="G96"/>
  <c r="H96" s="1"/>
  <c r="J96" s="1"/>
  <c r="E96"/>
  <c r="H95"/>
  <c r="J95" s="1"/>
  <c r="G95"/>
  <c r="G101" s="1"/>
  <c r="H101" s="1"/>
  <c r="J101" s="1"/>
  <c r="E95"/>
  <c r="G93"/>
  <c r="H93" s="1"/>
  <c r="J93" s="1"/>
  <c r="E93"/>
  <c r="E92"/>
  <c r="G92" s="1"/>
  <c r="G90"/>
  <c r="H90" s="1"/>
  <c r="J90" s="1"/>
  <c r="E90"/>
  <c r="E89"/>
  <c r="G89" s="1"/>
  <c r="H89" s="1"/>
  <c r="J89" s="1"/>
  <c r="G88"/>
  <c r="H88" s="1"/>
  <c r="J88" s="1"/>
  <c r="E88"/>
  <c r="E87"/>
  <c r="G87" s="1"/>
  <c r="H87" s="1"/>
  <c r="J87" s="1"/>
  <c r="G86"/>
  <c r="H86" s="1"/>
  <c r="J86" s="1"/>
  <c r="E86"/>
  <c r="E85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E69"/>
  <c r="G69" s="1"/>
  <c r="H69" s="1"/>
  <c r="J69" s="1"/>
  <c r="G68"/>
  <c r="H68" s="1"/>
  <c r="J68" s="1"/>
  <c r="E68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H58" s="1"/>
  <c r="J58" s="1"/>
  <c r="G57"/>
  <c r="H57" s="1"/>
  <c r="J57" s="1"/>
  <c r="E57"/>
  <c r="E56"/>
  <c r="G56" s="1"/>
  <c r="H56" s="1"/>
  <c r="J56" s="1"/>
  <c r="G55"/>
  <c r="H55" s="1"/>
  <c r="J55" s="1"/>
  <c r="E55"/>
  <c r="E54"/>
  <c r="G54" s="1"/>
  <c r="H54" s="1"/>
  <c r="J54" s="1"/>
  <c r="G53"/>
  <c r="H53" s="1"/>
  <c r="J53" s="1"/>
  <c r="E53"/>
  <c r="E52"/>
  <c r="G52" s="1"/>
  <c r="H52" s="1"/>
  <c r="J52" s="1"/>
  <c r="G51"/>
  <c r="H51" s="1"/>
  <c r="J51" s="1"/>
  <c r="E51"/>
  <c r="E50"/>
  <c r="G50" s="1"/>
  <c r="H50" s="1"/>
  <c r="J50" s="1"/>
  <c r="G49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J29"/>
  <c r="H29"/>
  <c r="G29"/>
  <c r="E29"/>
  <c r="H24"/>
  <c r="J24" s="1"/>
  <c r="E24"/>
  <c r="H23"/>
  <c r="J23" s="1"/>
  <c r="E23"/>
  <c r="E22"/>
  <c r="G22" s="1"/>
  <c r="H22" s="1"/>
  <c r="J22" s="1"/>
  <c r="E19"/>
  <c r="G19" s="1"/>
  <c r="I18"/>
  <c r="H18"/>
  <c r="J18" s="1"/>
  <c r="G18"/>
  <c r="G20" s="1"/>
  <c r="H20" s="1"/>
  <c r="J20" s="1"/>
  <c r="E18"/>
  <c r="E15"/>
  <c r="G15" s="1"/>
  <c r="J12"/>
  <c r="H12"/>
  <c r="E12"/>
  <c r="J11"/>
  <c r="H11"/>
  <c r="G11"/>
  <c r="E11"/>
  <c r="E10"/>
  <c r="G10" s="1"/>
  <c r="H10" s="1"/>
  <c r="J10" s="1"/>
  <c r="E9"/>
  <c r="G9" s="1"/>
  <c r="E8"/>
  <c r="G8" s="1"/>
  <c r="I7"/>
  <c r="E7"/>
  <c r="G7" s="1"/>
  <c r="F171" i="2"/>
  <c r="G171" s="1"/>
  <c r="E171"/>
  <c r="F170"/>
  <c r="G170" s="1"/>
  <c r="E170"/>
  <c r="F169"/>
  <c r="G169" s="1"/>
  <c r="E169"/>
  <c r="G168"/>
  <c r="F168"/>
  <c r="E168"/>
  <c r="G167"/>
  <c r="F167"/>
  <c r="E167"/>
  <c r="F166"/>
  <c r="E166"/>
  <c r="G166" s="1"/>
  <c r="F165"/>
  <c r="E165"/>
  <c r="G165" s="1"/>
  <c r="G164"/>
  <c r="E164"/>
  <c r="G163"/>
  <c r="G162"/>
  <c r="G161"/>
  <c r="G160"/>
  <c r="G148"/>
  <c r="H148" s="1"/>
  <c r="J148" s="1"/>
  <c r="H140"/>
  <c r="J140" s="1"/>
  <c r="G140"/>
  <c r="H139"/>
  <c r="J139" s="1"/>
  <c r="G139"/>
  <c r="I140" s="1"/>
  <c r="G138"/>
  <c r="H138" s="1"/>
  <c r="J138" s="1"/>
  <c r="G137"/>
  <c r="H137" s="1"/>
  <c r="J137" s="1"/>
  <c r="G136"/>
  <c r="H136" s="1"/>
  <c r="J136" s="1"/>
  <c r="H135"/>
  <c r="J135" s="1"/>
  <c r="G135"/>
  <c r="J134"/>
  <c r="H134"/>
  <c r="G134"/>
  <c r="G133"/>
  <c r="H133" s="1"/>
  <c r="J133" s="1"/>
  <c r="G132"/>
  <c r="H132" s="1"/>
  <c r="J132" s="1"/>
  <c r="G131"/>
  <c r="H131" s="1"/>
  <c r="J131" s="1"/>
  <c r="H130"/>
  <c r="J130" s="1"/>
  <c r="G130"/>
  <c r="H127"/>
  <c r="J127" s="1"/>
  <c r="G127"/>
  <c r="J126"/>
  <c r="H126"/>
  <c r="G126"/>
  <c r="J125"/>
  <c r="H125"/>
  <c r="G125"/>
  <c r="G124"/>
  <c r="H124" s="1"/>
  <c r="J124" s="1"/>
  <c r="G123"/>
  <c r="H123" s="1"/>
  <c r="J123" s="1"/>
  <c r="E120"/>
  <c r="E119"/>
  <c r="G118"/>
  <c r="H118" s="1"/>
  <c r="J118" s="1"/>
  <c r="E118"/>
  <c r="G116"/>
  <c r="H116" s="1"/>
  <c r="J116" s="1"/>
  <c r="G115"/>
  <c r="H115" s="1"/>
  <c r="J115" s="1"/>
  <c r="G114"/>
  <c r="G117" s="1"/>
  <c r="H117" s="1"/>
  <c r="J117" s="1"/>
  <c r="H113"/>
  <c r="J113" s="1"/>
  <c r="G112"/>
  <c r="H112" s="1"/>
  <c r="J112" s="1"/>
  <c r="G111"/>
  <c r="H111" s="1"/>
  <c r="J111" s="1"/>
  <c r="H110"/>
  <c r="J110" s="1"/>
  <c r="G110"/>
  <c r="H109"/>
  <c r="J109" s="1"/>
  <c r="G109"/>
  <c r="J106" s="1"/>
  <c r="H108"/>
  <c r="G106"/>
  <c r="H106" s="1"/>
  <c r="G105"/>
  <c r="H105" s="1"/>
  <c r="J105" s="1"/>
  <c r="H104"/>
  <c r="J104" s="1"/>
  <c r="G104"/>
  <c r="H100"/>
  <c r="J100" s="1"/>
  <c r="G100"/>
  <c r="J99"/>
  <c r="H99"/>
  <c r="G99"/>
  <c r="J98"/>
  <c r="H98"/>
  <c r="G98"/>
  <c r="G97"/>
  <c r="G119" s="1"/>
  <c r="H119" s="1"/>
  <c r="J119" s="1"/>
  <c r="G96"/>
  <c r="H96" s="1"/>
  <c r="J96" s="1"/>
  <c r="G95"/>
  <c r="H95" s="1"/>
  <c r="J95" s="1"/>
  <c r="J93"/>
  <c r="H93"/>
  <c r="G93"/>
  <c r="J92"/>
  <c r="H92"/>
  <c r="G92"/>
  <c r="G94" s="1"/>
  <c r="G90"/>
  <c r="H90" s="1"/>
  <c r="J90" s="1"/>
  <c r="G89"/>
  <c r="H89" s="1"/>
  <c r="J89" s="1"/>
  <c r="G88"/>
  <c r="H88" s="1"/>
  <c r="J88" s="1"/>
  <c r="H87"/>
  <c r="J87" s="1"/>
  <c r="G87"/>
  <c r="H86"/>
  <c r="J86" s="1"/>
  <c r="G86"/>
  <c r="J84"/>
  <c r="H84"/>
  <c r="G84"/>
  <c r="J83"/>
  <c r="H83"/>
  <c r="G83"/>
  <c r="G82"/>
  <c r="H82" s="1"/>
  <c r="J82" s="1"/>
  <c r="G81"/>
  <c r="H81" s="1"/>
  <c r="J81" s="1"/>
  <c r="G80"/>
  <c r="H80" s="1"/>
  <c r="J80" s="1"/>
  <c r="H79"/>
  <c r="J79" s="1"/>
  <c r="G79"/>
  <c r="H78"/>
  <c r="J78" s="1"/>
  <c r="G78"/>
  <c r="H77"/>
  <c r="J77" s="1"/>
  <c r="G77"/>
  <c r="J76"/>
  <c r="H76"/>
  <c r="G76"/>
  <c r="J75"/>
  <c r="H75"/>
  <c r="G75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H67"/>
  <c r="J67" s="1"/>
  <c r="G67"/>
  <c r="H66"/>
  <c r="J66" s="1"/>
  <c r="G66"/>
  <c r="H65"/>
  <c r="J65" s="1"/>
  <c r="G65"/>
  <c r="J64"/>
  <c r="H64"/>
  <c r="G64"/>
  <c r="J63"/>
  <c r="H63"/>
  <c r="G63"/>
  <c r="G62"/>
  <c r="H62" s="1"/>
  <c r="J62" s="1"/>
  <c r="G58"/>
  <c r="H58" s="1"/>
  <c r="J58" s="1"/>
  <c r="G57"/>
  <c r="H57" s="1"/>
  <c r="J57" s="1"/>
  <c r="H56"/>
  <c r="J56" s="1"/>
  <c r="G56"/>
  <c r="H55"/>
  <c r="J55" s="1"/>
  <c r="G55"/>
  <c r="H54"/>
  <c r="J54" s="1"/>
  <c r="G54"/>
  <c r="J53"/>
  <c r="H53"/>
  <c r="G53"/>
  <c r="J52"/>
  <c r="H52"/>
  <c r="G52"/>
  <c r="G51"/>
  <c r="G59" s="1"/>
  <c r="H59" s="1"/>
  <c r="J59" s="1"/>
  <c r="G50"/>
  <c r="H50" s="1"/>
  <c r="J50" s="1"/>
  <c r="G49"/>
  <c r="H49" s="1"/>
  <c r="J49" s="1"/>
  <c r="H46"/>
  <c r="J46" s="1"/>
  <c r="G46"/>
  <c r="H45"/>
  <c r="J45" s="1"/>
  <c r="G45"/>
  <c r="J44"/>
  <c r="H44"/>
  <c r="G44"/>
  <c r="J43"/>
  <c r="H43"/>
  <c r="G43"/>
  <c r="G42"/>
  <c r="H42" s="1"/>
  <c r="J42" s="1"/>
  <c r="G41"/>
  <c r="H41" s="1"/>
  <c r="J41" s="1"/>
  <c r="G40"/>
  <c r="H40" s="1"/>
  <c r="J40" s="1"/>
  <c r="H39"/>
  <c r="J39" s="1"/>
  <c r="G39"/>
  <c r="G146" s="1"/>
  <c r="H38"/>
  <c r="J38" s="1"/>
  <c r="G38"/>
  <c r="G47" s="1"/>
  <c r="H37"/>
  <c r="J37" s="1"/>
  <c r="G37"/>
  <c r="G152" s="1"/>
  <c r="J36"/>
  <c r="H36"/>
  <c r="G36"/>
  <c r="G150" s="1"/>
  <c r="J35"/>
  <c r="H35"/>
  <c r="G35"/>
  <c r="G142" s="1"/>
  <c r="E30"/>
  <c r="G30" s="1"/>
  <c r="H30" s="1"/>
  <c r="J30" s="1"/>
  <c r="E28"/>
  <c r="G28" s="1"/>
  <c r="H28" s="1"/>
  <c r="J28" s="1"/>
  <c r="J23"/>
  <c r="H23"/>
  <c r="G23"/>
  <c r="J22"/>
  <c r="H22"/>
  <c r="G22"/>
  <c r="G24" s="1"/>
  <c r="H19"/>
  <c r="J19" s="1"/>
  <c r="G19"/>
  <c r="E31" s="1"/>
  <c r="G31" s="1"/>
  <c r="H31" s="1"/>
  <c r="J31" s="1"/>
  <c r="H18"/>
  <c r="J18" s="1"/>
  <c r="G18"/>
  <c r="G20" s="1"/>
  <c r="H20" s="1"/>
  <c r="J20" s="1"/>
  <c r="I20" s="1"/>
  <c r="G15"/>
  <c r="G128" s="1"/>
  <c r="H128" s="1"/>
  <c r="J128" s="1"/>
  <c r="J12"/>
  <c r="H12"/>
  <c r="G12"/>
  <c r="G11"/>
  <c r="H11" s="1"/>
  <c r="J11" s="1"/>
  <c r="G10"/>
  <c r="H10" s="1"/>
  <c r="J10" s="1"/>
  <c r="H9"/>
  <c r="J9" s="1"/>
  <c r="G9"/>
  <c r="G13" s="1"/>
  <c r="G8"/>
  <c r="E27" s="1"/>
  <c r="G27" s="1"/>
  <c r="J7"/>
  <c r="H7"/>
  <c r="G7"/>
  <c r="G112" i="5" l="1"/>
  <c r="H110"/>
  <c r="J110" s="1"/>
  <c r="H72"/>
  <c r="J72" s="1"/>
  <c r="G85"/>
  <c r="H85" s="1"/>
  <c r="J85" s="1"/>
  <c r="G150"/>
  <c r="G144"/>
  <c r="H114"/>
  <c r="J114" s="1"/>
  <c r="G117"/>
  <c r="H117" s="1"/>
  <c r="J117" s="1"/>
  <c r="G13"/>
  <c r="H9"/>
  <c r="J9" s="1"/>
  <c r="G147"/>
  <c r="H147" s="1"/>
  <c r="J147" s="1"/>
  <c r="H146"/>
  <c r="J146" s="1"/>
  <c r="H8"/>
  <c r="J8" s="1"/>
  <c r="I9" s="1"/>
  <c r="E27"/>
  <c r="G27" s="1"/>
  <c r="H38"/>
  <c r="J38" s="1"/>
  <c r="G148"/>
  <c r="H49"/>
  <c r="J49" s="1"/>
  <c r="G59"/>
  <c r="H59" s="1"/>
  <c r="J59" s="1"/>
  <c r="H152"/>
  <c r="J152" s="1"/>
  <c r="G153"/>
  <c r="H153" s="1"/>
  <c r="J153" s="1"/>
  <c r="H95"/>
  <c r="J95" s="1"/>
  <c r="F119"/>
  <c r="G119"/>
  <c r="H119" s="1"/>
  <c r="J119" s="1"/>
  <c r="G101"/>
  <c r="H101" s="1"/>
  <c r="J101" s="1"/>
  <c r="G107"/>
  <c r="H107" s="1"/>
  <c r="J107" s="1"/>
  <c r="H105"/>
  <c r="J105" s="1"/>
  <c r="H133"/>
  <c r="J133" s="1"/>
  <c r="I133"/>
  <c r="G168"/>
  <c r="G128"/>
  <c r="H128" s="1"/>
  <c r="J128" s="1"/>
  <c r="E28"/>
  <c r="G28" s="1"/>
  <c r="H28" s="1"/>
  <c r="J28" s="1"/>
  <c r="H15"/>
  <c r="J15" s="1"/>
  <c r="I16" s="1"/>
  <c r="G142"/>
  <c r="G47"/>
  <c r="H35"/>
  <c r="J35" s="1"/>
  <c r="G66"/>
  <c r="H66" s="1"/>
  <c r="J66" s="1"/>
  <c r="I136"/>
  <c r="E169"/>
  <c r="G169" s="1"/>
  <c r="H19"/>
  <c r="J19" s="1"/>
  <c r="E31"/>
  <c r="G31" s="1"/>
  <c r="H31" s="1"/>
  <c r="J31" s="1"/>
  <c r="H37"/>
  <c r="J37" s="1"/>
  <c r="E171"/>
  <c r="G171" s="1"/>
  <c r="N8"/>
  <c r="I139"/>
  <c r="H36"/>
  <c r="J36" s="1"/>
  <c r="G65"/>
  <c r="H65" s="1"/>
  <c r="J65" s="1"/>
  <c r="E30"/>
  <c r="G30" s="1"/>
  <c r="H30" s="1"/>
  <c r="J30" s="1"/>
  <c r="H18"/>
  <c r="J18" s="1"/>
  <c r="G118"/>
  <c r="H118" s="1"/>
  <c r="J118" s="1"/>
  <c r="I13"/>
  <c r="G144" i="4"/>
  <c r="H72"/>
  <c r="J72" s="1"/>
  <c r="G85"/>
  <c r="H85" s="1"/>
  <c r="J85" s="1"/>
  <c r="G112"/>
  <c r="H109"/>
  <c r="J109" s="1"/>
  <c r="G59"/>
  <c r="H59" s="1"/>
  <c r="J59" s="1"/>
  <c r="H49"/>
  <c r="J49" s="1"/>
  <c r="H27"/>
  <c r="J27" s="1"/>
  <c r="F119"/>
  <c r="G119"/>
  <c r="H119" s="1"/>
  <c r="J119" s="1"/>
  <c r="G101"/>
  <c r="H101" s="1"/>
  <c r="J101" s="1"/>
  <c r="H95"/>
  <c r="J95" s="1"/>
  <c r="I13"/>
  <c r="G150"/>
  <c r="G146"/>
  <c r="H13"/>
  <c r="J13" s="1"/>
  <c r="H114"/>
  <c r="J114" s="1"/>
  <c r="G117"/>
  <c r="H117" s="1"/>
  <c r="J117" s="1"/>
  <c r="G107"/>
  <c r="H107" s="1"/>
  <c r="J107" s="1"/>
  <c r="H108"/>
  <c r="J104" s="1"/>
  <c r="H104"/>
  <c r="H148"/>
  <c r="J148" s="1"/>
  <c r="G149"/>
  <c r="H149" s="1"/>
  <c r="J149" s="1"/>
  <c r="H15"/>
  <c r="J15" s="1"/>
  <c r="I16" s="1"/>
  <c r="G47"/>
  <c r="G142"/>
  <c r="E28"/>
  <c r="G28" s="1"/>
  <c r="H28" s="1"/>
  <c r="J28" s="1"/>
  <c r="G118"/>
  <c r="H118" s="1"/>
  <c r="J118" s="1"/>
  <c r="I140"/>
  <c r="G152"/>
  <c r="H9"/>
  <c r="J9" s="1"/>
  <c r="H39"/>
  <c r="J39" s="1"/>
  <c r="H9" i="3"/>
  <c r="J9" s="1"/>
  <c r="G13"/>
  <c r="H35"/>
  <c r="J35" s="1"/>
  <c r="G142"/>
  <c r="G47"/>
  <c r="H136"/>
  <c r="J136" s="1"/>
  <c r="I138"/>
  <c r="H8"/>
  <c r="J8" s="1"/>
  <c r="I9" s="1"/>
  <c r="E27"/>
  <c r="G27" s="1"/>
  <c r="H37"/>
  <c r="J37" s="1"/>
  <c r="G152"/>
  <c r="F118"/>
  <c r="G118"/>
  <c r="H118" s="1"/>
  <c r="J118" s="1"/>
  <c r="E30"/>
  <c r="G30" s="1"/>
  <c r="H30" s="1"/>
  <c r="J30" s="1"/>
  <c r="H19"/>
  <c r="J19" s="1"/>
  <c r="H41"/>
  <c r="J41" s="1"/>
  <c r="G144"/>
  <c r="H104"/>
  <c r="J104" s="1"/>
  <c r="G107"/>
  <c r="H107" s="1"/>
  <c r="J107" s="1"/>
  <c r="I13"/>
  <c r="H7"/>
  <c r="J7" s="1"/>
  <c r="H109"/>
  <c r="J109" s="1"/>
  <c r="G112"/>
  <c r="G146"/>
  <c r="H39"/>
  <c r="J39" s="1"/>
  <c r="G94"/>
  <c r="H94" s="1"/>
  <c r="J94" s="1"/>
  <c r="H92"/>
  <c r="J92" s="1"/>
  <c r="I20"/>
  <c r="G59"/>
  <c r="H59" s="1"/>
  <c r="J59" s="1"/>
  <c r="H38"/>
  <c r="J38" s="1"/>
  <c r="G148"/>
  <c r="I133"/>
  <c r="H132"/>
  <c r="J132" s="1"/>
  <c r="I140"/>
  <c r="H139"/>
  <c r="J139" s="1"/>
  <c r="G128"/>
  <c r="H128" s="1"/>
  <c r="J128" s="1"/>
  <c r="E28"/>
  <c r="G28" s="1"/>
  <c r="H28" s="1"/>
  <c r="J28" s="1"/>
  <c r="H15"/>
  <c r="J15" s="1"/>
  <c r="I16" s="1"/>
  <c r="O16"/>
  <c r="G150"/>
  <c r="H36"/>
  <c r="J36" s="1"/>
  <c r="E31"/>
  <c r="G31" s="1"/>
  <c r="H31" s="1"/>
  <c r="J31" s="1"/>
  <c r="G117"/>
  <c r="H117" s="1"/>
  <c r="J117" s="1"/>
  <c r="G119"/>
  <c r="H119" s="1"/>
  <c r="J119" s="1"/>
  <c r="G85"/>
  <c r="H85" s="1"/>
  <c r="J85" s="1"/>
  <c r="F119"/>
  <c r="H49"/>
  <c r="J49" s="1"/>
  <c r="G172" i="2"/>
  <c r="G60"/>
  <c r="H60" s="1"/>
  <c r="J60" s="1"/>
  <c r="H47"/>
  <c r="J47" s="1"/>
  <c r="G153"/>
  <c r="H153" s="1"/>
  <c r="J153" s="1"/>
  <c r="H152"/>
  <c r="J152" s="1"/>
  <c r="H27"/>
  <c r="J27" s="1"/>
  <c r="H150"/>
  <c r="J150" s="1"/>
  <c r="G151"/>
  <c r="H151" s="1"/>
  <c r="J151" s="1"/>
  <c r="I13"/>
  <c r="H13"/>
  <c r="J13" s="1"/>
  <c r="H146"/>
  <c r="J146" s="1"/>
  <c r="G147"/>
  <c r="H147" s="1"/>
  <c r="J147" s="1"/>
  <c r="E29"/>
  <c r="G29" s="1"/>
  <c r="H29" s="1"/>
  <c r="J29" s="1"/>
  <c r="H24"/>
  <c r="J24" s="1"/>
  <c r="H142"/>
  <c r="J142" s="1"/>
  <c r="G143"/>
  <c r="H143" s="1"/>
  <c r="J143" s="1"/>
  <c r="H8"/>
  <c r="J8" s="1"/>
  <c r="I9" s="1"/>
  <c r="G120"/>
  <c r="H120" s="1"/>
  <c r="J120" s="1"/>
  <c r="I138"/>
  <c r="H51"/>
  <c r="J51" s="1"/>
  <c r="G85"/>
  <c r="H85" s="1"/>
  <c r="J85" s="1"/>
  <c r="H97"/>
  <c r="J97" s="1"/>
  <c r="F120"/>
  <c r="G144"/>
  <c r="G107"/>
  <c r="H107" s="1"/>
  <c r="J107" s="1"/>
  <c r="I135"/>
  <c r="G149"/>
  <c r="H149" s="1"/>
  <c r="J149" s="1"/>
  <c r="F118"/>
  <c r="H15"/>
  <c r="J15" s="1"/>
  <c r="I16" s="1"/>
  <c r="G101"/>
  <c r="H101" s="1"/>
  <c r="J101" s="1"/>
  <c r="F119"/>
  <c r="H114"/>
  <c r="J114" s="1"/>
  <c r="H27" i="5" l="1"/>
  <c r="J27" s="1"/>
  <c r="G32"/>
  <c r="H32" s="1"/>
  <c r="J32" s="1"/>
  <c r="H142"/>
  <c r="J142" s="1"/>
  <c r="G143"/>
  <c r="H143" s="1"/>
  <c r="J143" s="1"/>
  <c r="H13"/>
  <c r="J13" s="1"/>
  <c r="F120"/>
  <c r="G120"/>
  <c r="H120" s="1"/>
  <c r="J120" s="1"/>
  <c r="H112"/>
  <c r="J112" s="1"/>
  <c r="H144"/>
  <c r="J144" s="1"/>
  <c r="G145"/>
  <c r="H145" s="1"/>
  <c r="J145" s="1"/>
  <c r="G60"/>
  <c r="H47"/>
  <c r="J47" s="1"/>
  <c r="H150"/>
  <c r="J150" s="1"/>
  <c r="G151"/>
  <c r="H151" s="1"/>
  <c r="J151" s="1"/>
  <c r="H148"/>
  <c r="J148" s="1"/>
  <c r="G149"/>
  <c r="H149" s="1"/>
  <c r="J149" s="1"/>
  <c r="G151" i="4"/>
  <c r="H151" s="1"/>
  <c r="J151" s="1"/>
  <c r="H150"/>
  <c r="J150" s="1"/>
  <c r="H146"/>
  <c r="J146" s="1"/>
  <c r="G147"/>
  <c r="H147" s="1"/>
  <c r="J147" s="1"/>
  <c r="H152"/>
  <c r="J152" s="1"/>
  <c r="G153"/>
  <c r="H153" s="1"/>
  <c r="J153" s="1"/>
  <c r="H144"/>
  <c r="J144" s="1"/>
  <c r="G145"/>
  <c r="H145" s="1"/>
  <c r="J145" s="1"/>
  <c r="G32"/>
  <c r="H32" s="1"/>
  <c r="J32" s="1"/>
  <c r="H47"/>
  <c r="J47" s="1"/>
  <c r="G60"/>
  <c r="G143"/>
  <c r="H143" s="1"/>
  <c r="J143" s="1"/>
  <c r="H142"/>
  <c r="J142" s="1"/>
  <c r="H112"/>
  <c r="J112" s="1"/>
  <c r="F120"/>
  <c r="G120"/>
  <c r="H120" s="1"/>
  <c r="J120" s="1"/>
  <c r="H150" i="3"/>
  <c r="J150" s="1"/>
  <c r="G151"/>
  <c r="H151" s="1"/>
  <c r="J151" s="1"/>
  <c r="H146"/>
  <c r="J146" s="1"/>
  <c r="G147"/>
  <c r="H147" s="1"/>
  <c r="J147" s="1"/>
  <c r="H144"/>
  <c r="J144" s="1"/>
  <c r="G145"/>
  <c r="H145" s="1"/>
  <c r="J145" s="1"/>
  <c r="H27"/>
  <c r="J27" s="1"/>
  <c r="G32"/>
  <c r="H32" s="1"/>
  <c r="J32" s="1"/>
  <c r="H13"/>
  <c r="J13" s="1"/>
  <c r="H152"/>
  <c r="J152" s="1"/>
  <c r="G153"/>
  <c r="H153" s="1"/>
  <c r="J153" s="1"/>
  <c r="H142"/>
  <c r="J142" s="1"/>
  <c r="G143"/>
  <c r="H143" s="1"/>
  <c r="J143" s="1"/>
  <c r="G60"/>
  <c r="H47"/>
  <c r="J47" s="1"/>
  <c r="G149"/>
  <c r="H149" s="1"/>
  <c r="J149" s="1"/>
  <c r="H148"/>
  <c r="J148" s="1"/>
  <c r="H112"/>
  <c r="J112" s="1"/>
  <c r="F120"/>
  <c r="G120"/>
  <c r="H120" s="1"/>
  <c r="J120" s="1"/>
  <c r="G145" i="2"/>
  <c r="H145" s="1"/>
  <c r="J145" s="1"/>
  <c r="H144"/>
  <c r="J144" s="1"/>
  <c r="I60"/>
  <c r="I59"/>
  <c r="G32"/>
  <c r="H32" s="1"/>
  <c r="J32" s="1"/>
  <c r="H60" i="5" l="1"/>
  <c r="J60" s="1"/>
  <c r="I59"/>
  <c r="I60"/>
  <c r="H60" i="4"/>
  <c r="J60" s="1"/>
  <c r="I60"/>
  <c r="I59"/>
  <c r="H60" i="3"/>
  <c r="J60" s="1"/>
  <c r="I59"/>
  <c r="I60"/>
  <c r="E8" i="7" l="1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E92" i="28" l="1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E36" i="25" l="1"/>
  <c r="E37"/>
  <c r="E38"/>
  <c r="E39"/>
  <c r="E40"/>
  <c r="E41"/>
  <c r="E42"/>
  <c r="E43"/>
  <c r="E44"/>
  <c r="E45"/>
  <c r="E46"/>
  <c r="E7" i="24"/>
  <c r="K31" i="47"/>
  <c r="K5"/>
  <c r="G3" i="48"/>
  <c r="K3" i="47" s="1"/>
  <c r="G4" i="48"/>
  <c r="K4" i="47" s="1"/>
  <c r="G5" i="48"/>
  <c r="G6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7"/>
  <c r="E18"/>
  <c r="E16"/>
  <c r="E163" i="17"/>
  <c r="E162"/>
  <c r="G2" i="48"/>
  <c r="K2" i="47" s="1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1"/>
  <c r="E12"/>
  <c r="E131"/>
  <c r="E132"/>
  <c r="E133"/>
  <c r="E134"/>
  <c r="E135"/>
  <c r="E136"/>
  <c r="E137"/>
  <c r="E138"/>
  <c r="E139"/>
  <c r="E140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60"/>
  <c r="G160" s="1"/>
  <c r="E161"/>
  <c r="G161" s="1"/>
  <c r="E162"/>
  <c r="G162" s="1"/>
  <c r="E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1" i="17"/>
  <c r="E73" i="13"/>
  <c r="E161" i="12"/>
  <c r="E162"/>
  <c r="E163"/>
  <c r="E160"/>
  <c r="F166"/>
  <c r="F167"/>
  <c r="F168"/>
  <c r="F169"/>
  <c r="F170"/>
  <c r="F171"/>
  <c r="F165"/>
  <c r="O142"/>
  <c r="E162" i="11"/>
  <c r="G162" s="1"/>
  <c r="E163"/>
  <c r="G163" s="1"/>
  <c r="E160"/>
  <c r="G160" s="1"/>
  <c r="E161"/>
  <c r="G161" s="1"/>
  <c r="F171"/>
  <c r="F170"/>
  <c r="F169"/>
  <c r="F168"/>
  <c r="F167"/>
  <c r="F166"/>
  <c r="F165"/>
  <c r="F164"/>
  <c r="E161" i="10"/>
  <c r="G161" s="1"/>
  <c r="E162"/>
  <c r="G162" s="1"/>
  <c r="E163"/>
  <c r="G163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s="1"/>
  <c r="E162"/>
  <c r="G162" s="1"/>
  <c r="E163"/>
  <c r="G163" s="1"/>
  <c r="E164"/>
  <c r="G164" s="1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G164" s="1"/>
  <c r="E168" i="8"/>
  <c r="F171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G163"/>
  <c r="H121" i="33"/>
  <c r="H11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E50" i="7"/>
  <c r="E51"/>
  <c r="E52"/>
  <c r="E53"/>
  <c r="E54"/>
  <c r="E55"/>
  <c r="E56"/>
  <c r="E57"/>
  <c r="E58"/>
  <c r="F171"/>
  <c r="E171" i="8" s="1"/>
  <c r="F170" i="7"/>
  <c r="E170" i="8" s="1"/>
  <c r="G170" s="1"/>
  <c r="F169" i="7"/>
  <c r="E169" i="8" s="1"/>
  <c r="F168" i="7"/>
  <c r="F167"/>
  <c r="E167" i="8" s="1"/>
  <c r="F166" i="7"/>
  <c r="E166" i="8" s="1"/>
  <c r="F165" i="7"/>
  <c r="E165" i="8" s="1"/>
  <c r="F164" i="7"/>
  <c r="E164" i="8" s="1"/>
  <c r="G164" s="1"/>
  <c r="G163" i="7"/>
  <c r="G162"/>
  <c r="G161"/>
  <c r="G160"/>
  <c r="F171" i="33"/>
  <c r="F170"/>
  <c r="F169"/>
  <c r="F168"/>
  <c r="F167"/>
  <c r="F166"/>
  <c r="F165"/>
  <c r="F164"/>
  <c r="G163"/>
  <c r="G162"/>
  <c r="G161"/>
  <c r="G160"/>
  <c r="E3" i="4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AR34"/>
  <c r="AQ34"/>
  <c r="AP34"/>
  <c r="AM34"/>
  <c r="AL34"/>
  <c r="AJ34"/>
  <c r="AI34"/>
  <c r="AH34"/>
  <c r="AD34"/>
  <c r="AC34"/>
  <c r="AB34"/>
  <c r="AA34"/>
  <c r="Y34"/>
  <c r="X34"/>
  <c r="W34"/>
  <c r="T34"/>
  <c r="V34" s="1"/>
  <c r="P34"/>
  <c r="R34" s="1"/>
  <c r="M34"/>
  <c r="O34" s="1"/>
  <c r="I34"/>
  <c r="L34" s="1"/>
  <c r="K34"/>
  <c r="G34"/>
  <c r="F34"/>
  <c r="S34" s="1"/>
  <c r="E34"/>
  <c r="D34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O34" i="1" l="1"/>
  <c r="G166" i="8"/>
  <c r="BN34" i="1"/>
  <c r="G164" i="11"/>
  <c r="G166"/>
  <c r="BM34" i="1"/>
  <c r="AF34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Z34" i="1"/>
  <c r="AK34"/>
  <c r="BO34"/>
  <c r="AE34"/>
  <c r="BP34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AG34" i="1" l="1"/>
  <c r="BQ34"/>
  <c r="E15" i="30"/>
  <c r="N8" i="2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21"/>
  <c r="N122"/>
  <c r="N123"/>
  <c r="N124"/>
  <c r="N125"/>
  <c r="N126"/>
  <c r="N127"/>
  <c r="N128"/>
  <c r="N7"/>
  <c r="E90" i="28"/>
  <c r="E74" i="27"/>
  <c r="E8" i="40" l="1"/>
  <c r="E9"/>
  <c r="E11"/>
  <c r="E12"/>
  <c r="AL43" i="44"/>
  <c r="AL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3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O31" i="12" l="1"/>
  <c r="E104" i="9" l="1"/>
  <c r="E86" i="8"/>
  <c r="E104" i="7"/>
  <c r="E88" i="33"/>
  <c r="E89"/>
  <c r="E90"/>
  <c r="E85"/>
  <c r="E86"/>
  <c r="E87"/>
  <c r="N29" i="29" l="1"/>
  <c r="N30" l="1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Y35" i="44" l="1"/>
  <c r="AB32" i="49" s="1"/>
  <c r="E86" i="29" l="1"/>
  <c r="E85"/>
  <c r="E85" i="28"/>
  <c r="E86"/>
  <c r="E87"/>
  <c r="E88"/>
  <c r="E89"/>
  <c r="G89" s="1"/>
  <c r="G90"/>
  <c r="E89" i="27" l="1"/>
  <c r="G89" s="1"/>
  <c r="E90"/>
  <c r="G90" s="1"/>
  <c r="E85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0" i="19"/>
  <c r="E134" i="15"/>
  <c r="E135"/>
  <c r="E72"/>
  <c r="E135" i="13" l="1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G163" i="18"/>
  <c r="G162"/>
  <c r="G161"/>
  <c r="G160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 s="1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E164" i="12" s="1"/>
  <c r="F164"/>
  <c r="L160" i="21" l="1"/>
  <c r="Z5" i="44"/>
  <c r="AC2" i="49" s="1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G86" s="1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Z12" i="44" l="1"/>
  <c r="AC9" i="49" s="1"/>
  <c r="Z10" i="44"/>
  <c r="AC7" i="49" s="1"/>
  <c r="Z11" i="44"/>
  <c r="AC8" i="49" s="1"/>
  <c r="Z9" i="44"/>
  <c r="AC6" i="49" s="1"/>
  <c r="D33" i="1" l="1"/>
  <c r="G89" i="29"/>
  <c r="G90"/>
  <c r="H90" s="1"/>
  <c r="J90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J90" s="1"/>
  <c r="H89"/>
  <c r="J89" s="1"/>
  <c r="H90" i="43"/>
  <c r="H89"/>
  <c r="J89" i="19" l="1"/>
  <c r="H89" i="20"/>
  <c r="J90"/>
  <c r="H90" i="21"/>
  <c r="J89" i="9"/>
  <c r="H89" i="10"/>
  <c r="J90" i="9"/>
  <c r="H90" i="10"/>
  <c r="H90" i="11" s="1"/>
  <c r="J90" s="1"/>
  <c r="J90" i="43"/>
  <c r="H90" i="31"/>
  <c r="N90" s="1"/>
  <c r="J89" i="43"/>
  <c r="H89" i="31"/>
  <c r="J89" s="1"/>
  <c r="Z8" i="44"/>
  <c r="AC5" i="49" s="1"/>
  <c r="Z6" i="44"/>
  <c r="AC3" i="49" s="1"/>
  <c r="Z7" i="44"/>
  <c r="AC4" i="49" s="1"/>
  <c r="H89" i="29"/>
  <c r="J89" s="1"/>
  <c r="H89" i="21" l="1"/>
  <c r="J89" i="20"/>
  <c r="H90" i="22"/>
  <c r="J90" i="21"/>
  <c r="Z13" i="44"/>
  <c r="AC10" i="49" s="1"/>
  <c r="J90" i="10"/>
  <c r="N89" i="31"/>
  <c r="H89" i="11"/>
  <c r="J89" s="1"/>
  <c r="J89" i="10"/>
  <c r="J90" i="31"/>
  <c r="E7" i="8"/>
  <c r="G7" s="1"/>
  <c r="E99" i="43"/>
  <c r="E100"/>
  <c r="O59" i="30"/>
  <c r="N88"/>
  <c r="E99"/>
  <c r="E98"/>
  <c r="E100"/>
  <c r="H90" i="23" l="1"/>
  <c r="J90" s="1"/>
  <c r="J90" i="22"/>
  <c r="J89" i="21"/>
  <c r="H89" i="22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E7" i="23"/>
  <c r="E8"/>
  <c r="E9"/>
  <c r="G9" s="1"/>
  <c r="G88" i="31"/>
  <c r="G86"/>
  <c r="G88" i="43"/>
  <c r="G86"/>
  <c r="Y33" i="44"/>
  <c r="AB30" i="49" s="1"/>
  <c r="G87" i="29"/>
  <c r="G88"/>
  <c r="G86"/>
  <c r="G87" i="28"/>
  <c r="G88"/>
  <c r="G86"/>
  <c r="W31" i="44" s="1"/>
  <c r="Z28" i="49" s="1"/>
  <c r="G88" i="27"/>
  <c r="G86"/>
  <c r="G87" i="40"/>
  <c r="G86"/>
  <c r="N86" s="1"/>
  <c r="G88" i="25"/>
  <c r="Y28" i="44" s="1"/>
  <c r="AB25" i="49" s="1"/>
  <c r="G86" i="25"/>
  <c r="W28" i="44" s="1"/>
  <c r="Z25" i="49" s="1"/>
  <c r="G87" i="24"/>
  <c r="G88"/>
  <c r="Y27" i="44" s="1"/>
  <c r="AB24" i="49" s="1"/>
  <c r="G86" i="24"/>
  <c r="W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6" i="12"/>
  <c r="G88" i="11"/>
  <c r="G86"/>
  <c r="G87" i="9"/>
  <c r="G86"/>
  <c r="G88" i="8"/>
  <c r="Y11" i="44" s="1"/>
  <c r="AB8" i="49" s="1"/>
  <c r="G86" i="8"/>
  <c r="G87" i="7"/>
  <c r="G86"/>
  <c r="G87" i="33"/>
  <c r="G88"/>
  <c r="G86"/>
  <c r="N86" s="1"/>
  <c r="G88" i="10"/>
  <c r="G87" i="8"/>
  <c r="G87" i="12"/>
  <c r="G87" i="20"/>
  <c r="G87" i="31"/>
  <c r="G88" i="7"/>
  <c r="Y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Y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W33" i="44" s="1"/>
  <c r="Z30" i="49" s="1"/>
  <c r="H89" i="23" l="1"/>
  <c r="J89" s="1"/>
  <c r="J89" i="22"/>
  <c r="Y13" i="44"/>
  <c r="AB10" i="49" s="1"/>
  <c r="H89" i="33"/>
  <c r="Y8" i="44"/>
  <c r="AB5" i="49" s="1"/>
  <c r="H90" i="33"/>
  <c r="X27" i="44"/>
  <c r="AA24" i="49" s="1"/>
  <c r="Z27" i="44"/>
  <c r="AC24" i="49" s="1"/>
  <c r="Z28" i="44"/>
  <c r="AC25" i="49" s="1"/>
  <c r="X28" i="44"/>
  <c r="AA25" i="49" s="1"/>
  <c r="X35" i="44"/>
  <c r="AA32" i="49" s="1"/>
  <c r="H88" i="24"/>
  <c r="J88" s="1"/>
  <c r="H86"/>
  <c r="J86" s="1"/>
  <c r="W14" i="44"/>
  <c r="Z11" i="49" s="1"/>
  <c r="W13" i="44"/>
  <c r="Z10" i="49" s="1"/>
  <c r="H86" i="9"/>
  <c r="J86" s="1"/>
  <c r="W12" i="44"/>
  <c r="Z9" i="49" s="1"/>
  <c r="H86" i="8"/>
  <c r="J86" s="1"/>
  <c r="W11" i="44"/>
  <c r="Z8" i="49" s="1"/>
  <c r="W10" i="44"/>
  <c r="Z7" i="49" s="1"/>
  <c r="X9" i="44"/>
  <c r="AA6" i="49" s="1"/>
  <c r="Y9" i="44"/>
  <c r="AB6" i="49" s="1"/>
  <c r="W9" i="44"/>
  <c r="Z6" i="49" s="1"/>
  <c r="X8" i="44"/>
  <c r="AA5" i="49" s="1"/>
  <c r="W8" i="44"/>
  <c r="Z5" i="49" s="1"/>
  <c r="W7" i="44"/>
  <c r="Z4" i="49" s="1"/>
  <c r="Y7" i="44"/>
  <c r="AB4" i="49" s="1"/>
  <c r="Y6" i="44"/>
  <c r="AB3" i="49" s="1"/>
  <c r="X6" i="44"/>
  <c r="AA3" i="49" s="1"/>
  <c r="X5" i="44"/>
  <c r="AA2" i="49" s="1"/>
  <c r="X7" i="44"/>
  <c r="AA4" i="49" s="1"/>
  <c r="W6" i="44"/>
  <c r="Z3" i="49" s="1"/>
  <c r="W5" i="44"/>
  <c r="Z2" i="49" s="1"/>
  <c r="Y5" i="44"/>
  <c r="AB2" i="49" s="1"/>
  <c r="H86" i="43"/>
  <c r="J86" s="1"/>
  <c r="W34" i="44"/>
  <c r="Z31" i="49" s="1"/>
  <c r="H86" i="29"/>
  <c r="J86" s="1"/>
  <c r="W32" i="44"/>
  <c r="Z29" i="49" s="1"/>
  <c r="H86" i="27"/>
  <c r="J86" s="1"/>
  <c r="W30" i="44"/>
  <c r="Z27" i="49" s="1"/>
  <c r="H86" i="40"/>
  <c r="J86" s="1"/>
  <c r="W29" i="44"/>
  <c r="Z26" i="49" s="1"/>
  <c r="H86" i="25"/>
  <c r="J86" s="1"/>
  <c r="W26" i="44"/>
  <c r="Z23" i="49" s="1"/>
  <c r="W25" i="44"/>
  <c r="Z22" i="49" s="1"/>
  <c r="W24" i="44"/>
  <c r="Z21" i="49" s="1"/>
  <c r="W23" i="44"/>
  <c r="Z20" i="49" s="1"/>
  <c r="H86" i="19"/>
  <c r="J86" s="1"/>
  <c r="W22" i="44"/>
  <c r="Z19" i="49" s="1"/>
  <c r="H86" i="18"/>
  <c r="J86" s="1"/>
  <c r="W21" i="44"/>
  <c r="Z18" i="49" s="1"/>
  <c r="H86" i="17"/>
  <c r="J86" s="1"/>
  <c r="W20" i="44"/>
  <c r="Z17" i="49" s="1"/>
  <c r="H86" i="16"/>
  <c r="J86" s="1"/>
  <c r="W19" i="44"/>
  <c r="Z16" i="49" s="1"/>
  <c r="H86" i="15"/>
  <c r="J86" s="1"/>
  <c r="W18" i="44"/>
  <c r="Z15" i="49" s="1"/>
  <c r="H86" i="14"/>
  <c r="J86" s="1"/>
  <c r="W17" i="44"/>
  <c r="Z14" i="49" s="1"/>
  <c r="H86" i="13"/>
  <c r="J86" s="1"/>
  <c r="W16" i="44"/>
  <c r="Z13" i="49" s="1"/>
  <c r="H86" i="12"/>
  <c r="J86" s="1"/>
  <c r="W15" i="44"/>
  <c r="Z12" i="49" s="1"/>
  <c r="X10" i="44"/>
  <c r="AA7" i="49" s="1"/>
  <c r="Y25" i="44"/>
  <c r="AB22" i="49" s="1"/>
  <c r="H87" i="13"/>
  <c r="J87" s="1"/>
  <c r="X16" i="44"/>
  <c r="AA13" i="49" s="1"/>
  <c r="Z16" i="44"/>
  <c r="AC13" i="49" s="1"/>
  <c r="Z26" i="44"/>
  <c r="AC23" i="49" s="1"/>
  <c r="X26" i="44"/>
  <c r="AA23" i="49" s="1"/>
  <c r="H87" i="12"/>
  <c r="J87" s="1"/>
  <c r="Z15" i="44"/>
  <c r="AC12" i="49" s="1"/>
  <c r="X15" i="44"/>
  <c r="AA12" i="49" s="1"/>
  <c r="Z25" i="44"/>
  <c r="AC22" i="49" s="1"/>
  <c r="X25" i="44"/>
  <c r="AA22" i="49" s="1"/>
  <c r="H88" i="18"/>
  <c r="J88" s="1"/>
  <c r="Y21" i="44"/>
  <c r="AB18" i="49" s="1"/>
  <c r="H88" i="14"/>
  <c r="J88" s="1"/>
  <c r="Y17" i="44"/>
  <c r="AB14" i="49" s="1"/>
  <c r="H88" i="9"/>
  <c r="J88" s="1"/>
  <c r="H87" i="25"/>
  <c r="J87" s="1"/>
  <c r="H87" i="43"/>
  <c r="J87" s="1"/>
  <c r="Z34" i="44"/>
  <c r="AC31" i="49" s="1"/>
  <c r="X34" i="44"/>
  <c r="AA31" i="49" s="1"/>
  <c r="Z14" i="44"/>
  <c r="AC11" i="49" s="1"/>
  <c r="X14" i="44"/>
  <c r="AA11" i="49" s="1"/>
  <c r="Z23" i="44"/>
  <c r="AC20" i="49" s="1"/>
  <c r="X23" i="44"/>
  <c r="AA20" i="49" s="1"/>
  <c r="H88" i="8"/>
  <c r="J88" s="1"/>
  <c r="Y14" i="44"/>
  <c r="AB11" i="49" s="1"/>
  <c r="H88" i="17"/>
  <c r="J88" s="1"/>
  <c r="Y20" i="44"/>
  <c r="AB17" i="49" s="1"/>
  <c r="H87" i="24"/>
  <c r="J87" s="1"/>
  <c r="H87" i="40"/>
  <c r="J87" s="1"/>
  <c r="Z29" i="44"/>
  <c r="AC26" i="49" s="1"/>
  <c r="X29" i="44"/>
  <c r="AA26" i="49" s="1"/>
  <c r="H88" i="28"/>
  <c r="J88" s="1"/>
  <c r="Y31" i="44"/>
  <c r="AB28" i="49" s="1"/>
  <c r="H87" i="29"/>
  <c r="J87" s="1"/>
  <c r="X32" i="44"/>
  <c r="AA29" i="49" s="1"/>
  <c r="Z32" i="44"/>
  <c r="AC29" i="49" s="1"/>
  <c r="W35" i="44"/>
  <c r="Z32" i="49" s="1"/>
  <c r="H87" i="18"/>
  <c r="J87" s="1"/>
  <c r="Z21" i="44"/>
  <c r="AC18" i="49" s="1"/>
  <c r="X21" i="44"/>
  <c r="AA18" i="49" s="1"/>
  <c r="H88" i="12"/>
  <c r="J88" s="1"/>
  <c r="Y15" i="44"/>
  <c r="AB12" i="49" s="1"/>
  <c r="Z35" i="44"/>
  <c r="AC32" i="49" s="1"/>
  <c r="H88" i="13"/>
  <c r="J88" s="1"/>
  <c r="Y16" i="44"/>
  <c r="AB13" i="49" s="1"/>
  <c r="H87" i="16"/>
  <c r="J87" s="1"/>
  <c r="Z19" i="44"/>
  <c r="AC16" i="49" s="1"/>
  <c r="X19" i="44"/>
  <c r="AA16" i="49" s="1"/>
  <c r="H88" i="19"/>
  <c r="J88" s="1"/>
  <c r="Y22" i="44"/>
  <c r="AB19" i="49" s="1"/>
  <c r="Y24" i="44"/>
  <c r="AB21" i="49" s="1"/>
  <c r="H88" i="29"/>
  <c r="J88" s="1"/>
  <c r="Y32" i="44"/>
  <c r="AB29" i="49" s="1"/>
  <c r="H88" i="43"/>
  <c r="J88" s="1"/>
  <c r="Y34" i="44"/>
  <c r="AB31" i="49" s="1"/>
  <c r="H88" i="40"/>
  <c r="J88" s="1"/>
  <c r="Y29" i="44"/>
  <c r="AB26" i="49" s="1"/>
  <c r="H87" i="14"/>
  <c r="J87" s="1"/>
  <c r="Z17" i="44"/>
  <c r="AC14" i="49" s="1"/>
  <c r="X17" i="44"/>
  <c r="AA14" i="49" s="1"/>
  <c r="X13" i="44"/>
  <c r="AA10" i="49" s="1"/>
  <c r="H87" i="27"/>
  <c r="J87" s="1"/>
  <c r="Z30" i="44"/>
  <c r="AC27" i="49" s="1"/>
  <c r="X30" i="44"/>
  <c r="AA27" i="49" s="1"/>
  <c r="H87" i="15"/>
  <c r="J87" s="1"/>
  <c r="Z18" i="44"/>
  <c r="AC15" i="49" s="1"/>
  <c r="X18" i="44"/>
  <c r="AA15" i="49" s="1"/>
  <c r="Z33" i="44"/>
  <c r="AC30" i="49" s="1"/>
  <c r="X33" i="44"/>
  <c r="AA30" i="49" s="1"/>
  <c r="X24" i="44"/>
  <c r="AA21" i="49" s="1"/>
  <c r="Z24" i="44"/>
  <c r="AC21" i="49" s="1"/>
  <c r="H87" i="17"/>
  <c r="J87" s="1"/>
  <c r="X20" i="44"/>
  <c r="AA17" i="49" s="1"/>
  <c r="Z20" i="44"/>
  <c r="AC17" i="49" s="1"/>
  <c r="H88" i="16"/>
  <c r="J88" s="1"/>
  <c r="Y19" i="44"/>
  <c r="AB16" i="49" s="1"/>
  <c r="H88" i="15"/>
  <c r="J88" s="1"/>
  <c r="Y18" i="44"/>
  <c r="AB15" i="49" s="1"/>
  <c r="H87" i="19"/>
  <c r="J87" s="1"/>
  <c r="Z22" i="44"/>
  <c r="AC19" i="49" s="1"/>
  <c r="X22" i="44"/>
  <c r="AA19" i="49" s="1"/>
  <c r="H87" i="8"/>
  <c r="J87" s="1"/>
  <c r="X11" i="44"/>
  <c r="AA8" i="49" s="1"/>
  <c r="H87" i="9"/>
  <c r="J87" s="1"/>
  <c r="X12" i="44"/>
  <c r="AA9" i="49" s="1"/>
  <c r="H88" i="25"/>
  <c r="J88" s="1"/>
  <c r="H88" i="27"/>
  <c r="J88" s="1"/>
  <c r="Y30" i="44"/>
  <c r="AB27" i="49" s="1"/>
  <c r="Y26" i="44"/>
  <c r="AB23" i="49" s="1"/>
  <c r="Y23" i="44"/>
  <c r="AB20" i="49" s="1"/>
  <c r="H87" i="28"/>
  <c r="J87" s="1"/>
  <c r="Z31" i="44"/>
  <c r="AC28" i="49" s="1"/>
  <c r="X31" i="44"/>
  <c r="AA28" i="49" s="1"/>
  <c r="H87" i="30"/>
  <c r="J87" s="1"/>
  <c r="H88"/>
  <c r="J88" s="1"/>
  <c r="H86"/>
  <c r="J86" s="1"/>
  <c r="H86" i="28"/>
  <c r="J86" s="1"/>
  <c r="E40" i="22"/>
  <c r="E8"/>
  <c r="H88" i="20" l="1"/>
  <c r="H86"/>
  <c r="H87"/>
  <c r="H90" i="7"/>
  <c r="J90" s="1"/>
  <c r="J90" i="33"/>
  <c r="H86" i="10"/>
  <c r="H87"/>
  <c r="H88"/>
  <c r="H89" i="7"/>
  <c r="J89" s="1"/>
  <c r="J89" i="33"/>
  <c r="H88" i="31"/>
  <c r="N88" s="1"/>
  <c r="H87"/>
  <c r="N87" s="1"/>
  <c r="H86"/>
  <c r="N86" s="1"/>
  <c r="E15" i="20"/>
  <c r="E41" i="18"/>
  <c r="E7" i="20"/>
  <c r="E8" i="17"/>
  <c r="E9"/>
  <c r="E116" i="16"/>
  <c r="E8"/>
  <c r="G8" s="1"/>
  <c r="E8" i="15"/>
  <c r="O8" i="14"/>
  <c r="O7"/>
  <c r="H86" i="21" l="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J86" i="31"/>
  <c r="J87"/>
  <c r="J88"/>
  <c r="E96" i="14"/>
  <c r="E97"/>
  <c r="E98"/>
  <c r="E99"/>
  <c r="E100"/>
  <c r="E8"/>
  <c r="E9"/>
  <c r="E10"/>
  <c r="E11"/>
  <c r="E12"/>
  <c r="E133" i="13"/>
  <c r="E136"/>
  <c r="E138"/>
  <c r="E139"/>
  <c r="E140"/>
  <c r="J87" i="21" l="1"/>
  <c r="H87" i="22"/>
  <c r="J88" i="21"/>
  <c r="H88" i="22"/>
  <c r="H86"/>
  <c r="J86" i="21"/>
  <c r="H87" i="33"/>
  <c r="H88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93"/>
  <c r="E94"/>
  <c r="E95"/>
  <c r="E96"/>
  <c r="E97"/>
  <c r="E98"/>
  <c r="E99"/>
  <c r="E100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0"/>
  <c r="E93"/>
  <c r="E95"/>
  <c r="E96"/>
  <c r="E97"/>
  <c r="E98"/>
  <c r="E99"/>
  <c r="E93" i="10"/>
  <c r="G93" s="1"/>
  <c r="E94"/>
  <c r="E95"/>
  <c r="G95" s="1"/>
  <c r="G96"/>
  <c r="G97"/>
  <c r="G98"/>
  <c r="G99"/>
  <c r="G100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G54"/>
  <c r="E55"/>
  <c r="G55" s="1"/>
  <c r="E56"/>
  <c r="G56" s="1"/>
  <c r="E57"/>
  <c r="G57" s="1"/>
  <c r="E58"/>
  <c r="G58" s="1"/>
  <c r="U13" i="44" s="1"/>
  <c r="X10" i="49" s="1"/>
  <c r="E36" i="10"/>
  <c r="G36" s="1"/>
  <c r="E37"/>
  <c r="G37" s="1"/>
  <c r="E38"/>
  <c r="G38" s="1"/>
  <c r="E39"/>
  <c r="G39" s="1"/>
  <c r="G40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E10"/>
  <c r="G10" s="1"/>
  <c r="E11"/>
  <c r="G11" s="1"/>
  <c r="E12"/>
  <c r="G12" s="1"/>
  <c r="E7"/>
  <c r="G7" s="1"/>
  <c r="E104"/>
  <c r="G104" s="1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9"/>
  <c r="G29" s="1"/>
  <c r="E35"/>
  <c r="G35" s="1"/>
  <c r="E49"/>
  <c r="G49" s="1"/>
  <c r="E50"/>
  <c r="G50" s="1"/>
  <c r="E62"/>
  <c r="G62" s="1"/>
  <c r="AA13" i="44" s="1"/>
  <c r="AD10" i="49" s="1"/>
  <c r="G63" i="10"/>
  <c r="AB13" i="44" s="1"/>
  <c r="AE10" i="49" s="1"/>
  <c r="E72" i="10"/>
  <c r="G72" s="1"/>
  <c r="E92"/>
  <c r="G92" s="1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R13" i="44" s="1"/>
  <c r="G137" i="10"/>
  <c r="G138"/>
  <c r="G139"/>
  <c r="G140"/>
  <c r="E115" i="9"/>
  <c r="E110" i="8"/>
  <c r="E111"/>
  <c r="E111" i="9"/>
  <c r="E110" i="7"/>
  <c r="G110" s="1"/>
  <c r="E111"/>
  <c r="E109"/>
  <c r="E109" i="8"/>
  <c r="E109" i="9"/>
  <c r="E110"/>
  <c r="E114"/>
  <c r="E106"/>
  <c r="E105"/>
  <c r="G105" s="1"/>
  <c r="E15"/>
  <c r="G15" s="1"/>
  <c r="E105" i="8"/>
  <c r="E115" i="7"/>
  <c r="E114"/>
  <c r="E123" i="8"/>
  <c r="E115"/>
  <c r="E114"/>
  <c r="E106"/>
  <c r="AQ13" i="44" l="1"/>
  <c r="E13"/>
  <c r="H10" i="49" s="1"/>
  <c r="F13" i="44"/>
  <c r="I10" i="49" s="1"/>
  <c r="H13" i="44"/>
  <c r="K10" i="49" s="1"/>
  <c r="B13" i="44"/>
  <c r="E10" i="49" s="1"/>
  <c r="G13" i="44"/>
  <c r="J10" i="49" s="1"/>
  <c r="I13" i="44"/>
  <c r="L10" i="49" s="1"/>
  <c r="C13" i="44"/>
  <c r="F10" i="49" s="1"/>
  <c r="D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s="1"/>
  <c r="J87" i="33"/>
  <c r="L14" i="45"/>
  <c r="H88" i="7"/>
  <c r="J88" s="1"/>
  <c r="J88" i="33"/>
  <c r="L13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H86" l="1"/>
  <c r="J86" s="1"/>
  <c r="J86" i="33"/>
  <c r="G120" i="10"/>
  <c r="F120"/>
  <c r="G149"/>
  <c r="G32"/>
  <c r="I13"/>
  <c r="G60"/>
  <c r="I60" s="1"/>
  <c r="G153"/>
  <c r="G151"/>
  <c r="G143"/>
  <c r="G147"/>
  <c r="G145"/>
  <c r="G106" i="7"/>
  <c r="G8"/>
  <c r="I59" i="10" l="1"/>
  <c r="E107" i="33"/>
  <c r="E108"/>
  <c r="E112"/>
  <c r="E113"/>
  <c r="E100"/>
  <c r="E96" l="1"/>
  <c r="E8"/>
  <c r="G8" s="1"/>
  <c r="N27" i="29" l="1"/>
  <c r="E29" i="43"/>
  <c r="N27" i="31" l="1"/>
  <c r="A3" i="46"/>
  <c r="G79" i="31"/>
  <c r="G131"/>
  <c r="G132"/>
  <c r="G133"/>
  <c r="G135"/>
  <c r="G136"/>
  <c r="G137"/>
  <c r="G139"/>
  <c r="AQ35" i="44" s="1"/>
  <c r="G140" i="31"/>
  <c r="G130"/>
  <c r="G125"/>
  <c r="G123"/>
  <c r="E108" i="30"/>
  <c r="E107"/>
  <c r="E108" i="43"/>
  <c r="G105" i="31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H35" i="44" s="1"/>
  <c r="K32" i="49" s="1"/>
  <c r="G51" i="31"/>
  <c r="G53"/>
  <c r="G54"/>
  <c r="G55"/>
  <c r="G57"/>
  <c r="G58"/>
  <c r="G49"/>
  <c r="G36"/>
  <c r="I35" i="44" s="1"/>
  <c r="L32" i="49" s="1"/>
  <c r="G37" i="31"/>
  <c r="C35" i="44" s="1"/>
  <c r="F32" i="49" s="1"/>
  <c r="G38" i="31"/>
  <c r="G39"/>
  <c r="G41"/>
  <c r="G42"/>
  <c r="G43"/>
  <c r="G35" i="44" s="1"/>
  <c r="J32" i="49" s="1"/>
  <c r="G45" i="31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35" i="44" l="1"/>
  <c r="H32" i="49" s="1"/>
  <c r="F35" i="44"/>
  <c r="I32" i="49" s="1"/>
  <c r="D35" i="44"/>
  <c r="G32" i="49" s="1"/>
  <c r="B35" i="44"/>
  <c r="E32" i="49" s="1"/>
  <c r="E28" i="31"/>
  <c r="G28" s="1"/>
  <c r="E31"/>
  <c r="G31" s="1"/>
  <c r="AH13" i="45"/>
  <c r="E27" i="31"/>
  <c r="G27" s="1"/>
  <c r="AR35" i="44"/>
  <c r="AH14" i="45"/>
  <c r="E30" i="31"/>
  <c r="G30" s="1"/>
  <c r="AA35" i="44"/>
  <c r="AD32" i="49" s="1"/>
  <c r="AB35" i="44"/>
  <c r="AE32" i="49" s="1"/>
  <c r="G68" i="31"/>
  <c r="G170"/>
  <c r="G67"/>
  <c r="G66"/>
  <c r="G168"/>
  <c r="G64"/>
  <c r="G166"/>
  <c r="U35" i="44"/>
  <c r="X32" i="49" s="1"/>
  <c r="G20" i="31"/>
  <c r="G47"/>
  <c r="G59"/>
  <c r="G94"/>
  <c r="G107"/>
  <c r="I133"/>
  <c r="G128"/>
  <c r="H128" s="1"/>
  <c r="N128" s="1"/>
  <c r="G152"/>
  <c r="G144"/>
  <c r="G101"/>
  <c r="G119"/>
  <c r="G117"/>
  <c r="I136"/>
  <c r="G150"/>
  <c r="G85"/>
  <c r="G13"/>
  <c r="G142"/>
  <c r="G146"/>
  <c r="G112"/>
  <c r="G148"/>
  <c r="I138"/>
  <c r="G118"/>
  <c r="N28" l="1"/>
  <c r="N28" i="29"/>
  <c r="G172" i="31"/>
  <c r="I13"/>
  <c r="G32"/>
  <c r="G143"/>
  <c r="G145"/>
  <c r="G149"/>
  <c r="G120"/>
  <c r="G60"/>
  <c r="G153"/>
  <c r="G147"/>
  <c r="G151"/>
  <c r="I60" l="1"/>
  <c r="I59"/>
  <c r="I8" i="29" l="1"/>
  <c r="I8" i="28" l="1"/>
  <c r="E29" i="27" l="1"/>
  <c r="I8" l="1"/>
  <c r="I8" i="40"/>
  <c r="I8" i="25"/>
  <c r="AI24" i="45"/>
  <c r="AI26"/>
  <c r="I8" i="24" l="1"/>
  <c r="I8" i="23"/>
  <c r="I8" i="22"/>
  <c r="G62" i="20"/>
  <c r="AA23" i="44" s="1"/>
  <c r="AD20" i="49" s="1"/>
  <c r="E58" i="21"/>
  <c r="I8"/>
  <c r="F4" i="45" l="1"/>
  <c r="E4"/>
  <c r="D4"/>
  <c r="J4" i="1" l="1"/>
  <c r="E8" i="43"/>
  <c r="G8" s="1"/>
  <c r="E8" i="30"/>
  <c r="G8" s="1"/>
  <c r="E8" i="28"/>
  <c r="E8" i="27"/>
  <c r="G8" i="24"/>
  <c r="E8" i="21"/>
  <c r="E8" i="20"/>
  <c r="E8" i="19"/>
  <c r="E8" i="18"/>
  <c r="K9" i="17"/>
  <c r="K8"/>
  <c r="K7"/>
  <c r="E15"/>
  <c r="G15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H15" i="44" l="1"/>
  <c r="K12" i="49" s="1"/>
  <c r="J35" i="1"/>
  <c r="P58" i="12"/>
  <c r="U15" i="44"/>
  <c r="X12" i="49" s="1"/>
  <c r="G33" i="1"/>
  <c r="P50" i="12"/>
  <c r="P8"/>
  <c r="G59"/>
  <c r="P59" s="1"/>
  <c r="E105" i="43"/>
  <c r="E106"/>
  <c r="E107"/>
  <c r="E109"/>
  <c r="E110"/>
  <c r="E111"/>
  <c r="E112"/>
  <c r="E113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G106" s="1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33"/>
  <c r="E114"/>
  <c r="E111"/>
  <c r="E110"/>
  <c r="E109"/>
  <c r="E106"/>
  <c r="E105"/>
  <c r="E104"/>
  <c r="E29"/>
  <c r="G29" s="1"/>
  <c r="E29" i="7"/>
  <c r="G29" s="1"/>
  <c r="E29" i="8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G29" i="25"/>
  <c r="E29" i="40"/>
  <c r="G29" s="1"/>
  <c r="E29" i="28"/>
  <c r="G29" s="1"/>
  <c r="E29" i="29"/>
  <c r="G29" s="1"/>
  <c r="E29" i="30"/>
  <c r="G29" s="1"/>
  <c r="G29" i="43"/>
  <c r="G29" i="13" l="1"/>
  <c r="G116" i="33"/>
  <c r="G115"/>
  <c r="G114"/>
  <c r="J113"/>
  <c r="G111"/>
  <c r="G110"/>
  <c r="G109"/>
  <c r="G106"/>
  <c r="G105"/>
  <c r="G104"/>
  <c r="G116" i="7"/>
  <c r="G115"/>
  <c r="G114"/>
  <c r="J113"/>
  <c r="G111"/>
  <c r="I20" i="45"/>
  <c r="I18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7" i="45"/>
  <c r="G104" i="9"/>
  <c r="L22" i="45"/>
  <c r="L21"/>
  <c r="L20"/>
  <c r="L18"/>
  <c r="L17"/>
  <c r="L16"/>
  <c r="G116" i="11"/>
  <c r="G115"/>
  <c r="G114"/>
  <c r="J113"/>
  <c r="G111"/>
  <c r="G110"/>
  <c r="G109"/>
  <c r="G106"/>
  <c r="G105"/>
  <c r="G116" i="12"/>
  <c r="P116" s="1"/>
  <c r="G115"/>
  <c r="G114"/>
  <c r="N13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4" i="45" s="1"/>
  <c r="G114" i="14"/>
  <c r="J113"/>
  <c r="G111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/>
  <c r="Q14" i="45" s="1"/>
  <c r="G114" i="15"/>
  <c r="Q13" i="45" s="1"/>
  <c r="J113" i="15"/>
  <c r="G111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/>
  <c r="R14" i="45" s="1"/>
  <c r="G114" i="16"/>
  <c r="R13" i="45" s="1"/>
  <c r="J113" i="16"/>
  <c r="G111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/>
  <c r="S14" i="45" s="1"/>
  <c r="G114" i="17"/>
  <c r="J113"/>
  <c r="G111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/>
  <c r="T14" i="45" s="1"/>
  <c r="G114" i="18"/>
  <c r="J113"/>
  <c r="G111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/>
  <c r="U14" i="45" s="1"/>
  <c r="G114" i="19"/>
  <c r="U13" i="45" s="1"/>
  <c r="J113" i="19"/>
  <c r="G111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/>
  <c r="G114"/>
  <c r="J113"/>
  <c r="G111"/>
  <c r="G110"/>
  <c r="G109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G115"/>
  <c r="G114"/>
  <c r="J113"/>
  <c r="G111"/>
  <c r="G110"/>
  <c r="G109"/>
  <c r="G106"/>
  <c r="G105"/>
  <c r="G104"/>
  <c r="G116" i="24"/>
  <c r="G115"/>
  <c r="Z14" i="45" s="1"/>
  <c r="G114" i="24"/>
  <c r="Z13" i="45" s="1"/>
  <c r="J113" i="24"/>
  <c r="G111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/>
  <c r="AA14" i="45" s="1"/>
  <c r="G114" i="25"/>
  <c r="J113"/>
  <c r="G111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/>
  <c r="AB14" i="45" s="1"/>
  <c r="G114" i="40"/>
  <c r="J113"/>
  <c r="G111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/>
  <c r="AC14" i="45" s="1"/>
  <c r="G114" i="27"/>
  <c r="AC13" i="45" s="1"/>
  <c r="J113" i="27"/>
  <c r="G111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/>
  <c r="AD14" i="45" s="1"/>
  <c r="G114" i="28"/>
  <c r="J113"/>
  <c r="G111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/>
  <c r="AE14" i="45" s="1"/>
  <c r="G114" i="29"/>
  <c r="J113"/>
  <c r="G111"/>
  <c r="AE22" i="45" s="1"/>
  <c r="G110" i="29"/>
  <c r="AE21" i="45" s="1"/>
  <c r="G109" i="29"/>
  <c r="AE20" i="45" s="1"/>
  <c r="AE18"/>
  <c r="G105" i="29"/>
  <c r="AE17" i="45" s="1"/>
  <c r="G104" i="29"/>
  <c r="AE16" i="45" s="1"/>
  <c r="G116" i="30"/>
  <c r="G115"/>
  <c r="G114"/>
  <c r="J113"/>
  <c r="G111"/>
  <c r="G110"/>
  <c r="G109"/>
  <c r="G106"/>
  <c r="G105"/>
  <c r="G104"/>
  <c r="G116" i="43"/>
  <c r="G115"/>
  <c r="AG14" i="45" s="1"/>
  <c r="G114" i="43"/>
  <c r="AG13" i="45" s="1"/>
  <c r="J113" i="43"/>
  <c r="G111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/>
  <c r="AH21"/>
  <c r="AH20"/>
  <c r="AH18"/>
  <c r="AH17"/>
  <c r="AH16"/>
  <c r="H116" i="33"/>
  <c r="G190" i="11"/>
  <c r="G191"/>
  <c r="G189"/>
  <c r="G185"/>
  <c r="G186"/>
  <c r="G184"/>
  <c r="G180"/>
  <c r="G181"/>
  <c r="G179"/>
  <c r="H116" i="7" l="1"/>
  <c r="H116" i="8" s="1"/>
  <c r="H116" i="9" s="1"/>
  <c r="H116" i="10" s="1"/>
  <c r="H116" i="11" s="1"/>
  <c r="W20" i="45"/>
  <c r="X21"/>
  <c r="W18"/>
  <c r="V16"/>
  <c r="V14"/>
  <c r="X20"/>
  <c r="W17"/>
  <c r="X18"/>
  <c r="W16"/>
  <c r="W14"/>
  <c r="W21"/>
  <c r="X17"/>
  <c r="V22"/>
  <c r="V18"/>
  <c r="V17"/>
  <c r="X16"/>
  <c r="X14"/>
  <c r="V21"/>
  <c r="X22"/>
  <c r="W22"/>
  <c r="V20"/>
  <c r="D14"/>
  <c r="H115" i="33"/>
  <c r="H115" i="7" s="1"/>
  <c r="H115" i="8" s="1"/>
  <c r="H115" i="9" s="1"/>
  <c r="H115" i="10" s="1"/>
  <c r="H115" i="11" s="1"/>
  <c r="D13" i="45"/>
  <c r="E21"/>
  <c r="H110" i="33"/>
  <c r="H110" i="7" s="1"/>
  <c r="H110" i="8" s="1"/>
  <c r="H110" i="9" s="1"/>
  <c r="H110" i="10" s="1"/>
  <c r="H110" i="11" s="1"/>
  <c r="G18" i="45"/>
  <c r="K16"/>
  <c r="K21"/>
  <c r="K14"/>
  <c r="J18"/>
  <c r="I16"/>
  <c r="I22"/>
  <c r="H20"/>
  <c r="G22"/>
  <c r="E16"/>
  <c r="F21"/>
  <c r="K22"/>
  <c r="J20"/>
  <c r="H16"/>
  <c r="H14"/>
  <c r="E20"/>
  <c r="H109" i="33"/>
  <c r="H109" i="7" s="1"/>
  <c r="H109" i="8" s="1"/>
  <c r="H109" i="9" s="1"/>
  <c r="H109" i="10" s="1"/>
  <c r="H109" i="11" s="1"/>
  <c r="F20" i="45"/>
  <c r="E18"/>
  <c r="H106" i="33"/>
  <c r="H106" i="7" s="1"/>
  <c r="H106" i="8" s="1"/>
  <c r="H106" i="9" s="1"/>
  <c r="H106" i="10" s="1"/>
  <c r="H106" i="11" s="1"/>
  <c r="F18" i="45"/>
  <c r="M13"/>
  <c r="K20"/>
  <c r="K13"/>
  <c r="J17"/>
  <c r="J22"/>
  <c r="I14"/>
  <c r="H18"/>
  <c r="G16"/>
  <c r="G21"/>
  <c r="G14"/>
  <c r="F16"/>
  <c r="F14"/>
  <c r="H21"/>
  <c r="E14"/>
  <c r="F13"/>
  <c r="E17"/>
  <c r="H105" i="33"/>
  <c r="H105" i="7" s="1"/>
  <c r="H105" i="8" s="1"/>
  <c r="H105" i="9" s="1"/>
  <c r="H105" i="10" s="1"/>
  <c r="H105" i="11" s="1"/>
  <c r="E22" i="45"/>
  <c r="H111" i="33"/>
  <c r="H111" i="7" s="1"/>
  <c r="H111" i="8" s="1"/>
  <c r="H111" i="9" s="1"/>
  <c r="H111" i="10" s="1"/>
  <c r="H111" i="11" s="1"/>
  <c r="F17" i="45"/>
  <c r="F22"/>
  <c r="J16"/>
  <c r="J21"/>
  <c r="I13"/>
  <c r="H17"/>
  <c r="H22"/>
  <c r="G20"/>
  <c r="M22"/>
  <c r="M21"/>
  <c r="M18"/>
  <c r="M17"/>
  <c r="M14"/>
  <c r="J14"/>
  <c r="J13"/>
  <c r="G13"/>
  <c r="E13"/>
  <c r="P115" i="12"/>
  <c r="N14" i="45"/>
  <c r="Y22"/>
  <c r="H13"/>
  <c r="Y16"/>
  <c r="AF14"/>
  <c r="AF13"/>
  <c r="H114" i="29"/>
  <c r="J114" s="1"/>
  <c r="AE13" i="45"/>
  <c r="H114" i="28"/>
  <c r="J114" s="1"/>
  <c r="AD13" i="45"/>
  <c r="H114" i="40"/>
  <c r="J114" s="1"/>
  <c r="AB13" i="45"/>
  <c r="H114" i="25"/>
  <c r="J114" s="1"/>
  <c r="AA13" i="45"/>
  <c r="Y14"/>
  <c r="Y13"/>
  <c r="Y21"/>
  <c r="Y18"/>
  <c r="Y17"/>
  <c r="X13"/>
  <c r="W13"/>
  <c r="V13"/>
  <c r="H114" i="18"/>
  <c r="J114" s="1"/>
  <c r="T13" i="45"/>
  <c r="H114" i="17"/>
  <c r="J114" s="1"/>
  <c r="S13" i="45"/>
  <c r="O14"/>
  <c r="H114" i="14"/>
  <c r="J114" s="1"/>
  <c r="P13" i="45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P109" i="12"/>
  <c r="N18" i="45"/>
  <c r="P106" i="12"/>
  <c r="H114"/>
  <c r="J114" s="1"/>
  <c r="P114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7" i="45"/>
  <c r="G112" i="23"/>
  <c r="Y20" i="45"/>
  <c r="G117" i="13"/>
  <c r="G193" i="11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G117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H114" i="43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87" i="11"/>
  <c r="G182"/>
  <c r="H114" i="20" l="1"/>
  <c r="H104" i="33"/>
  <c r="H104" i="7" s="1"/>
  <c r="H104" i="8" s="1"/>
  <c r="H104" i="9" s="1"/>
  <c r="H104" i="10" s="1"/>
  <c r="H104" i="11" s="1"/>
  <c r="H112" i="33"/>
  <c r="H112" i="7" s="1"/>
  <c r="H112" i="8" s="1"/>
  <c r="H112" i="9" s="1"/>
  <c r="H112" i="10" s="1"/>
  <c r="H112" i="11" s="1"/>
  <c r="H107" i="33"/>
  <c r="H107" i="7" s="1"/>
  <c r="H107" i="8" s="1"/>
  <c r="H107" i="9" s="1"/>
  <c r="H107" i="10" s="1"/>
  <c r="H107" i="11" s="1"/>
  <c r="G120" i="7"/>
  <c r="H117" i="33"/>
  <c r="H117" i="7" s="1"/>
  <c r="H117" i="8" s="1"/>
  <c r="H117" i="9" s="1"/>
  <c r="H117" i="10" s="1"/>
  <c r="H117" i="11" s="1"/>
  <c r="F120"/>
  <c r="J114" i="43"/>
  <c r="H114" i="31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G120" i="43"/>
  <c r="G120" i="13"/>
  <c r="F120"/>
  <c r="F120" i="33"/>
  <c r="G120"/>
  <c r="F120" i="19"/>
  <c r="G120"/>
  <c r="G120" i="15"/>
  <c r="F120"/>
  <c r="G120" i="30"/>
  <c r="N120" i="29"/>
  <c r="G120"/>
  <c r="G120" i="28"/>
  <c r="G120" i="27"/>
  <c r="G120" i="40"/>
  <c r="G120" i="25"/>
  <c r="G120" i="24"/>
  <c r="F120" i="23"/>
  <c r="G120"/>
  <c r="F120" i="22"/>
  <c r="G120"/>
  <c r="G120" i="21"/>
  <c r="F120"/>
  <c r="F120" i="20"/>
  <c r="G120"/>
  <c r="G8" i="11"/>
  <c r="G8" i="9"/>
  <c r="I8" i="20"/>
  <c r="I8" i="19"/>
  <c r="I8" i="18"/>
  <c r="I8" i="17"/>
  <c r="I7" i="16"/>
  <c r="I8"/>
  <c r="I8" i="14"/>
  <c r="I8" i="13"/>
  <c r="J114" i="20" l="1"/>
  <c r="H114" i="21"/>
  <c r="H120" i="33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H114" i="22" l="1"/>
  <c r="J114" s="1"/>
  <c r="J114" i="21"/>
  <c r="H114" i="33"/>
  <c r="G27" i="11"/>
  <c r="BF33" i="1"/>
  <c r="BI33" s="1"/>
  <c r="BE33"/>
  <c r="BD33"/>
  <c r="BC33"/>
  <c r="BB33"/>
  <c r="BA33"/>
  <c r="T33"/>
  <c r="F33"/>
  <c r="E33"/>
  <c r="H11"/>
  <c r="K11" s="1"/>
  <c r="H12"/>
  <c r="K12" s="1"/>
  <c r="H13"/>
  <c r="K13" s="1"/>
  <c r="G8" i="13"/>
  <c r="G8" i="14"/>
  <c r="G8" i="17"/>
  <c r="G8" i="18"/>
  <c r="N11" s="1"/>
  <c r="G8" i="19"/>
  <c r="N11" s="1"/>
  <c r="G8" i="20"/>
  <c r="G8" i="21"/>
  <c r="G8" i="22"/>
  <c r="G8" i="23"/>
  <c r="G8" i="25"/>
  <c r="G8" i="40"/>
  <c r="G8" i="27"/>
  <c r="G8" i="28"/>
  <c r="G8" i="29"/>
  <c r="K9" i="43"/>
  <c r="M8"/>
  <c r="H114" i="7" l="1"/>
  <c r="J114" i="33"/>
  <c r="L8" i="22"/>
  <c r="E27" i="7"/>
  <c r="G27" s="1"/>
  <c r="E27" i="8"/>
  <c r="G27" s="1"/>
  <c r="E27" i="33"/>
  <c r="G27" s="1"/>
  <c r="K33" i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35" l="1"/>
  <c r="H114" i="8"/>
  <c r="J114" i="7"/>
  <c r="K4" i="1"/>
  <c r="K35" s="1"/>
  <c r="G27" i="13"/>
  <c r="G27" i="30"/>
  <c r="M10" i="29"/>
  <c r="I7"/>
  <c r="J114" i="8" l="1"/>
  <c r="H114" i="9"/>
  <c r="N7" i="28"/>
  <c r="J114" i="9" l="1"/>
  <c r="H114" i="10"/>
  <c r="E9" i="28"/>
  <c r="G9" s="1"/>
  <c r="E10"/>
  <c r="E11"/>
  <c r="E12"/>
  <c r="L16" i="27"/>
  <c r="L19" s="1"/>
  <c r="H114" i="11" l="1"/>
  <c r="J114" s="1"/>
  <c r="J114" i="10"/>
  <c r="E23" i="27"/>
  <c r="G23" s="1"/>
  <c r="E24"/>
  <c r="G24" s="1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49" i="8" l="1"/>
  <c r="E72" l="1"/>
  <c r="E93" i="7" l="1"/>
  <c r="E7"/>
  <c r="G7" s="1"/>
  <c r="E7" i="27" l="1"/>
  <c r="G7" s="1"/>
  <c r="E94" i="40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G83"/>
  <c r="V28" i="44" s="1"/>
  <c r="Y25" i="49" s="1"/>
  <c r="E72" i="2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G23" s="1"/>
  <c r="E24"/>
  <c r="E22"/>
  <c r="E19"/>
  <c r="E18"/>
  <c r="E15"/>
  <c r="G9"/>
  <c r="E11" i="17"/>
  <c r="E12"/>
  <c r="E24" i="14"/>
  <c r="E23"/>
  <c r="E22"/>
  <c r="H28" i="44" l="1"/>
  <c r="K25" i="49" s="1"/>
  <c r="G172" i="25"/>
  <c r="E35" i="13"/>
  <c r="I7" i="9"/>
  <c r="E92" i="8"/>
  <c r="E93"/>
  <c r="I7"/>
  <c r="E132" i="43" l="1"/>
  <c r="G140" i="25"/>
  <c r="G139"/>
  <c r="G138"/>
  <c r="AT28" i="44" s="1"/>
  <c r="G137" i="25"/>
  <c r="G136"/>
  <c r="AR28" i="44" s="1"/>
  <c r="G135" i="25"/>
  <c r="G134"/>
  <c r="H134" s="1"/>
  <c r="G133"/>
  <c r="G132"/>
  <c r="G131"/>
  <c r="G130"/>
  <c r="G127"/>
  <c r="AO28" i="44" s="1"/>
  <c r="BL25" i="49" s="1"/>
  <c r="G126" i="25"/>
  <c r="AN28" i="44" s="1"/>
  <c r="BK25" i="49" s="1"/>
  <c r="G125" i="25"/>
  <c r="AM28" i="44" s="1"/>
  <c r="BJ25" i="49" s="1"/>
  <c r="G124" i="25"/>
  <c r="AL28" i="44" s="1"/>
  <c r="BI25" i="49" s="1"/>
  <c r="G123" i="25"/>
  <c r="AK28" i="44" s="1"/>
  <c r="BH25" i="49" s="1"/>
  <c r="G100" i="25"/>
  <c r="G99"/>
  <c r="G98"/>
  <c r="AA12" i="45" s="1"/>
  <c r="AA26" s="1"/>
  <c r="G97" i="25"/>
  <c r="AA10" i="45" s="1"/>
  <c r="G96" i="25"/>
  <c r="AA9" i="45" s="1"/>
  <c r="G95" i="25"/>
  <c r="AA8" i="45" s="1"/>
  <c r="AA28" s="1"/>
  <c r="G93" i="25"/>
  <c r="G92"/>
  <c r="AA7" i="45" s="1"/>
  <c r="G84" i="25"/>
  <c r="AI28" i="44" s="1"/>
  <c r="AL25" i="49" s="1"/>
  <c r="G82" i="25"/>
  <c r="T28" i="44" s="1"/>
  <c r="W25" i="49" s="1"/>
  <c r="G81" i="25"/>
  <c r="S28" i="44" s="1"/>
  <c r="V25" i="49" s="1"/>
  <c r="G80" i="25"/>
  <c r="R28" i="44" s="1"/>
  <c r="U25" i="49" s="1"/>
  <c r="G79" i="25"/>
  <c r="Q28" i="44" s="1"/>
  <c r="T25" i="49" s="1"/>
  <c r="G78" i="25"/>
  <c r="P28" i="44" s="1"/>
  <c r="S25" i="49" s="1"/>
  <c r="G77" i="25"/>
  <c r="O28" i="44" s="1"/>
  <c r="R25" i="49" s="1"/>
  <c r="G76" i="25"/>
  <c r="N28" i="44" s="1"/>
  <c r="Q25" i="49" s="1"/>
  <c r="G75" i="25"/>
  <c r="M28" i="44" s="1"/>
  <c r="P25" i="49" s="1"/>
  <c r="G74" i="25"/>
  <c r="L28" i="44" s="1"/>
  <c r="O25" i="49" s="1"/>
  <c r="G73" i="25"/>
  <c r="K28" i="44" s="1"/>
  <c r="G72" i="25"/>
  <c r="J28" i="44" s="1"/>
  <c r="G69" i="25"/>
  <c r="AH28" i="44" s="1"/>
  <c r="AK25" i="49" s="1"/>
  <c r="G68" i="25"/>
  <c r="AG28" i="44" s="1"/>
  <c r="AJ25" i="49" s="1"/>
  <c r="G67" i="25"/>
  <c r="AF28" i="44" s="1"/>
  <c r="AI25" i="49" s="1"/>
  <c r="G66" i="25"/>
  <c r="AE28" i="44" s="1"/>
  <c r="AH25" i="49" s="1"/>
  <c r="G65" i="25"/>
  <c r="AD28" i="44" s="1"/>
  <c r="AG25" i="49" s="1"/>
  <c r="G64" i="25"/>
  <c r="AC28" i="44" s="1"/>
  <c r="AF25" i="49" s="1"/>
  <c r="G63" i="25"/>
  <c r="AB28" i="44" s="1"/>
  <c r="AE25" i="49" s="1"/>
  <c r="G62" i="25"/>
  <c r="AA28" i="44" s="1"/>
  <c r="AD25" i="49" s="1"/>
  <c r="G58" i="25"/>
  <c r="U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G18"/>
  <c r="G15"/>
  <c r="G12"/>
  <c r="G11"/>
  <c r="G10"/>
  <c r="E28" l="1"/>
  <c r="G28" s="1"/>
  <c r="I28" i="44"/>
  <c r="L25" i="49" s="1"/>
  <c r="G28" i="44"/>
  <c r="J25" i="49" s="1"/>
  <c r="E28" i="44"/>
  <c r="H25" i="49" s="1"/>
  <c r="AQ28" i="44"/>
  <c r="F28"/>
  <c r="I25" i="49" s="1"/>
  <c r="C28" i="44"/>
  <c r="F25" i="49" s="1"/>
  <c r="B28" i="44"/>
  <c r="E25" i="49" s="1"/>
  <c r="D28" i="44"/>
  <c r="G25" i="49" s="1"/>
  <c r="G85" i="25"/>
  <c r="AA29" i="45"/>
  <c r="AA30" s="1"/>
  <c r="E31" i="25"/>
  <c r="G31" s="1"/>
  <c r="AA5" i="45"/>
  <c r="H137" i="25"/>
  <c r="J137" s="1"/>
  <c r="AS28" i="44"/>
  <c r="AU28" s="1"/>
  <c r="AA24" i="45"/>
  <c r="E30" i="25"/>
  <c r="G30" s="1"/>
  <c r="AA6" i="45"/>
  <c r="G119" i="25"/>
  <c r="G118"/>
  <c r="H135"/>
  <c r="J135" s="1"/>
  <c r="M27" i="1"/>
  <c r="G25" i="47" s="1"/>
  <c r="AJ28" i="44"/>
  <c r="BG25" i="49" s="1"/>
  <c r="H138" i="25"/>
  <c r="J138" s="1"/>
  <c r="G128"/>
  <c r="G150"/>
  <c r="G151" s="1"/>
  <c r="I133"/>
  <c r="G47"/>
  <c r="G144"/>
  <c r="G145" s="1"/>
  <c r="G152"/>
  <c r="G153" s="1"/>
  <c r="G13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P28" i="44" l="1"/>
  <c r="G32" i="25"/>
  <c r="I13"/>
  <c r="G60"/>
  <c r="I60" s="1"/>
  <c r="G143"/>
  <c r="G147"/>
  <c r="G149"/>
  <c r="E123" i="30"/>
  <c r="E35" i="28"/>
  <c r="G35" s="1"/>
  <c r="AW28" i="44" l="1"/>
  <c r="BM25" i="49"/>
  <c r="I59" i="25"/>
  <c r="E36" i="23" l="1"/>
  <c r="E37"/>
  <c r="E38"/>
  <c r="E39"/>
  <c r="E43"/>
  <c r="G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G172" i="16" l="1"/>
  <c r="E132" i="29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7" i="17"/>
  <c r="G97" s="1"/>
  <c r="S10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AS35" i="44"/>
  <c r="AT35"/>
  <c r="AL35"/>
  <c r="BI32" i="49" s="1"/>
  <c r="AM35" i="44"/>
  <c r="BJ32" i="49" s="1"/>
  <c r="AN35" i="44"/>
  <c r="BK32" i="49" s="1"/>
  <c r="AO35" i="44"/>
  <c r="BL32" i="49" s="1"/>
  <c r="AH9" i="45"/>
  <c r="AH10"/>
  <c r="AH12"/>
  <c r="AH26" s="1"/>
  <c r="AH8"/>
  <c r="AH28" s="1"/>
  <c r="AH7"/>
  <c r="K35" i="44"/>
  <c r="N32" i="49" s="1"/>
  <c r="N35" i="44"/>
  <c r="Q32" i="49" s="1"/>
  <c r="O35" i="44"/>
  <c r="R32" i="49" s="1"/>
  <c r="P35" i="44"/>
  <c r="S32" i="49" s="1"/>
  <c r="Q35" i="44"/>
  <c r="T32" i="49" s="1"/>
  <c r="R35" i="44"/>
  <c r="U32" i="49" s="1"/>
  <c r="S35" i="44"/>
  <c r="V32" i="49" s="1"/>
  <c r="T35" i="44"/>
  <c r="W32" i="49" s="1"/>
  <c r="V35" i="44"/>
  <c r="Y32" i="49" s="1"/>
  <c r="J35" i="44"/>
  <c r="M32" i="49" s="1"/>
  <c r="AC35" i="44"/>
  <c r="AF32" i="49" s="1"/>
  <c r="AD35" i="44"/>
  <c r="AG32" i="49" s="1"/>
  <c r="AE35" i="44"/>
  <c r="AH32" i="49" s="1"/>
  <c r="AF35" i="44"/>
  <c r="AI32" i="49" s="1"/>
  <c r="AG35" i="44"/>
  <c r="AJ32" i="49" s="1"/>
  <c r="AH35" i="44"/>
  <c r="AK32" i="49" s="1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R34" i="44" s="1"/>
  <c r="E137" i="43"/>
  <c r="G137" s="1"/>
  <c r="E138"/>
  <c r="G138" s="1"/>
  <c r="E139"/>
  <c r="G139" s="1"/>
  <c r="AQ34" i="44" s="1"/>
  <c r="E140" i="43"/>
  <c r="G140" s="1"/>
  <c r="E130"/>
  <c r="G130" s="1"/>
  <c r="E124"/>
  <c r="G124" s="1"/>
  <c r="AL34" i="44" s="1"/>
  <c r="BI31" i="49" s="1"/>
  <c r="E125" i="43"/>
  <c r="G125" s="1"/>
  <c r="AM34" i="44" s="1"/>
  <c r="BJ31" i="49" s="1"/>
  <c r="E126" i="43"/>
  <c r="G126" s="1"/>
  <c r="AN34" i="44" s="1"/>
  <c r="BK31" i="49" s="1"/>
  <c r="E127" i="43"/>
  <c r="G127" s="1"/>
  <c r="AO34" i="44" s="1"/>
  <c r="BL31" i="49" s="1"/>
  <c r="E123" i="43"/>
  <c r="G123" s="1"/>
  <c r="E96"/>
  <c r="G96" s="1"/>
  <c r="E97"/>
  <c r="G97" s="1"/>
  <c r="E98"/>
  <c r="G98" s="1"/>
  <c r="AG12" i="45" s="1"/>
  <c r="AG26" s="1"/>
  <c r="G99" i="43"/>
  <c r="E95"/>
  <c r="G95" s="1"/>
  <c r="E93"/>
  <c r="G93" s="1"/>
  <c r="E92"/>
  <c r="G92" s="1"/>
  <c r="AG7" i="45" s="1"/>
  <c r="E73" i="43"/>
  <c r="G73" s="1"/>
  <c r="K34" i="44" s="1"/>
  <c r="N31" i="49" s="1"/>
  <c r="E74" i="43"/>
  <c r="G74" s="1"/>
  <c r="L34" i="44" s="1"/>
  <c r="O31" i="49" s="1"/>
  <c r="E75" i="43"/>
  <c r="G75" s="1"/>
  <c r="M34" i="44" s="1"/>
  <c r="P31" i="49" s="1"/>
  <c r="E76" i="43"/>
  <c r="G76" s="1"/>
  <c r="N34" i="44" s="1"/>
  <c r="Q31" i="49" s="1"/>
  <c r="E77" i="43"/>
  <c r="G77" s="1"/>
  <c r="O34" i="44" s="1"/>
  <c r="R31" i="49" s="1"/>
  <c r="E78" i="43"/>
  <c r="G78" s="1"/>
  <c r="P34" i="44" s="1"/>
  <c r="S31" i="49" s="1"/>
  <c r="E79" i="43"/>
  <c r="G79" s="1"/>
  <c r="Q34" i="44" s="1"/>
  <c r="T31" i="49" s="1"/>
  <c r="E80" i="43"/>
  <c r="G80" s="1"/>
  <c r="R34" i="44" s="1"/>
  <c r="U31" i="49" s="1"/>
  <c r="E81" i="43"/>
  <c r="G81" s="1"/>
  <c r="S34" i="44" s="1"/>
  <c r="V31" i="49" s="1"/>
  <c r="E82" i="43"/>
  <c r="G82" s="1"/>
  <c r="T34" i="44" s="1"/>
  <c r="W31" i="49" s="1"/>
  <c r="E83" i="43"/>
  <c r="G83" s="1"/>
  <c r="V34" i="44" s="1"/>
  <c r="Y31" i="49" s="1"/>
  <c r="E84" i="43"/>
  <c r="G84" s="1"/>
  <c r="AI34" i="44" s="1"/>
  <c r="AL31" i="49" s="1"/>
  <c r="E72" i="43"/>
  <c r="G72" s="1"/>
  <c r="J34" i="44" s="1"/>
  <c r="M31" i="49" s="1"/>
  <c r="E63" i="43"/>
  <c r="E64"/>
  <c r="E65"/>
  <c r="E66"/>
  <c r="E67"/>
  <c r="E68"/>
  <c r="E69"/>
  <c r="E62"/>
  <c r="G50"/>
  <c r="H34" i="44" s="1"/>
  <c r="K31" i="49" s="1"/>
  <c r="G51" i="43"/>
  <c r="C34" i="44" s="1"/>
  <c r="F31" i="49" s="1"/>
  <c r="G52" i="43"/>
  <c r="D34" i="44" s="1"/>
  <c r="G31" i="49" s="1"/>
  <c r="G53" i="43"/>
  <c r="E34" i="44" s="1"/>
  <c r="H31" i="49" s="1"/>
  <c r="G54" i="43"/>
  <c r="G55"/>
  <c r="G56"/>
  <c r="G57"/>
  <c r="G58"/>
  <c r="E49"/>
  <c r="G49" s="1"/>
  <c r="B34" i="44" s="1"/>
  <c r="E31" i="49" s="1"/>
  <c r="G36" i="43"/>
  <c r="I34" i="44" s="1"/>
  <c r="L31" i="49" s="1"/>
  <c r="G37" i="43"/>
  <c r="G38"/>
  <c r="G39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I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U22" i="44" s="1"/>
  <c r="X19" i="49" s="1"/>
  <c r="E52" i="18"/>
  <c r="G52" s="1"/>
  <c r="BC20" i="1" s="1"/>
  <c r="E54" i="18"/>
  <c r="G54" s="1"/>
  <c r="BE20" i="1" s="1"/>
  <c r="E135" i="16"/>
  <c r="G135" s="1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L13" i="44"/>
  <c r="BI10" i="49" s="1"/>
  <c r="AM13" i="44"/>
  <c r="BJ10" i="49" s="1"/>
  <c r="AN13" i="44"/>
  <c r="BK10" i="49" s="1"/>
  <c r="AO13" i="44"/>
  <c r="BL10" i="49" s="1"/>
  <c r="K13" i="44"/>
  <c r="N10" i="49" s="1"/>
  <c r="L13" i="44"/>
  <c r="O10" i="49" s="1"/>
  <c r="M13" i="44"/>
  <c r="P10" i="49" s="1"/>
  <c r="N13" i="44"/>
  <c r="Q10" i="49" s="1"/>
  <c r="O13" i="44"/>
  <c r="R10" i="49" s="1"/>
  <c r="P13" i="44"/>
  <c r="S10" i="49" s="1"/>
  <c r="Q13" i="44"/>
  <c r="T10" i="49" s="1"/>
  <c r="R13" i="44"/>
  <c r="U10" i="49" s="1"/>
  <c r="S13" i="44"/>
  <c r="V10" i="49" s="1"/>
  <c r="T13" i="44"/>
  <c r="W10" i="49" s="1"/>
  <c r="V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O23" i="44" s="1"/>
  <c r="BL20" i="49" s="1"/>
  <c r="E126" i="20"/>
  <c r="G126" s="1"/>
  <c r="AN23" i="44" s="1"/>
  <c r="BK20" i="49" s="1"/>
  <c r="E125" i="20"/>
  <c r="G125" s="1"/>
  <c r="AM23" i="44" s="1"/>
  <c r="BJ20" i="49" s="1"/>
  <c r="E95" i="20"/>
  <c r="G95" s="1"/>
  <c r="V8" i="45" s="1"/>
  <c r="V28" s="1"/>
  <c r="E96" i="20"/>
  <c r="G96" s="1"/>
  <c r="E97"/>
  <c r="G97" s="1"/>
  <c r="E98"/>
  <c r="G98" s="1"/>
  <c r="V12" i="45" s="1"/>
  <c r="V26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P137" s="1"/>
  <c r="G138"/>
  <c r="P138" s="1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P45" s="1"/>
  <c r="G46"/>
  <c r="P46" s="1"/>
  <c r="G96" i="11"/>
  <c r="M9" i="45" s="1"/>
  <c r="G97" i="11"/>
  <c r="G98"/>
  <c r="M12" i="45" s="1"/>
  <c r="M26" s="1"/>
  <c r="G99" i="11"/>
  <c r="G100"/>
  <c r="G93"/>
  <c r="G73"/>
  <c r="K14" i="44" s="1"/>
  <c r="N11" i="49" s="1"/>
  <c r="G74" i="11"/>
  <c r="L14" i="44" s="1"/>
  <c r="O11" i="49" s="1"/>
  <c r="G75" i="11"/>
  <c r="M14" i="44" s="1"/>
  <c r="P11" i="49" s="1"/>
  <c r="G76" i="11"/>
  <c r="N14" i="44" s="1"/>
  <c r="Q11" i="49" s="1"/>
  <c r="G77" i="11"/>
  <c r="O14" i="44" s="1"/>
  <c r="R11" i="49" s="1"/>
  <c r="G78" i="11"/>
  <c r="P14" i="44" s="1"/>
  <c r="S11" i="49" s="1"/>
  <c r="G79" i="11"/>
  <c r="Q14" i="44" s="1"/>
  <c r="T11" i="49" s="1"/>
  <c r="G80" i="11"/>
  <c r="R14" i="44" s="1"/>
  <c r="U11" i="49" s="1"/>
  <c r="G81" i="11"/>
  <c r="S14" i="44" s="1"/>
  <c r="V11" i="49" s="1"/>
  <c r="G82" i="11"/>
  <c r="T14" i="44" s="1"/>
  <c r="W11" i="49" s="1"/>
  <c r="G83" i="11"/>
  <c r="V14" i="44" s="1"/>
  <c r="Y11" i="49" s="1"/>
  <c r="G84" i="11"/>
  <c r="AI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U14" i="44" s="1"/>
  <c r="X11" i="49" s="1"/>
  <c r="G9" i="8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U11" i="44" s="1"/>
  <c r="X8" i="49" s="1"/>
  <c r="E62" i="8"/>
  <c r="G62" s="1"/>
  <c r="AA11" i="44" s="1"/>
  <c r="AD8" i="49" s="1"/>
  <c r="E63" i="8"/>
  <c r="G63" s="1"/>
  <c r="AB11" i="44" s="1"/>
  <c r="AE8" i="49" s="1"/>
  <c r="E64" i="8"/>
  <c r="G64" s="1"/>
  <c r="AC11" i="44" s="1"/>
  <c r="AF8" i="49" s="1"/>
  <c r="E65" i="8"/>
  <c r="G65" s="1"/>
  <c r="AD11" i="44" s="1"/>
  <c r="AG8" i="49" s="1"/>
  <c r="E66" i="8"/>
  <c r="G66" s="1"/>
  <c r="AE11" i="44" s="1"/>
  <c r="AH8" i="49" s="1"/>
  <c r="E67" i="8"/>
  <c r="G67" s="1"/>
  <c r="AF11" i="44" s="1"/>
  <c r="AI8" i="49" s="1"/>
  <c r="E68" i="8"/>
  <c r="G68" s="1"/>
  <c r="AG11" i="44" s="1"/>
  <c r="AJ8" i="49" s="1"/>
  <c r="E69" i="8"/>
  <c r="G69" s="1"/>
  <c r="G72"/>
  <c r="G73"/>
  <c r="K11" i="44" s="1"/>
  <c r="N8" i="49" s="1"/>
  <c r="G74" i="8"/>
  <c r="L11" i="44" s="1"/>
  <c r="O8" i="49" s="1"/>
  <c r="G75" i="8"/>
  <c r="M11" i="44" s="1"/>
  <c r="P8" i="49" s="1"/>
  <c r="G76" i="8"/>
  <c r="N11" i="44" s="1"/>
  <c r="Q8" i="49" s="1"/>
  <c r="G77" i="8"/>
  <c r="O11" i="44" s="1"/>
  <c r="R8" i="49" s="1"/>
  <c r="G78" i="8"/>
  <c r="P11" i="44" s="1"/>
  <c r="S8" i="49" s="1"/>
  <c r="G79" i="8"/>
  <c r="Q11" i="44" s="1"/>
  <c r="T8" i="49" s="1"/>
  <c r="G80" i="8"/>
  <c r="R11" i="44" s="1"/>
  <c r="U8" i="49" s="1"/>
  <c r="G81" i="8"/>
  <c r="S11" i="44" s="1"/>
  <c r="V8" i="49" s="1"/>
  <c r="G82" i="8"/>
  <c r="T11" i="44" s="1"/>
  <c r="W8" i="49" s="1"/>
  <c r="G83" i="8"/>
  <c r="V11" i="44" s="1"/>
  <c r="Y8" i="49" s="1"/>
  <c r="G84" i="8"/>
  <c r="G92"/>
  <c r="J7" i="45" s="1"/>
  <c r="G93" i="8"/>
  <c r="E94"/>
  <c r="E95"/>
  <c r="G95" s="1"/>
  <c r="J8" i="45" s="1"/>
  <c r="J28" s="1"/>
  <c r="E96" i="8"/>
  <c r="G96" s="1"/>
  <c r="E97"/>
  <c r="G97" s="1"/>
  <c r="E98"/>
  <c r="G98" s="1"/>
  <c r="J12" i="45" s="1"/>
  <c r="J26" s="1"/>
  <c r="E99" i="8"/>
  <c r="G99" s="1"/>
  <c r="E100"/>
  <c r="G100" s="1"/>
  <c r="G123"/>
  <c r="G124"/>
  <c r="AL11" i="44" s="1"/>
  <c r="BI8" i="49" s="1"/>
  <c r="G125" i="8"/>
  <c r="AM11" i="44" s="1"/>
  <c r="BJ8" i="49" s="1"/>
  <c r="G126" i="8"/>
  <c r="AN11" i="44" s="1"/>
  <c r="BK8" i="49" s="1"/>
  <c r="G127" i="8"/>
  <c r="AO11" i="44" s="1"/>
  <c r="BL8" i="49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R11" i="44" s="1"/>
  <c r="E137" i="8"/>
  <c r="G137" s="1"/>
  <c r="AS11" i="44" s="1"/>
  <c r="E138" i="8"/>
  <c r="G138" s="1"/>
  <c r="E139"/>
  <c r="G139" s="1"/>
  <c r="E140"/>
  <c r="G140" s="1"/>
  <c r="F12" i="45"/>
  <c r="F26" s="1"/>
  <c r="F8"/>
  <c r="F28" s="1"/>
  <c r="AU6" i="1"/>
  <c r="BB6"/>
  <c r="BD6"/>
  <c r="BH6"/>
  <c r="U7" i="44"/>
  <c r="X4" i="49" s="1"/>
  <c r="AE7" i="44"/>
  <c r="AH4" i="49" s="1"/>
  <c r="J7" i="44"/>
  <c r="M4" i="49" s="1"/>
  <c r="K7" i="44"/>
  <c r="N4" i="49" s="1"/>
  <c r="L7" i="44"/>
  <c r="O4" i="49" s="1"/>
  <c r="M7" i="44"/>
  <c r="P4" i="49" s="1"/>
  <c r="N7" i="44"/>
  <c r="Q4" i="49" s="1"/>
  <c r="O7" i="44"/>
  <c r="R4" i="49" s="1"/>
  <c r="P7" i="44"/>
  <c r="S4" i="49" s="1"/>
  <c r="Q7" i="44"/>
  <c r="T4" i="49" s="1"/>
  <c r="R7" i="44"/>
  <c r="U4" i="49" s="1"/>
  <c r="S7" i="44"/>
  <c r="V4" i="49" s="1"/>
  <c r="T7" i="44"/>
  <c r="W4" i="49" s="1"/>
  <c r="V7" i="44"/>
  <c r="Y4" i="49" s="1"/>
  <c r="AI7" i="44"/>
  <c r="AL4" i="49" s="1"/>
  <c r="F7" i="45"/>
  <c r="AL7" i="44"/>
  <c r="BI4" i="49" s="1"/>
  <c r="AM7" i="44"/>
  <c r="BJ4" i="49" s="1"/>
  <c r="AN7" i="44"/>
  <c r="BK4" i="49" s="1"/>
  <c r="AO7" i="44"/>
  <c r="BL4" i="49" s="1"/>
  <c r="AB6" i="1"/>
  <c r="AD6"/>
  <c r="AR7" i="44"/>
  <c r="AS7"/>
  <c r="E70" i="14"/>
  <c r="G70" s="1"/>
  <c r="J16" i="35" s="1"/>
  <c r="G64" i="9"/>
  <c r="AC12" i="44" s="1"/>
  <c r="AF9" i="49" s="1"/>
  <c r="E140" i="23"/>
  <c r="G140" s="1"/>
  <c r="E73" i="22"/>
  <c r="G73" s="1"/>
  <c r="K25" i="44" s="1"/>
  <c r="N22" i="49" s="1"/>
  <c r="E74" i="22"/>
  <c r="G74" s="1"/>
  <c r="L25" i="44" s="1"/>
  <c r="O22" i="49" s="1"/>
  <c r="E75" i="22"/>
  <c r="G75" s="1"/>
  <c r="M25" i="44" s="1"/>
  <c r="P22" i="49" s="1"/>
  <c r="E76" i="22"/>
  <c r="G76" s="1"/>
  <c r="N25" i="44" s="1"/>
  <c r="Q22" i="49" s="1"/>
  <c r="E77" i="22"/>
  <c r="G77" s="1"/>
  <c r="O25" i="44" s="1"/>
  <c r="R22" i="49" s="1"/>
  <c r="E78" i="22"/>
  <c r="G78" s="1"/>
  <c r="P25" i="44" s="1"/>
  <c r="S22" i="49" s="1"/>
  <c r="E79" i="22"/>
  <c r="G79" s="1"/>
  <c r="Q25" i="44" s="1"/>
  <c r="T22" i="49" s="1"/>
  <c r="E80" i="22"/>
  <c r="G80" s="1"/>
  <c r="R25" i="44" s="1"/>
  <c r="U22" i="49" s="1"/>
  <c r="E81" i="22"/>
  <c r="G81" s="1"/>
  <c r="S25" i="44" s="1"/>
  <c r="V22" i="49" s="1"/>
  <c r="E82" i="22"/>
  <c r="G82" s="1"/>
  <c r="T25" i="44" s="1"/>
  <c r="W22" i="49" s="1"/>
  <c r="E83" i="22"/>
  <c r="G83" s="1"/>
  <c r="V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E63" i="19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U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R16" i="44" s="1"/>
  <c r="G137" i="13"/>
  <c r="G138"/>
  <c r="G139"/>
  <c r="G140"/>
  <c r="G96"/>
  <c r="G97"/>
  <c r="G98"/>
  <c r="G99"/>
  <c r="G100"/>
  <c r="G93"/>
  <c r="H70" i="12"/>
  <c r="E84" i="14"/>
  <c r="G84" s="1"/>
  <c r="E83"/>
  <c r="G83" s="1"/>
  <c r="V17" i="44" s="1"/>
  <c r="Y14" i="49" s="1"/>
  <c r="E82" i="14"/>
  <c r="G82" s="1"/>
  <c r="T17" i="44" s="1"/>
  <c r="W14" i="49" s="1"/>
  <c r="E81" i="14"/>
  <c r="G81" s="1"/>
  <c r="S17" i="44" s="1"/>
  <c r="V14" i="49" s="1"/>
  <c r="E80" i="14"/>
  <c r="G80" s="1"/>
  <c r="R17" i="44" s="1"/>
  <c r="U14" i="49" s="1"/>
  <c r="E79" i="14"/>
  <c r="G79" s="1"/>
  <c r="Q17" i="44" s="1"/>
  <c r="T14" i="49" s="1"/>
  <c r="E78" i="14"/>
  <c r="G78" s="1"/>
  <c r="P17" i="44" s="1"/>
  <c r="S14" i="49" s="1"/>
  <c r="E77" i="14"/>
  <c r="G77" s="1"/>
  <c r="O17" i="44" s="1"/>
  <c r="R14" i="49" s="1"/>
  <c r="E76" i="14"/>
  <c r="G76" s="1"/>
  <c r="N17" i="44" s="1"/>
  <c r="Q14" i="49" s="1"/>
  <c r="E75" i="14"/>
  <c r="G75" s="1"/>
  <c r="M17" i="44" s="1"/>
  <c r="P14" i="49" s="1"/>
  <c r="E74" i="14"/>
  <c r="G74" s="1"/>
  <c r="L17" i="44" s="1"/>
  <c r="O14" i="49" s="1"/>
  <c r="G73" i="14"/>
  <c r="K17" i="44" s="1"/>
  <c r="N14" i="49" s="1"/>
  <c r="G72" i="14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J13" i="44"/>
  <c r="M10" i="49" s="1"/>
  <c r="G84" i="9"/>
  <c r="G83"/>
  <c r="V12" i="44" s="1"/>
  <c r="Y9" i="49" s="1"/>
  <c r="G82" i="9"/>
  <c r="T12" i="44" s="1"/>
  <c r="W9" i="49" s="1"/>
  <c r="G81" i="9"/>
  <c r="S12" i="44" s="1"/>
  <c r="V9" i="49" s="1"/>
  <c r="G80" i="9"/>
  <c r="R12" i="44" s="1"/>
  <c r="U9" i="49" s="1"/>
  <c r="G79" i="9"/>
  <c r="Q12" i="44" s="1"/>
  <c r="T9" i="49" s="1"/>
  <c r="G78" i="9"/>
  <c r="P12" i="44" s="1"/>
  <c r="S9" i="49" s="1"/>
  <c r="G77" i="9"/>
  <c r="O12" i="44" s="1"/>
  <c r="R9" i="49" s="1"/>
  <c r="G76" i="9"/>
  <c r="N12" i="44" s="1"/>
  <c r="Q9" i="49" s="1"/>
  <c r="G75" i="9"/>
  <c r="M12" i="44" s="1"/>
  <c r="P9" i="49" s="1"/>
  <c r="G74" i="9"/>
  <c r="L12" i="44" s="1"/>
  <c r="O9" i="49" s="1"/>
  <c r="G73" i="9"/>
  <c r="K12" i="44" s="1"/>
  <c r="N9" i="49" s="1"/>
  <c r="E72" i="9"/>
  <c r="G72" s="1"/>
  <c r="J12" i="44" s="1"/>
  <c r="M9" i="49" s="1"/>
  <c r="E84" i="7"/>
  <c r="G84" s="1"/>
  <c r="E83"/>
  <c r="G83" s="1"/>
  <c r="V10" i="44" s="1"/>
  <c r="Y7" i="49" s="1"/>
  <c r="E82" i="7"/>
  <c r="G82" s="1"/>
  <c r="T10" i="44" s="1"/>
  <c r="W7" i="49" s="1"/>
  <c r="E81" i="7"/>
  <c r="G81" s="1"/>
  <c r="S10" i="44" s="1"/>
  <c r="V7" i="49" s="1"/>
  <c r="E80" i="7"/>
  <c r="G80" s="1"/>
  <c r="R10" i="44" s="1"/>
  <c r="U7" i="49" s="1"/>
  <c r="E79" i="7"/>
  <c r="G79" s="1"/>
  <c r="Q10" i="44" s="1"/>
  <c r="T7" i="49" s="1"/>
  <c r="E78" i="7"/>
  <c r="G78" s="1"/>
  <c r="P10" i="44" s="1"/>
  <c r="S7" i="49" s="1"/>
  <c r="E77" i="7"/>
  <c r="G77" s="1"/>
  <c r="O10" i="44" s="1"/>
  <c r="R7" i="49" s="1"/>
  <c r="E76" i="7"/>
  <c r="G76" s="1"/>
  <c r="N10" i="44" s="1"/>
  <c r="Q7" i="49" s="1"/>
  <c r="E75" i="7"/>
  <c r="G75" s="1"/>
  <c r="M10" i="44" s="1"/>
  <c r="P7" i="49" s="1"/>
  <c r="E74" i="7"/>
  <c r="G74" s="1"/>
  <c r="L10" i="44" s="1"/>
  <c r="O7" i="49" s="1"/>
  <c r="E73" i="7"/>
  <c r="G73" s="1"/>
  <c r="K10" i="44" s="1"/>
  <c r="N7" i="49" s="1"/>
  <c r="E72" i="7"/>
  <c r="G72" s="1"/>
  <c r="J10" i="44" s="1"/>
  <c r="M7" i="49" s="1"/>
  <c r="E84" i="33"/>
  <c r="G84" s="1"/>
  <c r="E83"/>
  <c r="G83" s="1"/>
  <c r="V9" i="44" s="1"/>
  <c r="Y6" i="49" s="1"/>
  <c r="E82" i="33"/>
  <c r="G82" s="1"/>
  <c r="T9" i="44" s="1"/>
  <c r="W6" i="49" s="1"/>
  <c r="E81" i="33"/>
  <c r="G81" s="1"/>
  <c r="S9" i="44" s="1"/>
  <c r="V6" i="49" s="1"/>
  <c r="E80" i="33"/>
  <c r="G80" s="1"/>
  <c r="R9" i="44" s="1"/>
  <c r="U6" i="49" s="1"/>
  <c r="E79" i="33"/>
  <c r="G79" s="1"/>
  <c r="Q9" i="44" s="1"/>
  <c r="T6" i="49" s="1"/>
  <c r="E78" i="33"/>
  <c r="G78" s="1"/>
  <c r="P9" i="44" s="1"/>
  <c r="S6" i="49" s="1"/>
  <c r="E77" i="33"/>
  <c r="G77" s="1"/>
  <c r="O9" i="44" s="1"/>
  <c r="R6" i="49" s="1"/>
  <c r="E76" i="33"/>
  <c r="G76" s="1"/>
  <c r="N9" i="44" s="1"/>
  <c r="Q6" i="49" s="1"/>
  <c r="E75" i="33"/>
  <c r="G75" s="1"/>
  <c r="M9" i="44" s="1"/>
  <c r="P6" i="49" s="1"/>
  <c r="E74" i="33"/>
  <c r="G74" s="1"/>
  <c r="L9" i="44" s="1"/>
  <c r="O6" i="49" s="1"/>
  <c r="E73" i="33"/>
  <c r="G73" s="1"/>
  <c r="K9" i="44" s="1"/>
  <c r="N6" i="49" s="1"/>
  <c r="E72" i="33"/>
  <c r="G72" s="1"/>
  <c r="J9" i="44" s="1"/>
  <c r="M6" i="49" s="1"/>
  <c r="AI8" i="44"/>
  <c r="AL5" i="49" s="1"/>
  <c r="V8" i="44"/>
  <c r="Y5" i="49" s="1"/>
  <c r="T8" i="44"/>
  <c r="W5" i="49" s="1"/>
  <c r="S8" i="44"/>
  <c r="V5" i="49" s="1"/>
  <c r="R8" i="44"/>
  <c r="U5" i="49" s="1"/>
  <c r="Q8" i="44"/>
  <c r="T5" i="49" s="1"/>
  <c r="P8" i="44"/>
  <c r="S5" i="49" s="1"/>
  <c r="O8" i="44"/>
  <c r="R5" i="49" s="1"/>
  <c r="N8" i="44"/>
  <c r="Q5" i="49" s="1"/>
  <c r="K8" i="44"/>
  <c r="N5" i="49" s="1"/>
  <c r="J8" i="44"/>
  <c r="M5" i="49" s="1"/>
  <c r="V6" i="44"/>
  <c r="Y3" i="49" s="1"/>
  <c r="T6" i="44"/>
  <c r="W3" i="49" s="1"/>
  <c r="S6" i="44"/>
  <c r="V3" i="49" s="1"/>
  <c r="R6" i="44"/>
  <c r="U3" i="49" s="1"/>
  <c r="Q6" i="44"/>
  <c r="T3" i="49" s="1"/>
  <c r="P6" i="44"/>
  <c r="S3" i="49" s="1"/>
  <c r="O6" i="44"/>
  <c r="R3" i="49" s="1"/>
  <c r="N6" i="44"/>
  <c r="Q3" i="49" s="1"/>
  <c r="M6" i="44"/>
  <c r="P3" i="49" s="1"/>
  <c r="L6" i="44"/>
  <c r="O3" i="49" s="1"/>
  <c r="K6" i="44"/>
  <c r="N3" i="49" s="1"/>
  <c r="J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R14" i="44" s="1"/>
  <c r="G137" i="11"/>
  <c r="G138"/>
  <c r="G139"/>
  <c r="G140"/>
  <c r="E124"/>
  <c r="G124" s="1"/>
  <c r="AL14" i="44" s="1"/>
  <c r="BI11" i="49" s="1"/>
  <c r="E125" i="11"/>
  <c r="G125" s="1"/>
  <c r="AM14" i="44" s="1"/>
  <c r="BJ11" i="49" s="1"/>
  <c r="E126" i="11"/>
  <c r="G126" s="1"/>
  <c r="AN14" i="44" s="1"/>
  <c r="BK11" i="49" s="1"/>
  <c r="E127" i="11"/>
  <c r="G127" s="1"/>
  <c r="AO14" i="44" s="1"/>
  <c r="BL11" i="49" s="1"/>
  <c r="G10" i="11"/>
  <c r="G11"/>
  <c r="G12"/>
  <c r="E124" i="9"/>
  <c r="G124" s="1"/>
  <c r="AL12" i="44" s="1"/>
  <c r="BI9" i="49" s="1"/>
  <c r="E125" i="9"/>
  <c r="G125" s="1"/>
  <c r="AM12" i="44" s="1"/>
  <c r="BJ9" i="49" s="1"/>
  <c r="E126" i="9"/>
  <c r="G126" s="1"/>
  <c r="AN12" i="44" s="1"/>
  <c r="BK9" i="49" s="1"/>
  <c r="E127" i="9"/>
  <c r="G127" s="1"/>
  <c r="AO12" i="44" s="1"/>
  <c r="BL9" i="49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R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G93" s="1"/>
  <c r="E92"/>
  <c r="G92" s="1"/>
  <c r="E72"/>
  <c r="G72" s="1"/>
  <c r="G69"/>
  <c r="G68"/>
  <c r="G67"/>
  <c r="G66"/>
  <c r="G65"/>
  <c r="G64"/>
  <c r="G63"/>
  <c r="AB33" i="44" s="1"/>
  <c r="AE30" i="49" s="1"/>
  <c r="E62" i="30"/>
  <c r="G58"/>
  <c r="G57"/>
  <c r="G56"/>
  <c r="G55"/>
  <c r="G54"/>
  <c r="G53"/>
  <c r="G52"/>
  <c r="G51"/>
  <c r="G50"/>
  <c r="H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3" i="44" s="1"/>
  <c r="H30" i="49" s="1"/>
  <c r="E38" i="30"/>
  <c r="G38" s="1"/>
  <c r="E37"/>
  <c r="G37" s="1"/>
  <c r="E36"/>
  <c r="G36" s="1"/>
  <c r="I33" i="44" s="1"/>
  <c r="L30" i="49" s="1"/>
  <c r="E35" i="30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G140" i="29"/>
  <c r="G139"/>
  <c r="G138"/>
  <c r="G137"/>
  <c r="AS32" i="44" s="1"/>
  <c r="G136" i="29"/>
  <c r="AR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O32" i="44" s="1"/>
  <c r="BL29" i="49" s="1"/>
  <c r="G126" i="29"/>
  <c r="AN32" i="44" s="1"/>
  <c r="BK29" i="49" s="1"/>
  <c r="G125" i="29"/>
  <c r="AM32" i="44" s="1"/>
  <c r="BJ29" i="49" s="1"/>
  <c r="G124" i="29"/>
  <c r="AL32" i="44" s="1"/>
  <c r="BI29" i="49" s="1"/>
  <c r="E123" i="29"/>
  <c r="G123" s="1"/>
  <c r="AK32" i="44" s="1"/>
  <c r="BH29" i="49" s="1"/>
  <c r="G100" i="29"/>
  <c r="G99"/>
  <c r="G98"/>
  <c r="AE12" i="45" s="1"/>
  <c r="AE26" s="1"/>
  <c r="G97" i="29"/>
  <c r="G96"/>
  <c r="E95"/>
  <c r="G95" s="1"/>
  <c r="AE8" i="45" s="1"/>
  <c r="AE28" s="1"/>
  <c r="E94" i="29"/>
  <c r="E93"/>
  <c r="G93" s="1"/>
  <c r="E92"/>
  <c r="G92" s="1"/>
  <c r="AE7" i="45" s="1"/>
  <c r="G84" i="29"/>
  <c r="AI32" i="44" s="1"/>
  <c r="AL29" i="49" s="1"/>
  <c r="G83" i="29"/>
  <c r="V32" i="44" s="1"/>
  <c r="Y29" i="49" s="1"/>
  <c r="G82" i="29"/>
  <c r="T32" i="44" s="1"/>
  <c r="W29" i="49" s="1"/>
  <c r="G81" i="29"/>
  <c r="S32" i="44" s="1"/>
  <c r="V29" i="49" s="1"/>
  <c r="G80" i="29"/>
  <c r="R32" i="44" s="1"/>
  <c r="U29" i="49" s="1"/>
  <c r="G79" i="29"/>
  <c r="Q32" i="44" s="1"/>
  <c r="T29" i="49" s="1"/>
  <c r="G78" i="29"/>
  <c r="P32" i="44" s="1"/>
  <c r="S29" i="49" s="1"/>
  <c r="G77" i="29"/>
  <c r="O32" i="44" s="1"/>
  <c r="R29" i="49" s="1"/>
  <c r="G76" i="29"/>
  <c r="N32" i="44" s="1"/>
  <c r="Q29" i="49" s="1"/>
  <c r="G75" i="29"/>
  <c r="M32" i="44" s="1"/>
  <c r="P29" i="49" s="1"/>
  <c r="G74" i="29"/>
  <c r="L32" i="44" s="1"/>
  <c r="O29" i="49" s="1"/>
  <c r="G73" i="29"/>
  <c r="K32" i="44" s="1"/>
  <c r="N29" i="49" s="1"/>
  <c r="E72" i="29"/>
  <c r="G72" s="1"/>
  <c r="J32" i="44" s="1"/>
  <c r="M29" i="49" s="1"/>
  <c r="G69" i="29"/>
  <c r="AH32" i="44" s="1"/>
  <c r="AK29" i="49" s="1"/>
  <c r="G68" i="29"/>
  <c r="AG32" i="44" s="1"/>
  <c r="AJ29" i="49" s="1"/>
  <c r="G67" i="29"/>
  <c r="AF32" i="44" s="1"/>
  <c r="AI29" i="49" s="1"/>
  <c r="G66" i="29"/>
  <c r="AE32" i="44" s="1"/>
  <c r="AH29" i="49" s="1"/>
  <c r="G65" i="29"/>
  <c r="AD32" i="44" s="1"/>
  <c r="AG29" i="49" s="1"/>
  <c r="G64" i="29"/>
  <c r="AC32" i="44" s="1"/>
  <c r="AF29" i="49" s="1"/>
  <c r="G63" i="29"/>
  <c r="AB32" i="44" s="1"/>
  <c r="AE29" i="49" s="1"/>
  <c r="E62" i="29"/>
  <c r="G58"/>
  <c r="U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4"/>
  <c r="E23"/>
  <c r="E22"/>
  <c r="G22" s="1"/>
  <c r="E19"/>
  <c r="G19" s="1"/>
  <c r="E15"/>
  <c r="G15" s="1"/>
  <c r="G12"/>
  <c r="G11"/>
  <c r="G10"/>
  <c r="G9"/>
  <c r="G140" i="28"/>
  <c r="G138"/>
  <c r="G137"/>
  <c r="G136"/>
  <c r="AR31" i="44" s="1"/>
  <c r="G135" i="28"/>
  <c r="G134"/>
  <c r="AC30" i="1" s="1"/>
  <c r="G133" i="28"/>
  <c r="AB30" i="1" s="1"/>
  <c r="G132" i="28"/>
  <c r="AA30" i="1" s="1"/>
  <c r="G131" i="28"/>
  <c r="E130"/>
  <c r="G130" s="1"/>
  <c r="G127"/>
  <c r="AO31" i="44" s="1"/>
  <c r="BL28" i="49" s="1"/>
  <c r="G126" i="28"/>
  <c r="AN31" i="44" s="1"/>
  <c r="BK28" i="49" s="1"/>
  <c r="G125" i="28"/>
  <c r="AM31" i="44" s="1"/>
  <c r="BJ28" i="49" s="1"/>
  <c r="G124" i="28"/>
  <c r="AL31" i="44" s="1"/>
  <c r="BI28" i="49" s="1"/>
  <c r="E123" i="28"/>
  <c r="G123" s="1"/>
  <c r="I123" s="1"/>
  <c r="E100"/>
  <c r="G100" s="1"/>
  <c r="E99"/>
  <c r="G99" s="1"/>
  <c r="E98"/>
  <c r="G98" s="1"/>
  <c r="AD12" i="45" s="1"/>
  <c r="AD26" s="1"/>
  <c r="E97" i="28"/>
  <c r="G97" s="1"/>
  <c r="E96"/>
  <c r="G96" s="1"/>
  <c r="AD9" i="45" s="1"/>
  <c r="E95" i="28"/>
  <c r="G95" s="1"/>
  <c r="AD8" i="45" s="1"/>
  <c r="AD28" s="1"/>
  <c r="E94" i="28"/>
  <c r="E93"/>
  <c r="G93" s="1"/>
  <c r="G92"/>
  <c r="AD7" i="45" s="1"/>
  <c r="G84" i="28"/>
  <c r="G83"/>
  <c r="V31" i="44" s="1"/>
  <c r="Y28" i="49" s="1"/>
  <c r="G82" i="28"/>
  <c r="T31" i="44" s="1"/>
  <c r="W28" i="49" s="1"/>
  <c r="G81" i="28"/>
  <c r="S31" i="44" s="1"/>
  <c r="V28" i="49" s="1"/>
  <c r="G80" i="28"/>
  <c r="R31" i="44" s="1"/>
  <c r="U28" i="49" s="1"/>
  <c r="G79" i="28"/>
  <c r="Q31" i="44" s="1"/>
  <c r="T28" i="49" s="1"/>
  <c r="G78" i="28"/>
  <c r="P31" i="44" s="1"/>
  <c r="S28" i="49" s="1"/>
  <c r="G77" i="28"/>
  <c r="O31" i="44" s="1"/>
  <c r="R28" i="49" s="1"/>
  <c r="G76" i="28"/>
  <c r="N31" i="44" s="1"/>
  <c r="Q28" i="49" s="1"/>
  <c r="G75" i="28"/>
  <c r="M31" i="44" s="1"/>
  <c r="P28" i="49" s="1"/>
  <c r="G74" i="28"/>
  <c r="L31" i="44" s="1"/>
  <c r="O28" i="49" s="1"/>
  <c r="G73" i="28"/>
  <c r="K31" i="44" s="1"/>
  <c r="N28" i="49" s="1"/>
  <c r="E72" i="28"/>
  <c r="G72" s="1"/>
  <c r="J31" i="44" s="1"/>
  <c r="M28" i="49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4" i="28"/>
  <c r="E23"/>
  <c r="E22"/>
  <c r="G22" s="1"/>
  <c r="E19"/>
  <c r="G19" s="1"/>
  <c r="E18"/>
  <c r="G12"/>
  <c r="G11"/>
  <c r="G10"/>
  <c r="G140" i="27"/>
  <c r="G139"/>
  <c r="G138"/>
  <c r="G137"/>
  <c r="G136"/>
  <c r="AR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O30" i="44" s="1"/>
  <c r="BL27" i="49" s="1"/>
  <c r="E126" i="27"/>
  <c r="G126" s="1"/>
  <c r="AN30" i="44" s="1"/>
  <c r="BK27" i="49" s="1"/>
  <c r="E125" i="27"/>
  <c r="G125" s="1"/>
  <c r="AM30" i="44" s="1"/>
  <c r="BJ27" i="49" s="1"/>
  <c r="E124" i="27"/>
  <c r="G124" s="1"/>
  <c r="AL30" i="44" s="1"/>
  <c r="BI27" i="49" s="1"/>
  <c r="E123" i="27"/>
  <c r="G123" s="1"/>
  <c r="E100"/>
  <c r="G100" s="1"/>
  <c r="E99"/>
  <c r="G99" s="1"/>
  <c r="E98"/>
  <c r="G98" s="1"/>
  <c r="AC12" i="45" s="1"/>
  <c r="AC26" s="1"/>
  <c r="E97" i="27"/>
  <c r="G97" s="1"/>
  <c r="E96"/>
  <c r="G96" s="1"/>
  <c r="E95"/>
  <c r="G95" s="1"/>
  <c r="AC8" i="45" s="1"/>
  <c r="AC28" s="1"/>
  <c r="E94" i="27"/>
  <c r="E93"/>
  <c r="G93" s="1"/>
  <c r="E92"/>
  <c r="G92" s="1"/>
  <c r="AC7" i="45" s="1"/>
  <c r="E84" i="27"/>
  <c r="G84" s="1"/>
  <c r="E83"/>
  <c r="G83" s="1"/>
  <c r="V30" i="44" s="1"/>
  <c r="Y27" i="49" s="1"/>
  <c r="E82" i="27"/>
  <c r="G82" s="1"/>
  <c r="T30" i="44" s="1"/>
  <c r="W27" i="49" s="1"/>
  <c r="E81" i="27"/>
  <c r="G81" s="1"/>
  <c r="S30" i="44" s="1"/>
  <c r="V27" i="49" s="1"/>
  <c r="E80" i="27"/>
  <c r="G80" s="1"/>
  <c r="R30" i="44" s="1"/>
  <c r="U27" i="49" s="1"/>
  <c r="E79" i="27"/>
  <c r="G79" s="1"/>
  <c r="Q30" i="44" s="1"/>
  <c r="T27" i="49" s="1"/>
  <c r="E78" i="27"/>
  <c r="G78" s="1"/>
  <c r="P30" i="44" s="1"/>
  <c r="S27" i="49" s="1"/>
  <c r="E77" i="27"/>
  <c r="G77" s="1"/>
  <c r="O30" i="44" s="1"/>
  <c r="R27" i="49" s="1"/>
  <c r="E76" i="27"/>
  <c r="G76" s="1"/>
  <c r="N30" i="44" s="1"/>
  <c r="Q27" i="49" s="1"/>
  <c r="E75" i="27"/>
  <c r="G75" s="1"/>
  <c r="M30" i="44" s="1"/>
  <c r="P27" i="49" s="1"/>
  <c r="G74" i="27"/>
  <c r="L30" i="44" s="1"/>
  <c r="O27" i="49" s="1"/>
  <c r="E73" i="27"/>
  <c r="G73" s="1"/>
  <c r="K30" i="44" s="1"/>
  <c r="N27" i="49" s="1"/>
  <c r="E72" i="27"/>
  <c r="G72" s="1"/>
  <c r="J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G139"/>
  <c r="G138"/>
  <c r="AT29" i="44" s="1"/>
  <c r="G137" i="40"/>
  <c r="AS29" i="44" s="1"/>
  <c r="G136" i="40"/>
  <c r="AR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O29" i="44" s="1"/>
  <c r="BL26" i="49" s="1"/>
  <c r="E126" i="40"/>
  <c r="G126" s="1"/>
  <c r="AN29" i="44" s="1"/>
  <c r="BK26" i="49" s="1"/>
  <c r="E125" i="40"/>
  <c r="G125" s="1"/>
  <c r="AM29" i="44" s="1"/>
  <c r="BJ26" i="49" s="1"/>
  <c r="E124" i="40"/>
  <c r="G124" s="1"/>
  <c r="AL29" i="44" s="1"/>
  <c r="BI26" i="49" s="1"/>
  <c r="E123" i="40"/>
  <c r="G123" s="1"/>
  <c r="E100"/>
  <c r="G100" s="1"/>
  <c r="E99"/>
  <c r="G99" s="1"/>
  <c r="E98"/>
  <c r="G98" s="1"/>
  <c r="AB12" i="45" s="1"/>
  <c r="AB26" s="1"/>
  <c r="E97" i="40"/>
  <c r="G97" s="1"/>
  <c r="E96"/>
  <c r="G96" s="1"/>
  <c r="E95"/>
  <c r="G95" s="1"/>
  <c r="AB8" i="45" s="1"/>
  <c r="AB28" s="1"/>
  <c r="E93" i="40"/>
  <c r="G93" s="1"/>
  <c r="E92"/>
  <c r="G92" s="1"/>
  <c r="AB7" i="45" s="1"/>
  <c r="E84" i="40"/>
  <c r="G84" s="1"/>
  <c r="E83"/>
  <c r="G83" s="1"/>
  <c r="V29" i="44" s="1"/>
  <c r="Y26" i="49" s="1"/>
  <c r="E82" i="40"/>
  <c r="G82" s="1"/>
  <c r="T29" i="44" s="1"/>
  <c r="W26" i="49" s="1"/>
  <c r="E81" i="40"/>
  <c r="G81" s="1"/>
  <c r="S29" i="44" s="1"/>
  <c r="V26" i="49" s="1"/>
  <c r="E80" i="40"/>
  <c r="G80" s="1"/>
  <c r="R29" i="44" s="1"/>
  <c r="U26" i="49" s="1"/>
  <c r="E79" i="40"/>
  <c r="G79" s="1"/>
  <c r="Q29" i="44" s="1"/>
  <c r="T26" i="49" s="1"/>
  <c r="E78" i="40"/>
  <c r="G78" s="1"/>
  <c r="P29" i="44" s="1"/>
  <c r="S26" i="49" s="1"/>
  <c r="E77" i="40"/>
  <c r="G77" s="1"/>
  <c r="O29" i="44" s="1"/>
  <c r="R26" i="49" s="1"/>
  <c r="E76" i="40"/>
  <c r="G76" s="1"/>
  <c r="N29" i="44" s="1"/>
  <c r="Q26" i="49" s="1"/>
  <c r="E75" i="40"/>
  <c r="G75" s="1"/>
  <c r="M29" i="44" s="1"/>
  <c r="P26" i="49" s="1"/>
  <c r="E74" i="40"/>
  <c r="G74" s="1"/>
  <c r="L29" i="44" s="1"/>
  <c r="O26" i="49" s="1"/>
  <c r="E73" i="40"/>
  <c r="G73" s="1"/>
  <c r="K29" i="44" s="1"/>
  <c r="N26" i="49" s="1"/>
  <c r="E72" i="40"/>
  <c r="G72" s="1"/>
  <c r="J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E22"/>
  <c r="G22" s="1"/>
  <c r="E19"/>
  <c r="G19" s="1"/>
  <c r="E18"/>
  <c r="E15"/>
  <c r="G15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G140" i="24"/>
  <c r="G139"/>
  <c r="G138"/>
  <c r="G137"/>
  <c r="G136"/>
  <c r="AR27" i="44" s="1"/>
  <c r="G135" i="24"/>
  <c r="AD26" i="1" s="1"/>
  <c r="G134" i="24"/>
  <c r="AC26" i="1" s="1"/>
  <c r="G133" i="24"/>
  <c r="AB26" i="1" s="1"/>
  <c r="G132" i="24"/>
  <c r="AA26" i="1" s="1"/>
  <c r="G131" i="24"/>
  <c r="E130"/>
  <c r="G130" s="1"/>
  <c r="G127"/>
  <c r="AO27" i="44" s="1"/>
  <c r="BL24" i="49" s="1"/>
  <c r="G126" i="24"/>
  <c r="AN27" i="44" s="1"/>
  <c r="BK24" i="49" s="1"/>
  <c r="G125" i="24"/>
  <c r="AM27" i="44" s="1"/>
  <c r="BJ24" i="49" s="1"/>
  <c r="G124" i="24"/>
  <c r="AL27" i="44" s="1"/>
  <c r="BI24" i="49" s="1"/>
  <c r="E123" i="24"/>
  <c r="G123" s="1"/>
  <c r="E100"/>
  <c r="G100" s="1"/>
  <c r="E99"/>
  <c r="G99" s="1"/>
  <c r="E98"/>
  <c r="G98" s="1"/>
  <c r="Z12" i="45" s="1"/>
  <c r="Z26" s="1"/>
  <c r="E97" i="24"/>
  <c r="G97" s="1"/>
  <c r="E96"/>
  <c r="G96" s="1"/>
  <c r="E95"/>
  <c r="G95" s="1"/>
  <c r="Z8" i="45" s="1"/>
  <c r="Z28" s="1"/>
  <c r="E94" i="24"/>
  <c r="E93"/>
  <c r="G93" s="1"/>
  <c r="E92"/>
  <c r="G92" s="1"/>
  <c r="Z7" i="45" s="1"/>
  <c r="G84" i="24"/>
  <c r="G83"/>
  <c r="V27" i="44" s="1"/>
  <c r="Y24" i="49" s="1"/>
  <c r="G82" i="24"/>
  <c r="T27" i="44" s="1"/>
  <c r="W24" i="49" s="1"/>
  <c r="G81" i="24"/>
  <c r="S27" i="44" s="1"/>
  <c r="V24" i="49" s="1"/>
  <c r="G80" i="24"/>
  <c r="R27" i="44" s="1"/>
  <c r="U24" i="49" s="1"/>
  <c r="G79" i="24"/>
  <c r="Q27" i="44" s="1"/>
  <c r="T24" i="49" s="1"/>
  <c r="G78" i="24"/>
  <c r="P27" i="44" s="1"/>
  <c r="S24" i="49" s="1"/>
  <c r="G77" i="24"/>
  <c r="O27" i="44" s="1"/>
  <c r="R24" i="49" s="1"/>
  <c r="G76" i="24"/>
  <c r="N27" i="44" s="1"/>
  <c r="Q24" i="49" s="1"/>
  <c r="G75" i="24"/>
  <c r="M27" i="44" s="1"/>
  <c r="P24" i="49" s="1"/>
  <c r="G74" i="24"/>
  <c r="L27" i="44" s="1"/>
  <c r="O24" i="49" s="1"/>
  <c r="G73" i="24"/>
  <c r="K27" i="44" s="1"/>
  <c r="E72" i="24"/>
  <c r="G72" s="1"/>
  <c r="E62"/>
  <c r="G58"/>
  <c r="U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9"/>
  <c r="G19" s="1"/>
  <c r="E18"/>
  <c r="E15"/>
  <c r="G15" s="1"/>
  <c r="G12"/>
  <c r="G11"/>
  <c r="G10"/>
  <c r="G9"/>
  <c r="G7"/>
  <c r="E139" i="23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30"/>
  <c r="G130" s="1"/>
  <c r="E127"/>
  <c r="G127" s="1"/>
  <c r="E126"/>
  <c r="G126" s="1"/>
  <c r="E125"/>
  <c r="G125" s="1"/>
  <c r="E124"/>
  <c r="G124" s="1"/>
  <c r="E123"/>
  <c r="G123" s="1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E92"/>
  <c r="G92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G7"/>
  <c r="E140" i="22"/>
  <c r="G140" s="1"/>
  <c r="E139"/>
  <c r="G139" s="1"/>
  <c r="E138"/>
  <c r="G138" s="1"/>
  <c r="AT25" i="44" s="1"/>
  <c r="E137" i="22"/>
  <c r="G137" s="1"/>
  <c r="E136"/>
  <c r="G136" s="1"/>
  <c r="AR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O25" i="44" s="1"/>
  <c r="BL22" i="49" s="1"/>
  <c r="E126" i="22"/>
  <c r="G126" s="1"/>
  <c r="AN25" i="44" s="1"/>
  <c r="BK22" i="49" s="1"/>
  <c r="E125" i="22"/>
  <c r="G125" s="1"/>
  <c r="AM25" i="44" s="1"/>
  <c r="BJ22" i="49" s="1"/>
  <c r="E124" i="22"/>
  <c r="G124" s="1"/>
  <c r="AL25" i="44" s="1"/>
  <c r="BI22" i="49" s="1"/>
  <c r="E123" i="22"/>
  <c r="G123" s="1"/>
  <c r="E100"/>
  <c r="G100" s="1"/>
  <c r="E99"/>
  <c r="G99" s="1"/>
  <c r="E98"/>
  <c r="G98" s="1"/>
  <c r="X12" i="45" s="1"/>
  <c r="X26" s="1"/>
  <c r="E97" i="22"/>
  <c r="G97" s="1"/>
  <c r="E96"/>
  <c r="G96" s="1"/>
  <c r="E95"/>
  <c r="G95" s="1"/>
  <c r="X8" i="45" s="1"/>
  <c r="X28" s="1"/>
  <c r="E94" i="22"/>
  <c r="E93"/>
  <c r="G93" s="1"/>
  <c r="E92"/>
  <c r="G92" s="1"/>
  <c r="X7" i="45" s="1"/>
  <c r="E72" i="22"/>
  <c r="G72" s="1"/>
  <c r="J25" i="44" s="1"/>
  <c r="M22" i="49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1"/>
  <c r="G139"/>
  <c r="G138"/>
  <c r="AT24" i="44" s="1"/>
  <c r="G137" i="21"/>
  <c r="G136"/>
  <c r="AR24" i="44" s="1"/>
  <c r="G135" i="21"/>
  <c r="AD23" i="1" s="1"/>
  <c r="G134" i="21"/>
  <c r="G133"/>
  <c r="AB23" i="1" s="1"/>
  <c r="G132" i="21"/>
  <c r="G131"/>
  <c r="E130"/>
  <c r="G130" s="1"/>
  <c r="E127"/>
  <c r="G127" s="1"/>
  <c r="AO24" i="44" s="1"/>
  <c r="BL21" i="49" s="1"/>
  <c r="E126" i="21"/>
  <c r="G126" s="1"/>
  <c r="AN24" i="44" s="1"/>
  <c r="BK21" i="49" s="1"/>
  <c r="E125" i="21"/>
  <c r="G125" s="1"/>
  <c r="AM24" i="44" s="1"/>
  <c r="BJ21" i="49" s="1"/>
  <c r="E124" i="21"/>
  <c r="G124" s="1"/>
  <c r="AL24" i="44" s="1"/>
  <c r="BI21" i="49" s="1"/>
  <c r="E123" i="21"/>
  <c r="G123" s="1"/>
  <c r="E100"/>
  <c r="G100" s="1"/>
  <c r="E99"/>
  <c r="G99" s="1"/>
  <c r="E98"/>
  <c r="G98" s="1"/>
  <c r="W12" i="45" s="1"/>
  <c r="W26" s="1"/>
  <c r="E97" i="21"/>
  <c r="G97" s="1"/>
  <c r="E96"/>
  <c r="G96" s="1"/>
  <c r="E95"/>
  <c r="G95" s="1"/>
  <c r="W8" i="45" s="1"/>
  <c r="W28" s="1"/>
  <c r="E94" i="21"/>
  <c r="E93"/>
  <c r="G93" s="1"/>
  <c r="E92"/>
  <c r="G92" s="1"/>
  <c r="W7" i="45" s="1"/>
  <c r="E84" i="21"/>
  <c r="G84" s="1"/>
  <c r="E83"/>
  <c r="G83" s="1"/>
  <c r="V24" i="44" s="1"/>
  <c r="Y21" i="49" s="1"/>
  <c r="E82" i="21"/>
  <c r="G82" s="1"/>
  <c r="T24" i="44" s="1"/>
  <c r="W21" i="49" s="1"/>
  <c r="E81" i="21"/>
  <c r="G81" s="1"/>
  <c r="S24" i="44" s="1"/>
  <c r="V21" i="49" s="1"/>
  <c r="E80" i="21"/>
  <c r="G80" s="1"/>
  <c r="R24" i="44" s="1"/>
  <c r="U21" i="49" s="1"/>
  <c r="E79" i="21"/>
  <c r="G79" s="1"/>
  <c r="Q24" i="44" s="1"/>
  <c r="T21" i="49" s="1"/>
  <c r="E78" i="21"/>
  <c r="G78" s="1"/>
  <c r="P24" i="44" s="1"/>
  <c r="S21" i="49" s="1"/>
  <c r="G77" i="21"/>
  <c r="O24" i="44" s="1"/>
  <c r="R21" i="49" s="1"/>
  <c r="Q21"/>
  <c r="G75" i="21"/>
  <c r="M24" i="44" s="1"/>
  <c r="P21" i="49" s="1"/>
  <c r="G74" i="21"/>
  <c r="L24" i="44" s="1"/>
  <c r="O21" i="49" s="1"/>
  <c r="G73" i="21"/>
  <c r="K24" i="44" s="1"/>
  <c r="N21" i="49" s="1"/>
  <c r="E72" i="21"/>
  <c r="G72" s="1"/>
  <c r="J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G138"/>
  <c r="G137"/>
  <c r="G136"/>
  <c r="AR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L23" i="44" s="1"/>
  <c r="BI20" i="49" s="1"/>
  <c r="E123" i="20"/>
  <c r="G123" s="1"/>
  <c r="E94"/>
  <c r="E93"/>
  <c r="G93" s="1"/>
  <c r="E92"/>
  <c r="G92" s="1"/>
  <c r="V7" i="45" s="1"/>
  <c r="G84" i="20"/>
  <c r="G83"/>
  <c r="V23" i="44" s="1"/>
  <c r="Y20" i="49" s="1"/>
  <c r="G82" i="20"/>
  <c r="T23" i="44" s="1"/>
  <c r="W20" i="49" s="1"/>
  <c r="G81" i="20"/>
  <c r="S23" i="44" s="1"/>
  <c r="V20" i="49" s="1"/>
  <c r="G80" i="20"/>
  <c r="R23" i="44" s="1"/>
  <c r="U20" i="49" s="1"/>
  <c r="G79" i="20"/>
  <c r="Q23" i="44" s="1"/>
  <c r="T20" i="49" s="1"/>
  <c r="G78" i="20"/>
  <c r="P23" i="44" s="1"/>
  <c r="S20" i="49" s="1"/>
  <c r="G77" i="20"/>
  <c r="O23" i="44" s="1"/>
  <c r="R20" i="49" s="1"/>
  <c r="G76" i="20"/>
  <c r="G75"/>
  <c r="M23" i="44" s="1"/>
  <c r="P20" i="49" s="1"/>
  <c r="G74" i="20"/>
  <c r="L23" i="44" s="1"/>
  <c r="O20" i="49" s="1"/>
  <c r="G73" i="20"/>
  <c r="K23" i="44" s="1"/>
  <c r="N20" i="49" s="1"/>
  <c r="E72" i="20"/>
  <c r="G72" s="1"/>
  <c r="J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E9"/>
  <c r="G9" s="1"/>
  <c r="G7"/>
  <c r="E140" i="19"/>
  <c r="E139"/>
  <c r="E138"/>
  <c r="E137"/>
  <c r="G137" s="1"/>
  <c r="E136"/>
  <c r="G136" s="1"/>
  <c r="AR22" i="44" s="1"/>
  <c r="E135" i="19"/>
  <c r="E134"/>
  <c r="E133"/>
  <c r="E131"/>
  <c r="G131" s="1"/>
  <c r="E130"/>
  <c r="G130" s="1"/>
  <c r="E127"/>
  <c r="G127" s="1"/>
  <c r="AO22" i="44" s="1"/>
  <c r="BL19" i="49" s="1"/>
  <c r="E126" i="19"/>
  <c r="G126" s="1"/>
  <c r="AN22" i="44" s="1"/>
  <c r="BK19" i="49" s="1"/>
  <c r="E125" i="19"/>
  <c r="G125" s="1"/>
  <c r="AM22" i="44" s="1"/>
  <c r="BJ19" i="49" s="1"/>
  <c r="E124" i="19"/>
  <c r="G124" s="1"/>
  <c r="AL22" i="44" s="1"/>
  <c r="BI19" i="49" s="1"/>
  <c r="E123" i="19"/>
  <c r="G123" s="1"/>
  <c r="E100"/>
  <c r="G100" s="1"/>
  <c r="E99"/>
  <c r="G99" s="1"/>
  <c r="E98"/>
  <c r="G98" s="1"/>
  <c r="U12" i="45" s="1"/>
  <c r="U26" s="1"/>
  <c r="E97" i="19"/>
  <c r="G97" s="1"/>
  <c r="E96"/>
  <c r="G96" s="1"/>
  <c r="E95"/>
  <c r="G95" s="1"/>
  <c r="U8" i="45" s="1"/>
  <c r="U28" s="1"/>
  <c r="E94" i="19"/>
  <c r="E93"/>
  <c r="G93" s="1"/>
  <c r="E92"/>
  <c r="G92" s="1"/>
  <c r="U7" i="45" s="1"/>
  <c r="E84" i="19"/>
  <c r="G84" s="1"/>
  <c r="E83"/>
  <c r="G83" s="1"/>
  <c r="V22" i="44" s="1"/>
  <c r="Y19" i="49" s="1"/>
  <c r="E82" i="19"/>
  <c r="G82" s="1"/>
  <c r="T22" i="44" s="1"/>
  <c r="W19" i="49" s="1"/>
  <c r="E81" i="19"/>
  <c r="G81" s="1"/>
  <c r="S22" i="44" s="1"/>
  <c r="V19" i="49" s="1"/>
  <c r="E80" i="19"/>
  <c r="G80" s="1"/>
  <c r="R22" i="44" s="1"/>
  <c r="U19" i="49" s="1"/>
  <c r="E79" i="19"/>
  <c r="G79" s="1"/>
  <c r="Q22" i="44" s="1"/>
  <c r="T19" i="49" s="1"/>
  <c r="E78" i="19"/>
  <c r="G78" s="1"/>
  <c r="P22" i="44" s="1"/>
  <c r="S19" i="49" s="1"/>
  <c r="E77" i="19"/>
  <c r="G77" s="1"/>
  <c r="O22" i="44" s="1"/>
  <c r="R19" i="49" s="1"/>
  <c r="E76" i="19"/>
  <c r="G76" s="1"/>
  <c r="N22" i="44" s="1"/>
  <c r="Q19" i="49" s="1"/>
  <c r="E75" i="19"/>
  <c r="G75" s="1"/>
  <c r="M22" i="44" s="1"/>
  <c r="P19" i="49" s="1"/>
  <c r="E74" i="19"/>
  <c r="G74" s="1"/>
  <c r="L22" i="44" s="1"/>
  <c r="O19" i="49" s="1"/>
  <c r="E73" i="19"/>
  <c r="G73" s="1"/>
  <c r="K22" i="44" s="1"/>
  <c r="N19" i="49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E139"/>
  <c r="E138"/>
  <c r="G138" s="1"/>
  <c r="E137"/>
  <c r="G137" s="1"/>
  <c r="E136"/>
  <c r="G136" s="1"/>
  <c r="AR21" i="44" s="1"/>
  <c r="E135" i="18"/>
  <c r="E134"/>
  <c r="G134" s="1"/>
  <c r="E133"/>
  <c r="E132"/>
  <c r="E131"/>
  <c r="G131" s="1"/>
  <c r="E130"/>
  <c r="G130" s="1"/>
  <c r="E127"/>
  <c r="G127" s="1"/>
  <c r="AO21" i="44" s="1"/>
  <c r="BL18" i="49" s="1"/>
  <c r="E126" i="18"/>
  <c r="G126" s="1"/>
  <c r="AN21" i="44" s="1"/>
  <c r="BK18" i="49" s="1"/>
  <c r="E125" i="18"/>
  <c r="G125" s="1"/>
  <c r="AM21" i="44" s="1"/>
  <c r="BJ18" i="49" s="1"/>
  <c r="E124" i="18"/>
  <c r="G124" s="1"/>
  <c r="AL21" i="44" s="1"/>
  <c r="BI18" i="49" s="1"/>
  <c r="E123" i="18"/>
  <c r="G123" s="1"/>
  <c r="E100"/>
  <c r="G100" s="1"/>
  <c r="E99"/>
  <c r="G99" s="1"/>
  <c r="E98"/>
  <c r="G98" s="1"/>
  <c r="T12" i="45" s="1"/>
  <c r="T26" s="1"/>
  <c r="G97" i="18"/>
  <c r="E96"/>
  <c r="G96" s="1"/>
  <c r="E95"/>
  <c r="G95" s="1"/>
  <c r="T8" i="45" s="1"/>
  <c r="E94" i="18"/>
  <c r="E93"/>
  <c r="G93" s="1"/>
  <c r="E92"/>
  <c r="G92" s="1"/>
  <c r="T7" i="45" s="1"/>
  <c r="E84" i="18"/>
  <c r="G84" s="1"/>
  <c r="E83"/>
  <c r="G83" s="1"/>
  <c r="V21" i="44" s="1"/>
  <c r="Y18" i="49" s="1"/>
  <c r="E82" i="18"/>
  <c r="G82" s="1"/>
  <c r="T21" i="44" s="1"/>
  <c r="W18" i="49" s="1"/>
  <c r="E81" i="18"/>
  <c r="G81" s="1"/>
  <c r="S21" i="44" s="1"/>
  <c r="V18" i="49" s="1"/>
  <c r="E80" i="18"/>
  <c r="G80" s="1"/>
  <c r="R21" i="44" s="1"/>
  <c r="U18" i="49" s="1"/>
  <c r="E79" i="18"/>
  <c r="G79" s="1"/>
  <c r="Q21" i="44" s="1"/>
  <c r="T18" i="49" s="1"/>
  <c r="E78" i="18"/>
  <c r="G78" s="1"/>
  <c r="P21" i="44" s="1"/>
  <c r="S18" i="49" s="1"/>
  <c r="E77" i="18"/>
  <c r="G77" s="1"/>
  <c r="O21" i="44" s="1"/>
  <c r="R18" i="49" s="1"/>
  <c r="E76" i="18"/>
  <c r="G76" s="1"/>
  <c r="N21" i="44" s="1"/>
  <c r="Q18" i="49" s="1"/>
  <c r="E75" i="18"/>
  <c r="G75" s="1"/>
  <c r="M21" i="44" s="1"/>
  <c r="P18" i="49" s="1"/>
  <c r="E74" i="18"/>
  <c r="G74" s="1"/>
  <c r="L21" i="44" s="1"/>
  <c r="O18" i="49" s="1"/>
  <c r="E73" i="18"/>
  <c r="G73" s="1"/>
  <c r="K21" i="44" s="1"/>
  <c r="N18" i="49" s="1"/>
  <c r="E72" i="18"/>
  <c r="G72" s="1"/>
  <c r="E69"/>
  <c r="E68"/>
  <c r="E67"/>
  <c r="E66"/>
  <c r="E65"/>
  <c r="E64"/>
  <c r="E63"/>
  <c r="E62"/>
  <c r="E58"/>
  <c r="G58" s="1"/>
  <c r="U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H21" i="44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I21" i="44" s="1"/>
  <c r="E35" i="18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E138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O20" i="44" s="1"/>
  <c r="BL17" i="49" s="1"/>
  <c r="E126" i="17"/>
  <c r="G126" s="1"/>
  <c r="AN20" i="44" s="1"/>
  <c r="BK17" i="49" s="1"/>
  <c r="E125" i="17"/>
  <c r="G125" s="1"/>
  <c r="AM20" i="44" s="1"/>
  <c r="BJ17" i="49" s="1"/>
  <c r="E124" i="17"/>
  <c r="G124" s="1"/>
  <c r="AL20" i="44" s="1"/>
  <c r="BI17" i="49" s="1"/>
  <c r="E123" i="17"/>
  <c r="G123" s="1"/>
  <c r="E98"/>
  <c r="G98" s="1"/>
  <c r="S12" i="45" s="1"/>
  <c r="S26" s="1"/>
  <c r="E95" i="17"/>
  <c r="G95" s="1"/>
  <c r="S8" i="45" s="1"/>
  <c r="S28" s="1"/>
  <c r="E94" i="17"/>
  <c r="E93"/>
  <c r="G93" s="1"/>
  <c r="E92"/>
  <c r="G92" s="1"/>
  <c r="S7" i="45" s="1"/>
  <c r="E84" i="17"/>
  <c r="G84" s="1"/>
  <c r="E83"/>
  <c r="G83" s="1"/>
  <c r="V20" i="44" s="1"/>
  <c r="Y17" i="49" s="1"/>
  <c r="E82" i="17"/>
  <c r="G82" s="1"/>
  <c r="T20" i="44" s="1"/>
  <c r="W17" i="49" s="1"/>
  <c r="E81" i="17"/>
  <c r="G81" s="1"/>
  <c r="S20" i="44" s="1"/>
  <c r="V17" i="49" s="1"/>
  <c r="E80" i="17"/>
  <c r="G80" s="1"/>
  <c r="R20" i="44" s="1"/>
  <c r="U17" i="49" s="1"/>
  <c r="E79" i="17"/>
  <c r="G79" s="1"/>
  <c r="Q20" i="44" s="1"/>
  <c r="T17" i="49" s="1"/>
  <c r="E78" i="17"/>
  <c r="G78" s="1"/>
  <c r="P20" i="44" s="1"/>
  <c r="S17" i="49" s="1"/>
  <c r="E77" i="17"/>
  <c r="G77" s="1"/>
  <c r="O20" i="44" s="1"/>
  <c r="R17" i="49" s="1"/>
  <c r="E76" i="17"/>
  <c r="G76" s="1"/>
  <c r="N20" i="44" s="1"/>
  <c r="Q17" i="49" s="1"/>
  <c r="E75" i="17"/>
  <c r="G75" s="1"/>
  <c r="M20" i="44" s="1"/>
  <c r="P17" i="49" s="1"/>
  <c r="E74" i="17"/>
  <c r="G74" s="1"/>
  <c r="L20" i="44" s="1"/>
  <c r="O17" i="49" s="1"/>
  <c r="E73" i="17"/>
  <c r="G73" s="1"/>
  <c r="K20" i="44" s="1"/>
  <c r="N17" i="49" s="1"/>
  <c r="G72" i="17"/>
  <c r="J20" i="44" s="1"/>
  <c r="M17" i="49" s="1"/>
  <c r="G69" i="17"/>
  <c r="AH20" i="44" s="1"/>
  <c r="AK17" i="49" s="1"/>
  <c r="G68" i="17"/>
  <c r="AG20" i="44" s="1"/>
  <c r="AJ17" i="49" s="1"/>
  <c r="G67" i="17"/>
  <c r="AF20" i="44" s="1"/>
  <c r="AI17" i="49" s="1"/>
  <c r="G66" i="17"/>
  <c r="AE20" i="44" s="1"/>
  <c r="AH17" i="49" s="1"/>
  <c r="G65" i="17"/>
  <c r="AD20" i="44" s="1"/>
  <c r="AG17" i="49" s="1"/>
  <c r="G63" i="17"/>
  <c r="AB20" i="44" s="1"/>
  <c r="AE17" i="49" s="1"/>
  <c r="G62" i="17"/>
  <c r="AA20" i="44" s="1"/>
  <c r="AD17" i="49" s="1"/>
  <c r="G49" i="17"/>
  <c r="G35"/>
  <c r="E24"/>
  <c r="E23"/>
  <c r="E22"/>
  <c r="G22" s="1"/>
  <c r="G12"/>
  <c r="G11"/>
  <c r="G10"/>
  <c r="N11" s="1"/>
  <c r="G9"/>
  <c r="G7"/>
  <c r="E140" i="16"/>
  <c r="G140" s="1"/>
  <c r="E139"/>
  <c r="G139" s="1"/>
  <c r="E138"/>
  <c r="G138" s="1"/>
  <c r="E137"/>
  <c r="G137" s="1"/>
  <c r="E136"/>
  <c r="G136" s="1"/>
  <c r="AR19" i="44" s="1"/>
  <c r="E134" i="16"/>
  <c r="G134" s="1"/>
  <c r="E133"/>
  <c r="G133" s="1"/>
  <c r="E132"/>
  <c r="G132" s="1"/>
  <c r="AA18" i="1" s="1"/>
  <c r="E131" i="16"/>
  <c r="G131" s="1"/>
  <c r="E130"/>
  <c r="G130" s="1"/>
  <c r="E127"/>
  <c r="G127" s="1"/>
  <c r="AO19" i="44" s="1"/>
  <c r="BL16" i="49" s="1"/>
  <c r="E126" i="16"/>
  <c r="G126" s="1"/>
  <c r="AN19" i="44" s="1"/>
  <c r="BK16" i="49" s="1"/>
  <c r="G125" i="16"/>
  <c r="AM19" i="44" s="1"/>
  <c r="BJ16" i="49" s="1"/>
  <c r="E124" i="16"/>
  <c r="G124" s="1"/>
  <c r="AL19" i="44" s="1"/>
  <c r="BI16" i="49" s="1"/>
  <c r="E123" i="16"/>
  <c r="G123" s="1"/>
  <c r="E100"/>
  <c r="G100" s="1"/>
  <c r="E99"/>
  <c r="G99" s="1"/>
  <c r="E98"/>
  <c r="G98" s="1"/>
  <c r="R12" i="45" s="1"/>
  <c r="R26" s="1"/>
  <c r="E97" i="16"/>
  <c r="G97" s="1"/>
  <c r="E96"/>
  <c r="G96" s="1"/>
  <c r="E95"/>
  <c r="G95" s="1"/>
  <c r="R8" i="45" s="1"/>
  <c r="R28" s="1"/>
  <c r="E93" i="16"/>
  <c r="G93" s="1"/>
  <c r="E92"/>
  <c r="G92" s="1"/>
  <c r="R7" i="45" s="1"/>
  <c r="E84" i="16"/>
  <c r="G84" s="1"/>
  <c r="E83"/>
  <c r="G83" s="1"/>
  <c r="V19" i="44" s="1"/>
  <c r="Y16" i="49" s="1"/>
  <c r="E82" i="16"/>
  <c r="G82" s="1"/>
  <c r="T19" i="44" s="1"/>
  <c r="W16" i="49" s="1"/>
  <c r="E81" i="16"/>
  <c r="G81" s="1"/>
  <c r="S19" i="44" s="1"/>
  <c r="V16" i="49" s="1"/>
  <c r="E80" i="16"/>
  <c r="G80" s="1"/>
  <c r="R19" i="44" s="1"/>
  <c r="U16" i="49" s="1"/>
  <c r="E79" i="16"/>
  <c r="G79" s="1"/>
  <c r="Q19" i="44" s="1"/>
  <c r="T16" i="49" s="1"/>
  <c r="E78" i="16"/>
  <c r="G78" s="1"/>
  <c r="P19" i="44" s="1"/>
  <c r="S16" i="49" s="1"/>
  <c r="E77" i="16"/>
  <c r="G77" s="1"/>
  <c r="O19" i="44" s="1"/>
  <c r="R16" i="49" s="1"/>
  <c r="E76" i="16"/>
  <c r="G76" s="1"/>
  <c r="N19" i="44" s="1"/>
  <c r="Q16" i="49" s="1"/>
  <c r="E75" i="16"/>
  <c r="G75" s="1"/>
  <c r="M19" i="44" s="1"/>
  <c r="P16" i="49" s="1"/>
  <c r="E74" i="16"/>
  <c r="G74" s="1"/>
  <c r="L19" i="44" s="1"/>
  <c r="O16" i="49" s="1"/>
  <c r="E73" i="16"/>
  <c r="G73" s="1"/>
  <c r="E72"/>
  <c r="G72" s="1"/>
  <c r="J19" i="44" s="1"/>
  <c r="M16" i="49" s="1"/>
  <c r="G69" i="16"/>
  <c r="G68"/>
  <c r="AG19" i="44" s="1"/>
  <c r="AJ16" i="49" s="1"/>
  <c r="G67" i="16"/>
  <c r="AF19" i="44" s="1"/>
  <c r="AI16" i="49" s="1"/>
  <c r="G66" i="16"/>
  <c r="AE19" i="44" s="1"/>
  <c r="AH16" i="49" s="1"/>
  <c r="G65" i="16"/>
  <c r="AD19" i="44" s="1"/>
  <c r="AG16" i="49" s="1"/>
  <c r="G64" i="16"/>
  <c r="AC19" i="44" s="1"/>
  <c r="AF16" i="49" s="1"/>
  <c r="G63" i="16"/>
  <c r="AB19" i="44" s="1"/>
  <c r="AE16" i="49" s="1"/>
  <c r="G62" i="16"/>
  <c r="AA19" i="44" s="1"/>
  <c r="AD16" i="49" s="1"/>
  <c r="G58" i="16"/>
  <c r="U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E138"/>
  <c r="G138" s="1"/>
  <c r="E137"/>
  <c r="G137" s="1"/>
  <c r="E136"/>
  <c r="G136" s="1"/>
  <c r="AR18" i="44" s="1"/>
  <c r="G135" i="15"/>
  <c r="AD17" i="1" s="1"/>
  <c r="G134" i="15"/>
  <c r="G133"/>
  <c r="AB17" i="1" s="1"/>
  <c r="E132" i="15"/>
  <c r="G132" s="1"/>
  <c r="AA17" i="1" s="1"/>
  <c r="E131" i="15"/>
  <c r="G131" s="1"/>
  <c r="E130"/>
  <c r="G130" s="1"/>
  <c r="E127"/>
  <c r="G127" s="1"/>
  <c r="AO18" i="44" s="1"/>
  <c r="BL15" i="49" s="1"/>
  <c r="E126" i="15"/>
  <c r="G126" s="1"/>
  <c r="AN18" i="44" s="1"/>
  <c r="BK15" i="49" s="1"/>
  <c r="E125" i="15"/>
  <c r="G125" s="1"/>
  <c r="AM18" i="44" s="1"/>
  <c r="BJ15" i="49" s="1"/>
  <c r="E124" i="15"/>
  <c r="G124" s="1"/>
  <c r="AL18" i="44" s="1"/>
  <c r="BI15" i="49" s="1"/>
  <c r="E123" i="15"/>
  <c r="G123" s="1"/>
  <c r="E100"/>
  <c r="G100" s="1"/>
  <c r="E99"/>
  <c r="G99" s="1"/>
  <c r="E98"/>
  <c r="G98" s="1"/>
  <c r="Q12" i="45" s="1"/>
  <c r="Q26" s="1"/>
  <c r="E97" i="15"/>
  <c r="G97" s="1"/>
  <c r="E96"/>
  <c r="G96" s="1"/>
  <c r="E95"/>
  <c r="G95" s="1"/>
  <c r="Q8" i="45" s="1"/>
  <c r="Q28" s="1"/>
  <c r="E94" i="15"/>
  <c r="E93"/>
  <c r="G93" s="1"/>
  <c r="E92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E138"/>
  <c r="G138" s="1"/>
  <c r="AT17" i="44" s="1"/>
  <c r="E137" i="14"/>
  <c r="G137" s="1"/>
  <c r="E136"/>
  <c r="G136" s="1"/>
  <c r="AR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O17" i="44" s="1"/>
  <c r="BL14" i="49" s="1"/>
  <c r="E126" i="14"/>
  <c r="G126" s="1"/>
  <c r="AN17" i="44" s="1"/>
  <c r="BK14" i="49" s="1"/>
  <c r="E125" i="14"/>
  <c r="G125" s="1"/>
  <c r="AM17" i="44" s="1"/>
  <c r="BJ14" i="49" s="1"/>
  <c r="E124" i="14"/>
  <c r="G124" s="1"/>
  <c r="AL17" i="44" s="1"/>
  <c r="BI14" i="49" s="1"/>
  <c r="E123" i="14"/>
  <c r="G123" s="1"/>
  <c r="G100"/>
  <c r="G99"/>
  <c r="G98"/>
  <c r="P12" i="45" s="1"/>
  <c r="P26" s="1"/>
  <c r="G97" i="14"/>
  <c r="P10" i="45" s="1"/>
  <c r="G96" i="14"/>
  <c r="E95"/>
  <c r="G95" s="1"/>
  <c r="P8" i="45" s="1"/>
  <c r="P28" s="1"/>
  <c r="E94" i="14"/>
  <c r="E93"/>
  <c r="G93" s="1"/>
  <c r="E92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G13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P93" s="1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E130" i="11"/>
  <c r="G130" s="1"/>
  <c r="E123"/>
  <c r="G123" s="1"/>
  <c r="AK14" i="44" s="1"/>
  <c r="BH11" i="49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2" i="45"/>
  <c r="L26" s="1"/>
  <c r="L8"/>
  <c r="L28" s="1"/>
  <c r="L7"/>
  <c r="AG13" i="44"/>
  <c r="AJ10" i="49" s="1"/>
  <c r="AF13" i="44"/>
  <c r="AI10" i="49" s="1"/>
  <c r="AE13" i="44"/>
  <c r="AH10" i="49" s="1"/>
  <c r="AD13" i="44"/>
  <c r="AG10" i="49" s="1"/>
  <c r="AC13" i="44"/>
  <c r="AF10" i="49" s="1"/>
  <c r="BH12" i="1"/>
  <c r="BG12"/>
  <c r="BF12"/>
  <c r="BE12"/>
  <c r="BC12"/>
  <c r="BB12"/>
  <c r="BA12"/>
  <c r="AW12"/>
  <c r="E140" i="9"/>
  <c r="G140" s="1"/>
  <c r="E139"/>
  <c r="G139" s="1"/>
  <c r="E138"/>
  <c r="G138" s="1"/>
  <c r="E137"/>
  <c r="G137" s="1"/>
  <c r="E136"/>
  <c r="G136" s="1"/>
  <c r="AR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2" i="45" s="1"/>
  <c r="K26" s="1"/>
  <c r="E97" i="9"/>
  <c r="G97" s="1"/>
  <c r="E96"/>
  <c r="G96" s="1"/>
  <c r="K9" i="45" s="1"/>
  <c r="E95" i="9"/>
  <c r="G95" s="1"/>
  <c r="K8" i="45" s="1"/>
  <c r="K28" s="1"/>
  <c r="E94" i="9"/>
  <c r="E93"/>
  <c r="G93" s="1"/>
  <c r="G92"/>
  <c r="K7" i="45" s="1"/>
  <c r="G69" i="9"/>
  <c r="G68"/>
  <c r="AG12" i="44" s="1"/>
  <c r="AJ9" i="49" s="1"/>
  <c r="G67" i="9"/>
  <c r="AF12" i="44" s="1"/>
  <c r="AI9" i="49" s="1"/>
  <c r="G66" i="9"/>
  <c r="AE12" i="44" s="1"/>
  <c r="AH9" i="49" s="1"/>
  <c r="G65" i="9"/>
  <c r="AD12" i="44" s="1"/>
  <c r="AG9" i="49" s="1"/>
  <c r="G63" i="9"/>
  <c r="AB12" i="44" s="1"/>
  <c r="AE9" i="49" s="1"/>
  <c r="E62" i="9"/>
  <c r="G62" s="1"/>
  <c r="AA12" i="44" s="1"/>
  <c r="AD9" i="49" s="1"/>
  <c r="E58" i="9"/>
  <c r="G58" s="1"/>
  <c r="U12" i="44" s="1"/>
  <c r="X9" i="49" s="1"/>
  <c r="E57" i="9"/>
  <c r="G57" s="1"/>
  <c r="BH11" i="1" s="1"/>
  <c r="E56" i="9"/>
  <c r="G56" s="1"/>
  <c r="BG11" i="1" s="1"/>
  <c r="E55" i="9"/>
  <c r="G55" s="1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E140" i="7"/>
  <c r="G140" s="1"/>
  <c r="E139"/>
  <c r="G139" s="1"/>
  <c r="E138"/>
  <c r="G138" s="1"/>
  <c r="E137"/>
  <c r="G137" s="1"/>
  <c r="AS10" i="44" s="1"/>
  <c r="E136" i="7"/>
  <c r="G136" s="1"/>
  <c r="AR10" i="44" s="1"/>
  <c r="E135" i="7"/>
  <c r="G135" s="1"/>
  <c r="AD9" i="1" s="1"/>
  <c r="E134" i="7"/>
  <c r="G134" s="1"/>
  <c r="AC9" i="1" s="1"/>
  <c r="E133" i="7"/>
  <c r="G133" s="1"/>
  <c r="AB9" i="1" s="1"/>
  <c r="G132" i="7"/>
  <c r="E131"/>
  <c r="G131" s="1"/>
  <c r="E130"/>
  <c r="G130" s="1"/>
  <c r="E127"/>
  <c r="G127" s="1"/>
  <c r="AO10" i="44" s="1"/>
  <c r="BL7" i="49" s="1"/>
  <c r="E126" i="7"/>
  <c r="G126" s="1"/>
  <c r="AN10" i="44" s="1"/>
  <c r="BK7" i="49" s="1"/>
  <c r="E125" i="7"/>
  <c r="G125" s="1"/>
  <c r="AM10" i="44" s="1"/>
  <c r="BJ7" i="49" s="1"/>
  <c r="E124" i="7"/>
  <c r="G124" s="1"/>
  <c r="AL10" i="44" s="1"/>
  <c r="BI7" i="49" s="1"/>
  <c r="E123" i="7"/>
  <c r="G123" s="1"/>
  <c r="E100"/>
  <c r="G100" s="1"/>
  <c r="E99"/>
  <c r="G99" s="1"/>
  <c r="E98"/>
  <c r="G98" s="1"/>
  <c r="I12" i="45" s="1"/>
  <c r="I26" s="1"/>
  <c r="G97" i="7"/>
  <c r="E96"/>
  <c r="G96" s="1"/>
  <c r="I9" i="45" s="1"/>
  <c r="E95" i="7"/>
  <c r="G95" s="1"/>
  <c r="I8" i="45" s="1"/>
  <c r="I28" s="1"/>
  <c r="E94" i="7"/>
  <c r="G93"/>
  <c r="E92"/>
  <c r="G92" s="1"/>
  <c r="I7" i="45" s="1"/>
  <c r="E69" i="7"/>
  <c r="E171" s="1"/>
  <c r="E68"/>
  <c r="E170" s="1"/>
  <c r="E67"/>
  <c r="E169" s="1"/>
  <c r="E66"/>
  <c r="E168" s="1"/>
  <c r="E65"/>
  <c r="E167" s="1"/>
  <c r="E64"/>
  <c r="E166" s="1"/>
  <c r="E63"/>
  <c r="E165" s="1"/>
  <c r="E62"/>
  <c r="E164" s="1"/>
  <c r="G58"/>
  <c r="U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G12"/>
  <c r="G11"/>
  <c r="G10"/>
  <c r="G9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R9" i="44" s="1"/>
  <c r="E137" i="33"/>
  <c r="G137" s="1"/>
  <c r="E138"/>
  <c r="G138" s="1"/>
  <c r="E139"/>
  <c r="G139" s="1"/>
  <c r="E140"/>
  <c r="G140" s="1"/>
  <c r="E130"/>
  <c r="G130" s="1"/>
  <c r="E124"/>
  <c r="G124" s="1"/>
  <c r="AL9" i="44" s="1"/>
  <c r="BI6" i="49" s="1"/>
  <c r="E125" i="33"/>
  <c r="G125" s="1"/>
  <c r="AM9" i="44" s="1"/>
  <c r="BJ6" i="49" s="1"/>
  <c r="E126" i="33"/>
  <c r="G126" s="1"/>
  <c r="AN9" i="44" s="1"/>
  <c r="BK6" i="49" s="1"/>
  <c r="E127" i="33"/>
  <c r="G127" s="1"/>
  <c r="AO9" i="44" s="1"/>
  <c r="BL6" i="49" s="1"/>
  <c r="E123" i="33"/>
  <c r="G123" s="1"/>
  <c r="G96"/>
  <c r="E97"/>
  <c r="G97" s="1"/>
  <c r="E98"/>
  <c r="G98" s="1"/>
  <c r="H12" i="45" s="1"/>
  <c r="H26" s="1"/>
  <c r="E99" i="33"/>
  <c r="G99" s="1"/>
  <c r="G100"/>
  <c r="E95"/>
  <c r="G95" s="1"/>
  <c r="H8" i="45" s="1"/>
  <c r="H28" s="1"/>
  <c r="E93" i="33"/>
  <c r="G93" s="1"/>
  <c r="E92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U9" i="44" s="1"/>
  <c r="X6" i="49" s="1"/>
  <c r="E49" i="33"/>
  <c r="G49" s="1"/>
  <c r="BA8" i="1" s="1"/>
  <c r="E36" i="33"/>
  <c r="G36" s="1"/>
  <c r="E37"/>
  <c r="G37" s="1"/>
  <c r="E38"/>
  <c r="G38" s="1"/>
  <c r="E39"/>
  <c r="G39" s="1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0"/>
  <c r="G10" s="1"/>
  <c r="E11"/>
  <c r="G11" s="1"/>
  <c r="E12"/>
  <c r="G12" s="1"/>
  <c r="E9"/>
  <c r="G9" s="1"/>
  <c r="E7"/>
  <c r="AC7" i="1"/>
  <c r="AR8" i="44"/>
  <c r="AS8"/>
  <c r="AL8"/>
  <c r="BI5" i="49" s="1"/>
  <c r="AM8" i="44"/>
  <c r="BJ5" i="49" s="1"/>
  <c r="AN8" i="44"/>
  <c r="BK5" i="49" s="1"/>
  <c r="AO8" i="44"/>
  <c r="BL5" i="49" s="1"/>
  <c r="G8" i="45"/>
  <c r="G28" s="1"/>
  <c r="G12"/>
  <c r="G26" s="1"/>
  <c r="G7"/>
  <c r="BC7" i="1"/>
  <c r="BE7"/>
  <c r="BF7"/>
  <c r="BH7"/>
  <c r="U8" i="44"/>
  <c r="X5" i="49" s="1"/>
  <c r="AW7" i="1"/>
  <c r="I15" i="30"/>
  <c r="G18" i="29"/>
  <c r="G139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C20" i="44" s="1"/>
  <c r="AF17" i="49" s="1"/>
  <c r="G18" i="17"/>
  <c r="I15"/>
  <c r="I7"/>
  <c r="G39" i="16"/>
  <c r="G18"/>
  <c r="G18" i="15"/>
  <c r="G18" i="14"/>
  <c r="G124" i="13"/>
  <c r="G18"/>
  <c r="G18" i="12"/>
  <c r="G18" i="11"/>
  <c r="G18" i="9"/>
  <c r="G18" i="33"/>
  <c r="AS6" i="44"/>
  <c r="AR6"/>
  <c r="AD5" i="1"/>
  <c r="AB5"/>
  <c r="AO6" i="44"/>
  <c r="BL3" i="49" s="1"/>
  <c r="AN6" i="44"/>
  <c r="BK3" i="49" s="1"/>
  <c r="AM6" i="44"/>
  <c r="BJ3" i="49" s="1"/>
  <c r="AL6" i="44"/>
  <c r="BI3" i="49" s="1"/>
  <c r="E12" i="45"/>
  <c r="E26" s="1"/>
  <c r="E8"/>
  <c r="E28" s="1"/>
  <c r="E7"/>
  <c r="AA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R5" i="44"/>
  <c r="AB4" i="1"/>
  <c r="I5" i="44"/>
  <c r="L2" i="49" s="1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AA23" i="1" l="1"/>
  <c r="N132" i="21"/>
  <c r="G119" i="18"/>
  <c r="C33" i="44"/>
  <c r="F30" i="49" s="1"/>
  <c r="Q20"/>
  <c r="N23" i="44"/>
  <c r="AB18" i="1"/>
  <c r="I133" i="16"/>
  <c r="AQ16" i="44"/>
  <c r="E8"/>
  <c r="H5" i="49" s="1"/>
  <c r="AQ26" i="44"/>
  <c r="G10"/>
  <c r="J7" i="49" s="1"/>
  <c r="C25" i="44"/>
  <c r="F22" i="49" s="1"/>
  <c r="A6" i="46"/>
  <c r="B8" i="44"/>
  <c r="E5" i="49" s="1"/>
  <c r="D8" i="44"/>
  <c r="G5" i="49" s="1"/>
  <c r="BD7" i="1"/>
  <c r="G9" i="44"/>
  <c r="J6" i="49" s="1"/>
  <c r="H12" i="44"/>
  <c r="K9" i="49" s="1"/>
  <c r="B18" i="44"/>
  <c r="E15" i="49" s="1"/>
  <c r="G18" i="44"/>
  <c r="J15" i="49" s="1"/>
  <c r="B19" i="44"/>
  <c r="E16" i="49" s="1"/>
  <c r="I24" i="44"/>
  <c r="L21" i="49" s="1"/>
  <c r="L44" i="21"/>
  <c r="D27" i="44"/>
  <c r="G24" i="49" s="1"/>
  <c r="H31" i="44"/>
  <c r="K28" i="49" s="1"/>
  <c r="B32" i="44"/>
  <c r="E29" i="49" s="1"/>
  <c r="G20" i="44"/>
  <c r="J17" i="49" s="1"/>
  <c r="C15" i="44"/>
  <c r="F12" i="49" s="1"/>
  <c r="AQ29" i="44"/>
  <c r="E25"/>
  <c r="H22" i="49" s="1"/>
  <c r="F9" i="44"/>
  <c r="I6" i="49" s="1"/>
  <c r="C18" i="44"/>
  <c r="F15" i="49" s="1"/>
  <c r="C19" i="44"/>
  <c r="F16" i="49" s="1"/>
  <c r="D21" i="44"/>
  <c r="G18" i="49" s="1"/>
  <c r="F5" i="45"/>
  <c r="H23" i="44"/>
  <c r="K20" i="49" s="1"/>
  <c r="D25" i="44"/>
  <c r="G22" i="49" s="1"/>
  <c r="I15" i="44"/>
  <c r="L12" i="49" s="1"/>
  <c r="G6" i="44"/>
  <c r="J3" i="49" s="1"/>
  <c r="I30" i="44"/>
  <c r="L27" i="49" s="1"/>
  <c r="E19" i="44"/>
  <c r="I9"/>
  <c r="L6" i="49" s="1"/>
  <c r="E10" i="44"/>
  <c r="H7" i="49" s="1"/>
  <c r="H10" i="44"/>
  <c r="K7" i="49" s="1"/>
  <c r="E12" i="44"/>
  <c r="H9" i="49" s="1"/>
  <c r="E23" i="44"/>
  <c r="H20" i="49" s="1"/>
  <c r="B24" i="44"/>
  <c r="E21" i="49" s="1"/>
  <c r="G24" i="44"/>
  <c r="J21" i="49" s="1"/>
  <c r="C27" i="44"/>
  <c r="F24" i="49" s="1"/>
  <c r="E31" i="44"/>
  <c r="H28" i="49" s="1"/>
  <c r="B31" i="44"/>
  <c r="E28" i="49" s="1"/>
  <c r="G32" i="44"/>
  <c r="J29" i="49" s="1"/>
  <c r="E32" i="44"/>
  <c r="H29" i="49" s="1"/>
  <c r="I7" i="44"/>
  <c r="L4" i="49" s="1"/>
  <c r="D15" i="44"/>
  <c r="G12" i="49" s="1"/>
  <c r="I14" i="44"/>
  <c r="L11" i="49" s="1"/>
  <c r="H6" i="44"/>
  <c r="K3" i="49" s="1"/>
  <c r="B29" i="44"/>
  <c r="E26" i="49" s="1"/>
  <c r="B30" i="44"/>
  <c r="E27" i="49" s="1"/>
  <c r="H9" i="44"/>
  <c r="K6" i="49" s="1"/>
  <c r="B16" i="44"/>
  <c r="E13" i="49" s="1"/>
  <c r="B20" i="44"/>
  <c r="E17" i="49" s="1"/>
  <c r="L55" i="21"/>
  <c r="C9" i="44"/>
  <c r="F6" i="49" s="1"/>
  <c r="D10" i="44"/>
  <c r="G7" i="49" s="1"/>
  <c r="D12" i="44"/>
  <c r="G9" i="49" s="1"/>
  <c r="F18" i="44"/>
  <c r="I15" i="49" s="1"/>
  <c r="G19" i="44"/>
  <c r="J16" i="49" s="1"/>
  <c r="G26" i="44"/>
  <c r="J23" i="49" s="1"/>
  <c r="I27" i="44"/>
  <c r="L24" i="49" s="1"/>
  <c r="D31" i="44"/>
  <c r="G28" i="49" s="1"/>
  <c r="H20" i="44"/>
  <c r="K17" i="49" s="1"/>
  <c r="H11" i="44"/>
  <c r="K8" i="49" s="1"/>
  <c r="E15" i="44"/>
  <c r="H12" i="49" s="1"/>
  <c r="B33" i="44"/>
  <c r="E30" i="49" s="1"/>
  <c r="G33" i="44"/>
  <c r="J30" i="49" s="1"/>
  <c r="F20" i="44"/>
  <c r="I17" i="49" s="1"/>
  <c r="A5" i="46"/>
  <c r="I16" i="44"/>
  <c r="L13" i="49" s="1"/>
  <c r="F8" i="44"/>
  <c r="I5" i="49" s="1"/>
  <c r="D9" i="44"/>
  <c r="G6" i="49" s="1"/>
  <c r="C10" i="44"/>
  <c r="F7" i="49" s="1"/>
  <c r="C12" i="44"/>
  <c r="F9" i="49" s="1"/>
  <c r="H18" i="44"/>
  <c r="K15" i="49" s="1"/>
  <c r="F19" i="44"/>
  <c r="D22"/>
  <c r="G19" i="49" s="1"/>
  <c r="C23" i="44"/>
  <c r="F20" i="49" s="1"/>
  <c r="B27" i="44"/>
  <c r="E24" i="49" s="1"/>
  <c r="G27" i="44"/>
  <c r="J24" i="49" s="1"/>
  <c r="C31" i="44"/>
  <c r="F28" i="49" s="1"/>
  <c r="F32" i="44"/>
  <c r="I29" i="49" s="1"/>
  <c r="I20" i="44"/>
  <c r="L17" i="49" s="1"/>
  <c r="G25" i="44"/>
  <c r="J22" i="49" s="1"/>
  <c r="D7" i="44"/>
  <c r="G4" i="49" s="1"/>
  <c r="F11" i="44"/>
  <c r="I8" i="49" s="1"/>
  <c r="D14" i="44"/>
  <c r="G11" i="49" s="1"/>
  <c r="E6" i="44"/>
  <c r="H3" i="49" s="1"/>
  <c r="I6" i="44"/>
  <c r="L3" i="49" s="1"/>
  <c r="F24" i="44"/>
  <c r="I21" i="49" s="1"/>
  <c r="I11" i="44"/>
  <c r="L8" i="49" s="1"/>
  <c r="G15" i="44"/>
  <c r="J12" i="49" s="1"/>
  <c r="I8" i="44"/>
  <c r="L5" i="49" s="1"/>
  <c r="I32" i="44"/>
  <c r="L29" i="49" s="1"/>
  <c r="B9" i="44"/>
  <c r="E6" i="49" s="1"/>
  <c r="E9" i="44"/>
  <c r="H6" i="49" s="1"/>
  <c r="I10" i="44"/>
  <c r="L7" i="49" s="1"/>
  <c r="I12" i="44"/>
  <c r="L9" i="49" s="1"/>
  <c r="B15" i="44"/>
  <c r="E12" i="49" s="1"/>
  <c r="E18" i="44"/>
  <c r="H15" i="49" s="1"/>
  <c r="I23" i="44"/>
  <c r="L20" i="49" s="1"/>
  <c r="H24" i="44"/>
  <c r="K21" i="49" s="1"/>
  <c r="H29" i="44"/>
  <c r="K26" i="49" s="1"/>
  <c r="H30" i="44"/>
  <c r="K27" i="49" s="1"/>
  <c r="I31" i="44"/>
  <c r="L28" i="49" s="1"/>
  <c r="H32" i="44"/>
  <c r="K29" i="49" s="1"/>
  <c r="L44" i="22"/>
  <c r="H25" i="44"/>
  <c r="K22" i="49" s="1"/>
  <c r="H14" i="44"/>
  <c r="K11" i="49" s="1"/>
  <c r="F15" i="44"/>
  <c r="I12" i="49" s="1"/>
  <c r="D6" i="44"/>
  <c r="G3" i="49" s="1"/>
  <c r="D24" i="44"/>
  <c r="G21" i="49" s="1"/>
  <c r="H27" i="44"/>
  <c r="K24" i="49" s="1"/>
  <c r="I18" i="44"/>
  <c r="L15" i="49" s="1"/>
  <c r="H8" i="44"/>
  <c r="K5" i="49" s="1"/>
  <c r="B10" i="44"/>
  <c r="E7" i="49" s="1"/>
  <c r="B12" i="44"/>
  <c r="E9" i="49" s="1"/>
  <c r="G12" i="44"/>
  <c r="J9" i="49" s="1"/>
  <c r="O9" i="12"/>
  <c r="H16" i="44"/>
  <c r="K13" i="49" s="1"/>
  <c r="H17" i="44"/>
  <c r="K14" i="49" s="1"/>
  <c r="D18" i="44"/>
  <c r="G15" i="49" s="1"/>
  <c r="B23" i="44"/>
  <c r="E20" i="49" s="1"/>
  <c r="G23" i="44"/>
  <c r="J20" i="49" s="1"/>
  <c r="E24" i="44"/>
  <c r="H21" i="49" s="1"/>
  <c r="F27" i="44"/>
  <c r="I24" i="49" s="1"/>
  <c r="G31" i="44"/>
  <c r="J28" i="49" s="1"/>
  <c r="D32" i="44"/>
  <c r="G29" i="49" s="1"/>
  <c r="I17" i="44"/>
  <c r="L14" i="49" s="1"/>
  <c r="D20" i="44"/>
  <c r="G17" i="49" s="1"/>
  <c r="I25" i="44"/>
  <c r="L22" i="49" s="1"/>
  <c r="H7" i="44"/>
  <c r="K4" i="49" s="1"/>
  <c r="C6" i="44"/>
  <c r="F3" i="49" s="1"/>
  <c r="I29" i="44"/>
  <c r="L26" i="49" s="1"/>
  <c r="AQ33" i="44"/>
  <c r="F5"/>
  <c r="I2" i="49" s="1"/>
  <c r="AQ8" i="44"/>
  <c r="D19"/>
  <c r="BI18" i="1"/>
  <c r="H19" i="44"/>
  <c r="K16" i="49" s="1"/>
  <c r="I22" i="44"/>
  <c r="L19" i="49" s="1"/>
  <c r="L18"/>
  <c r="AL22" i="1"/>
  <c r="AQ23" i="44"/>
  <c r="B26"/>
  <c r="E23" i="49" s="1"/>
  <c r="AL13" i="1"/>
  <c r="AQ14" i="44"/>
  <c r="BD19" i="1"/>
  <c r="E20" i="44"/>
  <c r="H17" i="49" s="1"/>
  <c r="G11" i="44"/>
  <c r="J8" i="49" s="1"/>
  <c r="B11" i="44"/>
  <c r="E8" i="49" s="1"/>
  <c r="G16" i="44"/>
  <c r="J13" i="49" s="1"/>
  <c r="G5" i="44"/>
  <c r="J2" i="49" s="1"/>
  <c r="AQ6" i="44"/>
  <c r="B14"/>
  <c r="E11" i="49" s="1"/>
  <c r="AL16" i="1"/>
  <c r="AQ17" i="44"/>
  <c r="B25"/>
  <c r="E22" i="49" s="1"/>
  <c r="I26" i="44"/>
  <c r="L23" i="49" s="1"/>
  <c r="F33" i="44"/>
  <c r="I30" i="49" s="1"/>
  <c r="G17" i="44"/>
  <c r="J14" i="49" s="1"/>
  <c r="C20" i="44"/>
  <c r="F17" i="49" s="1"/>
  <c r="E7" i="44"/>
  <c r="H4" i="49" s="1"/>
  <c r="F16" i="44"/>
  <c r="I13" i="49" s="1"/>
  <c r="E14" i="44"/>
  <c r="H11" i="49" s="1"/>
  <c r="F30" i="44"/>
  <c r="I27" i="49" s="1"/>
  <c r="G29" i="44"/>
  <c r="J26" i="49" s="1"/>
  <c r="AL30" i="1"/>
  <c r="AQ31" i="44"/>
  <c r="AL17" i="1"/>
  <c r="AQ18" i="44"/>
  <c r="C26"/>
  <c r="F23" i="49" s="1"/>
  <c r="AL18" i="1"/>
  <c r="AQ19" i="44"/>
  <c r="K18" i="49"/>
  <c r="H22" i="44"/>
  <c r="K19" i="49" s="1"/>
  <c r="D26" i="44"/>
  <c r="G23" i="49" s="1"/>
  <c r="F17" i="44"/>
  <c r="I14" i="49" s="1"/>
  <c r="C7" i="44"/>
  <c r="F4" i="49" s="1"/>
  <c r="E16" i="44"/>
  <c r="H13" i="49" s="1"/>
  <c r="C14" i="44"/>
  <c r="F11" i="49" s="1"/>
  <c r="E30" i="44"/>
  <c r="H27" i="49" s="1"/>
  <c r="F29" i="44"/>
  <c r="I26" i="49" s="1"/>
  <c r="AL9" i="1"/>
  <c r="AQ10" i="44"/>
  <c r="F22"/>
  <c r="I19" i="49" s="1"/>
  <c r="AL24" i="1"/>
  <c r="AQ25" i="44"/>
  <c r="E26"/>
  <c r="H23" i="49" s="1"/>
  <c r="H26" i="44"/>
  <c r="K23" i="49" s="1"/>
  <c r="AL28" i="1"/>
  <c r="AO28" s="1"/>
  <c r="AQ27" i="44"/>
  <c r="L41" i="22"/>
  <c r="F25" i="44"/>
  <c r="I22" i="49" s="1"/>
  <c r="E11" i="44"/>
  <c r="H8" i="49" s="1"/>
  <c r="D16" i="44"/>
  <c r="G13" i="49" s="1"/>
  <c r="F6" i="44"/>
  <c r="I3" i="49" s="1"/>
  <c r="D30" i="44"/>
  <c r="G27" i="49" s="1"/>
  <c r="D5" i="44"/>
  <c r="G2" i="49" s="1"/>
  <c r="B5" i="44"/>
  <c r="E2" i="49" s="1"/>
  <c r="E17" i="44"/>
  <c r="H14" i="49" s="1"/>
  <c r="G8" i="44"/>
  <c r="J5" i="49" s="1"/>
  <c r="G7" i="44"/>
  <c r="J4" i="49" s="1"/>
  <c r="B7" i="44"/>
  <c r="E4" i="49" s="1"/>
  <c r="D11" i="44"/>
  <c r="G8" i="49" s="1"/>
  <c r="C16" i="44"/>
  <c r="F13" i="49" s="1"/>
  <c r="G14" i="44"/>
  <c r="J11" i="49" s="1"/>
  <c r="C30" i="44"/>
  <c r="F27" i="49" s="1"/>
  <c r="E29" i="44"/>
  <c r="H26" i="49" s="1"/>
  <c r="AQ5" i="44"/>
  <c r="E5"/>
  <c r="H2" i="49" s="1"/>
  <c r="H5" i="44"/>
  <c r="K2" i="49" s="1"/>
  <c r="AQ9" i="44"/>
  <c r="F10"/>
  <c r="I7" i="49" s="1"/>
  <c r="F12" i="44"/>
  <c r="I9" i="49" s="1"/>
  <c r="B17" i="44"/>
  <c r="E14" i="49" s="1"/>
  <c r="AZ18" i="1"/>
  <c r="I19" i="44"/>
  <c r="L16" i="49" s="1"/>
  <c r="C21" i="44"/>
  <c r="F18" i="49" s="1"/>
  <c r="G22" i="44"/>
  <c r="J19" i="49" s="1"/>
  <c r="C24" i="44"/>
  <c r="F21" i="49" s="1"/>
  <c r="AL23" i="1"/>
  <c r="AQ24" i="44"/>
  <c r="F26"/>
  <c r="I23" i="49" s="1"/>
  <c r="E27" i="44"/>
  <c r="H24" i="49" s="1"/>
  <c r="AL29" i="1"/>
  <c r="AQ30" i="44"/>
  <c r="F31"/>
  <c r="I28" i="49" s="1"/>
  <c r="AL31" i="1"/>
  <c r="AQ32" i="44"/>
  <c r="D33"/>
  <c r="G30" i="49" s="1"/>
  <c r="D17" i="44"/>
  <c r="G14" i="49" s="1"/>
  <c r="C8" i="44"/>
  <c r="F5" i="49" s="1"/>
  <c r="AL10" i="1"/>
  <c r="AQ11" i="44"/>
  <c r="C11"/>
  <c r="F8" i="49" s="1"/>
  <c r="AQ15" i="44"/>
  <c r="D29"/>
  <c r="G26" i="49" s="1"/>
  <c r="F34" i="44"/>
  <c r="I31" i="49" s="1"/>
  <c r="BG33" i="1"/>
  <c r="G34" i="44"/>
  <c r="J31" i="49" s="1"/>
  <c r="AL6" i="1"/>
  <c r="AQ7" i="44"/>
  <c r="AL11" i="1"/>
  <c r="AQ12" i="44"/>
  <c r="AL19" i="1"/>
  <c r="AQ20" i="44"/>
  <c r="C32"/>
  <c r="F29" i="49" s="1"/>
  <c r="C17" i="44"/>
  <c r="F14" i="49" s="1"/>
  <c r="F14" i="44"/>
  <c r="I11" i="49" s="1"/>
  <c r="B6" i="44"/>
  <c r="E3" i="49" s="1"/>
  <c r="G30" i="44"/>
  <c r="J27" i="49" s="1"/>
  <c r="C29" i="44"/>
  <c r="F26" i="49" s="1"/>
  <c r="G24" i="9"/>
  <c r="G13"/>
  <c r="I13" s="1"/>
  <c r="N118" i="29"/>
  <c r="AB6" i="44"/>
  <c r="AE3" i="49" s="1"/>
  <c r="AA8" i="44"/>
  <c r="AD5" i="49" s="1"/>
  <c r="AE8" i="44"/>
  <c r="AH5" i="49" s="1"/>
  <c r="G68" i="33"/>
  <c r="AG9" i="44" s="1"/>
  <c r="AJ6" i="49" s="1"/>
  <c r="E170" i="33"/>
  <c r="G170" s="1"/>
  <c r="G64"/>
  <c r="AC9" i="44" s="1"/>
  <c r="AF6" i="49" s="1"/>
  <c r="E166" i="33"/>
  <c r="G166" s="1"/>
  <c r="G62" i="7"/>
  <c r="AA10" i="44" s="1"/>
  <c r="AD7" i="49" s="1"/>
  <c r="G164" i="7"/>
  <c r="G66"/>
  <c r="AE10" i="44" s="1"/>
  <c r="AH7" i="49" s="1"/>
  <c r="G168" i="7"/>
  <c r="G136" i="17"/>
  <c r="AR20" i="44" s="1"/>
  <c r="AD7"/>
  <c r="AG4" i="49" s="1"/>
  <c r="E170" i="12"/>
  <c r="G170" s="1"/>
  <c r="E165"/>
  <c r="G165" s="1"/>
  <c r="AF6" i="44"/>
  <c r="AI3" i="49" s="1"/>
  <c r="AE6" i="44"/>
  <c r="AH3" i="49" s="1"/>
  <c r="AF8" i="44"/>
  <c r="AI5" i="49" s="1"/>
  <c r="AB8" i="44"/>
  <c r="AE5" i="49" s="1"/>
  <c r="G69" i="33"/>
  <c r="AH9" i="44" s="1"/>
  <c r="AK6" i="49" s="1"/>
  <c r="E171" i="33"/>
  <c r="G171" s="1"/>
  <c r="G65"/>
  <c r="AD9" i="44" s="1"/>
  <c r="AG6" i="49" s="1"/>
  <c r="E167" i="33"/>
  <c r="G167" s="1"/>
  <c r="G65" i="7"/>
  <c r="AD10" i="44" s="1"/>
  <c r="AG7" i="49" s="1"/>
  <c r="G167" i="7"/>
  <c r="G69"/>
  <c r="AH10" i="44" s="1"/>
  <c r="AK7" i="49" s="1"/>
  <c r="G171" i="7"/>
  <c r="AA7" i="44"/>
  <c r="AD4" i="49" s="1"/>
  <c r="E166" i="12"/>
  <c r="G166" s="1"/>
  <c r="AD6" i="44"/>
  <c r="AG3" i="49" s="1"/>
  <c r="AG8" i="44"/>
  <c r="AJ5" i="49" s="1"/>
  <c r="AC8" i="44"/>
  <c r="AF5" i="49" s="1"/>
  <c r="G62" i="33"/>
  <c r="AA9" i="44" s="1"/>
  <c r="AD6" i="49" s="1"/>
  <c r="G164" i="33"/>
  <c r="G66"/>
  <c r="AE9" i="44" s="1"/>
  <c r="AH6" i="49" s="1"/>
  <c r="E168" i="33"/>
  <c r="G168" s="1"/>
  <c r="G64" i="7"/>
  <c r="AC10" i="44" s="1"/>
  <c r="AF7" i="49" s="1"/>
  <c r="G166" i="7"/>
  <c r="G68"/>
  <c r="AG10" i="44" s="1"/>
  <c r="AJ7" i="49" s="1"/>
  <c r="G170" i="7"/>
  <c r="AF7" i="44"/>
  <c r="AI4" i="49" s="1"/>
  <c r="AB7" i="44"/>
  <c r="AE4" i="49" s="1"/>
  <c r="E167" i="12"/>
  <c r="G167" s="1"/>
  <c r="AC6" i="44"/>
  <c r="AF3" i="49" s="1"/>
  <c r="AG6" i="44"/>
  <c r="AJ3" i="49" s="1"/>
  <c r="AH8" i="44"/>
  <c r="AK5" i="49" s="1"/>
  <c r="AD8" i="44"/>
  <c r="AG5" i="49" s="1"/>
  <c r="G67" i="33"/>
  <c r="AF9" i="44" s="1"/>
  <c r="AI6" i="49" s="1"/>
  <c r="E169" i="33"/>
  <c r="G169" s="1"/>
  <c r="G63"/>
  <c r="AB9" i="44" s="1"/>
  <c r="AE6" i="49" s="1"/>
  <c r="E165" i="33"/>
  <c r="G165" s="1"/>
  <c r="G63" i="7"/>
  <c r="AB10" i="44" s="1"/>
  <c r="AE7" i="49" s="1"/>
  <c r="G165" i="7"/>
  <c r="G67"/>
  <c r="AF10" i="44" s="1"/>
  <c r="AI7" i="49" s="1"/>
  <c r="G169" i="7"/>
  <c r="AG7" i="44"/>
  <c r="AJ4" i="49" s="1"/>
  <c r="AC7" i="44"/>
  <c r="AF4" i="49" s="1"/>
  <c r="E169" i="12"/>
  <c r="G169" s="1"/>
  <c r="E168"/>
  <c r="G168" s="1"/>
  <c r="G128" i="30"/>
  <c r="G128" i="22"/>
  <c r="G118" i="33"/>
  <c r="F118"/>
  <c r="D35" i="1"/>
  <c r="F35"/>
  <c r="F38" s="1"/>
  <c r="AH29" i="45"/>
  <c r="AH30" s="1"/>
  <c r="G133" i="43"/>
  <c r="AB33" i="1" s="1"/>
  <c r="G119" i="40"/>
  <c r="H119" s="1"/>
  <c r="J119" s="1"/>
  <c r="M25" i="49"/>
  <c r="N25"/>
  <c r="J27" i="44"/>
  <c r="M24" i="49" s="1"/>
  <c r="N24"/>
  <c r="G7" i="33"/>
  <c r="A7" i="46" s="1"/>
  <c r="G15" i="13"/>
  <c r="M15" i="1" s="1"/>
  <c r="AW33"/>
  <c r="AT33"/>
  <c r="AQ33"/>
  <c r="U30" i="44"/>
  <c r="X27" i="49" s="1"/>
  <c r="U31" i="44"/>
  <c r="X28" i="49" s="1"/>
  <c r="AW30" i="1"/>
  <c r="U29" i="44"/>
  <c r="X26" i="49" s="1"/>
  <c r="G119" i="23"/>
  <c r="U17" i="44"/>
  <c r="X14" i="49" s="1"/>
  <c r="U18" i="44"/>
  <c r="X15" i="49" s="1"/>
  <c r="BC17" i="1"/>
  <c r="BC16"/>
  <c r="AW17"/>
  <c r="AW16"/>
  <c r="U6" i="44"/>
  <c r="X3" i="49" s="1"/>
  <c r="AW5" i="1"/>
  <c r="N31" i="29"/>
  <c r="A4" i="46"/>
  <c r="AM5" i="1"/>
  <c r="AM8"/>
  <c r="AM11"/>
  <c r="AO11" s="1"/>
  <c r="G63" i="15"/>
  <c r="AB18" i="44" s="1"/>
  <c r="AE15" i="49" s="1"/>
  <c r="E165" i="15"/>
  <c r="G165" s="1"/>
  <c r="AM18" i="1"/>
  <c r="AO18" s="1"/>
  <c r="AM19"/>
  <c r="G49" i="18"/>
  <c r="B21" i="44" s="1"/>
  <c r="E18" i="49" s="1"/>
  <c r="K49" i="18"/>
  <c r="G62"/>
  <c r="AA21" i="44" s="1"/>
  <c r="AD18" i="49" s="1"/>
  <c r="E164" i="18"/>
  <c r="G164" s="1"/>
  <c r="T28" i="45"/>
  <c r="G135" i="18"/>
  <c r="AD20" i="1" s="1"/>
  <c r="G139" i="18"/>
  <c r="E166" i="19"/>
  <c r="G166"/>
  <c r="G64"/>
  <c r="AC22" i="44" s="1"/>
  <c r="AF19" i="49" s="1"/>
  <c r="E170" i="19"/>
  <c r="G170"/>
  <c r="G133"/>
  <c r="AB21" i="1" s="1"/>
  <c r="G42" i="20"/>
  <c r="AW22" i="1" s="1"/>
  <c r="G169" i="20"/>
  <c r="BB23" i="1"/>
  <c r="L51" i="21"/>
  <c r="G62"/>
  <c r="AA24" i="44" s="1"/>
  <c r="AD21" i="49" s="1"/>
  <c r="E164" i="21"/>
  <c r="G164" s="1"/>
  <c r="BG25" i="1"/>
  <c r="G63" i="23"/>
  <c r="E165"/>
  <c r="G165" s="1"/>
  <c r="AN26" i="44"/>
  <c r="BK23" i="49" s="1"/>
  <c r="BB24" i="1"/>
  <c r="L51" i="22"/>
  <c r="G63"/>
  <c r="AB25" i="44" s="1"/>
  <c r="AE22" i="49" s="1"/>
  <c r="E165" i="22"/>
  <c r="G165" s="1"/>
  <c r="L165" s="1"/>
  <c r="G63" i="11"/>
  <c r="AB14" i="44" s="1"/>
  <c r="AE11" i="49" s="1"/>
  <c r="G62" i="11"/>
  <c r="AA14" i="44" s="1"/>
  <c r="AD11" i="49" s="1"/>
  <c r="AM17" i="1"/>
  <c r="AO17" s="1"/>
  <c r="G42" i="18"/>
  <c r="AW20" i="1" s="1"/>
  <c r="G62" i="19"/>
  <c r="E164"/>
  <c r="G164" s="1"/>
  <c r="E169"/>
  <c r="G169"/>
  <c r="G67"/>
  <c r="AF22" i="44" s="1"/>
  <c r="AI19" i="49" s="1"/>
  <c r="AA21" i="1"/>
  <c r="G140" i="19"/>
  <c r="G168" i="20"/>
  <c r="BE23" i="1"/>
  <c r="L54" i="21"/>
  <c r="BB25" i="1"/>
  <c r="BF25"/>
  <c r="G62" i="23"/>
  <c r="E164"/>
  <c r="G164" s="1"/>
  <c r="AD25" i="1"/>
  <c r="AL25"/>
  <c r="G62" i="30"/>
  <c r="AA33" i="44" s="1"/>
  <c r="AD30" i="49" s="1"/>
  <c r="E164" i="30"/>
  <c r="G164" s="1"/>
  <c r="G172" s="1"/>
  <c r="BG24" i="1"/>
  <c r="L56" i="22"/>
  <c r="G62" i="43"/>
  <c r="AA34" i="44" s="1"/>
  <c r="AD31" i="49" s="1"/>
  <c r="E164" i="43"/>
  <c r="G164" s="1"/>
  <c r="AM7" i="1"/>
  <c r="AM16"/>
  <c r="G133" i="18"/>
  <c r="AB20" i="1" s="1"/>
  <c r="G49" i="19"/>
  <c r="BA21" i="1" s="1"/>
  <c r="K49" i="19"/>
  <c r="E168"/>
  <c r="G66"/>
  <c r="AE22" i="44" s="1"/>
  <c r="AH19" i="49" s="1"/>
  <c r="G168" i="19"/>
  <c r="G135"/>
  <c r="AD21" i="1" s="1"/>
  <c r="G139" i="19"/>
  <c r="G167" i="20"/>
  <c r="G171"/>
  <c r="BH23" i="1"/>
  <c r="L57" i="21"/>
  <c r="BE25" i="1"/>
  <c r="AL26" i="44"/>
  <c r="BI23" i="49" s="1"/>
  <c r="AC25" i="1"/>
  <c r="AM13"/>
  <c r="G63" i="14"/>
  <c r="AB17" i="44" s="1"/>
  <c r="AE14" i="49" s="1"/>
  <c r="E165" i="14"/>
  <c r="G165" s="1"/>
  <c r="G63" i="19"/>
  <c r="AB22" i="44" s="1"/>
  <c r="AE19" i="49" s="1"/>
  <c r="E165" i="19"/>
  <c r="G165" s="1"/>
  <c r="BH24" i="1"/>
  <c r="L57" i="22"/>
  <c r="AW6" i="1"/>
  <c r="G63" i="43"/>
  <c r="AB34" i="44" s="1"/>
  <c r="AE31" i="49" s="1"/>
  <c r="E165" i="43"/>
  <c r="G165" s="1"/>
  <c r="AL33" i="1"/>
  <c r="G128" i="33"/>
  <c r="G62" i="13"/>
  <c r="AA16" i="44" s="1"/>
  <c r="AD13" i="49" s="1"/>
  <c r="E164" i="13"/>
  <c r="G164" s="1"/>
  <c r="G62" i="14"/>
  <c r="AA17" i="44" s="1"/>
  <c r="AD14" i="49" s="1"/>
  <c r="E164" i="14"/>
  <c r="G164" s="1"/>
  <c r="G63" i="18"/>
  <c r="AB21" i="44" s="1"/>
  <c r="AE18" i="49" s="1"/>
  <c r="E165" i="18"/>
  <c r="G165" s="1"/>
  <c r="G132"/>
  <c r="AA20" i="1" s="1"/>
  <c r="E167" i="19"/>
  <c r="G65"/>
  <c r="AD22" i="44" s="1"/>
  <c r="AG19" i="49" s="1"/>
  <c r="G167" i="19"/>
  <c r="G134"/>
  <c r="AC21" i="1" s="1"/>
  <c r="G138" i="19"/>
  <c r="AT22" i="44" s="1"/>
  <c r="G166" i="20"/>
  <c r="G170"/>
  <c r="BG23" i="1"/>
  <c r="L56" i="21"/>
  <c r="G63"/>
  <c r="AB24" i="44" s="1"/>
  <c r="AE21" i="49" s="1"/>
  <c r="E165" i="21"/>
  <c r="G165" s="1"/>
  <c r="L165" s="1"/>
  <c r="G62" i="22"/>
  <c r="AA25" i="44" s="1"/>
  <c r="AD22" i="49" s="1"/>
  <c r="E164" i="22"/>
  <c r="G164" s="1"/>
  <c r="L164" s="1"/>
  <c r="BH25" i="1"/>
  <c r="AO26" i="44"/>
  <c r="BL23" i="49" s="1"/>
  <c r="P136" i="12"/>
  <c r="AR15" i="44"/>
  <c r="G63" i="13"/>
  <c r="AB16" i="44" s="1"/>
  <c r="AE13" i="49" s="1"/>
  <c r="E165" i="13"/>
  <c r="G165" s="1"/>
  <c r="AM33" i="1"/>
  <c r="BA19"/>
  <c r="AM31"/>
  <c r="AO31" s="1"/>
  <c r="AM30"/>
  <c r="AM29"/>
  <c r="N7" i="40"/>
  <c r="N11" s="1"/>
  <c r="AM26" i="1"/>
  <c r="AM25"/>
  <c r="AT26" i="44"/>
  <c r="AR26"/>
  <c r="AB25" i="1"/>
  <c r="AA25"/>
  <c r="AM26" i="44"/>
  <c r="BJ23" i="49" s="1"/>
  <c r="Y12" i="45"/>
  <c r="Y26" s="1"/>
  <c r="Y8"/>
  <c r="Y28" s="1"/>
  <c r="Y7"/>
  <c r="V26" i="44"/>
  <c r="Y23" i="49" s="1"/>
  <c r="T26" i="44"/>
  <c r="W23" i="49" s="1"/>
  <c r="S26" i="44"/>
  <c r="V23" i="49" s="1"/>
  <c r="R26" i="44"/>
  <c r="U23" i="49" s="1"/>
  <c r="Q26" i="44"/>
  <c r="T23" i="49" s="1"/>
  <c r="P26" i="44"/>
  <c r="S23" i="49" s="1"/>
  <c r="O26" i="44"/>
  <c r="R23" i="49" s="1"/>
  <c r="N26" i="44"/>
  <c r="Q23" i="49" s="1"/>
  <c r="M26" i="44"/>
  <c r="P23" i="49" s="1"/>
  <c r="L26" i="44"/>
  <c r="O23" i="49" s="1"/>
  <c r="K26" i="44"/>
  <c r="N23" i="49" s="1"/>
  <c r="J26" i="44"/>
  <c r="M23" i="49" s="1"/>
  <c r="U26" i="44"/>
  <c r="X23" i="49" s="1"/>
  <c r="BD25" i="1"/>
  <c r="BC25"/>
  <c r="BA25"/>
  <c r="AM24"/>
  <c r="AO24" s="1"/>
  <c r="U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U23" i="44"/>
  <c r="X20" i="49" s="1"/>
  <c r="U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H22" i="44" s="1"/>
  <c r="AK19" i="49" s="1"/>
  <c r="E171" i="19"/>
  <c r="U16" i="44"/>
  <c r="X13" i="49" s="1"/>
  <c r="G69" i="12"/>
  <c r="P69" s="1"/>
  <c r="G171"/>
  <c r="G69" i="11"/>
  <c r="AH14" i="44" s="1"/>
  <c r="AK11" i="49" s="1"/>
  <c r="G68" i="11"/>
  <c r="AG14" i="44" s="1"/>
  <c r="AJ11" i="49" s="1"/>
  <c r="G67" i="11"/>
  <c r="AF14" i="44" s="1"/>
  <c r="AI11" i="49" s="1"/>
  <c r="G66" i="11"/>
  <c r="AE14" i="44" s="1"/>
  <c r="AH11" i="49" s="1"/>
  <c r="G65" i="11"/>
  <c r="AD14" i="44" s="1"/>
  <c r="AG11" i="49" s="1"/>
  <c r="G64" i="11"/>
  <c r="AC14" i="44" s="1"/>
  <c r="AF11" i="49" s="1"/>
  <c r="F118" i="11"/>
  <c r="BH4" i="1"/>
  <c r="AY4"/>
  <c r="BI4"/>
  <c r="BG4"/>
  <c r="AC5" i="44"/>
  <c r="AF2" i="49" s="1"/>
  <c r="AO5" i="44"/>
  <c r="BL2" i="49" s="1"/>
  <c r="AD5" i="44"/>
  <c r="AG2" i="49" s="1"/>
  <c r="J104" i="10"/>
  <c r="AF5" i="44"/>
  <c r="AI2" i="49" s="1"/>
  <c r="J117" i="10"/>
  <c r="N30" i="31"/>
  <c r="AX4" i="1"/>
  <c r="AB5" i="44"/>
  <c r="AE2" i="49" s="1"/>
  <c r="AM4" i="1"/>
  <c r="U5" i="44"/>
  <c r="X2" i="49" s="1"/>
  <c r="AZ4" i="1"/>
  <c r="AE5" i="44"/>
  <c r="AH2" i="49" s="1"/>
  <c r="AA5" i="44"/>
  <c r="AD2" i="49" s="1"/>
  <c r="AG5" i="44"/>
  <c r="AJ2" i="49" s="1"/>
  <c r="AA4" i="1"/>
  <c r="AT5" i="44"/>
  <c r="J120" i="10"/>
  <c r="J115"/>
  <c r="J5" i="44"/>
  <c r="M2" i="49" s="1"/>
  <c r="G69" i="43"/>
  <c r="AH34" i="44" s="1"/>
  <c r="AK31" i="49" s="1"/>
  <c r="E171" i="43"/>
  <c r="G171" s="1"/>
  <c r="G68"/>
  <c r="AG34" i="44" s="1"/>
  <c r="AJ31" i="49" s="1"/>
  <c r="E170" i="43"/>
  <c r="G170" s="1"/>
  <c r="G67"/>
  <c r="AF34" i="44" s="1"/>
  <c r="AI31" i="49" s="1"/>
  <c r="E169" i="43"/>
  <c r="G169" s="1"/>
  <c r="G66"/>
  <c r="AE34" i="44" s="1"/>
  <c r="AH31" i="49" s="1"/>
  <c r="E168" i="43"/>
  <c r="G168" s="1"/>
  <c r="G65"/>
  <c r="AD34" i="44" s="1"/>
  <c r="AG31" i="49" s="1"/>
  <c r="E167" i="43"/>
  <c r="G167" s="1"/>
  <c r="G64"/>
  <c r="AC34" i="44" s="1"/>
  <c r="AF31" i="49" s="1"/>
  <c r="E166" i="43"/>
  <c r="G166" s="1"/>
  <c r="U34" i="44"/>
  <c r="X31" i="49" s="1"/>
  <c r="U33" i="44"/>
  <c r="X30" i="49" s="1"/>
  <c r="G62" i="29"/>
  <c r="AA32" i="44" s="1"/>
  <c r="AD29" i="49" s="1"/>
  <c r="E164" i="29"/>
  <c r="G164" s="1"/>
  <c r="G172" s="1"/>
  <c r="BD31" i="1"/>
  <c r="AW29"/>
  <c r="N42" i="27"/>
  <c r="G62" i="28"/>
  <c r="AA31" i="44" s="1"/>
  <c r="AD28" i="49" s="1"/>
  <c r="E164" i="28"/>
  <c r="G164" s="1"/>
  <c r="G66"/>
  <c r="AE31" i="44" s="1"/>
  <c r="AH28" i="49" s="1"/>
  <c r="E168" i="28"/>
  <c r="G168" s="1"/>
  <c r="G65"/>
  <c r="AD31" i="44" s="1"/>
  <c r="AG28" i="49" s="1"/>
  <c r="E167" i="28"/>
  <c r="G167" s="1"/>
  <c r="G69"/>
  <c r="AH31" i="44" s="1"/>
  <c r="AK28" i="49" s="1"/>
  <c r="E171" i="28"/>
  <c r="G171" s="1"/>
  <c r="G64"/>
  <c r="AC31" i="44" s="1"/>
  <c r="AF28" i="49" s="1"/>
  <c r="E166" i="28"/>
  <c r="G166" s="1"/>
  <c r="G68"/>
  <c r="AG31" i="44" s="1"/>
  <c r="AJ28" i="49" s="1"/>
  <c r="E170" i="28"/>
  <c r="G170" s="1"/>
  <c r="G63"/>
  <c r="AB31" i="44" s="1"/>
  <c r="AE28" i="49" s="1"/>
  <c r="E165" i="28"/>
  <c r="G165" s="1"/>
  <c r="G67"/>
  <c r="AF31" i="44" s="1"/>
  <c r="AI28" i="49" s="1"/>
  <c r="E169" i="28"/>
  <c r="G169" s="1"/>
  <c r="G63" i="27"/>
  <c r="AB30" i="44" s="1"/>
  <c r="AE27" i="49" s="1"/>
  <c r="E165" i="27"/>
  <c r="G165" s="1"/>
  <c r="G67"/>
  <c r="AF30" i="44" s="1"/>
  <c r="AI27" i="49" s="1"/>
  <c r="E169" i="27"/>
  <c r="G169" s="1"/>
  <c r="G62"/>
  <c r="AA30" i="44" s="1"/>
  <c r="AD27" i="49" s="1"/>
  <c r="E164" i="27"/>
  <c r="G164" s="1"/>
  <c r="G66"/>
  <c r="AE30" i="44" s="1"/>
  <c r="AH27" i="49" s="1"/>
  <c r="E168" i="27"/>
  <c r="G168" s="1"/>
  <c r="G65"/>
  <c r="AD30" i="44" s="1"/>
  <c r="AG27" i="49" s="1"/>
  <c r="E167" i="27"/>
  <c r="G167" s="1"/>
  <c r="G69"/>
  <c r="AH30" i="44" s="1"/>
  <c r="AK27" i="49" s="1"/>
  <c r="E171" i="27"/>
  <c r="G171" s="1"/>
  <c r="G64"/>
  <c r="AC30" i="44" s="1"/>
  <c r="AF27" i="49" s="1"/>
  <c r="E166" i="27"/>
  <c r="G166" s="1"/>
  <c r="G68"/>
  <c r="AG30" i="44" s="1"/>
  <c r="AJ27" i="49" s="1"/>
  <c r="E170" i="27"/>
  <c r="G170" s="1"/>
  <c r="G63" i="40"/>
  <c r="AB29" i="44" s="1"/>
  <c r="AE26" i="49" s="1"/>
  <c r="E165" i="40"/>
  <c r="G165" s="1"/>
  <c r="G67"/>
  <c r="AF29" i="44" s="1"/>
  <c r="AI26" i="49" s="1"/>
  <c r="E169" i="40"/>
  <c r="G169" s="1"/>
  <c r="G62"/>
  <c r="AA29" i="44" s="1"/>
  <c r="AD26" i="49" s="1"/>
  <c r="E164" i="40"/>
  <c r="G164" s="1"/>
  <c r="G66"/>
  <c r="AE29" i="44" s="1"/>
  <c r="AH26" i="49" s="1"/>
  <c r="E168" i="40"/>
  <c r="G168" s="1"/>
  <c r="G65"/>
  <c r="AD29" i="44" s="1"/>
  <c r="AG26" i="49" s="1"/>
  <c r="E167" i="40"/>
  <c r="G167" s="1"/>
  <c r="G69"/>
  <c r="AH29" i="44" s="1"/>
  <c r="AK26" i="49" s="1"/>
  <c r="E171" i="40"/>
  <c r="G171" s="1"/>
  <c r="I28" i="1"/>
  <c r="E26" i="47" s="1"/>
  <c r="G64" i="40"/>
  <c r="AC29" i="44" s="1"/>
  <c r="AF26" i="49" s="1"/>
  <c r="E166" i="40"/>
  <c r="G166" s="1"/>
  <c r="G68"/>
  <c r="AG29" i="44" s="1"/>
  <c r="AJ26" i="49" s="1"/>
  <c r="E170" i="40"/>
  <c r="G170" s="1"/>
  <c r="G65" i="24"/>
  <c r="AD27" i="44" s="1"/>
  <c r="AG24" i="49" s="1"/>
  <c r="E167" i="24"/>
  <c r="G167" s="1"/>
  <c r="G69"/>
  <c r="AH27" i="44" s="1"/>
  <c r="AK24" i="49" s="1"/>
  <c r="E171" i="24"/>
  <c r="G171" s="1"/>
  <c r="G64"/>
  <c r="AC27" i="44" s="1"/>
  <c r="AF24" i="49" s="1"/>
  <c r="E166" i="24"/>
  <c r="G166" s="1"/>
  <c r="G68"/>
  <c r="AG27" i="44" s="1"/>
  <c r="AJ24" i="49" s="1"/>
  <c r="E170" i="24"/>
  <c r="G170" s="1"/>
  <c r="G63"/>
  <c r="AB27" i="44" s="1"/>
  <c r="AE24" i="49" s="1"/>
  <c r="E165" i="24"/>
  <c r="G165" s="1"/>
  <c r="G67"/>
  <c r="AF27" i="44" s="1"/>
  <c r="AI24" i="49" s="1"/>
  <c r="E169" i="24"/>
  <c r="G169" s="1"/>
  <c r="G62"/>
  <c r="AA27" i="44" s="1"/>
  <c r="AD24" i="49" s="1"/>
  <c r="E164" i="24"/>
  <c r="G164" s="1"/>
  <c r="G66"/>
  <c r="AE27" i="44" s="1"/>
  <c r="AH24" i="49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H25" i="44" s="1"/>
  <c r="AK22" i="49" s="1"/>
  <c r="E171" i="22"/>
  <c r="G171" s="1"/>
  <c r="L171" s="1"/>
  <c r="G68"/>
  <c r="AG25" i="44" s="1"/>
  <c r="AJ22" i="49" s="1"/>
  <c r="E170" i="22"/>
  <c r="G170" s="1"/>
  <c r="L170" s="1"/>
  <c r="G67"/>
  <c r="AF25" i="44" s="1"/>
  <c r="AI22" i="49" s="1"/>
  <c r="E169" i="22"/>
  <c r="G169" s="1"/>
  <c r="L169" s="1"/>
  <c r="G66"/>
  <c r="AE25" i="44" s="1"/>
  <c r="AH22" i="49" s="1"/>
  <c r="E168" i="22"/>
  <c r="G168" s="1"/>
  <c r="L168" s="1"/>
  <c r="G65"/>
  <c r="AD25" i="44" s="1"/>
  <c r="AG22" i="49" s="1"/>
  <c r="E167" i="22"/>
  <c r="G167" s="1"/>
  <c r="L167" s="1"/>
  <c r="G64"/>
  <c r="AC25" i="44" s="1"/>
  <c r="AF22" i="49" s="1"/>
  <c r="E166" i="22"/>
  <c r="G166" s="1"/>
  <c r="L166" s="1"/>
  <c r="G69" i="21"/>
  <c r="AH24" i="44" s="1"/>
  <c r="AK21" i="49" s="1"/>
  <c r="E171" i="21"/>
  <c r="G171" s="1"/>
  <c r="L171" s="1"/>
  <c r="G68"/>
  <c r="AG24" i="44" s="1"/>
  <c r="AJ21" i="49" s="1"/>
  <c r="E170" i="21"/>
  <c r="G170" s="1"/>
  <c r="L170" s="1"/>
  <c r="G67"/>
  <c r="AF24" i="44" s="1"/>
  <c r="AI21" i="49" s="1"/>
  <c r="E169" i="21"/>
  <c r="G169" s="1"/>
  <c r="L169" s="1"/>
  <c r="G66"/>
  <c r="AE24" i="44" s="1"/>
  <c r="AH21" i="49" s="1"/>
  <c r="E168" i="21"/>
  <c r="G168" s="1"/>
  <c r="L168" s="1"/>
  <c r="G65"/>
  <c r="AD24" i="44" s="1"/>
  <c r="AG21" i="49" s="1"/>
  <c r="E167" i="21"/>
  <c r="G167" s="1"/>
  <c r="L167" s="1"/>
  <c r="G64"/>
  <c r="AC24" i="44" s="1"/>
  <c r="AF21" i="49" s="1"/>
  <c r="E166" i="21"/>
  <c r="G166" s="1"/>
  <c r="L166" s="1"/>
  <c r="G63" i="20"/>
  <c r="AB23" i="44" s="1"/>
  <c r="AE20" i="49" s="1"/>
  <c r="G165" i="20"/>
  <c r="AA22" i="44"/>
  <c r="AD19" i="49" s="1"/>
  <c r="G69" i="20"/>
  <c r="AH23" i="44" s="1"/>
  <c r="AK20" i="49" s="1"/>
  <c r="G68" i="20"/>
  <c r="AG23" i="44" s="1"/>
  <c r="AJ20" i="49" s="1"/>
  <c r="G67" i="20"/>
  <c r="AF23" i="44" s="1"/>
  <c r="AI20" i="49" s="1"/>
  <c r="G66" i="20"/>
  <c r="AE23" i="44" s="1"/>
  <c r="AH20" i="49" s="1"/>
  <c r="G65" i="20"/>
  <c r="AD23" i="44" s="1"/>
  <c r="AG20" i="49" s="1"/>
  <c r="G64" i="20"/>
  <c r="AC23" i="44" s="1"/>
  <c r="AF20" i="49" s="1"/>
  <c r="G68" i="19"/>
  <c r="AG22" i="44" s="1"/>
  <c r="AJ19" i="49" s="1"/>
  <c r="G69" i="18"/>
  <c r="AH21" i="44" s="1"/>
  <c r="AK18" i="49" s="1"/>
  <c r="E171" i="18"/>
  <c r="G171" s="1"/>
  <c r="G68"/>
  <c r="AG21" i="44" s="1"/>
  <c r="AJ18" i="49" s="1"/>
  <c r="E170" i="18"/>
  <c r="G170" s="1"/>
  <c r="G67"/>
  <c r="AF21" i="44" s="1"/>
  <c r="AI18" i="49" s="1"/>
  <c r="E169" i="18"/>
  <c r="G169" s="1"/>
  <c r="G66"/>
  <c r="AE21" i="44" s="1"/>
  <c r="AH18" i="49" s="1"/>
  <c r="E168" i="18"/>
  <c r="G168" s="1"/>
  <c r="G65"/>
  <c r="AD21" i="44" s="1"/>
  <c r="AG18" i="49" s="1"/>
  <c r="E167" i="18"/>
  <c r="G167" s="1"/>
  <c r="G64"/>
  <c r="AC21" i="44" s="1"/>
  <c r="AF18" i="49" s="1"/>
  <c r="E166" i="18"/>
  <c r="G166" s="1"/>
  <c r="G69" i="15"/>
  <c r="I17" i="35" s="1"/>
  <c r="E171" i="15"/>
  <c r="G171" s="1"/>
  <c r="G68"/>
  <c r="AG18" i="44" s="1"/>
  <c r="AJ15" i="49" s="1"/>
  <c r="E170" i="15"/>
  <c r="G170" s="1"/>
  <c r="G67"/>
  <c r="AF18" i="44" s="1"/>
  <c r="AI15" i="49" s="1"/>
  <c r="E169" i="15"/>
  <c r="G169" s="1"/>
  <c r="G66"/>
  <c r="AE18" i="44" s="1"/>
  <c r="AH15" i="49" s="1"/>
  <c r="E168" i="15"/>
  <c r="G168" s="1"/>
  <c r="G65"/>
  <c r="AD18" i="44" s="1"/>
  <c r="AG15" i="49" s="1"/>
  <c r="E167" i="15"/>
  <c r="G167" s="1"/>
  <c r="G64"/>
  <c r="AC18" i="44" s="1"/>
  <c r="AF15" i="49" s="1"/>
  <c r="E166" i="15"/>
  <c r="G166" s="1"/>
  <c r="G62"/>
  <c r="AA18" i="44" s="1"/>
  <c r="AD15" i="49" s="1"/>
  <c r="E164" i="15"/>
  <c r="G164" s="1"/>
  <c r="G69" i="14"/>
  <c r="I16" i="35" s="1"/>
  <c r="E171" i="14"/>
  <c r="G171" s="1"/>
  <c r="G68"/>
  <c r="AG17" i="44" s="1"/>
  <c r="AJ14" i="49" s="1"/>
  <c r="E170" i="14"/>
  <c r="G170" s="1"/>
  <c r="G67"/>
  <c r="AF17" i="44" s="1"/>
  <c r="AI14" i="49" s="1"/>
  <c r="E169" i="14"/>
  <c r="G169" s="1"/>
  <c r="G66"/>
  <c r="AE17" i="44" s="1"/>
  <c r="AH14" i="49" s="1"/>
  <c r="E168" i="14"/>
  <c r="G168" s="1"/>
  <c r="G65"/>
  <c r="AD17" i="44" s="1"/>
  <c r="AG14" i="49" s="1"/>
  <c r="E167" i="14"/>
  <c r="G167" s="1"/>
  <c r="G64"/>
  <c r="AC17" i="44" s="1"/>
  <c r="AF14" i="49" s="1"/>
  <c r="E166" i="14"/>
  <c r="G166" s="1"/>
  <c r="G69" i="13"/>
  <c r="E171"/>
  <c r="G171" s="1"/>
  <c r="G68"/>
  <c r="AG16" i="44" s="1"/>
  <c r="AJ13" i="49" s="1"/>
  <c r="E170" i="13"/>
  <c r="G170" s="1"/>
  <c r="G67"/>
  <c r="E169"/>
  <c r="G169" s="1"/>
  <c r="G66"/>
  <c r="AE16" i="44" s="1"/>
  <c r="AH13" i="49" s="1"/>
  <c r="E168" i="13"/>
  <c r="G168" s="1"/>
  <c r="G65"/>
  <c r="AD16" i="44" s="1"/>
  <c r="AG13" i="49" s="1"/>
  <c r="E167" i="13"/>
  <c r="G167" s="1"/>
  <c r="G64"/>
  <c r="AC16" i="44" s="1"/>
  <c r="AF13" i="49" s="1"/>
  <c r="E166" i="13"/>
  <c r="G166" s="1"/>
  <c r="F119" i="11"/>
  <c r="M8" i="45"/>
  <c r="M28" s="1"/>
  <c r="F196" i="11"/>
  <c r="M7" i="45"/>
  <c r="F194" i="11"/>
  <c r="BH32" i="1"/>
  <c r="AC33" i="44"/>
  <c r="AF30" i="49" s="1"/>
  <c r="AG33" i="44"/>
  <c r="AJ30" i="49" s="1"/>
  <c r="AF12" i="45"/>
  <c r="AF26" s="1"/>
  <c r="AL33" i="44"/>
  <c r="BI30" i="49" s="1"/>
  <c r="AC32" i="1"/>
  <c r="AT33" i="44"/>
  <c r="J110" i="10"/>
  <c r="J105"/>
  <c r="R33" i="44"/>
  <c r="U30" i="49" s="1"/>
  <c r="N33" i="44"/>
  <c r="Q30" i="49" s="1"/>
  <c r="J107" i="10"/>
  <c r="AW32" i="1"/>
  <c r="BG32"/>
  <c r="AF33" i="44"/>
  <c r="AI30" i="49" s="1"/>
  <c r="AF7" i="45"/>
  <c r="AF10"/>
  <c r="AO33" i="44"/>
  <c r="BL30" i="49" s="1"/>
  <c r="AB32" i="1"/>
  <c r="AS33" i="44"/>
  <c r="J111" i="10"/>
  <c r="J106"/>
  <c r="S33" i="44"/>
  <c r="V30" i="49" s="1"/>
  <c r="O33" i="44"/>
  <c r="R30" i="49" s="1"/>
  <c r="K33" i="44"/>
  <c r="N30" i="49" s="1"/>
  <c r="D5" i="45"/>
  <c r="BB32" i="1"/>
  <c r="AE33" i="44"/>
  <c r="AH30" i="49" s="1"/>
  <c r="J33" i="44"/>
  <c r="M30" i="49" s="1"/>
  <c r="AF9" i="45"/>
  <c r="AN33" i="44"/>
  <c r="BK30" i="49" s="1"/>
  <c r="T33" i="44"/>
  <c r="W30" i="49" s="1"/>
  <c r="P33" i="44"/>
  <c r="S30" i="49" s="1"/>
  <c r="L33" i="44"/>
  <c r="O30" i="49" s="1"/>
  <c r="J116" i="10"/>
  <c r="BH36" i="1"/>
  <c r="AD33" i="44"/>
  <c r="AG30" i="49" s="1"/>
  <c r="AH33" i="44"/>
  <c r="AK30" i="49" s="1"/>
  <c r="AM33" i="44"/>
  <c r="BJ30" i="49" s="1"/>
  <c r="AL32" i="1"/>
  <c r="J109" i="10"/>
  <c r="V33" i="44"/>
  <c r="Y30" i="49" s="1"/>
  <c r="Q33" i="44"/>
  <c r="T30" i="49" s="1"/>
  <c r="M33" i="44"/>
  <c r="P30" i="49" s="1"/>
  <c r="J112" i="10"/>
  <c r="P15" i="12"/>
  <c r="P44"/>
  <c r="R16" i="44"/>
  <c r="U13" i="49" s="1"/>
  <c r="N16" i="44"/>
  <c r="Q13" i="49" s="1"/>
  <c r="AM16" i="44"/>
  <c r="BJ13" i="49" s="1"/>
  <c r="AU24" i="1"/>
  <c r="BA15"/>
  <c r="BD15"/>
  <c r="BH15"/>
  <c r="O8" i="45"/>
  <c r="O28" s="1"/>
  <c r="P41" i="12"/>
  <c r="P37"/>
  <c r="S16" i="44"/>
  <c r="V13" i="49" s="1"/>
  <c r="O16" i="44"/>
  <c r="R13" i="49" s="1"/>
  <c r="K16" i="44"/>
  <c r="N13" i="49" s="1"/>
  <c r="AN16" i="44"/>
  <c r="BK13" i="49" s="1"/>
  <c r="BE15" i="1"/>
  <c r="P40" i="12"/>
  <c r="P19"/>
  <c r="G118" i="13"/>
  <c r="O7" i="45"/>
  <c r="O12"/>
  <c r="O26" s="1"/>
  <c r="P38" i="12"/>
  <c r="T16" i="44"/>
  <c r="W13" i="49" s="1"/>
  <c r="P16" i="44"/>
  <c r="S13" i="49" s="1"/>
  <c r="L16" i="44"/>
  <c r="O13" i="49" s="1"/>
  <c r="AO16" i="44"/>
  <c r="BL13" i="49" s="1"/>
  <c r="F119" i="9"/>
  <c r="P18" i="12"/>
  <c r="P36"/>
  <c r="AW15" i="1"/>
  <c r="AL16" i="44"/>
  <c r="BI13" i="49" s="1"/>
  <c r="G20" i="7"/>
  <c r="P9" i="1" s="1"/>
  <c r="I7" i="47" s="1"/>
  <c r="O7" i="9"/>
  <c r="P35" i="12"/>
  <c r="E28" i="20"/>
  <c r="G28" s="1"/>
  <c r="AA15" i="1"/>
  <c r="P43" i="12"/>
  <c r="P39"/>
  <c r="V16" i="44"/>
  <c r="Y13" i="49" s="1"/>
  <c r="Q16" i="44"/>
  <c r="T13" i="49" s="1"/>
  <c r="M16" i="44"/>
  <c r="P13" i="49" s="1"/>
  <c r="N7" i="14"/>
  <c r="AB15" i="1"/>
  <c r="AL15"/>
  <c r="AD15"/>
  <c r="AM15"/>
  <c r="AC15"/>
  <c r="BF15"/>
  <c r="K15" i="44"/>
  <c r="N12" i="49" s="1"/>
  <c r="P73" i="12"/>
  <c r="S15" i="44"/>
  <c r="V12" i="49" s="1"/>
  <c r="P81" i="12"/>
  <c r="AM14" i="1"/>
  <c r="P140" i="12"/>
  <c r="N12" i="45"/>
  <c r="N26" s="1"/>
  <c r="P98" i="12"/>
  <c r="AL15" i="44"/>
  <c r="BI12" i="49" s="1"/>
  <c r="P124" i="12"/>
  <c r="N15" i="44"/>
  <c r="Q12" i="49" s="1"/>
  <c r="P76" i="12"/>
  <c r="R15" i="44"/>
  <c r="U12" i="49" s="1"/>
  <c r="P80" i="12"/>
  <c r="AB14" i="1"/>
  <c r="P133" i="12"/>
  <c r="P99"/>
  <c r="N7" i="45"/>
  <c r="P92" i="12"/>
  <c r="AO15" i="44"/>
  <c r="BL12" i="49" s="1"/>
  <c r="P127" i="12"/>
  <c r="M15" i="44"/>
  <c r="P12" i="49" s="1"/>
  <c r="P75" i="12"/>
  <c r="Q15" i="44"/>
  <c r="T12" i="49" s="1"/>
  <c r="P79" i="12"/>
  <c r="V15" i="44"/>
  <c r="Y12" i="49" s="1"/>
  <c r="P83" i="12"/>
  <c r="AW14" i="1"/>
  <c r="P42" i="12"/>
  <c r="AC14" i="1"/>
  <c r="P134" i="12"/>
  <c r="AM15" i="44"/>
  <c r="BJ12" i="49" s="1"/>
  <c r="P125" i="12"/>
  <c r="O15" i="44"/>
  <c r="R12" i="49" s="1"/>
  <c r="P77" i="12"/>
  <c r="P100"/>
  <c r="AN15" i="44"/>
  <c r="BK12" i="49" s="1"/>
  <c r="P126" i="12"/>
  <c r="AA14" i="1"/>
  <c r="P132" i="12"/>
  <c r="L15" i="44"/>
  <c r="O12" i="49" s="1"/>
  <c r="P74" i="12"/>
  <c r="P15" i="44"/>
  <c r="S12" i="49" s="1"/>
  <c r="P78" i="12"/>
  <c r="T15" i="44"/>
  <c r="W12" i="49" s="1"/>
  <c r="P82" i="12"/>
  <c r="AL14" i="1"/>
  <c r="P139" i="12"/>
  <c r="AD14" i="1"/>
  <c r="P135" i="12"/>
  <c r="F119" i="33"/>
  <c r="P10" i="12"/>
  <c r="G13"/>
  <c r="I13" s="1"/>
  <c r="P7"/>
  <c r="N8" i="45"/>
  <c r="N28" s="1"/>
  <c r="F119" i="12"/>
  <c r="E31" i="18"/>
  <c r="T5" i="45"/>
  <c r="E30" i="19"/>
  <c r="G30" s="1"/>
  <c r="U6" i="45"/>
  <c r="Y21" i="1"/>
  <c r="U10" i="45"/>
  <c r="AI21" i="1"/>
  <c r="AS22" i="44"/>
  <c r="AH22" i="1"/>
  <c r="E28" i="22"/>
  <c r="G28" s="1"/>
  <c r="AH24" i="1"/>
  <c r="AI25"/>
  <c r="AS26" i="44"/>
  <c r="E28" i="24"/>
  <c r="G28" s="1"/>
  <c r="AI26" i="1"/>
  <c r="AS27" i="44"/>
  <c r="AF8" i="45"/>
  <c r="AF28" s="1"/>
  <c r="AH13" i="1"/>
  <c r="X15"/>
  <c r="O9" i="45"/>
  <c r="AI15" i="1"/>
  <c r="AS16" i="44"/>
  <c r="G5" i="45"/>
  <c r="E30" i="8"/>
  <c r="G30" s="1"/>
  <c r="J6" i="45"/>
  <c r="Y13" i="1"/>
  <c r="M10" i="45"/>
  <c r="M29" s="1"/>
  <c r="G67" i="12"/>
  <c r="AH14" i="1"/>
  <c r="AJ12"/>
  <c r="AT13" i="44"/>
  <c r="E28" i="43"/>
  <c r="G28" s="1"/>
  <c r="AS33" i="1"/>
  <c r="E31" i="11"/>
  <c r="M5" i="45"/>
  <c r="E31" i="28"/>
  <c r="G31" s="1"/>
  <c r="AD5" i="45"/>
  <c r="Y8" i="1"/>
  <c r="H10" i="45"/>
  <c r="AJ17" i="1"/>
  <c r="AT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S9" i="44"/>
  <c r="E28" i="33"/>
  <c r="G28" s="1"/>
  <c r="AJ9" i="1"/>
  <c r="AT10" i="44"/>
  <c r="AU10" s="1"/>
  <c r="E28" i="9"/>
  <c r="G28" s="1"/>
  <c r="Y11" i="1"/>
  <c r="K10" i="45"/>
  <c r="K24" s="1"/>
  <c r="AJ11" i="1"/>
  <c r="AT12" i="44"/>
  <c r="E30" i="12"/>
  <c r="G30" s="1"/>
  <c r="P30" s="1"/>
  <c r="N6" i="45"/>
  <c r="E30" i="14"/>
  <c r="G30" s="1"/>
  <c r="P6" i="45"/>
  <c r="Y17" i="1"/>
  <c r="Q10" i="45"/>
  <c r="AI17" i="1"/>
  <c r="AS18" i="44"/>
  <c r="E28" i="16"/>
  <c r="G28" s="1"/>
  <c r="AJ20" i="1"/>
  <c r="AT21" i="44"/>
  <c r="X21" i="1"/>
  <c r="U9" i="45"/>
  <c r="AH21" i="1"/>
  <c r="AI23"/>
  <c r="AS24" i="44"/>
  <c r="AU24" s="1"/>
  <c r="AH25" i="1"/>
  <c r="AH26"/>
  <c r="E28" i="40"/>
  <c r="G28" s="1"/>
  <c r="AH31" i="1"/>
  <c r="G118" i="30"/>
  <c r="AI13" i="1"/>
  <c r="AS14" i="44"/>
  <c r="Y15" i="1"/>
  <c r="O10" i="45"/>
  <c r="AJ15" i="1"/>
  <c r="AT16" i="44"/>
  <c r="AH10" i="1"/>
  <c r="X10"/>
  <c r="J9" i="45"/>
  <c r="E28" i="8"/>
  <c r="G28" s="1"/>
  <c r="G68" i="12"/>
  <c r="G63"/>
  <c r="AB15" i="44" s="1"/>
  <c r="AE12" i="49" s="1"/>
  <c r="AI14" i="1"/>
  <c r="AS15" i="44"/>
  <c r="E31" i="14"/>
  <c r="G31" s="1"/>
  <c r="P5" i="45"/>
  <c r="E28" i="11"/>
  <c r="G62" i="12"/>
  <c r="AA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T9" i="44"/>
  <c r="E30" i="7"/>
  <c r="G30" s="1"/>
  <c r="I6" i="45"/>
  <c r="Y9" i="1"/>
  <c r="I10" i="45"/>
  <c r="I29" s="1"/>
  <c r="I30" s="1"/>
  <c r="AI11" i="1"/>
  <c r="AS12" i="44"/>
  <c r="Y12" i="1"/>
  <c r="L10" i="45"/>
  <c r="E30" i="11"/>
  <c r="M6" i="45"/>
  <c r="Y14" i="1"/>
  <c r="N10" i="45"/>
  <c r="AI16" i="1"/>
  <c r="AS17" i="44"/>
  <c r="E28" i="15"/>
  <c r="G28" s="1"/>
  <c r="X17" i="1"/>
  <c r="Q9" i="45"/>
  <c r="AH17" i="1"/>
  <c r="AW18"/>
  <c r="Y18"/>
  <c r="R10" i="45"/>
  <c r="AJ18" i="1"/>
  <c r="AT19" i="44"/>
  <c r="E28" i="17"/>
  <c r="G28" s="1"/>
  <c r="AJ19" i="1"/>
  <c r="AT20" i="44"/>
  <c r="E28" i="18"/>
  <c r="G28" s="1"/>
  <c r="Y20" i="1"/>
  <c r="T10" i="45"/>
  <c r="AI20" i="1"/>
  <c r="AS21" i="44"/>
  <c r="E28" i="19"/>
  <c r="G28" s="1"/>
  <c r="AJ22" i="1"/>
  <c r="AT23" i="44"/>
  <c r="E28" i="21"/>
  <c r="G28" s="1"/>
  <c r="AH23" i="1"/>
  <c r="E28" i="23"/>
  <c r="G28" s="1"/>
  <c r="AH30" i="1"/>
  <c r="AJ13"/>
  <c r="AT14" i="44"/>
  <c r="E30" i="17"/>
  <c r="G30" s="1"/>
  <c r="S6" i="45"/>
  <c r="BF24" i="1"/>
  <c r="Y10"/>
  <c r="J10" i="45"/>
  <c r="G64" i="12"/>
  <c r="AJ14" i="1"/>
  <c r="AT15" i="44"/>
  <c r="AH12" i="1"/>
  <c r="G118" i="43"/>
  <c r="H118" s="1"/>
  <c r="AY33" i="1"/>
  <c r="AU33"/>
  <c r="AZ33"/>
  <c r="X19"/>
  <c r="S9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E31" i="15"/>
  <c r="G31" s="1"/>
  <c r="Q5" i="45"/>
  <c r="X8" i="1"/>
  <c r="H9" i="45"/>
  <c r="E30" i="9"/>
  <c r="G30" s="1"/>
  <c r="K6" i="45"/>
  <c r="AH11" i="1"/>
  <c r="L6" i="45"/>
  <c r="X12" i="1"/>
  <c r="L9" i="45"/>
  <c r="E28" i="12"/>
  <c r="G28" s="1"/>
  <c r="P28" s="1"/>
  <c r="X14" i="1"/>
  <c r="N9" i="45"/>
  <c r="E28" i="14"/>
  <c r="G28" s="1"/>
  <c r="X16" i="1"/>
  <c r="P9" i="45"/>
  <c r="AH16" i="1"/>
  <c r="E30" i="16"/>
  <c r="G30" s="1"/>
  <c r="R6" i="45"/>
  <c r="X18" i="1"/>
  <c r="R9" i="45"/>
  <c r="AI18" i="1"/>
  <c r="AS19" i="44"/>
  <c r="AI19" i="1"/>
  <c r="AS20" i="44"/>
  <c r="X20" i="1"/>
  <c r="T9" i="45"/>
  <c r="AH20" i="1"/>
  <c r="AI22"/>
  <c r="AS23" i="44"/>
  <c r="AI24" i="1"/>
  <c r="AS25" i="44"/>
  <c r="AJ26" i="1"/>
  <c r="AT27" i="44"/>
  <c r="AH29" i="1"/>
  <c r="BF6"/>
  <c r="AJ10"/>
  <c r="AT11" i="44"/>
  <c r="E31" i="8"/>
  <c r="G31" s="1"/>
  <c r="J5" i="45"/>
  <c r="G65" i="12"/>
  <c r="AI12" i="1"/>
  <c r="AS13" i="44"/>
  <c r="G66" i="12"/>
  <c r="AV33" i="1"/>
  <c r="AR33"/>
  <c r="G100" i="43"/>
  <c r="G119" s="1"/>
  <c r="H119" s="1"/>
  <c r="BG6" i="1"/>
  <c r="BG7"/>
  <c r="AJ7"/>
  <c r="AT8" i="44"/>
  <c r="AU8" s="1"/>
  <c r="X7" i="1"/>
  <c r="G9" i="45"/>
  <c r="G6"/>
  <c r="Y7" i="1"/>
  <c r="G10" i="45"/>
  <c r="F6"/>
  <c r="X6" i="1"/>
  <c r="F9" i="45"/>
  <c r="AJ6" i="1"/>
  <c r="AT7" i="44"/>
  <c r="AU7" s="1"/>
  <c r="Y6" i="1"/>
  <c r="F10" i="45"/>
  <c r="H120" i="43"/>
  <c r="D7" i="45"/>
  <c r="AS5" i="44"/>
  <c r="D8" i="45"/>
  <c r="D28" s="1"/>
  <c r="AJ5" i="1"/>
  <c r="AT6" i="44"/>
  <c r="AU6" s="1"/>
  <c r="AH4" i="1"/>
  <c r="D9" i="45"/>
  <c r="H104" i="30"/>
  <c r="J104" s="1"/>
  <c r="D12" i="45"/>
  <c r="D26" s="1"/>
  <c r="AX33" i="1"/>
  <c r="AH5" i="45"/>
  <c r="AU35" i="44"/>
  <c r="E31" i="43"/>
  <c r="G31" s="1"/>
  <c r="AG5" i="45"/>
  <c r="AH6"/>
  <c r="AH24"/>
  <c r="AG8"/>
  <c r="AG28" s="1"/>
  <c r="AH33" i="1"/>
  <c r="E31" i="30"/>
  <c r="G31" s="1"/>
  <c r="AF5" i="45"/>
  <c r="AJ33" i="1"/>
  <c r="AT34" i="44"/>
  <c r="AI33" i="1"/>
  <c r="AS34" i="44"/>
  <c r="Y33" i="1"/>
  <c r="AG10" i="45"/>
  <c r="X33" i="1"/>
  <c r="AG9" i="45"/>
  <c r="E30" i="43"/>
  <c r="G30" s="1"/>
  <c r="AG6" i="45"/>
  <c r="E30" i="30"/>
  <c r="G30" s="1"/>
  <c r="AF6" i="45"/>
  <c r="E28" i="30"/>
  <c r="G28" s="1"/>
  <c r="AJ31" i="1"/>
  <c r="AT32" i="44"/>
  <c r="Y31" i="1"/>
  <c r="AE10" i="45"/>
  <c r="X31" i="1"/>
  <c r="AE9" i="45"/>
  <c r="BF31" i="1"/>
  <c r="E30" i="29"/>
  <c r="G30" s="1"/>
  <c r="AE6" i="45"/>
  <c r="E28" i="29"/>
  <c r="G28" s="1"/>
  <c r="AJ30" i="1"/>
  <c r="AT31" i="44"/>
  <c r="AI30" i="1"/>
  <c r="AS31" i="44"/>
  <c r="Y30" i="1"/>
  <c r="AD10" i="45"/>
  <c r="AD24" s="1"/>
  <c r="BF30" i="1"/>
  <c r="BF29"/>
  <c r="BC30"/>
  <c r="E30" i="28"/>
  <c r="G30" s="1"/>
  <c r="AD6" i="45"/>
  <c r="E28" i="27"/>
  <c r="G28" s="1"/>
  <c r="E28" i="28"/>
  <c r="G28" s="1"/>
  <c r="AJ29" i="1"/>
  <c r="AT30" i="44"/>
  <c r="AI29" i="1"/>
  <c r="AS30" i="44"/>
  <c r="Y29" i="1"/>
  <c r="AC10" i="45"/>
  <c r="X29" i="1"/>
  <c r="AC9" i="45"/>
  <c r="E30" i="27"/>
  <c r="G30" s="1"/>
  <c r="AC6" i="45"/>
  <c r="AU29" i="44"/>
  <c r="Y28" i="1"/>
  <c r="AB10" i="45"/>
  <c r="X28" i="1"/>
  <c r="AB9" i="45"/>
  <c r="E30" i="40"/>
  <c r="G30" s="1"/>
  <c r="AB6" i="45"/>
  <c r="E31" i="23"/>
  <c r="G31" s="1"/>
  <c r="Y5" i="45"/>
  <c r="E31" i="24"/>
  <c r="G31" s="1"/>
  <c r="Z5" i="45"/>
  <c r="Y26" i="1"/>
  <c r="Z10" i="45"/>
  <c r="X26" i="1"/>
  <c r="Z9" i="45"/>
  <c r="E30" i="24"/>
  <c r="G30" s="1"/>
  <c r="Z6" i="45"/>
  <c r="Y25" i="1"/>
  <c r="Y10" i="45"/>
  <c r="X25" i="1"/>
  <c r="Y9" i="45"/>
  <c r="E30" i="23"/>
  <c r="G30" s="1"/>
  <c r="Y6" i="45"/>
  <c r="Y24" i="1"/>
  <c r="X10" i="45"/>
  <c r="X24" i="1"/>
  <c r="X9" i="45"/>
  <c r="E30" i="22"/>
  <c r="G30" s="1"/>
  <c r="X6" i="45"/>
  <c r="Y23" i="1"/>
  <c r="W10" i="45"/>
  <c r="Y22" i="1"/>
  <c r="V10" i="45"/>
  <c r="X23" i="1"/>
  <c r="W9" i="45"/>
  <c r="X22" i="1"/>
  <c r="V9" i="45"/>
  <c r="E30" i="21"/>
  <c r="G30" s="1"/>
  <c r="W6" i="45"/>
  <c r="E30" i="20"/>
  <c r="G30" s="1"/>
  <c r="V6" i="45"/>
  <c r="D10"/>
  <c r="D6"/>
  <c r="Y5" i="1"/>
  <c r="E10" i="45"/>
  <c r="E5"/>
  <c r="X5" i="1"/>
  <c r="E9" i="45"/>
  <c r="E6"/>
  <c r="H107" i="12"/>
  <c r="J107" s="1"/>
  <c r="H107" i="43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s="1"/>
  <c r="J107" i="7"/>
  <c r="H107" i="23"/>
  <c r="J107" s="1"/>
  <c r="J107" i="8"/>
  <c r="H107" i="18"/>
  <c r="J107" s="1"/>
  <c r="J107" i="11"/>
  <c r="H107" i="17"/>
  <c r="J107" s="1"/>
  <c r="H107" i="13"/>
  <c r="J107" s="1"/>
  <c r="H107" i="16"/>
  <c r="J107" s="1"/>
  <c r="J109" i="8"/>
  <c r="H109" i="23"/>
  <c r="J109" s="1"/>
  <c r="H109" i="13"/>
  <c r="J109" s="1"/>
  <c r="H109" i="17"/>
  <c r="J109" s="1"/>
  <c r="H109" i="25"/>
  <c r="J109" s="1"/>
  <c r="H109" i="30"/>
  <c r="J109" s="1"/>
  <c r="H109" i="28"/>
  <c r="J109" s="1"/>
  <c r="H109" i="16"/>
  <c r="J109" s="1"/>
  <c r="J109" i="9"/>
  <c r="H109" i="15"/>
  <c r="J109" s="1"/>
  <c r="H109" i="24"/>
  <c r="J109" s="1"/>
  <c r="H109" i="43"/>
  <c r="H109" i="29"/>
  <c r="J109" s="1"/>
  <c r="J109" i="7"/>
  <c r="H109" i="14"/>
  <c r="J109" s="1"/>
  <c r="H109" i="40"/>
  <c r="J109" s="1"/>
  <c r="H109" i="27"/>
  <c r="J109" s="1"/>
  <c r="H109" i="12"/>
  <c r="J109" s="1"/>
  <c r="H109" i="19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H104" i="19"/>
  <c r="H104" i="16"/>
  <c r="J104" s="1"/>
  <c r="H104" i="27"/>
  <c r="J104" s="1"/>
  <c r="H104" i="12"/>
  <c r="J104" s="1"/>
  <c r="H104" i="24"/>
  <c r="J104" s="1"/>
  <c r="H104" i="28"/>
  <c r="J104" s="1"/>
  <c r="H104" i="43"/>
  <c r="H104" i="15"/>
  <c r="J104" s="1"/>
  <c r="H104" i="14"/>
  <c r="J104" s="1"/>
  <c r="H104" i="29"/>
  <c r="J104" s="1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H110" i="43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s="1"/>
  <c r="J110" i="11"/>
  <c r="H110" i="19"/>
  <c r="H110" i="28"/>
  <c r="J110" s="1"/>
  <c r="H110" i="16"/>
  <c r="J110" s="1"/>
  <c r="H110" i="27"/>
  <c r="J110" s="1"/>
  <c r="J110" i="9"/>
  <c r="J110" i="7"/>
  <c r="H110" i="13"/>
  <c r="J110" s="1"/>
  <c r="H110" i="25"/>
  <c r="J110" s="1"/>
  <c r="H110" i="17"/>
  <c r="J110" s="1"/>
  <c r="H110" i="14"/>
  <c r="J110" s="1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J115" s="1"/>
  <c r="H115" i="29"/>
  <c r="J115" s="1"/>
  <c r="H115" i="28"/>
  <c r="J115" s="1"/>
  <c r="J115" i="9"/>
  <c r="H115" i="43"/>
  <c r="H115" i="16"/>
  <c r="J115" s="1"/>
  <c r="H115" i="12"/>
  <c r="J115" s="1"/>
  <c r="H115" i="18"/>
  <c r="J115" s="1"/>
  <c r="H115" i="19"/>
  <c r="H115" i="14"/>
  <c r="J115" s="1"/>
  <c r="H115" i="40"/>
  <c r="J115" s="1"/>
  <c r="J115" i="33"/>
  <c r="H115" i="27"/>
  <c r="J115" s="1"/>
  <c r="J115" i="11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H111" i="29"/>
  <c r="J111" s="1"/>
  <c r="J111" i="11"/>
  <c r="H111" i="28"/>
  <c r="J111" s="1"/>
  <c r="H111" i="24"/>
  <c r="J111" s="1"/>
  <c r="H111" i="12"/>
  <c r="J111" s="1"/>
  <c r="J111" i="8"/>
  <c r="H111" i="16"/>
  <c r="J111" s="1"/>
  <c r="H111" i="17"/>
  <c r="J111" s="1"/>
  <c r="H111" i="30"/>
  <c r="J111" s="1"/>
  <c r="H111" i="43"/>
  <c r="H111" i="25"/>
  <c r="J111" s="1"/>
  <c r="J111" i="9"/>
  <c r="W4" i="1"/>
  <c r="H117" i="13"/>
  <c r="J117" s="1"/>
  <c r="H117" i="43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14"/>
  <c r="J117" s="1"/>
  <c r="H117" i="30"/>
  <c r="J117" s="1"/>
  <c r="J117" i="9"/>
  <c r="H117" i="40"/>
  <c r="J117" s="1"/>
  <c r="J117" i="11"/>
  <c r="H117" i="19"/>
  <c r="H117" i="17"/>
  <c r="J117" s="1"/>
  <c r="X4" i="1"/>
  <c r="H118" i="25"/>
  <c r="J118" s="1"/>
  <c r="H119"/>
  <c r="J119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s="1"/>
  <c r="J105" i="11"/>
  <c r="H105" i="43"/>
  <c r="H105" i="13"/>
  <c r="J105" s="1"/>
  <c r="H105" i="18"/>
  <c r="J105" s="1"/>
  <c r="H105" i="40"/>
  <c r="J105" s="1"/>
  <c r="H105" i="17"/>
  <c r="J105" s="1"/>
  <c r="J105" i="9"/>
  <c r="H105" i="29"/>
  <c r="J105" s="1"/>
  <c r="H105" i="28"/>
  <c r="J105" s="1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H116" i="17"/>
  <c r="J116" s="1"/>
  <c r="H116" i="15"/>
  <c r="J116" s="1"/>
  <c r="J116" i="9"/>
  <c r="J116" i="7"/>
  <c r="H116" i="25"/>
  <c r="J116" s="1"/>
  <c r="J116" i="33"/>
  <c r="H116" i="14"/>
  <c r="J116" s="1"/>
  <c r="H116" i="13"/>
  <c r="J116" s="1"/>
  <c r="H116" i="43"/>
  <c r="H116" i="30"/>
  <c r="J116" s="1"/>
  <c r="H116" i="28"/>
  <c r="J116" s="1"/>
  <c r="H116" i="29"/>
  <c r="J116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H120" i="18"/>
  <c r="J120" s="1"/>
  <c r="H120" i="19"/>
  <c r="H120" i="23"/>
  <c r="J120" s="1"/>
  <c r="H120" i="25"/>
  <c r="J120" s="1"/>
  <c r="H120" i="27"/>
  <c r="J120" s="1"/>
  <c r="H120" i="28"/>
  <c r="J120" s="1"/>
  <c r="H120" i="29"/>
  <c r="J120" s="1"/>
  <c r="H120" i="13"/>
  <c r="J120" s="1"/>
  <c r="H120" i="17"/>
  <c r="J120" s="1"/>
  <c r="H120" i="30"/>
  <c r="J120" s="1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J106" s="1"/>
  <c r="H106" i="14"/>
  <c r="J106" s="1"/>
  <c r="J106" i="33"/>
  <c r="H106" i="24"/>
  <c r="J106" s="1"/>
  <c r="H106" i="29"/>
  <c r="J106" s="1"/>
  <c r="J106" i="8"/>
  <c r="H106" i="43"/>
  <c r="H106" i="27"/>
  <c r="J106" s="1"/>
  <c r="H106" i="28"/>
  <c r="J106" s="1"/>
  <c r="H106" i="16"/>
  <c r="J106" s="1"/>
  <c r="H106" i="13"/>
  <c r="J106" s="1"/>
  <c r="AI5" i="44"/>
  <c r="AL2" i="49" s="1"/>
  <c r="H112" i="24"/>
  <c r="J112" s="1"/>
  <c r="H112" i="14"/>
  <c r="J112" s="1"/>
  <c r="H112" i="23"/>
  <c r="J112" s="1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J112" s="1"/>
  <c r="H112" i="12"/>
  <c r="J112" s="1"/>
  <c r="H112" i="17"/>
  <c r="J112" s="1"/>
  <c r="H112" i="43"/>
  <c r="J112" i="11"/>
  <c r="H112" i="18"/>
  <c r="J112" s="1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8"/>
  <c r="G119"/>
  <c r="G118" i="11"/>
  <c r="F119" i="18"/>
  <c r="H119"/>
  <c r="J119" s="1"/>
  <c r="G119" i="33"/>
  <c r="F119" i="7"/>
  <c r="G119"/>
  <c r="F118" i="13"/>
  <c r="G118" i="24"/>
  <c r="H118" s="1"/>
  <c r="J118" s="1"/>
  <c r="G119"/>
  <c r="H119" s="1"/>
  <c r="J119" s="1"/>
  <c r="G119" i="28"/>
  <c r="H119" s="1"/>
  <c r="J119" s="1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G118" i="27"/>
  <c r="H118" s="1"/>
  <c r="J118" s="1"/>
  <c r="G118" i="28"/>
  <c r="H118" s="1"/>
  <c r="J118" s="1"/>
  <c r="F118" i="9"/>
  <c r="G118"/>
  <c r="G119" i="14"/>
  <c r="H119" s="1"/>
  <c r="J119" s="1"/>
  <c r="F119"/>
  <c r="G119" i="22"/>
  <c r="F119"/>
  <c r="N119" i="29"/>
  <c r="G119"/>
  <c r="H119" s="1"/>
  <c r="J119" s="1"/>
  <c r="G119" i="12"/>
  <c r="F118" i="14"/>
  <c r="G118"/>
  <c r="H118" s="1"/>
  <c r="J118" s="1"/>
  <c r="F119" i="19"/>
  <c r="G119"/>
  <c r="H119" s="1"/>
  <c r="J119" s="1"/>
  <c r="F118" i="22"/>
  <c r="G118"/>
  <c r="F119" i="23"/>
  <c r="F119" i="20"/>
  <c r="G119"/>
  <c r="G118" i="18"/>
  <c r="H118" s="1"/>
  <c r="J118" s="1"/>
  <c r="F118"/>
  <c r="F118" i="12"/>
  <c r="G118"/>
  <c r="G118" i="40"/>
  <c r="H118" s="1"/>
  <c r="J118" s="1"/>
  <c r="G119" i="27"/>
  <c r="H119" s="1"/>
  <c r="J119" s="1"/>
  <c r="G118" i="29"/>
  <c r="H118" s="1"/>
  <c r="J118" s="1"/>
  <c r="F118" i="17"/>
  <c r="G118"/>
  <c r="H118" s="1"/>
  <c r="J118" s="1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AH8"/>
  <c r="I136" i="33"/>
  <c r="AH7" i="1"/>
  <c r="AL7"/>
  <c r="AM6"/>
  <c r="AO6" s="1"/>
  <c r="AH9"/>
  <c r="I136" i="7"/>
  <c r="AA7" i="1"/>
  <c r="L21" i="27"/>
  <c r="AH5" i="1"/>
  <c r="AL8"/>
  <c r="I139" i="33"/>
  <c r="AM9" i="1"/>
  <c r="I139" i="7"/>
  <c r="AH6" i="1"/>
  <c r="AK34" i="44"/>
  <c r="BH31" i="49" s="1"/>
  <c r="AP33" i="1"/>
  <c r="AA9"/>
  <c r="AE9" s="1"/>
  <c r="I133" i="7"/>
  <c r="AI10" i="1"/>
  <c r="I136" i="8"/>
  <c r="I133"/>
  <c r="AM10" i="1"/>
  <c r="I139" i="8"/>
  <c r="I4" i="35"/>
  <c r="AH5" i="44"/>
  <c r="AK2" i="49" s="1"/>
  <c r="AT18" i="1"/>
  <c r="AQ7"/>
  <c r="AS7"/>
  <c r="AQ8"/>
  <c r="AX8"/>
  <c r="AJ10" i="44"/>
  <c r="BG7" i="49" s="1"/>
  <c r="AT9" i="1"/>
  <c r="AY9"/>
  <c r="BI9"/>
  <c r="AS11"/>
  <c r="AZ12"/>
  <c r="AU12"/>
  <c r="AY12"/>
  <c r="BI12"/>
  <c r="I12" i="35"/>
  <c r="AH13" i="44"/>
  <c r="AK10" i="49" s="1"/>
  <c r="AJ14" i="44"/>
  <c r="BG11" i="49" s="1"/>
  <c r="AJ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J8" i="44"/>
  <c r="BG5" i="49" s="1"/>
  <c r="I7" i="35"/>
  <c r="AH7" i="44"/>
  <c r="AK4" i="49" s="1"/>
  <c r="BE6" i="1"/>
  <c r="BI6"/>
  <c r="AY6"/>
  <c r="I10" i="35"/>
  <c r="AH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J9" i="44"/>
  <c r="BG6" i="49" s="1"/>
  <c r="AS9" i="1"/>
  <c r="AX9"/>
  <c r="AJ12" i="44"/>
  <c r="BG9" i="49" s="1"/>
  <c r="AQ12" i="1"/>
  <c r="AT12"/>
  <c r="AJ17" i="44"/>
  <c r="BG14" i="49" s="1"/>
  <c r="AZ17" i="1"/>
  <c r="AU17"/>
  <c r="AY17"/>
  <c r="AU18"/>
  <c r="AY18"/>
  <c r="I18" i="35"/>
  <c r="AH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J11" i="44"/>
  <c r="BG8" i="49" s="1"/>
  <c r="AV14" i="1"/>
  <c r="AR14"/>
  <c r="AX15"/>
  <c r="AT15"/>
  <c r="AY13"/>
  <c r="AU13"/>
  <c r="BI5"/>
  <c r="AS29"/>
  <c r="I5" i="35"/>
  <c r="AH6" i="44"/>
  <c r="AK3" i="49" s="1"/>
  <c r="AU7" i="1"/>
  <c r="AV8"/>
  <c r="BJ8" s="1"/>
  <c r="I9"/>
  <c r="AR9"/>
  <c r="I11"/>
  <c r="AZ11"/>
  <c r="AU11"/>
  <c r="AY11"/>
  <c r="BI11"/>
  <c r="I13"/>
  <c r="E11" i="47" s="1"/>
  <c r="AJ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J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AJ35" i="44"/>
  <c r="BG32" i="49" s="1"/>
  <c r="AS8" i="1"/>
  <c r="BI8"/>
  <c r="AU9"/>
  <c r="AT11"/>
  <c r="AX11"/>
  <c r="I11" i="35"/>
  <c r="AH12" i="44"/>
  <c r="AK9" i="49" s="1"/>
  <c r="AQ13" i="1"/>
  <c r="AQ15"/>
  <c r="AS17"/>
  <c r="AJ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G143" i="18"/>
  <c r="AM5" i="44"/>
  <c r="BJ2" i="49" s="1"/>
  <c r="AP8" i="1"/>
  <c r="AK9" i="44"/>
  <c r="BH6" i="49" s="1"/>
  <c r="AP9" i="1"/>
  <c r="AK10" i="44"/>
  <c r="BH7" i="49" s="1"/>
  <c r="AP12" i="1"/>
  <c r="AK13" i="44"/>
  <c r="BH10" i="49" s="1"/>
  <c r="H18" i="35"/>
  <c r="BK19" i="1"/>
  <c r="AI20" i="44"/>
  <c r="AL17" i="49" s="1"/>
  <c r="M21" i="1"/>
  <c r="AJ22" i="44"/>
  <c r="BG19" i="49" s="1"/>
  <c r="J21" i="44"/>
  <c r="M18" i="49" s="1"/>
  <c r="J22" i="44"/>
  <c r="M19" i="49" s="1"/>
  <c r="BK21" i="1"/>
  <c r="AI22" i="44"/>
  <c r="AL19" i="49" s="1"/>
  <c r="M23" i="1"/>
  <c r="AJ24" i="44"/>
  <c r="BG21" i="49" s="1"/>
  <c r="M25" i="1"/>
  <c r="AJ26" i="44"/>
  <c r="BG23" i="49" s="1"/>
  <c r="BK25" i="1"/>
  <c r="AI26" i="44"/>
  <c r="AL23" i="49" s="1"/>
  <c r="BK26" i="1"/>
  <c r="AI27" i="44"/>
  <c r="AL24" i="49" s="1"/>
  <c r="M29" i="1"/>
  <c r="AJ30" i="44"/>
  <c r="BG27" i="49" s="1"/>
  <c r="R5" i="44"/>
  <c r="U2" i="49" s="1"/>
  <c r="K5" i="44"/>
  <c r="N2" i="49" s="1"/>
  <c r="M16" i="35"/>
  <c r="O16" s="1"/>
  <c r="J17" i="44"/>
  <c r="M14" i="49" s="1"/>
  <c r="BK16" i="1"/>
  <c r="AI17" i="44"/>
  <c r="AL14" i="49" s="1"/>
  <c r="AP6" i="1"/>
  <c r="AK7" i="44"/>
  <c r="BH4" i="49" s="1"/>
  <c r="BK15" i="1"/>
  <c r="AI16" i="44"/>
  <c r="AL13" i="49" s="1"/>
  <c r="L18" i="44"/>
  <c r="O15" i="49" s="1"/>
  <c r="BK32" i="1"/>
  <c r="AI33" i="44"/>
  <c r="AL30" i="49" s="1"/>
  <c r="L35" i="44"/>
  <c r="O32" i="49" s="1"/>
  <c r="M35" i="44"/>
  <c r="P32" i="49" s="1"/>
  <c r="Q5" i="44"/>
  <c r="T2" i="49" s="1"/>
  <c r="AP5" i="1"/>
  <c r="AK6" i="44"/>
  <c r="BH3" i="49" s="1"/>
  <c r="AJ20" i="44"/>
  <c r="BG17" i="49" s="1"/>
  <c r="M19" i="1"/>
  <c r="M20"/>
  <c r="AJ21" i="44"/>
  <c r="BG18" i="49" s="1"/>
  <c r="G128" i="18"/>
  <c r="G57"/>
  <c r="BH20" i="1" s="1"/>
  <c r="AP20"/>
  <c r="AK21" i="44"/>
  <c r="BH18" i="49" s="1"/>
  <c r="G7" i="19"/>
  <c r="G37"/>
  <c r="M22" i="1"/>
  <c r="AJ23" i="44"/>
  <c r="BG20" i="49" s="1"/>
  <c r="BK23" i="1"/>
  <c r="AI24" i="44"/>
  <c r="AL21" i="49" s="1"/>
  <c r="AP24" i="1"/>
  <c r="AK25" i="44"/>
  <c r="BH22" i="49" s="1"/>
  <c r="AP28" i="1"/>
  <c r="AK29" i="44"/>
  <c r="BH26" i="49" s="1"/>
  <c r="BK29" i="1"/>
  <c r="AI30" i="44"/>
  <c r="AL27" i="49" s="1"/>
  <c r="AP30" i="1"/>
  <c r="AK31" i="44"/>
  <c r="BH28" i="49" s="1"/>
  <c r="S5" i="44"/>
  <c r="V2" i="49" s="1"/>
  <c r="M5" i="44"/>
  <c r="P2" i="49" s="1"/>
  <c r="BK13" i="1"/>
  <c r="AI12" i="44"/>
  <c r="AL9" i="49" s="1"/>
  <c r="M15" i="35"/>
  <c r="O15" s="1"/>
  <c r="J16" i="44"/>
  <c r="M13" i="49" s="1"/>
  <c r="BK10" i="1"/>
  <c r="AI11" i="44"/>
  <c r="AL8" i="49" s="1"/>
  <c r="M10" i="35"/>
  <c r="O10" s="1"/>
  <c r="J11" i="44"/>
  <c r="M8" i="49" s="1"/>
  <c r="M18" i="44"/>
  <c r="P15" i="49" s="1"/>
  <c r="M33" i="1"/>
  <c r="AJ34" i="44"/>
  <c r="BG31" i="49" s="1"/>
  <c r="N5" i="44"/>
  <c r="Q2" i="49" s="1"/>
  <c r="AP7" i="1"/>
  <c r="AK8" i="44"/>
  <c r="BH5" i="49" s="1"/>
  <c r="H11" i="35"/>
  <c r="AP15" i="1"/>
  <c r="AK16" i="44"/>
  <c r="BH13" i="49" s="1"/>
  <c r="AP16" i="1"/>
  <c r="AK17" i="44"/>
  <c r="BH14" i="49" s="1"/>
  <c r="AP19" i="1"/>
  <c r="AK20" i="44"/>
  <c r="BH17" i="49" s="1"/>
  <c r="G56" i="18"/>
  <c r="AM20" i="1"/>
  <c r="AP21"/>
  <c r="AK22" i="44"/>
  <c r="BH19" i="49" s="1"/>
  <c r="BK22" i="1"/>
  <c r="AI23" i="44"/>
  <c r="AL20" i="49" s="1"/>
  <c r="AP22" i="1"/>
  <c r="AK23" i="44"/>
  <c r="BH20" i="49" s="1"/>
  <c r="M24" i="1"/>
  <c r="AJ25" i="44"/>
  <c r="BG22" i="49" s="1"/>
  <c r="AP25" i="1"/>
  <c r="AK26" i="44"/>
  <c r="BH23" i="49" s="1"/>
  <c r="M26" i="1"/>
  <c r="AJ27" i="44"/>
  <c r="BG24" i="49" s="1"/>
  <c r="AP26" i="1"/>
  <c r="AK27" i="44"/>
  <c r="BH24" i="49" s="1"/>
  <c r="BK28" i="1"/>
  <c r="AI29" i="44"/>
  <c r="AL26" i="49" s="1"/>
  <c r="M31" i="1"/>
  <c r="AJ32" i="44"/>
  <c r="AP32" i="1"/>
  <c r="AK33" i="44"/>
  <c r="BH30" i="49" s="1"/>
  <c r="T5" i="44"/>
  <c r="W2" i="49" s="1"/>
  <c r="O5" i="44"/>
  <c r="R2" i="49" s="1"/>
  <c r="BK5" i="1"/>
  <c r="AI6" i="44"/>
  <c r="AL3" i="49" s="1"/>
  <c r="BK9" i="1"/>
  <c r="AI10" i="44"/>
  <c r="AL7" i="49" s="1"/>
  <c r="M14" i="35"/>
  <c r="O14" s="1"/>
  <c r="J15" i="44"/>
  <c r="M12" i="49" s="1"/>
  <c r="BK14" i="1"/>
  <c r="AI15" i="44"/>
  <c r="AL12" i="49" s="1"/>
  <c r="BK33" i="1"/>
  <c r="AI35" i="44"/>
  <c r="AL32" i="49" s="1"/>
  <c r="AK35" i="44"/>
  <c r="BH32" i="49" s="1"/>
  <c r="L5" i="44"/>
  <c r="O2" i="49" s="1"/>
  <c r="AN5" i="44"/>
  <c r="BK2" i="49" s="1"/>
  <c r="AP4" i="1"/>
  <c r="AK5" i="44"/>
  <c r="BH2" i="49" s="1"/>
  <c r="AJ5" i="44"/>
  <c r="BG2" i="49" s="1"/>
  <c r="AJ13" i="44"/>
  <c r="BG10" i="49" s="1"/>
  <c r="H12" i="35"/>
  <c r="AP13" i="1"/>
  <c r="AP14"/>
  <c r="AK15" i="44"/>
  <c r="BH12" i="49" s="1"/>
  <c r="G39" i="18"/>
  <c r="BK20" i="1"/>
  <c r="AI21" i="44"/>
  <c r="AL18" i="49" s="1"/>
  <c r="G39" i="19"/>
  <c r="AP23" i="1"/>
  <c r="AK24" i="44"/>
  <c r="BH21" i="49" s="1"/>
  <c r="M28" i="1"/>
  <c r="AJ29" i="44"/>
  <c r="BG26" i="49" s="1"/>
  <c r="AP29" i="1"/>
  <c r="AK30" i="44"/>
  <c r="BH27" i="49" s="1"/>
  <c r="M30" i="1"/>
  <c r="AJ31" i="44"/>
  <c r="BG28" i="49" s="1"/>
  <c r="BK30" i="1"/>
  <c r="AI31" i="44"/>
  <c r="AL28" i="49" s="1"/>
  <c r="M32" i="1"/>
  <c r="AJ33" i="44"/>
  <c r="BG30" i="49" s="1"/>
  <c r="AP11" i="1"/>
  <c r="AK12" i="44"/>
  <c r="BH9" i="49" s="1"/>
  <c r="V5" i="44"/>
  <c r="Y2" i="49" s="1"/>
  <c r="P5" i="44"/>
  <c r="S2" i="49" s="1"/>
  <c r="L8" i="44"/>
  <c r="O5" i="49" s="1"/>
  <c r="M8" i="44"/>
  <c r="P5" i="49" s="1"/>
  <c r="BK8" i="1"/>
  <c r="AI9" i="44"/>
  <c r="AL6" i="49" s="1"/>
  <c r="M13" i="35"/>
  <c r="O13" s="1"/>
  <c r="J14" i="44"/>
  <c r="M11" i="49" s="1"/>
  <c r="BK24" i="1"/>
  <c r="AI25" i="44"/>
  <c r="AL22" i="49" s="1"/>
  <c r="H7" i="35"/>
  <c r="AP10" i="1"/>
  <c r="AK11" i="44"/>
  <c r="BH8" i="49" s="1"/>
  <c r="H10" i="35"/>
  <c r="J18" i="44"/>
  <c r="M15" i="49" s="1"/>
  <c r="AL5" i="44"/>
  <c r="BI2" i="49" s="1"/>
  <c r="AP17" i="1"/>
  <c r="AK18" i="44"/>
  <c r="BH15" i="49" s="1"/>
  <c r="AP18" i="1"/>
  <c r="AK19" i="44"/>
  <c r="BH16" i="49" s="1"/>
  <c r="BK18" i="1"/>
  <c r="AI19" i="44"/>
  <c r="AL16" i="49" s="1"/>
  <c r="BK17" i="1"/>
  <c r="AI18" i="44"/>
  <c r="AL15" i="49" s="1"/>
  <c r="V18" i="44"/>
  <c r="Y15" i="49" s="1"/>
  <c r="T18" i="44"/>
  <c r="W15" i="49" s="1"/>
  <c r="S18" i="44"/>
  <c r="V15" i="49" s="1"/>
  <c r="R18" i="44"/>
  <c r="U15" i="49" s="1"/>
  <c r="Q18" i="44"/>
  <c r="T15" i="49" s="1"/>
  <c r="P18" i="44"/>
  <c r="S15" i="49" s="1"/>
  <c r="O18" i="44"/>
  <c r="R15" i="49" s="1"/>
  <c r="N18" i="44"/>
  <c r="Q15" i="49" s="1"/>
  <c r="M18" i="35"/>
  <c r="K19" i="44"/>
  <c r="N16" i="49" s="1"/>
  <c r="M17" i="35"/>
  <c r="K18" i="44"/>
  <c r="N15" i="49" s="1"/>
  <c r="G128" i="11"/>
  <c r="M4" i="1"/>
  <c r="G128" i="12"/>
  <c r="P128" s="1"/>
  <c r="G128" i="28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M18" i="1"/>
  <c r="G128" i="16"/>
  <c r="G128" i="20"/>
  <c r="G128" i="7"/>
  <c r="M10" i="1"/>
  <c r="G128" i="8"/>
  <c r="G128" i="9"/>
  <c r="G52" i="20"/>
  <c r="D23" i="44" s="1"/>
  <c r="G20" i="49" s="1"/>
  <c r="W13" i="1"/>
  <c r="G8" i="35"/>
  <c r="Q36" i="1"/>
  <c r="I27"/>
  <c r="E25" i="47" s="1"/>
  <c r="G148" i="21"/>
  <c r="G149" s="1"/>
  <c r="G20" i="19"/>
  <c r="P21" i="1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G59" i="15"/>
  <c r="G20" i="14"/>
  <c r="P16" i="1" s="1"/>
  <c r="AT27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4"/>
  <c r="V13"/>
  <c r="AO12"/>
  <c r="I133" i="11"/>
  <c r="G85"/>
  <c r="G142"/>
  <c r="G143" s="1"/>
  <c r="W11" i="1"/>
  <c r="BK12"/>
  <c r="AV12"/>
  <c r="G20" i="9"/>
  <c r="P11" i="1" s="1"/>
  <c r="G94" i="9"/>
  <c r="M11" i="1"/>
  <c r="BK1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3" i="24"/>
  <c r="AZ13" i="1"/>
  <c r="G150" i="11"/>
  <c r="G151" s="1"/>
  <c r="AA10" i="1"/>
  <c r="I138" i="23"/>
  <c r="AJ25" i="1"/>
  <c r="L17" i="35"/>
  <c r="G85" i="15"/>
  <c r="AQ4" i="1"/>
  <c r="AC17"/>
  <c r="AE17" s="1"/>
  <c r="I136" i="15"/>
  <c r="I138" i="22"/>
  <c r="AJ24" i="1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BA20" i="1"/>
  <c r="AR23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BD4" i="1"/>
  <c r="I138" i="18"/>
  <c r="G101" i="20"/>
  <c r="G148" i="22"/>
  <c r="G149" s="1"/>
  <c r="G146" i="23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AL36"/>
  <c r="V12"/>
  <c r="BA11"/>
  <c r="I133" i="13"/>
  <c r="G150" i="14"/>
  <c r="G151" s="1"/>
  <c r="I133"/>
  <c r="G13" i="19"/>
  <c r="I133" i="20"/>
  <c r="I133" i="28"/>
  <c r="G94" i="29"/>
  <c r="G85" i="12"/>
  <c r="M12" i="1"/>
  <c r="AX12"/>
  <c r="AQ19"/>
  <c r="G142" i="17"/>
  <c r="G143" s="1"/>
  <c r="AC23" i="1"/>
  <c r="I136" i="21"/>
  <c r="BI29" i="1"/>
  <c r="G150" i="27"/>
  <c r="G151" s="1"/>
  <c r="AD12" i="1"/>
  <c r="AE12" s="1"/>
  <c r="AJ4"/>
  <c r="AC20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V24" i="1"/>
  <c r="V15"/>
  <c r="V22"/>
  <c r="I133" i="24"/>
  <c r="G152" i="7"/>
  <c r="G153" s="1"/>
  <c r="G47" i="16"/>
  <c r="AE19" i="1"/>
  <c r="G101" i="22"/>
  <c r="G13" i="23"/>
  <c r="G109" i="42"/>
  <c r="G110" s="1"/>
  <c r="G142" i="14"/>
  <c r="G143" s="1"/>
  <c r="G94"/>
  <c r="G13" i="15"/>
  <c r="I13" s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94" i="7"/>
  <c r="BB9" i="1"/>
  <c r="AI9"/>
  <c r="M9" i="35"/>
  <c r="O9" s="1"/>
  <c r="G85" i="7"/>
  <c r="G47"/>
  <c r="AQ9" i="1"/>
  <c r="G148" i="7"/>
  <c r="G149" s="1"/>
  <c r="G13"/>
  <c r="AC8" i="1"/>
  <c r="AE8" s="1"/>
  <c r="I133" i="33"/>
  <c r="G101"/>
  <c r="G85"/>
  <c r="G150"/>
  <c r="G151" s="1"/>
  <c r="AT8" i="1"/>
  <c r="G146" i="33"/>
  <c r="M8" i="1"/>
  <c r="G13" i="33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01" i="12"/>
  <c r="P101" s="1"/>
  <c r="G150" i="13"/>
  <c r="BB15" i="1"/>
  <c r="G59" i="14"/>
  <c r="G101" i="23"/>
  <c r="K8" i="35"/>
  <c r="V16" i="1"/>
  <c r="G144" i="7"/>
  <c r="G145" s="1"/>
  <c r="G13" i="16"/>
  <c r="G47" i="23"/>
  <c r="I136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G148" i="29"/>
  <c r="I119" i="42"/>
  <c r="G142" i="30"/>
  <c r="G13" i="42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W6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I6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C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AE23" i="1" l="1"/>
  <c r="AO9"/>
  <c r="AO19"/>
  <c r="C37" i="44"/>
  <c r="AO22" i="1"/>
  <c r="AO16"/>
  <c r="I13" i="7"/>
  <c r="H9" i="35"/>
  <c r="I133" i="43"/>
  <c r="BJ5" i="1"/>
  <c r="I9" i="35"/>
  <c r="AM36" i="1"/>
  <c r="F37" i="44"/>
  <c r="I16" i="49"/>
  <c r="E28" i="13"/>
  <c r="G28" s="1"/>
  <c r="G32" s="1"/>
  <c r="E37" i="44"/>
  <c r="H16" i="49"/>
  <c r="E22" i="44"/>
  <c r="H19" i="49" s="1"/>
  <c r="C22" i="44"/>
  <c r="F19" i="49" s="1"/>
  <c r="I13" i="33"/>
  <c r="AJ16" i="44"/>
  <c r="BG13" i="49" s="1"/>
  <c r="AO30" i="1"/>
  <c r="D37" i="44"/>
  <c r="G16" i="49"/>
  <c r="E21" i="44"/>
  <c r="H18" i="49" s="1"/>
  <c r="AP32" i="44"/>
  <c r="BG29" i="49"/>
  <c r="B37" i="44"/>
  <c r="G37"/>
  <c r="G128" i="13"/>
  <c r="AO29" i="1"/>
  <c r="B22" i="44"/>
  <c r="E19" i="49" s="1"/>
  <c r="F23" i="44"/>
  <c r="I20" i="49" s="1"/>
  <c r="AL21" i="1"/>
  <c r="AQ22" i="44"/>
  <c r="AL20" i="1"/>
  <c r="AQ21" i="44"/>
  <c r="AO10" i="1"/>
  <c r="D36" i="44"/>
  <c r="AO13" i="1"/>
  <c r="F7" i="44"/>
  <c r="I4" i="49" s="1"/>
  <c r="G21" i="44"/>
  <c r="J18" i="49" s="1"/>
  <c r="F21" i="44"/>
  <c r="I18" i="49" s="1"/>
  <c r="J111" i="19"/>
  <c r="H111" i="20"/>
  <c r="J115" i="19"/>
  <c r="H115" i="20"/>
  <c r="J117" i="19"/>
  <c r="H117" i="20"/>
  <c r="J104" i="19"/>
  <c r="H104" i="20"/>
  <c r="J116" i="19"/>
  <c r="H116" i="20"/>
  <c r="J110" i="19"/>
  <c r="H110" i="20"/>
  <c r="J107" i="19"/>
  <c r="H107" i="20"/>
  <c r="H119"/>
  <c r="J119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s="1"/>
  <c r="G32" s="1"/>
  <c r="T11" i="1"/>
  <c r="V11" s="1"/>
  <c r="J105" i="19"/>
  <c r="H105" i="20"/>
  <c r="AJ21" i="1"/>
  <c r="AK21" s="1"/>
  <c r="G142" i="19"/>
  <c r="G143" s="1"/>
  <c r="T29" i="45"/>
  <c r="T30" s="1"/>
  <c r="BJ14" i="1"/>
  <c r="M30" i="45"/>
  <c r="G143" i="33"/>
  <c r="G145"/>
  <c r="I8" i="1"/>
  <c r="E6" i="47" s="1"/>
  <c r="G149" i="33"/>
  <c r="G153"/>
  <c r="G147"/>
  <c r="I6" i="35"/>
  <c r="H6"/>
  <c r="I138" i="19"/>
  <c r="I133" i="18"/>
  <c r="AO7" i="1"/>
  <c r="AH19"/>
  <c r="AH35" s="1"/>
  <c r="H5" i="35"/>
  <c r="AB35" i="1"/>
  <c r="L28"/>
  <c r="G172" i="12"/>
  <c r="AK23" i="1"/>
  <c r="H17" i="35"/>
  <c r="K17" s="1"/>
  <c r="L29" i="45"/>
  <c r="L30" s="1"/>
  <c r="BB35" i="1"/>
  <c r="F37"/>
  <c r="N31" i="31"/>
  <c r="AO25" i="1"/>
  <c r="AO8"/>
  <c r="AV35"/>
  <c r="BF35"/>
  <c r="E2" i="47"/>
  <c r="BE35" i="1"/>
  <c r="AU35"/>
  <c r="BA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G6" i="47"/>
  <c r="O22" i="1"/>
  <c r="G20" i="47"/>
  <c r="O20" i="1"/>
  <c r="G18" i="47"/>
  <c r="O13" i="1"/>
  <c r="G11" i="47"/>
  <c r="O12" i="1"/>
  <c r="G10" i="47"/>
  <c r="M10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N29" i="45"/>
  <c r="N30" s="1"/>
  <c r="O16" i="1"/>
  <c r="G14" i="47"/>
  <c r="O11" i="1"/>
  <c r="G9" i="47"/>
  <c r="O26" i="1"/>
  <c r="G24" i="47"/>
  <c r="I24" i="45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S36" i="1"/>
  <c r="BJ16"/>
  <c r="H29" i="45"/>
  <c r="H30" s="1"/>
  <c r="BM28" i="1"/>
  <c r="BN28"/>
  <c r="I13" i="35"/>
  <c r="AO15" i="1"/>
  <c r="G32" i="17"/>
  <c r="I13" i="24"/>
  <c r="G32" i="22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29" i="45"/>
  <c r="Q30" s="1"/>
  <c r="R29"/>
  <c r="R30" s="1"/>
  <c r="BC36" i="1"/>
  <c r="AH17" i="44"/>
  <c r="AK14" i="49" s="1"/>
  <c r="AH16" i="44"/>
  <c r="AK13" i="49" s="1"/>
  <c r="Z14" i="1"/>
  <c r="AO5"/>
  <c r="BL4"/>
  <c r="AE21"/>
  <c r="J106" i="43"/>
  <c r="H106" i="31"/>
  <c r="N106" s="1"/>
  <c r="J115" i="43"/>
  <c r="H115" i="31"/>
  <c r="N115" s="1"/>
  <c r="J110" i="43"/>
  <c r="H110" i="31"/>
  <c r="N110" s="1"/>
  <c r="J104" i="43"/>
  <c r="H104" i="31"/>
  <c r="N104" s="1"/>
  <c r="E24" i="45"/>
  <c r="E29"/>
  <c r="E30" s="1"/>
  <c r="W24"/>
  <c r="W29"/>
  <c r="W30" s="1"/>
  <c r="J119" i="43"/>
  <c r="H119" i="31"/>
  <c r="J119" s="1"/>
  <c r="J118" i="43"/>
  <c r="H118" i="31"/>
  <c r="J118" s="1"/>
  <c r="G31" i="18"/>
  <c r="G32" s="1"/>
  <c r="K31"/>
  <c r="L164" i="21"/>
  <c r="L172" s="1"/>
  <c r="G172"/>
  <c r="AE20" i="1"/>
  <c r="Z29" i="45"/>
  <c r="Z30" s="1"/>
  <c r="O29"/>
  <c r="O30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4" i="45"/>
  <c r="P29"/>
  <c r="P30" s="1"/>
  <c r="AA26" i="44"/>
  <c r="AD23" i="49" s="1"/>
  <c r="J29" i="45"/>
  <c r="J30" s="1"/>
  <c r="K29"/>
  <c r="K30" s="1"/>
  <c r="T24"/>
  <c r="J112" i="43"/>
  <c r="H112" i="31"/>
  <c r="N112" s="1"/>
  <c r="J105" i="43"/>
  <c r="H105" i="31"/>
  <c r="N105" s="1"/>
  <c r="J109" i="43"/>
  <c r="H109" i="31"/>
  <c r="N109" s="1"/>
  <c r="V24" i="45"/>
  <c r="V29"/>
  <c r="V30" s="1"/>
  <c r="J120" i="43"/>
  <c r="H120" i="31"/>
  <c r="N120" s="1"/>
  <c r="S24" i="45"/>
  <c r="S29"/>
  <c r="S30" s="1"/>
  <c r="BP4" i="1"/>
  <c r="BN4"/>
  <c r="AO20"/>
  <c r="D29" i="45"/>
  <c r="D30" s="1"/>
  <c r="G29"/>
  <c r="G30" s="1"/>
  <c r="AB26" i="44"/>
  <c r="AE23" i="49" s="1"/>
  <c r="F29" i="45"/>
  <c r="F30" s="1"/>
  <c r="AM21" i="1"/>
  <c r="AG29" i="45"/>
  <c r="AG30" s="1"/>
  <c r="AE29"/>
  <c r="AE30" s="1"/>
  <c r="AF29"/>
  <c r="AF30" s="1"/>
  <c r="AD29"/>
  <c r="AD30" s="1"/>
  <c r="AC29"/>
  <c r="AC30" s="1"/>
  <c r="AB29"/>
  <c r="AB30" s="1"/>
  <c r="G172" i="24"/>
  <c r="AO26" i="1"/>
  <c r="Y29" i="45"/>
  <c r="Y30" s="1"/>
  <c r="AE25" i="1"/>
  <c r="X29" i="45"/>
  <c r="X30" s="1"/>
  <c r="H119" i="23"/>
  <c r="J119" s="1"/>
  <c r="AH26" i="44"/>
  <c r="AK23" i="49" s="1"/>
  <c r="AG26" i="44"/>
  <c r="AJ23" i="49" s="1"/>
  <c r="AF26" i="44"/>
  <c r="AI23" i="49" s="1"/>
  <c r="AE26" i="44"/>
  <c r="AH23" i="49" s="1"/>
  <c r="AD26" i="44"/>
  <c r="AG23" i="49" s="1"/>
  <c r="AC26" i="44"/>
  <c r="AF23" i="49" s="1"/>
  <c r="G149" i="23"/>
  <c r="G145"/>
  <c r="G147"/>
  <c r="G153"/>
  <c r="G151"/>
  <c r="G143"/>
  <c r="P25" i="1"/>
  <c r="R25" s="1"/>
  <c r="H118" i="23"/>
  <c r="J118" s="1"/>
  <c r="I13"/>
  <c r="BJ24" i="1"/>
  <c r="AP5" i="44"/>
  <c r="BM2" i="49" s="1"/>
  <c r="Z21" i="1"/>
  <c r="Y36"/>
  <c r="G32" i="16"/>
  <c r="AW16" i="44"/>
  <c r="M24" i="45"/>
  <c r="I14" i="35"/>
  <c r="AH15" i="44"/>
  <c r="AK12" i="49" s="1"/>
  <c r="H13" i="35"/>
  <c r="K13" s="1"/>
  <c r="G32" i="8"/>
  <c r="G32" i="20"/>
  <c r="AI36" i="1"/>
  <c r="AO4"/>
  <c r="Z7"/>
  <c r="N29" i="31"/>
  <c r="G172" i="43"/>
  <c r="BJ33" i="1"/>
  <c r="AF33"/>
  <c r="BJ29"/>
  <c r="G172" i="28"/>
  <c r="G172" i="27"/>
  <c r="AU32" i="44"/>
  <c r="G172" i="40"/>
  <c r="G172" i="23"/>
  <c r="G172" i="22"/>
  <c r="U24" i="45"/>
  <c r="Z22" i="1"/>
  <c r="BJ21"/>
  <c r="G172" i="20"/>
  <c r="AU22" i="44"/>
  <c r="G172" i="19"/>
  <c r="Z20" i="1"/>
  <c r="G172" i="18"/>
  <c r="AK17" i="1"/>
  <c r="Z18"/>
  <c r="AH18" i="44"/>
  <c r="AK15" i="49" s="1"/>
  <c r="G172" i="15"/>
  <c r="O24" i="45"/>
  <c r="H16" i="35"/>
  <c r="K16" s="1"/>
  <c r="G172" i="13"/>
  <c r="G172" i="14"/>
  <c r="AE15" i="1"/>
  <c r="I15" i="35"/>
  <c r="H15"/>
  <c r="AF16" i="44"/>
  <c r="AI13" i="49" s="1"/>
  <c r="H118" i="13"/>
  <c r="J118" s="1"/>
  <c r="G28" i="11"/>
  <c r="G30"/>
  <c r="G31"/>
  <c r="AU12" i="44"/>
  <c r="AK8" i="1"/>
  <c r="AU26" i="44"/>
  <c r="AU21"/>
  <c r="R24" i="45"/>
  <c r="AH36" i="1"/>
  <c r="AK26"/>
  <c r="AF24" i="45"/>
  <c r="AU33" i="44"/>
  <c r="M5" i="1"/>
  <c r="M35" s="1"/>
  <c r="BJ6"/>
  <c r="G149" i="30"/>
  <c r="H119"/>
  <c r="J119" s="1"/>
  <c r="G32" i="7"/>
  <c r="G101" i="43"/>
  <c r="Z6" i="1"/>
  <c r="BJ18"/>
  <c r="Y24" i="45"/>
  <c r="G32" i="29"/>
  <c r="G143" i="30"/>
  <c r="H118"/>
  <c r="J118" s="1"/>
  <c r="G32" i="40"/>
  <c r="I13" i="30"/>
  <c r="G145"/>
  <c r="G60"/>
  <c r="G32" i="23"/>
  <c r="G32" i="24"/>
  <c r="G146" i="19"/>
  <c r="G147" s="1"/>
  <c r="G146" i="18"/>
  <c r="G147" s="1"/>
  <c r="X36" i="1"/>
  <c r="AK20"/>
  <c r="Q24" i="45"/>
  <c r="G153" i="13"/>
  <c r="H119"/>
  <c r="J119" s="1"/>
  <c r="Z5" i="1"/>
  <c r="K11" i="35"/>
  <c r="AJ6" i="44"/>
  <c r="AU5"/>
  <c r="G32" i="21"/>
  <c r="AK18" i="1"/>
  <c r="Z17"/>
  <c r="AU18" i="44"/>
  <c r="AU17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AE15" i="44"/>
  <c r="AH12" i="49" s="1"/>
  <c r="P66" i="12"/>
  <c r="AG15" i="44"/>
  <c r="AJ12" i="49" s="1"/>
  <c r="P68" i="12"/>
  <c r="AF15" i="44"/>
  <c r="AI12" i="49" s="1"/>
  <c r="P67" i="12"/>
  <c r="G145"/>
  <c r="P145" s="1"/>
  <c r="P144"/>
  <c r="G147"/>
  <c r="P147" s="1"/>
  <c r="P146"/>
  <c r="AD15" i="44"/>
  <c r="AG12" i="49" s="1"/>
  <c r="P65" i="12"/>
  <c r="AC15" i="44"/>
  <c r="AF12" i="49" s="1"/>
  <c r="P64" i="12"/>
  <c r="P63"/>
  <c r="G153"/>
  <c r="P153" s="1"/>
  <c r="P152"/>
  <c r="P62"/>
  <c r="G60" i="11"/>
  <c r="I60" s="1"/>
  <c r="Z24" i="45"/>
  <c r="G32" i="33"/>
  <c r="G32" i="14"/>
  <c r="P13" i="12"/>
  <c r="AK15" i="1"/>
  <c r="AU16" i="44"/>
  <c r="N24" i="45"/>
  <c r="AK14" i="1"/>
  <c r="G32" i="12"/>
  <c r="P32" s="1"/>
  <c r="AK13" i="1"/>
  <c r="BN13"/>
  <c r="L13"/>
  <c r="BM13"/>
  <c r="AK12"/>
  <c r="Z12"/>
  <c r="AP12" i="44"/>
  <c r="BM9" i="49" s="1"/>
  <c r="L24" i="45"/>
  <c r="AK9" i="1"/>
  <c r="J24" i="45"/>
  <c r="H24"/>
  <c r="AK22" i="1"/>
  <c r="G32" i="15"/>
  <c r="X24" i="45"/>
  <c r="AU11" i="44"/>
  <c r="G32" i="19"/>
  <c r="AP8" i="44"/>
  <c r="BM5" i="49" s="1"/>
  <c r="AU9" i="44"/>
  <c r="I15" i="1"/>
  <c r="H14" i="35"/>
  <c r="G32" i="27"/>
  <c r="Z29" i="1"/>
  <c r="AK29"/>
  <c r="G32" i="28"/>
  <c r="AG24" i="45"/>
  <c r="AU25" i="44"/>
  <c r="AU23"/>
  <c r="AU19"/>
  <c r="Z9" i="1"/>
  <c r="Z15"/>
  <c r="Z10"/>
  <c r="L18"/>
  <c r="AE24" i="45"/>
  <c r="AU20" i="44"/>
  <c r="H128" i="18"/>
  <c r="J128" s="1"/>
  <c r="J128" i="17"/>
  <c r="AK16" i="1"/>
  <c r="AK24"/>
  <c r="AK25"/>
  <c r="AK10"/>
  <c r="Z8"/>
  <c r="AU13" i="44"/>
  <c r="AU27"/>
  <c r="G32" i="43"/>
  <c r="AU15" i="44"/>
  <c r="AU14"/>
  <c r="AK7" i="1"/>
  <c r="F24" i="45"/>
  <c r="G24"/>
  <c r="T4" i="1"/>
  <c r="Z4"/>
  <c r="D24" i="45"/>
  <c r="G60" i="43"/>
  <c r="I60" s="1"/>
  <c r="AK33" i="1"/>
  <c r="AU34" i="44"/>
  <c r="Z33" i="1"/>
  <c r="G32" i="30"/>
  <c r="AK31" i="1"/>
  <c r="Z31"/>
  <c r="BP31"/>
  <c r="BQ31" s="1"/>
  <c r="BJ31"/>
  <c r="BJ41" s="1"/>
  <c r="AK30"/>
  <c r="AU31" i="44"/>
  <c r="AC24" i="45"/>
  <c r="BN30" i="1"/>
  <c r="AU30" i="44"/>
  <c r="AB24" i="45"/>
  <c r="Z28" i="1"/>
  <c r="Z26"/>
  <c r="AF25"/>
  <c r="Z25"/>
  <c r="AF24"/>
  <c r="AG24" s="1"/>
  <c r="Z24"/>
  <c r="Z23"/>
  <c r="G148" i="20"/>
  <c r="G149" s="1"/>
  <c r="G47" i="18"/>
  <c r="AF18" i="1"/>
  <c r="K9" i="35"/>
  <c r="BN27" i="1"/>
  <c r="AP34" i="44"/>
  <c r="AF21" i="1"/>
  <c r="BG20"/>
  <c r="BL20" s="1"/>
  <c r="G145" i="13"/>
  <c r="G147"/>
  <c r="G151"/>
  <c r="G143"/>
  <c r="I13"/>
  <c r="G149"/>
  <c r="Z19" i="1"/>
  <c r="AK5"/>
  <c r="AP33" i="44"/>
  <c r="BP24" i="1"/>
  <c r="BQ24" s="1"/>
  <c r="AV36"/>
  <c r="BL28"/>
  <c r="AF28"/>
  <c r="AG28" s="1"/>
  <c r="BP28"/>
  <c r="BQ28" s="1"/>
  <c r="G47" i="19"/>
  <c r="AX36" i="1"/>
  <c r="AP17" i="44"/>
  <c r="K18" i="35"/>
  <c r="G145" i="19"/>
  <c r="BP21" i="1"/>
  <c r="G149" i="19"/>
  <c r="BP23" i="1"/>
  <c r="BQ23" s="1"/>
  <c r="K5" i="35"/>
  <c r="AK6" i="1"/>
  <c r="AF19"/>
  <c r="AG19" s="1"/>
  <c r="AF15"/>
  <c r="AP18" i="44"/>
  <c r="AP20"/>
  <c r="G151" i="19"/>
  <c r="Z30" i="1"/>
  <c r="AP9" i="44"/>
  <c r="BM6" i="49" s="1"/>
  <c r="AU36" i="1"/>
  <c r="K12" i="35"/>
  <c r="AT36" i="1"/>
  <c r="AP16" i="44"/>
  <c r="BM13" i="49" s="1"/>
  <c r="O17" i="35"/>
  <c r="AP14" i="44"/>
  <c r="BM11" i="49" s="1"/>
  <c r="BP13" i="1"/>
  <c r="BQ13" s="1"/>
  <c r="BP14"/>
  <c r="AP25" i="44"/>
  <c r="AP7"/>
  <c r="BM4" i="49" s="1"/>
  <c r="K7" i="35"/>
  <c r="AF16" i="1"/>
  <c r="AG16" s="1"/>
  <c r="AP11" i="44"/>
  <c r="BM8" i="49" s="1"/>
  <c r="BJ32" i="1"/>
  <c r="BM18"/>
  <c r="AP19" i="44"/>
  <c r="P33" i="1"/>
  <c r="S33" s="1"/>
  <c r="BP26"/>
  <c r="BQ26" s="1"/>
  <c r="AF14"/>
  <c r="AF31"/>
  <c r="AG31" s="1"/>
  <c r="BP16"/>
  <c r="BQ16" s="1"/>
  <c r="BP22"/>
  <c r="BQ22" s="1"/>
  <c r="AF26"/>
  <c r="AG26" s="1"/>
  <c r="AF22"/>
  <c r="AG22" s="1"/>
  <c r="AP35" i="44"/>
  <c r="BL13" i="1"/>
  <c r="I13" i="11"/>
  <c r="AP15" i="44"/>
  <c r="BM12" i="49" s="1"/>
  <c r="AF13" i="1"/>
  <c r="AG13" s="1"/>
  <c r="BM11"/>
  <c r="BN11"/>
  <c r="K10" i="35"/>
  <c r="AP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BJ4"/>
  <c r="AP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P31" i="44"/>
  <c r="AF30" i="1"/>
  <c r="AG30" s="1"/>
  <c r="BJ30"/>
  <c r="AP29" i="44"/>
  <c r="AP27"/>
  <c r="AP23"/>
  <c r="G152" i="19"/>
  <c r="G153" s="1"/>
  <c r="I13"/>
  <c r="BN20" i="1"/>
  <c r="G59" i="18"/>
  <c r="P4" i="1"/>
  <c r="AP21" i="44"/>
  <c r="AP30"/>
  <c r="AP24"/>
  <c r="AP26"/>
  <c r="AP22"/>
  <c r="O18" i="35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BP7"/>
  <c r="P20"/>
  <c r="S21"/>
  <c r="P15"/>
  <c r="G145" i="29"/>
  <c r="P26" i="1"/>
  <c r="I31"/>
  <c r="G147" i="29"/>
  <c r="G149"/>
  <c r="G153"/>
  <c r="G151"/>
  <c r="P6" i="1"/>
  <c r="AK4"/>
  <c r="BP27"/>
  <c r="BQ27" s="1"/>
  <c r="G60" i="27"/>
  <c r="I59" s="1"/>
  <c r="S24" i="1"/>
  <c r="P23"/>
  <c r="R11"/>
  <c r="Z16"/>
  <c r="P22"/>
  <c r="P8"/>
  <c r="I6" i="47" s="1"/>
  <c r="G31" i="42"/>
  <c r="P13" i="1"/>
  <c r="BP30"/>
  <c r="BQ30" s="1"/>
  <c r="L29"/>
  <c r="P29"/>
  <c r="I27" i="4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BP12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I25" i="47" s="1"/>
  <c r="M25" s="1"/>
  <c r="AF29" i="1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I13" i="16"/>
  <c r="P7" i="1"/>
  <c r="G60" i="33"/>
  <c r="P5" i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BP25"/>
  <c r="G60" i="13"/>
  <c r="AE7" i="1"/>
  <c r="AE6"/>
  <c r="BP6"/>
  <c r="AF6"/>
  <c r="L6"/>
  <c r="AE5"/>
  <c r="AF5"/>
  <c r="BP5"/>
  <c r="L5"/>
  <c r="AE4"/>
  <c r="AF4"/>
  <c r="L4"/>
  <c r="AE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AW34" i="44" l="1"/>
  <c r="BM31" i="49"/>
  <c r="AW35" i="44"/>
  <c r="BM32" i="49"/>
  <c r="AW33" i="44"/>
  <c r="BM30" i="49"/>
  <c r="J111" i="31"/>
  <c r="AG23" i="1"/>
  <c r="C36" i="44"/>
  <c r="AL35" i="1"/>
  <c r="H119" i="21"/>
  <c r="H119" i="22" s="1"/>
  <c r="J119" s="1"/>
  <c r="E36" i="44"/>
  <c r="J118" i="21"/>
  <c r="H118" i="22"/>
  <c r="J118" s="1"/>
  <c r="AW24" i="44"/>
  <c r="BM21" i="49"/>
  <c r="AW23" i="44"/>
  <c r="BM20" i="49"/>
  <c r="AW20" i="44"/>
  <c r="BM17" i="49"/>
  <c r="J118" i="20"/>
  <c r="F36" i="44"/>
  <c r="G36"/>
  <c r="AW21"/>
  <c r="BM18" i="49"/>
  <c r="AW26" i="44"/>
  <c r="BM23" i="49"/>
  <c r="AP6" i="44"/>
  <c r="BM3" i="49" s="1"/>
  <c r="BG3"/>
  <c r="AW18" i="44"/>
  <c r="BM15" i="49"/>
  <c r="AW22" i="44"/>
  <c r="BM19" i="49"/>
  <c r="AW29" i="44"/>
  <c r="BM26" i="49"/>
  <c r="AW30" i="44"/>
  <c r="BM27" i="49"/>
  <c r="AW31" i="44"/>
  <c r="BM28" i="49"/>
  <c r="AW27" i="44"/>
  <c r="BM24" i="49"/>
  <c r="AW19" i="44"/>
  <c r="BM16" i="49"/>
  <c r="AW25" i="44"/>
  <c r="BM22" i="49"/>
  <c r="AW17" i="44"/>
  <c r="BM14" i="49"/>
  <c r="AW32" i="44"/>
  <c r="BM29" i="49"/>
  <c r="B36" i="44"/>
  <c r="J119" i="21"/>
  <c r="AO21" i="1"/>
  <c r="AO35" s="1"/>
  <c r="AJ35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H120" i="21"/>
  <c r="J120" i="20"/>
  <c r="N118" i="31"/>
  <c r="H109" i="21"/>
  <c r="J109" i="20"/>
  <c r="H105" i="21"/>
  <c r="J105" i="20"/>
  <c r="H106" i="21"/>
  <c r="J106" i="20"/>
  <c r="H116" i="21"/>
  <c r="J116" i="20"/>
  <c r="H115" i="21"/>
  <c r="J115" i="20"/>
  <c r="M28" i="47"/>
  <c r="M6"/>
  <c r="J110" i="31"/>
  <c r="AK19" i="1"/>
  <c r="AK35" s="1"/>
  <c r="M17" i="47"/>
  <c r="M27"/>
  <c r="N116" i="31"/>
  <c r="J109"/>
  <c r="J115"/>
  <c r="H118" i="33"/>
  <c r="BO24" i="1"/>
  <c r="M22" i="47"/>
  <c r="O36" i="1"/>
  <c r="AG14"/>
  <c r="BQ14"/>
  <c r="N119" i="31"/>
  <c r="J106"/>
  <c r="J105"/>
  <c r="M14" i="47"/>
  <c r="V4" i="1"/>
  <c r="V35" s="1"/>
  <c r="T35"/>
  <c r="P35"/>
  <c r="AM35"/>
  <c r="BC35"/>
  <c r="BR4"/>
  <c r="AE35"/>
  <c r="M30" i="47"/>
  <c r="BG35" i="1"/>
  <c r="AT35"/>
  <c r="Z35"/>
  <c r="S7"/>
  <c r="I5" i="47"/>
  <c r="M5" s="1"/>
  <c r="S20" i="1"/>
  <c r="I18" i="47"/>
  <c r="M18" s="1"/>
  <c r="L21" i="1"/>
  <c r="E19" i="47"/>
  <c r="M19" s="1"/>
  <c r="R22" i="1"/>
  <c r="BO22" s="1"/>
  <c r="I20" i="47"/>
  <c r="M20" s="1"/>
  <c r="S25" i="1"/>
  <c r="I23" i="47"/>
  <c r="M23" s="1"/>
  <c r="S14" i="1"/>
  <c r="I12" i="47"/>
  <c r="M12" s="1"/>
  <c r="R33" i="1"/>
  <c r="BO33" s="1"/>
  <c r="I31" i="4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M9"/>
  <c r="R23" i="1"/>
  <c r="BO23" s="1"/>
  <c r="I21" i="47"/>
  <c r="M21" s="1"/>
  <c r="R26" i="1"/>
  <c r="BO26" s="1"/>
  <c r="I24" i="47"/>
  <c r="M24" s="1"/>
  <c r="O5" i="1"/>
  <c r="O35" s="1"/>
  <c r="G3" i="47"/>
  <c r="BN31" i="1"/>
  <c r="E29" i="47"/>
  <c r="M29" s="1"/>
  <c r="S28" i="1"/>
  <c r="I26" i="47"/>
  <c r="M26" s="1"/>
  <c r="BL15" i="1"/>
  <c r="E13" i="47"/>
  <c r="M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107" i="31"/>
  <c r="BQ4" i="1"/>
  <c r="BQ32"/>
  <c r="BQ25"/>
  <c r="AG25"/>
  <c r="I59" i="23"/>
  <c r="BQ18" i="1"/>
  <c r="BQ15"/>
  <c r="AG15"/>
  <c r="BQ10"/>
  <c r="BQ6"/>
  <c r="BQ7"/>
  <c r="L15"/>
  <c r="K15" i="35"/>
  <c r="G32" i="11"/>
  <c r="I60" i="30"/>
  <c r="AG33" i="1"/>
  <c r="R4"/>
  <c r="AF20"/>
  <c r="AG20" s="1"/>
  <c r="I59" i="11"/>
  <c r="H128" i="19"/>
  <c r="H128" i="20" s="1"/>
  <c r="P60" i="12"/>
  <c r="I59"/>
  <c r="BM15" i="1"/>
  <c r="L36"/>
  <c r="BN15"/>
  <c r="G60" i="18"/>
  <c r="I59" s="1"/>
  <c r="BM21" i="1"/>
  <c r="BP20"/>
  <c r="BQ20" s="1"/>
  <c r="BJ20"/>
  <c r="BJ35" s="1"/>
  <c r="BN21"/>
  <c r="BO21"/>
  <c r="BP36"/>
  <c r="BM36"/>
  <c r="BO11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8" i="33"/>
  <c r="H133"/>
  <c r="H133" i="7" s="1"/>
  <c r="H133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BO16"/>
  <c r="R19"/>
  <c r="BO19" s="1"/>
  <c r="S19"/>
  <c r="S36"/>
  <c r="AG18"/>
  <c r="AG36" s="1"/>
  <c r="BO12"/>
  <c r="I60" i="9"/>
  <c r="BO10" i="1"/>
  <c r="AG10"/>
  <c r="I59" i="22"/>
  <c r="I60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I59" i="13"/>
  <c r="I60"/>
  <c r="I59" i="24"/>
  <c r="I59" i="33"/>
  <c r="I60"/>
  <c r="AG6" i="1"/>
  <c r="H94" i="33"/>
  <c r="AG5" i="1"/>
  <c r="AG4"/>
  <c r="H131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H120" i="22" l="1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6" i="22"/>
  <c r="J106" s="1"/>
  <c r="J106" i="21"/>
  <c r="H119" i="33"/>
  <c r="J119" s="1"/>
  <c r="H83"/>
  <c r="J118"/>
  <c r="H118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8" i="19"/>
  <c r="J128" i="20"/>
  <c r="H128" i="21"/>
  <c r="H28" i="33"/>
  <c r="I60" i="18"/>
  <c r="J133" i="33"/>
  <c r="J133" i="7"/>
  <c r="H140" i="33"/>
  <c r="H140" i="7" s="1"/>
  <c r="J24"/>
  <c r="H24" i="8"/>
  <c r="BO36" i="1"/>
  <c r="H23" i="33"/>
  <c r="J94"/>
  <c r="H94" i="7"/>
  <c r="J131" i="33"/>
  <c r="H131" i="7"/>
  <c r="H137" i="33"/>
  <c r="H136"/>
  <c r="H130"/>
  <c r="H92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8"/>
  <c r="H138" i="7"/>
  <c r="H135" i="33"/>
  <c r="H133" i="9"/>
  <c r="H133" i="10" s="1"/>
  <c r="J133" s="1"/>
  <c r="J133" i="8"/>
  <c r="H125" i="33"/>
  <c r="H127"/>
  <c r="H126"/>
  <c r="H124"/>
  <c r="H123"/>
  <c r="H100"/>
  <c r="H99"/>
  <c r="H98"/>
  <c r="H97"/>
  <c r="H96"/>
  <c r="H101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2"/>
  <c r="H144"/>
  <c r="H39"/>
  <c r="J12"/>
  <c r="H150" l="1"/>
  <c r="J150" s="1"/>
  <c r="H119" i="7"/>
  <c r="H119" i="8" s="1"/>
  <c r="H18" i="33"/>
  <c r="H18" i="7" s="1"/>
  <c r="H31"/>
  <c r="J31" i="33"/>
  <c r="J118" i="7"/>
  <c r="H118" i="8"/>
  <c r="BO35" i="1"/>
  <c r="H151" i="33"/>
  <c r="J151" s="1"/>
  <c r="H153"/>
  <c r="J153" s="1"/>
  <c r="J81"/>
  <c r="H128"/>
  <c r="J128" s="1"/>
  <c r="H22" i="7"/>
  <c r="H22" i="8" s="1"/>
  <c r="H22" i="9" s="1"/>
  <c r="H22" i="10" s="1"/>
  <c r="J22" s="1"/>
  <c r="J128" i="21"/>
  <c r="H128" i="22"/>
  <c r="H30" i="33"/>
  <c r="J30" s="1"/>
  <c r="H28" i="7"/>
  <c r="J28" i="33"/>
  <c r="H27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0" i="7"/>
  <c r="H140" i="8"/>
  <c r="H139" i="33"/>
  <c r="J138" i="7"/>
  <c r="H138" i="8"/>
  <c r="J135" i="33"/>
  <c r="H135" i="7"/>
  <c r="H134" i="33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H95"/>
  <c r="H93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144"/>
  <c r="H144" i="7"/>
  <c r="H41" i="33"/>
  <c r="H39" i="7"/>
  <c r="J39" i="33"/>
  <c r="H146"/>
  <c r="H15"/>
  <c r="H12" i="8"/>
  <c r="J12" i="7"/>
  <c r="J10" i="33"/>
  <c r="H13"/>
  <c r="H13" i="7" s="1"/>
  <c r="H149" i="33"/>
  <c r="H7"/>
  <c r="H143"/>
  <c r="H145"/>
  <c r="H147"/>
  <c r="H150" i="7" l="1"/>
  <c r="H150" i="8" s="1"/>
  <c r="J119" i="7"/>
  <c r="J18" i="33"/>
  <c r="H31" i="8"/>
  <c r="J31" i="7"/>
  <c r="H118" i="9"/>
  <c r="J118" i="8"/>
  <c r="H119" i="9"/>
  <c r="J119" i="8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146"/>
  <c r="H146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H29" i="33" l="1"/>
  <c r="J29" s="1"/>
  <c r="J150" i="7"/>
  <c r="H119" i="10"/>
  <c r="J119" i="9"/>
  <c r="H31"/>
  <c r="J31" i="8"/>
  <c r="H118" i="10"/>
  <c r="J118" i="9"/>
  <c r="J152" i="33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29" i="7" l="1"/>
  <c r="J29" s="1"/>
  <c r="H32" i="33"/>
  <c r="H32" i="7" s="1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29" l="1"/>
  <c r="H29" i="9" s="1"/>
  <c r="H29" i="10" s="1"/>
  <c r="J29" s="1"/>
  <c r="J32" i="33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J29" i="8" l="1"/>
  <c r="H31" i="12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H133" i="16" s="1"/>
  <c r="J133" s="1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21" l="1"/>
  <c r="J31" i="20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22" l="1"/>
  <c r="J31" i="21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H31" i="23" l="1"/>
  <c r="J31" i="22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H31" i="24" l="1"/>
  <c r="H31" i="25" s="1"/>
  <c r="H31" i="40" s="1"/>
  <c r="H31" i="27" s="1"/>
  <c r="H31" i="28" s="1"/>
  <c r="H31" i="29" s="1"/>
  <c r="H31" i="30" s="1"/>
  <c r="H31" i="43" s="1"/>
  <c r="H31" i="31" s="1"/>
  <c r="J31" i="23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4" s="1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152" i="16" l="1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60" l="1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13" i="40"/>
  <c r="H7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H15" i="31" s="1"/>
  <c r="J15" s="1"/>
  <c r="I16" s="1"/>
  <c r="J10" i="43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H112" i="42"/>
  <c r="J112" s="1"/>
  <c r="J58" i="31" l="1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I9" i="30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E31" i="47" l="1"/>
  <c r="M31" s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comments1.xml><?xml version="1.0" encoding="utf-8"?>
<comments xmlns="http://schemas.openxmlformats.org/spreadsheetml/2006/main">
  <authors>
    <author>Sudhakar.Appa</author>
  </authors>
  <commentList>
    <comment ref="F9" authorId="0">
      <text>
        <r>
          <rPr>
            <b/>
            <sz val="9"/>
            <color indexed="81"/>
            <rFont val="Tahoma"/>
            <family val="2"/>
          </rPr>
          <t>Sudhakar.Appa:</t>
        </r>
        <r>
          <rPr>
            <sz val="9"/>
            <color indexed="81"/>
            <rFont val="Tahoma"/>
            <family val="2"/>
          </rPr>
          <t xml:space="preserve">
TR2 meter replaced</t>
        </r>
      </text>
    </comment>
  </commentList>
</comments>
</file>

<file path=xl/sharedStrings.xml><?xml version="1.0" encoding="utf-8"?>
<sst xmlns="http://schemas.openxmlformats.org/spreadsheetml/2006/main" count="10265" uniqueCount="356">
  <si>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</si>
  <si>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</si>
  <si>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</si>
  <si>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</si>
  <si>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</si>
  <si>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</si>
  <si>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</si>
  <si>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</si>
  <si>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</si>
  <si>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</si>
  <si>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</si>
  <si>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</si>
  <si>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</si>
  <si>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</si>
  <si>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</si>
  <si>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</si>
  <si>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</si>
  <si>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</si>
  <si>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</si>
  <si>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</si>
  <si>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</si>
  <si>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</si>
  <si>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</si>
  <si>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</si>
  <si>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</si>
  <si>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</si>
  <si>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</si>
  <si>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</si>
  <si>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</si>
  <si>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</si>
  <si>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</si>
  <si>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</si>
  <si>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</si>
  <si>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</si>
  <si>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</si>
  <si>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</si>
  <si>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</si>
  <si>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</si>
  <si>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</si>
  <si>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</si>
  <si>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</si>
  <si>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</si>
  <si>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</si>
  <si>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</si>
  <si>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</si>
  <si>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</si>
  <si>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</si>
  <si>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</si>
  <si>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</si>
  <si>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</si>
  <si>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</si>
  <si>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</si>
  <si>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</si>
  <si>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</si>
  <si>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</si>
  <si>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</si>
  <si>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</si>
  <si>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</si>
  <si>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</si>
  <si>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</si>
  <si>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</si>
  <si>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</si>
  <si>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</si>
  <si>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</si>
  <si>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</si>
  <si>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</si>
  <si>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</si>
  <si>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</si>
  <si>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</si>
  <si>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</si>
  <si>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</si>
  <si>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</si>
  <si>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</si>
  <si>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</si>
  <si>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</si>
  <si>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</si>
  <si>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</si>
  <si>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</si>
  <si>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</si>
  <si>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</si>
  <si>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</si>
  <si>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</si>
  <si>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</si>
  <si>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</si>
  <si>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</si>
  <si>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</si>
  <si>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</si>
  <si>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</si>
  <si>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</si>
  <si>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</si>
  <si>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</si>
  <si>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</si>
  <si>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</si>
  <si>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</si>
  <si>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</si>
  <si>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</si>
  <si>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</si>
  <si>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</si>
  <si>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</si>
  <si>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</si>
  <si>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</si>
  <si>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</si>
  <si>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</si>
  <si>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</si>
  <si>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</si>
  <si>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</si>
  <si>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</si>
  <si>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</si>
  <si>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</si>
  <si>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</si>
  <si>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</si>
  <si>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</si>
  <si>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</si>
  <si>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</si>
  <si>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</si>
  <si>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</si>
  <si>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</si>
  <si>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</si>
  <si>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</si>
  <si>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</si>
  <si>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</si>
  <si>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</si>
  <si>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</si>
  <si>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</si>
  <si>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</si>
  <si>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</si>
  <si>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</si>
  <si>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</si>
  <si>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</si>
  <si>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</si>
  <si>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</si>
  <si>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</si>
  <si>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</si>
  <si>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</si>
  <si>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</si>
  <si>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</si>
  <si>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</si>
  <si>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</si>
  <si>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</si>
  <si>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</si>
  <si>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</si>
  <si>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</si>
  <si>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</si>
  <si>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</si>
  <si>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</si>
  <si>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</si>
  <si>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</si>
  <si>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</si>
  <si>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</si>
  <si>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</si>
  <si>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</si>
  <si>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</si>
  <si>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</si>
  <si>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</si>
  <si>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</si>
  <si>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</si>
  <si>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</si>
  <si>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</si>
  <si>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</si>
  <si>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</si>
  <si>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</si>
  <si>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</si>
  <si>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</si>
  <si>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</si>
  <si>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</si>
  <si>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</si>
  <si>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</si>
  <si>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</si>
  <si>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</si>
  <si>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</si>
  <si>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</si>
  <si>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</si>
  <si>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</si>
  <si>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</si>
  <si>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</si>
  <si>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</si>
  <si>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</si>
  <si>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</si>
  <si>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</si>
  <si>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</si>
  <si>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</si>
  <si>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</si>
  <si>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</si>
  <si>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</si>
  <si>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</si>
  <si>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</si>
  <si>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</si>
  <si>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</si>
  <si>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</si>
  <si>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</si>
  <si>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</si>
  <si>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</si>
  <si>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</si>
  <si>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</si>
  <si>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</si>
  <si>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</si>
  <si>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</si>
  <si>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</si>
  <si>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</si>
  <si>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</si>
  <si>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</si>
  <si>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</si>
  <si>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</si>
  <si>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</si>
  <si>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</si>
  <si>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</si>
  <si>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</si>
  <si>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</si>
  <si>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</si>
  <si>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</si>
  <si>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</si>
  <si>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</si>
  <si>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</si>
  <si>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</si>
  <si>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</si>
  <si>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</si>
  <si>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</si>
  <si>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</si>
  <si>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</si>
  <si>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</si>
  <si>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</si>
  <si>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</si>
  <si>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</si>
  <si>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</si>
  <si>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</si>
  <si>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</si>
  <si>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</si>
  <si>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</si>
  <si>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</si>
  <si>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</si>
  <si>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</si>
  <si>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</si>
  <si>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</si>
  <si>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</si>
  <si>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</si>
  <si>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</si>
  <si>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</si>
  <si>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</si>
  <si>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</si>
  <si>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</si>
  <si>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</si>
  <si>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</si>
  <si>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</si>
  <si>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</si>
  <si>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</si>
  <si>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</si>
  <si>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</si>
  <si>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</si>
  <si>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</si>
  <si>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</si>
  <si>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</si>
  <si>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</si>
  <si>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</si>
  <si>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</si>
  <si>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</si>
  <si>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</si>
  <si>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</si>
  <si>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</si>
  <si>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</si>
  <si>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</si>
  <si>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</si>
  <si>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</si>
  <si>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</si>
  <si>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</si>
  <si>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</si>
  <si>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</si>
  <si>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</si>
  <si>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</si>
  <si>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</si>
  <si>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</si>
  <si>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</si>
  <si>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</si>
  <si>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</si>
  <si>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</si>
  <si>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</si>
  <si>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</si>
  <si>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</si>
  <si>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</si>
  <si>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</si>
  <si>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</si>
  <si>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</si>
  <si>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</si>
  <si>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</si>
  <si>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</si>
  <si>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</si>
  <si>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</si>
  <si>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</si>
  <si>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</si>
  <si>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</si>
  <si>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</si>
  <si>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</si>
  <si>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</si>
  <si>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</si>
  <si>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</si>
  <si>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</si>
  <si>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</si>
  <si>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</si>
  <si>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</si>
  <si>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</si>
  <si>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</si>
  <si>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</si>
  <si>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</si>
  <si>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</si>
  <si>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</si>
  <si>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</si>
  <si>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</si>
  <si>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</si>
  <si>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</si>
  <si>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</si>
  <si>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</si>
  <si>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</si>
  <si>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</si>
  <si>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</si>
  <si>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</si>
  <si>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</si>
  <si>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</si>
  <si>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by---Nilesh</t>
  </si>
  <si>
    <t>Prepaired by--  Nilesh</t>
  </si>
  <si>
    <t>Prepaired by----Nilesh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</si>
  <si>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</si>
  <si>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</si>
  <si>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</si>
  <si>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</si>
  <si>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</si>
  <si>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</si>
  <si>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</si>
  <si>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</si>
  <si>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</si>
  <si>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</si>
  <si>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</si>
  <si>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</si>
  <si>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</si>
  <si>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</si>
  <si>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</si>
  <si>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</si>
  <si>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</si>
  <si>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</si>
  <si>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</si>
  <si>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</si>
  <si>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</si>
  <si>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</si>
  <si>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</si>
  <si>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</si>
  <si>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</si>
  <si>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</si>
  <si>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</si>
  <si>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</si>
  <si>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</si>
  <si>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</si>
  <si>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</si>
  <si>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Prepaired by --- Nilesh</t>
  </si>
  <si>
    <t>..</t>
  </si>
  <si>
    <t xml:space="preserve">Prepaired by-- Nilesh </t>
  </si>
  <si>
    <t>Prepaired by Ramesh</t>
  </si>
  <si>
    <t>Prepaired by------- Ramesh</t>
  </si>
  <si>
    <t>Prepaired by -- Ramesh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</si>
</sst>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2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85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649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0" fontId="17" fillId="0" borderId="0" xfId="0" applyFont="1"/>
    <xf numFmtId="0" fontId="18" fillId="9" borderId="1" xfId="3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 vertical="center"/>
    </xf>
    <xf numFmtId="1" fontId="18" fillId="9" borderId="1" xfId="3" applyNumberFormat="1" applyFont="1" applyFill="1" applyBorder="1" applyAlignment="1">
      <alignment horizontal="center"/>
    </xf>
    <xf numFmtId="164" fontId="18" fillId="9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 vertical="center"/>
    </xf>
    <xf numFmtId="0" fontId="17" fillId="0" borderId="0" xfId="0" applyFont="1" applyBorder="1"/>
    <xf numFmtId="0" fontId="18" fillId="9" borderId="1" xfId="3" applyFont="1" applyFill="1" applyBorder="1"/>
    <xf numFmtId="9" fontId="17" fillId="9" borderId="1" xfId="3" applyNumberFormat="1" applyFont="1" applyFill="1" applyBorder="1" applyAlignment="1">
      <alignment horizontal="left"/>
    </xf>
    <xf numFmtId="2" fontId="18" fillId="9" borderId="1" xfId="3" applyNumberFormat="1" applyFont="1" applyFill="1" applyBorder="1" applyAlignment="1">
      <alignment horizontal="center"/>
    </xf>
    <xf numFmtId="9" fontId="17" fillId="9" borderId="1" xfId="3" applyNumberFormat="1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/>
    </xf>
    <xf numFmtId="0" fontId="17" fillId="9" borderId="2" xfId="3" applyNumberFormat="1" applyFont="1" applyFill="1" applyBorder="1" applyAlignment="1">
      <alignment horizontal="center" vertical="center"/>
    </xf>
    <xf numFmtId="164" fontId="18" fillId="2" borderId="6" xfId="3" applyNumberFormat="1" applyFont="1" applyFill="1" applyBorder="1" applyAlignment="1">
      <alignment horizontal="center"/>
    </xf>
    <xf numFmtId="0" fontId="17" fillId="9" borderId="1" xfId="3" applyNumberFormat="1" applyFont="1" applyFill="1" applyBorder="1" applyAlignment="1">
      <alignment horizontal="center"/>
    </xf>
    <xf numFmtId="164" fontId="18" fillId="2" borderId="6" xfId="3" applyNumberFormat="1" applyFont="1" applyFill="1" applyBorder="1" applyAlignment="1">
      <alignment horizontal="center" vertical="center" wrapText="1" shrinkToFit="1"/>
    </xf>
    <xf numFmtId="0" fontId="18" fillId="8" borderId="1" xfId="3" applyFont="1" applyFill="1" applyBorder="1" applyAlignment="1">
      <alignment horizontal="center" vertical="center"/>
    </xf>
    <xf numFmtId="0" fontId="18" fillId="8" borderId="1" xfId="3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/>
    </xf>
    <xf numFmtId="1" fontId="18" fillId="8" borderId="1" xfId="3" applyNumberFormat="1" applyFont="1" applyFill="1" applyBorder="1" applyAlignment="1">
      <alignment horizontal="center"/>
    </xf>
    <xf numFmtId="1" fontId="18" fillId="8" borderId="2" xfId="5" applyNumberFormat="1" applyFont="1" applyFill="1" applyBorder="1" applyAlignment="1" applyProtection="1">
      <alignment horizontal="center"/>
    </xf>
    <xf numFmtId="1" fontId="18" fillId="2" borderId="6" xfId="5" applyNumberFormat="1" applyFont="1" applyFill="1" applyBorder="1" applyAlignment="1" applyProtection="1">
      <alignment horizontal="center"/>
    </xf>
    <xf numFmtId="0" fontId="18" fillId="11" borderId="1" xfId="3" applyFont="1" applyFill="1" applyBorder="1" applyAlignment="1">
      <alignment horizontal="center" vertical="center"/>
    </xf>
    <xf numFmtId="1" fontId="18" fillId="11" borderId="1" xfId="3" applyNumberFormat="1" applyFont="1" applyFill="1" applyBorder="1" applyAlignment="1">
      <alignment horizontal="center" vertical="center"/>
    </xf>
    <xf numFmtId="1" fontId="17" fillId="12" borderId="1" xfId="3" applyNumberFormat="1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 vertical="center"/>
    </xf>
    <xf numFmtId="167" fontId="18" fillId="8" borderId="2" xfId="3" applyNumberFormat="1" applyFont="1" applyFill="1" applyBorder="1" applyAlignment="1">
      <alignment vertical="center"/>
    </xf>
    <xf numFmtId="167" fontId="18" fillId="8" borderId="3" xfId="3" applyNumberFormat="1" applyFont="1" applyFill="1" applyBorder="1" applyAlignment="1">
      <alignment vertical="center"/>
    </xf>
    <xf numFmtId="167" fontId="18" fillId="8" borderId="4" xfId="3" applyNumberFormat="1" applyFont="1" applyFill="1" applyBorder="1" applyAlignment="1">
      <alignment vertical="center"/>
    </xf>
    <xf numFmtId="0" fontId="17" fillId="0" borderId="1" xfId="4" applyFont="1" applyBorder="1" applyAlignment="1">
      <alignment horizontal="center"/>
    </xf>
    <xf numFmtId="1" fontId="18" fillId="8" borderId="1" xfId="5" applyNumberFormat="1" applyFont="1" applyFill="1" applyBorder="1" applyAlignment="1">
      <alignment horizontal="center" vertical="center"/>
    </xf>
    <xf numFmtId="2" fontId="17" fillId="8" borderId="1" xfId="3" applyNumberFormat="1" applyFont="1" applyFill="1" applyBorder="1" applyAlignment="1">
      <alignment horizontal="right"/>
    </xf>
    <xf numFmtId="2" fontId="18" fillId="8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8" fillId="11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/>
    </xf>
    <xf numFmtId="2" fontId="18" fillId="8" borderId="2" xfId="3" applyNumberFormat="1" applyFont="1" applyFill="1" applyBorder="1" applyAlignment="1">
      <alignment horizontal="left" vertical="center"/>
    </xf>
    <xf numFmtId="2" fontId="18" fillId="8" borderId="3" xfId="3" applyNumberFormat="1" applyFont="1" applyFill="1" applyBorder="1" applyAlignment="1">
      <alignment horizontal="left" vertical="center"/>
    </xf>
    <xf numFmtId="2" fontId="18" fillId="8" borderId="4" xfId="3" applyNumberFormat="1" applyFont="1" applyFill="1" applyBorder="1" applyAlignment="1">
      <alignment horizontal="left" vertical="center"/>
    </xf>
    <xf numFmtId="1" fontId="18" fillId="8" borderId="1" xfId="3" applyNumberFormat="1" applyFont="1" applyFill="1" applyBorder="1" applyAlignment="1">
      <alignment horizontal="center" vertical="center"/>
    </xf>
    <xf numFmtId="0" fontId="17" fillId="0" borderId="1" xfId="4" applyFont="1" applyBorder="1"/>
    <xf numFmtId="0" fontId="17" fillId="2" borderId="1" xfId="3" applyFont="1" applyFill="1" applyBorder="1" applyAlignment="1">
      <alignment horizontal="center"/>
    </xf>
    <xf numFmtId="0" fontId="4" fillId="0" borderId="1" xfId="4" applyFont="1" applyBorder="1" applyAlignment="1">
      <alignment horizontal="center"/>
    </xf>
    <xf numFmtId="2" fontId="18" fillId="2" borderId="6" xfId="5" applyNumberFormat="1" applyFont="1" applyFill="1" applyBorder="1" applyAlignment="1" applyProtection="1">
      <alignment horizontal="center"/>
    </xf>
    <xf numFmtId="165" fontId="17" fillId="0" borderId="1" xfId="6" applyNumberFormat="1" applyFont="1" applyFill="1" applyBorder="1" applyAlignment="1"/>
    <xf numFmtId="165" fontId="18" fillId="2" borderId="6" xfId="6" applyNumberFormat="1" applyFont="1" applyFill="1" applyBorder="1" applyAlignment="1">
      <alignment horizontal="center"/>
    </xf>
    <xf numFmtId="1" fontId="17" fillId="8" borderId="1" xfId="5" applyNumberFormat="1" applyFont="1" applyFill="1" applyBorder="1" applyAlignment="1">
      <alignment horizontal="right"/>
    </xf>
    <xf numFmtId="43" fontId="17" fillId="8" borderId="1" xfId="7" applyFont="1" applyFill="1" applyBorder="1" applyAlignment="1">
      <alignment horizontal="right" wrapText="1"/>
    </xf>
    <xf numFmtId="164" fontId="18" fillId="2" borderId="6" xfId="5" applyNumberFormat="1" applyFont="1" applyFill="1" applyBorder="1" applyAlignment="1" applyProtection="1">
      <alignment horizontal="center"/>
    </xf>
    <xf numFmtId="0" fontId="18" fillId="0" borderId="1" xfId="4" applyFont="1" applyBorder="1"/>
    <xf numFmtId="164" fontId="17" fillId="12" borderId="1" xfId="5" applyNumberFormat="1" applyFont="1" applyFill="1" applyBorder="1" applyAlignment="1" applyProtection="1">
      <alignment horizontal="right"/>
    </xf>
    <xf numFmtId="0" fontId="21" fillId="0" borderId="1" xfId="4" applyFont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1" fontId="18" fillId="8" borderId="2" xfId="3" applyNumberFormat="1" applyFont="1" applyFill="1" applyBorder="1" applyAlignment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2" fontId="17" fillId="8" borderId="1" xfId="9" applyNumberFormat="1" applyFont="1" applyFill="1" applyBorder="1" applyAlignment="1">
      <alignment horizontal="right"/>
    </xf>
    <xf numFmtId="1" fontId="22" fillId="0" borderId="1" xfId="4" applyNumberFormat="1" applyFont="1" applyBorder="1" applyAlignment="1">
      <alignment horizontal="center"/>
    </xf>
    <xf numFmtId="1" fontId="22" fillId="8" borderId="1" xfId="3" applyNumberFormat="1" applyFont="1" applyFill="1" applyBorder="1" applyAlignment="1">
      <alignment horizontal="center" vertical="center"/>
    </xf>
    <xf numFmtId="0" fontId="19" fillId="10" borderId="1" xfId="3" applyFont="1" applyFill="1" applyBorder="1" applyAlignment="1"/>
    <xf numFmtId="0" fontId="19" fillId="10" borderId="2" xfId="3" applyFont="1" applyFill="1" applyBorder="1" applyAlignment="1"/>
    <xf numFmtId="0" fontId="19" fillId="10" borderId="3" xfId="3" applyFont="1" applyFill="1" applyBorder="1" applyAlignment="1"/>
    <xf numFmtId="0" fontId="18" fillId="10" borderId="3" xfId="3" applyFont="1" applyFill="1" applyBorder="1" applyAlignment="1"/>
    <xf numFmtId="1" fontId="18" fillId="10" borderId="1" xfId="3" applyNumberFormat="1" applyFont="1" applyFill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 vertical="top"/>
    </xf>
    <xf numFmtId="1" fontId="18" fillId="10" borderId="2" xfId="5" applyNumberFormat="1" applyFont="1" applyFill="1" applyBorder="1" applyAlignment="1" applyProtection="1">
      <alignment horizontal="center"/>
    </xf>
    <xf numFmtId="164" fontId="17" fillId="8" borderId="1" xfId="5" applyNumberFormat="1" applyFont="1" applyFill="1" applyBorder="1" applyAlignment="1" applyProtection="1">
      <alignment horizontal="center" vertical="top"/>
    </xf>
    <xf numFmtId="0" fontId="19" fillId="10" borderId="1" xfId="4" applyFont="1" applyFill="1" applyBorder="1"/>
    <xf numFmtId="0" fontId="18" fillId="10" borderId="1" xfId="4" applyFont="1" applyFill="1" applyBorder="1"/>
    <xf numFmtId="0" fontId="4" fillId="10" borderId="1" xfId="4" applyFont="1" applyFill="1" applyBorder="1" applyAlignment="1">
      <alignment horizontal="center"/>
    </xf>
    <xf numFmtId="1" fontId="18" fillId="10" borderId="1" xfId="5" applyNumberFormat="1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wrapText="1"/>
    </xf>
    <xf numFmtId="164" fontId="18" fillId="2" borderId="0" xfId="5" applyNumberFormat="1" applyFont="1" applyFill="1" applyBorder="1" applyAlignment="1" applyProtection="1">
      <alignment horizontal="center"/>
    </xf>
    <xf numFmtId="2" fontId="23" fillId="8" borderId="1" xfId="3" applyNumberFormat="1" applyFont="1" applyFill="1" applyBorder="1" applyAlignment="1">
      <alignment horizontal="right"/>
    </xf>
    <xf numFmtId="0" fontId="24" fillId="13" borderId="1" xfId="4" applyFont="1" applyFill="1" applyBorder="1"/>
    <xf numFmtId="0" fontId="25" fillId="0" borderId="0" xfId="0" applyFont="1"/>
    <xf numFmtId="10" fontId="17" fillId="9" borderId="1" xfId="3" applyNumberFormat="1" applyFont="1" applyFill="1" applyBorder="1" applyAlignment="1">
      <alignment horizontal="center"/>
    </xf>
    <xf numFmtId="0" fontId="26" fillId="2" borderId="6" xfId="3" applyFont="1" applyFill="1" applyBorder="1" applyAlignment="1">
      <alignment horizontal="center" vertical="center"/>
    </xf>
    <xf numFmtId="0" fontId="25" fillId="0" borderId="0" xfId="0" applyFont="1" applyBorder="1"/>
    <xf numFmtId="164" fontId="26" fillId="2" borderId="6" xfId="3" applyNumberFormat="1" applyFont="1" applyFill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 vertical="center"/>
    </xf>
    <xf numFmtId="1" fontId="28" fillId="11" borderId="1" xfId="3" applyNumberFormat="1" applyFont="1" applyFill="1" applyBorder="1" applyAlignment="1">
      <alignment horizontal="center"/>
    </xf>
    <xf numFmtId="1" fontId="24" fillId="11" borderId="2" xfId="3" applyNumberFormat="1" applyFont="1" applyFill="1" applyBorder="1" applyAlignment="1">
      <alignment horizontal="center"/>
    </xf>
    <xf numFmtId="1" fontId="28" fillId="8" borderId="1" xfId="5" applyNumberFormat="1" applyFont="1" applyFill="1" applyBorder="1" applyAlignment="1">
      <alignment horizontal="center" vertical="center"/>
    </xf>
    <xf numFmtId="164" fontId="21" fillId="8" borderId="1" xfId="5" applyNumberFormat="1" applyFont="1" applyFill="1" applyBorder="1" applyAlignment="1">
      <alignment horizontal="center" vertical="center"/>
    </xf>
    <xf numFmtId="0" fontId="28" fillId="11" borderId="1" xfId="3" applyFont="1" applyFill="1" applyBorder="1" applyAlignment="1">
      <alignment horizontal="center" vertical="center"/>
    </xf>
    <xf numFmtId="1" fontId="17" fillId="12" borderId="1" xfId="5" applyNumberFormat="1" applyFont="1" applyFill="1" applyBorder="1" applyAlignment="1" applyProtection="1">
      <alignment horizontal="center"/>
    </xf>
    <xf numFmtId="0" fontId="28" fillId="11" borderId="1" xfId="3" applyFont="1" applyFill="1" applyBorder="1" applyAlignment="1">
      <alignment horizontal="center"/>
    </xf>
    <xf numFmtId="1" fontId="28" fillId="8" borderId="1" xfId="3" applyNumberFormat="1" applyFont="1" applyFill="1" applyBorder="1" applyAlignment="1">
      <alignment horizontal="center"/>
    </xf>
    <xf numFmtId="165" fontId="28" fillId="8" borderId="1" xfId="6" applyNumberFormat="1" applyFont="1" applyFill="1" applyBorder="1" applyAlignment="1">
      <alignment horizontal="center"/>
    </xf>
    <xf numFmtId="164" fontId="28" fillId="8" borderId="1" xfId="3" applyNumberFormat="1" applyFont="1" applyFill="1" applyBorder="1" applyAlignment="1">
      <alignment horizontal="center"/>
    </xf>
    <xf numFmtId="2" fontId="28" fillId="8" borderId="1" xfId="3" applyNumberFormat="1" applyFont="1" applyFill="1" applyBorder="1" applyAlignment="1">
      <alignment horizontal="center"/>
    </xf>
    <xf numFmtId="0" fontId="18" fillId="8" borderId="7" xfId="3" applyFont="1" applyFill="1" applyBorder="1" applyAlignment="1">
      <alignment horizontal="center"/>
    </xf>
    <xf numFmtId="0" fontId="4" fillId="0" borderId="7" xfId="4" applyFont="1" applyBorder="1" applyAlignment="1">
      <alignment horizontal="center"/>
    </xf>
    <xf numFmtId="1" fontId="28" fillId="8" borderId="7" xfId="5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 applyProtection="1">
      <alignment horizontal="center"/>
    </xf>
    <xf numFmtId="0" fontId="18" fillId="8" borderId="8" xfId="3" applyFont="1" applyFill="1" applyBorder="1" applyAlignment="1">
      <alignment horizontal="center"/>
    </xf>
    <xf numFmtId="0" fontId="17" fillId="0" borderId="8" xfId="4" applyFont="1" applyBorder="1" applyAlignment="1">
      <alignment horizontal="center"/>
    </xf>
    <xf numFmtId="1" fontId="18" fillId="8" borderId="8" xfId="5" applyNumberFormat="1" applyFont="1" applyFill="1" applyBorder="1" applyAlignment="1">
      <alignment horizontal="center" vertical="center"/>
    </xf>
    <xf numFmtId="43" fontId="17" fillId="8" borderId="8" xfId="7" applyFont="1" applyFill="1" applyBorder="1" applyAlignment="1">
      <alignment horizontal="right" wrapText="1"/>
    </xf>
    <xf numFmtId="1" fontId="18" fillId="8" borderId="12" xfId="5" applyNumberFormat="1" applyFont="1" applyFill="1" applyBorder="1" applyAlignment="1" applyProtection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0" fontId="23" fillId="11" borderId="1" xfId="3" applyFont="1" applyFill="1" applyBorder="1" applyAlignment="1">
      <alignment horizontal="center" vertical="center"/>
    </xf>
    <xf numFmtId="44" fontId="22" fillId="8" borderId="1" xfId="8" applyFont="1" applyFill="1" applyBorder="1" applyAlignment="1">
      <alignment horizontal="center"/>
    </xf>
    <xf numFmtId="1" fontId="23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168" fontId="28" fillId="8" borderId="1" xfId="5" applyNumberFormat="1" applyFont="1" applyFill="1" applyBorder="1" applyAlignment="1" applyProtection="1">
      <alignment vertical="center"/>
    </xf>
    <xf numFmtId="164" fontId="23" fillId="8" borderId="1" xfId="5" applyNumberFormat="1" applyFont="1" applyFill="1" applyBorder="1" applyAlignment="1" applyProtection="1">
      <alignment horizontal="center"/>
    </xf>
    <xf numFmtId="0" fontId="21" fillId="2" borderId="1" xfId="3" applyFont="1" applyFill="1" applyBorder="1" applyAlignment="1">
      <alignment horizontal="center"/>
    </xf>
    <xf numFmtId="169" fontId="21" fillId="8" borderId="1" xfId="5" applyNumberFormat="1" applyFont="1" applyFill="1" applyBorder="1" applyAlignment="1" applyProtection="1">
      <alignment vertical="center"/>
    </xf>
    <xf numFmtId="1" fontId="29" fillId="2" borderId="1" xfId="3" applyNumberFormat="1" applyFont="1" applyFill="1" applyBorder="1" applyAlignment="1">
      <alignment horizontal="center" vertical="top"/>
    </xf>
    <xf numFmtId="0" fontId="17" fillId="10" borderId="1" xfId="3" applyFont="1" applyFill="1" applyBorder="1" applyAlignment="1"/>
    <xf numFmtId="0" fontId="31" fillId="0" borderId="0" xfId="4" applyFont="1"/>
    <xf numFmtId="0" fontId="23" fillId="13" borderId="1" xfId="0" applyFont="1" applyFill="1" applyBorder="1"/>
    <xf numFmtId="1" fontId="25" fillId="0" borderId="0" xfId="0" applyNumberFormat="1" applyFont="1" applyAlignment="1">
      <alignment horizontal="center"/>
    </xf>
    <xf numFmtId="1" fontId="25" fillId="0" borderId="0" xfId="0" applyNumberFormat="1" applyFont="1"/>
    <xf numFmtId="1" fontId="18" fillId="8" borderId="1" xfId="5" applyNumberFormat="1" applyFont="1" applyFill="1" applyBorder="1" applyAlignment="1" applyProtection="1">
      <alignment horizontal="center"/>
    </xf>
    <xf numFmtId="0" fontId="17" fillId="2" borderId="1" xfId="3" applyNumberFormat="1" applyFont="1" applyFill="1" applyBorder="1" applyAlignment="1">
      <alignment horizontal="center"/>
    </xf>
    <xf numFmtId="2" fontId="17" fillId="8" borderId="7" xfId="3" applyNumberFormat="1" applyFont="1" applyFill="1" applyBorder="1" applyAlignment="1">
      <alignment horizontal="center"/>
    </xf>
    <xf numFmtId="1" fontId="18" fillId="8" borderId="7" xfId="3" applyNumberFormat="1" applyFont="1" applyFill="1" applyBorder="1" applyAlignment="1">
      <alignment horizontal="center"/>
    </xf>
    <xf numFmtId="2" fontId="17" fillId="8" borderId="8" xfId="3" applyNumberFormat="1" applyFont="1" applyFill="1" applyBorder="1" applyAlignment="1">
      <alignment horizontal="center"/>
    </xf>
    <xf numFmtId="1" fontId="18" fillId="8" borderId="8" xfId="3" applyNumberFormat="1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/>
    </xf>
    <xf numFmtId="0" fontId="22" fillId="2" borderId="3" xfId="3" applyFont="1" applyFill="1" applyBorder="1" applyAlignment="1">
      <alignment horizontal="center"/>
    </xf>
    <xf numFmtId="0" fontId="22" fillId="2" borderId="4" xfId="3" applyFont="1" applyFill="1" applyBorder="1" applyAlignment="1">
      <alignment horizontal="center"/>
    </xf>
    <xf numFmtId="0" fontId="22" fillId="13" borderId="2" xfId="3" applyFont="1" applyFill="1" applyBorder="1" applyAlignment="1">
      <alignment horizontal="center"/>
    </xf>
    <xf numFmtId="0" fontId="22" fillId="13" borderId="3" xfId="3" applyFont="1" applyFill="1" applyBorder="1" applyAlignment="1">
      <alignment horizontal="center"/>
    </xf>
    <xf numFmtId="0" fontId="22" fillId="13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 vertical="center"/>
    </xf>
    <xf numFmtId="0" fontId="18" fillId="13" borderId="3" xfId="3" applyFont="1" applyFill="1" applyBorder="1" applyAlignment="1">
      <alignment horizontal="center" vertical="center"/>
    </xf>
    <xf numFmtId="0" fontId="18" fillId="13" borderId="4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/>
    </xf>
    <xf numFmtId="0" fontId="18" fillId="8" borderId="3" xfId="3" applyFont="1" applyFill="1" applyBorder="1" applyAlignment="1">
      <alignment horizontal="left" vertical="justify"/>
    </xf>
    <xf numFmtId="0" fontId="18" fillId="8" borderId="4" xfId="3" applyFont="1" applyFill="1" applyBorder="1" applyAlignment="1">
      <alignment horizontal="left" vertical="justify"/>
    </xf>
    <xf numFmtId="0" fontId="18" fillId="10" borderId="2" xfId="3" applyFont="1" applyFill="1" applyBorder="1" applyAlignment="1">
      <alignment horizontal="center"/>
    </xf>
    <xf numFmtId="0" fontId="18" fillId="10" borderId="3" xfId="3" applyFont="1" applyFill="1" applyBorder="1" applyAlignment="1">
      <alignment horizontal="center"/>
    </xf>
    <xf numFmtId="0" fontId="18" fillId="10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/>
    </xf>
    <xf numFmtId="0" fontId="18" fillId="13" borderId="3" xfId="3" applyFont="1" applyFill="1" applyBorder="1" applyAlignment="1">
      <alignment horizontal="center"/>
    </xf>
    <xf numFmtId="0" fontId="18" fillId="13" borderId="4" xfId="3" applyFont="1" applyFill="1" applyBorder="1" applyAlignment="1">
      <alignment horizontal="center"/>
    </xf>
    <xf numFmtId="0" fontId="18" fillId="8" borderId="9" xfId="3" applyFont="1" applyFill="1" applyBorder="1" applyAlignment="1">
      <alignment horizontal="left"/>
    </xf>
    <xf numFmtId="0" fontId="18" fillId="8" borderId="10" xfId="3" applyFont="1" applyFill="1" applyBorder="1" applyAlignment="1">
      <alignment horizontal="left"/>
    </xf>
    <xf numFmtId="0" fontId="18" fillId="8" borderId="11" xfId="3" applyFont="1" applyFill="1" applyBorder="1" applyAlignment="1">
      <alignment horizontal="left"/>
    </xf>
    <xf numFmtId="0" fontId="18" fillId="8" borderId="12" xfId="3" applyFont="1" applyFill="1" applyBorder="1" applyAlignment="1">
      <alignment horizontal="left"/>
    </xf>
    <xf numFmtId="0" fontId="18" fillId="8" borderId="5" xfId="3" applyFont="1" applyFill="1" applyBorder="1" applyAlignment="1">
      <alignment horizontal="left"/>
    </xf>
    <xf numFmtId="0" fontId="18" fillId="8" borderId="13" xfId="3" applyFont="1" applyFill="1" applyBorder="1" applyAlignment="1">
      <alignment horizontal="left"/>
    </xf>
    <xf numFmtId="0" fontId="17" fillId="9" borderId="3" xfId="3" applyFont="1" applyFill="1" applyBorder="1" applyAlignment="1">
      <alignment horizontal="center"/>
    </xf>
    <xf numFmtId="0" fontId="18" fillId="8" borderId="1" xfId="3" applyFont="1" applyFill="1" applyBorder="1" applyAlignment="1">
      <alignment horizontal="left" vertical="center"/>
    </xf>
    <xf numFmtId="0" fontId="17" fillId="9" borderId="1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 vertical="center"/>
    </xf>
    <xf numFmtId="0" fontId="18" fillId="8" borderId="3" xfId="3" applyFont="1" applyFill="1" applyBorder="1" applyAlignment="1">
      <alignment horizontal="left" vertical="center"/>
    </xf>
    <xf numFmtId="0" fontId="18" fillId="8" borderId="4" xfId="3" applyFont="1" applyFill="1" applyBorder="1" applyAlignment="1">
      <alignment horizontal="left" vertical="center"/>
    </xf>
    <xf numFmtId="170" fontId="18" fillId="9" borderId="1" xfId="3" applyNumberFormat="1" applyFont="1" applyFill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0" fontId="18" fillId="8" borderId="1" xfId="3" applyFont="1" applyFill="1" applyBorder="1" applyAlignment="1">
      <alignment horizontal="left"/>
    </xf>
    <xf numFmtId="1" fontId="18" fillId="8" borderId="1" xfId="5" applyNumberFormat="1" applyFont="1" applyFill="1" applyBorder="1" applyAlignment="1" applyProtection="1">
      <alignment horizontal="center" vertical="center"/>
    </xf>
    <xf numFmtId="1" fontId="24" fillId="10" borderId="1" xfId="5" applyNumberFormat="1" applyFont="1" applyFill="1" applyBorder="1" applyAlignment="1" applyProtection="1">
      <alignment horizontal="center"/>
    </xf>
    <xf numFmtId="164" fontId="17" fillId="2" borderId="1" xfId="5" applyNumberFormat="1" applyFont="1" applyFill="1" applyBorder="1" applyAlignment="1" applyProtection="1">
      <alignment horizontal="center" vertical="top"/>
    </xf>
    <xf numFmtId="164" fontId="17" fillId="2" borderId="1" xfId="5" applyNumberFormat="1" applyFont="1" applyFill="1" applyBorder="1" applyAlignment="1" applyProtection="1">
      <alignment horizontal="center" vertical="center"/>
    </xf>
    <xf numFmtId="1" fontId="18" fillId="2" borderId="1" xfId="3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>
      <alignment horizontal="center" vertical="center"/>
    </xf>
    <xf numFmtId="1" fontId="18" fillId="8" borderId="15" xfId="5" applyNumberFormat="1" applyFont="1" applyFill="1" applyBorder="1" applyAlignment="1" applyProtection="1">
      <alignment horizontal="center" vertical="center"/>
    </xf>
    <xf numFmtId="1" fontId="18" fillId="2" borderId="1" xfId="5" applyNumberFormat="1" applyFont="1" applyFill="1" applyBorder="1" applyAlignment="1">
      <alignment horizontal="center" vertical="center"/>
    </xf>
    <xf numFmtId="1" fontId="18" fillId="2" borderId="1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center"/>
    </xf>
    <xf numFmtId="0" fontId="18" fillId="2" borderId="1" xfId="3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/>
    </xf>
    <xf numFmtId="0" fontId="17" fillId="0" borderId="1" xfId="4" applyFont="1" applyBorder="1" applyAlignment="1">
      <alignment horizontal="center" vertical="center"/>
    </xf>
    <xf numFmtId="0" fontId="17" fillId="2" borderId="1" xfId="4" applyFont="1" applyFill="1" applyBorder="1" applyAlignment="1">
      <alignment horizontal="center"/>
    </xf>
    <xf numFmtId="1" fontId="0" fillId="0" borderId="0" xfId="0" applyNumberFormat="1"/>
    <xf numFmtId="0" fontId="18" fillId="9" borderId="1" xfId="3" applyFont="1" applyFill="1" applyBorder="1" applyAlignment="1">
      <alignment horizontal="right" vertical="center"/>
    </xf>
    <xf numFmtId="9" fontId="18" fillId="9" borderId="1" xfId="4" applyNumberFormat="1" applyFont="1" applyFill="1" applyBorder="1"/>
    <xf numFmtId="0" fontId="19" fillId="8" borderId="9" xfId="3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1" xfId="3" applyFont="1" applyFill="1" applyBorder="1" applyAlignment="1">
      <alignment horizontal="center" vertical="center"/>
    </xf>
    <xf numFmtId="0" fontId="18" fillId="8" borderId="7" xfId="3" applyFont="1" applyFill="1" applyBorder="1" applyAlignment="1">
      <alignment horizontal="center" vertical="center"/>
    </xf>
    <xf numFmtId="2" fontId="19" fillId="2" borderId="7" xfId="3" applyNumberFormat="1" applyFont="1" applyFill="1" applyBorder="1" applyAlignment="1">
      <alignment horizontal="center" vertical="center"/>
    </xf>
    <xf numFmtId="164" fontId="19" fillId="8" borderId="7" xfId="3" applyNumberFormat="1" applyFont="1" applyFill="1" applyBorder="1" applyAlignment="1">
      <alignment horizontal="center" wrapText="1" shrinkToFit="1"/>
    </xf>
    <xf numFmtId="2" fontId="27" fillId="8" borderId="7" xfId="3" applyNumberFormat="1" applyFont="1" applyFill="1" applyBorder="1" applyAlignment="1">
      <alignment horizontal="right" vertical="center"/>
    </xf>
    <xf numFmtId="1" fontId="27" fillId="8" borderId="7" xfId="3" applyNumberFormat="1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left" vertical="center"/>
    </xf>
    <xf numFmtId="0" fontId="18" fillId="2" borderId="3" xfId="3" applyFont="1" applyFill="1" applyBorder="1" applyAlignment="1">
      <alignment horizontal="left" vertical="center"/>
    </xf>
    <xf numFmtId="0" fontId="18" fillId="2" borderId="4" xfId="3" applyFont="1" applyFill="1" applyBorder="1" applyAlignment="1">
      <alignment horizontal="left" vertical="center"/>
    </xf>
    <xf numFmtId="0" fontId="18" fillId="2" borderId="1" xfId="3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center"/>
    </xf>
    <xf numFmtId="1" fontId="18" fillId="2" borderId="2" xfId="5" applyNumberFormat="1" applyFont="1" applyFill="1" applyBorder="1" applyAlignment="1" applyProtection="1">
      <alignment horizontal="center"/>
    </xf>
    <xf numFmtId="0" fontId="18" fillId="10" borderId="3" xfId="3" applyFont="1" applyFill="1" applyBorder="1" applyAlignment="1">
      <alignment vertical="center"/>
    </xf>
    <xf numFmtId="0" fontId="18" fillId="10" borderId="4" xfId="3" applyFont="1" applyFill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7" fillId="14" borderId="1" xfId="1" applyFont="1" applyFill="1" applyBorder="1" applyAlignment="1">
      <alignment horizontal="center" vertical="center" wrapText="1"/>
    </xf>
    <xf numFmtId="0" fontId="12" fillId="14" borderId="1" xfId="1" applyFont="1" applyFill="1" applyBorder="1" applyAlignment="1">
      <alignment vertical="top" wrapText="1"/>
    </xf>
    <xf numFmtId="1" fontId="3" fillId="14" borderId="0" xfId="1" applyNumberFormat="1" applyFont="1" applyFill="1"/>
    <xf numFmtId="0" fontId="0" fillId="14" borderId="0" xfId="0" applyFill="1"/>
    <xf numFmtId="0" fontId="6" fillId="14" borderId="1" xfId="1" applyFont="1" applyFill="1" applyBorder="1" applyAlignment="1">
      <alignment horizontal="center" vertical="center" wrapText="1"/>
    </xf>
    <xf numFmtId="1" fontId="12" fillId="14" borderId="1" xfId="1" applyNumberFormat="1" applyFont="1" applyFill="1" applyBorder="1" applyAlignment="1">
      <alignment vertical="top" wrapText="1"/>
    </xf>
    <xf numFmtId="0" fontId="12" fillId="14" borderId="1" xfId="1" applyFont="1" applyFill="1" applyBorder="1" applyAlignment="1">
      <alignment horizontal="center"/>
    </xf>
    <xf numFmtId="164" fontId="12" fillId="14" borderId="1" xfId="1" applyNumberFormat="1" applyFont="1" applyFill="1" applyBorder="1" applyAlignment="1">
      <alignment horizontal="center"/>
    </xf>
    <xf numFmtId="2" fontId="12" fillId="14" borderId="1" xfId="1" applyNumberFormat="1" applyFont="1" applyFill="1" applyBorder="1" applyAlignment="1">
      <alignment vertical="top" wrapText="1"/>
    </xf>
    <xf numFmtId="1" fontId="12" fillId="14" borderId="1" xfId="1" applyNumberFormat="1" applyFont="1" applyFill="1" applyBorder="1" applyAlignment="1">
      <alignment horizontal="center" vertical="top" wrapText="1"/>
    </xf>
    <xf numFmtId="0" fontId="18" fillId="0" borderId="2" xfId="4" applyFont="1" applyBorder="1" applyAlignment="1">
      <alignment vertical="center"/>
    </xf>
    <xf numFmtId="0" fontId="18" fillId="0" borderId="3" xfId="4" applyFont="1" applyBorder="1" applyAlignment="1">
      <alignment vertical="center"/>
    </xf>
    <xf numFmtId="0" fontId="18" fillId="0" borderId="4" xfId="4" applyFont="1" applyBorder="1" applyAlignment="1">
      <alignment vertical="center"/>
    </xf>
    <xf numFmtId="0" fontId="18" fillId="8" borderId="12" xfId="3" applyFont="1" applyFill="1" applyBorder="1" applyAlignment="1">
      <alignment horizontal="left" vertical="center"/>
    </xf>
    <xf numFmtId="0" fontId="18" fillId="8" borderId="5" xfId="3" applyFont="1" applyFill="1" applyBorder="1" applyAlignment="1">
      <alignment horizontal="left" vertical="center"/>
    </xf>
    <xf numFmtId="0" fontId="18" fillId="8" borderId="13" xfId="3" applyFont="1" applyFill="1" applyBorder="1" applyAlignment="1">
      <alignment horizontal="left" vertical="center"/>
    </xf>
    <xf numFmtId="0" fontId="17" fillId="2" borderId="8" xfId="3" applyNumberFormat="1" applyFont="1" applyFill="1" applyBorder="1" applyAlignment="1">
      <alignment horizontal="center"/>
    </xf>
    <xf numFmtId="0" fontId="18" fillId="8" borderId="9" xfId="3" applyFont="1" applyFill="1" applyBorder="1" applyAlignment="1">
      <alignment horizontal="left" vertical="center"/>
    </xf>
    <xf numFmtId="0" fontId="18" fillId="8" borderId="10" xfId="3" applyFont="1" applyFill="1" applyBorder="1" applyAlignment="1">
      <alignment horizontal="left" vertical="center"/>
    </xf>
    <xf numFmtId="0" fontId="18" fillId="8" borderId="11" xfId="3" applyFont="1" applyFill="1" applyBorder="1" applyAlignment="1">
      <alignment horizontal="left" vertical="center"/>
    </xf>
    <xf numFmtId="0" fontId="17" fillId="2" borderId="7" xfId="3" applyNumberFormat="1" applyFont="1" applyFill="1" applyBorder="1" applyAlignment="1">
      <alignment horizontal="center"/>
    </xf>
    <xf numFmtId="1" fontId="18" fillId="2" borderId="8" xfId="3" applyNumberFormat="1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right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21" xfId="1" applyFont="1" applyFill="1" applyBorder="1" applyAlignment="1">
      <alignment vertical="top" wrapText="1"/>
    </xf>
    <xf numFmtId="0" fontId="9" fillId="0" borderId="15" xfId="1" applyFont="1" applyFill="1" applyBorder="1" applyAlignment="1">
      <alignment vertical="top" wrapText="1"/>
    </xf>
    <xf numFmtId="1" fontId="12" fillId="2" borderId="21" xfId="1" applyNumberFormat="1" applyFont="1" applyFill="1" applyBorder="1" applyAlignment="1">
      <alignment vertical="center" wrapText="1"/>
    </xf>
    <xf numFmtId="1" fontId="12" fillId="2" borderId="15" xfId="1" applyNumberFormat="1" applyFont="1" applyFill="1" applyBorder="1" applyAlignment="1">
      <alignment vertical="center" wrapText="1"/>
    </xf>
    <xf numFmtId="2" fontId="34" fillId="8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2" fontId="35" fillId="8" borderId="1" xfId="3" applyNumberFormat="1" applyFont="1" applyFill="1" applyBorder="1" applyAlignment="1">
      <alignment horizontal="center"/>
    </xf>
    <xf numFmtId="0" fontId="36" fillId="0" borderId="7" xfId="4" applyFont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5" fillId="8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center" vertical="center"/>
    </xf>
    <xf numFmtId="1" fontId="35" fillId="2" borderId="1" xfId="3" applyNumberFormat="1" applyFont="1" applyFill="1" applyBorder="1" applyAlignment="1">
      <alignment horizontal="center" vertical="center"/>
    </xf>
    <xf numFmtId="0" fontId="36" fillId="0" borderId="1" xfId="4" applyFont="1" applyBorder="1" applyAlignment="1">
      <alignment horizontal="center" wrapText="1"/>
    </xf>
    <xf numFmtId="0" fontId="36" fillId="2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/>
    </xf>
    <xf numFmtId="0" fontId="34" fillId="0" borderId="8" xfId="4" applyFont="1" applyBorder="1" applyAlignment="1">
      <alignment horizontal="center"/>
    </xf>
    <xf numFmtId="0" fontId="34" fillId="2" borderId="1" xfId="3" applyNumberFormat="1" applyFont="1" applyFill="1" applyBorder="1" applyAlignment="1">
      <alignment horizontal="center"/>
    </xf>
    <xf numFmtId="1" fontId="35" fillId="8" borderId="1" xfId="3" applyNumberFormat="1" applyFont="1" applyFill="1" applyBorder="1" applyAlignment="1">
      <alignment horizontal="center"/>
    </xf>
    <xf numFmtId="1" fontId="34" fillId="12" borderId="1" xfId="3" applyNumberFormat="1" applyFont="1" applyFill="1" applyBorder="1" applyAlignment="1">
      <alignment horizontal="center"/>
    </xf>
    <xf numFmtId="1" fontId="35" fillId="8" borderId="1" xfId="5" applyNumberFormat="1" applyFont="1" applyFill="1" applyBorder="1" applyAlignment="1">
      <alignment horizontal="center" vertical="center"/>
    </xf>
    <xf numFmtId="9" fontId="35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5" fillId="9" borderId="1" xfId="3" applyNumberFormat="1" applyFont="1" applyFill="1" applyBorder="1" applyAlignment="1">
      <alignment horizontal="center"/>
    </xf>
    <xf numFmtId="9" fontId="35" fillId="9" borderId="1" xfId="4" applyNumberFormat="1" applyFont="1" applyFill="1" applyBorder="1"/>
    <xf numFmtId="0" fontId="34" fillId="9" borderId="1" xfId="3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left"/>
    </xf>
    <xf numFmtId="0" fontId="34" fillId="9" borderId="1" xfId="3" applyFont="1" applyFill="1" applyBorder="1" applyAlignment="1">
      <alignment horizontal="left"/>
    </xf>
    <xf numFmtId="10" fontId="34" fillId="9" borderId="1" xfId="3" applyNumberFormat="1" applyFont="1" applyFill="1" applyBorder="1" applyAlignment="1">
      <alignment horizontal="center"/>
    </xf>
    <xf numFmtId="1" fontId="34" fillId="9" borderId="1" xfId="3" applyNumberFormat="1" applyFont="1" applyFill="1" applyBorder="1" applyAlignment="1">
      <alignment horizontal="center"/>
    </xf>
    <xf numFmtId="0" fontId="37" fillId="0" borderId="0" xfId="0" applyFont="1" applyBorder="1"/>
    <xf numFmtId="0" fontId="35" fillId="9" borderId="1" xfId="3" applyFont="1" applyFill="1" applyBorder="1"/>
    <xf numFmtId="2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5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0" fontId="35" fillId="8" borderId="9" xfId="3" applyFont="1" applyFill="1" applyBorder="1" applyAlignment="1">
      <alignment horizontal="left" vertical="center"/>
    </xf>
    <xf numFmtId="0" fontId="35" fillId="8" borderId="10" xfId="3" applyFont="1" applyFill="1" applyBorder="1" applyAlignment="1">
      <alignment horizontal="left" vertical="center"/>
    </xf>
    <xf numFmtId="0" fontId="35" fillId="8" borderId="11" xfId="3" applyFont="1" applyFill="1" applyBorder="1" applyAlignment="1">
      <alignment horizontal="left" vertical="center"/>
    </xf>
    <xf numFmtId="0" fontId="35" fillId="8" borderId="7" xfId="3" applyFont="1" applyFill="1" applyBorder="1" applyAlignment="1">
      <alignment horizontal="center"/>
    </xf>
    <xf numFmtId="2" fontId="34" fillId="8" borderId="7" xfId="3" applyNumberFormat="1" applyFont="1" applyFill="1" applyBorder="1" applyAlignment="1">
      <alignment horizontal="center"/>
    </xf>
    <xf numFmtId="1" fontId="35" fillId="2" borderId="7" xfId="5" applyNumberFormat="1" applyFont="1" applyFill="1" applyBorder="1" applyAlignment="1">
      <alignment horizontal="center" vertical="center"/>
    </xf>
    <xf numFmtId="1" fontId="35" fillId="8" borderId="2" xfId="5" applyNumberFormat="1" applyFont="1" applyFill="1" applyBorder="1" applyAlignment="1" applyProtection="1">
      <alignment horizontal="center"/>
    </xf>
    <xf numFmtId="0" fontId="35" fillId="8" borderId="12" xfId="3" applyFont="1" applyFill="1" applyBorder="1" applyAlignment="1">
      <alignment horizontal="left" vertical="center"/>
    </xf>
    <xf numFmtId="0" fontId="35" fillId="8" borderId="5" xfId="3" applyFont="1" applyFill="1" applyBorder="1" applyAlignment="1">
      <alignment horizontal="left" vertical="center"/>
    </xf>
    <xf numFmtId="0" fontId="35" fillId="8" borderId="13" xfId="3" applyFont="1" applyFill="1" applyBorder="1" applyAlignment="1">
      <alignment horizontal="left" vertical="center"/>
    </xf>
    <xf numFmtId="0" fontId="35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1" fontId="35" fillId="8" borderId="8" xfId="5" applyNumberFormat="1" applyFont="1" applyFill="1" applyBorder="1" applyAlignment="1">
      <alignment horizontal="center" vertical="center"/>
    </xf>
    <xf numFmtId="167" fontId="35" fillId="8" borderId="2" xfId="3" applyNumberFormat="1" applyFont="1" applyFill="1" applyBorder="1" applyAlignment="1">
      <alignment vertical="center"/>
    </xf>
    <xf numFmtId="167" fontId="35" fillId="8" borderId="3" xfId="3" applyNumberFormat="1" applyFont="1" applyFill="1" applyBorder="1" applyAlignment="1">
      <alignment vertical="center"/>
    </xf>
    <xf numFmtId="167" fontId="35" fillId="8" borderId="4" xfId="3" applyNumberFormat="1" applyFont="1" applyFill="1" applyBorder="1" applyAlignment="1">
      <alignment vertical="center"/>
    </xf>
    <xf numFmtId="1" fontId="35" fillId="2" borderId="1" xfId="5" applyNumberFormat="1" applyFont="1" applyFill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right"/>
    </xf>
    <xf numFmtId="0" fontId="35" fillId="8" borderId="2" xfId="3" applyFont="1" applyFill="1" applyBorder="1" applyAlignment="1">
      <alignment horizontal="left" vertical="center"/>
    </xf>
    <xf numFmtId="0" fontId="35" fillId="8" borderId="3" xfId="3" applyFont="1" applyFill="1" applyBorder="1" applyAlignment="1">
      <alignment horizontal="left" vertical="center"/>
    </xf>
    <xf numFmtId="0" fontId="35" fillId="8" borderId="4" xfId="3" applyFont="1" applyFill="1" applyBorder="1" applyAlignment="1">
      <alignment horizontal="left" vertical="center"/>
    </xf>
    <xf numFmtId="0" fontId="35" fillId="8" borderId="9" xfId="3" applyFont="1" applyFill="1" applyBorder="1" applyAlignment="1">
      <alignment horizontal="left"/>
    </xf>
    <xf numFmtId="0" fontId="35" fillId="8" borderId="10" xfId="3" applyFont="1" applyFill="1" applyBorder="1" applyAlignment="1">
      <alignment horizontal="left"/>
    </xf>
    <xf numFmtId="0" fontId="35" fillId="8" borderId="11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left" vertical="center"/>
    </xf>
    <xf numFmtId="0" fontId="35" fillId="2" borderId="3" xfId="3" applyFont="1" applyFill="1" applyBorder="1" applyAlignment="1">
      <alignment horizontal="left" vertical="center"/>
    </xf>
    <xf numFmtId="0" fontId="35" fillId="2" borderId="4" xfId="3" applyFont="1" applyFill="1" applyBorder="1" applyAlignment="1">
      <alignment horizontal="left" vertical="center"/>
    </xf>
    <xf numFmtId="0" fontId="34" fillId="2" borderId="1" xfId="4" applyFont="1" applyFill="1" applyBorder="1" applyAlignment="1">
      <alignment horizontal="center"/>
    </xf>
    <xf numFmtId="0" fontId="43" fillId="8" borderId="1" xfId="3" applyFont="1" applyFill="1" applyBorder="1" applyAlignment="1">
      <alignment horizontal="center"/>
    </xf>
    <xf numFmtId="164" fontId="43" fillId="8" borderId="1" xfId="5" applyNumberFormat="1" applyFont="1" applyFill="1" applyBorder="1" applyAlignment="1">
      <alignment horizontal="center" vertical="center"/>
    </xf>
    <xf numFmtId="0" fontId="43" fillId="0" borderId="1" xfId="4" applyFont="1" applyBorder="1" applyAlignment="1">
      <alignment horizontal="center"/>
    </xf>
    <xf numFmtId="0" fontId="45" fillId="2" borderId="2" xfId="3" applyFont="1" applyFill="1" applyBorder="1" applyAlignment="1">
      <alignment horizontal="center"/>
    </xf>
    <xf numFmtId="0" fontId="45" fillId="2" borderId="3" xfId="3" applyFont="1" applyFill="1" applyBorder="1" applyAlignment="1">
      <alignment horizontal="center"/>
    </xf>
    <xf numFmtId="0" fontId="45" fillId="2" borderId="4" xfId="3" applyFont="1" applyFill="1" applyBorder="1" applyAlignment="1">
      <alignment horizontal="center"/>
    </xf>
    <xf numFmtId="44" fontId="45" fillId="8" borderId="1" xfId="8" applyFont="1" applyFill="1" applyBorder="1" applyAlignment="1">
      <alignment horizontal="center"/>
    </xf>
    <xf numFmtId="2" fontId="45" fillId="8" borderId="1" xfId="3" applyNumberFormat="1" applyFont="1" applyFill="1" applyBorder="1" applyAlignment="1">
      <alignment horizontal="center"/>
    </xf>
    <xf numFmtId="164" fontId="41" fillId="8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 vertical="center"/>
    </xf>
    <xf numFmtId="1" fontId="45" fillId="0" borderId="1" xfId="4" applyNumberFormat="1" applyFont="1" applyBorder="1" applyAlignment="1">
      <alignment horizontal="center"/>
    </xf>
    <xf numFmtId="1" fontId="45" fillId="8" borderId="1" xfId="3" applyNumberFormat="1" applyFont="1" applyFill="1" applyBorder="1" applyAlignment="1">
      <alignment horizontal="center" vertical="center"/>
    </xf>
    <xf numFmtId="0" fontId="43" fillId="2" borderId="1" xfId="3" applyFont="1" applyFill="1" applyBorder="1" applyAlignment="1">
      <alignment horizontal="center"/>
    </xf>
    <xf numFmtId="0" fontId="34" fillId="0" borderId="1" xfId="4" applyFont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center" vertical="center"/>
    </xf>
    <xf numFmtId="2" fontId="35" fillId="8" borderId="2" xfId="3" applyNumberFormat="1" applyFont="1" applyFill="1" applyBorder="1" applyAlignment="1">
      <alignment horizontal="left" vertical="center"/>
    </xf>
    <xf numFmtId="2" fontId="35" fillId="8" borderId="3" xfId="3" applyNumberFormat="1" applyFont="1" applyFill="1" applyBorder="1" applyAlignment="1">
      <alignment horizontal="left" vertical="center"/>
    </xf>
    <xf numFmtId="2" fontId="35" fillId="8" borderId="4" xfId="3" applyNumberFormat="1" applyFont="1" applyFill="1" applyBorder="1" applyAlignment="1">
      <alignment horizontal="left" vertical="center"/>
    </xf>
    <xf numFmtId="1" fontId="35" fillId="8" borderId="1" xfId="3" applyNumberFormat="1" applyFont="1" applyFill="1" applyBorder="1" applyAlignment="1">
      <alignment horizontal="center" vertical="center"/>
    </xf>
    <xf numFmtId="0" fontId="35" fillId="8" borderId="3" xfId="3" applyFont="1" applyFill="1" applyBorder="1" applyAlignment="1">
      <alignment horizontal="left" vertical="justify"/>
    </xf>
    <xf numFmtId="0" fontId="35" fillId="8" borderId="4" xfId="3" applyFont="1" applyFill="1" applyBorder="1" applyAlignment="1">
      <alignment horizontal="left" vertical="justify"/>
    </xf>
    <xf numFmtId="0" fontId="35" fillId="8" borderId="1" xfId="3" applyFont="1" applyFill="1" applyBorder="1" applyAlignment="1">
      <alignment horizontal="left" vertical="center"/>
    </xf>
    <xf numFmtId="0" fontId="35" fillId="0" borderId="2" xfId="4" applyFont="1" applyBorder="1" applyAlignment="1">
      <alignment vertical="center"/>
    </xf>
    <xf numFmtId="0" fontId="35" fillId="0" borderId="3" xfId="4" applyFont="1" applyBorder="1" applyAlignment="1">
      <alignment vertical="center"/>
    </xf>
    <xf numFmtId="0" fontId="35" fillId="0" borderId="4" xfId="4" applyFont="1" applyBorder="1" applyAlignment="1">
      <alignment vertical="center"/>
    </xf>
    <xf numFmtId="0" fontId="34" fillId="2" borderId="1" xfId="3" applyFont="1" applyFill="1" applyBorder="1" applyAlignment="1">
      <alignment horizontal="center"/>
    </xf>
    <xf numFmtId="0" fontId="35" fillId="2" borderId="1" xfId="4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5" fillId="0" borderId="1" xfId="4" applyFont="1" applyBorder="1"/>
    <xf numFmtId="0" fontId="35" fillId="8" borderId="12" xfId="3" applyFont="1" applyFill="1" applyBorder="1" applyAlignment="1">
      <alignment horizontal="left"/>
    </xf>
    <xf numFmtId="0" fontId="35" fillId="8" borderId="5" xfId="3" applyFont="1" applyFill="1" applyBorder="1" applyAlignment="1">
      <alignment horizontal="left"/>
    </xf>
    <xf numFmtId="0" fontId="35" fillId="8" borderId="13" xfId="3" applyFont="1" applyFill="1" applyBorder="1" applyAlignment="1">
      <alignment horizontal="left"/>
    </xf>
    <xf numFmtId="43" fontId="34" fillId="8" borderId="1" xfId="7" applyFont="1" applyFill="1" applyBorder="1" applyAlignment="1">
      <alignment horizontal="right" wrapText="1"/>
    </xf>
    <xf numFmtId="164" fontId="35" fillId="2" borderId="0" xfId="5" applyNumberFormat="1" applyFont="1" applyFill="1" applyBorder="1" applyAlignment="1" applyProtection="1">
      <alignment horizontal="center"/>
    </xf>
    <xf numFmtId="1" fontId="37" fillId="0" borderId="0" xfId="0" applyNumberFormat="1" applyFont="1"/>
    <xf numFmtId="168" fontId="41" fillId="8" borderId="1" xfId="5" applyNumberFormat="1" applyFont="1" applyFill="1" applyBorder="1" applyAlignment="1" applyProtection="1">
      <alignment horizontal="center" vertic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" fontId="34" fillId="8" borderId="1" xfId="3" applyNumberFormat="1" applyFont="1" applyFill="1" applyBorder="1" applyAlignment="1">
      <alignment horizontal="center"/>
    </xf>
    <xf numFmtId="2" fontId="17" fillId="2" borderId="1" xfId="3" applyNumberFormat="1" applyFont="1" applyFill="1" applyBorder="1" applyAlignment="1">
      <alignment horizontal="right"/>
    </xf>
    <xf numFmtId="1" fontId="12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5" fillId="2" borderId="0" xfId="5" applyNumberFormat="1" applyFont="1" applyFill="1" applyBorder="1" applyAlignment="1" applyProtection="1">
      <alignment horizontal="center"/>
    </xf>
    <xf numFmtId="0" fontId="35" fillId="2" borderId="0" xfId="3" applyFont="1" applyFill="1" applyBorder="1" applyAlignment="1">
      <alignment horizontal="center"/>
    </xf>
    <xf numFmtId="2" fontId="17" fillId="12" borderId="8" xfId="3" applyNumberFormat="1" applyFont="1" applyFill="1" applyBorder="1" applyAlignment="1">
      <alignment horizontal="center"/>
    </xf>
    <xf numFmtId="0" fontId="47" fillId="0" borderId="0" xfId="0" applyFont="1"/>
    <xf numFmtId="0" fontId="47" fillId="0" borderId="0" xfId="0" applyFont="1" applyBorder="1"/>
    <xf numFmtId="0" fontId="49" fillId="0" borderId="0" xfId="0" applyFont="1" applyBorder="1"/>
    <xf numFmtId="0" fontId="49" fillId="0" borderId="0" xfId="0" applyFont="1"/>
    <xf numFmtId="164" fontId="48" fillId="2" borderId="0" xfId="5" applyNumberFormat="1" applyFont="1" applyFill="1" applyBorder="1" applyAlignment="1" applyProtection="1">
      <alignment horizontal="center"/>
    </xf>
    <xf numFmtId="0" fontId="51" fillId="0" borderId="0" xfId="4" applyFont="1"/>
    <xf numFmtId="1" fontId="47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35" fillId="0" borderId="2" xfId="4" applyFont="1" applyBorder="1"/>
    <xf numFmtId="0" fontId="34" fillId="9" borderId="1" xfId="3" applyFont="1" applyFill="1" applyBorder="1" applyAlignment="1"/>
    <xf numFmtId="0" fontId="35" fillId="9" borderId="1" xfId="3" applyFont="1" applyFill="1" applyBorder="1" applyAlignment="1">
      <alignment horizontal="center"/>
    </xf>
    <xf numFmtId="0" fontId="35" fillId="15" borderId="1" xfId="3" applyFont="1" applyFill="1" applyBorder="1" applyAlignment="1">
      <alignment horizontal="center" vertical="center"/>
    </xf>
    <xf numFmtId="0" fontId="41" fillId="15" borderId="1" xfId="3" applyFont="1" applyFill="1" applyBorder="1" applyAlignment="1">
      <alignment horizontal="center"/>
    </xf>
    <xf numFmtId="1" fontId="41" fillId="15" borderId="1" xfId="3" applyNumberFormat="1" applyFont="1" applyFill="1" applyBorder="1" applyAlignment="1">
      <alignment horizontal="center"/>
    </xf>
    <xf numFmtId="0" fontId="41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5" fillId="15" borderId="3" xfId="3" applyFont="1" applyFill="1" applyBorder="1" applyAlignment="1"/>
    <xf numFmtId="0" fontId="35" fillId="15" borderId="4" xfId="3" applyFont="1" applyFill="1" applyBorder="1" applyAlignment="1">
      <alignment vertical="center"/>
    </xf>
    <xf numFmtId="0" fontId="34" fillId="15" borderId="1" xfId="3" applyFont="1" applyFill="1" applyBorder="1" applyAlignment="1"/>
    <xf numFmtId="0" fontId="35" fillId="15" borderId="3" xfId="3" applyFont="1" applyFill="1" applyBorder="1" applyAlignment="1">
      <alignment horizontal="center"/>
    </xf>
    <xf numFmtId="1" fontId="35" fillId="15" borderId="1" xfId="5" applyNumberFormat="1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/>
    </xf>
    <xf numFmtId="0" fontId="35" fillId="16" borderId="3" xfId="3" applyFont="1" applyFill="1" applyBorder="1" applyAlignment="1">
      <alignment horizontal="center"/>
    </xf>
    <xf numFmtId="0" fontId="35" fillId="16" borderId="4" xfId="3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 vertical="center"/>
    </xf>
    <xf numFmtId="0" fontId="35" fillId="16" borderId="3" xfId="3" applyFont="1" applyFill="1" applyBorder="1" applyAlignment="1">
      <alignment horizontal="center" vertical="center"/>
    </xf>
    <xf numFmtId="0" fontId="35" fillId="16" borderId="4" xfId="3" applyFont="1" applyFill="1" applyBorder="1" applyAlignment="1">
      <alignment horizontal="center" vertical="center"/>
    </xf>
    <xf numFmtId="0" fontId="45" fillId="16" borderId="2" xfId="3" applyFont="1" applyFill="1" applyBorder="1" applyAlignment="1">
      <alignment horizontal="center"/>
    </xf>
    <xf numFmtId="0" fontId="45" fillId="16" borderId="3" xfId="3" applyFont="1" applyFill="1" applyBorder="1" applyAlignment="1">
      <alignment horizontal="center"/>
    </xf>
    <xf numFmtId="0" fontId="45" fillId="16" borderId="4" xfId="3" applyFont="1" applyFill="1" applyBorder="1" applyAlignment="1">
      <alignment horizontal="center"/>
    </xf>
    <xf numFmtId="0" fontId="42" fillId="16" borderId="1" xfId="4" applyFont="1" applyFill="1" applyBorder="1"/>
    <xf numFmtId="0" fontId="44" fillId="16" borderId="1" xfId="0" applyFont="1" applyFill="1" applyBorder="1"/>
    <xf numFmtId="1" fontId="41" fillId="2" borderId="1" xfId="3" applyNumberFormat="1" applyFont="1" applyFill="1" applyBorder="1" applyAlignment="1">
      <alignment horizontal="center"/>
    </xf>
    <xf numFmtId="2" fontId="34" fillId="8" borderId="1" xfId="9" applyNumberFormat="1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 vertical="center"/>
    </xf>
    <xf numFmtId="0" fontId="35" fillId="8" borderId="8" xfId="3" applyFont="1" applyFill="1" applyBorder="1" applyAlignment="1">
      <alignment horizontal="center" vertical="center"/>
    </xf>
    <xf numFmtId="2" fontId="17" fillId="8" borderId="24" xfId="3" applyNumberFormat="1" applyFont="1" applyFill="1" applyBorder="1" applyAlignment="1">
      <alignment horizontal="center"/>
    </xf>
    <xf numFmtId="0" fontId="35" fillId="2" borderId="8" xfId="3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/>
    </xf>
    <xf numFmtId="2" fontId="17" fillId="8" borderId="25" xfId="3" applyNumberFormat="1" applyFont="1" applyFill="1" applyBorder="1" applyAlignment="1">
      <alignment horizontal="center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0" fontId="43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/>
    <xf numFmtId="0" fontId="38" fillId="2" borderId="8" xfId="4" applyFont="1" applyFill="1" applyBorder="1" applyAlignment="1">
      <alignment horizontal="left"/>
    </xf>
    <xf numFmtId="2" fontId="49" fillId="8" borderId="1" xfId="3" applyNumberFormat="1" applyFont="1" applyFill="1" applyBorder="1" applyAlignment="1">
      <alignment horizontal="center"/>
    </xf>
    <xf numFmtId="164" fontId="48" fillId="2" borderId="0" xfId="3" applyNumberFormat="1" applyFont="1" applyFill="1" applyBorder="1" applyAlignment="1">
      <alignment horizontal="center" vertical="center" wrapText="1" shrinkToFit="1"/>
    </xf>
    <xf numFmtId="0" fontId="48" fillId="2" borderId="0" xfId="3" applyFont="1" applyFill="1" applyBorder="1" applyAlignment="1">
      <alignment horizontal="center" vertical="center"/>
    </xf>
    <xf numFmtId="1" fontId="48" fillId="2" borderId="0" xfId="5" applyNumberFormat="1" applyFont="1" applyFill="1" applyBorder="1" applyAlignment="1" applyProtection="1">
      <alignment horizontal="center"/>
    </xf>
    <xf numFmtId="0" fontId="48" fillId="2" borderId="0" xfId="3" applyFont="1" applyFill="1" applyBorder="1" applyAlignment="1">
      <alignment horizontal="center"/>
    </xf>
    <xf numFmtId="2" fontId="48" fillId="2" borderId="0" xfId="5" applyNumberFormat="1" applyFont="1" applyFill="1" applyBorder="1" applyAlignment="1" applyProtection="1">
      <alignment horizontal="center"/>
    </xf>
    <xf numFmtId="165" fontId="48" fillId="2" borderId="0" xfId="6" applyNumberFormat="1" applyFont="1" applyFill="1" applyBorder="1" applyAlignment="1">
      <alignment horizontal="center"/>
    </xf>
    <xf numFmtId="164" fontId="48" fillId="2" borderId="0" xfId="3" applyNumberFormat="1" applyFont="1" applyFill="1" applyBorder="1" applyAlignment="1">
      <alignment horizontal="center"/>
    </xf>
    <xf numFmtId="0" fontId="53" fillId="0" borderId="29" xfId="4" applyFont="1" applyBorder="1" applyAlignment="1">
      <alignment vertical="center" wrapText="1"/>
    </xf>
    <xf numFmtId="0" fontId="53" fillId="0" borderId="24" xfId="4" applyFont="1" applyBorder="1" applyAlignment="1">
      <alignment vertical="center" wrapText="1"/>
    </xf>
    <xf numFmtId="0" fontId="35" fillId="15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left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54" fillId="2" borderId="1" xfId="1" applyNumberFormat="1" applyFont="1" applyFill="1" applyBorder="1" applyAlignment="1">
      <alignment vertical="center" wrapText="1"/>
    </xf>
    <xf numFmtId="2" fontId="47" fillId="0" borderId="0" xfId="0" applyNumberFormat="1" applyFont="1"/>
    <xf numFmtId="0" fontId="47" fillId="0" borderId="0" xfId="0" applyFont="1" applyFill="1"/>
    <xf numFmtId="0" fontId="57" fillId="0" borderId="0" xfId="0" applyFont="1"/>
    <xf numFmtId="0" fontId="57" fillId="0" borderId="0" xfId="0" applyFont="1" applyBorder="1"/>
    <xf numFmtId="1" fontId="57" fillId="0" borderId="0" xfId="0" applyNumberFormat="1" applyFont="1"/>
    <xf numFmtId="0" fontId="57" fillId="0" borderId="0" xfId="0" applyFont="1" applyFill="1"/>
    <xf numFmtId="0" fontId="56" fillId="0" borderId="0" xfId="0" applyFont="1" applyFill="1"/>
    <xf numFmtId="1" fontId="57" fillId="0" borderId="0" xfId="0" applyNumberFormat="1" applyFont="1" applyFill="1"/>
    <xf numFmtId="0" fontId="55" fillId="0" borderId="1" xfId="0" applyFont="1" applyBorder="1"/>
    <xf numFmtId="9" fontId="55" fillId="0" borderId="1" xfId="0" applyNumberFormat="1" applyFont="1" applyBorder="1"/>
    <xf numFmtId="1" fontId="55" fillId="0" borderId="1" xfId="0" applyNumberFormat="1" applyFont="1" applyBorder="1"/>
    <xf numFmtId="0" fontId="0" fillId="0" borderId="0" xfId="0" applyAlignment="1">
      <alignment vertical="center" wrapText="1"/>
    </xf>
    <xf numFmtId="0" fontId="55" fillId="0" borderId="1" xfId="0" applyFont="1" applyBorder="1" applyAlignment="1">
      <alignment vertical="center" wrapText="1"/>
    </xf>
    <xf numFmtId="0" fontId="58" fillId="15" borderId="1" xfId="3" applyFont="1" applyFill="1" applyBorder="1" applyAlignment="1"/>
    <xf numFmtId="0" fontId="64" fillId="0" borderId="0" xfId="0" applyFont="1"/>
    <xf numFmtId="2" fontId="65" fillId="8" borderId="1" xfId="3" applyNumberFormat="1" applyFont="1" applyFill="1" applyBorder="1" applyAlignment="1">
      <alignment horizontal="center"/>
    </xf>
    <xf numFmtId="0" fontId="68" fillId="0" borderId="0" xfId="0" applyFont="1"/>
    <xf numFmtId="0" fontId="66" fillId="0" borderId="0" xfId="0" applyFont="1"/>
    <xf numFmtId="0" fontId="58" fillId="15" borderId="1" xfId="3" applyFont="1" applyFill="1" applyBorder="1" applyAlignment="1">
      <alignment horizontal="center" vertical="center"/>
    </xf>
    <xf numFmtId="0" fontId="58" fillId="8" borderId="1" xfId="3" applyFont="1" applyFill="1" applyBorder="1" applyAlignment="1">
      <alignment horizontal="center" vertical="center"/>
    </xf>
    <xf numFmtId="1" fontId="65" fillId="8" borderId="1" xfId="3" applyNumberFormat="1" applyFont="1" applyFill="1" applyBorder="1" applyAlignment="1">
      <alignment horizontal="center"/>
    </xf>
    <xf numFmtId="0" fontId="59" fillId="9" borderId="1" xfId="3" applyFont="1" applyFill="1" applyBorder="1" applyAlignment="1">
      <alignment horizontal="center" vertical="center"/>
    </xf>
    <xf numFmtId="10" fontId="59" fillId="9" borderId="1" xfId="3" applyNumberFormat="1" applyFont="1" applyFill="1" applyBorder="1" applyAlignment="1">
      <alignment horizontal="center"/>
    </xf>
    <xf numFmtId="1" fontId="59" fillId="9" borderId="1" xfId="3" applyNumberFormat="1" applyFont="1" applyFill="1" applyBorder="1" applyAlignment="1">
      <alignment horizontal="center"/>
    </xf>
    <xf numFmtId="2" fontId="59" fillId="9" borderId="1" xfId="3" applyNumberFormat="1" applyFont="1" applyFill="1" applyBorder="1" applyAlignment="1">
      <alignment horizontal="center"/>
    </xf>
    <xf numFmtId="9" fontId="59" fillId="9" borderId="1" xfId="3" applyNumberFormat="1" applyFont="1" applyFill="1" applyBorder="1" applyAlignment="1">
      <alignment horizontal="center"/>
    </xf>
    <xf numFmtId="0" fontId="67" fillId="0" borderId="0" xfId="0" applyFont="1"/>
    <xf numFmtId="2" fontId="65" fillId="2" borderId="1" xfId="3" applyNumberFormat="1" applyFont="1" applyFill="1" applyBorder="1" applyAlignment="1">
      <alignment horizontal="center" vertical="center"/>
    </xf>
    <xf numFmtId="164" fontId="65" fillId="8" borderId="1" xfId="3" applyNumberFormat="1" applyFont="1" applyFill="1" applyBorder="1" applyAlignment="1">
      <alignment horizontal="center" wrapText="1" shrinkToFit="1"/>
    </xf>
    <xf numFmtId="2" fontId="65" fillId="8" borderId="1" xfId="3" applyNumberFormat="1" applyFont="1" applyFill="1" applyBorder="1" applyAlignment="1">
      <alignment horizontal="center" vertical="center"/>
    </xf>
    <xf numFmtId="1" fontId="65" fillId="8" borderId="1" xfId="3" applyNumberFormat="1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horizontal="center"/>
    </xf>
    <xf numFmtId="1" fontId="65" fillId="2" borderId="1" xfId="5" applyNumberFormat="1" applyFont="1" applyFill="1" applyBorder="1" applyAlignment="1">
      <alignment horizontal="center" vertical="center"/>
    </xf>
    <xf numFmtId="0" fontId="65" fillId="2" borderId="1" xfId="3" applyNumberFormat="1" applyFont="1" applyFill="1" applyBorder="1" applyAlignment="1">
      <alignment horizontal="center"/>
    </xf>
    <xf numFmtId="2" fontId="65" fillId="8" borderId="8" xfId="3" applyNumberFormat="1" applyFont="1" applyFill="1" applyBorder="1" applyAlignment="1">
      <alignment horizontal="center"/>
    </xf>
    <xf numFmtId="1" fontId="65" fillId="2" borderId="7" xfId="5" applyNumberFormat="1" applyFont="1" applyFill="1" applyBorder="1" applyAlignment="1">
      <alignment horizontal="center" vertical="center"/>
    </xf>
    <xf numFmtId="1" fontId="65" fillId="2" borderId="8" xfId="3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/>
    </xf>
    <xf numFmtId="1" fontId="65" fillId="12" borderId="1" xfId="3" applyNumberFormat="1" applyFont="1" applyFill="1" applyBorder="1" applyAlignment="1">
      <alignment horizontal="center"/>
    </xf>
    <xf numFmtId="2" fontId="65" fillId="8" borderId="1" xfId="3" applyNumberFormat="1" applyFont="1" applyFill="1" applyBorder="1" applyAlignment="1">
      <alignment horizontal="right"/>
    </xf>
    <xf numFmtId="1" fontId="65" fillId="8" borderId="1" xfId="5" applyNumberFormat="1" applyFont="1" applyFill="1" applyBorder="1" applyAlignment="1">
      <alignment horizontal="center" vertical="center"/>
    </xf>
    <xf numFmtId="2" fontId="65" fillId="2" borderId="1" xfId="3" applyNumberFormat="1" applyFont="1" applyFill="1" applyBorder="1" applyAlignment="1">
      <alignment horizontal="center"/>
    </xf>
    <xf numFmtId="0" fontId="70" fillId="15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65" fillId="2" borderId="1" xfId="4" applyFont="1" applyFill="1" applyBorder="1" applyAlignment="1">
      <alignment horizontal="center"/>
    </xf>
    <xf numFmtId="1" fontId="65" fillId="2" borderId="1" xfId="3" applyNumberFormat="1" applyFont="1" applyFill="1" applyBorder="1" applyAlignment="1">
      <alignment horizontal="center"/>
    </xf>
    <xf numFmtId="2" fontId="65" fillId="12" borderId="1" xfId="3" applyNumberFormat="1" applyFont="1" applyFill="1" applyBorder="1" applyAlignment="1">
      <alignment horizontal="center"/>
    </xf>
    <xf numFmtId="1" fontId="70" fillId="15" borderId="1" xfId="3" applyNumberFormat="1" applyFont="1" applyFill="1" applyBorder="1" applyAlignment="1">
      <alignment horizontal="center"/>
    </xf>
    <xf numFmtId="0" fontId="65" fillId="0" borderId="1" xfId="4" applyFont="1" applyBorder="1"/>
    <xf numFmtId="0" fontId="72" fillId="8" borderId="1" xfId="3" applyFont="1" applyFill="1" applyBorder="1" applyAlignment="1">
      <alignment horizontal="center"/>
    </xf>
    <xf numFmtId="164" fontId="72" fillId="8" borderId="1" xfId="5" applyNumberFormat="1" applyFont="1" applyFill="1" applyBorder="1" applyAlignment="1">
      <alignment horizontal="center" vertical="center"/>
    </xf>
    <xf numFmtId="1" fontId="65" fillId="12" borderId="1" xfId="5" applyNumberFormat="1" applyFont="1" applyFill="1" applyBorder="1" applyAlignment="1" applyProtection="1">
      <alignment horizontal="center"/>
    </xf>
    <xf numFmtId="0" fontId="72" fillId="2" borderId="1" xfId="4" applyFont="1" applyFill="1" applyBorder="1" applyAlignment="1">
      <alignment horizontal="center"/>
    </xf>
    <xf numFmtId="0" fontId="70" fillId="15" borderId="1" xfId="3" applyFont="1" applyFill="1" applyBorder="1" applyAlignment="1">
      <alignment horizontal="center" vertical="center"/>
    </xf>
    <xf numFmtId="1" fontId="65" fillId="15" borderId="1" xfId="3" applyNumberFormat="1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/>
    </xf>
    <xf numFmtId="164" fontId="70" fillId="8" borderId="1" xfId="3" applyNumberFormat="1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2" fontId="65" fillId="8" borderId="1" xfId="9" applyNumberFormat="1" applyFont="1" applyFill="1" applyBorder="1" applyAlignment="1">
      <alignment horizontal="center"/>
    </xf>
    <xf numFmtId="168" fontId="70" fillId="8" borderId="1" xfId="5" applyNumberFormat="1" applyFont="1" applyFill="1" applyBorder="1" applyAlignment="1" applyProtection="1">
      <alignment horizontal="center" vertical="center"/>
    </xf>
    <xf numFmtId="164" fontId="73" fillId="8" borderId="1" xfId="5" applyNumberFormat="1" applyFont="1" applyFill="1" applyBorder="1" applyAlignment="1" applyProtection="1">
      <alignment horizontal="center"/>
    </xf>
    <xf numFmtId="1" fontId="74" fillId="0" borderId="1" xfId="4" applyNumberFormat="1" applyFont="1" applyBorder="1" applyAlignment="1">
      <alignment horizontal="center"/>
    </xf>
    <xf numFmtId="2" fontId="73" fillId="8" borderId="1" xfId="3" applyNumberFormat="1" applyFont="1" applyFill="1" applyBorder="1" applyAlignment="1">
      <alignment horizontal="right"/>
    </xf>
    <xf numFmtId="1" fontId="74" fillId="8" borderId="1" xfId="3" applyNumberFormat="1" applyFont="1" applyFill="1" applyBorder="1" applyAlignment="1">
      <alignment horizontal="center" vertical="center"/>
    </xf>
    <xf numFmtId="0" fontId="72" fillId="2" borderId="1" xfId="3" applyFont="1" applyFill="1" applyBorder="1" applyAlignment="1">
      <alignment horizontal="center"/>
    </xf>
    <xf numFmtId="169" fontId="72" fillId="8" borderId="1" xfId="5" applyNumberFormat="1" applyFont="1" applyFill="1" applyBorder="1" applyAlignment="1" applyProtection="1">
      <alignment horizontal="center" vertical="center"/>
    </xf>
    <xf numFmtId="1" fontId="72" fillId="2" borderId="1" xfId="3" applyNumberFormat="1" applyFont="1" applyFill="1" applyBorder="1" applyAlignment="1">
      <alignment horizontal="center" vertical="top"/>
    </xf>
    <xf numFmtId="0" fontId="65" fillId="0" borderId="1" xfId="4" applyFont="1" applyBorder="1" applyAlignment="1">
      <alignment horizontal="center" vertical="center"/>
    </xf>
    <xf numFmtId="0" fontId="65" fillId="8" borderId="1" xfId="3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vertical="center"/>
    </xf>
    <xf numFmtId="0" fontId="65" fillId="15" borderId="1" xfId="3" applyFont="1" applyFill="1" applyBorder="1" applyAlignment="1"/>
    <xf numFmtId="1" fontId="65" fillId="2" borderId="1" xfId="3" applyNumberFormat="1" applyFont="1" applyFill="1" applyBorder="1" applyAlignment="1">
      <alignment horizontal="center" vertical="center"/>
    </xf>
    <xf numFmtId="164" fontId="65" fillId="2" borderId="1" xfId="5" applyNumberFormat="1" applyFont="1" applyFill="1" applyBorder="1" applyAlignment="1" applyProtection="1">
      <alignment horizontal="center" vertical="center"/>
    </xf>
    <xf numFmtId="164" fontId="65" fillId="8" borderId="1" xfId="5" applyNumberFormat="1" applyFont="1" applyFill="1" applyBorder="1" applyAlignment="1" applyProtection="1">
      <alignment horizontal="center" vertical="top"/>
    </xf>
    <xf numFmtId="0" fontId="65" fillId="2" borderId="1" xfId="4" applyFont="1" applyFill="1" applyBorder="1" applyAlignment="1">
      <alignment horizontal="left"/>
    </xf>
    <xf numFmtId="0" fontId="65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2" borderId="1" xfId="4" applyFont="1" applyFill="1" applyBorder="1" applyAlignment="1">
      <alignment horizontal="center"/>
    </xf>
    <xf numFmtId="0" fontId="65" fillId="8" borderId="1" xfId="3" applyFont="1" applyFill="1" applyBorder="1" applyAlignment="1">
      <alignment horizontal="center"/>
    </xf>
    <xf numFmtId="0" fontId="65" fillId="2" borderId="1" xfId="3" applyFont="1" applyFill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43" fontId="65" fillId="8" borderId="1" xfId="7" applyFont="1" applyFill="1" applyBorder="1" applyAlignment="1">
      <alignment horizontal="right" wrapText="1"/>
    </xf>
    <xf numFmtId="2" fontId="65" fillId="10" borderId="24" xfId="3" applyNumberFormat="1" applyFont="1" applyFill="1" applyBorder="1" applyAlignment="1">
      <alignment horizontal="center" vertical="center"/>
    </xf>
    <xf numFmtId="0" fontId="71" fillId="10" borderId="24" xfId="4" applyFont="1" applyFill="1" applyBorder="1" applyAlignment="1">
      <alignment horizontal="center" vertical="center"/>
    </xf>
    <xf numFmtId="1" fontId="65" fillId="10" borderId="24" xfId="5" applyNumberFormat="1" applyFont="1" applyFill="1" applyBorder="1" applyAlignment="1">
      <alignment horizontal="center" vertical="center"/>
    </xf>
    <xf numFmtId="1" fontId="65" fillId="10" borderId="24" xfId="3" applyNumberFormat="1" applyFont="1" applyFill="1" applyBorder="1" applyAlignment="1">
      <alignment horizontal="center" vertical="center"/>
    </xf>
    <xf numFmtId="0" fontId="70" fillId="10" borderId="0" xfId="0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1" fontId="70" fillId="0" borderId="1" xfId="0" applyNumberFormat="1" applyFont="1" applyBorder="1" applyAlignment="1">
      <alignment horizontal="center"/>
    </xf>
    <xf numFmtId="0" fontId="70" fillId="0" borderId="1" xfId="0" applyFont="1" applyFill="1" applyBorder="1" applyAlignment="1">
      <alignment horizontal="center"/>
    </xf>
    <xf numFmtId="0" fontId="70" fillId="0" borderId="1" xfId="0" applyFont="1" applyFill="1" applyBorder="1"/>
    <xf numFmtId="1" fontId="70" fillId="0" borderId="1" xfId="0" applyNumberFormat="1" applyFont="1" applyFill="1" applyBorder="1" applyAlignment="1">
      <alignment horizontal="center"/>
    </xf>
    <xf numFmtId="1" fontId="65" fillId="0" borderId="1" xfId="5" applyNumberFormat="1" applyFont="1" applyFill="1" applyBorder="1" applyAlignment="1" applyProtection="1">
      <alignment horizontal="center"/>
    </xf>
    <xf numFmtId="0" fontId="70" fillId="0" borderId="0" xfId="0" applyFont="1"/>
    <xf numFmtId="1" fontId="70" fillId="0" borderId="0" xfId="0" applyNumberFormat="1" applyFont="1" applyAlignment="1">
      <alignment horizontal="center"/>
    </xf>
    <xf numFmtId="1" fontId="70" fillId="0" borderId="0" xfId="0" applyNumberFormat="1" applyFont="1"/>
    <xf numFmtId="1" fontId="65" fillId="15" borderId="1" xfId="5" applyNumberFormat="1" applyFont="1" applyFill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0" fillId="0" borderId="1" xfId="0" applyFont="1" applyBorder="1"/>
    <xf numFmtId="9" fontId="65" fillId="8" borderId="1" xfId="6" applyNumberFormat="1" applyFont="1" applyFill="1" applyBorder="1" applyAlignment="1">
      <alignment horizontal="center"/>
    </xf>
    <xf numFmtId="165" fontId="65" fillId="0" borderId="1" xfId="6" applyNumberFormat="1" applyFont="1" applyFill="1" applyBorder="1" applyAlignment="1"/>
    <xf numFmtId="1" fontId="65" fillId="8" borderId="1" xfId="5" applyNumberFormat="1" applyFont="1" applyFill="1" applyBorder="1" applyAlignment="1">
      <alignment horizontal="right"/>
    </xf>
    <xf numFmtId="0" fontId="75" fillId="0" borderId="0" xfId="0" applyFont="1"/>
    <xf numFmtId="1" fontId="75" fillId="0" borderId="0" xfId="0" applyNumberFormat="1" applyFont="1" applyAlignment="1">
      <alignment horizontal="center"/>
    </xf>
    <xf numFmtId="1" fontId="75" fillId="0" borderId="0" xfId="0" applyNumberFormat="1" applyFont="1"/>
    <xf numFmtId="2" fontId="34" fillId="8" borderId="11" xfId="3" applyNumberFormat="1" applyFont="1" applyFill="1" applyBorder="1" applyAlignment="1">
      <alignment horizontal="center"/>
    </xf>
    <xf numFmtId="164" fontId="65" fillId="8" borderId="15" xfId="3" applyNumberFormat="1" applyFont="1" applyFill="1" applyBorder="1" applyAlignment="1">
      <alignment horizontal="center" wrapText="1" shrinkToFit="1"/>
    </xf>
    <xf numFmtId="0" fontId="65" fillId="15" borderId="15" xfId="3" applyFont="1" applyFill="1" applyBorder="1" applyAlignment="1">
      <alignment horizontal="center"/>
    </xf>
    <xf numFmtId="1" fontId="65" fillId="8" borderId="15" xfId="5" applyNumberFormat="1" applyFont="1" applyFill="1" applyBorder="1" applyAlignment="1" applyProtection="1">
      <alignment horizontal="center"/>
    </xf>
    <xf numFmtId="1" fontId="65" fillId="2" borderId="15" xfId="5" applyNumberFormat="1" applyFont="1" applyFill="1" applyBorder="1" applyAlignment="1" applyProtection="1">
      <alignment horizontal="center"/>
    </xf>
    <xf numFmtId="1" fontId="65" fillId="15" borderId="15" xfId="3" applyNumberFormat="1" applyFont="1" applyFill="1" applyBorder="1" applyAlignment="1">
      <alignment horizontal="center" vertical="center"/>
    </xf>
    <xf numFmtId="0" fontId="65" fillId="15" borderId="15" xfId="3" applyFont="1" applyFill="1" applyBorder="1" applyAlignment="1"/>
    <xf numFmtId="0" fontId="65" fillId="2" borderId="15" xfId="4" applyFont="1" applyFill="1" applyBorder="1" applyAlignment="1"/>
    <xf numFmtId="1" fontId="65" fillId="10" borderId="30" xfId="5" applyNumberFormat="1" applyFont="1" applyFill="1" applyBorder="1" applyAlignment="1" applyProtection="1">
      <alignment horizontal="center" vertical="center"/>
    </xf>
    <xf numFmtId="1" fontId="70" fillId="0" borderId="15" xfId="0" applyNumberFormat="1" applyFont="1" applyBorder="1" applyAlignment="1">
      <alignment horizontal="center"/>
    </xf>
    <xf numFmtId="1" fontId="70" fillId="0" borderId="15" xfId="0" applyNumberFormat="1" applyFont="1" applyFill="1" applyBorder="1" applyAlignment="1">
      <alignment horizontal="center"/>
    </xf>
    <xf numFmtId="0" fontId="70" fillId="0" borderId="0" xfId="0" applyFont="1" applyBorder="1"/>
    <xf numFmtId="1" fontId="70" fillId="0" borderId="0" xfId="0" applyNumberFormat="1" applyFont="1" applyBorder="1" applyAlignment="1">
      <alignment horizontal="center"/>
    </xf>
    <xf numFmtId="1" fontId="70" fillId="0" borderId="34" xfId="0" applyNumberFormat="1" applyFont="1" applyBorder="1"/>
    <xf numFmtId="0" fontId="70" fillId="15" borderId="15" xfId="3" applyFont="1" applyFill="1" applyBorder="1" applyAlignment="1">
      <alignment horizontal="center"/>
    </xf>
    <xf numFmtId="1" fontId="65" fillId="15" borderId="15" xfId="5" applyNumberFormat="1" applyFont="1" applyFill="1" applyBorder="1" applyAlignment="1">
      <alignment horizontal="center"/>
    </xf>
    <xf numFmtId="2" fontId="65" fillId="8" borderId="7" xfId="3" applyNumberFormat="1" applyFont="1" applyFill="1" applyBorder="1" applyAlignment="1">
      <alignment horizontal="center"/>
    </xf>
    <xf numFmtId="9" fontId="65" fillId="8" borderId="7" xfId="6" applyNumberFormat="1" applyFont="1" applyFill="1" applyBorder="1" applyAlignment="1">
      <alignment horizontal="center"/>
    </xf>
    <xf numFmtId="1" fontId="65" fillId="8" borderId="7" xfId="3" applyNumberFormat="1" applyFont="1" applyFill="1" applyBorder="1" applyAlignment="1">
      <alignment horizontal="center"/>
    </xf>
    <xf numFmtId="2" fontId="65" fillId="8" borderId="7" xfId="3" applyNumberFormat="1" applyFont="1" applyFill="1" applyBorder="1" applyAlignment="1">
      <alignment horizontal="right"/>
    </xf>
    <xf numFmtId="1" fontId="65" fillId="8" borderId="23" xfId="5" applyNumberFormat="1" applyFont="1" applyFill="1" applyBorder="1" applyAlignment="1" applyProtection="1">
      <alignment horizontal="center"/>
    </xf>
    <xf numFmtId="9" fontId="59" fillId="9" borderId="21" xfId="3" applyNumberFormat="1" applyFont="1" applyFill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2" fillId="16" borderId="1" xfId="0" applyFont="1" applyFill="1" applyBorder="1"/>
    <xf numFmtId="0" fontId="64" fillId="0" borderId="0" xfId="0" applyFont="1" applyBorder="1"/>
    <xf numFmtId="0" fontId="67" fillId="0" borderId="1" xfId="0" applyFont="1" applyFill="1" applyBorder="1" applyAlignment="1">
      <alignment horizontal="left"/>
    </xf>
    <xf numFmtId="166" fontId="59" fillId="9" borderId="21" xfId="3" applyNumberFormat="1" applyFont="1" applyFill="1" applyBorder="1" applyAlignment="1">
      <alignment horizontal="left"/>
    </xf>
    <xf numFmtId="0" fontId="59" fillId="9" borderId="21" xfId="3" applyFont="1" applyFill="1" applyBorder="1"/>
    <xf numFmtId="0" fontId="59" fillId="8" borderId="21" xfId="3" applyFont="1" applyFill="1" applyBorder="1" applyAlignment="1">
      <alignment horizontal="center" vertical="center"/>
    </xf>
    <xf numFmtId="0" fontId="59" fillId="8" borderId="21" xfId="3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 vertical="center"/>
    </xf>
    <xf numFmtId="0" fontId="59" fillId="8" borderId="27" xfId="3" applyFont="1" applyFill="1" applyBorder="1" applyAlignment="1">
      <alignment horizontal="left" vertical="center"/>
    </xf>
    <xf numFmtId="0" fontId="59" fillId="8" borderId="5" xfId="3" applyFont="1" applyFill="1" applyBorder="1" applyAlignment="1">
      <alignment horizontal="left" vertical="center"/>
    </xf>
    <xf numFmtId="0" fontId="59" fillId="8" borderId="13" xfId="3" applyFont="1" applyFill="1" applyBorder="1" applyAlignment="1">
      <alignment horizontal="left" vertical="center"/>
    </xf>
    <xf numFmtId="167" fontId="59" fillId="8" borderId="21" xfId="3" applyNumberFormat="1" applyFont="1" applyFill="1" applyBorder="1" applyAlignment="1">
      <alignment vertical="center"/>
    </xf>
    <xf numFmtId="167" fontId="58" fillId="8" borderId="1" xfId="3" applyNumberFormat="1" applyFont="1" applyFill="1" applyBorder="1" applyAlignment="1">
      <alignment vertical="center"/>
    </xf>
    <xf numFmtId="0" fontId="59" fillId="16" borderId="21" xfId="3" applyFont="1" applyFill="1" applyBorder="1" applyAlignment="1">
      <alignment horizontal="center"/>
    </xf>
    <xf numFmtId="0" fontId="58" fillId="16" borderId="1" xfId="3" applyFont="1" applyFill="1" applyBorder="1" applyAlignment="1">
      <alignment horizontal="center"/>
    </xf>
    <xf numFmtId="0" fontId="59" fillId="2" borderId="21" xfId="3" applyFont="1" applyFill="1" applyBorder="1" applyAlignment="1">
      <alignment horizontal="left" vertical="center"/>
    </xf>
    <xf numFmtId="0" fontId="58" fillId="2" borderId="1" xfId="3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center" vertical="center"/>
    </xf>
    <xf numFmtId="0" fontId="58" fillId="16" borderId="1" xfId="3" applyFont="1" applyFill="1" applyBorder="1" applyAlignment="1">
      <alignment horizontal="center" vertical="center"/>
    </xf>
    <xf numFmtId="0" fontId="69" fillId="2" borderId="16" xfId="3" applyFont="1" applyFill="1" applyBorder="1" applyAlignment="1">
      <alignment horizontal="center"/>
    </xf>
    <xf numFmtId="0" fontId="69" fillId="2" borderId="3" xfId="3" applyFont="1" applyFill="1" applyBorder="1" applyAlignment="1">
      <alignment horizontal="center"/>
    </xf>
    <xf numFmtId="0" fontId="69" fillId="2" borderId="4" xfId="3" applyFont="1" applyFill="1" applyBorder="1" applyAlignment="1">
      <alignment horizontal="center"/>
    </xf>
    <xf numFmtId="0" fontId="69" fillId="16" borderId="16" xfId="3" applyFont="1" applyFill="1" applyBorder="1" applyAlignment="1">
      <alignment horizontal="center"/>
    </xf>
    <xf numFmtId="0" fontId="69" fillId="16" borderId="3" xfId="3" applyFont="1" applyFill="1" applyBorder="1" applyAlignment="1">
      <alignment horizontal="center"/>
    </xf>
    <xf numFmtId="0" fontId="69" fillId="16" borderId="4" xfId="3" applyFont="1" applyFill="1" applyBorder="1" applyAlignment="1">
      <alignment horizontal="center"/>
    </xf>
    <xf numFmtId="0" fontId="59" fillId="15" borderId="21" xfId="3" applyFont="1" applyFill="1" applyBorder="1" applyAlignment="1">
      <alignment horizontal="left"/>
    </xf>
    <xf numFmtId="2" fontId="59" fillId="8" borderId="21" xfId="3" applyNumberFormat="1" applyFont="1" applyFill="1" applyBorder="1" applyAlignment="1">
      <alignment horizontal="left" vertical="center"/>
    </xf>
    <xf numFmtId="2" fontId="58" fillId="8" borderId="1" xfId="3" applyNumberFormat="1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 vertical="justify"/>
    </xf>
    <xf numFmtId="0" fontId="59" fillId="15" borderId="21" xfId="3" applyFont="1" applyFill="1" applyBorder="1" applyAlignment="1"/>
    <xf numFmtId="0" fontId="59" fillId="0" borderId="21" xfId="4" applyFont="1" applyBorder="1" applyAlignment="1">
      <alignment vertical="center"/>
    </xf>
    <xf numFmtId="0" fontId="58" fillId="0" borderId="1" xfId="4" applyFont="1" applyBorder="1" applyAlignment="1">
      <alignment vertical="center"/>
    </xf>
    <xf numFmtId="0" fontId="61" fillId="16" borderId="21" xfId="4" applyFont="1" applyFill="1" applyBorder="1"/>
    <xf numFmtId="0" fontId="59" fillId="15" borderId="21" xfId="3" applyFont="1" applyFill="1" applyBorder="1" applyAlignment="1">
      <alignment horizontal="center"/>
    </xf>
    <xf numFmtId="0" fontId="59" fillId="10" borderId="32" xfId="3" applyFont="1" applyFill="1" applyBorder="1" applyAlignment="1">
      <alignment horizontal="center" vertical="center"/>
    </xf>
    <xf numFmtId="0" fontId="59" fillId="10" borderId="0" xfId="3" applyFont="1" applyFill="1" applyBorder="1" applyAlignment="1">
      <alignment horizontal="center" vertical="center"/>
    </xf>
    <xf numFmtId="0" fontId="59" fillId="0" borderId="21" xfId="4" applyFont="1" applyBorder="1"/>
    <xf numFmtId="0" fontId="59" fillId="15" borderId="21" xfId="3" applyFont="1" applyFill="1" applyBorder="1" applyAlignment="1">
      <alignment horizontal="center" vertical="center"/>
    </xf>
    <xf numFmtId="9" fontId="65" fillId="9" borderId="1" xfId="4" applyNumberFormat="1" applyFont="1" applyFill="1" applyBorder="1"/>
    <xf numFmtId="0" fontId="65" fillId="9" borderId="1" xfId="3" applyFont="1" applyFill="1" applyBorder="1" applyAlignment="1"/>
    <xf numFmtId="1" fontId="59" fillId="9" borderId="15" xfId="3" applyNumberFormat="1" applyFont="1" applyFill="1" applyBorder="1" applyAlignment="1">
      <alignment horizontal="center" vertical="center"/>
    </xf>
    <xf numFmtId="0" fontId="59" fillId="9" borderId="1" xfId="3" applyFont="1" applyFill="1" applyBorder="1" applyAlignment="1">
      <alignment horizontal="left"/>
    </xf>
    <xf numFmtId="1" fontId="59" fillId="9" borderId="15" xfId="3" applyNumberFormat="1" applyFont="1" applyFill="1" applyBorder="1" applyAlignment="1">
      <alignment horizontal="center"/>
    </xf>
    <xf numFmtId="9" fontId="59" fillId="9" borderId="1" xfId="3" applyNumberFormat="1" applyFont="1" applyFill="1" applyBorder="1" applyAlignment="1">
      <alignment horizontal="left"/>
    </xf>
    <xf numFmtId="0" fontId="65" fillId="8" borderId="8" xfId="3" applyFont="1" applyFill="1" applyBorder="1" applyAlignment="1">
      <alignment horizontal="center"/>
    </xf>
    <xf numFmtId="44" fontId="74" fillId="8" borderId="1" xfId="8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0" fontId="65" fillId="2" borderId="1" xfId="3" applyFont="1" applyFill="1" applyBorder="1" applyAlignment="1">
      <alignment horizontal="center" vertical="center"/>
    </xf>
    <xf numFmtId="0" fontId="65" fillId="10" borderId="31" xfId="3" applyFont="1" applyFill="1" applyBorder="1" applyAlignment="1">
      <alignment horizontal="center" vertical="center"/>
    </xf>
    <xf numFmtId="0" fontId="70" fillId="0" borderId="4" xfId="0" applyFont="1" applyBorder="1" applyAlignment="1">
      <alignment horizontal="center"/>
    </xf>
    <xf numFmtId="0" fontId="75" fillId="0" borderId="4" xfId="0" applyFont="1" applyFill="1" applyBorder="1"/>
    <xf numFmtId="0" fontId="70" fillId="0" borderId="4" xfId="0" applyFont="1" applyFill="1" applyBorder="1" applyAlignment="1">
      <alignment horizontal="center"/>
    </xf>
    <xf numFmtId="0" fontId="65" fillId="8" borderId="7" xfId="3" applyFont="1" applyFill="1" applyBorder="1" applyAlignment="1">
      <alignment horizontal="center"/>
    </xf>
    <xf numFmtId="0" fontId="65" fillId="12" borderId="1" xfId="4" applyFont="1" applyFill="1" applyBorder="1" applyAlignment="1">
      <alignment horizontal="center"/>
    </xf>
    <xf numFmtId="0" fontId="65" fillId="0" borderId="1" xfId="3" applyFont="1" applyFill="1" applyBorder="1" applyAlignment="1">
      <alignment horizontal="center"/>
    </xf>
    <xf numFmtId="1" fontId="79" fillId="12" borderId="0" xfId="0" applyNumberFormat="1" applyFont="1" applyFill="1"/>
    <xf numFmtId="1" fontId="79" fillId="0" borderId="0" xfId="0" applyNumberFormat="1" applyFont="1"/>
    <xf numFmtId="0" fontId="64" fillId="9" borderId="1" xfId="3" applyFont="1" applyFill="1" applyBorder="1" applyAlignment="1">
      <alignment horizontal="center" vertical="center"/>
    </xf>
    <xf numFmtId="2" fontId="64" fillId="9" borderId="1" xfId="3" applyNumberFormat="1" applyFont="1" applyFill="1" applyBorder="1" applyAlignment="1">
      <alignment horizontal="center"/>
    </xf>
    <xf numFmtId="2" fontId="70" fillId="2" borderId="1" xfId="3" applyNumberFormat="1" applyFont="1" applyFill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/>
    </xf>
    <xf numFmtId="2" fontId="70" fillId="8" borderId="8" xfId="3" applyNumberFormat="1" applyFont="1" applyFill="1" applyBorder="1" applyAlignment="1">
      <alignment horizontal="center"/>
    </xf>
    <xf numFmtId="0" fontId="70" fillId="0" borderId="1" xfId="4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0" fontId="70" fillId="2" borderId="1" xfId="4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70" fillId="8" borderId="1" xfId="3" applyFont="1" applyFill="1" applyBorder="1" applyAlignment="1">
      <alignment horizontal="center" vertical="center"/>
    </xf>
    <xf numFmtId="0" fontId="70" fillId="0" borderId="1" xfId="4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vertical="center"/>
    </xf>
    <xf numFmtId="1" fontId="70" fillId="2" borderId="1" xfId="3" applyNumberFormat="1" applyFont="1" applyFill="1" applyBorder="1" applyAlignment="1">
      <alignment horizontal="center" vertical="center"/>
    </xf>
    <xf numFmtId="0" fontId="70" fillId="2" borderId="1" xfId="4" applyFont="1" applyFill="1" applyBorder="1" applyAlignment="1"/>
    <xf numFmtId="0" fontId="70" fillId="2" borderId="1" xfId="4" applyFont="1" applyFill="1" applyBorder="1" applyAlignment="1">
      <alignment horizontal="center" wrapText="1"/>
    </xf>
    <xf numFmtId="0" fontId="70" fillId="0" borderId="1" xfId="4" applyFont="1" applyFill="1" applyBorder="1" applyAlignment="1">
      <alignment horizontal="center" wrapText="1"/>
    </xf>
    <xf numFmtId="0" fontId="70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10" borderId="24" xfId="4" applyFont="1" applyFill="1" applyBorder="1" applyAlignment="1">
      <alignment horizontal="center" vertical="center"/>
    </xf>
    <xf numFmtId="0" fontId="70" fillId="12" borderId="1" xfId="4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center"/>
    </xf>
    <xf numFmtId="0" fontId="65" fillId="0" borderId="1" xfId="4" applyFont="1" applyFill="1" applyBorder="1" applyAlignment="1">
      <alignment horizontal="center"/>
    </xf>
    <xf numFmtId="1" fontId="65" fillId="0" borderId="1" xfId="5" applyNumberFormat="1" applyFont="1" applyFill="1" applyBorder="1" applyAlignment="1">
      <alignment horizontal="center" vertical="center"/>
    </xf>
    <xf numFmtId="0" fontId="65" fillId="0" borderId="1" xfId="4" applyFont="1" applyFill="1" applyBorder="1" applyAlignment="1">
      <alignment horizontal="center" vertical="center"/>
    </xf>
    <xf numFmtId="0" fontId="65" fillId="2" borderId="1" xfId="4" applyFont="1" applyFill="1" applyBorder="1" applyAlignment="1">
      <alignment horizontal="center" wrapText="1"/>
    </xf>
    <xf numFmtId="0" fontId="65" fillId="0" borderId="1" xfId="4" applyFont="1" applyFill="1" applyBorder="1" applyAlignment="1">
      <alignment horizontal="center" wrapText="1"/>
    </xf>
    <xf numFmtId="0" fontId="65" fillId="0" borderId="1" xfId="4" applyFont="1" applyBorder="1" applyAlignment="1">
      <alignment horizontal="center" wrapText="1"/>
    </xf>
    <xf numFmtId="0" fontId="65" fillId="10" borderId="24" xfId="4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65" fillId="0" borderId="1" xfId="0" applyFont="1" applyFill="1" applyBorder="1" applyAlignment="1">
      <alignment horizontal="center"/>
    </xf>
    <xf numFmtId="1" fontId="65" fillId="0" borderId="1" xfId="0" applyNumberFormat="1" applyFont="1" applyFill="1" applyBorder="1" applyAlignment="1">
      <alignment horizontal="center"/>
    </xf>
    <xf numFmtId="0" fontId="65" fillId="0" borderId="0" xfId="0" applyFont="1" applyBorder="1"/>
    <xf numFmtId="0" fontId="80" fillId="0" borderId="0" xfId="0" applyFont="1"/>
    <xf numFmtId="0" fontId="65" fillId="0" borderId="0" xfId="0" applyFont="1"/>
    <xf numFmtId="1" fontId="81" fillId="20" borderId="1" xfId="5" applyNumberFormat="1" applyFont="1" applyFill="1" applyBorder="1" applyAlignment="1">
      <alignment horizontal="center" vertical="center"/>
    </xf>
    <xf numFmtId="0" fontId="77" fillId="21" borderId="21" xfId="3" applyFont="1" applyFill="1" applyBorder="1" applyAlignment="1">
      <alignment horizontal="left"/>
    </xf>
    <xf numFmtId="0" fontId="76" fillId="21" borderId="1" xfId="3" applyFont="1" applyFill="1" applyBorder="1" applyAlignment="1">
      <alignment horizontal="left"/>
    </xf>
    <xf numFmtId="0" fontId="81" fillId="21" borderId="1" xfId="3" applyFont="1" applyFill="1" applyBorder="1" applyAlignment="1">
      <alignment horizontal="center"/>
    </xf>
    <xf numFmtId="0" fontId="81" fillId="21" borderId="1" xfId="4" applyFont="1" applyFill="1" applyBorder="1" applyAlignment="1">
      <alignment horizontal="center"/>
    </xf>
    <xf numFmtId="1" fontId="81" fillId="21" borderId="1" xfId="5" applyNumberFormat="1" applyFont="1" applyFill="1" applyBorder="1" applyAlignment="1">
      <alignment horizontal="center" vertical="center"/>
    </xf>
    <xf numFmtId="1" fontId="81" fillId="21" borderId="1" xfId="3" applyNumberFormat="1" applyFont="1" applyFill="1" applyBorder="1" applyAlignment="1">
      <alignment horizontal="center"/>
    </xf>
    <xf numFmtId="0" fontId="81" fillId="21" borderId="1" xfId="3" applyNumberFormat="1" applyFont="1" applyFill="1" applyBorder="1" applyAlignment="1">
      <alignment horizontal="center"/>
    </xf>
    <xf numFmtId="1" fontId="81" fillId="21" borderId="15" xfId="5" applyNumberFormat="1" applyFont="1" applyFill="1" applyBorder="1" applyAlignment="1" applyProtection="1">
      <alignment horizontal="center"/>
    </xf>
    <xf numFmtId="0" fontId="77" fillId="21" borderId="21" xfId="3" applyFont="1" applyFill="1" applyBorder="1" applyAlignment="1">
      <alignment horizontal="left" vertical="center"/>
    </xf>
    <xf numFmtId="0" fontId="76" fillId="21" borderId="1" xfId="3" applyFont="1" applyFill="1" applyBorder="1" applyAlignment="1">
      <alignment horizontal="left" vertical="center"/>
    </xf>
    <xf numFmtId="2" fontId="81" fillId="21" borderId="1" xfId="3" applyNumberFormat="1" applyFont="1" applyFill="1" applyBorder="1" applyAlignment="1">
      <alignment horizontal="center"/>
    </xf>
    <xf numFmtId="0" fontId="64" fillId="8" borderId="2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center"/>
    </xf>
    <xf numFmtId="1" fontId="70" fillId="20" borderId="1" xfId="5" applyNumberFormat="1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/>
    </xf>
    <xf numFmtId="0" fontId="70" fillId="2" borderId="1" xfId="3" applyNumberFormat="1" applyFont="1" applyFill="1" applyBorder="1" applyAlignment="1">
      <alignment horizontal="center"/>
    </xf>
    <xf numFmtId="1" fontId="70" fillId="8" borderId="15" xfId="5" applyNumberFormat="1" applyFont="1" applyFill="1" applyBorder="1" applyAlignment="1" applyProtection="1">
      <alignment horizontal="center"/>
    </xf>
    <xf numFmtId="0" fontId="64" fillId="8" borderId="27" xfId="3" applyFont="1" applyFill="1" applyBorder="1" applyAlignment="1">
      <alignment horizontal="left" vertical="center"/>
    </xf>
    <xf numFmtId="0" fontId="64" fillId="8" borderId="5" xfId="3" applyFont="1" applyFill="1" applyBorder="1" applyAlignment="1">
      <alignment horizontal="left" vertical="center"/>
    </xf>
    <xf numFmtId="0" fontId="64" fillId="8" borderId="13" xfId="3" applyFont="1" applyFill="1" applyBorder="1" applyAlignment="1">
      <alignment horizontal="left" vertical="center"/>
    </xf>
    <xf numFmtId="0" fontId="70" fillId="8" borderId="8" xfId="3" applyFont="1" applyFill="1" applyBorder="1" applyAlignment="1">
      <alignment horizontal="center"/>
    </xf>
    <xf numFmtId="1" fontId="70" fillId="2" borderId="8" xfId="3" applyNumberFormat="1" applyFont="1" applyFill="1" applyBorder="1" applyAlignment="1">
      <alignment horizontal="center"/>
    </xf>
    <xf numFmtId="167" fontId="64" fillId="8" borderId="21" xfId="3" applyNumberFormat="1" applyFont="1" applyFill="1" applyBorder="1" applyAlignment="1">
      <alignment vertical="center"/>
    </xf>
    <xf numFmtId="167" fontId="66" fillId="8" borderId="1" xfId="3" applyNumberFormat="1" applyFont="1" applyFill="1" applyBorder="1" applyAlignment="1">
      <alignment vertical="center"/>
    </xf>
    <xf numFmtId="1" fontId="70" fillId="2" borderId="1" xfId="5" applyNumberFormat="1" applyFont="1" applyFill="1" applyBorder="1" applyAlignment="1">
      <alignment horizontal="center" vertical="center"/>
    </xf>
    <xf numFmtId="1" fontId="70" fillId="12" borderId="1" xfId="3" applyNumberFormat="1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right"/>
    </xf>
    <xf numFmtId="0" fontId="64" fillId="16" borderId="21" xfId="3" applyFont="1" applyFill="1" applyBorder="1" applyAlignment="1">
      <alignment horizontal="center"/>
    </xf>
    <xf numFmtId="0" fontId="66" fillId="16" borderId="1" xfId="3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 vertical="center"/>
    </xf>
    <xf numFmtId="2" fontId="70" fillId="2" borderId="1" xfId="3" applyNumberFormat="1" applyFont="1" applyFill="1" applyBorder="1" applyAlignment="1">
      <alignment horizontal="center"/>
    </xf>
    <xf numFmtId="0" fontId="70" fillId="0" borderId="1" xfId="4" applyFont="1" applyBorder="1"/>
    <xf numFmtId="164" fontId="70" fillId="20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 applyProtection="1">
      <alignment horizontal="center"/>
    </xf>
    <xf numFmtId="1" fontId="65" fillId="8" borderId="1" xfId="9" applyNumberFormat="1" applyFont="1" applyFill="1" applyBorder="1" applyAlignment="1">
      <alignment horizontal="center"/>
    </xf>
    <xf numFmtId="0" fontId="65" fillId="21" borderId="1" xfId="4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/>
    </xf>
    <xf numFmtId="1" fontId="70" fillId="2" borderId="8" xfId="5" applyNumberFormat="1" applyFont="1" applyFill="1" applyBorder="1" applyAlignment="1">
      <alignment horizontal="center" vertical="center"/>
    </xf>
    <xf numFmtId="171" fontId="47" fillId="0" borderId="0" xfId="0" applyNumberFormat="1" applyFont="1"/>
    <xf numFmtId="1" fontId="79" fillId="0" borderId="5" xfId="0" applyNumberFormat="1" applyFont="1" applyBorder="1"/>
    <xf numFmtId="1" fontId="65" fillId="0" borderId="1" xfId="3" applyNumberFormat="1" applyFont="1" applyFill="1" applyBorder="1" applyAlignment="1">
      <alignment horizontal="center"/>
    </xf>
    <xf numFmtId="2" fontId="65" fillId="0" borderId="1" xfId="3" applyNumberFormat="1" applyFont="1" applyFill="1" applyBorder="1" applyAlignment="1">
      <alignment horizontal="center"/>
    </xf>
    <xf numFmtId="1" fontId="65" fillId="0" borderId="15" xfId="5" applyNumberFormat="1" applyFont="1" applyFill="1" applyBorder="1" applyAlignment="1" applyProtection="1">
      <alignment horizontal="center"/>
    </xf>
    <xf numFmtId="172" fontId="47" fillId="0" borderId="0" xfId="0" applyNumberFormat="1" applyFont="1"/>
    <xf numFmtId="0" fontId="65" fillId="12" borderId="1" xfId="3" applyFont="1" applyFill="1" applyBorder="1" applyAlignment="1">
      <alignment horizontal="center"/>
    </xf>
    <xf numFmtId="0" fontId="37" fillId="0" borderId="0" xfId="0" applyFont="1" applyFill="1"/>
    <xf numFmtId="172" fontId="47" fillId="0" borderId="0" xfId="0" applyNumberFormat="1" applyFont="1" applyFill="1"/>
    <xf numFmtId="171" fontId="47" fillId="0" borderId="0" xfId="0" applyNumberFormat="1" applyFont="1" applyFill="1"/>
    <xf numFmtId="1" fontId="47" fillId="0" borderId="0" xfId="0" applyNumberFormat="1" applyFont="1" applyFill="1"/>
    <xf numFmtId="1" fontId="79" fillId="0" borderId="0" xfId="0" applyNumberFormat="1" applyFont="1" applyFill="1"/>
    <xf numFmtId="1" fontId="79" fillId="0" borderId="5" xfId="0" applyNumberFormat="1" applyFont="1" applyFill="1" applyBorder="1"/>
    <xf numFmtId="0" fontId="82" fillId="0" borderId="0" xfId="0" applyFont="1" applyFill="1" applyAlignment="1">
      <alignment horizontal="center"/>
    </xf>
    <xf numFmtId="0" fontId="83" fillId="0" borderId="0" xfId="0" applyFont="1" applyFill="1" applyAlignment="1">
      <alignment horizontal="center"/>
    </xf>
    <xf numFmtId="1" fontId="82" fillId="0" borderId="0" xfId="0" applyNumberFormat="1" applyFont="1" applyFill="1" applyAlignment="1">
      <alignment horizontal="center"/>
    </xf>
    <xf numFmtId="1" fontId="84" fillId="0" borderId="0" xfId="0" applyNumberFormat="1" applyFont="1" applyFill="1" applyAlignment="1">
      <alignment horizontal="center"/>
    </xf>
    <xf numFmtId="1" fontId="84" fillId="0" borderId="5" xfId="0" applyNumberFormat="1" applyFont="1" applyFill="1" applyBorder="1" applyAlignment="1">
      <alignment horizontal="center"/>
    </xf>
    <xf numFmtId="1" fontId="47" fillId="12" borderId="0" xfId="0" applyNumberFormat="1" applyFont="1" applyFill="1"/>
    <xf numFmtId="1" fontId="82" fillId="12" borderId="0" xfId="0" applyNumberFormat="1" applyFont="1" applyFill="1" applyAlignment="1">
      <alignment horizontal="center"/>
    </xf>
    <xf numFmtId="0" fontId="47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47" fillId="0" borderId="0" xfId="0" applyNumberFormat="1" applyFont="1" applyAlignment="1">
      <alignment horizontal="center"/>
    </xf>
    <xf numFmtId="173" fontId="47" fillId="12" borderId="0" xfId="0" applyNumberFormat="1" applyFont="1" applyFill="1" applyAlignment="1">
      <alignment horizontal="center"/>
    </xf>
    <xf numFmtId="173" fontId="47" fillId="0" borderId="0" xfId="0" applyNumberFormat="1" applyFont="1" applyFill="1" applyAlignment="1">
      <alignment horizontal="center"/>
    </xf>
    <xf numFmtId="172" fontId="47" fillId="12" borderId="0" xfId="0" applyNumberFormat="1" applyFont="1" applyFill="1"/>
    <xf numFmtId="172" fontId="82" fillId="12" borderId="0" xfId="0" applyNumberFormat="1" applyFont="1" applyFill="1" applyAlignment="1">
      <alignment horizontal="center"/>
    </xf>
    <xf numFmtId="0" fontId="61" fillId="0" borderId="21" xfId="4" applyFont="1" applyFill="1" applyBorder="1"/>
    <xf numFmtId="0" fontId="62" fillId="0" borderId="1" xfId="0" applyFont="1" applyFill="1" applyBorder="1"/>
    <xf numFmtId="0" fontId="65" fillId="0" borderId="1" xfId="4" applyFont="1" applyFill="1" applyBorder="1"/>
    <xf numFmtId="164" fontId="48" fillId="0" borderId="0" xfId="5" applyNumberFormat="1" applyFont="1" applyFill="1" applyBorder="1" applyAlignment="1" applyProtection="1">
      <alignment horizontal="center"/>
    </xf>
    <xf numFmtId="0" fontId="49" fillId="0" borderId="0" xfId="0" applyFont="1" applyFill="1" applyBorder="1"/>
    <xf numFmtId="0" fontId="49" fillId="0" borderId="0" xfId="0" applyFont="1" applyFill="1"/>
    <xf numFmtId="1" fontId="59" fillId="9" borderId="1" xfId="3" applyNumberFormat="1" applyFont="1" applyFill="1" applyBorder="1" applyAlignment="1">
      <alignment horizontal="center" vertical="center"/>
    </xf>
    <xf numFmtId="1" fontId="65" fillId="8" borderId="8" xfId="3" applyNumberFormat="1" applyFont="1" applyFill="1" applyBorder="1" applyAlignment="1">
      <alignment horizontal="center"/>
    </xf>
    <xf numFmtId="1" fontId="65" fillId="0" borderId="1" xfId="4" applyNumberFormat="1" applyFont="1" applyBorder="1" applyAlignment="1">
      <alignment horizontal="center"/>
    </xf>
    <xf numFmtId="1" fontId="65" fillId="15" borderId="1" xfId="3" applyNumberFormat="1" applyFont="1" applyFill="1" applyBorder="1" applyAlignment="1">
      <alignment horizontal="center"/>
    </xf>
    <xf numFmtId="1" fontId="65" fillId="21" borderId="1" xfId="4" applyNumberFormat="1" applyFont="1" applyFill="1" applyBorder="1" applyAlignment="1">
      <alignment horizontal="center"/>
    </xf>
    <xf numFmtId="1" fontId="65" fillId="2" borderId="1" xfId="4" applyNumberFormat="1" applyFont="1" applyFill="1" applyBorder="1" applyAlignment="1">
      <alignment horizontal="center"/>
    </xf>
    <xf numFmtId="1" fontId="65" fillId="0" borderId="1" xfId="4" applyNumberFormat="1" applyFont="1" applyBorder="1" applyAlignment="1">
      <alignment horizontal="center" vertical="center"/>
    </xf>
    <xf numFmtId="1" fontId="65" fillId="0" borderId="1" xfId="4" applyNumberFormat="1" applyFont="1" applyFill="1" applyBorder="1" applyAlignment="1">
      <alignment horizontal="center" vertical="center"/>
    </xf>
    <xf numFmtId="1" fontId="65" fillId="15" borderId="1" xfId="3" applyNumberFormat="1" applyFont="1" applyFill="1" applyBorder="1" applyAlignment="1">
      <alignment vertical="center"/>
    </xf>
    <xf numFmtId="1" fontId="65" fillId="0" borderId="1" xfId="4" applyNumberFormat="1" applyFont="1" applyFill="1" applyBorder="1" applyAlignment="1">
      <alignment horizontal="center"/>
    </xf>
    <xf numFmtId="1" fontId="65" fillId="2" borderId="1" xfId="4" applyNumberFormat="1" applyFont="1" applyFill="1" applyBorder="1" applyAlignment="1"/>
    <xf numFmtId="1" fontId="65" fillId="2" borderId="1" xfId="4" applyNumberFormat="1" applyFont="1" applyFill="1" applyBorder="1" applyAlignment="1">
      <alignment horizontal="center" wrapText="1"/>
    </xf>
    <xf numFmtId="1" fontId="65" fillId="0" borderId="1" xfId="4" applyNumberFormat="1" applyFont="1" applyFill="1" applyBorder="1" applyAlignment="1">
      <alignment horizontal="center" wrapText="1"/>
    </xf>
    <xf numFmtId="1" fontId="65" fillId="0" borderId="1" xfId="4" applyNumberFormat="1" applyFont="1" applyBorder="1" applyAlignment="1">
      <alignment horizontal="center" wrapText="1"/>
    </xf>
    <xf numFmtId="1" fontId="70" fillId="0" borderId="1" xfId="3" applyNumberFormat="1" applyFont="1" applyFill="1" applyBorder="1" applyAlignment="1">
      <alignment horizontal="center"/>
    </xf>
    <xf numFmtId="1" fontId="65" fillId="10" borderId="24" xfId="4" applyNumberFormat="1" applyFont="1" applyFill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/>
    </xf>
    <xf numFmtId="1" fontId="65" fillId="0" borderId="0" xfId="0" applyNumberFormat="1" applyFont="1" applyBorder="1"/>
    <xf numFmtId="1" fontId="65" fillId="12" borderId="1" xfId="4" applyNumberFormat="1" applyFont="1" applyFill="1" applyBorder="1" applyAlignment="1">
      <alignment horizontal="center"/>
    </xf>
    <xf numFmtId="1" fontId="80" fillId="0" borderId="0" xfId="0" applyNumberFormat="1" applyFont="1"/>
    <xf numFmtId="1" fontId="65" fillId="0" borderId="0" xfId="0" applyNumberFormat="1" applyFont="1"/>
    <xf numFmtId="1" fontId="81" fillId="21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2" fillId="2" borderId="1" xfId="3" applyNumberFormat="1" applyFont="1" applyFill="1" applyBorder="1" applyAlignment="1">
      <alignment horizontal="center"/>
    </xf>
    <xf numFmtId="1" fontId="71" fillId="2" borderId="1" xfId="4" applyNumberFormat="1" applyFont="1" applyFill="1" applyBorder="1" applyAlignment="1">
      <alignment horizontal="center" wrapText="1"/>
    </xf>
    <xf numFmtId="1" fontId="71" fillId="2" borderId="1" xfId="4" applyNumberFormat="1" applyFont="1" applyFill="1" applyBorder="1" applyAlignment="1">
      <alignment horizontal="center"/>
    </xf>
    <xf numFmtId="1" fontId="71" fillId="10" borderId="24" xfId="4" applyNumberFormat="1" applyFont="1" applyFill="1" applyBorder="1" applyAlignment="1">
      <alignment horizontal="center" vertical="center"/>
    </xf>
    <xf numFmtId="1" fontId="70" fillId="0" borderId="0" xfId="0" applyNumberFormat="1" applyFont="1" applyBorder="1"/>
    <xf numFmtId="1" fontId="71" fillId="0" borderId="1" xfId="4" applyNumberFormat="1" applyFont="1" applyFill="1" applyBorder="1" applyAlignment="1">
      <alignment horizontal="center"/>
    </xf>
    <xf numFmtId="1" fontId="71" fillId="12" borderId="1" xfId="4" applyNumberFormat="1" applyFont="1" applyFill="1" applyBorder="1" applyAlignment="1">
      <alignment horizontal="center"/>
    </xf>
    <xf numFmtId="0" fontId="86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85" fillId="0" borderId="0" xfId="16" applyAlignment="1" applyProtection="1"/>
    <xf numFmtId="1" fontId="14" fillId="0" borderId="0" xfId="2" applyNumberFormat="1" applyAlignment="1" applyProtection="1"/>
    <xf numFmtId="1" fontId="65" fillId="12" borderId="1" xfId="5" applyNumberFormat="1" applyFont="1" applyFill="1" applyBorder="1" applyAlignment="1">
      <alignment horizontal="center" vertical="center"/>
    </xf>
    <xf numFmtId="1" fontId="65" fillId="12" borderId="15" xfId="5" applyNumberFormat="1" applyFont="1" applyFill="1" applyBorder="1" applyAlignment="1" applyProtection="1">
      <alignment horizontal="center"/>
    </xf>
    <xf numFmtId="0" fontId="47" fillId="12" borderId="0" xfId="0" applyFont="1" applyFill="1"/>
    <xf numFmtId="1" fontId="49" fillId="0" borderId="0" xfId="0" applyNumberFormat="1" applyFont="1"/>
    <xf numFmtId="1" fontId="49" fillId="0" borderId="0" xfId="0" applyNumberFormat="1" applyFont="1" applyFill="1"/>
    <xf numFmtId="1" fontId="56" fillId="0" borderId="0" xfId="0" applyNumberFormat="1" applyFont="1" applyFill="1"/>
    <xf numFmtId="1" fontId="73" fillId="12" borderId="1" xfId="5" applyNumberFormat="1" applyFont="1" applyFill="1" applyBorder="1" applyAlignment="1">
      <alignment horizontal="center" vertical="center"/>
    </xf>
    <xf numFmtId="0" fontId="70" fillId="0" borderId="4" xfId="0" applyFont="1" applyFill="1" applyBorder="1"/>
    <xf numFmtId="1" fontId="88" fillId="0" borderId="1" xfId="0" applyNumberFormat="1" applyFont="1" applyFill="1" applyBorder="1" applyAlignment="1">
      <alignment horizontal="center" wrapText="1"/>
    </xf>
    <xf numFmtId="0" fontId="71" fillId="12" borderId="1" xfId="4" applyFont="1" applyFill="1" applyBorder="1" applyAlignment="1">
      <alignment horizontal="center" wrapText="1"/>
    </xf>
    <xf numFmtId="0" fontId="65" fillId="12" borderId="1" xfId="0" applyFont="1" applyFill="1" applyBorder="1" applyAlignment="1">
      <alignment horizontal="center"/>
    </xf>
    <xf numFmtId="0" fontId="64" fillId="0" borderId="1" xfId="0" applyFont="1" applyBorder="1"/>
    <xf numFmtId="0" fontId="66" fillId="0" borderId="1" xfId="0" applyFont="1" applyBorder="1"/>
    <xf numFmtId="0" fontId="59" fillId="0" borderId="1" xfId="4" applyFont="1" applyBorder="1" applyAlignment="1">
      <alignment vertical="center"/>
    </xf>
    <xf numFmtId="0" fontId="76" fillId="2" borderId="1" xfId="3" applyFont="1" applyFill="1" applyBorder="1" applyAlignment="1">
      <alignment horizontal="left"/>
    </xf>
    <xf numFmtId="0" fontId="81" fillId="2" borderId="1" xfId="3" applyFont="1" applyFill="1" applyBorder="1" applyAlignment="1">
      <alignment horizontal="center"/>
    </xf>
    <xf numFmtId="0" fontId="81" fillId="2" borderId="1" xfId="4" applyFont="1" applyFill="1" applyBorder="1" applyAlignment="1">
      <alignment horizontal="center"/>
    </xf>
    <xf numFmtId="0" fontId="77" fillId="2" borderId="21" xfId="3" applyFont="1" applyFill="1" applyBorder="1" applyAlignment="1">
      <alignment horizontal="left" vertical="center"/>
    </xf>
    <xf numFmtId="0" fontId="76" fillId="2" borderId="1" xfId="3" applyFont="1" applyFill="1" applyBorder="1" applyAlignment="1">
      <alignment horizontal="left" vertical="center"/>
    </xf>
    <xf numFmtId="0" fontId="59" fillId="2" borderId="2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left"/>
    </xf>
    <xf numFmtId="0" fontId="64" fillId="2" borderId="1" xfId="0" applyFont="1" applyFill="1" applyBorder="1"/>
    <xf numFmtId="0" fontId="66" fillId="2" borderId="1" xfId="0" applyFont="1" applyFill="1" applyBorder="1"/>
    <xf numFmtId="0" fontId="59" fillId="2" borderId="1" xfId="4" applyFont="1" applyFill="1" applyBorder="1" applyAlignment="1">
      <alignment vertical="center"/>
    </xf>
    <xf numFmtId="0" fontId="58" fillId="2" borderId="1" xfId="4" applyFont="1" applyFill="1" applyBorder="1" applyAlignment="1">
      <alignment vertical="center"/>
    </xf>
    <xf numFmtId="0" fontId="64" fillId="2" borderId="0" xfId="0" applyFont="1" applyFill="1"/>
    <xf numFmtId="0" fontId="66" fillId="2" borderId="0" xfId="0" applyFont="1" applyFill="1"/>
    <xf numFmtId="0" fontId="70" fillId="2" borderId="0" xfId="0" applyFont="1" applyFill="1"/>
    <xf numFmtId="0" fontId="65" fillId="2" borderId="0" xfId="0" applyFont="1" applyFill="1"/>
    <xf numFmtId="1" fontId="70" fillId="2" borderId="0" xfId="0" applyNumberFormat="1" applyFont="1" applyFill="1"/>
    <xf numFmtId="0" fontId="65" fillId="2" borderId="1" xfId="0" applyFont="1" applyFill="1" applyBorder="1" applyAlignment="1">
      <alignment horizontal="center"/>
    </xf>
    <xf numFmtId="1" fontId="47" fillId="0" borderId="0" xfId="0" applyNumberFormat="1" applyFont="1" applyBorder="1"/>
    <xf numFmtId="0" fontId="90" fillId="0" borderId="0" xfId="0" applyFont="1"/>
    <xf numFmtId="166" fontId="91" fillId="9" borderId="21" xfId="3" applyNumberFormat="1" applyFont="1" applyFill="1" applyBorder="1" applyAlignment="1">
      <alignment horizontal="left"/>
    </xf>
    <xf numFmtId="0" fontId="91" fillId="9" borderId="1" xfId="3" applyFont="1" applyFill="1" applyBorder="1" applyAlignment="1">
      <alignment horizontal="center"/>
    </xf>
    <xf numFmtId="9" fontId="91" fillId="9" borderId="1" xfId="4" applyNumberFormat="1" applyFont="1" applyFill="1" applyBorder="1"/>
    <xf numFmtId="0" fontId="91" fillId="9" borderId="1" xfId="3" applyFont="1" applyFill="1" applyBorder="1" applyAlignment="1">
      <alignment horizontal="center" vertical="center"/>
    </xf>
    <xf numFmtId="1" fontId="91" fillId="9" borderId="15" xfId="3" applyNumberFormat="1" applyFont="1" applyFill="1" applyBorder="1" applyAlignment="1">
      <alignment horizontal="center" vertical="center"/>
    </xf>
    <xf numFmtId="9" fontId="91" fillId="9" borderId="21" xfId="3" applyNumberFormat="1" applyFont="1" applyFill="1" applyBorder="1" applyAlignment="1">
      <alignment horizontal="left"/>
    </xf>
    <xf numFmtId="0" fontId="91" fillId="9" borderId="1" xfId="3" applyFont="1" applyFill="1" applyBorder="1" applyAlignment="1">
      <alignment horizontal="left"/>
    </xf>
    <xf numFmtId="0" fontId="91" fillId="9" borderId="1" xfId="3" applyFont="1" applyFill="1" applyBorder="1" applyAlignment="1"/>
    <xf numFmtId="10" fontId="91" fillId="9" borderId="1" xfId="3" applyNumberFormat="1" applyFont="1" applyFill="1" applyBorder="1" applyAlignment="1">
      <alignment horizontal="center"/>
    </xf>
    <xf numFmtId="1" fontId="91" fillId="9" borderId="1" xfId="3" applyNumberFormat="1" applyFont="1" applyFill="1" applyBorder="1" applyAlignment="1">
      <alignment horizontal="center"/>
    </xf>
    <xf numFmtId="1" fontId="91" fillId="9" borderId="15" xfId="3" applyNumberFormat="1" applyFont="1" applyFill="1" applyBorder="1" applyAlignment="1">
      <alignment horizontal="center"/>
    </xf>
    <xf numFmtId="0" fontId="92" fillId="2" borderId="0" xfId="3" applyFont="1" applyFill="1" applyBorder="1" applyAlignment="1">
      <alignment horizontal="center" vertical="center"/>
    </xf>
    <xf numFmtId="0" fontId="90" fillId="0" borderId="0" xfId="0" applyFont="1" applyBorder="1"/>
    <xf numFmtId="0" fontId="91" fillId="9" borderId="21" xfId="3" applyFont="1" applyFill="1" applyBorder="1"/>
    <xf numFmtId="9" fontId="91" fillId="9" borderId="1" xfId="3" applyNumberFormat="1" applyFont="1" applyFill="1" applyBorder="1" applyAlignment="1">
      <alignment horizontal="left"/>
    </xf>
    <xf numFmtId="2" fontId="91" fillId="9" borderId="1" xfId="3" applyNumberFormat="1" applyFont="1" applyFill="1" applyBorder="1" applyAlignment="1">
      <alignment horizontal="center"/>
    </xf>
    <xf numFmtId="9" fontId="91" fillId="9" borderId="1" xfId="3" applyNumberFormat="1" applyFont="1" applyFill="1" applyBorder="1" applyAlignment="1">
      <alignment horizontal="center"/>
    </xf>
    <xf numFmtId="164" fontId="92" fillId="2" borderId="0" xfId="3" applyNumberFormat="1" applyFont="1" applyFill="1" applyBorder="1" applyAlignment="1">
      <alignment horizontal="center"/>
    </xf>
    <xf numFmtId="0" fontId="91" fillId="8" borderId="21" xfId="3" applyFont="1" applyFill="1" applyBorder="1" applyAlignment="1">
      <alignment horizontal="center" vertical="center"/>
    </xf>
    <xf numFmtId="0" fontId="91" fillId="8" borderId="1" xfId="3" applyFont="1" applyFill="1" applyBorder="1" applyAlignment="1">
      <alignment horizontal="center" vertical="center"/>
    </xf>
    <xf numFmtId="2" fontId="91" fillId="2" borderId="1" xfId="3" applyNumberFormat="1" applyFont="1" applyFill="1" applyBorder="1" applyAlignment="1">
      <alignment horizontal="center" vertical="center"/>
    </xf>
    <xf numFmtId="164" fontId="91" fillId="8" borderId="1" xfId="3" applyNumberFormat="1" applyFont="1" applyFill="1" applyBorder="1" applyAlignment="1">
      <alignment horizontal="center" wrapText="1" shrinkToFit="1"/>
    </xf>
    <xf numFmtId="2" fontId="91" fillId="8" borderId="1" xfId="3" applyNumberFormat="1" applyFont="1" applyFill="1" applyBorder="1" applyAlignment="1">
      <alignment horizontal="center" vertical="center"/>
    </xf>
    <xf numFmtId="1" fontId="91" fillId="8" borderId="1" xfId="3" applyNumberFormat="1" applyFont="1" applyFill="1" applyBorder="1" applyAlignment="1">
      <alignment horizontal="center" vertical="center"/>
    </xf>
    <xf numFmtId="164" fontId="91" fillId="8" borderId="15" xfId="3" applyNumberFormat="1" applyFont="1" applyFill="1" applyBorder="1" applyAlignment="1">
      <alignment horizontal="center" wrapText="1" shrinkToFit="1"/>
    </xf>
    <xf numFmtId="164" fontId="93" fillId="2" borderId="0" xfId="3" applyNumberFormat="1" applyFont="1" applyFill="1" applyBorder="1" applyAlignment="1">
      <alignment horizontal="center" vertical="center" wrapText="1" shrinkToFit="1"/>
    </xf>
    <xf numFmtId="0" fontId="91" fillId="15" borderId="1" xfId="3" applyFont="1" applyFill="1" applyBorder="1" applyAlignment="1">
      <alignment horizontal="center" vertical="center"/>
    </xf>
    <xf numFmtId="0" fontId="91" fillId="15" borderId="1" xfId="3" applyFont="1" applyFill="1" applyBorder="1" applyAlignment="1">
      <alignment horizontal="center"/>
    </xf>
    <xf numFmtId="0" fontId="91" fillId="15" borderId="15" xfId="3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8" borderId="21" xfId="3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center"/>
    </xf>
    <xf numFmtId="2" fontId="91" fillId="8" borderId="1" xfId="3" applyNumberFormat="1" applyFont="1" applyFill="1" applyBorder="1" applyAlignment="1">
      <alignment horizontal="center"/>
    </xf>
    <xf numFmtId="1" fontId="91" fillId="2" borderId="1" xfId="5" applyNumberFormat="1" applyFont="1" applyFill="1" applyBorder="1" applyAlignment="1">
      <alignment horizontal="center" vertical="center"/>
    </xf>
    <xf numFmtId="1" fontId="91" fillId="8" borderId="1" xfId="3" applyNumberFormat="1" applyFont="1" applyFill="1" applyBorder="1" applyAlignment="1">
      <alignment horizontal="center"/>
    </xf>
    <xf numFmtId="0" fontId="91" fillId="2" borderId="1" xfId="3" applyNumberFormat="1" applyFont="1" applyFill="1" applyBorder="1" applyAlignment="1">
      <alignment horizontal="center"/>
    </xf>
    <xf numFmtId="1" fontId="91" fillId="8" borderId="15" xfId="5" applyNumberFormat="1" applyFont="1" applyFill="1" applyBorder="1" applyAlignment="1" applyProtection="1">
      <alignment horizontal="center"/>
    </xf>
    <xf numFmtId="2" fontId="95" fillId="8" borderId="11" xfId="3" applyNumberFormat="1" applyFont="1" applyFill="1" applyBorder="1" applyAlignment="1">
      <alignment horizontal="center"/>
    </xf>
    <xf numFmtId="1" fontId="90" fillId="0" borderId="0" xfId="0" applyNumberFormat="1" applyFont="1"/>
    <xf numFmtId="0" fontId="91" fillId="8" borderId="27" xfId="3" applyFont="1" applyFill="1" applyBorder="1" applyAlignment="1">
      <alignment horizontal="left" vertical="center"/>
    </xf>
    <xf numFmtId="0" fontId="91" fillId="8" borderId="5" xfId="3" applyFont="1" applyFill="1" applyBorder="1" applyAlignment="1">
      <alignment horizontal="left" vertical="center"/>
    </xf>
    <xf numFmtId="0" fontId="91" fillId="8" borderId="13" xfId="3" applyFont="1" applyFill="1" applyBorder="1" applyAlignment="1">
      <alignment horizontal="left" vertical="center"/>
    </xf>
    <xf numFmtId="0" fontId="91" fillId="8" borderId="8" xfId="3" applyFont="1" applyFill="1" applyBorder="1" applyAlignment="1">
      <alignment horizontal="center"/>
    </xf>
    <xf numFmtId="2" fontId="91" fillId="8" borderId="8" xfId="3" applyNumberFormat="1" applyFont="1" applyFill="1" applyBorder="1" applyAlignment="1">
      <alignment horizontal="center"/>
    </xf>
    <xf numFmtId="1" fontId="91" fillId="2" borderId="7" xfId="5" applyNumberFormat="1" applyFont="1" applyFill="1" applyBorder="1" applyAlignment="1">
      <alignment horizontal="center" vertical="center"/>
    </xf>
    <xf numFmtId="1" fontId="91" fillId="2" borderId="8" xfId="3" applyNumberFormat="1" applyFont="1" applyFill="1" applyBorder="1" applyAlignment="1">
      <alignment horizontal="center"/>
    </xf>
    <xf numFmtId="2" fontId="95" fillId="8" borderId="1" xfId="3" applyNumberFormat="1" applyFont="1" applyFill="1" applyBorder="1" applyAlignment="1">
      <alignment horizontal="center"/>
    </xf>
    <xf numFmtId="2" fontId="90" fillId="0" borderId="0" xfId="0" applyNumberFormat="1" applyFont="1"/>
    <xf numFmtId="167" fontId="91" fillId="8" borderId="21" xfId="3" applyNumberFormat="1" applyFont="1" applyFill="1" applyBorder="1" applyAlignment="1">
      <alignment vertical="center"/>
    </xf>
    <xf numFmtId="167" fontId="91" fillId="8" borderId="1" xfId="3" applyNumberFormat="1" applyFont="1" applyFill="1" applyBorder="1" applyAlignment="1">
      <alignment vertical="center"/>
    </xf>
    <xf numFmtId="0" fontId="91" fillId="0" borderId="1" xfId="4" applyFont="1" applyBorder="1" applyAlignment="1">
      <alignment horizontal="center"/>
    </xf>
    <xf numFmtId="1" fontId="91" fillId="12" borderId="1" xfId="3" applyNumberFormat="1" applyFont="1" applyFill="1" applyBorder="1" applyAlignment="1">
      <alignment horizontal="center"/>
    </xf>
    <xf numFmtId="1" fontId="93" fillId="2" borderId="0" xfId="5" applyNumberFormat="1" applyFont="1" applyFill="1" applyBorder="1" applyAlignment="1" applyProtection="1">
      <alignment horizontal="center"/>
    </xf>
    <xf numFmtId="2" fontId="91" fillId="8" borderId="1" xfId="3" applyNumberFormat="1" applyFont="1" applyFill="1" applyBorder="1" applyAlignment="1">
      <alignment horizontal="right"/>
    </xf>
    <xf numFmtId="0" fontId="91" fillId="16" borderId="21" xfId="3" applyFont="1" applyFill="1" applyBorder="1" applyAlignment="1">
      <alignment horizontal="center"/>
    </xf>
    <xf numFmtId="0" fontId="91" fillId="16" borderId="1" xfId="3" applyFont="1" applyFill="1" applyBorder="1" applyAlignment="1">
      <alignment horizontal="center"/>
    </xf>
    <xf numFmtId="1" fontId="91" fillId="8" borderId="1" xfId="5" applyNumberFormat="1" applyFont="1" applyFill="1" applyBorder="1" applyAlignment="1">
      <alignment horizontal="center" vertical="center"/>
    </xf>
    <xf numFmtId="2" fontId="91" fillId="2" borderId="1" xfId="3" applyNumberFormat="1" applyFont="1" applyFill="1" applyBorder="1" applyAlignment="1">
      <alignment horizontal="center"/>
    </xf>
    <xf numFmtId="0" fontId="96" fillId="15" borderId="1" xfId="3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/>
    </xf>
    <xf numFmtId="0" fontId="91" fillId="8" borderId="21" xfId="3" applyFont="1" applyFill="1" applyBorder="1" applyAlignment="1">
      <alignment horizontal="left"/>
    </xf>
    <xf numFmtId="0" fontId="91" fillId="8" borderId="1" xfId="3" applyFont="1" applyFill="1" applyBorder="1" applyAlignment="1">
      <alignment horizontal="left"/>
    </xf>
    <xf numFmtId="0" fontId="97" fillId="0" borderId="1" xfId="4" applyFont="1" applyBorder="1" applyAlignment="1">
      <alignment horizontal="center"/>
    </xf>
    <xf numFmtId="0" fontId="91" fillId="2" borderId="21" xfId="3" applyFont="1" applyFill="1" applyBorder="1" applyAlignment="1">
      <alignment horizontal="left" vertical="center"/>
    </xf>
    <xf numFmtId="0" fontId="91" fillId="2" borderId="1" xfId="3" applyFont="1" applyFill="1" applyBorder="1" applyAlignment="1">
      <alignment horizontal="left" vertical="center"/>
    </xf>
    <xf numFmtId="0" fontId="91" fillId="2" borderId="1" xfId="3" applyFont="1" applyFill="1" applyBorder="1" applyAlignment="1">
      <alignment horizontal="center"/>
    </xf>
    <xf numFmtId="0" fontId="91" fillId="2" borderId="1" xfId="4" applyFont="1" applyFill="1" applyBorder="1" applyAlignment="1">
      <alignment horizontal="center"/>
    </xf>
    <xf numFmtId="1" fontId="91" fillId="2" borderId="1" xfId="3" applyNumberFormat="1" applyFont="1" applyFill="1" applyBorder="1" applyAlignment="1">
      <alignment horizontal="center"/>
    </xf>
    <xf numFmtId="2" fontId="91" fillId="12" borderId="1" xfId="3" applyNumberFormat="1" applyFont="1" applyFill="1" applyBorder="1" applyAlignment="1">
      <alignment horizontal="center"/>
    </xf>
    <xf numFmtId="1" fontId="91" fillId="2" borderId="15" xfId="5" applyNumberFormat="1" applyFont="1" applyFill="1" applyBorder="1" applyAlignment="1" applyProtection="1">
      <alignment horizontal="center"/>
    </xf>
    <xf numFmtId="1" fontId="96" fillId="15" borderId="1" xfId="3" applyNumberFormat="1" applyFont="1" applyFill="1" applyBorder="1" applyAlignment="1">
      <alignment horizontal="center"/>
    </xf>
    <xf numFmtId="0" fontId="91" fillId="0" borderId="1" xfId="4" applyFont="1" applyBorder="1"/>
    <xf numFmtId="0" fontId="98" fillId="8" borderId="1" xfId="3" applyFont="1" applyFill="1" applyBorder="1" applyAlignment="1">
      <alignment horizontal="center"/>
    </xf>
    <xf numFmtId="164" fontId="98" fillId="8" borderId="1" xfId="5" applyNumberFormat="1" applyFont="1" applyFill="1" applyBorder="1" applyAlignment="1">
      <alignment horizontal="center" vertical="center"/>
    </xf>
    <xf numFmtId="1" fontId="91" fillId="12" borderId="1" xfId="5" applyNumberFormat="1" applyFont="1" applyFill="1" applyBorder="1" applyAlignment="1" applyProtection="1">
      <alignment horizontal="center"/>
    </xf>
    <xf numFmtId="0" fontId="91" fillId="16" borderId="21" xfId="3" applyFont="1" applyFill="1" applyBorder="1" applyAlignment="1">
      <alignment horizontal="center" vertical="center"/>
    </xf>
    <xf numFmtId="0" fontId="91" fillId="16" borderId="1" xfId="3" applyFont="1" applyFill="1" applyBorder="1" applyAlignment="1">
      <alignment horizontal="center" vertical="center"/>
    </xf>
    <xf numFmtId="0" fontId="98" fillId="2" borderId="1" xfId="4" applyFont="1" applyFill="1" applyBorder="1" applyAlignment="1">
      <alignment horizontal="center"/>
    </xf>
    <xf numFmtId="0" fontId="96" fillId="15" borderId="1" xfId="3" applyFont="1" applyFill="1" applyBorder="1" applyAlignment="1">
      <alignment horizontal="center" vertical="center"/>
    </xf>
    <xf numFmtId="1" fontId="91" fillId="15" borderId="1" xfId="3" applyNumberFormat="1" applyFont="1" applyFill="1" applyBorder="1" applyAlignment="1">
      <alignment horizontal="center" vertical="center"/>
    </xf>
    <xf numFmtId="0" fontId="99" fillId="15" borderId="1" xfId="3" applyFont="1" applyFill="1" applyBorder="1" applyAlignment="1">
      <alignment horizontal="center" vertical="center"/>
    </xf>
    <xf numFmtId="1" fontId="91" fillId="15" borderId="15" xfId="3" applyNumberFormat="1" applyFont="1" applyFill="1" applyBorder="1" applyAlignment="1">
      <alignment horizontal="center" vertical="center"/>
    </xf>
    <xf numFmtId="0" fontId="100" fillId="0" borderId="0" xfId="0" applyFont="1" applyBorder="1"/>
    <xf numFmtId="0" fontId="100" fillId="0" borderId="0" xfId="0" applyFont="1"/>
    <xf numFmtId="0" fontId="101" fillId="2" borderId="16" xfId="3" applyFont="1" applyFill="1" applyBorder="1" applyAlignment="1">
      <alignment horizontal="center"/>
    </xf>
    <xf numFmtId="0" fontId="101" fillId="2" borderId="3" xfId="3" applyFont="1" applyFill="1" applyBorder="1" applyAlignment="1">
      <alignment horizontal="center"/>
    </xf>
    <xf numFmtId="0" fontId="101" fillId="2" borderId="4" xfId="3" applyFont="1" applyFill="1" applyBorder="1" applyAlignment="1">
      <alignment horizontal="center"/>
    </xf>
    <xf numFmtId="44" fontId="101" fillId="8" borderId="1" xfId="8" applyFont="1" applyFill="1" applyBorder="1" applyAlignment="1">
      <alignment horizontal="center"/>
    </xf>
    <xf numFmtId="2" fontId="101" fillId="8" borderId="1" xfId="3" applyNumberFormat="1" applyFont="1" applyFill="1" applyBorder="1" applyAlignment="1">
      <alignment horizontal="center"/>
    </xf>
    <xf numFmtId="164" fontId="96" fillId="8" borderId="1" xfId="3" applyNumberFormat="1" applyFont="1" applyFill="1" applyBorder="1" applyAlignment="1">
      <alignment horizontal="center"/>
    </xf>
    <xf numFmtId="1" fontId="99" fillId="8" borderId="1" xfId="3" applyNumberFormat="1" applyFont="1" applyFill="1" applyBorder="1" applyAlignment="1">
      <alignment horizontal="center"/>
    </xf>
    <xf numFmtId="0" fontId="101" fillId="8" borderId="1" xfId="3" applyFont="1" applyFill="1" applyBorder="1" applyAlignment="1">
      <alignment horizontal="center"/>
    </xf>
    <xf numFmtId="1" fontId="101" fillId="8" borderId="1" xfId="5" applyNumberFormat="1" applyFont="1" applyFill="1" applyBorder="1" applyAlignment="1">
      <alignment horizontal="center" vertical="center"/>
    </xf>
    <xf numFmtId="2" fontId="91" fillId="8" borderId="1" xfId="9" applyNumberFormat="1" applyFont="1" applyFill="1" applyBorder="1" applyAlignment="1">
      <alignment horizontal="center"/>
    </xf>
    <xf numFmtId="168" fontId="96" fillId="8" borderId="1" xfId="5" applyNumberFormat="1" applyFont="1" applyFill="1" applyBorder="1" applyAlignment="1" applyProtection="1">
      <alignment horizontal="center" vertical="center"/>
    </xf>
    <xf numFmtId="164" fontId="99" fillId="8" borderId="1" xfId="5" applyNumberFormat="1" applyFont="1" applyFill="1" applyBorder="1" applyAlignment="1" applyProtection="1">
      <alignment horizontal="center"/>
    </xf>
    <xf numFmtId="2" fontId="99" fillId="8" borderId="1" xfId="3" applyNumberFormat="1" applyFont="1" applyFill="1" applyBorder="1" applyAlignment="1">
      <alignment horizontal="right"/>
    </xf>
    <xf numFmtId="0" fontId="101" fillId="16" borderId="16" xfId="3" applyFont="1" applyFill="1" applyBorder="1" applyAlignment="1">
      <alignment horizontal="center"/>
    </xf>
    <xf numFmtId="0" fontId="101" fillId="16" borderId="3" xfId="3" applyFont="1" applyFill="1" applyBorder="1" applyAlignment="1">
      <alignment horizontal="center"/>
    </xf>
    <xf numFmtId="0" fontId="101" fillId="16" borderId="4" xfId="3" applyFont="1" applyFill="1" applyBorder="1" applyAlignment="1">
      <alignment horizontal="center"/>
    </xf>
    <xf numFmtId="0" fontId="98" fillId="2" borderId="1" xfId="3" applyFont="1" applyFill="1" applyBorder="1" applyAlignment="1">
      <alignment horizontal="center"/>
    </xf>
    <xf numFmtId="169" fontId="98" fillId="8" borderId="1" xfId="5" applyNumberFormat="1" applyFont="1" applyFill="1" applyBorder="1" applyAlignment="1" applyProtection="1">
      <alignment horizontal="center" vertical="center"/>
    </xf>
    <xf numFmtId="1" fontId="98" fillId="2" borderId="1" xfId="3" applyNumberFormat="1" applyFont="1" applyFill="1" applyBorder="1" applyAlignment="1">
      <alignment horizontal="center" vertical="top"/>
    </xf>
    <xf numFmtId="0" fontId="91" fillId="15" borderId="21" xfId="3" applyFont="1" applyFill="1" applyBorder="1" applyAlignment="1">
      <alignment horizontal="left"/>
    </xf>
    <xf numFmtId="0" fontId="91" fillId="15" borderId="1" xfId="3" applyFont="1" applyFill="1" applyBorder="1" applyAlignment="1">
      <alignment horizontal="left"/>
    </xf>
    <xf numFmtId="0" fontId="91" fillId="0" borderId="1" xfId="4" applyFont="1" applyBorder="1" applyAlignment="1">
      <alignment horizontal="center" vertical="center"/>
    </xf>
    <xf numFmtId="2" fontId="91" fillId="8" borderId="21" xfId="3" applyNumberFormat="1" applyFont="1" applyFill="1" applyBorder="1" applyAlignment="1">
      <alignment horizontal="left" vertical="center"/>
    </xf>
    <xf numFmtId="2" fontId="91" fillId="8" borderId="1" xfId="3" applyNumberFormat="1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left" vertical="justify"/>
    </xf>
    <xf numFmtId="0" fontId="91" fillId="15" borderId="21" xfId="3" applyFont="1" applyFill="1" applyBorder="1" applyAlignment="1"/>
    <xf numFmtId="0" fontId="91" fillId="15" borderId="1" xfId="3" applyFont="1" applyFill="1" applyBorder="1" applyAlignment="1"/>
    <xf numFmtId="0" fontId="91" fillId="15" borderId="1" xfId="3" applyFont="1" applyFill="1" applyBorder="1" applyAlignment="1">
      <alignment vertical="center"/>
    </xf>
    <xf numFmtId="0" fontId="91" fillId="15" borderId="15" xfId="3" applyFont="1" applyFill="1" applyBorder="1" applyAlignment="1"/>
    <xf numFmtId="0" fontId="91" fillId="0" borderId="21" xfId="4" applyFont="1" applyBorder="1" applyAlignment="1">
      <alignment vertical="center"/>
    </xf>
    <xf numFmtId="0" fontId="91" fillId="0" borderId="1" xfId="4" applyFont="1" applyBorder="1" applyAlignment="1">
      <alignment vertical="center"/>
    </xf>
    <xf numFmtId="1" fontId="91" fillId="2" borderId="1" xfId="3" applyNumberFormat="1" applyFont="1" applyFill="1" applyBorder="1" applyAlignment="1">
      <alignment horizontal="center" vertical="center"/>
    </xf>
    <xf numFmtId="164" fontId="91" fillId="2" borderId="1" xfId="5" applyNumberFormat="1" applyFont="1" applyFill="1" applyBorder="1" applyAlignment="1" applyProtection="1">
      <alignment horizontal="center" vertical="center"/>
    </xf>
    <xf numFmtId="164" fontId="91" fillId="8" borderId="1" xfId="5" applyNumberFormat="1" applyFont="1" applyFill="1" applyBorder="1" applyAlignment="1" applyProtection="1">
      <alignment horizontal="center" vertical="top"/>
    </xf>
    <xf numFmtId="2" fontId="93" fillId="2" borderId="0" xfId="5" applyNumberFormat="1" applyFont="1" applyFill="1" applyBorder="1" applyAlignment="1" applyProtection="1">
      <alignment horizontal="center"/>
    </xf>
    <xf numFmtId="165" fontId="93" fillId="2" borderId="0" xfId="6" applyNumberFormat="1" applyFont="1" applyFill="1" applyBorder="1" applyAlignment="1">
      <alignment horizontal="center"/>
    </xf>
    <xf numFmtId="0" fontId="91" fillId="2" borderId="1" xfId="4" applyFont="1" applyFill="1" applyBorder="1" applyAlignment="1">
      <alignment horizontal="left"/>
    </xf>
    <xf numFmtId="0" fontId="91" fillId="2" borderId="1" xfId="4" applyFont="1" applyFill="1" applyBorder="1" applyAlignment="1"/>
    <xf numFmtId="0" fontId="91" fillId="2" borderId="15" xfId="4" applyFont="1" applyFill="1" applyBorder="1" applyAlignment="1"/>
    <xf numFmtId="0" fontId="97" fillId="2" borderId="1" xfId="4" applyFont="1" applyFill="1" applyBorder="1" applyAlignment="1">
      <alignment horizontal="center" wrapText="1"/>
    </xf>
    <xf numFmtId="0" fontId="97" fillId="0" borderId="1" xfId="4" applyFont="1" applyFill="1" applyBorder="1" applyAlignment="1">
      <alignment horizontal="center" wrapText="1"/>
    </xf>
    <xf numFmtId="0" fontId="97" fillId="0" borderId="1" xfId="4" applyFont="1" applyBorder="1" applyAlignment="1">
      <alignment horizontal="center" wrapText="1"/>
    </xf>
    <xf numFmtId="0" fontId="91" fillId="0" borderId="21" xfId="4" applyFont="1" applyBorder="1" applyAlignment="1">
      <alignment horizontal="left"/>
    </xf>
    <xf numFmtId="0" fontId="97" fillId="2" borderId="1" xfId="4" applyFont="1" applyFill="1" applyBorder="1" applyAlignment="1">
      <alignment horizontal="center"/>
    </xf>
    <xf numFmtId="0" fontId="91" fillId="2" borderId="1" xfId="3" applyFont="1" applyFill="1" applyBorder="1" applyAlignment="1">
      <alignment horizontal="center" vertical="center"/>
    </xf>
    <xf numFmtId="0" fontId="97" fillId="0" borderId="21" xfId="4" applyFont="1" applyBorder="1" applyAlignment="1">
      <alignment horizontal="left"/>
    </xf>
    <xf numFmtId="0" fontId="97" fillId="0" borderId="1" xfId="4" applyFont="1" applyBorder="1" applyAlignment="1">
      <alignment horizontal="left"/>
    </xf>
    <xf numFmtId="0" fontId="91" fillId="0" borderId="1" xfId="3" applyFont="1" applyFill="1" applyBorder="1" applyAlignment="1">
      <alignment horizontal="center"/>
    </xf>
    <xf numFmtId="164" fontId="93" fillId="2" borderId="0" xfId="5" applyNumberFormat="1" applyFont="1" applyFill="1" applyBorder="1" applyAlignment="1" applyProtection="1">
      <alignment horizontal="center"/>
    </xf>
    <xf numFmtId="0" fontId="99" fillId="16" borderId="21" xfId="4" applyFont="1" applyFill="1" applyBorder="1"/>
    <xf numFmtId="0" fontId="99" fillId="16" borderId="1" xfId="0" applyFont="1" applyFill="1" applyBorder="1"/>
    <xf numFmtId="0" fontId="95" fillId="0" borderId="0" xfId="0" applyFont="1" applyBorder="1"/>
    <xf numFmtId="0" fontId="95" fillId="0" borderId="0" xfId="0" applyFont="1"/>
    <xf numFmtId="0" fontId="99" fillId="0" borderId="21" xfId="4" applyFont="1" applyFill="1" applyBorder="1"/>
    <xf numFmtId="0" fontId="99" fillId="0" borderId="1" xfId="0" applyFont="1" applyFill="1" applyBorder="1"/>
    <xf numFmtId="0" fontId="91" fillId="0" borderId="1" xfId="4" applyFont="1" applyFill="1" applyBorder="1"/>
    <xf numFmtId="0" fontId="96" fillId="0" borderId="1" xfId="3" applyFont="1" applyFill="1" applyBorder="1" applyAlignment="1">
      <alignment horizontal="center"/>
    </xf>
    <xf numFmtId="1" fontId="91" fillId="0" borderId="1" xfId="3" applyNumberFormat="1" applyFont="1" applyFill="1" applyBorder="1" applyAlignment="1">
      <alignment horizontal="center"/>
    </xf>
    <xf numFmtId="1" fontId="91" fillId="0" borderId="1" xfId="5" applyNumberFormat="1" applyFont="1" applyFill="1" applyBorder="1" applyAlignment="1">
      <alignment horizontal="center" vertical="center"/>
    </xf>
    <xf numFmtId="1" fontId="91" fillId="0" borderId="15" xfId="5" applyNumberFormat="1" applyFont="1" applyFill="1" applyBorder="1" applyAlignment="1" applyProtection="1">
      <alignment horizontal="center"/>
    </xf>
    <xf numFmtId="164" fontId="93" fillId="0" borderId="0" xfId="5" applyNumberFormat="1" applyFont="1" applyFill="1" applyBorder="1" applyAlignment="1" applyProtection="1">
      <alignment horizontal="center"/>
    </xf>
    <xf numFmtId="0" fontId="95" fillId="0" borderId="0" xfId="0" applyFont="1" applyFill="1" applyBorder="1"/>
    <xf numFmtId="0" fontId="95" fillId="0" borderId="0" xfId="0" applyFont="1" applyFill="1"/>
    <xf numFmtId="0" fontId="91" fillId="15" borderId="21" xfId="3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1" fontId="96" fillId="2" borderId="1" xfId="3" applyNumberFormat="1" applyFont="1" applyFill="1" applyBorder="1" applyAlignment="1">
      <alignment horizontal="center"/>
    </xf>
    <xf numFmtId="43" fontId="91" fillId="8" borderId="1" xfId="7" applyFont="1" applyFill="1" applyBorder="1" applyAlignment="1">
      <alignment horizontal="right" wrapText="1"/>
    </xf>
    <xf numFmtId="0" fontId="91" fillId="10" borderId="32" xfId="3" applyFont="1" applyFill="1" applyBorder="1" applyAlignment="1">
      <alignment horizontal="center" vertical="center"/>
    </xf>
    <xf numFmtId="0" fontId="91" fillId="10" borderId="0" xfId="3" applyFont="1" applyFill="1" applyBorder="1" applyAlignment="1">
      <alignment horizontal="center" vertical="center"/>
    </xf>
    <xf numFmtId="0" fontId="91" fillId="10" borderId="31" xfId="3" applyFont="1" applyFill="1" applyBorder="1" applyAlignment="1">
      <alignment horizontal="center" vertical="center"/>
    </xf>
    <xf numFmtId="2" fontId="91" fillId="10" borderId="24" xfId="3" applyNumberFormat="1" applyFont="1" applyFill="1" applyBorder="1" applyAlignment="1">
      <alignment horizontal="center" vertical="center"/>
    </xf>
    <xf numFmtId="0" fontId="97" fillId="10" borderId="24" xfId="4" applyFont="1" applyFill="1" applyBorder="1" applyAlignment="1">
      <alignment horizontal="center" vertical="center"/>
    </xf>
    <xf numFmtId="1" fontId="91" fillId="10" borderId="24" xfId="5" applyNumberFormat="1" applyFont="1" applyFill="1" applyBorder="1" applyAlignment="1">
      <alignment horizontal="center" vertical="center"/>
    </xf>
    <xf numFmtId="1" fontId="91" fillId="10" borderId="24" xfId="3" applyNumberFormat="1" applyFont="1" applyFill="1" applyBorder="1" applyAlignment="1">
      <alignment horizontal="center" vertical="center"/>
    </xf>
    <xf numFmtId="0" fontId="96" fillId="10" borderId="0" xfId="0" applyFont="1" applyFill="1" applyBorder="1" applyAlignment="1">
      <alignment horizontal="center" vertical="center"/>
    </xf>
    <xf numFmtId="1" fontId="91" fillId="10" borderId="30" xfId="5" applyNumberFormat="1" applyFont="1" applyFill="1" applyBorder="1" applyAlignment="1" applyProtection="1">
      <alignment horizontal="center" vertical="center"/>
    </xf>
    <xf numFmtId="0" fontId="96" fillId="0" borderId="0" xfId="0" applyFont="1" applyBorder="1"/>
    <xf numFmtId="0" fontId="96" fillId="0" borderId="4" xfId="0" applyFont="1" applyBorder="1" applyAlignment="1">
      <alignment horizontal="center"/>
    </xf>
    <xf numFmtId="0" fontId="96" fillId="0" borderId="1" xfId="0" applyFont="1" applyBorder="1" applyAlignment="1">
      <alignment horizontal="center"/>
    </xf>
    <xf numFmtId="1" fontId="96" fillId="0" borderId="1" xfId="0" applyNumberFormat="1" applyFont="1" applyBorder="1" applyAlignment="1">
      <alignment horizontal="center"/>
    </xf>
    <xf numFmtId="1" fontId="96" fillId="0" borderId="15" xfId="0" applyNumberFormat="1" applyFont="1" applyBorder="1" applyAlignment="1">
      <alignment horizontal="center"/>
    </xf>
    <xf numFmtId="0" fontId="96" fillId="0" borderId="1" xfId="0" applyFont="1" applyBorder="1" applyAlignment="1">
      <alignment horizontal="left"/>
    </xf>
    <xf numFmtId="0" fontId="96" fillId="0" borderId="1" xfId="0" applyFont="1" applyFill="1" applyBorder="1" applyAlignment="1">
      <alignment horizontal="center"/>
    </xf>
    <xf numFmtId="0" fontId="87" fillId="0" borderId="1" xfId="0" applyFont="1" applyFill="1" applyBorder="1" applyAlignment="1">
      <alignment horizontal="left"/>
    </xf>
    <xf numFmtId="0" fontId="87" fillId="0" borderId="4" xfId="0" applyFont="1" applyFill="1" applyBorder="1"/>
    <xf numFmtId="0" fontId="100" fillId="0" borderId="0" xfId="0" applyFont="1" applyFill="1"/>
    <xf numFmtId="0" fontId="96" fillId="0" borderId="1" xfId="0" applyFont="1" applyFill="1" applyBorder="1" applyAlignment="1">
      <alignment horizontal="left"/>
    </xf>
    <xf numFmtId="0" fontId="96" fillId="0" borderId="4" xfId="0" applyFont="1" applyFill="1" applyBorder="1" applyAlignment="1">
      <alignment horizontal="center"/>
    </xf>
    <xf numFmtId="0" fontId="96" fillId="0" borderId="1" xfId="0" applyFont="1" applyFill="1" applyBorder="1"/>
    <xf numFmtId="1" fontId="96" fillId="0" borderId="1" xfId="0" applyNumberFormat="1" applyFont="1" applyFill="1" applyBorder="1" applyAlignment="1">
      <alignment horizontal="center"/>
    </xf>
    <xf numFmtId="1" fontId="96" fillId="0" borderId="15" xfId="0" applyNumberFormat="1" applyFont="1" applyFill="1" applyBorder="1" applyAlignment="1">
      <alignment horizontal="center"/>
    </xf>
    <xf numFmtId="1" fontId="96" fillId="0" borderId="0" xfId="0" applyNumberFormat="1" applyFont="1" applyBorder="1" applyAlignment="1">
      <alignment horizontal="center"/>
    </xf>
    <xf numFmtId="1" fontId="96" fillId="0" borderId="34" xfId="0" applyNumberFormat="1" applyFont="1" applyBorder="1"/>
    <xf numFmtId="0" fontId="96" fillId="15" borderId="15" xfId="3" applyFont="1" applyFill="1" applyBorder="1" applyAlignment="1">
      <alignment horizontal="center"/>
    </xf>
    <xf numFmtId="0" fontId="91" fillId="12" borderId="1" xfId="4" applyFont="1" applyFill="1" applyBorder="1" applyAlignment="1">
      <alignment horizontal="center"/>
    </xf>
    <xf numFmtId="0" fontId="91" fillId="0" borderId="21" xfId="4" applyFont="1" applyBorder="1"/>
    <xf numFmtId="0" fontId="91" fillId="15" borderId="21" xfId="3" applyFont="1" applyFill="1" applyBorder="1" applyAlignment="1">
      <alignment horizontal="center" vertical="center"/>
    </xf>
    <xf numFmtId="1" fontId="91" fillId="15" borderId="1" xfId="5" applyNumberFormat="1" applyFont="1" applyFill="1" applyBorder="1" applyAlignment="1">
      <alignment horizontal="center"/>
    </xf>
    <xf numFmtId="1" fontId="91" fillId="15" borderId="15" xfId="5" applyNumberFormat="1" applyFont="1" applyFill="1" applyBorder="1" applyAlignment="1">
      <alignment horizontal="center"/>
    </xf>
    <xf numFmtId="0" fontId="97" fillId="0" borderId="1" xfId="4" applyFont="1" applyFill="1" applyBorder="1" applyAlignment="1">
      <alignment horizontal="center"/>
    </xf>
    <xf numFmtId="0" fontId="96" fillId="0" borderId="1" xfId="0" applyFont="1" applyBorder="1"/>
    <xf numFmtId="9" fontId="91" fillId="8" borderId="1" xfId="6" applyNumberFormat="1" applyFont="1" applyFill="1" applyBorder="1" applyAlignment="1">
      <alignment horizontal="center"/>
    </xf>
    <xf numFmtId="165" fontId="91" fillId="0" borderId="1" xfId="6" applyNumberFormat="1" applyFont="1" applyFill="1" applyBorder="1" applyAlignment="1"/>
    <xf numFmtId="1" fontId="91" fillId="8" borderId="1" xfId="5" applyNumberFormat="1" applyFont="1" applyFill="1" applyBorder="1" applyAlignment="1">
      <alignment horizontal="right"/>
    </xf>
    <xf numFmtId="0" fontId="103" fillId="0" borderId="0" xfId="4" applyFont="1"/>
    <xf numFmtId="0" fontId="91" fillId="8" borderId="7" xfId="3" applyFont="1" applyFill="1" applyBorder="1" applyAlignment="1">
      <alignment horizontal="center"/>
    </xf>
    <xf numFmtId="2" fontId="91" fillId="8" borderId="7" xfId="3" applyNumberFormat="1" applyFont="1" applyFill="1" applyBorder="1" applyAlignment="1">
      <alignment horizontal="center"/>
    </xf>
    <xf numFmtId="9" fontId="91" fillId="8" borderId="7" xfId="6" applyNumberFormat="1" applyFont="1" applyFill="1" applyBorder="1" applyAlignment="1">
      <alignment horizontal="center"/>
    </xf>
    <xf numFmtId="2" fontId="91" fillId="8" borderId="7" xfId="3" applyNumberFormat="1" applyFont="1" applyFill="1" applyBorder="1" applyAlignment="1">
      <alignment horizontal="right"/>
    </xf>
    <xf numFmtId="1" fontId="91" fillId="8" borderId="23" xfId="5" applyNumberFormat="1" applyFont="1" applyFill="1" applyBorder="1" applyAlignment="1" applyProtection="1">
      <alignment horizontal="center"/>
    </xf>
    <xf numFmtId="0" fontId="87" fillId="0" borderId="0" xfId="0" applyFont="1"/>
    <xf numFmtId="1" fontId="87" fillId="0" borderId="0" xfId="0" applyNumberFormat="1" applyFont="1" applyAlignment="1">
      <alignment horizontal="center"/>
    </xf>
    <xf numFmtId="1" fontId="87" fillId="0" borderId="0" xfId="0" applyNumberFormat="1" applyFont="1"/>
    <xf numFmtId="0" fontId="96" fillId="0" borderId="0" xfId="0" applyFont="1"/>
    <xf numFmtId="1" fontId="96" fillId="0" borderId="0" xfId="0" applyNumberFormat="1" applyFont="1" applyAlignment="1">
      <alignment horizontal="center"/>
    </xf>
    <xf numFmtId="1" fontId="96" fillId="0" borderId="0" xfId="0" applyNumberFormat="1" applyFont="1"/>
    <xf numFmtId="0" fontId="90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1" fontId="90" fillId="0" borderId="0" xfId="0" applyNumberFormat="1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5" fillId="0" borderId="0" xfId="0" applyFont="1" applyFill="1" applyAlignment="1">
      <alignment horizontal="center" vertical="center"/>
    </xf>
    <xf numFmtId="1" fontId="95" fillId="0" borderId="0" xfId="0" applyNumberFormat="1" applyFont="1" applyFill="1" applyAlignment="1">
      <alignment horizontal="center" vertical="center"/>
    </xf>
    <xf numFmtId="0" fontId="100" fillId="0" borderId="0" xfId="0" applyFont="1" applyFill="1" applyAlignment="1">
      <alignment horizontal="center" vertical="center"/>
    </xf>
    <xf numFmtId="0" fontId="86" fillId="0" borderId="0" xfId="0" applyFont="1" applyFill="1" applyAlignment="1">
      <alignment horizontal="center" vertical="center"/>
    </xf>
    <xf numFmtId="1" fontId="91" fillId="0" borderId="1" xfId="0" applyNumberFormat="1" applyFont="1" applyBorder="1" applyAlignment="1">
      <alignment horizontal="center"/>
    </xf>
    <xf numFmtId="1" fontId="91" fillId="12" borderId="1" xfId="5" applyNumberFormat="1" applyFont="1" applyFill="1" applyBorder="1" applyAlignment="1">
      <alignment horizontal="center" vertical="center"/>
    </xf>
    <xf numFmtId="174" fontId="95" fillId="0" borderId="0" xfId="0" applyNumberFormat="1" applyFont="1" applyFill="1" applyAlignment="1">
      <alignment horizontal="center" vertical="center"/>
    </xf>
    <xf numFmtId="171" fontId="90" fillId="0" borderId="0" xfId="0" applyNumberFormat="1" applyFont="1" applyAlignment="1">
      <alignment horizontal="center" vertical="center"/>
    </xf>
    <xf numFmtId="164" fontId="90" fillId="0" borderId="0" xfId="0" applyNumberFormat="1" applyFont="1" applyAlignment="1">
      <alignment horizontal="center" vertical="center"/>
    </xf>
    <xf numFmtId="9" fontId="91" fillId="9" borderId="1" xfId="4" applyNumberFormat="1" applyFont="1" applyFill="1" applyBorder="1" applyAlignment="1">
      <alignment horizontal="center"/>
    </xf>
    <xf numFmtId="164" fontId="72" fillId="12" borderId="1" xfId="5" applyNumberFormat="1" applyFont="1" applyFill="1" applyBorder="1" applyAlignment="1">
      <alignment horizontal="center" vertical="center"/>
    </xf>
    <xf numFmtId="2" fontId="70" fillId="8" borderId="0" xfId="3" applyNumberFormat="1" applyFont="1" applyFill="1" applyBorder="1" applyAlignment="1">
      <alignment horizontal="center"/>
    </xf>
    <xf numFmtId="2" fontId="47" fillId="0" borderId="0" xfId="0" applyNumberFormat="1" applyFont="1" applyBorder="1"/>
    <xf numFmtId="168" fontId="70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5" fillId="12" borderId="1" xfId="0" applyFont="1" applyFill="1" applyBorder="1"/>
    <xf numFmtId="1" fontId="79" fillId="0" borderId="0" xfId="0" applyNumberFormat="1" applyFont="1" applyBorder="1"/>
    <xf numFmtId="1" fontId="65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34" fillId="9" borderId="1" xfId="3" applyNumberFormat="1" applyFont="1" applyFill="1" applyBorder="1" applyAlignment="1">
      <alignment horizontal="center"/>
    </xf>
    <xf numFmtId="170" fontId="105" fillId="9" borderId="1" xfId="3" applyNumberFormat="1" applyFont="1" applyFill="1" applyBorder="1" applyAlignment="1">
      <alignment horizontal="center"/>
    </xf>
    <xf numFmtId="0" fontId="65" fillId="2" borderId="1" xfId="4" applyFont="1" applyFill="1" applyBorder="1" applyAlignment="1">
      <alignment horizontal="center" vertical="center"/>
    </xf>
    <xf numFmtId="164" fontId="72" fillId="2" borderId="1" xfId="5" applyNumberFormat="1" applyFont="1" applyFill="1" applyBorder="1" applyAlignment="1">
      <alignment horizontal="center" vertical="center"/>
    </xf>
    <xf numFmtId="1" fontId="81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6" fillId="0" borderId="1" xfId="0" applyFont="1" applyBorder="1" applyAlignment="1">
      <alignment horizontal="center" wrapText="1"/>
    </xf>
    <xf numFmtId="0" fontId="16" fillId="0" borderId="29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6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0" fillId="2" borderId="1" xfId="0" applyFont="1" applyFill="1" applyBorder="1" applyAlignment="1">
      <alignment horizontal="center"/>
    </xf>
    <xf numFmtId="164" fontId="70" fillId="12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>
      <alignment horizontal="center" vertical="center"/>
    </xf>
    <xf numFmtId="1" fontId="88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1" fillId="2" borderId="1" xfId="3" applyNumberFormat="1" applyFont="1" applyFill="1" applyBorder="1" applyAlignment="1">
      <alignment horizontal="center"/>
    </xf>
    <xf numFmtId="1" fontId="81" fillId="2" borderId="15" xfId="5" applyNumberFormat="1" applyFont="1" applyFill="1" applyBorder="1" applyAlignment="1" applyProtection="1">
      <alignment horizontal="center"/>
    </xf>
    <xf numFmtId="169" fontId="72" fillId="8" borderId="1" xfId="5" applyNumberFormat="1" applyFont="1" applyFill="1" applyBorder="1" applyAlignment="1" applyProtection="1">
      <alignment vertical="center"/>
    </xf>
    <xf numFmtId="1" fontId="65" fillId="22" borderId="1" xfId="5" applyNumberFormat="1" applyFont="1" applyFill="1" applyBorder="1" applyAlignment="1">
      <alignment horizontal="center" vertical="center"/>
    </xf>
    <xf numFmtId="0" fontId="65" fillId="12" borderId="1" xfId="4" applyFont="1" applyFill="1" applyBorder="1" applyAlignment="1">
      <alignment horizontal="center" vertical="center"/>
    </xf>
    <xf numFmtId="0" fontId="65" fillId="10" borderId="1" xfId="4" applyFont="1" applyFill="1" applyBorder="1" applyAlignment="1">
      <alignment horizontal="center"/>
    </xf>
    <xf numFmtId="1" fontId="65" fillId="10" borderId="1" xfId="5" applyNumberFormat="1" applyFont="1" applyFill="1" applyBorder="1" applyAlignment="1">
      <alignment horizontal="center" vertical="center"/>
    </xf>
    <xf numFmtId="1" fontId="65" fillId="17" borderId="1" xfId="5" applyNumberFormat="1" applyFont="1" applyFill="1" applyBorder="1" applyAlignment="1">
      <alignment horizontal="center" vertical="center"/>
    </xf>
    <xf numFmtId="0" fontId="71" fillId="10" borderId="1" xfId="4" applyFont="1" applyFill="1" applyBorder="1" applyAlignment="1">
      <alignment horizontal="center"/>
    </xf>
    <xf numFmtId="0" fontId="71" fillId="22" borderId="1" xfId="4" applyFont="1" applyFill="1" applyBorder="1" applyAlignment="1">
      <alignment horizontal="center"/>
    </xf>
    <xf numFmtId="0" fontId="65" fillId="22" borderId="1" xfId="4" applyFont="1" applyFill="1" applyBorder="1" applyAlignment="1">
      <alignment horizontal="center"/>
    </xf>
    <xf numFmtId="0" fontId="65" fillId="17" borderId="1" xfId="4" applyFont="1" applyFill="1" applyBorder="1" applyAlignment="1">
      <alignment horizontal="center"/>
    </xf>
    <xf numFmtId="0" fontId="58" fillId="2" borderId="1" xfId="3" applyFont="1" applyFill="1" applyBorder="1" applyAlignment="1">
      <alignment horizontal="left" vertical="justify"/>
    </xf>
    <xf numFmtId="0" fontId="65" fillId="12" borderId="1" xfId="3" applyNumberFormat="1" applyFont="1" applyFill="1" applyBorder="1" applyAlignment="1">
      <alignment horizontal="center"/>
    </xf>
    <xf numFmtId="1" fontId="88" fillId="2" borderId="1" xfId="0" applyNumberFormat="1" applyFont="1" applyFill="1" applyBorder="1" applyAlignment="1">
      <alignment horizontal="center" wrapText="1"/>
    </xf>
    <xf numFmtId="1" fontId="88" fillId="12" borderId="1" xfId="0" applyNumberFormat="1" applyFont="1" applyFill="1" applyBorder="1" applyAlignment="1">
      <alignment horizontal="center" wrapText="1"/>
    </xf>
    <xf numFmtId="0" fontId="55" fillId="0" borderId="1" xfId="0" applyFont="1" applyFill="1" applyBorder="1" applyAlignment="1">
      <alignment vertical="center" wrapText="1"/>
    </xf>
    <xf numFmtId="0" fontId="55" fillId="0" borderId="1" xfId="0" applyFont="1" applyFill="1" applyBorder="1"/>
    <xf numFmtId="0" fontId="59" fillId="0" borderId="21" xfId="3" applyFont="1" applyFill="1" applyBorder="1" applyAlignment="1">
      <alignment horizontal="left"/>
    </xf>
    <xf numFmtId="0" fontId="59" fillId="0" borderId="1" xfId="3" applyFont="1" applyFill="1" applyBorder="1" applyAlignment="1">
      <alignment horizontal="left"/>
    </xf>
    <xf numFmtId="2" fontId="65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6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5" fillId="9" borderId="1" xfId="3" applyNumberFormat="1" applyFont="1" applyFill="1" applyBorder="1" applyAlignment="1">
      <alignment horizontal="center"/>
    </xf>
    <xf numFmtId="1" fontId="16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6" fillId="0" borderId="24" xfId="0" applyNumberFormat="1" applyFont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59" fillId="0" borderId="21" xfId="3" applyFont="1" applyFill="1" applyBorder="1" applyAlignment="1">
      <alignment horizontal="left" vertical="center"/>
    </xf>
    <xf numFmtId="0" fontId="58" fillId="0" borderId="1" xfId="3" applyFont="1" applyFill="1" applyBorder="1" applyAlignment="1">
      <alignment horizontal="left" vertical="justify"/>
    </xf>
    <xf numFmtId="1" fontId="48" fillId="0" borderId="0" xfId="5" applyNumberFormat="1" applyFont="1" applyFill="1" applyBorder="1" applyAlignment="1" applyProtection="1">
      <alignment horizontal="center"/>
    </xf>
    <xf numFmtId="0" fontId="47" fillId="0" borderId="0" xfId="0" applyFont="1" applyFill="1" applyBorder="1"/>
    <xf numFmtId="0" fontId="58" fillId="0" borderId="1" xfId="3" applyFont="1" applyFill="1" applyBorder="1" applyAlignment="1">
      <alignment horizontal="left" vertical="center"/>
    </xf>
    <xf numFmtId="1" fontId="65" fillId="0" borderId="1" xfId="3" applyNumberFormat="1" applyFont="1" applyFill="1" applyBorder="1" applyAlignment="1">
      <alignment horizontal="center" vertical="center"/>
    </xf>
    <xf numFmtId="2" fontId="59" fillId="0" borderId="21" xfId="3" applyNumberFormat="1" applyFont="1" applyFill="1" applyBorder="1" applyAlignment="1">
      <alignment horizontal="left" vertical="center"/>
    </xf>
    <xf numFmtId="2" fontId="58" fillId="0" borderId="1" xfId="3" applyNumberFormat="1" applyFont="1" applyFill="1" applyBorder="1" applyAlignment="1">
      <alignment horizontal="left" vertical="center"/>
    </xf>
    <xf numFmtId="0" fontId="48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7" fillId="9" borderId="2" xfId="3" applyFont="1" applyFill="1" applyBorder="1" applyAlignment="1">
      <alignment horizontal="center"/>
    </xf>
    <xf numFmtId="0" fontId="17" fillId="9" borderId="4" xfId="3" applyFont="1" applyFill="1" applyBorder="1" applyAlignment="1">
      <alignment horizontal="center"/>
    </xf>
    <xf numFmtId="0" fontId="91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6" fillId="0" borderId="0" xfId="17" applyFont="1" applyAlignment="1">
      <alignment horizontal="center"/>
    </xf>
    <xf numFmtId="0" fontId="88" fillId="0" borderId="0" xfId="17" applyFont="1" applyAlignment="1">
      <alignment horizontal="center"/>
    </xf>
    <xf numFmtId="1" fontId="88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0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4" fillId="21" borderId="21" xfId="3" applyFont="1" applyFill="1" applyBorder="1" applyAlignment="1">
      <alignment horizontal="left"/>
    </xf>
    <xf numFmtId="0" fontId="66" fillId="21" borderId="1" xfId="3" applyFont="1" applyFill="1" applyBorder="1" applyAlignment="1">
      <alignment horizontal="left"/>
    </xf>
    <xf numFmtId="0" fontId="70" fillId="21" borderId="1" xfId="3" applyFont="1" applyFill="1" applyBorder="1" applyAlignment="1">
      <alignment horizontal="center"/>
    </xf>
    <xf numFmtId="0" fontId="47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59" fillId="0" borderId="1" xfId="4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2" fontId="48" fillId="12" borderId="0" xfId="5" applyNumberFormat="1" applyFont="1" applyFill="1" applyBorder="1" applyAlignment="1" applyProtection="1">
      <alignment horizontal="center"/>
    </xf>
    <xf numFmtId="0" fontId="47" fillId="12" borderId="0" xfId="0" applyFont="1" applyFill="1" applyBorder="1"/>
    <xf numFmtId="0" fontId="59" fillId="15" borderId="15" xfId="3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1" fontId="65" fillId="12" borderId="1" xfId="3" applyNumberFormat="1" applyFont="1" applyFill="1" applyBorder="1" applyAlignment="1">
      <alignment horizontal="center" vertical="center"/>
    </xf>
    <xf numFmtId="0" fontId="97" fillId="12" borderId="1" xfId="4" applyFont="1" applyFill="1" applyBorder="1" applyAlignment="1">
      <alignment horizontal="center" wrapText="1"/>
    </xf>
    <xf numFmtId="1" fontId="65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2" fillId="0" borderId="1" xfId="17" applyNumberFormat="1" applyBorder="1" applyAlignment="1">
      <alignment horizontal="center"/>
    </xf>
    <xf numFmtId="1" fontId="2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59" fillId="2" borderId="1" xfId="3" applyFont="1" applyFill="1" applyBorder="1" applyAlignment="1">
      <alignment horizontal="left"/>
    </xf>
    <xf numFmtId="2" fontId="65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7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7" fillId="12" borderId="1" xfId="4" applyFont="1" applyFill="1" applyBorder="1" applyAlignment="1">
      <alignment horizontal="center"/>
    </xf>
    <xf numFmtId="0" fontId="91" fillId="12" borderId="1" xfId="3" applyFont="1" applyFill="1" applyBorder="1" applyAlignment="1">
      <alignment horizontal="center" vertical="center"/>
    </xf>
    <xf numFmtId="0" fontId="96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6" fillId="0" borderId="0" xfId="19" applyFont="1" applyAlignment="1">
      <alignment horizontal="center"/>
    </xf>
    <xf numFmtId="0" fontId="85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96" fillId="12" borderId="1" xfId="3" applyFont="1" applyFill="1" applyBorder="1" applyAlignment="1">
      <alignment horizontal="center"/>
    </xf>
    <xf numFmtId="1" fontId="81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3" fillId="0" borderId="27" xfId="1" applyFont="1" applyFill="1" applyBorder="1" applyAlignment="1">
      <alignment horizontal="center" vertical="center" wrapText="1"/>
    </xf>
    <xf numFmtId="0" fontId="3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70" fillId="12" borderId="1" xfId="4" applyFont="1" applyFill="1" applyBorder="1" applyAlignment="1">
      <alignment horizontal="center" wrapText="1"/>
    </xf>
    <xf numFmtId="0" fontId="70" fillId="12" borderId="1" xfId="3" applyFont="1" applyFill="1" applyBorder="1" applyAlignment="1">
      <alignment horizontal="center" vertical="center"/>
    </xf>
    <xf numFmtId="0" fontId="65" fillId="12" borderId="1" xfId="4" applyFont="1" applyFill="1" applyBorder="1" applyAlignment="1">
      <alignment horizontal="center" wrapText="1"/>
    </xf>
    <xf numFmtId="0" fontId="70" fillId="12" borderId="1" xfId="3" applyFont="1" applyFill="1" applyBorder="1" applyAlignment="1">
      <alignment horizontal="center"/>
    </xf>
    <xf numFmtId="0" fontId="65" fillId="12" borderId="1" xfId="3" applyFont="1" applyFill="1" applyBorder="1" applyAlignment="1">
      <alignment horizontal="center" vertical="center"/>
    </xf>
    <xf numFmtId="0" fontId="48" fillId="12" borderId="0" xfId="3" applyFont="1" applyFill="1" applyBorder="1" applyAlignment="1">
      <alignment horizontal="center"/>
    </xf>
    <xf numFmtId="0" fontId="73" fillId="0" borderId="1" xfId="0" applyFont="1" applyBorder="1" applyAlignment="1">
      <alignment horizontal="center"/>
    </xf>
    <xf numFmtId="2" fontId="48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175" fontId="59" fillId="9" borderId="1" xfId="3" applyNumberFormat="1" applyFont="1" applyFill="1" applyBorder="1" applyAlignment="1">
      <alignment horizontal="center" vertical="center"/>
    </xf>
    <xf numFmtId="175" fontId="59" fillId="9" borderId="1" xfId="3" applyNumberFormat="1" applyFont="1" applyFill="1" applyBorder="1" applyAlignment="1">
      <alignment horizontal="center"/>
    </xf>
    <xf numFmtId="175" fontId="65" fillId="8" borderId="1" xfId="3" applyNumberFormat="1" applyFont="1" applyFill="1" applyBorder="1" applyAlignment="1">
      <alignment horizontal="center" wrapText="1" shrinkToFit="1"/>
    </xf>
    <xf numFmtId="175" fontId="65" fillId="15" borderId="1" xfId="3" applyNumberFormat="1" applyFont="1" applyFill="1" applyBorder="1" applyAlignment="1">
      <alignment horizontal="center" vertical="center"/>
    </xf>
    <xf numFmtId="175" fontId="65" fillId="2" borderId="1" xfId="5" applyNumberFormat="1" applyFont="1" applyFill="1" applyBorder="1" applyAlignment="1">
      <alignment horizontal="center" vertical="center"/>
    </xf>
    <xf numFmtId="175" fontId="65" fillId="2" borderId="7" xfId="5" applyNumberFormat="1" applyFont="1" applyFill="1" applyBorder="1" applyAlignment="1">
      <alignment horizontal="center" vertical="center"/>
    </xf>
    <xf numFmtId="175" fontId="65" fillId="8" borderId="1" xfId="5" applyNumberFormat="1" applyFont="1" applyFill="1" applyBorder="1" applyAlignment="1">
      <alignment horizontal="center" vertical="center"/>
    </xf>
    <xf numFmtId="175" fontId="70" fillId="15" borderId="1" xfId="3" applyNumberFormat="1" applyFont="1" applyFill="1" applyBorder="1" applyAlignment="1">
      <alignment horizontal="center"/>
    </xf>
    <xf numFmtId="175" fontId="73" fillId="12" borderId="1" xfId="5" applyNumberFormat="1" applyFont="1" applyFill="1" applyBorder="1" applyAlignment="1">
      <alignment horizontal="center" vertical="center"/>
    </xf>
    <xf numFmtId="175" fontId="72" fillId="8" borderId="1" xfId="5" applyNumberFormat="1" applyFont="1" applyFill="1" applyBorder="1" applyAlignment="1">
      <alignment horizontal="center" vertical="center"/>
    </xf>
    <xf numFmtId="175" fontId="70" fillId="15" borderId="1" xfId="3" applyNumberFormat="1" applyFont="1" applyFill="1" applyBorder="1" applyAlignment="1">
      <alignment horizontal="center" vertical="center"/>
    </xf>
    <xf numFmtId="175" fontId="70" fillId="8" borderId="1" xfId="3" applyNumberFormat="1" applyFont="1" applyFill="1" applyBorder="1" applyAlignment="1">
      <alignment horizontal="center"/>
    </xf>
    <xf numFmtId="175" fontId="70" fillId="8" borderId="1" xfId="5" applyNumberFormat="1" applyFont="1" applyFill="1" applyBorder="1" applyAlignment="1" applyProtection="1">
      <alignment horizontal="center" vertical="center"/>
    </xf>
    <xf numFmtId="175" fontId="72" fillId="8" borderId="1" xfId="5" applyNumberFormat="1" applyFont="1" applyFill="1" applyBorder="1" applyAlignment="1" applyProtection="1">
      <alignment horizontal="center" vertical="center"/>
    </xf>
    <xf numFmtId="175" fontId="65" fillId="15" borderId="1" xfId="3" applyNumberFormat="1" applyFont="1" applyFill="1" applyBorder="1" applyAlignment="1">
      <alignment horizontal="center"/>
    </xf>
    <xf numFmtId="175" fontId="65" fillId="15" borderId="1" xfId="3" applyNumberFormat="1" applyFont="1" applyFill="1" applyBorder="1" applyAlignment="1"/>
    <xf numFmtId="175" fontId="65" fillId="2" borderId="1" xfId="4" applyNumberFormat="1" applyFont="1" applyFill="1" applyBorder="1" applyAlignment="1"/>
    <xf numFmtId="175" fontId="65" fillId="8" borderId="1" xfId="3" applyNumberFormat="1" applyFont="1" applyFill="1" applyBorder="1" applyAlignment="1">
      <alignment horizontal="center"/>
    </xf>
    <xf numFmtId="175" fontId="65" fillId="0" borderId="1" xfId="3" applyNumberFormat="1" applyFont="1" applyFill="1" applyBorder="1" applyAlignment="1">
      <alignment horizontal="center"/>
    </xf>
    <xf numFmtId="175" fontId="70" fillId="2" borderId="1" xfId="3" applyNumberFormat="1" applyFont="1" applyFill="1" applyBorder="1" applyAlignment="1">
      <alignment horizontal="center"/>
    </xf>
    <xf numFmtId="175" fontId="65" fillId="10" borderId="24" xfId="5" applyNumberFormat="1" applyFont="1" applyFill="1" applyBorder="1" applyAlignment="1">
      <alignment horizontal="center" vertical="center"/>
    </xf>
    <xf numFmtId="175" fontId="70" fillId="0" borderId="1" xfId="0" applyNumberFormat="1" applyFont="1" applyBorder="1" applyAlignment="1">
      <alignment horizontal="center"/>
    </xf>
    <xf numFmtId="175" fontId="70" fillId="0" borderId="1" xfId="0" applyNumberFormat="1" applyFont="1" applyFill="1" applyBorder="1" applyAlignment="1">
      <alignment horizontal="center"/>
    </xf>
    <xf numFmtId="175" fontId="70" fillId="0" borderId="0" xfId="0" applyNumberFormat="1" applyFont="1" applyBorder="1"/>
    <xf numFmtId="175" fontId="65" fillId="15" borderId="1" xfId="5" applyNumberFormat="1" applyFont="1" applyFill="1" applyBorder="1" applyAlignment="1">
      <alignment horizontal="center"/>
    </xf>
    <xf numFmtId="175" fontId="73" fillId="2" borderId="1" xfId="5" applyNumberFormat="1" applyFont="1" applyFill="1" applyBorder="1" applyAlignment="1">
      <alignment horizontal="center" vertical="center"/>
    </xf>
    <xf numFmtId="175" fontId="65" fillId="0" borderId="1" xfId="5" applyNumberFormat="1" applyFont="1" applyFill="1" applyBorder="1" applyAlignment="1">
      <alignment horizontal="center" vertical="center"/>
    </xf>
    <xf numFmtId="175" fontId="65" fillId="8" borderId="1" xfId="6" applyNumberFormat="1" applyFont="1" applyFill="1" applyBorder="1" applyAlignment="1">
      <alignment horizontal="center"/>
    </xf>
    <xf numFmtId="175" fontId="65" fillId="8" borderId="7" xfId="6" applyNumberFormat="1" applyFont="1" applyFill="1" applyBorder="1" applyAlignment="1">
      <alignment horizontal="center"/>
    </xf>
    <xf numFmtId="175" fontId="75" fillId="0" borderId="0" xfId="0" applyNumberFormat="1" applyFont="1"/>
    <xf numFmtId="175" fontId="70" fillId="0" borderId="0" xfId="0" applyNumberFormat="1" applyFont="1"/>
    <xf numFmtId="0" fontId="48" fillId="0" borderId="0" xfId="3" applyFont="1" applyFill="1" applyBorder="1" applyAlignment="1">
      <alignment horizontal="center" vertic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58" fillId="15" borderId="16" xfId="3" applyFont="1" applyFill="1" applyBorder="1" applyAlignment="1">
      <alignment horizontal="left"/>
    </xf>
    <xf numFmtId="0" fontId="58" fillId="15" borderId="3" xfId="3" applyFont="1" applyFill="1" applyBorder="1" applyAlignment="1">
      <alignment horizontal="left"/>
    </xf>
    <xf numFmtId="0" fontId="58" fillId="15" borderId="4" xfId="3" applyFont="1" applyFill="1" applyBorder="1" applyAlignment="1">
      <alignment horizontal="left"/>
    </xf>
    <xf numFmtId="0" fontId="58" fillId="16" borderId="16" xfId="3" applyFont="1" applyFill="1" applyBorder="1" applyAlignment="1">
      <alignment horizontal="left"/>
    </xf>
    <xf numFmtId="0" fontId="58" fillId="16" borderId="3" xfId="3" applyFont="1" applyFill="1" applyBorder="1" applyAlignment="1">
      <alignment horizontal="left"/>
    </xf>
    <xf numFmtId="0" fontId="58" fillId="16" borderId="4" xfId="3" applyFont="1" applyFill="1" applyBorder="1" applyAlignment="1">
      <alignment horizontal="left"/>
    </xf>
    <xf numFmtId="0" fontId="59" fillId="0" borderId="16" xfId="4" applyFont="1" applyBorder="1" applyAlignment="1">
      <alignment horizontal="left"/>
    </xf>
    <xf numFmtId="0" fontId="59" fillId="0" borderId="3" xfId="4" applyFont="1" applyBorder="1" applyAlignment="1">
      <alignment horizontal="left"/>
    </xf>
    <xf numFmtId="0" fontId="59" fillId="0" borderId="4" xfId="4" applyFont="1" applyBorder="1" applyAlignment="1">
      <alignment horizontal="left"/>
    </xf>
    <xf numFmtId="0" fontId="59" fillId="8" borderId="16" xfId="3" applyFont="1" applyFill="1" applyBorder="1" applyAlignment="1">
      <alignment horizontal="left"/>
    </xf>
    <xf numFmtId="0" fontId="59" fillId="8" borderId="3" xfId="3" applyFont="1" applyFill="1" applyBorder="1" applyAlignment="1">
      <alignment horizontal="left"/>
    </xf>
    <xf numFmtId="0" fontId="59" fillId="8" borderId="4" xfId="3" applyFont="1" applyFill="1" applyBorder="1" applyAlignment="1">
      <alignment horizontal="left"/>
    </xf>
    <xf numFmtId="0" fontId="59" fillId="17" borderId="27" xfId="0" applyFont="1" applyFill="1" applyBorder="1" applyAlignment="1">
      <alignment horizontal="center"/>
    </xf>
    <xf numFmtId="0" fontId="59" fillId="17" borderId="5" xfId="0" applyFont="1" applyFill="1" applyBorder="1" applyAlignment="1">
      <alignment horizontal="center"/>
    </xf>
    <xf numFmtId="0" fontId="67" fillId="0" borderId="16" xfId="0" applyFont="1" applyBorder="1" applyAlignment="1">
      <alignment horizontal="left"/>
    </xf>
    <xf numFmtId="0" fontId="67" fillId="0" borderId="4" xfId="0" applyFont="1" applyBorder="1" applyAlignment="1">
      <alignment horizontal="left"/>
    </xf>
    <xf numFmtId="0" fontId="67" fillId="0" borderId="3" xfId="0" applyFont="1" applyBorder="1" applyAlignment="1">
      <alignment horizontal="left"/>
    </xf>
    <xf numFmtId="0" fontId="67" fillId="18" borderId="16" xfId="0" applyFont="1" applyFill="1" applyBorder="1" applyAlignment="1">
      <alignment horizontal="left"/>
    </xf>
    <xf numFmtId="0" fontId="67" fillId="18" borderId="4" xfId="0" applyFont="1" applyFill="1" applyBorder="1" applyAlignment="1">
      <alignment horizontal="left"/>
    </xf>
    <xf numFmtId="0" fontId="67" fillId="17" borderId="16" xfId="0" applyFont="1" applyFill="1" applyBorder="1" applyAlignment="1">
      <alignment horizontal="left"/>
    </xf>
    <xf numFmtId="0" fontId="67" fillId="17" borderId="4" xfId="0" applyFont="1" applyFill="1" applyBorder="1" applyAlignment="1">
      <alignment horizontal="left"/>
    </xf>
    <xf numFmtId="0" fontId="78" fillId="8" borderId="19" xfId="3" applyFont="1" applyFill="1" applyBorder="1" applyAlignment="1">
      <alignment horizontal="center"/>
    </xf>
    <xf numFmtId="0" fontId="78" fillId="8" borderId="14" xfId="3" applyFont="1" applyFill="1" applyBorder="1" applyAlignment="1">
      <alignment horizontal="center"/>
    </xf>
    <xf numFmtId="0" fontId="78" fillId="8" borderId="20" xfId="3" applyFont="1" applyFill="1" applyBorder="1" applyAlignment="1">
      <alignment horizontal="center"/>
    </xf>
    <xf numFmtId="0" fontId="76" fillId="15" borderId="16" xfId="3" applyFont="1" applyFill="1" applyBorder="1" applyAlignment="1">
      <alignment horizontal="center" vertical="center"/>
    </xf>
    <xf numFmtId="0" fontId="76" fillId="15" borderId="3" xfId="3" applyFont="1" applyFill="1" applyBorder="1" applyAlignment="1">
      <alignment horizontal="center" vertical="center"/>
    </xf>
    <xf numFmtId="0" fontId="76" fillId="15" borderId="4" xfId="3" applyFont="1" applyFill="1" applyBorder="1" applyAlignment="1">
      <alignment horizontal="center" vertical="center"/>
    </xf>
    <xf numFmtId="0" fontId="76" fillId="15" borderId="16" xfId="3" applyFont="1" applyFill="1" applyBorder="1" applyAlignment="1">
      <alignment horizontal="center"/>
    </xf>
    <xf numFmtId="0" fontId="76" fillId="15" borderId="3" xfId="3" applyFont="1" applyFill="1" applyBorder="1" applyAlignment="1">
      <alignment horizontal="center"/>
    </xf>
    <xf numFmtId="0" fontId="76" fillId="15" borderId="4" xfId="3" applyFont="1" applyFill="1" applyBorder="1" applyAlignment="1">
      <alignment horizontal="center"/>
    </xf>
    <xf numFmtId="0" fontId="59" fillId="9" borderId="2" xfId="3" applyFont="1" applyFill="1" applyBorder="1" applyAlignment="1">
      <alignment horizontal="center"/>
    </xf>
    <xf numFmtId="0" fontId="59" fillId="9" borderId="4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48" fillId="2" borderId="16" xfId="3" applyFont="1" applyFill="1" applyBorder="1" applyAlignment="1">
      <alignment horizontal="center" vertical="justify"/>
    </xf>
    <xf numFmtId="0" fontId="48" fillId="2" borderId="3" xfId="3" applyFont="1" applyFill="1" applyBorder="1" applyAlignment="1">
      <alignment horizontal="center" vertical="justify"/>
    </xf>
    <xf numFmtId="0" fontId="48" fillId="2" borderId="28" xfId="3" applyFont="1" applyFill="1" applyBorder="1" applyAlignment="1">
      <alignment horizontal="center" vertical="justify"/>
    </xf>
    <xf numFmtId="0" fontId="59" fillId="2" borderId="16" xfId="4" applyFont="1" applyFill="1" applyBorder="1" applyAlignment="1">
      <alignment horizontal="left"/>
    </xf>
    <xf numFmtId="0" fontId="59" fillId="2" borderId="3" xfId="4" applyFont="1" applyFill="1" applyBorder="1" applyAlignment="1">
      <alignment horizontal="left"/>
    </xf>
    <xf numFmtId="0" fontId="59" fillId="2" borderId="4" xfId="4" applyFont="1" applyFill="1" applyBorder="1" applyAlignment="1">
      <alignment horizontal="left"/>
    </xf>
    <xf numFmtId="0" fontId="59" fillId="8" borderId="26" xfId="3" applyFont="1" applyFill="1" applyBorder="1" applyAlignment="1">
      <alignment horizontal="left"/>
    </xf>
    <xf numFmtId="0" fontId="59" fillId="8" borderId="10" xfId="3" applyFont="1" applyFill="1" applyBorder="1" applyAlignment="1">
      <alignment horizontal="left"/>
    </xf>
    <xf numFmtId="0" fontId="59" fillId="8" borderId="11" xfId="3" applyFont="1" applyFill="1" applyBorder="1" applyAlignment="1">
      <alignment horizontal="left"/>
    </xf>
    <xf numFmtId="0" fontId="58" fillId="15" borderId="16" xfId="3" applyFont="1" applyFill="1" applyBorder="1" applyAlignment="1">
      <alignment horizontal="center"/>
    </xf>
    <xf numFmtId="0" fontId="58" fillId="15" borderId="4" xfId="3" applyFont="1" applyFill="1" applyBorder="1" applyAlignment="1">
      <alignment horizontal="center"/>
    </xf>
    <xf numFmtId="0" fontId="64" fillId="18" borderId="16" xfId="0" applyFont="1" applyFill="1" applyBorder="1" applyAlignment="1">
      <alignment horizontal="left"/>
    </xf>
    <xf numFmtId="0" fontId="64" fillId="18" borderId="4" xfId="0" applyFont="1" applyFill="1" applyBorder="1" applyAlignment="1">
      <alignment horizontal="left"/>
    </xf>
    <xf numFmtId="0" fontId="64" fillId="0" borderId="16" xfId="0" applyFont="1" applyFill="1" applyBorder="1" applyAlignment="1">
      <alignment horizontal="left"/>
    </xf>
    <xf numFmtId="0" fontId="64" fillId="0" borderId="4" xfId="0" applyFont="1" applyFill="1" applyBorder="1" applyAlignment="1">
      <alignment horizontal="left"/>
    </xf>
    <xf numFmtId="0" fontId="64" fillId="0" borderId="16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52" fillId="15" borderId="16" xfId="4" applyFont="1" applyFill="1" applyBorder="1" applyAlignment="1">
      <alignment horizontal="left"/>
    </xf>
    <xf numFmtId="0" fontId="52" fillId="15" borderId="3" xfId="4" applyFont="1" applyFill="1" applyBorder="1" applyAlignment="1">
      <alignment horizontal="left"/>
    </xf>
    <xf numFmtId="0" fontId="52" fillId="15" borderId="28" xfId="4" applyFont="1" applyFill="1" applyBorder="1" applyAlignment="1">
      <alignment horizontal="left"/>
    </xf>
    <xf numFmtId="0" fontId="63" fillId="0" borderId="16" xfId="4" applyFont="1" applyBorder="1" applyAlignment="1">
      <alignment horizontal="left"/>
    </xf>
    <xf numFmtId="0" fontId="63" fillId="0" borderId="3" xfId="4" applyFont="1" applyBorder="1" applyAlignment="1">
      <alignment horizontal="left"/>
    </xf>
    <xf numFmtId="0" fontId="63" fillId="0" borderId="4" xfId="4" applyFont="1" applyBorder="1" applyAlignment="1">
      <alignment horizontal="left"/>
    </xf>
    <xf numFmtId="0" fontId="59" fillId="0" borderId="1" xfId="4" applyFont="1" applyBorder="1" applyAlignment="1">
      <alignment horizontal="left"/>
    </xf>
    <xf numFmtId="0" fontId="104" fillId="0" borderId="2" xfId="0" applyFont="1" applyBorder="1" applyAlignment="1">
      <alignment horizontal="center"/>
    </xf>
    <xf numFmtId="0" fontId="104" fillId="0" borderId="3" xfId="0" applyFont="1" applyBorder="1" applyAlignment="1">
      <alignment horizontal="center"/>
    </xf>
    <xf numFmtId="0" fontId="104" fillId="0" borderId="4" xfId="0" applyFont="1" applyBorder="1" applyAlignment="1">
      <alignment horizontal="center"/>
    </xf>
    <xf numFmtId="0" fontId="64" fillId="8" borderId="16" xfId="3" applyFont="1" applyFill="1" applyBorder="1" applyAlignment="1">
      <alignment horizontal="left"/>
    </xf>
    <xf numFmtId="0" fontId="64" fillId="8" borderId="3" xfId="3" applyFont="1" applyFill="1" applyBorder="1" applyAlignment="1">
      <alignment horizontal="left"/>
    </xf>
    <xf numFmtId="0" fontId="64" fillId="8" borderId="4" xfId="3" applyFont="1" applyFill="1" applyBorder="1" applyAlignment="1">
      <alignment horizontal="left"/>
    </xf>
    <xf numFmtId="0" fontId="64" fillId="17" borderId="16" xfId="0" applyFont="1" applyFill="1" applyBorder="1" applyAlignment="1">
      <alignment horizontal="left"/>
    </xf>
    <xf numFmtId="0" fontId="64" fillId="17" borderId="4" xfId="0" applyFont="1" applyFill="1" applyBorder="1" applyAlignment="1">
      <alignment horizontal="left"/>
    </xf>
    <xf numFmtId="0" fontId="64" fillId="0" borderId="3" xfId="0" applyFont="1" applyBorder="1" applyAlignment="1">
      <alignment horizontal="left"/>
    </xf>
    <xf numFmtId="0" fontId="59" fillId="2" borderId="1" xfId="4" applyFont="1" applyFill="1" applyBorder="1" applyAlignment="1">
      <alignment horizontal="left"/>
    </xf>
    <xf numFmtId="0" fontId="63" fillId="2" borderId="16" xfId="4" applyFont="1" applyFill="1" applyBorder="1" applyAlignment="1">
      <alignment horizontal="left"/>
    </xf>
    <xf numFmtId="0" fontId="63" fillId="2" borderId="3" xfId="4" applyFont="1" applyFill="1" applyBorder="1" applyAlignment="1">
      <alignment horizontal="left"/>
    </xf>
    <xf numFmtId="0" fontId="63" fillId="2" borderId="4" xfId="4" applyFont="1" applyFill="1" applyBorder="1" applyAlignment="1">
      <alignment horizontal="left"/>
    </xf>
    <xf numFmtId="0" fontId="63" fillId="12" borderId="16" xfId="4" applyFont="1" applyFill="1" applyBorder="1" applyAlignment="1">
      <alignment horizontal="left"/>
    </xf>
    <xf numFmtId="0" fontId="63" fillId="12" borderId="3" xfId="4" applyFont="1" applyFill="1" applyBorder="1" applyAlignment="1">
      <alignment horizontal="left"/>
    </xf>
    <xf numFmtId="0" fontId="63" fillId="12" borderId="4" xfId="4" applyFont="1" applyFill="1" applyBorder="1" applyAlignment="1">
      <alignment horizontal="left"/>
    </xf>
    <xf numFmtId="0" fontId="63" fillId="0" borderId="16" xfId="4" applyFont="1" applyFill="1" applyBorder="1" applyAlignment="1">
      <alignment horizontal="left"/>
    </xf>
    <xf numFmtId="0" fontId="63" fillId="0" borderId="3" xfId="4" applyFont="1" applyFill="1" applyBorder="1" applyAlignment="1">
      <alignment horizontal="left"/>
    </xf>
    <xf numFmtId="0" fontId="63" fillId="0" borderId="4" xfId="4" applyFont="1" applyFill="1" applyBorder="1" applyAlignment="1">
      <alignment horizontal="left"/>
    </xf>
    <xf numFmtId="0" fontId="59" fillId="12" borderId="16" xfId="4" applyFont="1" applyFill="1" applyBorder="1" applyAlignment="1">
      <alignment horizontal="left"/>
    </xf>
    <xf numFmtId="0" fontId="59" fillId="12" borderId="3" xfId="4" applyFont="1" applyFill="1" applyBorder="1" applyAlignment="1">
      <alignment horizontal="left"/>
    </xf>
    <xf numFmtId="0" fontId="59" fillId="12" borderId="4" xfId="4" applyFont="1" applyFill="1" applyBorder="1" applyAlignment="1">
      <alignment horizontal="left"/>
    </xf>
    <xf numFmtId="0" fontId="89" fillId="8" borderId="19" xfId="3" applyFont="1" applyFill="1" applyBorder="1" applyAlignment="1">
      <alignment horizontal="center"/>
    </xf>
    <xf numFmtId="0" fontId="89" fillId="8" borderId="14" xfId="3" applyFont="1" applyFill="1" applyBorder="1" applyAlignment="1">
      <alignment horizontal="center"/>
    </xf>
    <xf numFmtId="0" fontId="89" fillId="8" borderId="20" xfId="3" applyFont="1" applyFill="1" applyBorder="1" applyAlignment="1">
      <alignment horizontal="center"/>
    </xf>
    <xf numFmtId="0" fontId="94" fillId="15" borderId="16" xfId="3" applyFont="1" applyFill="1" applyBorder="1" applyAlignment="1">
      <alignment horizontal="center" vertical="center"/>
    </xf>
    <xf numFmtId="0" fontId="94" fillId="15" borderId="3" xfId="3" applyFont="1" applyFill="1" applyBorder="1" applyAlignment="1">
      <alignment horizontal="center" vertical="center"/>
    </xf>
    <xf numFmtId="0" fontId="94" fillId="15" borderId="4" xfId="3" applyFont="1" applyFill="1" applyBorder="1" applyAlignment="1">
      <alignment horizontal="center" vertical="center"/>
    </xf>
    <xf numFmtId="0" fontId="94" fillId="15" borderId="16" xfId="3" applyFont="1" applyFill="1" applyBorder="1" applyAlignment="1">
      <alignment horizontal="center"/>
    </xf>
    <xf numFmtId="0" fontId="94" fillId="15" borderId="3" xfId="3" applyFont="1" applyFill="1" applyBorder="1" applyAlignment="1">
      <alignment horizontal="center"/>
    </xf>
    <xf numFmtId="0" fontId="94" fillId="15" borderId="4" xfId="3" applyFont="1" applyFill="1" applyBorder="1" applyAlignment="1">
      <alignment horizontal="center"/>
    </xf>
    <xf numFmtId="0" fontId="91" fillId="9" borderId="2" xfId="3" applyFont="1" applyFill="1" applyBorder="1" applyAlignment="1">
      <alignment horizontal="center"/>
    </xf>
    <xf numFmtId="0" fontId="91" fillId="9" borderId="4" xfId="3" applyFont="1" applyFill="1" applyBorder="1" applyAlignment="1">
      <alignment horizontal="center"/>
    </xf>
    <xf numFmtId="0" fontId="91" fillId="8" borderId="16" xfId="3" applyFont="1" applyFill="1" applyBorder="1" applyAlignment="1">
      <alignment horizontal="left"/>
    </xf>
    <xf numFmtId="0" fontId="91" fillId="8" borderId="3" xfId="3" applyFont="1" applyFill="1" applyBorder="1" applyAlignment="1">
      <alignment horizontal="left"/>
    </xf>
    <xf numFmtId="0" fontId="91" fillId="8" borderId="4" xfId="3" applyFont="1" applyFill="1" applyBorder="1" applyAlignment="1">
      <alignment horizontal="left"/>
    </xf>
    <xf numFmtId="0" fontId="93" fillId="2" borderId="16" xfId="3" applyFont="1" applyFill="1" applyBorder="1" applyAlignment="1">
      <alignment horizontal="center" vertical="justify"/>
    </xf>
    <xf numFmtId="0" fontId="93" fillId="2" borderId="3" xfId="3" applyFont="1" applyFill="1" applyBorder="1" applyAlignment="1">
      <alignment horizontal="center" vertical="justify"/>
    </xf>
    <xf numFmtId="0" fontId="93" fillId="2" borderId="28" xfId="3" applyFont="1" applyFill="1" applyBorder="1" applyAlignment="1">
      <alignment horizontal="center" vertical="justify"/>
    </xf>
    <xf numFmtId="0" fontId="91" fillId="0" borderId="16" xfId="4" applyFont="1" applyBorder="1" applyAlignment="1">
      <alignment horizontal="left"/>
    </xf>
    <xf numFmtId="0" fontId="91" fillId="0" borderId="3" xfId="4" applyFont="1" applyBorder="1" applyAlignment="1">
      <alignment horizontal="left"/>
    </xf>
    <xf numFmtId="0" fontId="91" fillId="0" borderId="4" xfId="4" applyFont="1" applyBorder="1" applyAlignment="1">
      <alignment horizontal="left"/>
    </xf>
    <xf numFmtId="0" fontId="97" fillId="0" borderId="16" xfId="4" applyFont="1" applyBorder="1" applyAlignment="1">
      <alignment horizontal="left"/>
    </xf>
    <xf numFmtId="0" fontId="97" fillId="0" borderId="3" xfId="4" applyFont="1" applyBorder="1" applyAlignment="1">
      <alignment horizontal="left"/>
    </xf>
    <xf numFmtId="0" fontId="97" fillId="0" borderId="4" xfId="4" applyFont="1" applyBorder="1" applyAlignment="1">
      <alignment horizontal="left"/>
    </xf>
    <xf numFmtId="0" fontId="102" fillId="15" borderId="16" xfId="4" applyFont="1" applyFill="1" applyBorder="1" applyAlignment="1">
      <alignment horizontal="left"/>
    </xf>
    <xf numFmtId="0" fontId="102" fillId="15" borderId="3" xfId="4" applyFont="1" applyFill="1" applyBorder="1" applyAlignment="1">
      <alignment horizontal="left"/>
    </xf>
    <xf numFmtId="0" fontId="102" fillId="15" borderId="28" xfId="4" applyFont="1" applyFill="1" applyBorder="1" applyAlignment="1">
      <alignment horizontal="left"/>
    </xf>
    <xf numFmtId="0" fontId="91" fillId="2" borderId="16" xfId="4" applyFont="1" applyFill="1" applyBorder="1" applyAlignment="1">
      <alignment horizontal="left"/>
    </xf>
    <xf numFmtId="0" fontId="91" fillId="2" borderId="3" xfId="4" applyFont="1" applyFill="1" applyBorder="1" applyAlignment="1">
      <alignment horizontal="left"/>
    </xf>
    <xf numFmtId="0" fontId="91" fillId="2" borderId="4" xfId="4" applyFont="1" applyFill="1" applyBorder="1" applyAlignment="1">
      <alignment horizontal="left"/>
    </xf>
    <xf numFmtId="0" fontId="91" fillId="16" borderId="16" xfId="3" applyFont="1" applyFill="1" applyBorder="1" applyAlignment="1">
      <alignment horizontal="left"/>
    </xf>
    <xf numFmtId="0" fontId="91" fillId="16" borderId="3" xfId="3" applyFont="1" applyFill="1" applyBorder="1" applyAlignment="1">
      <alignment horizontal="left"/>
    </xf>
    <xf numFmtId="0" fontId="91" fillId="16" borderId="4" xfId="3" applyFont="1" applyFill="1" applyBorder="1" applyAlignment="1">
      <alignment horizontal="left"/>
    </xf>
    <xf numFmtId="0" fontId="91" fillId="15" borderId="16" xfId="3" applyFont="1" applyFill="1" applyBorder="1" applyAlignment="1">
      <alignment horizontal="left"/>
    </xf>
    <xf numFmtId="0" fontId="91" fillId="15" borderId="3" xfId="3" applyFont="1" applyFill="1" applyBorder="1" applyAlignment="1">
      <alignment horizontal="left"/>
    </xf>
    <xf numFmtId="0" fontId="91" fillId="15" borderId="4" xfId="3" applyFont="1" applyFill="1" applyBorder="1" applyAlignment="1">
      <alignment horizontal="left"/>
    </xf>
    <xf numFmtId="0" fontId="91" fillId="15" borderId="16" xfId="3" applyFont="1" applyFill="1" applyBorder="1" applyAlignment="1">
      <alignment horizontal="center"/>
    </xf>
    <xf numFmtId="0" fontId="91" fillId="15" borderId="4" xfId="3" applyFont="1" applyFill="1" applyBorder="1" applyAlignment="1">
      <alignment horizontal="center"/>
    </xf>
    <xf numFmtId="0" fontId="91" fillId="8" borderId="26" xfId="3" applyFont="1" applyFill="1" applyBorder="1" applyAlignment="1">
      <alignment horizontal="left"/>
    </xf>
    <xf numFmtId="0" fontId="91" fillId="8" borderId="10" xfId="3" applyFont="1" applyFill="1" applyBorder="1" applyAlignment="1">
      <alignment horizontal="left"/>
    </xf>
    <xf numFmtId="0" fontId="91" fillId="8" borderId="11" xfId="3" applyFont="1" applyFill="1" applyBorder="1" applyAlignment="1">
      <alignment horizontal="left"/>
    </xf>
    <xf numFmtId="0" fontId="91" fillId="17" borderId="27" xfId="0" applyFont="1" applyFill="1" applyBorder="1" applyAlignment="1">
      <alignment horizontal="center"/>
    </xf>
    <xf numFmtId="0" fontId="91" fillId="17" borderId="5" xfId="0" applyFont="1" applyFill="1" applyBorder="1" applyAlignment="1">
      <alignment horizontal="center"/>
    </xf>
    <xf numFmtId="0" fontId="87" fillId="0" borderId="16" xfId="0" applyFont="1" applyBorder="1" applyAlignment="1">
      <alignment horizontal="left"/>
    </xf>
    <xf numFmtId="0" fontId="87" fillId="0" borderId="4" xfId="0" applyFont="1" applyBorder="1" applyAlignment="1">
      <alignment horizontal="left"/>
    </xf>
    <xf numFmtId="0" fontId="87" fillId="0" borderId="3" xfId="0" applyFont="1" applyBorder="1" applyAlignment="1">
      <alignment horizontal="left"/>
    </xf>
    <xf numFmtId="0" fontId="87" fillId="18" borderId="16" xfId="0" applyFont="1" applyFill="1" applyBorder="1" applyAlignment="1">
      <alignment horizontal="left"/>
    </xf>
    <xf numFmtId="0" fontId="87" fillId="18" borderId="4" xfId="0" applyFont="1" applyFill="1" applyBorder="1" applyAlignment="1">
      <alignment horizontal="left"/>
    </xf>
    <xf numFmtId="0" fontId="87" fillId="17" borderId="16" xfId="0" applyFont="1" applyFill="1" applyBorder="1" applyAlignment="1">
      <alignment horizontal="left"/>
    </xf>
    <xf numFmtId="0" fontId="87" fillId="17" borderId="4" xfId="0" applyFont="1" applyFill="1" applyBorder="1" applyAlignment="1">
      <alignment horizontal="left"/>
    </xf>
    <xf numFmtId="0" fontId="96" fillId="18" borderId="16" xfId="0" applyFont="1" applyFill="1" applyBorder="1" applyAlignment="1">
      <alignment horizontal="left"/>
    </xf>
    <xf numFmtId="0" fontId="96" fillId="18" borderId="4" xfId="0" applyFont="1" applyFill="1" applyBorder="1" applyAlignment="1">
      <alignment horizontal="left"/>
    </xf>
    <xf numFmtId="0" fontId="96" fillId="0" borderId="16" xfId="0" applyFont="1" applyFill="1" applyBorder="1" applyAlignment="1">
      <alignment horizontal="left"/>
    </xf>
    <xf numFmtId="0" fontId="96" fillId="0" borderId="4" xfId="0" applyFont="1" applyFill="1" applyBorder="1" applyAlignment="1">
      <alignment horizontal="left"/>
    </xf>
    <xf numFmtId="0" fontId="96" fillId="0" borderId="16" xfId="0" applyFont="1" applyBorder="1" applyAlignment="1">
      <alignment horizontal="left"/>
    </xf>
    <xf numFmtId="0" fontId="96" fillId="0" borderId="4" xfId="0" applyFont="1" applyBorder="1" applyAlignment="1">
      <alignment horizontal="left"/>
    </xf>
    <xf numFmtId="0" fontId="91" fillId="0" borderId="1" xfId="4" applyFont="1" applyBorder="1" applyAlignment="1">
      <alignment horizontal="left"/>
    </xf>
    <xf numFmtId="0" fontId="59" fillId="8" borderId="22" xfId="3" applyFont="1" applyFill="1" applyBorder="1" applyAlignment="1">
      <alignment horizontal="left"/>
    </xf>
    <xf numFmtId="0" fontId="59" fillId="8" borderId="7" xfId="3" applyFont="1" applyFill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6" borderId="21" xfId="3" applyFont="1" applyFill="1" applyBorder="1" applyAlignment="1">
      <alignment horizontal="left"/>
    </xf>
    <xf numFmtId="0" fontId="58" fillId="16" borderId="1" xfId="3" applyFont="1" applyFill="1" applyBorder="1" applyAlignment="1">
      <alignment horizontal="left"/>
    </xf>
    <xf numFmtId="0" fontId="58" fillId="15" borderId="2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21" xfId="3" applyFont="1" applyFill="1" applyBorder="1" applyAlignment="1">
      <alignment horizontal="center"/>
    </xf>
    <xf numFmtId="0" fontId="58" fillId="15" borderId="1" xfId="3" applyFont="1" applyFill="1" applyBorder="1" applyAlignment="1">
      <alignment horizontal="center"/>
    </xf>
    <xf numFmtId="0" fontId="59" fillId="17" borderId="33" xfId="0" applyFont="1" applyFill="1" applyBorder="1" applyAlignment="1">
      <alignment horizontal="center"/>
    </xf>
    <xf numFmtId="0" fontId="59" fillId="17" borderId="0" xfId="0" applyFont="1" applyFill="1" applyBorder="1" applyAlignment="1">
      <alignment horizontal="center"/>
    </xf>
    <xf numFmtId="0" fontId="67" fillId="0" borderId="2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52" fillId="15" borderId="21" xfId="4" applyFont="1" applyFill="1" applyBorder="1" applyAlignment="1">
      <alignment horizontal="left"/>
    </xf>
    <xf numFmtId="0" fontId="52" fillId="15" borderId="1" xfId="4" applyFont="1" applyFill="1" applyBorder="1" applyAlignment="1">
      <alignment horizontal="left"/>
    </xf>
    <xf numFmtId="0" fontId="52" fillId="15" borderId="15" xfId="4" applyFont="1" applyFill="1" applyBorder="1" applyAlignment="1">
      <alignment horizontal="left"/>
    </xf>
    <xf numFmtId="0" fontId="76" fillId="15" borderId="21" xfId="3" applyFont="1" applyFill="1" applyBorder="1" applyAlignment="1">
      <alignment horizontal="center"/>
    </xf>
    <xf numFmtId="0" fontId="76" fillId="15" borderId="1" xfId="3" applyFont="1" applyFill="1" applyBorder="1" applyAlignment="1">
      <alignment horizontal="center"/>
    </xf>
    <xf numFmtId="0" fontId="48" fillId="2" borderId="21" xfId="3" applyFont="1" applyFill="1" applyBorder="1" applyAlignment="1">
      <alignment horizontal="center" vertical="justify"/>
    </xf>
    <xf numFmtId="0" fontId="48" fillId="2" borderId="1" xfId="3" applyFont="1" applyFill="1" applyBorder="1" applyAlignment="1">
      <alignment horizontal="center" vertical="justify"/>
    </xf>
    <xf numFmtId="0" fontId="48" fillId="2" borderId="15" xfId="3" applyFont="1" applyFill="1" applyBorder="1" applyAlignment="1">
      <alignment horizontal="center" vertical="justify"/>
    </xf>
    <xf numFmtId="0" fontId="59" fillId="2" borderId="21" xfId="4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76" fillId="15" borderId="21" xfId="3" applyFont="1" applyFill="1" applyBorder="1" applyAlignment="1">
      <alignment horizontal="center" vertical="center"/>
    </xf>
    <xf numFmtId="0" fontId="76" fillId="15" borderId="1" xfId="3" applyFont="1" applyFill="1" applyBorder="1" applyAlignment="1">
      <alignment horizontal="center" vertical="center"/>
    </xf>
    <xf numFmtId="0" fontId="67" fillId="18" borderId="21" xfId="0" applyFont="1" applyFill="1" applyBorder="1" applyAlignment="1">
      <alignment horizontal="left"/>
    </xf>
    <xf numFmtId="0" fontId="67" fillId="18" borderId="1" xfId="0" applyFont="1" applyFill="1" applyBorder="1" applyAlignment="1">
      <alignment horizontal="left"/>
    </xf>
    <xf numFmtId="0" fontId="67" fillId="17" borderId="21" xfId="0" applyFont="1" applyFill="1" applyBorder="1" applyAlignment="1">
      <alignment horizontal="left"/>
    </xf>
    <xf numFmtId="0" fontId="67" fillId="17" borderId="1" xfId="0" applyFont="1" applyFill="1" applyBorder="1" applyAlignment="1">
      <alignment horizontal="left"/>
    </xf>
    <xf numFmtId="0" fontId="64" fillId="18" borderId="21" xfId="0" applyFont="1" applyFill="1" applyBorder="1" applyAlignment="1">
      <alignment horizontal="left"/>
    </xf>
    <xf numFmtId="0" fontId="64" fillId="18" borderId="1" xfId="0" applyFont="1" applyFill="1" applyBorder="1" applyAlignment="1">
      <alignment horizontal="left"/>
    </xf>
    <xf numFmtId="0" fontId="64" fillId="0" borderId="21" xfId="0" applyFont="1" applyFill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21" xfId="0" applyFont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32" fillId="8" borderId="5" xfId="3" applyFont="1" applyFill="1" applyBorder="1" applyAlignment="1">
      <alignment horizontal="center"/>
    </xf>
    <xf numFmtId="166" fontId="19" fillId="9" borderId="2" xfId="3" applyNumberFormat="1" applyFont="1" applyFill="1" applyBorder="1" applyAlignment="1">
      <alignment horizontal="left"/>
    </xf>
    <xf numFmtId="166" fontId="19" fillId="9" borderId="4" xfId="3" applyNumberFormat="1" applyFont="1" applyFill="1" applyBorder="1" applyAlignment="1">
      <alignment horizontal="left"/>
    </xf>
    <xf numFmtId="0" fontId="18" fillId="2" borderId="2" xfId="3" applyFont="1" applyFill="1" applyBorder="1" applyAlignment="1">
      <alignment horizontal="center" vertical="justify"/>
    </xf>
    <xf numFmtId="0" fontId="18" fillId="2" borderId="3" xfId="3" applyFont="1" applyFill="1" applyBorder="1" applyAlignment="1">
      <alignment horizontal="center" vertical="justify"/>
    </xf>
    <xf numFmtId="0" fontId="18" fillId="2" borderId="4" xfId="3" applyFont="1" applyFill="1" applyBorder="1" applyAlignment="1">
      <alignment horizontal="center" vertical="justify"/>
    </xf>
    <xf numFmtId="0" fontId="18" fillId="11" borderId="2" xfId="3" applyFont="1" applyFill="1" applyBorder="1" applyAlignment="1">
      <alignment horizontal="center"/>
    </xf>
    <xf numFmtId="0" fontId="18" fillId="11" borderId="4" xfId="3" applyFont="1" applyFill="1" applyBorder="1" applyAlignment="1">
      <alignment horizontal="center"/>
    </xf>
    <xf numFmtId="0" fontId="18" fillId="0" borderId="2" xfId="4" applyFont="1" applyBorder="1" applyAlignment="1">
      <alignment horizontal="left"/>
    </xf>
    <xf numFmtId="0" fontId="18" fillId="0" borderId="3" xfId="4" applyFont="1" applyBorder="1" applyAlignment="1">
      <alignment horizontal="left"/>
    </xf>
    <xf numFmtId="0" fontId="18" fillId="0" borderId="4" xfId="4" applyFont="1" applyBorder="1" applyAlignment="1">
      <alignment horizontal="left"/>
    </xf>
    <xf numFmtId="0" fontId="30" fillId="0" borderId="2" xfId="4" applyFont="1" applyBorder="1" applyAlignment="1">
      <alignment horizontal="left"/>
    </xf>
    <xf numFmtId="0" fontId="30" fillId="0" borderId="3" xfId="4" applyFont="1" applyBorder="1" applyAlignment="1">
      <alignment horizontal="left"/>
    </xf>
    <xf numFmtId="0" fontId="30" fillId="0" borderId="4" xfId="4" applyFont="1" applyBorder="1" applyAlignment="1">
      <alignment horizontal="left"/>
    </xf>
    <xf numFmtId="0" fontId="33" fillId="10" borderId="2" xfId="3" applyFont="1" applyFill="1" applyBorder="1" applyAlignment="1">
      <alignment horizontal="center"/>
    </xf>
    <xf numFmtId="0" fontId="33" fillId="10" borderId="3" xfId="3" applyFont="1" applyFill="1" applyBorder="1" applyAlignment="1">
      <alignment horizontal="center"/>
    </xf>
    <xf numFmtId="0" fontId="33" fillId="10" borderId="4" xfId="3" applyFont="1" applyFill="1" applyBorder="1" applyAlignment="1">
      <alignment horizontal="center"/>
    </xf>
    <xf numFmtId="0" fontId="33" fillId="10" borderId="17" xfId="3" applyFont="1" applyFill="1" applyBorder="1" applyAlignment="1">
      <alignment horizontal="center" vertical="center"/>
    </xf>
    <xf numFmtId="0" fontId="33" fillId="10" borderId="14" xfId="3" applyFont="1" applyFill="1" applyBorder="1" applyAlignment="1">
      <alignment horizontal="center" vertical="center"/>
    </xf>
    <xf numFmtId="0" fontId="33" fillId="10" borderId="18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33" fillId="10" borderId="2" xfId="3" applyFont="1" applyFill="1" applyBorder="1" applyAlignment="1">
      <alignment horizontal="center" vertical="center"/>
    </xf>
    <xf numFmtId="0" fontId="33" fillId="10" borderId="3" xfId="3" applyFont="1" applyFill="1" applyBorder="1" applyAlignment="1">
      <alignment horizontal="center" vertical="center"/>
    </xf>
    <xf numFmtId="0" fontId="33" fillId="10" borderId="4" xfId="3" applyFont="1" applyFill="1" applyBorder="1" applyAlignment="1">
      <alignment horizontal="center" vertical="center"/>
    </xf>
    <xf numFmtId="0" fontId="4" fillId="0" borderId="2" xfId="4" applyFont="1" applyBorder="1" applyAlignment="1">
      <alignment horizontal="left"/>
    </xf>
    <xf numFmtId="0" fontId="4" fillId="0" borderId="3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4" fillId="0" borderId="16" xfId="4" applyFont="1" applyBorder="1" applyAlignment="1">
      <alignment horizontal="left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16" borderId="2" xfId="3" applyFont="1" applyFill="1" applyBorder="1" applyAlignment="1">
      <alignment horizontal="left"/>
    </xf>
    <xf numFmtId="0" fontId="35" fillId="16" borderId="3" xfId="3" applyFont="1" applyFill="1" applyBorder="1" applyAlignment="1">
      <alignment horizontal="left"/>
    </xf>
    <xf numFmtId="0" fontId="35" fillId="16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46" fillId="0" borderId="2" xfId="4" applyFont="1" applyBorder="1" applyAlignment="1">
      <alignment horizontal="left"/>
    </xf>
    <xf numFmtId="0" fontId="46" fillId="0" borderId="3" xfId="4" applyFont="1" applyBorder="1" applyAlignment="1">
      <alignment horizontal="left"/>
    </xf>
    <xf numFmtId="0" fontId="46" fillId="0" borderId="4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40" fillId="15" borderId="2" xfId="3" applyFont="1" applyFill="1" applyBorder="1" applyAlignment="1">
      <alignment horizontal="center"/>
    </xf>
    <xf numFmtId="0" fontId="40" fillId="15" borderId="3" xfId="3" applyFont="1" applyFill="1" applyBorder="1" applyAlignment="1">
      <alignment horizontal="center"/>
    </xf>
    <xf numFmtId="0" fontId="40" fillId="15" borderId="4" xfId="3" applyFont="1" applyFill="1" applyBorder="1" applyAlignment="1">
      <alignment horizontal="center"/>
    </xf>
    <xf numFmtId="0" fontId="40" fillId="15" borderId="2" xfId="3" applyFont="1" applyFill="1" applyBorder="1" applyAlignment="1">
      <alignment horizontal="center" vertical="center"/>
    </xf>
    <xf numFmtId="0" fontId="40" fillId="15" borderId="3" xfId="3" applyFont="1" applyFill="1" applyBorder="1" applyAlignment="1">
      <alignment horizontal="center" vertical="center"/>
    </xf>
    <xf numFmtId="0" fontId="40" fillId="15" borderId="4" xfId="3" applyFont="1" applyFill="1" applyBorder="1" applyAlignment="1">
      <alignment horizontal="center" vertical="center"/>
    </xf>
    <xf numFmtId="0" fontId="35" fillId="2" borderId="2" xfId="4" applyFont="1" applyFill="1" applyBorder="1" applyAlignment="1">
      <alignment horizontal="left"/>
    </xf>
    <xf numFmtId="0" fontId="35" fillId="2" borderId="3" xfId="4" applyFont="1" applyFill="1" applyBorder="1" applyAlignment="1">
      <alignment horizontal="left"/>
    </xf>
    <xf numFmtId="0" fontId="35" fillId="2" borderId="4" xfId="4" applyFont="1" applyFill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34" fillId="9" borderId="4" xfId="3" applyFont="1" applyFill="1" applyBorder="1" applyAlignment="1">
      <alignment horizontal="center"/>
    </xf>
    <xf numFmtId="0" fontId="40" fillId="15" borderId="17" xfId="3" applyFont="1" applyFill="1" applyBorder="1" applyAlignment="1">
      <alignment horizontal="center" vertical="center"/>
    </xf>
    <xf numFmtId="0" fontId="40" fillId="15" borderId="14" xfId="3" applyFont="1" applyFill="1" applyBorder="1" applyAlignment="1">
      <alignment horizontal="center" vertical="center"/>
    </xf>
    <xf numFmtId="0" fontId="40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27.43999999999869</c:v>
                </c:pt>
                <c:pt idx="1">
                  <c:v>26.650000000001455</c:v>
                </c:pt>
                <c:pt idx="2">
                  <c:v>23.579999999997654</c:v>
                </c:pt>
                <c:pt idx="3">
                  <c:v>24.190000000002783</c:v>
                </c:pt>
                <c:pt idx="4">
                  <c:v>408.54999999999927</c:v>
                </c:pt>
                <c:pt idx="5">
                  <c:v>25.010000000002037</c:v>
                </c:pt>
                <c:pt idx="6">
                  <c:v>24</c:v>
                </c:pt>
                <c:pt idx="7">
                  <c:v>28.349999999998545</c:v>
                </c:pt>
                <c:pt idx="8">
                  <c:v>24.419999999998254</c:v>
                </c:pt>
                <c:pt idx="9">
                  <c:v>24.010000000002037</c:v>
                </c:pt>
                <c:pt idx="10">
                  <c:v>24.080000000001746</c:v>
                </c:pt>
                <c:pt idx="11">
                  <c:v>24.059999999997672</c:v>
                </c:pt>
                <c:pt idx="12">
                  <c:v>24.080000000001746</c:v>
                </c:pt>
                <c:pt idx="13">
                  <c:v>24.419999999998254</c:v>
                </c:pt>
                <c:pt idx="14">
                  <c:v>24</c:v>
                </c:pt>
                <c:pt idx="15">
                  <c:v>24.229999999999563</c:v>
                </c:pt>
                <c:pt idx="16">
                  <c:v>23.849999999998545</c:v>
                </c:pt>
                <c:pt idx="17">
                  <c:v>23.889999999999418</c:v>
                </c:pt>
                <c:pt idx="18">
                  <c:v>24</c:v>
                </c:pt>
                <c:pt idx="19">
                  <c:v>24.310000000000855</c:v>
                </c:pt>
                <c:pt idx="20">
                  <c:v>24.349999999998545</c:v>
                </c:pt>
                <c:pt idx="21">
                  <c:v>24.230000000003201</c:v>
                </c:pt>
                <c:pt idx="22">
                  <c:v>23.580000000001746</c:v>
                </c:pt>
                <c:pt idx="23">
                  <c:v>23.979999999995925</c:v>
                </c:pt>
                <c:pt idx="24">
                  <c:v>-113049.72999999998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23.919999999998254</c:v>
                </c:pt>
                <c:pt idx="31">
                  <c:v>-112052.54999999999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94408832"/>
        <c:axId val="194410368"/>
      </c:lineChart>
      <c:catAx>
        <c:axId val="1944088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410368"/>
        <c:crosses val="autoZero"/>
        <c:auto val="1"/>
        <c:lblAlgn val="ctr"/>
        <c:lblOffset val="100"/>
      </c:catAx>
      <c:valAx>
        <c:axId val="194410368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94408832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14.140000000010332</c:v>
                </c:pt>
                <c:pt idx="1">
                  <c:v>15.479999999999563</c:v>
                </c:pt>
                <c:pt idx="2">
                  <c:v>13.989999999990687</c:v>
                </c:pt>
                <c:pt idx="3">
                  <c:v>11.270000000004075</c:v>
                </c:pt>
                <c:pt idx="4">
                  <c:v>13.93999999999869</c:v>
                </c:pt>
                <c:pt idx="5">
                  <c:v>14.319999999999709</c:v>
                </c:pt>
                <c:pt idx="6">
                  <c:v>12.919999999998254</c:v>
                </c:pt>
                <c:pt idx="7">
                  <c:v>11.510000000009313</c:v>
                </c:pt>
                <c:pt idx="8">
                  <c:v>11.220000000001164</c:v>
                </c:pt>
                <c:pt idx="9">
                  <c:v>11.349999999991269</c:v>
                </c:pt>
                <c:pt idx="10">
                  <c:v>14.31000000000131</c:v>
                </c:pt>
                <c:pt idx="11">
                  <c:v>11.860000000000582</c:v>
                </c:pt>
                <c:pt idx="12">
                  <c:v>10.809999999997672</c:v>
                </c:pt>
                <c:pt idx="13">
                  <c:v>12.340000000000146</c:v>
                </c:pt>
                <c:pt idx="14">
                  <c:v>12.790000000004511</c:v>
                </c:pt>
                <c:pt idx="15">
                  <c:v>11.769999999993161</c:v>
                </c:pt>
                <c:pt idx="16">
                  <c:v>11.350000000002183</c:v>
                </c:pt>
                <c:pt idx="17">
                  <c:v>11.740000000008877</c:v>
                </c:pt>
                <c:pt idx="18">
                  <c:v>11.379999999993743</c:v>
                </c:pt>
                <c:pt idx="19">
                  <c:v>12.32999999999447</c:v>
                </c:pt>
                <c:pt idx="20">
                  <c:v>11.550000000010186</c:v>
                </c:pt>
                <c:pt idx="21">
                  <c:v>13.779999999987922</c:v>
                </c:pt>
                <c:pt idx="22">
                  <c:v>11.150000000005093</c:v>
                </c:pt>
                <c:pt idx="23">
                  <c:v>8.0600000000013097</c:v>
                </c:pt>
                <c:pt idx="24">
                  <c:v>8.0600000000013097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6.3300000000017462</c:v>
                </c:pt>
                <c:pt idx="31">
                  <c:v>309.75000000000728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94435328"/>
        <c:axId val="194437120"/>
      </c:lineChart>
      <c:catAx>
        <c:axId val="19443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437120"/>
        <c:crosses val="autoZero"/>
        <c:auto val="1"/>
        <c:lblAlgn val="ctr"/>
        <c:lblOffset val="100"/>
      </c:catAx>
      <c:valAx>
        <c:axId val="194437120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43532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025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228</c:v>
                </c:pt>
                <c:pt idx="1">
                  <c:v>192</c:v>
                </c:pt>
                <c:pt idx="2">
                  <c:v>192</c:v>
                </c:pt>
                <c:pt idx="3">
                  <c:v>192</c:v>
                </c:pt>
                <c:pt idx="4">
                  <c:v>191</c:v>
                </c:pt>
                <c:pt idx="5">
                  <c:v>191</c:v>
                </c:pt>
                <c:pt idx="6">
                  <c:v>251</c:v>
                </c:pt>
                <c:pt idx="7">
                  <c:v>193</c:v>
                </c:pt>
                <c:pt idx="8">
                  <c:v>172</c:v>
                </c:pt>
                <c:pt idx="9">
                  <c:v>152</c:v>
                </c:pt>
                <c:pt idx="10">
                  <c:v>171</c:v>
                </c:pt>
                <c:pt idx="11">
                  <c:v>154</c:v>
                </c:pt>
                <c:pt idx="12">
                  <c:v>213</c:v>
                </c:pt>
                <c:pt idx="13">
                  <c:v>232</c:v>
                </c:pt>
                <c:pt idx="14">
                  <c:v>175</c:v>
                </c:pt>
                <c:pt idx="15">
                  <c:v>154</c:v>
                </c:pt>
                <c:pt idx="16">
                  <c:v>173</c:v>
                </c:pt>
                <c:pt idx="17">
                  <c:v>133</c:v>
                </c:pt>
                <c:pt idx="18">
                  <c:v>171</c:v>
                </c:pt>
                <c:pt idx="19">
                  <c:v>152</c:v>
                </c:pt>
                <c:pt idx="20">
                  <c:v>203</c:v>
                </c:pt>
                <c:pt idx="21">
                  <c:v>174</c:v>
                </c:pt>
                <c:pt idx="22">
                  <c:v>152</c:v>
                </c:pt>
                <c:pt idx="23">
                  <c:v>194</c:v>
                </c:pt>
                <c:pt idx="24">
                  <c:v>-135723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184</c:v>
                </c:pt>
                <c:pt idx="31">
                  <c:v>-131134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94282240"/>
        <c:axId val="194283776"/>
      </c:lineChart>
      <c:catAx>
        <c:axId val="19428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283776"/>
        <c:crosses val="autoZero"/>
        <c:auto val="1"/>
        <c:lblAlgn val="ctr"/>
        <c:lblOffset val="100"/>
      </c:catAx>
      <c:valAx>
        <c:axId val="19428377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28224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86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880.63199999998324</c:v>
                </c:pt>
                <c:pt idx="1">
                  <c:v>993.17799999983981</c:v>
                </c:pt>
                <c:pt idx="2">
                  <c:v>830.41000000014901</c:v>
                </c:pt>
                <c:pt idx="3">
                  <c:v>884.16999999992549</c:v>
                </c:pt>
                <c:pt idx="4">
                  <c:v>893.63999999989755</c:v>
                </c:pt>
                <c:pt idx="5">
                  <c:v>944.36000000010245</c:v>
                </c:pt>
                <c:pt idx="6">
                  <c:v>931</c:v>
                </c:pt>
                <c:pt idx="7">
                  <c:v>859.85000000009313</c:v>
                </c:pt>
                <c:pt idx="8">
                  <c:v>779.02000000001863</c:v>
                </c:pt>
                <c:pt idx="9">
                  <c:v>847.12999999988824</c:v>
                </c:pt>
                <c:pt idx="10">
                  <c:v>852</c:v>
                </c:pt>
                <c:pt idx="11">
                  <c:v>804.77000000001863</c:v>
                </c:pt>
                <c:pt idx="12">
                  <c:v>836.22999999998137</c:v>
                </c:pt>
                <c:pt idx="13">
                  <c:v>855</c:v>
                </c:pt>
                <c:pt idx="14">
                  <c:v>827.70900000003166</c:v>
                </c:pt>
                <c:pt idx="15">
                  <c:v>821.11100000003353</c:v>
                </c:pt>
                <c:pt idx="16">
                  <c:v>780.70900000003166</c:v>
                </c:pt>
                <c:pt idx="17">
                  <c:v>810.4749999998603</c:v>
                </c:pt>
                <c:pt idx="18">
                  <c:v>806.65599999995902</c:v>
                </c:pt>
                <c:pt idx="19">
                  <c:v>922.34000000008382</c:v>
                </c:pt>
                <c:pt idx="20">
                  <c:v>979.96999999997206</c:v>
                </c:pt>
                <c:pt idx="21">
                  <c:v>949.80000000004657</c:v>
                </c:pt>
                <c:pt idx="22">
                  <c:v>913.22999999998137</c:v>
                </c:pt>
                <c:pt idx="23">
                  <c:v>296</c:v>
                </c:pt>
                <c:pt idx="24">
                  <c:v>-1640178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827.6500000001397</c:v>
                </c:pt>
                <c:pt idx="31">
                  <c:v>-1619050.96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95565824"/>
        <c:axId val="195575808"/>
      </c:lineChart>
      <c:catAx>
        <c:axId val="19556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575808"/>
        <c:crosses val="autoZero"/>
        <c:auto val="1"/>
        <c:lblAlgn val="ctr"/>
        <c:lblOffset val="100"/>
      </c:catAx>
      <c:valAx>
        <c:axId val="19557580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565824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807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4328.8000000000029</c:v>
                </c:pt>
                <c:pt idx="1">
                  <c:v>4368.929999999993</c:v>
                </c:pt>
                <c:pt idx="2">
                  <c:v>695.16000000000349</c:v>
                </c:pt>
                <c:pt idx="3">
                  <c:v>0</c:v>
                </c:pt>
                <c:pt idx="4">
                  <c:v>100066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3777.9700000000012</c:v>
                </c:pt>
                <c:pt idx="19">
                  <c:v>4253.3999999999942</c:v>
                </c:pt>
                <c:pt idx="20">
                  <c:v>4179.6600000000035</c:v>
                </c:pt>
                <c:pt idx="21">
                  <c:v>4121.1800000000076</c:v>
                </c:pt>
                <c:pt idx="22">
                  <c:v>4120.7899999999936</c:v>
                </c:pt>
                <c:pt idx="23">
                  <c:v>4091</c:v>
                </c:pt>
                <c:pt idx="24">
                  <c:v>-124610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9392.890000000014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3661.2600000000093</c:v>
                </c:pt>
                <c:pt idx="3">
                  <c:v>4163.2299999999814</c:v>
                </c:pt>
                <c:pt idx="4">
                  <c:v>4265</c:v>
                </c:pt>
                <c:pt idx="5">
                  <c:v>4237</c:v>
                </c:pt>
                <c:pt idx="6">
                  <c:v>4230</c:v>
                </c:pt>
                <c:pt idx="7">
                  <c:v>4272</c:v>
                </c:pt>
                <c:pt idx="8">
                  <c:v>4195</c:v>
                </c:pt>
                <c:pt idx="9">
                  <c:v>4185</c:v>
                </c:pt>
                <c:pt idx="10">
                  <c:v>4105</c:v>
                </c:pt>
                <c:pt idx="11">
                  <c:v>4165</c:v>
                </c:pt>
                <c:pt idx="12">
                  <c:v>4243</c:v>
                </c:pt>
                <c:pt idx="13">
                  <c:v>4133</c:v>
                </c:pt>
                <c:pt idx="14">
                  <c:v>4262.210000000021</c:v>
                </c:pt>
                <c:pt idx="15">
                  <c:v>4153.4599999999627</c:v>
                </c:pt>
                <c:pt idx="16">
                  <c:v>4104.4800000000396</c:v>
                </c:pt>
                <c:pt idx="17">
                  <c:v>4365.3999999999651</c:v>
                </c:pt>
                <c:pt idx="18">
                  <c:v>243.55999999999767</c:v>
                </c:pt>
                <c:pt idx="19">
                  <c:v>0</c:v>
                </c:pt>
                <c:pt idx="20">
                  <c:v>205.61999999999534</c:v>
                </c:pt>
                <c:pt idx="21">
                  <c:v>214.21999999997206</c:v>
                </c:pt>
                <c:pt idx="22">
                  <c:v>0</c:v>
                </c:pt>
                <c:pt idx="23">
                  <c:v>-0.46999999997206032</c:v>
                </c:pt>
                <c:pt idx="24">
                  <c:v>-399433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95626112"/>
        <c:axId val="195627648"/>
      </c:lineChart>
      <c:catAx>
        <c:axId val="19562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627648"/>
        <c:crosses val="autoZero"/>
        <c:auto val="1"/>
        <c:lblAlgn val="ctr"/>
        <c:lblOffset val="100"/>
      </c:catAx>
      <c:valAx>
        <c:axId val="195627648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626112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3193.1199999999953</c:v>
                </c:pt>
                <c:pt idx="1">
                  <c:v>3503.7600000000093</c:v>
                </c:pt>
                <c:pt idx="2">
                  <c:v>3426.8800000000047</c:v>
                </c:pt>
                <c:pt idx="3">
                  <c:v>3260.6500000000233</c:v>
                </c:pt>
                <c:pt idx="4">
                  <c:v>3368</c:v>
                </c:pt>
                <c:pt idx="5">
                  <c:v>3484</c:v>
                </c:pt>
                <c:pt idx="6">
                  <c:v>3319</c:v>
                </c:pt>
                <c:pt idx="7">
                  <c:v>3394</c:v>
                </c:pt>
                <c:pt idx="8">
                  <c:v>3381</c:v>
                </c:pt>
                <c:pt idx="9">
                  <c:v>3447</c:v>
                </c:pt>
                <c:pt idx="10">
                  <c:v>3850</c:v>
                </c:pt>
                <c:pt idx="11">
                  <c:v>3783</c:v>
                </c:pt>
                <c:pt idx="12">
                  <c:v>3627</c:v>
                </c:pt>
                <c:pt idx="13">
                  <c:v>3483</c:v>
                </c:pt>
                <c:pt idx="14">
                  <c:v>3462.6300000000047</c:v>
                </c:pt>
                <c:pt idx="15">
                  <c:v>3222.4799999999814</c:v>
                </c:pt>
                <c:pt idx="16">
                  <c:v>3306.640000000014</c:v>
                </c:pt>
                <c:pt idx="17">
                  <c:v>3524.640000000014</c:v>
                </c:pt>
                <c:pt idx="18">
                  <c:v>3067.1999999999534</c:v>
                </c:pt>
                <c:pt idx="19">
                  <c:v>3354</c:v>
                </c:pt>
                <c:pt idx="20">
                  <c:v>3387.0400000000373</c:v>
                </c:pt>
                <c:pt idx="21">
                  <c:v>3337.8399999999674</c:v>
                </c:pt>
                <c:pt idx="22">
                  <c:v>3280.5300000000279</c:v>
                </c:pt>
                <c:pt idx="23">
                  <c:v>3119</c:v>
                </c:pt>
                <c:pt idx="24">
                  <c:v>-774670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-693087.59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95603456"/>
        <c:axId val="195666688"/>
      </c:lineChart>
      <c:catAx>
        <c:axId val="19560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666688"/>
        <c:crosses val="autoZero"/>
        <c:auto val="1"/>
        <c:lblAlgn val="ctr"/>
        <c:lblOffset val="100"/>
      </c:catAx>
      <c:valAx>
        <c:axId val="195666688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6034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0.43519999999999998</c:v>
                </c:pt>
                <c:pt idx="3">
                  <c:v>0.45</c:v>
                </c:pt>
                <c:pt idx="4">
                  <c:v>0.48</c:v>
                </c:pt>
                <c:pt idx="5">
                  <c:v>0.8</c:v>
                </c:pt>
                <c:pt idx="6">
                  <c:v>0.51</c:v>
                </c:pt>
                <c:pt idx="7">
                  <c:v>0.41</c:v>
                </c:pt>
                <c:pt idx="8">
                  <c:v>0.45</c:v>
                </c:pt>
                <c:pt idx="9">
                  <c:v>0.42</c:v>
                </c:pt>
                <c:pt idx="10">
                  <c:v>0.37</c:v>
                </c:pt>
                <c:pt idx="11">
                  <c:v>0.42</c:v>
                </c:pt>
                <c:pt idx="12">
                  <c:v>0.73</c:v>
                </c:pt>
                <c:pt idx="13">
                  <c:v>0.4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0.65</c:v>
                </c:pt>
                <c:pt idx="19">
                  <c:v>0.60219999999999996</c:v>
                </c:pt>
                <c:pt idx="20">
                  <c:v>0.48</c:v>
                </c:pt>
                <c:pt idx="21">
                  <c:v>0.38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1.4813516129032258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95764992"/>
        <c:axId val="195766528"/>
      </c:lineChart>
      <c:catAx>
        <c:axId val="19576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766528"/>
        <c:crosses val="autoZero"/>
        <c:auto val="1"/>
        <c:lblAlgn val="ctr"/>
        <c:lblOffset val="100"/>
      </c:catAx>
      <c:valAx>
        <c:axId val="1957665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9576499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102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102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102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22397</c:v>
                </c:pt>
                <c:pt idx="1">
                  <c:v>22379</c:v>
                </c:pt>
                <c:pt idx="2">
                  <c:v>21109</c:v>
                </c:pt>
                <c:pt idx="3">
                  <c:v>19792</c:v>
                </c:pt>
                <c:pt idx="4">
                  <c:v>20391</c:v>
                </c:pt>
                <c:pt idx="5">
                  <c:v>21871</c:v>
                </c:pt>
                <c:pt idx="6">
                  <c:v>21611</c:v>
                </c:pt>
                <c:pt idx="7">
                  <c:v>22521</c:v>
                </c:pt>
                <c:pt idx="8">
                  <c:v>20912</c:v>
                </c:pt>
                <c:pt idx="9">
                  <c:v>21790</c:v>
                </c:pt>
                <c:pt idx="10">
                  <c:v>21316</c:v>
                </c:pt>
                <c:pt idx="11">
                  <c:v>21182</c:v>
                </c:pt>
                <c:pt idx="12">
                  <c:v>21531</c:v>
                </c:pt>
                <c:pt idx="13">
                  <c:v>20968</c:v>
                </c:pt>
                <c:pt idx="14">
                  <c:v>20985</c:v>
                </c:pt>
                <c:pt idx="15">
                  <c:v>20449</c:v>
                </c:pt>
                <c:pt idx="16">
                  <c:v>20248</c:v>
                </c:pt>
                <c:pt idx="17">
                  <c:v>23409</c:v>
                </c:pt>
                <c:pt idx="18">
                  <c:v>19811</c:v>
                </c:pt>
                <c:pt idx="19">
                  <c:v>21543</c:v>
                </c:pt>
                <c:pt idx="20">
                  <c:v>21518</c:v>
                </c:pt>
                <c:pt idx="21">
                  <c:v>21653</c:v>
                </c:pt>
                <c:pt idx="22">
                  <c:v>20933</c:v>
                </c:pt>
                <c:pt idx="23">
                  <c:v>21281</c:v>
                </c:pt>
                <c:pt idx="24">
                  <c:v>-4956677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19398</c:v>
                </c:pt>
                <c:pt idx="31">
                  <c:v>-4425679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95791488"/>
        <c:axId val="195711360"/>
      </c:lineChart>
      <c:catAx>
        <c:axId val="19579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711360"/>
        <c:crosses val="autoZero"/>
        <c:auto val="1"/>
        <c:lblAlgn val="ctr"/>
        <c:lblOffset val="100"/>
      </c:catAx>
      <c:valAx>
        <c:axId val="19571136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791488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7.2399999999995543</c:v>
                </c:pt>
                <c:pt idx="1">
                  <c:v>8.5300000000004275</c:v>
                </c:pt>
                <c:pt idx="2">
                  <c:v>7.0599999999999454</c:v>
                </c:pt>
                <c:pt idx="3">
                  <c:v>7.0299999999999727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6.6800000000000637</c:v>
                </c:pt>
                <c:pt idx="8">
                  <c:v>7.3199999999999363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6.8999999999996362</c:v>
                </c:pt>
                <c:pt idx="15">
                  <c:v>7.1100000000001273</c:v>
                </c:pt>
                <c:pt idx="16">
                  <c:v>7.9400000000005093</c:v>
                </c:pt>
                <c:pt idx="17">
                  <c:v>8.7999999999992724</c:v>
                </c:pt>
                <c:pt idx="18">
                  <c:v>8.4600000000000364</c:v>
                </c:pt>
                <c:pt idx="19">
                  <c:v>9.160000000000764</c:v>
                </c:pt>
                <c:pt idx="20">
                  <c:v>9.819999999999709</c:v>
                </c:pt>
                <c:pt idx="21">
                  <c:v>9.25</c:v>
                </c:pt>
                <c:pt idx="22">
                  <c:v>9.7399999999997817</c:v>
                </c:pt>
                <c:pt idx="23">
                  <c:v>8.7100000000000364</c:v>
                </c:pt>
                <c:pt idx="24">
                  <c:v>8.7100000000000364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95731456"/>
        <c:axId val="195732992"/>
      </c:lineChart>
      <c:catAx>
        <c:axId val="19573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732992"/>
        <c:crosses val="autoZero"/>
        <c:auto val="1"/>
        <c:lblAlgn val="ctr"/>
        <c:lblOffset val="100"/>
      </c:catAx>
      <c:valAx>
        <c:axId val="19573299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7314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8038E-2"/>
          <c:w val="0.84489954093856878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'Section Load'!$AK$8:$AK$28</c:f>
              <c:numCache>
                <c:formatCode>0</c:formatCode>
                <c:ptCount val="21"/>
                <c:pt idx="0">
                  <c:v>244.95999999996275</c:v>
                </c:pt>
                <c:pt idx="1">
                  <c:v>245</c:v>
                </c:pt>
                <c:pt idx="2">
                  <c:v>264</c:v>
                </c:pt>
                <c:pt idx="3">
                  <c:v>275</c:v>
                </c:pt>
                <c:pt idx="4">
                  <c:v>241</c:v>
                </c:pt>
                <c:pt idx="5">
                  <c:v>253</c:v>
                </c:pt>
                <c:pt idx="6">
                  <c:v>247</c:v>
                </c:pt>
                <c:pt idx="7">
                  <c:v>233</c:v>
                </c:pt>
                <c:pt idx="8">
                  <c:v>245</c:v>
                </c:pt>
                <c:pt idx="9">
                  <c:v>246</c:v>
                </c:pt>
                <c:pt idx="10">
                  <c:v>245</c:v>
                </c:pt>
                <c:pt idx="11">
                  <c:v>248.96999999997206</c:v>
                </c:pt>
                <c:pt idx="12">
                  <c:v>235.94000000006054</c:v>
                </c:pt>
                <c:pt idx="13">
                  <c:v>236.09999999997672</c:v>
                </c:pt>
                <c:pt idx="14">
                  <c:v>261.28000000002794</c:v>
                </c:pt>
                <c:pt idx="15">
                  <c:v>244.43999999994412</c:v>
                </c:pt>
                <c:pt idx="16">
                  <c:v>267.73999999999069</c:v>
                </c:pt>
                <c:pt idx="17">
                  <c:v>300.25</c:v>
                </c:pt>
                <c:pt idx="18">
                  <c:v>281.96000000007916</c:v>
                </c:pt>
                <c:pt idx="19">
                  <c:v>273.31999999994878</c:v>
                </c:pt>
                <c:pt idx="20">
                  <c:v>101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'Section Load'!$AP$8:$AP$28</c:f>
              <c:numCache>
                <c:formatCode>0</c:formatCode>
                <c:ptCount val="21"/>
                <c:pt idx="0">
                  <c:v>536.95999999995001</c:v>
                </c:pt>
                <c:pt idx="1">
                  <c:v>564.63999999989755</c:v>
                </c:pt>
                <c:pt idx="2">
                  <c:v>574.36000000010245</c:v>
                </c:pt>
                <c:pt idx="3">
                  <c:v>542</c:v>
                </c:pt>
                <c:pt idx="4">
                  <c:v>538.45000000009895</c:v>
                </c:pt>
                <c:pt idx="5">
                  <c:v>396.02000000001863</c:v>
                </c:pt>
                <c:pt idx="6">
                  <c:v>470.52999999988242</c:v>
                </c:pt>
                <c:pt idx="7">
                  <c:v>531</c:v>
                </c:pt>
                <c:pt idx="8">
                  <c:v>476.77000000001863</c:v>
                </c:pt>
                <c:pt idx="9">
                  <c:v>495.82999999998719</c:v>
                </c:pt>
                <c:pt idx="10">
                  <c:v>611.99000000000888</c:v>
                </c:pt>
                <c:pt idx="11">
                  <c:v>500.16900000004534</c:v>
                </c:pt>
                <c:pt idx="12">
                  <c:v>518.17099999998572</c:v>
                </c:pt>
                <c:pt idx="13">
                  <c:v>451.05900000005204</c:v>
                </c:pt>
                <c:pt idx="14">
                  <c:v>458.24499999981526</c:v>
                </c:pt>
                <c:pt idx="15">
                  <c:v>471.0660000000189</c:v>
                </c:pt>
                <c:pt idx="16">
                  <c:v>549.02000000008411</c:v>
                </c:pt>
                <c:pt idx="17">
                  <c:v>574.13999999997759</c:v>
                </c:pt>
                <c:pt idx="18">
                  <c:v>584.44999999996617</c:v>
                </c:pt>
                <c:pt idx="19">
                  <c:v>537.09000000004016</c:v>
                </c:pt>
                <c:pt idx="20">
                  <c:v>168.42000000001281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Load'!$AM$8:$AM$28</c:f>
              <c:numCache>
                <c:formatCode>0</c:formatCode>
                <c:ptCount val="21"/>
                <c:pt idx="0">
                  <c:v>71.350000000005821</c:v>
                </c:pt>
                <c:pt idx="1">
                  <c:v>61</c:v>
                </c:pt>
                <c:pt idx="2">
                  <c:v>71</c:v>
                </c:pt>
                <c:pt idx="3">
                  <c:v>72</c:v>
                </c:pt>
                <c:pt idx="4">
                  <c:v>63</c:v>
                </c:pt>
                <c:pt idx="5">
                  <c:v>43</c:v>
                </c:pt>
                <c:pt idx="6">
                  <c:v>76</c:v>
                </c:pt>
                <c:pt idx="7">
                  <c:v>68</c:v>
                </c:pt>
                <c:pt idx="8">
                  <c:v>60</c:v>
                </c:pt>
                <c:pt idx="9">
                  <c:v>63</c:v>
                </c:pt>
                <c:pt idx="10">
                  <c:v>61.209999999991851</c:v>
                </c:pt>
                <c:pt idx="11">
                  <c:v>61.670000000012806</c:v>
                </c:pt>
                <c:pt idx="12">
                  <c:v>50.299999999988358</c:v>
                </c:pt>
                <c:pt idx="13">
                  <c:v>72.25</c:v>
                </c:pt>
                <c:pt idx="14">
                  <c:v>73.050000000017462</c:v>
                </c:pt>
                <c:pt idx="15">
                  <c:v>75.649999999994179</c:v>
                </c:pt>
                <c:pt idx="16">
                  <c:v>76.880000000004657</c:v>
                </c:pt>
                <c:pt idx="17">
                  <c:v>73.279999999998836</c:v>
                </c:pt>
                <c:pt idx="18">
                  <c:v>65.190000000002328</c:v>
                </c:pt>
                <c:pt idx="19">
                  <c:v>78.519999999989523</c:v>
                </c:pt>
                <c:pt idx="20">
                  <c:v>23.579999999987194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96103168"/>
        <c:axId val="196121344"/>
      </c:lineChart>
      <c:catAx>
        <c:axId val="19610316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96121344"/>
        <c:crosses val="autoZero"/>
        <c:auto val="1"/>
        <c:lblAlgn val="ctr"/>
        <c:lblOffset val="100"/>
      </c:catAx>
      <c:valAx>
        <c:axId val="196121344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9610316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588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85</c:v>
                </c:pt>
                <c:pt idx="2">
                  <c:v>76</c:v>
                </c:pt>
                <c:pt idx="3">
                  <c:v>98</c:v>
                </c:pt>
                <c:pt idx="4">
                  <c:v>0</c:v>
                </c:pt>
                <c:pt idx="5">
                  <c:v>120</c:v>
                </c:pt>
                <c:pt idx="6">
                  <c:v>119</c:v>
                </c:pt>
                <c:pt idx="7">
                  <c:v>72</c:v>
                </c:pt>
                <c:pt idx="8">
                  <c:v>91</c:v>
                </c:pt>
                <c:pt idx="9">
                  <c:v>68</c:v>
                </c:pt>
                <c:pt idx="10">
                  <c:v>79</c:v>
                </c:pt>
                <c:pt idx="11">
                  <c:v>71</c:v>
                </c:pt>
                <c:pt idx="12">
                  <c:v>105</c:v>
                </c:pt>
                <c:pt idx="13">
                  <c:v>74</c:v>
                </c:pt>
                <c:pt idx="14">
                  <c:v>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97188224"/>
        <c:axId val="197591424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97592960"/>
        <c:axId val="197594496"/>
      </c:lineChart>
      <c:catAx>
        <c:axId val="19718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591424"/>
        <c:crosses val="autoZero"/>
        <c:auto val="1"/>
        <c:lblAlgn val="ctr"/>
        <c:lblOffset val="100"/>
      </c:catAx>
      <c:valAx>
        <c:axId val="19759142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88224"/>
        <c:crosses val="autoZero"/>
        <c:crossBetween val="between"/>
        <c:minorUnit val="50"/>
      </c:valAx>
      <c:catAx>
        <c:axId val="197592960"/>
        <c:scaling>
          <c:orientation val="minMax"/>
        </c:scaling>
        <c:delete val="1"/>
        <c:axPos val="b"/>
        <c:tickLblPos val="none"/>
        <c:crossAx val="197594496"/>
        <c:crosses val="autoZero"/>
        <c:auto val="1"/>
        <c:lblAlgn val="ctr"/>
        <c:lblOffset val="100"/>
      </c:catAx>
      <c:valAx>
        <c:axId val="19759449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592960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97614976"/>
        <c:axId val="197629056"/>
      </c:lineChart>
      <c:catAx>
        <c:axId val="19761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629056"/>
        <c:crosses val="autoZero"/>
        <c:auto val="1"/>
        <c:lblAlgn val="ctr"/>
        <c:lblOffset val="100"/>
      </c:catAx>
      <c:valAx>
        <c:axId val="19762905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61497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98727168"/>
        <c:axId val="198728704"/>
      </c:lineChart>
      <c:catAx>
        <c:axId val="19872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728704"/>
        <c:crosses val="autoZero"/>
        <c:auto val="1"/>
        <c:lblAlgn val="ctr"/>
        <c:lblOffset val="100"/>
      </c:catAx>
      <c:valAx>
        <c:axId val="198728704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72716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911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70</c:v>
                </c:pt>
                <c:pt idx="1">
                  <c:v>73</c:v>
                </c:pt>
                <c:pt idx="2">
                  <c:v>90</c:v>
                </c:pt>
                <c:pt idx="3">
                  <c:v>98</c:v>
                </c:pt>
                <c:pt idx="4">
                  <c:v>0</c:v>
                </c:pt>
                <c:pt idx="5">
                  <c:v>75</c:v>
                </c:pt>
                <c:pt idx="6">
                  <c:v>72</c:v>
                </c:pt>
                <c:pt idx="7">
                  <c:v>106</c:v>
                </c:pt>
                <c:pt idx="8">
                  <c:v>100</c:v>
                </c:pt>
                <c:pt idx="9">
                  <c:v>87</c:v>
                </c:pt>
                <c:pt idx="10">
                  <c:v>95</c:v>
                </c:pt>
                <c:pt idx="11">
                  <c:v>87</c:v>
                </c:pt>
                <c:pt idx="12">
                  <c:v>90</c:v>
                </c:pt>
                <c:pt idx="13">
                  <c:v>90</c:v>
                </c:pt>
                <c:pt idx="14">
                  <c:v>104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98759168"/>
        <c:axId val="19876070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98651904"/>
        <c:axId val="198653440"/>
      </c:lineChart>
      <c:catAx>
        <c:axId val="19875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760704"/>
        <c:crosses val="autoZero"/>
        <c:auto val="1"/>
        <c:lblAlgn val="ctr"/>
        <c:lblOffset val="100"/>
      </c:catAx>
      <c:valAx>
        <c:axId val="19876070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759168"/>
        <c:crosses val="autoZero"/>
        <c:crossBetween val="between"/>
      </c:valAx>
      <c:catAx>
        <c:axId val="198651904"/>
        <c:scaling>
          <c:orientation val="minMax"/>
        </c:scaling>
        <c:delete val="1"/>
        <c:axPos val="b"/>
        <c:tickLblPos val="none"/>
        <c:crossAx val="198653440"/>
        <c:crosses val="autoZero"/>
        <c:auto val="1"/>
        <c:lblAlgn val="ctr"/>
        <c:lblOffset val="100"/>
      </c:catAx>
      <c:valAx>
        <c:axId val="19865344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6519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672.90099999999802</c:v>
                </c:pt>
                <c:pt idx="1">
                  <c:v>691.51900000000751</c:v>
                </c:pt>
                <c:pt idx="2">
                  <c:v>646.76000000000931</c:v>
                </c:pt>
                <c:pt idx="3">
                  <c:v>681.20999999998457</c:v>
                </c:pt>
                <c:pt idx="4">
                  <c:v>0</c:v>
                </c:pt>
                <c:pt idx="5">
                  <c:v>667</c:v>
                </c:pt>
                <c:pt idx="6">
                  <c:v>653</c:v>
                </c:pt>
                <c:pt idx="7">
                  <c:v>674</c:v>
                </c:pt>
                <c:pt idx="8">
                  <c:v>669</c:v>
                </c:pt>
                <c:pt idx="9">
                  <c:v>655</c:v>
                </c:pt>
                <c:pt idx="10">
                  <c:v>632</c:v>
                </c:pt>
                <c:pt idx="11">
                  <c:v>661</c:v>
                </c:pt>
                <c:pt idx="12">
                  <c:v>683</c:v>
                </c:pt>
                <c:pt idx="13">
                  <c:v>663</c:v>
                </c:pt>
                <c:pt idx="14">
                  <c:v>653.56999999999243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98696320"/>
        <c:axId val="198771840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98773376"/>
        <c:axId val="198779264"/>
      </c:lineChart>
      <c:catAx>
        <c:axId val="19869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771840"/>
        <c:crosses val="autoZero"/>
        <c:auto val="1"/>
        <c:lblAlgn val="ctr"/>
        <c:lblOffset val="100"/>
      </c:catAx>
      <c:valAx>
        <c:axId val="198771840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696320"/>
        <c:crosses val="autoZero"/>
        <c:crossBetween val="between"/>
        <c:majorUnit val="2"/>
      </c:valAx>
      <c:catAx>
        <c:axId val="198773376"/>
        <c:scaling>
          <c:orientation val="minMax"/>
        </c:scaling>
        <c:delete val="1"/>
        <c:axPos val="b"/>
        <c:tickLblPos val="none"/>
        <c:crossAx val="198779264"/>
        <c:crosses val="autoZero"/>
        <c:auto val="1"/>
        <c:lblAlgn val="ctr"/>
        <c:lblOffset val="100"/>
      </c:catAx>
      <c:valAx>
        <c:axId val="19877926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77337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246529</xdr:colOff>
      <xdr:row>45</xdr:row>
      <xdr:rowOff>67235</xdr:rowOff>
    </xdr:from>
    <xdr:to>
      <xdr:col>38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ownloads/FS%20Mumbai_HEP_Daily_feb%20202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FS%20Mumbai_HEP_Daily_Mar%20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H35">
            <v>0</v>
          </cell>
        </row>
        <row r="92">
          <cell r="G92">
            <v>87</v>
          </cell>
        </row>
        <row r="93">
          <cell r="G93">
            <v>200</v>
          </cell>
        </row>
        <row r="95">
          <cell r="G95">
            <v>72</v>
          </cell>
        </row>
        <row r="96">
          <cell r="G96">
            <v>23</v>
          </cell>
        </row>
        <row r="97">
          <cell r="G97">
            <v>18</v>
          </cell>
        </row>
        <row r="98">
          <cell r="G98">
            <v>83</v>
          </cell>
        </row>
        <row r="99">
          <cell r="G99">
            <v>13</v>
          </cell>
        </row>
        <row r="100">
          <cell r="G100">
            <v>6</v>
          </cell>
        </row>
        <row r="104">
          <cell r="G104">
            <v>0</v>
          </cell>
        </row>
        <row r="105">
          <cell r="G105">
            <v>8</v>
          </cell>
        </row>
        <row r="106">
          <cell r="G106">
            <v>7</v>
          </cell>
        </row>
        <row r="109">
          <cell r="G109">
            <v>41</v>
          </cell>
        </row>
        <row r="110">
          <cell r="G110">
            <v>79</v>
          </cell>
        </row>
        <row r="111">
          <cell r="G111">
            <v>0</v>
          </cell>
        </row>
        <row r="114">
          <cell r="G114">
            <v>16</v>
          </cell>
        </row>
        <row r="115">
          <cell r="G115">
            <v>5</v>
          </cell>
        </row>
        <row r="116">
          <cell r="G116">
            <v>0</v>
          </cell>
        </row>
        <row r="118">
          <cell r="G118">
            <v>138</v>
          </cell>
        </row>
        <row r="119">
          <cell r="G119">
            <v>132</v>
          </cell>
        </row>
        <row r="120">
          <cell r="G120">
            <v>120</v>
          </cell>
        </row>
      </sheetData>
      <sheetData sheetId="7">
        <row r="35">
          <cell r="H35">
            <v>0</v>
          </cell>
        </row>
        <row r="92">
          <cell r="G92">
            <v>75</v>
          </cell>
        </row>
        <row r="93">
          <cell r="G93">
            <v>151</v>
          </cell>
        </row>
        <row r="95">
          <cell r="G95">
            <v>70</v>
          </cell>
        </row>
        <row r="96">
          <cell r="G96">
            <v>30</v>
          </cell>
        </row>
        <row r="97">
          <cell r="G97">
            <v>16</v>
          </cell>
        </row>
        <row r="98">
          <cell r="G98">
            <v>67</v>
          </cell>
        </row>
        <row r="99">
          <cell r="G99">
            <v>8</v>
          </cell>
        </row>
        <row r="100">
          <cell r="G100">
            <v>5</v>
          </cell>
        </row>
        <row r="104">
          <cell r="G104">
            <v>0</v>
          </cell>
        </row>
        <row r="105">
          <cell r="G105">
            <v>8</v>
          </cell>
        </row>
        <row r="106">
          <cell r="G106">
            <v>5</v>
          </cell>
        </row>
        <row r="109">
          <cell r="G109">
            <v>61</v>
          </cell>
        </row>
        <row r="110">
          <cell r="G110">
            <v>39</v>
          </cell>
        </row>
        <row r="111">
          <cell r="G111">
            <v>16</v>
          </cell>
        </row>
        <row r="114">
          <cell r="G114">
            <v>11</v>
          </cell>
        </row>
        <row r="115">
          <cell r="G115">
            <v>3</v>
          </cell>
        </row>
        <row r="116">
          <cell r="G116">
            <v>0</v>
          </cell>
        </row>
        <row r="118">
          <cell r="G118">
            <v>126</v>
          </cell>
        </row>
        <row r="119">
          <cell r="G119">
            <v>129</v>
          </cell>
        </row>
        <row r="120">
          <cell r="G120">
            <v>116</v>
          </cell>
        </row>
      </sheetData>
      <sheetData sheetId="8">
        <row r="35">
          <cell r="H35">
            <v>2568.3299999999581</v>
          </cell>
        </row>
        <row r="92">
          <cell r="G92">
            <v>88</v>
          </cell>
        </row>
        <row r="93">
          <cell r="G93">
            <v>150</v>
          </cell>
        </row>
        <row r="95">
          <cell r="G95">
            <v>64</v>
          </cell>
        </row>
        <row r="96">
          <cell r="G96">
            <v>36</v>
          </cell>
        </row>
        <row r="97">
          <cell r="G97">
            <v>31</v>
          </cell>
        </row>
        <row r="98">
          <cell r="G98">
            <v>72</v>
          </cell>
        </row>
        <row r="99">
          <cell r="G99">
            <v>10</v>
          </cell>
        </row>
        <row r="100">
          <cell r="G100">
            <v>5</v>
          </cell>
        </row>
        <row r="104">
          <cell r="G104">
            <v>0</v>
          </cell>
        </row>
        <row r="105">
          <cell r="G105">
            <v>6</v>
          </cell>
        </row>
        <row r="106">
          <cell r="G106">
            <v>5</v>
          </cell>
        </row>
        <row r="109">
          <cell r="G109">
            <v>58</v>
          </cell>
        </row>
        <row r="110">
          <cell r="G110">
            <v>93</v>
          </cell>
        </row>
        <row r="111">
          <cell r="G111">
            <v>0</v>
          </cell>
        </row>
        <row r="114">
          <cell r="G114">
            <v>12</v>
          </cell>
        </row>
        <row r="115">
          <cell r="G115">
            <v>6</v>
          </cell>
        </row>
        <row r="116">
          <cell r="G116">
            <v>0</v>
          </cell>
        </row>
        <row r="118">
          <cell r="G118">
            <v>139</v>
          </cell>
        </row>
        <row r="119">
          <cell r="G119">
            <v>146</v>
          </cell>
        </row>
        <row r="120">
          <cell r="G120">
            <v>151</v>
          </cell>
        </row>
      </sheetData>
      <sheetData sheetId="9">
        <row r="35">
          <cell r="H35">
            <v>5175.3299999999581</v>
          </cell>
        </row>
        <row r="92">
          <cell r="G92">
            <v>102</v>
          </cell>
        </row>
        <row r="93">
          <cell r="G93">
            <v>140</v>
          </cell>
        </row>
        <row r="95">
          <cell r="G95">
            <v>78</v>
          </cell>
        </row>
        <row r="96">
          <cell r="G96">
            <v>35</v>
          </cell>
        </row>
        <row r="97">
          <cell r="G97">
            <v>45</v>
          </cell>
        </row>
        <row r="98">
          <cell r="G98">
            <v>67</v>
          </cell>
        </row>
        <row r="99">
          <cell r="G99">
            <v>10</v>
          </cell>
        </row>
        <row r="100">
          <cell r="G100">
            <v>7</v>
          </cell>
        </row>
        <row r="104">
          <cell r="G104">
            <v>0</v>
          </cell>
        </row>
        <row r="105">
          <cell r="G105">
            <v>6</v>
          </cell>
        </row>
        <row r="106">
          <cell r="G106">
            <v>6</v>
          </cell>
        </row>
        <row r="109">
          <cell r="G109">
            <v>55</v>
          </cell>
        </row>
        <row r="110">
          <cell r="G110">
            <v>47</v>
          </cell>
        </row>
        <row r="111">
          <cell r="G111">
            <v>14</v>
          </cell>
        </row>
        <row r="114">
          <cell r="G114">
            <v>14</v>
          </cell>
        </row>
        <row r="115">
          <cell r="G115">
            <v>7</v>
          </cell>
        </row>
        <row r="116">
          <cell r="G116">
            <v>0</v>
          </cell>
        </row>
        <row r="118">
          <cell r="G118">
            <v>152</v>
          </cell>
        </row>
        <row r="119">
          <cell r="G119">
            <v>175</v>
          </cell>
        </row>
        <row r="120">
          <cell r="G120">
            <v>116</v>
          </cell>
        </row>
      </sheetData>
      <sheetData sheetId="10">
        <row r="35">
          <cell r="H35">
            <v>5175.3299999999581</v>
          </cell>
        </row>
        <row r="92">
          <cell r="G92">
            <v>110</v>
          </cell>
        </row>
        <row r="93">
          <cell r="G93">
            <v>182</v>
          </cell>
        </row>
        <row r="95">
          <cell r="G95">
            <v>55</v>
          </cell>
        </row>
        <row r="96">
          <cell r="G96">
            <v>23</v>
          </cell>
        </row>
        <row r="97">
          <cell r="G97">
            <v>40</v>
          </cell>
        </row>
        <row r="98">
          <cell r="G98">
            <v>40</v>
          </cell>
        </row>
        <row r="99">
          <cell r="G99">
            <v>7</v>
          </cell>
        </row>
        <row r="100">
          <cell r="G100">
            <v>6</v>
          </cell>
        </row>
        <row r="104">
          <cell r="G104">
            <v>0</v>
          </cell>
        </row>
        <row r="105">
          <cell r="G105">
            <v>14</v>
          </cell>
        </row>
        <row r="106">
          <cell r="G106">
            <v>9</v>
          </cell>
        </row>
        <row r="109">
          <cell r="G109">
            <v>115</v>
          </cell>
        </row>
        <row r="110">
          <cell r="G110">
            <v>79</v>
          </cell>
        </row>
        <row r="111">
          <cell r="G111">
            <v>0</v>
          </cell>
        </row>
        <row r="114">
          <cell r="G114">
            <v>21</v>
          </cell>
        </row>
        <row r="115">
          <cell r="G115">
            <v>11</v>
          </cell>
        </row>
        <row r="116">
          <cell r="G116">
            <v>0</v>
          </cell>
        </row>
        <row r="118">
          <cell r="G118">
            <v>151</v>
          </cell>
        </row>
        <row r="119">
          <cell r="G119">
            <v>131</v>
          </cell>
        </row>
        <row r="120">
          <cell r="G120">
            <v>194</v>
          </cell>
        </row>
      </sheetData>
      <sheetData sheetId="11">
        <row r="35">
          <cell r="H35">
            <v>5175.3299999999581</v>
          </cell>
        </row>
        <row r="92">
          <cell r="G92">
            <v>89</v>
          </cell>
        </row>
        <row r="93">
          <cell r="G93">
            <v>101</v>
          </cell>
        </row>
        <row r="95">
          <cell r="G95">
            <v>61</v>
          </cell>
        </row>
        <row r="96">
          <cell r="G96">
            <v>34</v>
          </cell>
        </row>
        <row r="97">
          <cell r="G97">
            <v>31</v>
          </cell>
        </row>
        <row r="98">
          <cell r="G98">
            <v>72</v>
          </cell>
        </row>
        <row r="99">
          <cell r="G99">
            <v>9</v>
          </cell>
        </row>
        <row r="100">
          <cell r="G100">
            <v>9</v>
          </cell>
        </row>
        <row r="104">
          <cell r="G104">
            <v>0</v>
          </cell>
        </row>
        <row r="105">
          <cell r="G105">
            <v>6</v>
          </cell>
        </row>
        <row r="106">
          <cell r="G106">
            <v>6</v>
          </cell>
        </row>
        <row r="109">
          <cell r="G109">
            <v>40</v>
          </cell>
        </row>
        <row r="110">
          <cell r="G110">
            <v>45</v>
          </cell>
        </row>
        <row r="111">
          <cell r="G111">
            <v>32</v>
          </cell>
        </row>
        <row r="114">
          <cell r="G114">
            <v>11</v>
          </cell>
        </row>
        <row r="115">
          <cell r="G115">
            <v>6</v>
          </cell>
        </row>
        <row r="116">
          <cell r="G116">
            <v>0</v>
          </cell>
        </row>
        <row r="118">
          <cell r="G118">
            <v>140</v>
          </cell>
        </row>
        <row r="119">
          <cell r="G119">
            <v>144</v>
          </cell>
        </row>
        <row r="120">
          <cell r="G120">
            <v>117</v>
          </cell>
        </row>
      </sheetData>
      <sheetData sheetId="12">
        <row r="35">
          <cell r="H35">
            <v>5175.3299999999581</v>
          </cell>
        </row>
        <row r="92">
          <cell r="G92">
            <v>104</v>
          </cell>
        </row>
        <row r="93">
          <cell r="G93">
            <v>207</v>
          </cell>
        </row>
        <row r="95">
          <cell r="G95">
            <v>57</v>
          </cell>
        </row>
        <row r="96">
          <cell r="G96">
            <v>43</v>
          </cell>
        </row>
        <row r="97">
          <cell r="G97">
            <v>23</v>
          </cell>
        </row>
        <row r="98">
          <cell r="G98">
            <v>58</v>
          </cell>
        </row>
        <row r="99">
          <cell r="G99">
            <v>14</v>
          </cell>
        </row>
        <row r="100">
          <cell r="G100">
            <v>8</v>
          </cell>
        </row>
        <row r="104">
          <cell r="G104">
            <v>0</v>
          </cell>
        </row>
        <row r="105">
          <cell r="G105">
            <v>6</v>
          </cell>
        </row>
        <row r="106">
          <cell r="G106">
            <v>4</v>
          </cell>
        </row>
        <row r="109">
          <cell r="G109">
            <v>39</v>
          </cell>
        </row>
        <row r="110">
          <cell r="G110">
            <v>101</v>
          </cell>
        </row>
        <row r="111">
          <cell r="G111">
            <v>0</v>
          </cell>
        </row>
        <row r="114">
          <cell r="G114">
            <v>16</v>
          </cell>
        </row>
        <row r="115">
          <cell r="G115">
            <v>7</v>
          </cell>
        </row>
        <row r="116">
          <cell r="G116">
            <v>0</v>
          </cell>
        </row>
        <row r="118">
          <cell r="G118">
            <v>156</v>
          </cell>
        </row>
        <row r="119">
          <cell r="G119">
            <v>145</v>
          </cell>
        </row>
        <row r="120">
          <cell r="G120">
            <v>140</v>
          </cell>
        </row>
      </sheetData>
      <sheetData sheetId="13">
        <row r="35">
          <cell r="H35">
            <v>6726.2399999999907</v>
          </cell>
        </row>
        <row r="92">
          <cell r="G92">
            <v>95</v>
          </cell>
        </row>
        <row r="93">
          <cell r="G93">
            <v>207</v>
          </cell>
        </row>
        <row r="95">
          <cell r="G95">
            <v>71</v>
          </cell>
        </row>
        <row r="96">
          <cell r="G96">
            <v>51</v>
          </cell>
        </row>
        <row r="97">
          <cell r="G97">
            <v>20</v>
          </cell>
        </row>
        <row r="98">
          <cell r="G98">
            <v>78</v>
          </cell>
        </row>
        <row r="99">
          <cell r="G99">
            <v>12</v>
          </cell>
        </row>
        <row r="100">
          <cell r="G100">
            <v>8</v>
          </cell>
        </row>
        <row r="104">
          <cell r="G104">
            <v>0</v>
          </cell>
        </row>
        <row r="105">
          <cell r="G105">
            <v>9</v>
          </cell>
        </row>
        <row r="106">
          <cell r="G106">
            <v>5</v>
          </cell>
        </row>
        <row r="109">
          <cell r="G109">
            <v>74</v>
          </cell>
        </row>
        <row r="110">
          <cell r="G110">
            <v>43</v>
          </cell>
        </row>
        <row r="111">
          <cell r="G111">
            <v>0</v>
          </cell>
        </row>
        <row r="114">
          <cell r="G114">
            <v>16</v>
          </cell>
        </row>
        <row r="115">
          <cell r="G115">
            <v>7</v>
          </cell>
        </row>
        <row r="116">
          <cell r="G116">
            <v>0</v>
          </cell>
        </row>
        <row r="118">
          <cell r="G118">
            <v>146</v>
          </cell>
        </row>
        <row r="119">
          <cell r="G119">
            <v>162</v>
          </cell>
        </row>
        <row r="120">
          <cell r="G120">
            <v>117</v>
          </cell>
        </row>
      </sheetData>
      <sheetData sheetId="14">
        <row r="35">
          <cell r="H35">
            <v>9240.1599999999162</v>
          </cell>
        </row>
        <row r="92">
          <cell r="G92">
            <v>104</v>
          </cell>
        </row>
        <row r="93">
          <cell r="G93">
            <v>106</v>
          </cell>
        </row>
        <row r="95">
          <cell r="G95">
            <v>62</v>
          </cell>
        </row>
        <row r="96">
          <cell r="G96">
            <v>40</v>
          </cell>
        </row>
        <row r="97">
          <cell r="G97">
            <v>29</v>
          </cell>
        </row>
        <row r="98">
          <cell r="G98">
            <v>67</v>
          </cell>
        </row>
        <row r="99">
          <cell r="G99">
            <v>13</v>
          </cell>
        </row>
        <row r="100">
          <cell r="G100">
            <v>9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4</v>
          </cell>
        </row>
        <row r="109">
          <cell r="G109">
            <v>53</v>
          </cell>
        </row>
        <row r="110">
          <cell r="G110">
            <v>63</v>
          </cell>
        </row>
        <row r="111">
          <cell r="G111">
            <v>37</v>
          </cell>
        </row>
        <row r="114">
          <cell r="G114">
            <v>15</v>
          </cell>
        </row>
        <row r="115">
          <cell r="G115">
            <v>7</v>
          </cell>
        </row>
        <row r="116">
          <cell r="G116">
            <v>0</v>
          </cell>
        </row>
        <row r="118">
          <cell r="G118">
            <v>156</v>
          </cell>
        </row>
        <row r="119">
          <cell r="G119">
            <v>153</v>
          </cell>
        </row>
        <row r="120">
          <cell r="G120">
            <v>153</v>
          </cell>
        </row>
      </sheetData>
      <sheetData sheetId="15">
        <row r="35">
          <cell r="H35">
            <v>11901.329999999958</v>
          </cell>
        </row>
        <row r="92">
          <cell r="G92">
            <v>137</v>
          </cell>
        </row>
        <row r="93">
          <cell r="G93">
            <v>155</v>
          </cell>
        </row>
        <row r="95">
          <cell r="G95">
            <v>77</v>
          </cell>
        </row>
        <row r="96">
          <cell r="G96">
            <v>40</v>
          </cell>
        </row>
        <row r="97">
          <cell r="G97">
            <v>46</v>
          </cell>
        </row>
        <row r="98">
          <cell r="G98">
            <v>80</v>
          </cell>
        </row>
        <row r="99">
          <cell r="G99">
            <v>12</v>
          </cell>
        </row>
        <row r="100">
          <cell r="G100">
            <v>12</v>
          </cell>
        </row>
        <row r="104">
          <cell r="G104">
            <v>0</v>
          </cell>
        </row>
        <row r="105">
          <cell r="G105">
            <v>12</v>
          </cell>
        </row>
        <row r="106">
          <cell r="G106">
            <v>3</v>
          </cell>
        </row>
        <row r="109">
          <cell r="G109">
            <v>61</v>
          </cell>
        </row>
        <row r="110">
          <cell r="G110">
            <v>64</v>
          </cell>
        </row>
        <row r="111">
          <cell r="G111">
            <v>6</v>
          </cell>
        </row>
        <row r="114">
          <cell r="G114">
            <v>14</v>
          </cell>
        </row>
        <row r="115">
          <cell r="G115">
            <v>13</v>
          </cell>
        </row>
        <row r="116">
          <cell r="G116">
            <v>0</v>
          </cell>
        </row>
        <row r="118">
          <cell r="G118">
            <v>187</v>
          </cell>
        </row>
        <row r="119">
          <cell r="G119">
            <v>187</v>
          </cell>
        </row>
        <row r="120">
          <cell r="G120">
            <v>131</v>
          </cell>
        </row>
      </sheetData>
      <sheetData sheetId="16">
        <row r="35">
          <cell r="H35">
            <v>14259.329999999958</v>
          </cell>
        </row>
        <row r="92">
          <cell r="G92">
            <v>101</v>
          </cell>
        </row>
        <row r="93">
          <cell r="G93">
            <v>134</v>
          </cell>
        </row>
        <row r="95">
          <cell r="G95">
            <v>71</v>
          </cell>
        </row>
        <row r="96">
          <cell r="G96">
            <v>49</v>
          </cell>
        </row>
        <row r="97">
          <cell r="G97">
            <v>23</v>
          </cell>
        </row>
        <row r="98">
          <cell r="G98">
            <v>75</v>
          </cell>
        </row>
        <row r="99">
          <cell r="G99">
            <v>10</v>
          </cell>
        </row>
        <row r="100">
          <cell r="G100">
            <v>9</v>
          </cell>
        </row>
        <row r="104">
          <cell r="G104">
            <v>0</v>
          </cell>
        </row>
        <row r="105">
          <cell r="G105">
            <v>7</v>
          </cell>
        </row>
        <row r="106">
          <cell r="G106">
            <v>6</v>
          </cell>
        </row>
        <row r="109">
          <cell r="G109">
            <v>105</v>
          </cell>
        </row>
        <row r="110">
          <cell r="G110">
            <v>99</v>
          </cell>
        </row>
        <row r="111">
          <cell r="G111">
            <v>12</v>
          </cell>
        </row>
        <row r="114">
          <cell r="G114">
            <v>12</v>
          </cell>
        </row>
        <row r="115">
          <cell r="G115">
            <v>3</v>
          </cell>
        </row>
        <row r="116">
          <cell r="G116">
            <v>0</v>
          </cell>
        </row>
        <row r="118">
          <cell r="G118">
            <v>152</v>
          </cell>
        </row>
        <row r="119">
          <cell r="G119">
            <v>162</v>
          </cell>
        </row>
        <row r="120">
          <cell r="G120">
            <v>216</v>
          </cell>
        </row>
      </sheetData>
      <sheetData sheetId="17">
        <row r="35">
          <cell r="H35">
            <v>16666.279999999912</v>
          </cell>
        </row>
        <row r="92">
          <cell r="G92">
            <v>129</v>
          </cell>
        </row>
        <row r="93">
          <cell r="G93">
            <v>117</v>
          </cell>
        </row>
        <row r="95">
          <cell r="G95">
            <v>86</v>
          </cell>
        </row>
        <row r="96">
          <cell r="G96">
            <v>38</v>
          </cell>
        </row>
        <row r="97">
          <cell r="G97">
            <v>27</v>
          </cell>
        </row>
        <row r="98">
          <cell r="G98">
            <v>83</v>
          </cell>
        </row>
        <row r="99">
          <cell r="G99">
            <v>10</v>
          </cell>
        </row>
        <row r="100">
          <cell r="G100">
            <v>7</v>
          </cell>
        </row>
        <row r="104">
          <cell r="G104">
            <v>0</v>
          </cell>
        </row>
        <row r="105">
          <cell r="G105">
            <v>9</v>
          </cell>
        </row>
        <row r="106">
          <cell r="G106">
            <v>12</v>
          </cell>
        </row>
        <row r="109">
          <cell r="G109">
            <v>64</v>
          </cell>
        </row>
        <row r="110">
          <cell r="G110">
            <v>59</v>
          </cell>
        </row>
        <row r="111">
          <cell r="G111">
            <v>0</v>
          </cell>
        </row>
        <row r="114">
          <cell r="G114">
            <v>14</v>
          </cell>
        </row>
        <row r="115">
          <cell r="G115">
            <v>8</v>
          </cell>
        </row>
        <row r="116">
          <cell r="G116">
            <v>0</v>
          </cell>
        </row>
        <row r="118">
          <cell r="G118">
            <v>180</v>
          </cell>
        </row>
        <row r="119">
          <cell r="G119">
            <v>168</v>
          </cell>
        </row>
        <row r="120">
          <cell r="G120">
            <v>123</v>
          </cell>
        </row>
      </sheetData>
      <sheetData sheetId="18">
        <row r="35">
          <cell r="H35">
            <v>19370</v>
          </cell>
        </row>
        <row r="92">
          <cell r="G92">
            <v>149</v>
          </cell>
        </row>
        <row r="93">
          <cell r="G93">
            <v>249</v>
          </cell>
        </row>
        <row r="95">
          <cell r="G95">
            <v>88</v>
          </cell>
        </row>
        <row r="96">
          <cell r="G96">
            <v>43</v>
          </cell>
        </row>
        <row r="97">
          <cell r="G97">
            <v>46</v>
          </cell>
        </row>
        <row r="98">
          <cell r="G98">
            <v>63</v>
          </cell>
        </row>
        <row r="99">
          <cell r="G99">
            <v>16</v>
          </cell>
        </row>
        <row r="100">
          <cell r="G100">
            <v>14</v>
          </cell>
        </row>
        <row r="104">
          <cell r="G104">
            <v>0</v>
          </cell>
        </row>
        <row r="105">
          <cell r="G105">
            <v>11</v>
          </cell>
        </row>
        <row r="106">
          <cell r="G106">
            <v>6</v>
          </cell>
        </row>
        <row r="109">
          <cell r="G109">
            <v>60</v>
          </cell>
        </row>
        <row r="110">
          <cell r="G110">
            <v>86</v>
          </cell>
        </row>
        <row r="111">
          <cell r="G111">
            <v>13</v>
          </cell>
        </row>
        <row r="114">
          <cell r="G114">
            <v>20</v>
          </cell>
        </row>
        <row r="115">
          <cell r="G115">
            <v>6</v>
          </cell>
        </row>
        <row r="116">
          <cell r="G116">
            <v>0</v>
          </cell>
        </row>
        <row r="118">
          <cell r="G118">
            <v>201</v>
          </cell>
        </row>
        <row r="119">
          <cell r="G119">
            <v>207</v>
          </cell>
        </row>
        <row r="120">
          <cell r="G120">
            <v>159</v>
          </cell>
        </row>
      </sheetData>
      <sheetData sheetId="19">
        <row r="35">
          <cell r="H35">
            <v>22338.199999999953</v>
          </cell>
        </row>
        <row r="92">
          <cell r="G92">
            <v>166</v>
          </cell>
        </row>
        <row r="93">
          <cell r="G93">
            <v>174</v>
          </cell>
        </row>
        <row r="95">
          <cell r="G95">
            <v>121</v>
          </cell>
        </row>
        <row r="96">
          <cell r="G96">
            <v>47</v>
          </cell>
        </row>
        <row r="97">
          <cell r="G97">
            <v>46</v>
          </cell>
        </row>
        <row r="98">
          <cell r="G98">
            <v>71</v>
          </cell>
        </row>
        <row r="99">
          <cell r="G99">
            <v>19</v>
          </cell>
        </row>
        <row r="100">
          <cell r="G100">
            <v>24</v>
          </cell>
        </row>
        <row r="104">
          <cell r="G104">
            <v>87</v>
          </cell>
        </row>
        <row r="105">
          <cell r="G105">
            <v>11</v>
          </cell>
        </row>
        <row r="106">
          <cell r="G106">
            <v>5</v>
          </cell>
        </row>
        <row r="109">
          <cell r="G109">
            <v>60</v>
          </cell>
        </row>
        <row r="110">
          <cell r="G110">
            <v>42</v>
          </cell>
        </row>
        <row r="111">
          <cell r="G111">
            <v>0</v>
          </cell>
        </row>
        <row r="114">
          <cell r="G114">
            <v>22</v>
          </cell>
        </row>
        <row r="115">
          <cell r="G115">
            <v>20</v>
          </cell>
        </row>
        <row r="116">
          <cell r="G116">
            <v>0</v>
          </cell>
        </row>
        <row r="118">
          <cell r="G118">
            <v>217</v>
          </cell>
        </row>
        <row r="119">
          <cell r="G119">
            <v>257</v>
          </cell>
        </row>
        <row r="120">
          <cell r="G120">
            <v>102</v>
          </cell>
        </row>
      </sheetData>
      <sheetData sheetId="20">
        <row r="35">
          <cell r="H35">
            <v>25257.959999999963</v>
          </cell>
        </row>
        <row r="92">
          <cell r="G92">
            <v>192</v>
          </cell>
        </row>
        <row r="93">
          <cell r="G93">
            <v>194</v>
          </cell>
        </row>
        <row r="95">
          <cell r="G95">
            <v>131</v>
          </cell>
        </row>
        <row r="96">
          <cell r="G96">
            <v>25</v>
          </cell>
        </row>
        <row r="97">
          <cell r="G97">
            <v>35</v>
          </cell>
        </row>
        <row r="98">
          <cell r="G98">
            <v>76</v>
          </cell>
        </row>
        <row r="99">
          <cell r="G99">
            <v>30</v>
          </cell>
        </row>
        <row r="100">
          <cell r="G100">
            <v>23</v>
          </cell>
        </row>
        <row r="104">
          <cell r="G104">
            <v>0</v>
          </cell>
        </row>
        <row r="105">
          <cell r="G105">
            <v>17</v>
          </cell>
        </row>
        <row r="106">
          <cell r="G106">
            <v>11</v>
          </cell>
        </row>
        <row r="109">
          <cell r="G109">
            <v>83</v>
          </cell>
        </row>
        <row r="110">
          <cell r="G110">
            <v>86</v>
          </cell>
        </row>
        <row r="111">
          <cell r="G111">
            <v>13</v>
          </cell>
        </row>
        <row r="114">
          <cell r="G114">
            <v>35</v>
          </cell>
        </row>
        <row r="115">
          <cell r="G115">
            <v>13</v>
          </cell>
        </row>
        <row r="116">
          <cell r="G116">
            <v>0</v>
          </cell>
        </row>
        <row r="118">
          <cell r="G118">
            <v>244</v>
          </cell>
        </row>
        <row r="119">
          <cell r="G119">
            <v>244</v>
          </cell>
        </row>
        <row r="120">
          <cell r="G120">
            <v>182</v>
          </cell>
        </row>
      </sheetData>
      <sheetData sheetId="21">
        <row r="35">
          <cell r="H35">
            <v>28296.479999999981</v>
          </cell>
        </row>
        <row r="92">
          <cell r="G92">
            <v>132</v>
          </cell>
        </row>
        <row r="93">
          <cell r="G93">
            <v>154</v>
          </cell>
        </row>
        <row r="95">
          <cell r="G95">
            <v>97</v>
          </cell>
        </row>
        <row r="96">
          <cell r="G96">
            <v>18</v>
          </cell>
        </row>
        <row r="97">
          <cell r="G97">
            <v>24</v>
          </cell>
        </row>
        <row r="98">
          <cell r="G98">
            <v>56</v>
          </cell>
        </row>
        <row r="99">
          <cell r="G99">
            <v>17</v>
          </cell>
        </row>
        <row r="100">
          <cell r="G100">
            <v>6</v>
          </cell>
        </row>
        <row r="104">
          <cell r="G104">
            <v>0</v>
          </cell>
        </row>
        <row r="105">
          <cell r="G105">
            <v>12</v>
          </cell>
        </row>
        <row r="106">
          <cell r="G106">
            <v>6</v>
          </cell>
        </row>
        <row r="109">
          <cell r="G109">
            <v>60</v>
          </cell>
        </row>
        <row r="110">
          <cell r="G110">
            <v>58</v>
          </cell>
        </row>
        <row r="111">
          <cell r="G111">
            <v>0</v>
          </cell>
        </row>
        <row r="114">
          <cell r="G114">
            <v>21</v>
          </cell>
        </row>
        <row r="115">
          <cell r="G115">
            <v>13</v>
          </cell>
        </row>
        <row r="116">
          <cell r="G116">
            <v>0</v>
          </cell>
        </row>
        <row r="118">
          <cell r="G118">
            <v>182</v>
          </cell>
        </row>
        <row r="119">
          <cell r="G119">
            <v>162</v>
          </cell>
        </row>
        <row r="120">
          <cell r="G120">
            <v>118</v>
          </cell>
        </row>
      </sheetData>
      <sheetData sheetId="22">
        <row r="35">
          <cell r="H35">
            <v>31008.119999999995</v>
          </cell>
        </row>
        <row r="92">
          <cell r="G92">
            <v>84</v>
          </cell>
        </row>
        <row r="93">
          <cell r="G93">
            <v>134</v>
          </cell>
        </row>
        <row r="95">
          <cell r="G95">
            <v>72</v>
          </cell>
        </row>
        <row r="96">
          <cell r="G96">
            <v>15</v>
          </cell>
        </row>
        <row r="97">
          <cell r="G97">
            <v>20</v>
          </cell>
        </row>
        <row r="98">
          <cell r="G98">
            <v>35</v>
          </cell>
        </row>
        <row r="99">
          <cell r="G99">
            <v>14</v>
          </cell>
        </row>
        <row r="100">
          <cell r="G100">
            <v>6</v>
          </cell>
        </row>
        <row r="104">
          <cell r="G104">
            <v>0</v>
          </cell>
        </row>
        <row r="105">
          <cell r="G105">
            <v>9</v>
          </cell>
        </row>
        <row r="106">
          <cell r="G106">
            <v>5</v>
          </cell>
        </row>
        <row r="109">
          <cell r="G109">
            <v>40</v>
          </cell>
        </row>
        <row r="110">
          <cell r="G110">
            <v>37</v>
          </cell>
        </row>
        <row r="111">
          <cell r="G111">
            <v>22</v>
          </cell>
        </row>
        <row r="114">
          <cell r="G114">
            <v>17</v>
          </cell>
        </row>
        <row r="115">
          <cell r="G115">
            <v>6</v>
          </cell>
        </row>
        <row r="116">
          <cell r="G116">
            <v>0</v>
          </cell>
        </row>
        <row r="118">
          <cell r="G118">
            <v>135</v>
          </cell>
        </row>
        <row r="119">
          <cell r="G119">
            <v>127</v>
          </cell>
        </row>
        <row r="120">
          <cell r="G120">
            <v>99</v>
          </cell>
        </row>
      </sheetData>
      <sheetData sheetId="23">
        <row r="35">
          <cell r="H35">
            <v>33748.279999999912</v>
          </cell>
        </row>
        <row r="92">
          <cell r="G92">
            <v>81</v>
          </cell>
        </row>
        <row r="93">
          <cell r="G93">
            <v>137</v>
          </cell>
        </row>
        <row r="95">
          <cell r="G95">
            <v>74</v>
          </cell>
        </row>
        <row r="96">
          <cell r="G96">
            <v>16</v>
          </cell>
        </row>
        <row r="97">
          <cell r="G97">
            <v>17</v>
          </cell>
        </row>
        <row r="98">
          <cell r="G98">
            <v>78</v>
          </cell>
        </row>
        <row r="99">
          <cell r="G99">
            <v>22</v>
          </cell>
        </row>
        <row r="100">
          <cell r="G100">
            <v>5</v>
          </cell>
        </row>
        <row r="104">
          <cell r="G104">
            <v>0</v>
          </cell>
        </row>
        <row r="105">
          <cell r="G105">
            <v>8</v>
          </cell>
        </row>
        <row r="106">
          <cell r="G106">
            <v>10</v>
          </cell>
        </row>
        <row r="109">
          <cell r="G109">
            <v>60</v>
          </cell>
        </row>
        <row r="110">
          <cell r="G110">
            <v>92</v>
          </cell>
        </row>
        <row r="111">
          <cell r="G111">
            <v>7</v>
          </cell>
        </row>
        <row r="114">
          <cell r="G114">
            <v>25</v>
          </cell>
        </row>
        <row r="115">
          <cell r="G115">
            <v>5</v>
          </cell>
        </row>
        <row r="116">
          <cell r="G116">
            <v>0</v>
          </cell>
        </row>
        <row r="118">
          <cell r="G118">
            <v>128</v>
          </cell>
        </row>
        <row r="119">
          <cell r="G119">
            <v>134</v>
          </cell>
        </row>
        <row r="120">
          <cell r="G120">
            <v>159</v>
          </cell>
        </row>
      </sheetData>
      <sheetData sheetId="24">
        <row r="35">
          <cell r="H35">
            <v>36429.329999999958</v>
          </cell>
        </row>
        <row r="92">
          <cell r="G92">
            <v>95</v>
          </cell>
        </row>
        <row r="93">
          <cell r="G93">
            <v>142</v>
          </cell>
        </row>
        <row r="95">
          <cell r="G95">
            <v>79</v>
          </cell>
        </row>
        <row r="96">
          <cell r="G96">
            <v>9</v>
          </cell>
        </row>
        <row r="97">
          <cell r="G97">
            <v>24</v>
          </cell>
        </row>
        <row r="98">
          <cell r="G98">
            <v>63</v>
          </cell>
        </row>
        <row r="99">
          <cell r="G99">
            <v>23</v>
          </cell>
        </row>
        <row r="100">
          <cell r="G100">
            <v>6</v>
          </cell>
        </row>
        <row r="104">
          <cell r="G104">
            <v>0</v>
          </cell>
        </row>
        <row r="105">
          <cell r="G105">
            <v>7</v>
          </cell>
        </row>
        <row r="106">
          <cell r="G106">
            <v>6</v>
          </cell>
        </row>
        <row r="109">
          <cell r="G109">
            <v>40</v>
          </cell>
        </row>
        <row r="110">
          <cell r="G110">
            <v>31</v>
          </cell>
        </row>
        <row r="111">
          <cell r="G111">
            <v>0</v>
          </cell>
        </row>
        <row r="114">
          <cell r="G114">
            <v>26</v>
          </cell>
        </row>
        <row r="115">
          <cell r="G115">
            <v>2</v>
          </cell>
        </row>
        <row r="116">
          <cell r="G116">
            <v>0</v>
          </cell>
        </row>
        <row r="118">
          <cell r="G118">
            <v>145</v>
          </cell>
        </row>
        <row r="119">
          <cell r="G119">
            <v>141</v>
          </cell>
        </row>
        <row r="120">
          <cell r="G120">
            <v>71</v>
          </cell>
        </row>
      </sheetData>
      <sheetData sheetId="25">
        <row r="35">
          <cell r="H35">
            <v>39283.329999999958</v>
          </cell>
        </row>
        <row r="92">
          <cell r="G92">
            <v>107</v>
          </cell>
        </row>
        <row r="93">
          <cell r="G93">
            <v>133</v>
          </cell>
        </row>
        <row r="95">
          <cell r="G95">
            <v>86</v>
          </cell>
        </row>
        <row r="96">
          <cell r="G96">
            <v>22</v>
          </cell>
        </row>
        <row r="97">
          <cell r="G97">
            <v>32</v>
          </cell>
        </row>
        <row r="98">
          <cell r="G98">
            <v>68</v>
          </cell>
        </row>
        <row r="99">
          <cell r="G99">
            <v>21</v>
          </cell>
        </row>
        <row r="100">
          <cell r="G100">
            <v>8</v>
          </cell>
        </row>
        <row r="104">
          <cell r="G104">
            <v>0</v>
          </cell>
        </row>
        <row r="105">
          <cell r="G105">
            <v>13</v>
          </cell>
        </row>
        <row r="106">
          <cell r="G106">
            <v>8</v>
          </cell>
        </row>
        <row r="109">
          <cell r="G109">
            <v>59</v>
          </cell>
        </row>
        <row r="110">
          <cell r="G110">
            <v>75</v>
          </cell>
        </row>
        <row r="111">
          <cell r="G111">
            <v>20</v>
          </cell>
        </row>
        <row r="114">
          <cell r="G114">
            <v>26</v>
          </cell>
        </row>
        <row r="115">
          <cell r="G115">
            <v>8</v>
          </cell>
        </row>
        <row r="116">
          <cell r="G116">
            <v>0</v>
          </cell>
        </row>
        <row r="118">
          <cell r="G118">
            <v>158</v>
          </cell>
        </row>
        <row r="119">
          <cell r="G119">
            <v>169</v>
          </cell>
        </row>
        <row r="120">
          <cell r="G120">
            <v>154</v>
          </cell>
        </row>
      </sheetData>
      <sheetData sheetId="26">
        <row r="35">
          <cell r="H35">
            <v>42318.329999999958</v>
          </cell>
        </row>
        <row r="92">
          <cell r="G92">
            <v>122</v>
          </cell>
        </row>
        <row r="93">
          <cell r="G93">
            <v>110</v>
          </cell>
        </row>
        <row r="95">
          <cell r="G95">
            <v>72</v>
          </cell>
        </row>
        <row r="96">
          <cell r="G96">
            <v>27</v>
          </cell>
        </row>
        <row r="97">
          <cell r="G97">
            <v>35</v>
          </cell>
        </row>
        <row r="98">
          <cell r="G98">
            <v>87</v>
          </cell>
        </row>
        <row r="99">
          <cell r="G99">
            <v>15</v>
          </cell>
        </row>
        <row r="100">
          <cell r="G100">
            <v>12</v>
          </cell>
        </row>
        <row r="104">
          <cell r="G104">
            <v>0</v>
          </cell>
        </row>
        <row r="105">
          <cell r="G105">
            <v>7</v>
          </cell>
        </row>
        <row r="106">
          <cell r="G106">
            <v>6</v>
          </cell>
        </row>
        <row r="109">
          <cell r="G109">
            <v>60</v>
          </cell>
        </row>
        <row r="110">
          <cell r="G110">
            <v>100</v>
          </cell>
        </row>
        <row r="111">
          <cell r="G111">
            <v>6</v>
          </cell>
        </row>
        <row r="114">
          <cell r="G114">
            <v>17</v>
          </cell>
        </row>
        <row r="115">
          <cell r="G115">
            <v>9</v>
          </cell>
        </row>
        <row r="116">
          <cell r="G116">
            <v>0</v>
          </cell>
        </row>
        <row r="118">
          <cell r="G118">
            <v>173</v>
          </cell>
        </row>
        <row r="119">
          <cell r="G119">
            <v>161</v>
          </cell>
        </row>
        <row r="120">
          <cell r="G120">
            <v>166</v>
          </cell>
        </row>
      </sheetData>
      <sheetData sheetId="27">
        <row r="35">
          <cell r="H35">
            <v>0</v>
          </cell>
        </row>
        <row r="92">
          <cell r="G92">
            <v>122</v>
          </cell>
        </row>
        <row r="93">
          <cell r="G93">
            <v>186</v>
          </cell>
        </row>
        <row r="95">
          <cell r="G95">
            <v>107</v>
          </cell>
        </row>
        <row r="96">
          <cell r="G96">
            <v>21</v>
          </cell>
        </row>
        <row r="97">
          <cell r="G97">
            <v>17</v>
          </cell>
        </row>
        <row r="98">
          <cell r="G98">
            <v>71</v>
          </cell>
        </row>
        <row r="99">
          <cell r="G99">
            <v>17</v>
          </cell>
        </row>
        <row r="100">
          <cell r="G100">
            <v>8</v>
          </cell>
        </row>
        <row r="104">
          <cell r="G104">
            <v>8</v>
          </cell>
        </row>
        <row r="105">
          <cell r="G105">
            <v>12</v>
          </cell>
        </row>
        <row r="106">
          <cell r="G106">
            <v>5</v>
          </cell>
        </row>
        <row r="109">
          <cell r="G109">
            <v>62</v>
          </cell>
        </row>
        <row r="110">
          <cell r="G110">
            <v>70</v>
          </cell>
        </row>
        <row r="111">
          <cell r="G111">
            <v>8</v>
          </cell>
        </row>
        <row r="114">
          <cell r="G114">
            <v>21</v>
          </cell>
        </row>
        <row r="115">
          <cell r="G115">
            <v>10</v>
          </cell>
        </row>
        <row r="116">
          <cell r="G116">
            <v>0</v>
          </cell>
        </row>
        <row r="118">
          <cell r="G118">
            <v>173</v>
          </cell>
        </row>
        <row r="119">
          <cell r="G119">
            <v>170</v>
          </cell>
        </row>
        <row r="120">
          <cell r="G120">
            <v>140</v>
          </cell>
        </row>
      </sheetData>
      <sheetData sheetId="28">
        <row r="35">
          <cell r="H35">
            <v>0</v>
          </cell>
        </row>
        <row r="92">
          <cell r="G92">
            <v>104</v>
          </cell>
        </row>
        <row r="93">
          <cell r="G93">
            <v>179</v>
          </cell>
        </row>
        <row r="95">
          <cell r="G95">
            <v>101</v>
          </cell>
        </row>
        <row r="96">
          <cell r="G96">
            <v>18</v>
          </cell>
        </row>
        <row r="97">
          <cell r="G97">
            <v>14</v>
          </cell>
        </row>
        <row r="98">
          <cell r="G98">
            <v>82</v>
          </cell>
        </row>
        <row r="99">
          <cell r="G99">
            <v>12</v>
          </cell>
        </row>
        <row r="100">
          <cell r="G100">
            <v>7</v>
          </cell>
        </row>
        <row r="104">
          <cell r="G104">
            <v>10</v>
          </cell>
        </row>
        <row r="105">
          <cell r="G105">
            <v>13</v>
          </cell>
        </row>
        <row r="106">
          <cell r="G106">
            <v>6</v>
          </cell>
        </row>
        <row r="109">
          <cell r="G109">
            <v>59</v>
          </cell>
        </row>
        <row r="110">
          <cell r="G110">
            <v>89</v>
          </cell>
        </row>
        <row r="111">
          <cell r="G111">
            <v>5</v>
          </cell>
        </row>
        <row r="114">
          <cell r="G114">
            <v>14</v>
          </cell>
        </row>
        <row r="115">
          <cell r="G115">
            <v>2</v>
          </cell>
        </row>
        <row r="116">
          <cell r="G116">
            <v>0</v>
          </cell>
        </row>
        <row r="118">
          <cell r="G118">
            <v>155</v>
          </cell>
        </row>
        <row r="119">
          <cell r="G119">
            <v>152</v>
          </cell>
        </row>
        <row r="120">
          <cell r="G120">
            <v>153</v>
          </cell>
        </row>
      </sheetData>
      <sheetData sheetId="29">
        <row r="35">
          <cell r="H35">
            <v>0</v>
          </cell>
        </row>
        <row r="92">
          <cell r="G92">
            <v>88</v>
          </cell>
        </row>
        <row r="93">
          <cell r="G93">
            <v>142</v>
          </cell>
        </row>
        <row r="95">
          <cell r="G95">
            <v>71</v>
          </cell>
        </row>
        <row r="96">
          <cell r="G96">
            <v>13</v>
          </cell>
        </row>
        <row r="97">
          <cell r="G97">
            <v>18</v>
          </cell>
        </row>
        <row r="98">
          <cell r="G98">
            <v>94</v>
          </cell>
        </row>
        <row r="99">
          <cell r="G99">
            <v>25</v>
          </cell>
        </row>
        <row r="100">
          <cell r="G100">
            <v>13</v>
          </cell>
        </row>
        <row r="104">
          <cell r="G104">
            <v>10</v>
          </cell>
        </row>
        <row r="105">
          <cell r="G105">
            <v>9</v>
          </cell>
        </row>
        <row r="106">
          <cell r="G106">
            <v>5</v>
          </cell>
        </row>
        <row r="109">
          <cell r="G109">
            <v>82</v>
          </cell>
        </row>
        <row r="110">
          <cell r="G110">
            <v>41</v>
          </cell>
        </row>
        <row r="111">
          <cell r="G111">
            <v>10</v>
          </cell>
        </row>
        <row r="114">
          <cell r="G114">
            <v>30</v>
          </cell>
        </row>
        <row r="115">
          <cell r="G115">
            <v>11</v>
          </cell>
        </row>
        <row r="116">
          <cell r="G116">
            <v>0</v>
          </cell>
        </row>
        <row r="118">
          <cell r="G118">
            <v>140</v>
          </cell>
        </row>
        <row r="119">
          <cell r="G119">
            <v>140</v>
          </cell>
        </row>
        <row r="120">
          <cell r="G120">
            <v>133</v>
          </cell>
        </row>
      </sheetData>
      <sheetData sheetId="30">
        <row r="35">
          <cell r="H35">
            <v>0</v>
          </cell>
        </row>
        <row r="92">
          <cell r="G92">
            <v>103</v>
          </cell>
        </row>
        <row r="93">
          <cell r="G93">
            <v>190</v>
          </cell>
        </row>
        <row r="95">
          <cell r="G95">
            <v>103</v>
          </cell>
        </row>
        <row r="96">
          <cell r="G96">
            <v>14</v>
          </cell>
        </row>
        <row r="97">
          <cell r="G97">
            <v>15</v>
          </cell>
        </row>
        <row r="98">
          <cell r="G98">
            <v>108</v>
          </cell>
        </row>
        <row r="99">
          <cell r="G99">
            <v>16</v>
          </cell>
        </row>
        <row r="100">
          <cell r="G100">
            <v>5</v>
          </cell>
        </row>
        <row r="104">
          <cell r="G104">
            <v>0</v>
          </cell>
        </row>
        <row r="105">
          <cell r="G105">
            <v>6</v>
          </cell>
        </row>
        <row r="106">
          <cell r="G106">
            <v>4</v>
          </cell>
        </row>
        <row r="109">
          <cell r="G109">
            <v>40</v>
          </cell>
        </row>
        <row r="110">
          <cell r="G110">
            <v>148</v>
          </cell>
        </row>
        <row r="111">
          <cell r="G111">
            <v>0</v>
          </cell>
        </row>
        <row r="114">
          <cell r="G114">
            <v>19</v>
          </cell>
        </row>
        <row r="115">
          <cell r="G115">
            <v>5</v>
          </cell>
        </row>
        <row r="116">
          <cell r="G116">
            <v>0</v>
          </cell>
        </row>
        <row r="118">
          <cell r="G118">
            <v>155</v>
          </cell>
        </row>
        <row r="119">
          <cell r="G119">
            <v>153</v>
          </cell>
        </row>
        <row r="120">
          <cell r="G120">
            <v>188</v>
          </cell>
        </row>
      </sheetData>
      <sheetData sheetId="31">
        <row r="35">
          <cell r="H35">
            <v>0</v>
          </cell>
        </row>
        <row r="92">
          <cell r="G92">
            <v>69</v>
          </cell>
        </row>
        <row r="93">
          <cell r="G93">
            <v>158</v>
          </cell>
        </row>
        <row r="95">
          <cell r="G95">
            <v>79</v>
          </cell>
        </row>
        <row r="96">
          <cell r="G96">
            <v>12</v>
          </cell>
        </row>
        <row r="97">
          <cell r="G97">
            <v>19</v>
          </cell>
        </row>
        <row r="98">
          <cell r="G98">
            <v>129</v>
          </cell>
        </row>
        <row r="99">
          <cell r="G99">
            <v>13</v>
          </cell>
        </row>
        <row r="100">
          <cell r="G100">
            <v>12</v>
          </cell>
        </row>
        <row r="104">
          <cell r="G104">
            <v>3</v>
          </cell>
        </row>
        <row r="105">
          <cell r="G105">
            <v>9</v>
          </cell>
        </row>
        <row r="106">
          <cell r="G106">
            <v>6</v>
          </cell>
        </row>
        <row r="109">
          <cell r="G109">
            <v>60</v>
          </cell>
        </row>
        <row r="110">
          <cell r="G110">
            <v>123</v>
          </cell>
        </row>
        <row r="111">
          <cell r="G111">
            <v>12</v>
          </cell>
        </row>
        <row r="114">
          <cell r="G114">
            <v>16</v>
          </cell>
        </row>
        <row r="115">
          <cell r="G115">
            <v>6</v>
          </cell>
        </row>
        <row r="116">
          <cell r="G116">
            <v>0</v>
          </cell>
        </row>
        <row r="118">
          <cell r="G118">
            <v>120</v>
          </cell>
        </row>
        <row r="119">
          <cell r="G119">
            <v>135</v>
          </cell>
        </row>
        <row r="120">
          <cell r="G120">
            <v>195</v>
          </cell>
        </row>
      </sheetData>
      <sheetData sheetId="32">
        <row r="35">
          <cell r="H35">
            <v>0</v>
          </cell>
        </row>
        <row r="92">
          <cell r="G92">
            <v>146</v>
          </cell>
        </row>
        <row r="93">
          <cell r="G93">
            <v>152</v>
          </cell>
        </row>
        <row r="95">
          <cell r="G95">
            <v>85</v>
          </cell>
        </row>
        <row r="96">
          <cell r="G96">
            <v>16</v>
          </cell>
        </row>
        <row r="97">
          <cell r="G97">
            <v>31</v>
          </cell>
        </row>
        <row r="98">
          <cell r="G98">
            <v>62</v>
          </cell>
        </row>
        <row r="99">
          <cell r="G99">
            <v>19</v>
          </cell>
        </row>
        <row r="100">
          <cell r="G100">
            <v>34</v>
          </cell>
        </row>
        <row r="104">
          <cell r="G104">
            <v>0</v>
          </cell>
        </row>
        <row r="105">
          <cell r="G105">
            <v>8</v>
          </cell>
        </row>
        <row r="106">
          <cell r="G106">
            <v>6</v>
          </cell>
        </row>
        <row r="109">
          <cell r="G109">
            <v>82</v>
          </cell>
        </row>
        <row r="110">
          <cell r="G110">
            <v>95</v>
          </cell>
        </row>
        <row r="111">
          <cell r="G111">
            <v>7</v>
          </cell>
        </row>
        <row r="114">
          <cell r="G114">
            <v>22</v>
          </cell>
        </row>
        <row r="115">
          <cell r="G115">
            <v>25</v>
          </cell>
        </row>
        <row r="116">
          <cell r="G116">
            <v>0</v>
          </cell>
        </row>
        <row r="118">
          <cell r="G118">
            <v>200</v>
          </cell>
        </row>
        <row r="119">
          <cell r="G119">
            <v>185</v>
          </cell>
        </row>
        <row r="120">
          <cell r="G120">
            <v>184</v>
          </cell>
        </row>
      </sheetData>
      <sheetData sheetId="33">
        <row r="35">
          <cell r="H35">
            <v>0.32999999995809048</v>
          </cell>
        </row>
        <row r="92">
          <cell r="G92">
            <v>144</v>
          </cell>
        </row>
        <row r="93">
          <cell r="G93">
            <v>201</v>
          </cell>
        </row>
        <row r="95">
          <cell r="G95">
            <v>90</v>
          </cell>
        </row>
        <row r="96">
          <cell r="G96">
            <v>40</v>
          </cell>
        </row>
        <row r="97">
          <cell r="G97">
            <v>30</v>
          </cell>
        </row>
        <row r="98">
          <cell r="G98">
            <v>69</v>
          </cell>
        </row>
        <row r="99">
          <cell r="G99">
            <v>27</v>
          </cell>
        </row>
        <row r="100">
          <cell r="G100">
            <v>32</v>
          </cell>
        </row>
        <row r="104">
          <cell r="G104">
            <v>0</v>
          </cell>
        </row>
        <row r="105">
          <cell r="G105">
            <v>9</v>
          </cell>
        </row>
        <row r="106">
          <cell r="G106">
            <v>6</v>
          </cell>
        </row>
        <row r="109">
          <cell r="G109">
            <v>61</v>
          </cell>
        </row>
        <row r="110">
          <cell r="G110">
            <v>49</v>
          </cell>
        </row>
        <row r="111">
          <cell r="G111">
            <v>0</v>
          </cell>
        </row>
        <row r="114">
          <cell r="G114">
            <v>32</v>
          </cell>
        </row>
        <row r="115">
          <cell r="G115">
            <v>23</v>
          </cell>
        </row>
        <row r="116">
          <cell r="G116">
            <v>0</v>
          </cell>
        </row>
        <row r="118">
          <cell r="G118">
            <v>196</v>
          </cell>
        </row>
        <row r="119">
          <cell r="G119">
            <v>219</v>
          </cell>
        </row>
        <row r="120">
          <cell r="G120">
            <v>110</v>
          </cell>
        </row>
      </sheetData>
      <sheetData sheetId="34">
        <row r="35">
          <cell r="H35">
            <v>0.32999999995809048</v>
          </cell>
        </row>
      </sheetData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H7">
            <v>22397</v>
          </cell>
          <cell r="I7">
            <v>12000</v>
          </cell>
        </row>
        <row r="8">
          <cell r="F8">
            <v>4495710</v>
          </cell>
          <cell r="H8">
            <v>22554</v>
          </cell>
        </row>
        <row r="9">
          <cell r="F9">
            <v>101235.16</v>
          </cell>
          <cell r="H9">
            <v>14326.150000000009</v>
          </cell>
        </row>
        <row r="10">
          <cell r="F10">
            <v>33103.08</v>
          </cell>
          <cell r="H10">
            <v>7407.52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21733.670000000009</v>
          </cell>
        </row>
        <row r="15">
          <cell r="F15">
            <v>1620759.2420000001</v>
          </cell>
          <cell r="H15">
            <v>880.63199999998324</v>
          </cell>
        </row>
        <row r="18">
          <cell r="F18">
            <v>18</v>
          </cell>
          <cell r="H18">
            <v>180</v>
          </cell>
          <cell r="I18">
            <v>65</v>
          </cell>
        </row>
        <row r="19">
          <cell r="F19">
            <v>134516</v>
          </cell>
          <cell r="H19">
            <v>48</v>
          </cell>
        </row>
        <row r="20">
          <cell r="H20">
            <v>228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202986</v>
          </cell>
        </row>
        <row r="28">
          <cell r="H28">
            <v>43045.292159999182</v>
          </cell>
        </row>
        <row r="29">
          <cell r="H29">
            <v>0</v>
          </cell>
        </row>
        <row r="30">
          <cell r="H30">
            <v>24120</v>
          </cell>
        </row>
        <row r="31">
          <cell r="H31">
            <v>3840</v>
          </cell>
        </row>
        <row r="32">
          <cell r="H32">
            <v>273991.2921599992</v>
          </cell>
        </row>
        <row r="35">
          <cell r="F35">
            <v>696280.71</v>
          </cell>
          <cell r="H35">
            <v>3193.1199999999953</v>
          </cell>
        </row>
        <row r="36">
          <cell r="F36">
            <v>297204.81</v>
          </cell>
          <cell r="H36">
            <v>759.23999999999069</v>
          </cell>
        </row>
        <row r="37">
          <cell r="F37">
            <v>33512.550000000003</v>
          </cell>
          <cell r="H37">
            <v>1450.4500000000044</v>
          </cell>
        </row>
        <row r="38">
          <cell r="F38">
            <v>45953.91</v>
          </cell>
          <cell r="H38">
            <v>2140.4200000000055</v>
          </cell>
        </row>
        <row r="39">
          <cell r="F39">
            <v>95004.19</v>
          </cell>
          <cell r="H39">
            <v>4328.8000000000029</v>
          </cell>
        </row>
        <row r="40">
          <cell r="F40">
            <v>0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828353.19</v>
          </cell>
          <cell r="H43">
            <v>2455.359999999986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0.48000000000001819</v>
          </cell>
        </row>
        <row r="46">
          <cell r="F46">
            <v>187.49</v>
          </cell>
          <cell r="H46">
            <v>0.49000000000000909</v>
          </cell>
        </row>
        <row r="47">
          <cell r="H47">
            <v>14328.359999999984</v>
          </cell>
        </row>
        <row r="49">
          <cell r="F49">
            <v>260732.13</v>
          </cell>
          <cell r="H49">
            <v>0</v>
          </cell>
        </row>
        <row r="50">
          <cell r="F50">
            <v>404098.95</v>
          </cell>
          <cell r="H50">
            <v>1635.9199999999837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8163.82</v>
          </cell>
          <cell r="H54">
            <v>68.1899999999996</v>
          </cell>
        </row>
        <row r="55">
          <cell r="F55">
            <v>122678.46</v>
          </cell>
          <cell r="H55">
            <v>5092.7700000000041</v>
          </cell>
        </row>
        <row r="56">
          <cell r="F56">
            <v>586707.91</v>
          </cell>
          <cell r="H56">
            <v>656.88000000000466</v>
          </cell>
        </row>
        <row r="57">
          <cell r="F57">
            <v>7711.33</v>
          </cell>
          <cell r="H57">
            <v>0</v>
          </cell>
        </row>
        <row r="58">
          <cell r="F58">
            <v>36099.440000000002</v>
          </cell>
          <cell r="H58">
            <v>230.74000000000524</v>
          </cell>
        </row>
        <row r="59">
          <cell r="H59">
            <v>7684.4999999999973</v>
          </cell>
        </row>
        <row r="60">
          <cell r="H60">
            <v>22012.859999999982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1721.57</v>
          </cell>
          <cell r="H63">
            <v>14.210000000000036</v>
          </cell>
        </row>
        <row r="64">
          <cell r="F64">
            <v>124127.85</v>
          </cell>
          <cell r="H64">
            <v>500.55000000000291</v>
          </cell>
        </row>
        <row r="65">
          <cell r="F65">
            <v>132996.35999999999</v>
          </cell>
          <cell r="H65">
            <v>399.05999999999767</v>
          </cell>
        </row>
        <row r="66">
          <cell r="F66">
            <v>25566.36</v>
          </cell>
          <cell r="H66">
            <v>406.61000000000058</v>
          </cell>
        </row>
        <row r="67">
          <cell r="F67">
            <v>208546.07</v>
          </cell>
          <cell r="H67">
            <v>704.24000000001979</v>
          </cell>
        </row>
        <row r="68">
          <cell r="F68">
            <v>73027.42</v>
          </cell>
          <cell r="H68">
            <v>348.89999999999418</v>
          </cell>
        </row>
        <row r="69">
          <cell r="F69">
            <v>64776.091</v>
          </cell>
          <cell r="H69">
            <v>324.00100000000384</v>
          </cell>
        </row>
        <row r="72">
          <cell r="F72">
            <v>850662</v>
          </cell>
          <cell r="H72">
            <v>70</v>
          </cell>
        </row>
        <row r="73">
          <cell r="F73">
            <v>885772</v>
          </cell>
          <cell r="H73">
            <v>0</v>
          </cell>
        </row>
        <row r="74">
          <cell r="F74">
            <v>625.02</v>
          </cell>
          <cell r="H74">
            <v>38.850000000000023</v>
          </cell>
        </row>
        <row r="75">
          <cell r="F75">
            <v>3663.87</v>
          </cell>
          <cell r="H75">
            <v>144.65000000000009</v>
          </cell>
        </row>
        <row r="76">
          <cell r="F76">
            <v>1593.49</v>
          </cell>
          <cell r="H76">
            <v>79.150000000000091</v>
          </cell>
        </row>
        <row r="77">
          <cell r="F77">
            <v>698633</v>
          </cell>
          <cell r="H77">
            <v>45</v>
          </cell>
        </row>
        <row r="78">
          <cell r="F78">
            <v>653253</v>
          </cell>
          <cell r="H78">
            <v>390</v>
          </cell>
        </row>
        <row r="79">
          <cell r="F79">
            <v>815301</v>
          </cell>
          <cell r="H79">
            <v>192</v>
          </cell>
        </row>
        <row r="80">
          <cell r="F80">
            <v>495088.64000000001</v>
          </cell>
          <cell r="H80">
            <v>415</v>
          </cell>
        </row>
        <row r="81">
          <cell r="F81">
            <v>626056.4</v>
          </cell>
          <cell r="H81">
            <v>112.56000000005588</v>
          </cell>
        </row>
        <row r="82">
          <cell r="F82">
            <v>106220.65</v>
          </cell>
          <cell r="H82">
            <v>18.169999999998254</v>
          </cell>
        </row>
        <row r="83">
          <cell r="F83">
            <v>996969</v>
          </cell>
          <cell r="H83">
            <v>520</v>
          </cell>
        </row>
        <row r="84">
          <cell r="F84">
            <v>431488</v>
          </cell>
          <cell r="H84">
            <v>690</v>
          </cell>
        </row>
        <row r="86">
          <cell r="F86">
            <v>450506.84</v>
          </cell>
          <cell r="H86">
            <v>138.30999999999767</v>
          </cell>
        </row>
        <row r="87">
          <cell r="F87">
            <v>79246.899999999994</v>
          </cell>
          <cell r="H87">
            <v>39.19999999999709</v>
          </cell>
        </row>
        <row r="88">
          <cell r="F88">
            <v>148316.29</v>
          </cell>
          <cell r="H88">
            <v>51.680000000022119</v>
          </cell>
        </row>
        <row r="89">
          <cell r="F89">
            <v>61732.800000000003</v>
          </cell>
          <cell r="H89">
            <v>57.700000000004366</v>
          </cell>
        </row>
        <row r="90">
          <cell r="F90">
            <v>3168.3</v>
          </cell>
          <cell r="H90">
            <v>5.4000000000000909</v>
          </cell>
        </row>
        <row r="92">
          <cell r="F92">
            <v>239817</v>
          </cell>
          <cell r="H92">
            <v>122</v>
          </cell>
        </row>
        <row r="93">
          <cell r="F93">
            <v>175805</v>
          </cell>
          <cell r="H93">
            <v>144</v>
          </cell>
        </row>
        <row r="95">
          <cell r="F95">
            <v>408232</v>
          </cell>
          <cell r="H95">
            <v>76</v>
          </cell>
        </row>
        <row r="96">
          <cell r="F96">
            <v>101345</v>
          </cell>
          <cell r="H96">
            <v>13</v>
          </cell>
        </row>
        <row r="97">
          <cell r="F97">
            <v>96473</v>
          </cell>
          <cell r="H97">
            <v>24</v>
          </cell>
        </row>
        <row r="98">
          <cell r="F98">
            <v>147678</v>
          </cell>
          <cell r="H98">
            <v>70</v>
          </cell>
        </row>
        <row r="99">
          <cell r="F99">
            <v>6425</v>
          </cell>
          <cell r="H99">
            <v>17</v>
          </cell>
        </row>
        <row r="100">
          <cell r="F100">
            <v>4557</v>
          </cell>
          <cell r="H100">
            <v>14</v>
          </cell>
        </row>
        <row r="101">
          <cell r="H101">
            <v>214</v>
          </cell>
        </row>
        <row r="104">
          <cell r="F104">
            <v>7128</v>
          </cell>
          <cell r="H104">
            <v>0</v>
          </cell>
        </row>
        <row r="105">
          <cell r="F105">
            <v>35416</v>
          </cell>
          <cell r="H105">
            <v>9</v>
          </cell>
        </row>
        <row r="106">
          <cell r="F106">
            <v>19252</v>
          </cell>
          <cell r="H106">
            <v>5</v>
          </cell>
        </row>
        <row r="107">
          <cell r="H107">
            <v>14</v>
          </cell>
        </row>
        <row r="108">
          <cell r="H108">
            <v>0</v>
          </cell>
        </row>
        <row r="109">
          <cell r="F109">
            <v>56435</v>
          </cell>
          <cell r="H109">
            <v>82</v>
          </cell>
        </row>
        <row r="110">
          <cell r="F110">
            <v>30593</v>
          </cell>
          <cell r="H110">
            <v>66</v>
          </cell>
        </row>
        <row r="111">
          <cell r="F111">
            <v>3987</v>
          </cell>
          <cell r="H111">
            <v>7</v>
          </cell>
        </row>
        <row r="112">
          <cell r="H112">
            <v>155</v>
          </cell>
        </row>
        <row r="113">
          <cell r="H113">
            <v>0</v>
          </cell>
        </row>
        <row r="114">
          <cell r="F114">
            <v>10341</v>
          </cell>
          <cell r="H114">
            <v>19</v>
          </cell>
        </row>
        <row r="115">
          <cell r="F115">
            <v>7680</v>
          </cell>
          <cell r="H115">
            <v>13</v>
          </cell>
        </row>
        <row r="116">
          <cell r="H116">
            <v>0</v>
          </cell>
        </row>
        <row r="117">
          <cell r="H117">
            <v>32</v>
          </cell>
        </row>
        <row r="118">
          <cell r="H118">
            <v>170</v>
          </cell>
        </row>
        <row r="119">
          <cell r="H119">
            <v>144</v>
          </cell>
        </row>
        <row r="120">
          <cell r="H120">
            <v>155</v>
          </cell>
        </row>
        <row r="123">
          <cell r="F123">
            <v>811273.1</v>
          </cell>
          <cell r="H123">
            <v>266.26000000000931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140043.29</v>
          </cell>
          <cell r="H125">
            <v>63.950000000011642</v>
          </cell>
        </row>
        <row r="126">
          <cell r="F126">
            <v>59332</v>
          </cell>
          <cell r="H126">
            <v>25.099999999998545</v>
          </cell>
        </row>
        <row r="127">
          <cell r="F127">
            <v>8889.9</v>
          </cell>
          <cell r="H127">
            <v>2.1000000000003638</v>
          </cell>
        </row>
        <row r="128">
          <cell r="H128">
            <v>523.22199999996337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40391.14</v>
          </cell>
          <cell r="H134">
            <v>24</v>
          </cell>
        </row>
        <row r="135">
          <cell r="F135">
            <v>32574.44</v>
          </cell>
          <cell r="H135">
            <v>3.4399999999986903</v>
          </cell>
        </row>
        <row r="136">
          <cell r="F136">
            <v>22230.98</v>
          </cell>
          <cell r="H136">
            <v>8.7700000000004366</v>
          </cell>
        </row>
        <row r="137">
          <cell r="F137">
            <v>25044.31</v>
          </cell>
          <cell r="H137">
            <v>0</v>
          </cell>
        </row>
        <row r="138">
          <cell r="F138">
            <v>70152.710000000006</v>
          </cell>
          <cell r="H138">
            <v>5.3700000000098953</v>
          </cell>
        </row>
        <row r="139">
          <cell r="F139">
            <v>1430.85</v>
          </cell>
          <cell r="H139">
            <v>7.709999999999809</v>
          </cell>
        </row>
        <row r="140">
          <cell r="F140">
            <v>4333.53</v>
          </cell>
          <cell r="H140">
            <v>-0.47000000000025466</v>
          </cell>
        </row>
        <row r="142">
          <cell r="H142">
            <v>5648.4799999999814</v>
          </cell>
        </row>
        <row r="144">
          <cell r="H144">
            <v>5749.6500000000087</v>
          </cell>
        </row>
        <row r="145">
          <cell r="H145">
            <v>0.25671518506942931</v>
          </cell>
        </row>
        <row r="146">
          <cell r="H146">
            <v>4328.8000000000029</v>
          </cell>
        </row>
        <row r="147">
          <cell r="H147">
            <v>0.19327588516319164</v>
          </cell>
        </row>
        <row r="148">
          <cell r="H148">
            <v>2140.4200000000055</v>
          </cell>
        </row>
        <row r="149">
          <cell r="H149">
            <v>9.5567263472786781E-2</v>
          </cell>
        </row>
        <row r="150">
          <cell r="H150">
            <v>2395.1599999999744</v>
          </cell>
        </row>
        <row r="151">
          <cell r="H151">
            <v>0.10694110818413066</v>
          </cell>
        </row>
        <row r="152">
          <cell r="H152">
            <v>1450.4500000000044</v>
          </cell>
        </row>
        <row r="153">
          <cell r="H153">
            <v>6.4760905478412484E-2</v>
          </cell>
        </row>
        <row r="160">
          <cell r="F160">
            <v>30881.599999999999</v>
          </cell>
        </row>
        <row r="161">
          <cell r="F161">
            <v>55548.51</v>
          </cell>
        </row>
        <row r="162">
          <cell r="F162">
            <v>20843.25</v>
          </cell>
        </row>
        <row r="163">
          <cell r="F163">
            <v>5449.61</v>
          </cell>
        </row>
        <row r="164">
          <cell r="F164">
            <v>20419</v>
          </cell>
        </row>
        <row r="165">
          <cell r="F165">
            <v>1721.57</v>
          </cell>
        </row>
        <row r="166">
          <cell r="F166">
            <v>124127.85</v>
          </cell>
        </row>
        <row r="167">
          <cell r="F167">
            <v>132996.35999999999</v>
          </cell>
        </row>
        <row r="168">
          <cell r="F168">
            <v>25566.36</v>
          </cell>
        </row>
        <row r="169">
          <cell r="F169">
            <v>208546.07</v>
          </cell>
        </row>
        <row r="170">
          <cell r="F170">
            <v>73027.42</v>
          </cell>
        </row>
        <row r="171">
          <cell r="F171">
            <v>64776.091</v>
          </cell>
        </row>
      </sheetData>
      <sheetData sheetId="7">
        <row r="7">
          <cell r="F7">
            <v>4489853</v>
          </cell>
          <cell r="H7">
            <v>44776</v>
          </cell>
        </row>
        <row r="8">
          <cell r="F8">
            <v>4518306</v>
          </cell>
          <cell r="H8">
            <v>45150</v>
          </cell>
        </row>
        <row r="9">
          <cell r="F9">
            <v>115804.21</v>
          </cell>
          <cell r="H9">
            <v>28895.200000000012</v>
          </cell>
        </row>
        <row r="10">
          <cell r="F10">
            <v>40262.76</v>
          </cell>
          <cell r="H10">
            <v>14567.2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43462.400000000009</v>
          </cell>
        </row>
        <row r="15">
          <cell r="F15">
            <v>1621752.42</v>
          </cell>
          <cell r="H15">
            <v>1873.809999999823</v>
          </cell>
        </row>
        <row r="18">
          <cell r="F18">
            <v>14</v>
          </cell>
          <cell r="H18">
            <v>320</v>
          </cell>
        </row>
        <row r="19">
          <cell r="F19">
            <v>134568</v>
          </cell>
          <cell r="H19">
            <v>100</v>
          </cell>
        </row>
        <row r="20">
          <cell r="H20">
            <v>420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406350</v>
          </cell>
        </row>
        <row r="28">
          <cell r="H28">
            <v>91591.83279999136</v>
          </cell>
        </row>
        <row r="29">
          <cell r="H29">
            <v>0</v>
          </cell>
        </row>
        <row r="30">
          <cell r="H30">
            <v>31088</v>
          </cell>
        </row>
        <row r="31">
          <cell r="H31">
            <v>15040</v>
          </cell>
        </row>
        <row r="32">
          <cell r="H32">
            <v>544069.83279999136</v>
          </cell>
        </row>
        <row r="35">
          <cell r="F35">
            <v>699784.47</v>
          </cell>
          <cell r="H35">
            <v>6696.8800000000047</v>
          </cell>
        </row>
        <row r="36">
          <cell r="F36">
            <v>297874.09000000003</v>
          </cell>
          <cell r="H36">
            <v>1428.5200000000186</v>
          </cell>
        </row>
        <row r="37">
          <cell r="F37">
            <v>34969.39</v>
          </cell>
          <cell r="H37">
            <v>2907.2900000000009</v>
          </cell>
        </row>
        <row r="38">
          <cell r="F38">
            <v>48043.42</v>
          </cell>
          <cell r="H38">
            <v>4229.93</v>
          </cell>
        </row>
        <row r="39">
          <cell r="F39">
            <v>99373.119999999995</v>
          </cell>
          <cell r="H39">
            <v>8697.7299999999959</v>
          </cell>
        </row>
        <row r="40"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59128.851000000002</v>
          </cell>
          <cell r="H42">
            <v>1.0000000038417056E-3</v>
          </cell>
        </row>
        <row r="43">
          <cell r="F43">
            <v>830838.71</v>
          </cell>
          <cell r="H43">
            <v>4940.8800000000047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28901.231000000029</v>
          </cell>
        </row>
        <row r="49">
          <cell r="F49">
            <v>260732.13</v>
          </cell>
          <cell r="H49">
            <v>0</v>
          </cell>
        </row>
        <row r="50">
          <cell r="F50">
            <v>405699.31</v>
          </cell>
          <cell r="H50">
            <v>3236.2799999999697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8200.0300000000007</v>
          </cell>
          <cell r="H54">
            <v>104.40000000000055</v>
          </cell>
        </row>
        <row r="55">
          <cell r="F55">
            <v>126470</v>
          </cell>
          <cell r="H55">
            <v>8884.3099999999977</v>
          </cell>
        </row>
        <row r="56">
          <cell r="F56">
            <v>588549.03</v>
          </cell>
          <cell r="H56">
            <v>2498</v>
          </cell>
        </row>
        <row r="57">
          <cell r="F57">
            <v>7711.33</v>
          </cell>
          <cell r="H57">
            <v>0</v>
          </cell>
        </row>
        <row r="58">
          <cell r="F58">
            <v>36312.120000000003</v>
          </cell>
          <cell r="H58">
            <v>443.42000000000553</v>
          </cell>
        </row>
        <row r="59">
          <cell r="H59">
            <v>15166.409999999974</v>
          </cell>
        </row>
        <row r="60">
          <cell r="H60">
            <v>44067.641000000003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1733.45</v>
          </cell>
          <cell r="H63">
            <v>26.090000000000146</v>
          </cell>
        </row>
        <row r="64">
          <cell r="F64">
            <v>124657.34</v>
          </cell>
          <cell r="H64">
            <v>1030.0399999999936</v>
          </cell>
        </row>
        <row r="65">
          <cell r="F65">
            <v>133392.66</v>
          </cell>
          <cell r="H65">
            <v>795.36000000001513</v>
          </cell>
        </row>
        <row r="66">
          <cell r="F66">
            <v>25980.5</v>
          </cell>
          <cell r="H66">
            <v>820.75</v>
          </cell>
        </row>
        <row r="67">
          <cell r="F67">
            <v>209249</v>
          </cell>
          <cell r="H67">
            <v>1407.1700000000128</v>
          </cell>
        </row>
        <row r="68">
          <cell r="F68">
            <v>73391.91</v>
          </cell>
          <cell r="H68">
            <v>713.38999999999942</v>
          </cell>
        </row>
        <row r="69">
          <cell r="F69">
            <v>65103.12</v>
          </cell>
          <cell r="H69">
            <v>651.03000000000611</v>
          </cell>
        </row>
        <row r="72">
          <cell r="F72">
            <v>850735</v>
          </cell>
          <cell r="H72">
            <v>143</v>
          </cell>
        </row>
        <row r="73">
          <cell r="F73">
            <v>885772</v>
          </cell>
          <cell r="H73">
            <v>0</v>
          </cell>
        </row>
        <row r="74">
          <cell r="F74">
            <v>656.16</v>
          </cell>
          <cell r="H74">
            <v>69.990000000000009</v>
          </cell>
        </row>
        <row r="75">
          <cell r="F75">
            <v>3814.26</v>
          </cell>
          <cell r="H75">
            <v>295.04000000000042</v>
          </cell>
        </row>
        <row r="76">
          <cell r="F76">
            <v>1674.12</v>
          </cell>
          <cell r="H76">
            <v>159.77999999999997</v>
          </cell>
        </row>
        <row r="77">
          <cell r="F77">
            <v>698678</v>
          </cell>
          <cell r="H77">
            <v>90</v>
          </cell>
        </row>
        <row r="78">
          <cell r="F78">
            <v>653630</v>
          </cell>
          <cell r="H78">
            <v>767</v>
          </cell>
        </row>
        <row r="79">
          <cell r="F79">
            <v>815599</v>
          </cell>
          <cell r="H79">
            <v>490</v>
          </cell>
        </row>
        <row r="80">
          <cell r="F80">
            <v>495488.36</v>
          </cell>
          <cell r="H80">
            <v>814.71999999997206</v>
          </cell>
        </row>
        <row r="81">
          <cell r="F81">
            <v>626157.64</v>
          </cell>
          <cell r="H81">
            <v>213.80000000004657</v>
          </cell>
        </row>
        <row r="82">
          <cell r="F82">
            <v>106242.13</v>
          </cell>
          <cell r="H82">
            <v>39.650000000008731</v>
          </cell>
        </row>
        <row r="83">
          <cell r="F83">
            <v>997516</v>
          </cell>
          <cell r="H83">
            <v>1067</v>
          </cell>
        </row>
        <row r="84">
          <cell r="F84">
            <v>432215</v>
          </cell>
          <cell r="H84">
            <v>1417</v>
          </cell>
        </row>
        <row r="85">
          <cell r="H85">
            <v>3541.5999999999735</v>
          </cell>
        </row>
        <row r="86">
          <cell r="F86">
            <v>450647.2</v>
          </cell>
          <cell r="H86">
            <v>278.6699999999837</v>
          </cell>
        </row>
        <row r="87">
          <cell r="F87">
            <v>79285.100000000006</v>
          </cell>
          <cell r="H87">
            <v>77.400000000008731</v>
          </cell>
        </row>
        <row r="88">
          <cell r="F88">
            <v>148388.41</v>
          </cell>
          <cell r="H88">
            <v>123.80000000001746</v>
          </cell>
        </row>
        <row r="89">
          <cell r="F89">
            <v>61817.8</v>
          </cell>
          <cell r="H89">
            <v>142.70000000000437</v>
          </cell>
        </row>
        <row r="90">
          <cell r="F90">
            <v>3173.2</v>
          </cell>
          <cell r="H90">
            <v>10.299999999999727</v>
          </cell>
        </row>
        <row r="92">
          <cell r="F92">
            <v>239912</v>
          </cell>
          <cell r="H92">
            <v>217</v>
          </cell>
        </row>
        <row r="93">
          <cell r="F93">
            <v>175994</v>
          </cell>
          <cell r="H93">
            <v>333</v>
          </cell>
        </row>
        <row r="94">
          <cell r="H94">
            <v>284</v>
          </cell>
        </row>
        <row r="95">
          <cell r="F95">
            <v>408317</v>
          </cell>
          <cell r="H95">
            <v>161</v>
          </cell>
        </row>
        <row r="96">
          <cell r="F96">
            <v>101363</v>
          </cell>
          <cell r="H96">
            <v>31</v>
          </cell>
        </row>
        <row r="97">
          <cell r="F97">
            <v>96492</v>
          </cell>
          <cell r="H97">
            <v>43</v>
          </cell>
        </row>
        <row r="98">
          <cell r="F98">
            <v>147779</v>
          </cell>
          <cell r="H98">
            <v>171</v>
          </cell>
        </row>
        <row r="99">
          <cell r="F99">
            <v>6444</v>
          </cell>
          <cell r="H99">
            <v>36</v>
          </cell>
        </row>
        <row r="100">
          <cell r="F100">
            <v>4574</v>
          </cell>
          <cell r="H100">
            <v>31</v>
          </cell>
        </row>
        <row r="101">
          <cell r="H101">
            <v>473</v>
          </cell>
        </row>
        <row r="104">
          <cell r="F104">
            <v>7128</v>
          </cell>
          <cell r="H104">
            <v>0</v>
          </cell>
        </row>
        <row r="105">
          <cell r="F105">
            <v>35425</v>
          </cell>
          <cell r="H105">
            <v>18</v>
          </cell>
        </row>
        <row r="106">
          <cell r="F106">
            <v>19257</v>
          </cell>
          <cell r="H106">
            <v>10</v>
          </cell>
        </row>
        <row r="107">
          <cell r="H107">
            <v>28</v>
          </cell>
        </row>
        <row r="109">
          <cell r="F109">
            <v>56516</v>
          </cell>
          <cell r="H109">
            <v>163</v>
          </cell>
        </row>
        <row r="110">
          <cell r="F110">
            <v>30690</v>
          </cell>
          <cell r="H110">
            <v>163</v>
          </cell>
        </row>
        <row r="111">
          <cell r="F111">
            <v>3987</v>
          </cell>
          <cell r="H111">
            <v>7</v>
          </cell>
        </row>
        <row r="112">
          <cell r="H112">
            <v>333</v>
          </cell>
        </row>
        <row r="113">
          <cell r="H113">
            <v>0</v>
          </cell>
        </row>
        <row r="114">
          <cell r="F114">
            <v>10363</v>
          </cell>
          <cell r="H114">
            <v>41</v>
          </cell>
        </row>
        <row r="115">
          <cell r="F115">
            <v>7690</v>
          </cell>
          <cell r="H115">
            <v>23</v>
          </cell>
        </row>
        <row r="116">
          <cell r="H116">
            <v>0</v>
          </cell>
        </row>
        <row r="117">
          <cell r="H117">
            <v>64</v>
          </cell>
        </row>
        <row r="118">
          <cell r="H118">
            <v>317</v>
          </cell>
        </row>
        <row r="119">
          <cell r="H119">
            <v>302</v>
          </cell>
        </row>
        <row r="120">
          <cell r="H120">
            <v>333</v>
          </cell>
        </row>
        <row r="123">
          <cell r="F123">
            <v>811551.39</v>
          </cell>
          <cell r="H123">
            <v>544.55000000004657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140124.99</v>
          </cell>
          <cell r="H125">
            <v>145.64999999999418</v>
          </cell>
        </row>
        <row r="126">
          <cell r="F126">
            <v>59358.9</v>
          </cell>
          <cell r="H126">
            <v>52</v>
          </cell>
        </row>
        <row r="127">
          <cell r="F127">
            <v>8890.4</v>
          </cell>
          <cell r="H127">
            <v>2.6000000000003638</v>
          </cell>
        </row>
        <row r="128">
          <cell r="H128">
            <v>1129.0099999997819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40410.14</v>
          </cell>
          <cell r="H134">
            <v>43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22239.82</v>
          </cell>
          <cell r="H136">
            <v>17.610000000000582</v>
          </cell>
        </row>
        <row r="137">
          <cell r="F137">
            <v>25044.31</v>
          </cell>
          <cell r="H137">
            <v>0</v>
          </cell>
        </row>
        <row r="138">
          <cell r="F138">
            <v>70159.350000000006</v>
          </cell>
          <cell r="H138">
            <v>12.010000000009313</v>
          </cell>
        </row>
        <row r="139">
          <cell r="F139">
            <v>1438.91</v>
          </cell>
          <cell r="H139">
            <v>15.769999999999982</v>
          </cell>
        </row>
        <row r="140">
          <cell r="F140">
            <v>4334</v>
          </cell>
          <cell r="H140">
            <v>0</v>
          </cell>
        </row>
        <row r="142">
          <cell r="H142">
            <v>11637.760000000009</v>
          </cell>
        </row>
        <row r="143">
          <cell r="H143">
            <v>0.33239037953891692</v>
          </cell>
        </row>
        <row r="144">
          <cell r="H144">
            <v>11382.311000000002</v>
          </cell>
        </row>
        <row r="145">
          <cell r="H145">
            <v>0.50840922859237458</v>
          </cell>
        </row>
        <row r="146">
          <cell r="H146">
            <v>8697.7299999999959</v>
          </cell>
        </row>
        <row r="147">
          <cell r="H147">
            <v>0.38850042602739437</v>
          </cell>
        </row>
        <row r="148">
          <cell r="H148">
            <v>4229.93</v>
          </cell>
        </row>
        <row r="149">
          <cell r="H149">
            <v>0.18893649355455963</v>
          </cell>
        </row>
        <row r="150">
          <cell r="H150">
            <v>4664.7999999999884</v>
          </cell>
        </row>
        <row r="151">
          <cell r="H151">
            <v>0.20835940212041082</v>
          </cell>
        </row>
        <row r="152">
          <cell r="H152">
            <v>2907.2900000000009</v>
          </cell>
        </row>
        <row r="153">
          <cell r="H153">
            <v>0.12985943535016709</v>
          </cell>
        </row>
      </sheetData>
      <sheetData sheetId="8">
        <row r="7">
          <cell r="F7">
            <v>4510962</v>
          </cell>
          <cell r="H7">
            <v>65885</v>
          </cell>
        </row>
        <row r="8">
          <cell r="F8">
            <v>4539500</v>
          </cell>
          <cell r="H8">
            <v>66344</v>
          </cell>
        </row>
        <row r="9">
          <cell r="F9">
            <v>123403.31</v>
          </cell>
          <cell r="H9">
            <v>36494.300000000003</v>
          </cell>
        </row>
        <row r="10">
          <cell r="F10">
            <v>53107.95</v>
          </cell>
          <cell r="H10">
            <v>27412.389999999996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63906.689999999995</v>
          </cell>
        </row>
        <row r="15">
          <cell r="F15">
            <v>1622582.83</v>
          </cell>
          <cell r="H15">
            <v>2704.2199999999721</v>
          </cell>
        </row>
        <row r="18">
          <cell r="F18">
            <v>14</v>
          </cell>
          <cell r="H18">
            <v>460</v>
          </cell>
        </row>
        <row r="19">
          <cell r="F19">
            <v>134620</v>
          </cell>
          <cell r="H19">
            <v>152</v>
          </cell>
        </row>
        <row r="20">
          <cell r="H20">
            <v>612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597096</v>
          </cell>
        </row>
        <row r="28">
          <cell r="H28">
            <v>132182.27359999865</v>
          </cell>
        </row>
        <row r="29">
          <cell r="H29">
            <v>0</v>
          </cell>
        </row>
        <row r="30">
          <cell r="H30">
            <v>38056</v>
          </cell>
        </row>
        <row r="31">
          <cell r="H31">
            <v>26240</v>
          </cell>
        </row>
        <row r="32">
          <cell r="H32">
            <v>793574.27359999868</v>
          </cell>
        </row>
        <row r="35">
          <cell r="F35">
            <v>703211.35</v>
          </cell>
          <cell r="H35">
            <v>10123.760000000009</v>
          </cell>
        </row>
        <row r="36">
          <cell r="F36">
            <v>298500.51</v>
          </cell>
          <cell r="H36">
            <v>2054.9400000000023</v>
          </cell>
        </row>
        <row r="37">
          <cell r="H37">
            <v>3105.0800000000017</v>
          </cell>
        </row>
        <row r="38">
          <cell r="F38">
            <v>48333.51</v>
          </cell>
          <cell r="H38">
            <v>4520.0200000000041</v>
          </cell>
        </row>
        <row r="39">
          <cell r="H39">
            <v>9392.89</v>
          </cell>
        </row>
        <row r="40">
          <cell r="F40">
            <v>0.17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833302.53</v>
          </cell>
          <cell r="H43">
            <v>7404.7000000000698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36601.390000000087</v>
          </cell>
        </row>
        <row r="49">
          <cell r="F49">
            <v>260732.13</v>
          </cell>
          <cell r="H49">
            <v>0</v>
          </cell>
        </row>
        <row r="50">
          <cell r="F50">
            <v>406764.67</v>
          </cell>
          <cell r="H50">
            <v>4301.6399999999558</v>
          </cell>
        </row>
        <row r="51">
          <cell r="F51">
            <v>121322.62</v>
          </cell>
          <cell r="H51">
            <v>1271.6999999999971</v>
          </cell>
        </row>
        <row r="52">
          <cell r="F52">
            <v>509794.67</v>
          </cell>
          <cell r="H52">
            <v>1881.9599999999627</v>
          </cell>
        </row>
        <row r="53">
          <cell r="F53">
            <v>335515.77</v>
          </cell>
          <cell r="H53">
            <v>3661.2600000000093</v>
          </cell>
        </row>
        <row r="54">
          <cell r="H54">
            <v>104.40000000000055</v>
          </cell>
        </row>
        <row r="55">
          <cell r="F55">
            <v>131386.60999999999</v>
          </cell>
          <cell r="H55">
            <v>13800.919999999984</v>
          </cell>
        </row>
        <row r="56">
          <cell r="F56">
            <v>588556.94999999995</v>
          </cell>
          <cell r="H56">
            <v>2505.9199999999255</v>
          </cell>
        </row>
        <row r="57">
          <cell r="F57">
            <v>7711.33</v>
          </cell>
          <cell r="H57">
            <v>0</v>
          </cell>
        </row>
        <row r="58">
          <cell r="F58">
            <v>36500.910000000003</v>
          </cell>
          <cell r="H58">
            <v>632.2100000000064</v>
          </cell>
        </row>
        <row r="59">
          <cell r="H59">
            <v>28160.009999999842</v>
          </cell>
        </row>
        <row r="60">
          <cell r="H60">
            <v>64761.399999999929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1745.37</v>
          </cell>
          <cell r="H63">
            <v>38.009999999999991</v>
          </cell>
        </row>
        <row r="64">
          <cell r="F64">
            <v>125180.16</v>
          </cell>
          <cell r="H64">
            <v>1552.8600000000006</v>
          </cell>
        </row>
        <row r="65">
          <cell r="F65">
            <v>133770.84</v>
          </cell>
          <cell r="H65">
            <v>1173.5400000000081</v>
          </cell>
        </row>
        <row r="66">
          <cell r="F66">
            <v>26413.93</v>
          </cell>
          <cell r="H66">
            <v>1254.1800000000003</v>
          </cell>
        </row>
        <row r="67">
          <cell r="F67">
            <v>209908.33</v>
          </cell>
          <cell r="H67">
            <v>2066.5</v>
          </cell>
        </row>
        <row r="68">
          <cell r="F68">
            <v>73751.149999999994</v>
          </cell>
          <cell r="H68">
            <v>1072.6299999999901</v>
          </cell>
        </row>
        <row r="69">
          <cell r="F69">
            <v>65425.09</v>
          </cell>
          <cell r="H69">
            <v>973</v>
          </cell>
        </row>
        <row r="72">
          <cell r="F72">
            <v>850833</v>
          </cell>
          <cell r="H72">
            <v>241</v>
          </cell>
        </row>
        <row r="73">
          <cell r="F73">
            <v>885772</v>
          </cell>
          <cell r="H73">
            <v>0</v>
          </cell>
        </row>
        <row r="74">
          <cell r="F74">
            <v>683.56</v>
          </cell>
          <cell r="H74">
            <v>97.389999999999986</v>
          </cell>
        </row>
        <row r="75">
          <cell r="F75">
            <v>3968.34</v>
          </cell>
          <cell r="H75">
            <v>449.12000000000035</v>
          </cell>
        </row>
        <row r="76">
          <cell r="F76">
            <v>1757.3</v>
          </cell>
          <cell r="H76">
            <v>242.96000000000004</v>
          </cell>
        </row>
        <row r="77">
          <cell r="F77">
            <v>698725</v>
          </cell>
          <cell r="H77">
            <v>137</v>
          </cell>
        </row>
        <row r="78">
          <cell r="F78">
            <v>653959</v>
          </cell>
          <cell r="H78">
            <v>1096</v>
          </cell>
        </row>
        <row r="79">
          <cell r="F79">
            <v>815715</v>
          </cell>
          <cell r="H79">
            <v>606</v>
          </cell>
        </row>
        <row r="80">
          <cell r="F80">
            <v>495836</v>
          </cell>
          <cell r="H80">
            <v>1162.359999999986</v>
          </cell>
        </row>
        <row r="81">
          <cell r="F81">
            <v>626258</v>
          </cell>
          <cell r="H81">
            <v>314.1600000000326</v>
          </cell>
        </row>
        <row r="82">
          <cell r="F82">
            <v>106261</v>
          </cell>
          <cell r="H82">
            <v>58.520000000004075</v>
          </cell>
        </row>
        <row r="83">
          <cell r="F83">
            <v>998039</v>
          </cell>
          <cell r="H83">
            <v>1590</v>
          </cell>
        </row>
        <row r="84">
          <cell r="F84">
            <v>432768</v>
          </cell>
          <cell r="H84">
            <v>1970</v>
          </cell>
        </row>
        <row r="85">
          <cell r="H85">
            <v>5939.1299999999683</v>
          </cell>
        </row>
        <row r="86">
          <cell r="F86">
            <v>450765</v>
          </cell>
          <cell r="H86">
            <v>396.46999999997206</v>
          </cell>
        </row>
        <row r="87">
          <cell r="F87">
            <v>79323.199999999997</v>
          </cell>
          <cell r="H87">
            <v>115.5</v>
          </cell>
        </row>
        <row r="88">
          <cell r="F88">
            <v>148414.26</v>
          </cell>
          <cell r="H88">
            <v>149.65000000002328</v>
          </cell>
        </row>
        <row r="89">
          <cell r="F89">
            <v>61900.4</v>
          </cell>
          <cell r="H89">
            <v>225.30000000000291</v>
          </cell>
        </row>
        <row r="90">
          <cell r="F90">
            <v>3178.6</v>
          </cell>
          <cell r="H90">
            <v>15.699999999999818</v>
          </cell>
        </row>
        <row r="92">
          <cell r="F92">
            <v>239994</v>
          </cell>
          <cell r="H92">
            <v>299</v>
          </cell>
        </row>
        <row r="93">
          <cell r="F93">
            <v>176158</v>
          </cell>
          <cell r="H93">
            <v>497</v>
          </cell>
        </row>
        <row r="94">
          <cell r="H94">
            <v>530</v>
          </cell>
        </row>
        <row r="95">
          <cell r="F95">
            <v>408393</v>
          </cell>
          <cell r="H95">
            <v>237</v>
          </cell>
        </row>
        <row r="96">
          <cell r="F96">
            <v>101380</v>
          </cell>
          <cell r="H96">
            <v>48</v>
          </cell>
        </row>
        <row r="97">
          <cell r="F97">
            <v>96508</v>
          </cell>
          <cell r="H97">
            <v>59</v>
          </cell>
        </row>
        <row r="98">
          <cell r="F98">
            <v>147866</v>
          </cell>
          <cell r="H98">
            <v>258</v>
          </cell>
        </row>
        <row r="99">
          <cell r="F99">
            <v>6457</v>
          </cell>
          <cell r="H99">
            <v>49</v>
          </cell>
        </row>
        <row r="100">
          <cell r="F100">
            <v>4587</v>
          </cell>
          <cell r="H100">
            <v>44</v>
          </cell>
        </row>
        <row r="101">
          <cell r="H101">
            <v>695</v>
          </cell>
        </row>
        <row r="104">
          <cell r="F104">
            <v>7128</v>
          </cell>
        </row>
        <row r="105">
          <cell r="F105">
            <v>35434</v>
          </cell>
          <cell r="H105">
            <v>27</v>
          </cell>
        </row>
        <row r="106">
          <cell r="F106">
            <v>19263</v>
          </cell>
          <cell r="H106">
            <v>16</v>
          </cell>
        </row>
        <row r="107">
          <cell r="H107">
            <v>43</v>
          </cell>
        </row>
        <row r="108">
          <cell r="H108">
            <v>0</v>
          </cell>
        </row>
        <row r="109">
          <cell r="F109">
            <v>56606</v>
          </cell>
          <cell r="H109">
            <v>253</v>
          </cell>
        </row>
        <row r="110">
          <cell r="F110">
            <v>30795</v>
          </cell>
          <cell r="H110">
            <v>268</v>
          </cell>
        </row>
        <row r="111">
          <cell r="F111">
            <v>4012</v>
          </cell>
          <cell r="H111">
            <v>32</v>
          </cell>
        </row>
        <row r="112">
          <cell r="H112">
            <v>553</v>
          </cell>
        </row>
        <row r="113">
          <cell r="H113">
            <v>0</v>
          </cell>
        </row>
        <row r="114">
          <cell r="F114">
            <v>10379</v>
          </cell>
          <cell r="H114">
            <v>57</v>
          </cell>
        </row>
        <row r="115">
          <cell r="F115">
            <v>7703</v>
          </cell>
          <cell r="H115">
            <v>36</v>
          </cell>
        </row>
        <row r="116">
          <cell r="H116">
            <v>0</v>
          </cell>
        </row>
        <row r="117">
          <cell r="H117">
            <v>93</v>
          </cell>
        </row>
        <row r="118">
          <cell r="H118">
            <v>451</v>
          </cell>
        </row>
        <row r="119">
          <cell r="H119">
            <v>437</v>
          </cell>
        </row>
        <row r="120">
          <cell r="H120">
            <v>553</v>
          </cell>
        </row>
        <row r="123">
          <cell r="F123">
            <v>811797.04</v>
          </cell>
          <cell r="H123">
            <v>790.20000000006985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140188.65</v>
          </cell>
          <cell r="H125">
            <v>209.30999999999767</v>
          </cell>
        </row>
        <row r="126">
          <cell r="F126">
            <v>59377.599999999999</v>
          </cell>
          <cell r="H126">
            <v>70.69999999999709</v>
          </cell>
        </row>
        <row r="127">
          <cell r="F127">
            <v>8894.1</v>
          </cell>
          <cell r="H127">
            <v>6.3000000000010914</v>
          </cell>
        </row>
        <row r="128">
          <cell r="H128">
            <v>1627.7099999999064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299.52</v>
          </cell>
          <cell r="H133">
            <v>-0.48000000000001819</v>
          </cell>
        </row>
        <row r="134">
          <cell r="F134">
            <v>40434.199999999997</v>
          </cell>
          <cell r="H134">
            <v>67.059999999997672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22248.35</v>
          </cell>
          <cell r="H136">
            <v>26.139999999999418</v>
          </cell>
        </row>
        <row r="137">
          <cell r="F137">
            <v>25044.31</v>
          </cell>
          <cell r="H137">
            <v>0</v>
          </cell>
        </row>
        <row r="138">
          <cell r="F138">
            <v>70164.81</v>
          </cell>
          <cell r="H138">
            <v>17.470000000001164</v>
          </cell>
        </row>
        <row r="139">
          <cell r="F139">
            <v>1445.97</v>
          </cell>
          <cell r="H139">
            <v>22.829999999999927</v>
          </cell>
        </row>
        <row r="140">
          <cell r="F140">
            <v>4334</v>
          </cell>
          <cell r="H140">
            <v>0</v>
          </cell>
        </row>
        <row r="142">
          <cell r="H142">
            <v>17528.460000000079</v>
          </cell>
        </row>
        <row r="143">
          <cell r="H143">
            <v>0.6114514435400572</v>
          </cell>
        </row>
        <row r="144">
          <cell r="H144">
            <v>16306.839999999909</v>
          </cell>
        </row>
        <row r="145">
          <cell r="H145">
            <v>0.74169972079948565</v>
          </cell>
        </row>
        <row r="146">
          <cell r="H146">
            <v>13054.150000000009</v>
          </cell>
        </row>
        <row r="147">
          <cell r="H147">
            <v>0.59487780060695816</v>
          </cell>
        </row>
        <row r="148">
          <cell r="H148">
            <v>6401.9799999999668</v>
          </cell>
        </row>
        <row r="149">
          <cell r="H149">
            <v>0.29183336218878986</v>
          </cell>
        </row>
        <row r="150">
          <cell r="H150">
            <v>6356.5799999999581</v>
          </cell>
        </row>
        <row r="151">
          <cell r="H151">
            <v>0.28850436398501689</v>
          </cell>
        </row>
        <row r="152">
          <cell r="H152">
            <v>4376.7799999999988</v>
          </cell>
        </row>
        <row r="153">
          <cell r="H153">
            <v>0.19947381784104767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topLeftCell="A10" workbookViewId="0">
      <selection activeCell="E18" sqref="E18"/>
    </sheetView>
  </sheetViews>
  <sheetFormatPr defaultColWidth="9" defaultRowHeight="15"/>
  <cols>
    <col min="1" max="1" width="9.6640625" style="1172" customWidth="1"/>
    <col min="2" max="3" width="9" style="1166"/>
    <col min="4" max="4" width="10.44140625" style="1167" customWidth="1"/>
    <col min="5" max="5" width="9.77734375" style="1168" customWidth="1"/>
    <col min="6" max="6" width="9.77734375" style="1172" customWidth="1"/>
    <col min="7" max="10" width="9" style="1172"/>
    <col min="11" max="12" width="9" style="1168"/>
    <col min="13" max="13" width="0" style="1171" hidden="1" customWidth="1"/>
    <col min="14" max="256" width="9" style="1171"/>
    <col min="257" max="257" width="9.6640625" style="1171" customWidth="1"/>
    <col min="258" max="259" width="9" style="1171"/>
    <col min="260" max="260" width="10.44140625" style="1171" customWidth="1"/>
    <col min="261" max="262" width="9.77734375" style="1171" customWidth="1"/>
    <col min="263" max="268" width="9" style="1171"/>
    <col min="269" max="269" width="0" style="1171" hidden="1" customWidth="1"/>
    <col min="270" max="512" width="9" style="1171"/>
    <col min="513" max="513" width="9.6640625" style="1171" customWidth="1"/>
    <col min="514" max="515" width="9" style="1171"/>
    <col min="516" max="516" width="10.44140625" style="1171" customWidth="1"/>
    <col min="517" max="518" width="9.77734375" style="1171" customWidth="1"/>
    <col min="519" max="524" width="9" style="1171"/>
    <col min="525" max="525" width="0" style="1171" hidden="1" customWidth="1"/>
    <col min="526" max="768" width="9" style="1171"/>
    <col min="769" max="769" width="9.6640625" style="1171" customWidth="1"/>
    <col min="770" max="771" width="9" style="1171"/>
    <col min="772" max="772" width="10.44140625" style="1171" customWidth="1"/>
    <col min="773" max="774" width="9.77734375" style="1171" customWidth="1"/>
    <col min="775" max="780" width="9" style="1171"/>
    <col min="781" max="781" width="0" style="1171" hidden="1" customWidth="1"/>
    <col min="782" max="1024" width="9" style="1171"/>
    <col min="1025" max="1025" width="9.6640625" style="1171" customWidth="1"/>
    <col min="1026" max="1027" width="9" style="1171"/>
    <col min="1028" max="1028" width="10.44140625" style="1171" customWidth="1"/>
    <col min="1029" max="1030" width="9.77734375" style="1171" customWidth="1"/>
    <col min="1031" max="1036" width="9" style="1171"/>
    <col min="1037" max="1037" width="0" style="1171" hidden="1" customWidth="1"/>
    <col min="1038" max="1280" width="9" style="1171"/>
    <col min="1281" max="1281" width="9.6640625" style="1171" customWidth="1"/>
    <col min="1282" max="1283" width="9" style="1171"/>
    <col min="1284" max="1284" width="10.44140625" style="1171" customWidth="1"/>
    <col min="1285" max="1286" width="9.77734375" style="1171" customWidth="1"/>
    <col min="1287" max="1292" width="9" style="1171"/>
    <col min="1293" max="1293" width="0" style="1171" hidden="1" customWidth="1"/>
    <col min="1294" max="1536" width="9" style="1171"/>
    <col min="1537" max="1537" width="9.6640625" style="1171" customWidth="1"/>
    <col min="1538" max="1539" width="9" style="1171"/>
    <col min="1540" max="1540" width="10.44140625" style="1171" customWidth="1"/>
    <col min="1541" max="1542" width="9.77734375" style="1171" customWidth="1"/>
    <col min="1543" max="1548" width="9" style="1171"/>
    <col min="1549" max="1549" width="0" style="1171" hidden="1" customWidth="1"/>
    <col min="1550" max="1792" width="9" style="1171"/>
    <col min="1793" max="1793" width="9.6640625" style="1171" customWidth="1"/>
    <col min="1794" max="1795" width="9" style="1171"/>
    <col min="1796" max="1796" width="10.44140625" style="1171" customWidth="1"/>
    <col min="1797" max="1798" width="9.77734375" style="1171" customWidth="1"/>
    <col min="1799" max="1804" width="9" style="1171"/>
    <col min="1805" max="1805" width="0" style="1171" hidden="1" customWidth="1"/>
    <col min="1806" max="2048" width="9" style="1171"/>
    <col min="2049" max="2049" width="9.6640625" style="1171" customWidth="1"/>
    <col min="2050" max="2051" width="9" style="1171"/>
    <col min="2052" max="2052" width="10.44140625" style="1171" customWidth="1"/>
    <col min="2053" max="2054" width="9.77734375" style="1171" customWidth="1"/>
    <col min="2055" max="2060" width="9" style="1171"/>
    <col min="2061" max="2061" width="0" style="1171" hidden="1" customWidth="1"/>
    <col min="2062" max="2304" width="9" style="1171"/>
    <col min="2305" max="2305" width="9.6640625" style="1171" customWidth="1"/>
    <col min="2306" max="2307" width="9" style="1171"/>
    <col min="2308" max="2308" width="10.44140625" style="1171" customWidth="1"/>
    <col min="2309" max="2310" width="9.77734375" style="1171" customWidth="1"/>
    <col min="2311" max="2316" width="9" style="1171"/>
    <col min="2317" max="2317" width="0" style="1171" hidden="1" customWidth="1"/>
    <col min="2318" max="2560" width="9" style="1171"/>
    <col min="2561" max="2561" width="9.6640625" style="1171" customWidth="1"/>
    <col min="2562" max="2563" width="9" style="1171"/>
    <col min="2564" max="2564" width="10.44140625" style="1171" customWidth="1"/>
    <col min="2565" max="2566" width="9.77734375" style="1171" customWidth="1"/>
    <col min="2567" max="2572" width="9" style="1171"/>
    <col min="2573" max="2573" width="0" style="1171" hidden="1" customWidth="1"/>
    <col min="2574" max="2816" width="9" style="1171"/>
    <col min="2817" max="2817" width="9.6640625" style="1171" customWidth="1"/>
    <col min="2818" max="2819" width="9" style="1171"/>
    <col min="2820" max="2820" width="10.44140625" style="1171" customWidth="1"/>
    <col min="2821" max="2822" width="9.77734375" style="1171" customWidth="1"/>
    <col min="2823" max="2828" width="9" style="1171"/>
    <col min="2829" max="2829" width="0" style="1171" hidden="1" customWidth="1"/>
    <col min="2830" max="3072" width="9" style="1171"/>
    <col min="3073" max="3073" width="9.6640625" style="1171" customWidth="1"/>
    <col min="3074" max="3075" width="9" style="1171"/>
    <col min="3076" max="3076" width="10.44140625" style="1171" customWidth="1"/>
    <col min="3077" max="3078" width="9.77734375" style="1171" customWidth="1"/>
    <col min="3079" max="3084" width="9" style="1171"/>
    <col min="3085" max="3085" width="0" style="1171" hidden="1" customWidth="1"/>
    <col min="3086" max="3328" width="9" style="1171"/>
    <col min="3329" max="3329" width="9.6640625" style="1171" customWidth="1"/>
    <col min="3330" max="3331" width="9" style="1171"/>
    <col min="3332" max="3332" width="10.44140625" style="1171" customWidth="1"/>
    <col min="3333" max="3334" width="9.77734375" style="1171" customWidth="1"/>
    <col min="3335" max="3340" width="9" style="1171"/>
    <col min="3341" max="3341" width="0" style="1171" hidden="1" customWidth="1"/>
    <col min="3342" max="3584" width="9" style="1171"/>
    <col min="3585" max="3585" width="9.6640625" style="1171" customWidth="1"/>
    <col min="3586" max="3587" width="9" style="1171"/>
    <col min="3588" max="3588" width="10.44140625" style="1171" customWidth="1"/>
    <col min="3589" max="3590" width="9.77734375" style="1171" customWidth="1"/>
    <col min="3591" max="3596" width="9" style="1171"/>
    <col min="3597" max="3597" width="0" style="1171" hidden="1" customWidth="1"/>
    <col min="3598" max="3840" width="9" style="1171"/>
    <col min="3841" max="3841" width="9.6640625" style="1171" customWidth="1"/>
    <col min="3842" max="3843" width="9" style="1171"/>
    <col min="3844" max="3844" width="10.44140625" style="1171" customWidth="1"/>
    <col min="3845" max="3846" width="9.77734375" style="1171" customWidth="1"/>
    <col min="3847" max="3852" width="9" style="1171"/>
    <col min="3853" max="3853" width="0" style="1171" hidden="1" customWidth="1"/>
    <col min="3854" max="4096" width="9" style="1171"/>
    <col min="4097" max="4097" width="9.6640625" style="1171" customWidth="1"/>
    <col min="4098" max="4099" width="9" style="1171"/>
    <col min="4100" max="4100" width="10.44140625" style="1171" customWidth="1"/>
    <col min="4101" max="4102" width="9.77734375" style="1171" customWidth="1"/>
    <col min="4103" max="4108" width="9" style="1171"/>
    <col min="4109" max="4109" width="0" style="1171" hidden="1" customWidth="1"/>
    <col min="4110" max="4352" width="9" style="1171"/>
    <col min="4353" max="4353" width="9.6640625" style="1171" customWidth="1"/>
    <col min="4354" max="4355" width="9" style="1171"/>
    <col min="4356" max="4356" width="10.44140625" style="1171" customWidth="1"/>
    <col min="4357" max="4358" width="9.77734375" style="1171" customWidth="1"/>
    <col min="4359" max="4364" width="9" style="1171"/>
    <col min="4365" max="4365" width="0" style="1171" hidden="1" customWidth="1"/>
    <col min="4366" max="4608" width="9" style="1171"/>
    <col min="4609" max="4609" width="9.6640625" style="1171" customWidth="1"/>
    <col min="4610" max="4611" width="9" style="1171"/>
    <col min="4612" max="4612" width="10.44140625" style="1171" customWidth="1"/>
    <col min="4613" max="4614" width="9.77734375" style="1171" customWidth="1"/>
    <col min="4615" max="4620" width="9" style="1171"/>
    <col min="4621" max="4621" width="0" style="1171" hidden="1" customWidth="1"/>
    <col min="4622" max="4864" width="9" style="1171"/>
    <col min="4865" max="4865" width="9.6640625" style="1171" customWidth="1"/>
    <col min="4866" max="4867" width="9" style="1171"/>
    <col min="4868" max="4868" width="10.44140625" style="1171" customWidth="1"/>
    <col min="4869" max="4870" width="9.77734375" style="1171" customWidth="1"/>
    <col min="4871" max="4876" width="9" style="1171"/>
    <col min="4877" max="4877" width="0" style="1171" hidden="1" customWidth="1"/>
    <col min="4878" max="5120" width="9" style="1171"/>
    <col min="5121" max="5121" width="9.6640625" style="1171" customWidth="1"/>
    <col min="5122" max="5123" width="9" style="1171"/>
    <col min="5124" max="5124" width="10.44140625" style="1171" customWidth="1"/>
    <col min="5125" max="5126" width="9.77734375" style="1171" customWidth="1"/>
    <col min="5127" max="5132" width="9" style="1171"/>
    <col min="5133" max="5133" width="0" style="1171" hidden="1" customWidth="1"/>
    <col min="5134" max="5376" width="9" style="1171"/>
    <col min="5377" max="5377" width="9.6640625" style="1171" customWidth="1"/>
    <col min="5378" max="5379" width="9" style="1171"/>
    <col min="5380" max="5380" width="10.44140625" style="1171" customWidth="1"/>
    <col min="5381" max="5382" width="9.77734375" style="1171" customWidth="1"/>
    <col min="5383" max="5388" width="9" style="1171"/>
    <col min="5389" max="5389" width="0" style="1171" hidden="1" customWidth="1"/>
    <col min="5390" max="5632" width="9" style="1171"/>
    <col min="5633" max="5633" width="9.6640625" style="1171" customWidth="1"/>
    <col min="5634" max="5635" width="9" style="1171"/>
    <col min="5636" max="5636" width="10.44140625" style="1171" customWidth="1"/>
    <col min="5637" max="5638" width="9.77734375" style="1171" customWidth="1"/>
    <col min="5639" max="5644" width="9" style="1171"/>
    <col min="5645" max="5645" width="0" style="1171" hidden="1" customWidth="1"/>
    <col min="5646" max="5888" width="9" style="1171"/>
    <col min="5889" max="5889" width="9.6640625" style="1171" customWidth="1"/>
    <col min="5890" max="5891" width="9" style="1171"/>
    <col min="5892" max="5892" width="10.44140625" style="1171" customWidth="1"/>
    <col min="5893" max="5894" width="9.77734375" style="1171" customWidth="1"/>
    <col min="5895" max="5900" width="9" style="1171"/>
    <col min="5901" max="5901" width="0" style="1171" hidden="1" customWidth="1"/>
    <col min="5902" max="6144" width="9" style="1171"/>
    <col min="6145" max="6145" width="9.6640625" style="1171" customWidth="1"/>
    <col min="6146" max="6147" width="9" style="1171"/>
    <col min="6148" max="6148" width="10.44140625" style="1171" customWidth="1"/>
    <col min="6149" max="6150" width="9.77734375" style="1171" customWidth="1"/>
    <col min="6151" max="6156" width="9" style="1171"/>
    <col min="6157" max="6157" width="0" style="1171" hidden="1" customWidth="1"/>
    <col min="6158" max="6400" width="9" style="1171"/>
    <col min="6401" max="6401" width="9.6640625" style="1171" customWidth="1"/>
    <col min="6402" max="6403" width="9" style="1171"/>
    <col min="6404" max="6404" width="10.44140625" style="1171" customWidth="1"/>
    <col min="6405" max="6406" width="9.77734375" style="1171" customWidth="1"/>
    <col min="6407" max="6412" width="9" style="1171"/>
    <col min="6413" max="6413" width="0" style="1171" hidden="1" customWidth="1"/>
    <col min="6414" max="6656" width="9" style="1171"/>
    <col min="6657" max="6657" width="9.6640625" style="1171" customWidth="1"/>
    <col min="6658" max="6659" width="9" style="1171"/>
    <col min="6660" max="6660" width="10.44140625" style="1171" customWidth="1"/>
    <col min="6661" max="6662" width="9.77734375" style="1171" customWidth="1"/>
    <col min="6663" max="6668" width="9" style="1171"/>
    <col min="6669" max="6669" width="0" style="1171" hidden="1" customWidth="1"/>
    <col min="6670" max="6912" width="9" style="1171"/>
    <col min="6913" max="6913" width="9.6640625" style="1171" customWidth="1"/>
    <col min="6914" max="6915" width="9" style="1171"/>
    <col min="6916" max="6916" width="10.44140625" style="1171" customWidth="1"/>
    <col min="6917" max="6918" width="9.77734375" style="1171" customWidth="1"/>
    <col min="6919" max="6924" width="9" style="1171"/>
    <col min="6925" max="6925" width="0" style="1171" hidden="1" customWidth="1"/>
    <col min="6926" max="7168" width="9" style="1171"/>
    <col min="7169" max="7169" width="9.6640625" style="1171" customWidth="1"/>
    <col min="7170" max="7171" width="9" style="1171"/>
    <col min="7172" max="7172" width="10.44140625" style="1171" customWidth="1"/>
    <col min="7173" max="7174" width="9.77734375" style="1171" customWidth="1"/>
    <col min="7175" max="7180" width="9" style="1171"/>
    <col min="7181" max="7181" width="0" style="1171" hidden="1" customWidth="1"/>
    <col min="7182" max="7424" width="9" style="1171"/>
    <col min="7425" max="7425" width="9.6640625" style="1171" customWidth="1"/>
    <col min="7426" max="7427" width="9" style="1171"/>
    <col min="7428" max="7428" width="10.44140625" style="1171" customWidth="1"/>
    <col min="7429" max="7430" width="9.77734375" style="1171" customWidth="1"/>
    <col min="7431" max="7436" width="9" style="1171"/>
    <col min="7437" max="7437" width="0" style="1171" hidden="1" customWidth="1"/>
    <col min="7438" max="7680" width="9" style="1171"/>
    <col min="7681" max="7681" width="9.6640625" style="1171" customWidth="1"/>
    <col min="7682" max="7683" width="9" style="1171"/>
    <col min="7684" max="7684" width="10.44140625" style="1171" customWidth="1"/>
    <col min="7685" max="7686" width="9.77734375" style="1171" customWidth="1"/>
    <col min="7687" max="7692" width="9" style="1171"/>
    <col min="7693" max="7693" width="0" style="1171" hidden="1" customWidth="1"/>
    <col min="7694" max="7936" width="9" style="1171"/>
    <col min="7937" max="7937" width="9.6640625" style="1171" customWidth="1"/>
    <col min="7938" max="7939" width="9" style="1171"/>
    <col min="7940" max="7940" width="10.44140625" style="1171" customWidth="1"/>
    <col min="7941" max="7942" width="9.77734375" style="1171" customWidth="1"/>
    <col min="7943" max="7948" width="9" style="1171"/>
    <col min="7949" max="7949" width="0" style="1171" hidden="1" customWidth="1"/>
    <col min="7950" max="8192" width="9" style="1171"/>
    <col min="8193" max="8193" width="9.6640625" style="1171" customWidth="1"/>
    <col min="8194" max="8195" width="9" style="1171"/>
    <col min="8196" max="8196" width="10.44140625" style="1171" customWidth="1"/>
    <col min="8197" max="8198" width="9.77734375" style="1171" customWidth="1"/>
    <col min="8199" max="8204" width="9" style="1171"/>
    <col min="8205" max="8205" width="0" style="1171" hidden="1" customWidth="1"/>
    <col min="8206" max="8448" width="9" style="1171"/>
    <col min="8449" max="8449" width="9.6640625" style="1171" customWidth="1"/>
    <col min="8450" max="8451" width="9" style="1171"/>
    <col min="8452" max="8452" width="10.44140625" style="1171" customWidth="1"/>
    <col min="8453" max="8454" width="9.77734375" style="1171" customWidth="1"/>
    <col min="8455" max="8460" width="9" style="1171"/>
    <col min="8461" max="8461" width="0" style="1171" hidden="1" customWidth="1"/>
    <col min="8462" max="8704" width="9" style="1171"/>
    <col min="8705" max="8705" width="9.6640625" style="1171" customWidth="1"/>
    <col min="8706" max="8707" width="9" style="1171"/>
    <col min="8708" max="8708" width="10.44140625" style="1171" customWidth="1"/>
    <col min="8709" max="8710" width="9.77734375" style="1171" customWidth="1"/>
    <col min="8711" max="8716" width="9" style="1171"/>
    <col min="8717" max="8717" width="0" style="1171" hidden="1" customWidth="1"/>
    <col min="8718" max="8960" width="9" style="1171"/>
    <col min="8961" max="8961" width="9.6640625" style="1171" customWidth="1"/>
    <col min="8962" max="8963" width="9" style="1171"/>
    <col min="8964" max="8964" width="10.44140625" style="1171" customWidth="1"/>
    <col min="8965" max="8966" width="9.77734375" style="1171" customWidth="1"/>
    <col min="8967" max="8972" width="9" style="1171"/>
    <col min="8973" max="8973" width="0" style="1171" hidden="1" customWidth="1"/>
    <col min="8974" max="9216" width="9" style="1171"/>
    <col min="9217" max="9217" width="9.6640625" style="1171" customWidth="1"/>
    <col min="9218" max="9219" width="9" style="1171"/>
    <col min="9220" max="9220" width="10.44140625" style="1171" customWidth="1"/>
    <col min="9221" max="9222" width="9.77734375" style="1171" customWidth="1"/>
    <col min="9223" max="9228" width="9" style="1171"/>
    <col min="9229" max="9229" width="0" style="1171" hidden="1" customWidth="1"/>
    <col min="9230" max="9472" width="9" style="1171"/>
    <col min="9473" max="9473" width="9.6640625" style="1171" customWidth="1"/>
    <col min="9474" max="9475" width="9" style="1171"/>
    <col min="9476" max="9476" width="10.44140625" style="1171" customWidth="1"/>
    <col min="9477" max="9478" width="9.77734375" style="1171" customWidth="1"/>
    <col min="9479" max="9484" width="9" style="1171"/>
    <col min="9485" max="9485" width="0" style="1171" hidden="1" customWidth="1"/>
    <col min="9486" max="9728" width="9" style="1171"/>
    <col min="9729" max="9729" width="9.6640625" style="1171" customWidth="1"/>
    <col min="9730" max="9731" width="9" style="1171"/>
    <col min="9732" max="9732" width="10.44140625" style="1171" customWidth="1"/>
    <col min="9733" max="9734" width="9.77734375" style="1171" customWidth="1"/>
    <col min="9735" max="9740" width="9" style="1171"/>
    <col min="9741" max="9741" width="0" style="1171" hidden="1" customWidth="1"/>
    <col min="9742" max="9984" width="9" style="1171"/>
    <col min="9985" max="9985" width="9.6640625" style="1171" customWidth="1"/>
    <col min="9986" max="9987" width="9" style="1171"/>
    <col min="9988" max="9988" width="10.44140625" style="1171" customWidth="1"/>
    <col min="9989" max="9990" width="9.77734375" style="1171" customWidth="1"/>
    <col min="9991" max="9996" width="9" style="1171"/>
    <col min="9997" max="9997" width="0" style="1171" hidden="1" customWidth="1"/>
    <col min="9998" max="10240" width="9" style="1171"/>
    <col min="10241" max="10241" width="9.6640625" style="1171" customWidth="1"/>
    <col min="10242" max="10243" width="9" style="1171"/>
    <col min="10244" max="10244" width="10.44140625" style="1171" customWidth="1"/>
    <col min="10245" max="10246" width="9.77734375" style="1171" customWidth="1"/>
    <col min="10247" max="10252" width="9" style="1171"/>
    <col min="10253" max="10253" width="0" style="1171" hidden="1" customWidth="1"/>
    <col min="10254" max="10496" width="9" style="1171"/>
    <col min="10497" max="10497" width="9.6640625" style="1171" customWidth="1"/>
    <col min="10498" max="10499" width="9" style="1171"/>
    <col min="10500" max="10500" width="10.44140625" style="1171" customWidth="1"/>
    <col min="10501" max="10502" width="9.77734375" style="1171" customWidth="1"/>
    <col min="10503" max="10508" width="9" style="1171"/>
    <col min="10509" max="10509" width="0" style="1171" hidden="1" customWidth="1"/>
    <col min="10510" max="10752" width="9" style="1171"/>
    <col min="10753" max="10753" width="9.6640625" style="1171" customWidth="1"/>
    <col min="10754" max="10755" width="9" style="1171"/>
    <col min="10756" max="10756" width="10.44140625" style="1171" customWidth="1"/>
    <col min="10757" max="10758" width="9.77734375" style="1171" customWidth="1"/>
    <col min="10759" max="10764" width="9" style="1171"/>
    <col min="10765" max="10765" width="0" style="1171" hidden="1" customWidth="1"/>
    <col min="10766" max="11008" width="9" style="1171"/>
    <col min="11009" max="11009" width="9.6640625" style="1171" customWidth="1"/>
    <col min="11010" max="11011" width="9" style="1171"/>
    <col min="11012" max="11012" width="10.44140625" style="1171" customWidth="1"/>
    <col min="11013" max="11014" width="9.77734375" style="1171" customWidth="1"/>
    <col min="11015" max="11020" width="9" style="1171"/>
    <col min="11021" max="11021" width="0" style="1171" hidden="1" customWidth="1"/>
    <col min="11022" max="11264" width="9" style="1171"/>
    <col min="11265" max="11265" width="9.6640625" style="1171" customWidth="1"/>
    <col min="11266" max="11267" width="9" style="1171"/>
    <col min="11268" max="11268" width="10.44140625" style="1171" customWidth="1"/>
    <col min="11269" max="11270" width="9.77734375" style="1171" customWidth="1"/>
    <col min="11271" max="11276" width="9" style="1171"/>
    <col min="11277" max="11277" width="0" style="1171" hidden="1" customWidth="1"/>
    <col min="11278" max="11520" width="9" style="1171"/>
    <col min="11521" max="11521" width="9.6640625" style="1171" customWidth="1"/>
    <col min="11522" max="11523" width="9" style="1171"/>
    <col min="11524" max="11524" width="10.44140625" style="1171" customWidth="1"/>
    <col min="11525" max="11526" width="9.77734375" style="1171" customWidth="1"/>
    <col min="11527" max="11532" width="9" style="1171"/>
    <col min="11533" max="11533" width="0" style="1171" hidden="1" customWidth="1"/>
    <col min="11534" max="11776" width="9" style="1171"/>
    <col min="11777" max="11777" width="9.6640625" style="1171" customWidth="1"/>
    <col min="11778" max="11779" width="9" style="1171"/>
    <col min="11780" max="11780" width="10.44140625" style="1171" customWidth="1"/>
    <col min="11781" max="11782" width="9.77734375" style="1171" customWidth="1"/>
    <col min="11783" max="11788" width="9" style="1171"/>
    <col min="11789" max="11789" width="0" style="1171" hidden="1" customWidth="1"/>
    <col min="11790" max="12032" width="9" style="1171"/>
    <col min="12033" max="12033" width="9.6640625" style="1171" customWidth="1"/>
    <col min="12034" max="12035" width="9" style="1171"/>
    <col min="12036" max="12036" width="10.44140625" style="1171" customWidth="1"/>
    <col min="12037" max="12038" width="9.77734375" style="1171" customWidth="1"/>
    <col min="12039" max="12044" width="9" style="1171"/>
    <col min="12045" max="12045" width="0" style="1171" hidden="1" customWidth="1"/>
    <col min="12046" max="12288" width="9" style="1171"/>
    <col min="12289" max="12289" width="9.6640625" style="1171" customWidth="1"/>
    <col min="12290" max="12291" width="9" style="1171"/>
    <col min="12292" max="12292" width="10.44140625" style="1171" customWidth="1"/>
    <col min="12293" max="12294" width="9.77734375" style="1171" customWidth="1"/>
    <col min="12295" max="12300" width="9" style="1171"/>
    <col min="12301" max="12301" width="0" style="1171" hidden="1" customWidth="1"/>
    <col min="12302" max="12544" width="9" style="1171"/>
    <col min="12545" max="12545" width="9.6640625" style="1171" customWidth="1"/>
    <col min="12546" max="12547" width="9" style="1171"/>
    <col min="12548" max="12548" width="10.44140625" style="1171" customWidth="1"/>
    <col min="12549" max="12550" width="9.77734375" style="1171" customWidth="1"/>
    <col min="12551" max="12556" width="9" style="1171"/>
    <col min="12557" max="12557" width="0" style="1171" hidden="1" customWidth="1"/>
    <col min="12558" max="12800" width="9" style="1171"/>
    <col min="12801" max="12801" width="9.6640625" style="1171" customWidth="1"/>
    <col min="12802" max="12803" width="9" style="1171"/>
    <col min="12804" max="12804" width="10.44140625" style="1171" customWidth="1"/>
    <col min="12805" max="12806" width="9.77734375" style="1171" customWidth="1"/>
    <col min="12807" max="12812" width="9" style="1171"/>
    <col min="12813" max="12813" width="0" style="1171" hidden="1" customWidth="1"/>
    <col min="12814" max="13056" width="9" style="1171"/>
    <col min="13057" max="13057" width="9.6640625" style="1171" customWidth="1"/>
    <col min="13058" max="13059" width="9" style="1171"/>
    <col min="13060" max="13060" width="10.44140625" style="1171" customWidth="1"/>
    <col min="13061" max="13062" width="9.77734375" style="1171" customWidth="1"/>
    <col min="13063" max="13068" width="9" style="1171"/>
    <col min="13069" max="13069" width="0" style="1171" hidden="1" customWidth="1"/>
    <col min="13070" max="13312" width="9" style="1171"/>
    <col min="13313" max="13313" width="9.6640625" style="1171" customWidth="1"/>
    <col min="13314" max="13315" width="9" style="1171"/>
    <col min="13316" max="13316" width="10.44140625" style="1171" customWidth="1"/>
    <col min="13317" max="13318" width="9.77734375" style="1171" customWidth="1"/>
    <col min="13319" max="13324" width="9" style="1171"/>
    <col min="13325" max="13325" width="0" style="1171" hidden="1" customWidth="1"/>
    <col min="13326" max="13568" width="9" style="1171"/>
    <col min="13569" max="13569" width="9.6640625" style="1171" customWidth="1"/>
    <col min="13570" max="13571" width="9" style="1171"/>
    <col min="13572" max="13572" width="10.44140625" style="1171" customWidth="1"/>
    <col min="13573" max="13574" width="9.77734375" style="1171" customWidth="1"/>
    <col min="13575" max="13580" width="9" style="1171"/>
    <col min="13581" max="13581" width="0" style="1171" hidden="1" customWidth="1"/>
    <col min="13582" max="13824" width="9" style="1171"/>
    <col min="13825" max="13825" width="9.6640625" style="1171" customWidth="1"/>
    <col min="13826" max="13827" width="9" style="1171"/>
    <col min="13828" max="13828" width="10.44140625" style="1171" customWidth="1"/>
    <col min="13829" max="13830" width="9.77734375" style="1171" customWidth="1"/>
    <col min="13831" max="13836" width="9" style="1171"/>
    <col min="13837" max="13837" width="0" style="1171" hidden="1" customWidth="1"/>
    <col min="13838" max="14080" width="9" style="1171"/>
    <col min="14081" max="14081" width="9.6640625" style="1171" customWidth="1"/>
    <col min="14082" max="14083" width="9" style="1171"/>
    <col min="14084" max="14084" width="10.44140625" style="1171" customWidth="1"/>
    <col min="14085" max="14086" width="9.77734375" style="1171" customWidth="1"/>
    <col min="14087" max="14092" width="9" style="1171"/>
    <col min="14093" max="14093" width="0" style="1171" hidden="1" customWidth="1"/>
    <col min="14094" max="14336" width="9" style="1171"/>
    <col min="14337" max="14337" width="9.6640625" style="1171" customWidth="1"/>
    <col min="14338" max="14339" width="9" style="1171"/>
    <col min="14340" max="14340" width="10.44140625" style="1171" customWidth="1"/>
    <col min="14341" max="14342" width="9.77734375" style="1171" customWidth="1"/>
    <col min="14343" max="14348" width="9" style="1171"/>
    <col min="14349" max="14349" width="0" style="1171" hidden="1" customWidth="1"/>
    <col min="14350" max="14592" width="9" style="1171"/>
    <col min="14593" max="14593" width="9.6640625" style="1171" customWidth="1"/>
    <col min="14594" max="14595" width="9" style="1171"/>
    <col min="14596" max="14596" width="10.44140625" style="1171" customWidth="1"/>
    <col min="14597" max="14598" width="9.77734375" style="1171" customWidth="1"/>
    <col min="14599" max="14604" width="9" style="1171"/>
    <col min="14605" max="14605" width="0" style="1171" hidden="1" customWidth="1"/>
    <col min="14606" max="14848" width="9" style="1171"/>
    <col min="14849" max="14849" width="9.6640625" style="1171" customWidth="1"/>
    <col min="14850" max="14851" width="9" style="1171"/>
    <col min="14852" max="14852" width="10.44140625" style="1171" customWidth="1"/>
    <col min="14853" max="14854" width="9.77734375" style="1171" customWidth="1"/>
    <col min="14855" max="14860" width="9" style="1171"/>
    <col min="14861" max="14861" width="0" style="1171" hidden="1" customWidth="1"/>
    <col min="14862" max="15104" width="9" style="1171"/>
    <col min="15105" max="15105" width="9.6640625" style="1171" customWidth="1"/>
    <col min="15106" max="15107" width="9" style="1171"/>
    <col min="15108" max="15108" width="10.44140625" style="1171" customWidth="1"/>
    <col min="15109" max="15110" width="9.77734375" style="1171" customWidth="1"/>
    <col min="15111" max="15116" width="9" style="1171"/>
    <col min="15117" max="15117" width="0" style="1171" hidden="1" customWidth="1"/>
    <col min="15118" max="15360" width="9" style="1171"/>
    <col min="15361" max="15361" width="9.6640625" style="1171" customWidth="1"/>
    <col min="15362" max="15363" width="9" style="1171"/>
    <col min="15364" max="15364" width="10.44140625" style="1171" customWidth="1"/>
    <col min="15365" max="15366" width="9.77734375" style="1171" customWidth="1"/>
    <col min="15367" max="15372" width="9" style="1171"/>
    <col min="15373" max="15373" width="0" style="1171" hidden="1" customWidth="1"/>
    <col min="15374" max="15616" width="9" style="1171"/>
    <col min="15617" max="15617" width="9.6640625" style="1171" customWidth="1"/>
    <col min="15618" max="15619" width="9" style="1171"/>
    <col min="15620" max="15620" width="10.44140625" style="1171" customWidth="1"/>
    <col min="15621" max="15622" width="9.77734375" style="1171" customWidth="1"/>
    <col min="15623" max="15628" width="9" style="1171"/>
    <col min="15629" max="15629" width="0" style="1171" hidden="1" customWidth="1"/>
    <col min="15630" max="15872" width="9" style="1171"/>
    <col min="15873" max="15873" width="9.6640625" style="1171" customWidth="1"/>
    <col min="15874" max="15875" width="9" style="1171"/>
    <col min="15876" max="15876" width="10.44140625" style="1171" customWidth="1"/>
    <col min="15877" max="15878" width="9.77734375" style="1171" customWidth="1"/>
    <col min="15879" max="15884" width="9" style="1171"/>
    <col min="15885" max="15885" width="0" style="1171" hidden="1" customWidth="1"/>
    <col min="15886" max="16128" width="9" style="1171"/>
    <col min="16129" max="16129" width="9.6640625" style="1171" customWidth="1"/>
    <col min="16130" max="16131" width="9" style="1171"/>
    <col min="16132" max="16132" width="10.44140625" style="1171" customWidth="1"/>
    <col min="16133" max="16134" width="9.77734375" style="1171" customWidth="1"/>
    <col min="16135" max="16140" width="9" style="1171"/>
    <col min="16141" max="16141" width="0" style="1171" hidden="1" customWidth="1"/>
    <col min="16142" max="16384" width="9" style="1171"/>
  </cols>
  <sheetData>
    <row r="1" spans="1:13" s="1164" customFormat="1" ht="60.75" thickBot="1">
      <c r="A1" s="1158" t="s">
        <v>294</v>
      </c>
      <c r="B1" s="1159" t="s">
        <v>295</v>
      </c>
      <c r="C1" s="1159" t="s">
        <v>296</v>
      </c>
      <c r="D1" s="1160" t="s">
        <v>297</v>
      </c>
      <c r="E1" s="1161" t="s">
        <v>298</v>
      </c>
      <c r="F1" s="1162" t="s">
        <v>299</v>
      </c>
      <c r="G1" s="1161" t="s">
        <v>306</v>
      </c>
      <c r="H1" s="1162" t="s">
        <v>307</v>
      </c>
      <c r="I1" s="1162" t="s">
        <v>300</v>
      </c>
      <c r="J1" s="1162" t="s">
        <v>301</v>
      </c>
      <c r="K1" s="1161" t="s">
        <v>302</v>
      </c>
      <c r="L1" s="1161" t="s">
        <v>303</v>
      </c>
      <c r="M1" s="1163" t="s">
        <v>304</v>
      </c>
    </row>
    <row r="2" spans="1:13">
      <c r="A2" s="1165" t="s">
        <v>305</v>
      </c>
      <c r="B2" s="1166">
        <v>1</v>
      </c>
      <c r="C2" s="1166">
        <v>3</v>
      </c>
      <c r="D2" s="1167">
        <v>2021</v>
      </c>
      <c r="E2" s="1168">
        <f>'Daily HLP'!I4</f>
        <v>22397</v>
      </c>
      <c r="F2" s="1169">
        <f>9.17*0.014</f>
        <v>0.12837999999999999</v>
      </c>
      <c r="G2" s="1169">
        <f>'Daily HLP'!M4</f>
        <v>880.63199999998324</v>
      </c>
      <c r="H2" s="1169">
        <f>48.88*0.014</f>
        <v>0.68432000000000004</v>
      </c>
      <c r="I2" s="1169">
        <f>'Daily HLP'!P4</f>
        <v>228</v>
      </c>
      <c r="J2" s="1169">
        <f>100*0.014</f>
        <v>1.4000000000000001</v>
      </c>
      <c r="K2" s="1244">
        <f>Occupancy!G2</f>
        <v>1</v>
      </c>
      <c r="L2" s="1168">
        <f>Occupancy!F2</f>
        <v>0</v>
      </c>
      <c r="M2" s="1170" t="e">
        <f>E2*F2+G2*H2+#REF!*#REF!+I2*J2</f>
        <v>#REF!</v>
      </c>
    </row>
    <row r="3" spans="1:13">
      <c r="A3" s="1165" t="s">
        <v>305</v>
      </c>
      <c r="B3" s="1166">
        <f>B2+1</f>
        <v>2</v>
      </c>
      <c r="C3" s="1166">
        <v>3</v>
      </c>
      <c r="D3" s="1167">
        <v>2021</v>
      </c>
      <c r="E3" s="1168">
        <f>'Daily HLP'!I5</f>
        <v>22379</v>
      </c>
      <c r="F3" s="1169">
        <f t="shared" ref="F3:F31" si="0">9.17*0.014</f>
        <v>0.12837999999999999</v>
      </c>
      <c r="G3" s="1169">
        <f>'Daily HLP'!M5</f>
        <v>993.17799999983981</v>
      </c>
      <c r="H3" s="1169">
        <f t="shared" ref="H3:H31" si="1">48.88*0.014</f>
        <v>0.68432000000000004</v>
      </c>
      <c r="I3" s="1169">
        <f>'Daily HLP'!P5</f>
        <v>192</v>
      </c>
      <c r="J3" s="1169">
        <f t="shared" ref="J3:J31" si="2">100*0.014</f>
        <v>1.4000000000000001</v>
      </c>
      <c r="K3" s="1244">
        <f>Occupancy!G3</f>
        <v>121</v>
      </c>
      <c r="L3" s="1168">
        <f>Occupancy!F3</f>
        <v>349</v>
      </c>
      <c r="M3" s="1170" t="e">
        <f>E3*F3+G3*H3+#REF!*#REF!+I3*J3</f>
        <v>#REF!</v>
      </c>
    </row>
    <row r="4" spans="1:13">
      <c r="A4" s="1165" t="s">
        <v>305</v>
      </c>
      <c r="B4" s="1166">
        <f t="shared" ref="B4:B31" si="3">B3+1</f>
        <v>3</v>
      </c>
      <c r="C4" s="1166">
        <v>3</v>
      </c>
      <c r="D4" s="1167">
        <v>2021</v>
      </c>
      <c r="E4" s="1168">
        <f>'Daily HLP'!I6</f>
        <v>21109</v>
      </c>
      <c r="F4" s="1169">
        <f t="shared" si="0"/>
        <v>0.12837999999999999</v>
      </c>
      <c r="G4" s="1169">
        <f>'Daily HLP'!M6</f>
        <v>830.41000000014901</v>
      </c>
      <c r="H4" s="1169">
        <f t="shared" si="1"/>
        <v>0.68432000000000004</v>
      </c>
      <c r="I4" s="1169">
        <f>'Daily HLP'!P6</f>
        <v>192</v>
      </c>
      <c r="J4" s="1169">
        <f t="shared" si="2"/>
        <v>1.4000000000000001</v>
      </c>
      <c r="K4" s="1244">
        <f>Occupancy!G4</f>
        <v>84</v>
      </c>
      <c r="L4" s="1168">
        <f>Occupancy!F4</f>
        <v>399</v>
      </c>
      <c r="M4" s="1170" t="e">
        <f>E4*F4+G4*H4+#REF!*#REF!+I4*J4</f>
        <v>#REF!</v>
      </c>
    </row>
    <row r="5" spans="1:13">
      <c r="A5" s="1165" t="s">
        <v>305</v>
      </c>
      <c r="B5" s="1166">
        <f t="shared" si="3"/>
        <v>4</v>
      </c>
      <c r="C5" s="1166">
        <v>3</v>
      </c>
      <c r="D5" s="1167">
        <v>2021</v>
      </c>
      <c r="E5" s="1168">
        <f>'Daily HLP'!I7</f>
        <v>19792</v>
      </c>
      <c r="F5" s="1169">
        <f t="shared" si="0"/>
        <v>0.12837999999999999</v>
      </c>
      <c r="G5" s="1169">
        <f>'Daily HLP'!M7</f>
        <v>884.16999999992549</v>
      </c>
      <c r="H5" s="1169">
        <f t="shared" si="1"/>
        <v>0.68432000000000004</v>
      </c>
      <c r="I5" s="1169">
        <f>'Daily HLP'!P7</f>
        <v>192</v>
      </c>
      <c r="J5" s="1169">
        <f t="shared" si="2"/>
        <v>1.4000000000000001</v>
      </c>
      <c r="K5" s="1244">
        <f>Occupancy!G5</f>
        <v>86</v>
      </c>
      <c r="L5" s="1168">
        <f>Occupancy!F5</f>
        <v>369</v>
      </c>
      <c r="M5" s="1170" t="e">
        <f>E5*F5+G5*H5+#REF!*#REF!+I5*J5</f>
        <v>#REF!</v>
      </c>
    </row>
    <row r="6" spans="1:13">
      <c r="A6" s="1165" t="s">
        <v>305</v>
      </c>
      <c r="B6" s="1166">
        <f t="shared" si="3"/>
        <v>5</v>
      </c>
      <c r="C6" s="1166">
        <v>3</v>
      </c>
      <c r="D6" s="1167">
        <v>2021</v>
      </c>
      <c r="E6" s="1168">
        <f>'Daily HLP'!I8</f>
        <v>20391</v>
      </c>
      <c r="F6" s="1169">
        <f t="shared" si="0"/>
        <v>0.12837999999999999</v>
      </c>
      <c r="G6" s="1169">
        <f>'Daily HLP'!M8</f>
        <v>893.63999999989755</v>
      </c>
      <c r="H6" s="1169">
        <f t="shared" si="1"/>
        <v>0.68432000000000004</v>
      </c>
      <c r="I6" s="1169">
        <f>'Daily HLP'!P8</f>
        <v>191</v>
      </c>
      <c r="J6" s="1169">
        <f t="shared" si="2"/>
        <v>1.4000000000000001</v>
      </c>
      <c r="K6" s="1244">
        <f>Occupancy!G6</f>
        <v>97</v>
      </c>
      <c r="L6" s="1168">
        <f>Occupancy!F6</f>
        <v>328</v>
      </c>
      <c r="M6" s="1170" t="e">
        <f>E6*F6+G6*H6+#REF!*#REF!+I6*J6</f>
        <v>#REF!</v>
      </c>
    </row>
    <row r="7" spans="1:13">
      <c r="A7" s="1165" t="s">
        <v>305</v>
      </c>
      <c r="B7" s="1166">
        <f t="shared" si="3"/>
        <v>6</v>
      </c>
      <c r="C7" s="1166">
        <v>3</v>
      </c>
      <c r="D7" s="1167">
        <v>2021</v>
      </c>
      <c r="E7" s="1168">
        <f>'Daily HLP'!I9</f>
        <v>21871</v>
      </c>
      <c r="F7" s="1169">
        <f t="shared" si="0"/>
        <v>0.12837999999999999</v>
      </c>
      <c r="G7" s="1169">
        <f>'Daily HLP'!M9</f>
        <v>944.36000000010245</v>
      </c>
      <c r="H7" s="1169">
        <f t="shared" si="1"/>
        <v>0.68432000000000004</v>
      </c>
      <c r="I7" s="1169">
        <f>'Daily HLP'!P9</f>
        <v>191</v>
      </c>
      <c r="J7" s="1169">
        <f t="shared" si="2"/>
        <v>1.4000000000000001</v>
      </c>
      <c r="K7" s="1244">
        <f>Occupancy!G7</f>
        <v>162</v>
      </c>
      <c r="L7" s="1168">
        <f>Occupancy!F7</f>
        <v>506</v>
      </c>
      <c r="M7" s="1170" t="e">
        <f>E7*F7+G7*H7+#REF!*#REF!+I7*J7</f>
        <v>#REF!</v>
      </c>
    </row>
    <row r="8" spans="1:13">
      <c r="A8" s="1165" t="s">
        <v>305</v>
      </c>
      <c r="B8" s="1166">
        <f t="shared" si="3"/>
        <v>7</v>
      </c>
      <c r="C8" s="1166">
        <v>3</v>
      </c>
      <c r="D8" s="1167">
        <v>2021</v>
      </c>
      <c r="E8" s="1168">
        <f>'Daily HLP'!I10</f>
        <v>21611</v>
      </c>
      <c r="F8" s="1169">
        <f t="shared" si="0"/>
        <v>0.12837999999999999</v>
      </c>
      <c r="G8" s="1169">
        <f>'Daily HLP'!M10</f>
        <v>931</v>
      </c>
      <c r="H8" s="1169">
        <f t="shared" si="1"/>
        <v>0.68432000000000004</v>
      </c>
      <c r="I8" s="1169">
        <f>'Daily HLP'!P10</f>
        <v>251</v>
      </c>
      <c r="J8" s="1169">
        <f t="shared" si="2"/>
        <v>1.4000000000000001</v>
      </c>
      <c r="K8" s="1244">
        <f>Occupancy!G8</f>
        <v>99</v>
      </c>
      <c r="L8" s="1168">
        <f>Occupancy!F8</f>
        <v>607</v>
      </c>
      <c r="M8" s="1170" t="e">
        <f>E8*F8+G8*H8+#REF!*#REF!+I8*J8</f>
        <v>#REF!</v>
      </c>
    </row>
    <row r="9" spans="1:13">
      <c r="A9" s="1165" t="s">
        <v>305</v>
      </c>
      <c r="B9" s="1166">
        <f t="shared" si="3"/>
        <v>8</v>
      </c>
      <c r="C9" s="1166">
        <v>3</v>
      </c>
      <c r="D9" s="1167">
        <v>2021</v>
      </c>
      <c r="E9" s="1168">
        <f>'Daily HLP'!I11</f>
        <v>22521</v>
      </c>
      <c r="F9" s="1169">
        <f t="shared" si="0"/>
        <v>0.12837999999999999</v>
      </c>
      <c r="G9" s="1169">
        <f>'Daily HLP'!M11</f>
        <v>859.85000000009313</v>
      </c>
      <c r="H9" s="1169">
        <f t="shared" si="1"/>
        <v>0.68432000000000004</v>
      </c>
      <c r="I9" s="1169">
        <f>'Daily HLP'!P11</f>
        <v>193</v>
      </c>
      <c r="J9" s="1169">
        <f t="shared" si="2"/>
        <v>1.4000000000000001</v>
      </c>
      <c r="K9" s="1244">
        <f>Occupancy!G9</f>
        <v>82</v>
      </c>
      <c r="L9" s="1168">
        <f>Occupancy!F9</f>
        <v>406</v>
      </c>
      <c r="M9" s="1170" t="e">
        <f>E9*F9+G9*H9+#REF!*#REF!+I9*J9</f>
        <v>#REF!</v>
      </c>
    </row>
    <row r="10" spans="1:13">
      <c r="A10" s="1165" t="s">
        <v>305</v>
      </c>
      <c r="B10" s="1166">
        <f t="shared" si="3"/>
        <v>9</v>
      </c>
      <c r="C10" s="1166">
        <v>3</v>
      </c>
      <c r="D10" s="1167">
        <v>2021</v>
      </c>
      <c r="E10" s="1168">
        <f>'Daily HLP'!I12</f>
        <v>20912</v>
      </c>
      <c r="F10" s="1169">
        <f t="shared" si="0"/>
        <v>0.12837999999999999</v>
      </c>
      <c r="G10" s="1169">
        <f>'Daily HLP'!M12</f>
        <v>779.02000000001863</v>
      </c>
      <c r="H10" s="1169">
        <f t="shared" si="1"/>
        <v>0.68432000000000004</v>
      </c>
      <c r="I10" s="1169">
        <f>'Daily HLP'!P12</f>
        <v>172</v>
      </c>
      <c r="J10" s="1169">
        <f t="shared" si="2"/>
        <v>1.4000000000000001</v>
      </c>
      <c r="K10" s="1244">
        <f>Occupancy!G10</f>
        <v>84</v>
      </c>
      <c r="L10" s="1168">
        <f>Occupancy!F10</f>
        <v>328</v>
      </c>
      <c r="M10" s="1170" t="e">
        <f>E10*F10+G10*H10+#REF!*#REF!+I10*J10</f>
        <v>#REF!</v>
      </c>
    </row>
    <row r="11" spans="1:13">
      <c r="A11" s="1165" t="s">
        <v>305</v>
      </c>
      <c r="B11" s="1166">
        <f t="shared" si="3"/>
        <v>10</v>
      </c>
      <c r="C11" s="1166">
        <v>3</v>
      </c>
      <c r="D11" s="1167">
        <v>2021</v>
      </c>
      <c r="E11" s="1168">
        <f>'Daily HLP'!I13</f>
        <v>21790</v>
      </c>
      <c r="F11" s="1169">
        <f t="shared" si="0"/>
        <v>0.12837999999999999</v>
      </c>
      <c r="G11" s="1169">
        <f>'Daily HLP'!M13</f>
        <v>847.12999999988824</v>
      </c>
      <c r="H11" s="1169">
        <f t="shared" si="1"/>
        <v>0.68432000000000004</v>
      </c>
      <c r="I11" s="1169">
        <f>'Daily HLP'!P13</f>
        <v>152</v>
      </c>
      <c r="J11" s="1169">
        <f t="shared" si="2"/>
        <v>1.4000000000000001</v>
      </c>
      <c r="K11" s="1244">
        <f>Occupancy!G11</f>
        <v>81</v>
      </c>
      <c r="L11" s="1168">
        <f>Occupancy!F11</f>
        <v>362</v>
      </c>
      <c r="M11" s="1170" t="e">
        <f>E11*F11+G11*H11+#REF!*#REF!+I11*J11</f>
        <v>#REF!</v>
      </c>
    </row>
    <row r="12" spans="1:13">
      <c r="A12" s="1165" t="s">
        <v>305</v>
      </c>
      <c r="B12" s="1166">
        <f t="shared" si="3"/>
        <v>11</v>
      </c>
      <c r="C12" s="1166">
        <v>3</v>
      </c>
      <c r="D12" s="1167">
        <v>2021</v>
      </c>
      <c r="E12" s="1168">
        <f>'Daily HLP'!I14</f>
        <v>21316</v>
      </c>
      <c r="F12" s="1169">
        <f t="shared" si="0"/>
        <v>0.12837999999999999</v>
      </c>
      <c r="G12" s="1169">
        <f>'Daily HLP'!M14</f>
        <v>852</v>
      </c>
      <c r="H12" s="1169">
        <f t="shared" si="1"/>
        <v>0.68432000000000004</v>
      </c>
      <c r="I12" s="1169">
        <f>'Daily HLP'!P14</f>
        <v>171</v>
      </c>
      <c r="J12" s="1169">
        <f t="shared" si="2"/>
        <v>1.4000000000000001</v>
      </c>
      <c r="K12" s="1244">
        <f>Occupancy!G12</f>
        <v>69</v>
      </c>
      <c r="L12" s="1168">
        <f>Occupancy!F12</f>
        <v>305</v>
      </c>
      <c r="M12" s="1170" t="e">
        <f>E12*F12+G12*H12+#REF!*#REF!+I12*J12</f>
        <v>#REF!</v>
      </c>
    </row>
    <row r="13" spans="1:13">
      <c r="A13" s="1165" t="s">
        <v>305</v>
      </c>
      <c r="B13" s="1166">
        <f t="shared" si="3"/>
        <v>12</v>
      </c>
      <c r="C13" s="1166">
        <v>3</v>
      </c>
      <c r="D13" s="1167">
        <v>2021</v>
      </c>
      <c r="E13" s="1168">
        <f>'Daily HLP'!I15</f>
        <v>21182</v>
      </c>
      <c r="F13" s="1169">
        <f t="shared" si="0"/>
        <v>0.12837999999999999</v>
      </c>
      <c r="G13" s="1169">
        <f>'Daily HLP'!M15</f>
        <v>804.77000000001863</v>
      </c>
      <c r="H13" s="1169">
        <f t="shared" si="1"/>
        <v>0.68432000000000004</v>
      </c>
      <c r="I13" s="1169">
        <f>'Daily HLP'!P15</f>
        <v>154</v>
      </c>
      <c r="J13" s="1169">
        <f t="shared" si="2"/>
        <v>1.4000000000000001</v>
      </c>
      <c r="K13" s="1244">
        <f>Occupancy!G13</f>
        <v>78</v>
      </c>
      <c r="L13" s="1168">
        <f>Occupancy!F13</f>
        <v>455</v>
      </c>
      <c r="M13" s="1170" t="e">
        <f>E13*F13+G13*H13+#REF!*#REF!+I13*J13</f>
        <v>#REF!</v>
      </c>
    </row>
    <row r="14" spans="1:13">
      <c r="A14" s="1165" t="s">
        <v>305</v>
      </c>
      <c r="B14" s="1166">
        <f t="shared" si="3"/>
        <v>13</v>
      </c>
      <c r="C14" s="1166">
        <v>3</v>
      </c>
      <c r="D14" s="1167">
        <v>2021</v>
      </c>
      <c r="E14" s="1168">
        <f>'Daily HLP'!I16</f>
        <v>21531</v>
      </c>
      <c r="F14" s="1169">
        <f t="shared" si="0"/>
        <v>0.12837999999999999</v>
      </c>
      <c r="G14" s="1169">
        <f>'Daily HLP'!M16</f>
        <v>836.22999999998137</v>
      </c>
      <c r="H14" s="1169">
        <f t="shared" si="1"/>
        <v>0.68432000000000004</v>
      </c>
      <c r="I14" s="1169">
        <f>'Daily HLP'!P16</f>
        <v>213</v>
      </c>
      <c r="J14" s="1169">
        <f t="shared" si="2"/>
        <v>1.4000000000000001</v>
      </c>
      <c r="K14" s="1244">
        <f>Occupancy!G14</f>
        <v>140</v>
      </c>
      <c r="L14" s="1168">
        <f>Occupancy!F14</f>
        <v>415</v>
      </c>
      <c r="M14" s="1170" t="e">
        <f>E14*F14+G14*H14+#REF!*#REF!+I14*J14</f>
        <v>#REF!</v>
      </c>
    </row>
    <row r="15" spans="1:13">
      <c r="A15" s="1165" t="s">
        <v>305</v>
      </c>
      <c r="B15" s="1166">
        <f t="shared" si="3"/>
        <v>14</v>
      </c>
      <c r="C15" s="1166">
        <v>3</v>
      </c>
      <c r="D15" s="1167">
        <v>2021</v>
      </c>
      <c r="E15" s="1168">
        <f>'Daily HLP'!I17</f>
        <v>20968</v>
      </c>
      <c r="F15" s="1169">
        <f t="shared" si="0"/>
        <v>0.12837999999999999</v>
      </c>
      <c r="G15" s="1169">
        <f>'Daily HLP'!M17</f>
        <v>855</v>
      </c>
      <c r="H15" s="1169">
        <f t="shared" si="1"/>
        <v>0.68432000000000004</v>
      </c>
      <c r="I15" s="1169">
        <f>'Daily HLP'!P17</f>
        <v>232</v>
      </c>
      <c r="J15" s="1169">
        <f t="shared" si="2"/>
        <v>1.4000000000000001</v>
      </c>
      <c r="K15" s="1244">
        <f>Occupancy!G15</f>
        <v>74</v>
      </c>
      <c r="L15" s="1168">
        <f>Occupancy!F15</f>
        <v>542</v>
      </c>
      <c r="M15" s="1170" t="e">
        <f>E15*F15+G15*H15+#REF!*#REF!+I15*J15</f>
        <v>#REF!</v>
      </c>
    </row>
    <row r="16" spans="1:13">
      <c r="A16" s="1165" t="s">
        <v>305</v>
      </c>
      <c r="B16" s="1166">
        <f t="shared" si="3"/>
        <v>15</v>
      </c>
      <c r="C16" s="1166">
        <v>3</v>
      </c>
      <c r="D16" s="1167">
        <v>2021</v>
      </c>
      <c r="E16" s="1168">
        <f>'Daily HLP'!I18</f>
        <v>20985</v>
      </c>
      <c r="F16" s="1169">
        <f t="shared" si="0"/>
        <v>0.12837999999999999</v>
      </c>
      <c r="G16" s="1169">
        <f>'Daily HLP'!M18</f>
        <v>827.70900000003166</v>
      </c>
      <c r="H16" s="1169">
        <f t="shared" si="1"/>
        <v>0.68432000000000004</v>
      </c>
      <c r="I16" s="1169">
        <f>'Daily HLP'!P18</f>
        <v>175</v>
      </c>
      <c r="J16" s="1169">
        <f t="shared" si="2"/>
        <v>1.4000000000000001</v>
      </c>
      <c r="K16" s="1244">
        <f>Occupancy!G16</f>
        <v>61</v>
      </c>
      <c r="L16" s="1168">
        <f>Occupancy!F16</f>
        <v>257</v>
      </c>
      <c r="M16" s="1170" t="e">
        <f>E16*F16+G16*H16+#REF!*#REF!+I16*J16</f>
        <v>#REF!</v>
      </c>
    </row>
    <row r="17" spans="1:13">
      <c r="A17" s="1165" t="s">
        <v>305</v>
      </c>
      <c r="B17" s="1166">
        <f t="shared" si="3"/>
        <v>16</v>
      </c>
      <c r="C17" s="1166">
        <v>3</v>
      </c>
      <c r="D17" s="1167">
        <v>2021</v>
      </c>
      <c r="E17" s="1168">
        <f>'Daily HLP'!I19</f>
        <v>20449</v>
      </c>
      <c r="F17" s="1169">
        <f t="shared" si="0"/>
        <v>0.12837999999999999</v>
      </c>
      <c r="G17" s="1169">
        <f>'Daily HLP'!M19</f>
        <v>821.11100000003353</v>
      </c>
      <c r="H17" s="1169">
        <f t="shared" si="1"/>
        <v>0.68432000000000004</v>
      </c>
      <c r="I17" s="1169">
        <f>'Daily HLP'!P19</f>
        <v>154</v>
      </c>
      <c r="J17" s="1169">
        <f t="shared" si="2"/>
        <v>1.4000000000000001</v>
      </c>
      <c r="K17" s="1244">
        <f>Occupancy!G17</f>
        <v>79</v>
      </c>
      <c r="L17" s="1168">
        <f>Occupancy!F17</f>
        <v>315</v>
      </c>
      <c r="M17" s="1170" t="e">
        <f>E17*F17+G17*H17+#REF!*#REF!+I17*J17</f>
        <v>#REF!</v>
      </c>
    </row>
    <row r="18" spans="1:13">
      <c r="A18" s="1165" t="s">
        <v>305</v>
      </c>
      <c r="B18" s="1166">
        <f t="shared" si="3"/>
        <v>17</v>
      </c>
      <c r="C18" s="1166">
        <v>3</v>
      </c>
      <c r="D18" s="1167">
        <v>2021</v>
      </c>
      <c r="E18" s="1168">
        <f>'Daily HLP'!I20</f>
        <v>20248</v>
      </c>
      <c r="F18" s="1169">
        <f t="shared" si="0"/>
        <v>0.12837999999999999</v>
      </c>
      <c r="G18" s="1169">
        <f>'Daily HLP'!M20</f>
        <v>780.70900000003166</v>
      </c>
      <c r="H18" s="1169">
        <f t="shared" si="1"/>
        <v>0.68432000000000004</v>
      </c>
      <c r="I18" s="1169">
        <f>'Daily HLP'!P20</f>
        <v>173</v>
      </c>
      <c r="J18" s="1169">
        <f t="shared" si="2"/>
        <v>1.4000000000000001</v>
      </c>
      <c r="K18" s="1244">
        <f>Occupancy!G18</f>
        <v>84</v>
      </c>
      <c r="L18" s="1168">
        <f>Occupancy!F18</f>
        <v>364</v>
      </c>
      <c r="M18" s="1170" t="e">
        <f>E18*F18+G18*H18+#REF!*#REF!+I18*J18</f>
        <v>#REF!</v>
      </c>
    </row>
    <row r="19" spans="1:13">
      <c r="A19" s="1165" t="s">
        <v>305</v>
      </c>
      <c r="B19" s="1166">
        <f t="shared" si="3"/>
        <v>18</v>
      </c>
      <c r="C19" s="1166">
        <v>3</v>
      </c>
      <c r="D19" s="1167">
        <v>2021</v>
      </c>
      <c r="E19" s="1168">
        <f>'Daily HLP'!I21</f>
        <v>23409</v>
      </c>
      <c r="F19" s="1169">
        <f t="shared" si="0"/>
        <v>0.12837999999999999</v>
      </c>
      <c r="G19" s="1169">
        <f>'Daily HLP'!M21</f>
        <v>810.4749999998603</v>
      </c>
      <c r="H19" s="1169">
        <f t="shared" si="1"/>
        <v>0.68432000000000004</v>
      </c>
      <c r="I19" s="1169">
        <f>'Daily HLP'!P21</f>
        <v>133</v>
      </c>
      <c r="J19" s="1169">
        <f t="shared" si="2"/>
        <v>1.4000000000000001</v>
      </c>
      <c r="K19" s="1244">
        <f>Occupancy!G19</f>
        <v>85</v>
      </c>
      <c r="L19" s="1168">
        <f>Occupancy!F19</f>
        <v>251</v>
      </c>
      <c r="M19" s="1170" t="e">
        <f>E19*F19+G19*H19+#REF!*#REF!+I19*J19</f>
        <v>#REF!</v>
      </c>
    </row>
    <row r="20" spans="1:13">
      <c r="A20" s="1165" t="s">
        <v>305</v>
      </c>
      <c r="B20" s="1166">
        <f t="shared" si="3"/>
        <v>19</v>
      </c>
      <c r="C20" s="1166">
        <v>3</v>
      </c>
      <c r="D20" s="1167">
        <v>2021</v>
      </c>
      <c r="E20" s="1168">
        <f>'Daily HLP'!I22</f>
        <v>19811</v>
      </c>
      <c r="F20" s="1169">
        <f t="shared" si="0"/>
        <v>0.12837999999999999</v>
      </c>
      <c r="G20" s="1169">
        <f>'Daily HLP'!M22</f>
        <v>806.65599999995902</v>
      </c>
      <c r="H20" s="1169">
        <f t="shared" si="1"/>
        <v>0.68432000000000004</v>
      </c>
      <c r="I20" s="1169">
        <f>'Daily HLP'!P22</f>
        <v>171</v>
      </c>
      <c r="J20" s="1169">
        <f t="shared" si="2"/>
        <v>1.4000000000000001</v>
      </c>
      <c r="K20" s="1244">
        <f>Occupancy!G20</f>
        <v>100</v>
      </c>
      <c r="L20" s="1168">
        <f>Occupancy!F20</f>
        <v>410</v>
      </c>
      <c r="M20" s="1170" t="e">
        <f>E20*F20+G20*H20+#REF!*#REF!+I20*J20</f>
        <v>#REF!</v>
      </c>
    </row>
    <row r="21" spans="1:13">
      <c r="A21" s="1165" t="s">
        <v>305</v>
      </c>
      <c r="B21" s="1166">
        <f t="shared" si="3"/>
        <v>20</v>
      </c>
      <c r="C21" s="1166">
        <v>3</v>
      </c>
      <c r="D21" s="1167">
        <v>2021</v>
      </c>
      <c r="E21" s="1168">
        <f>'Daily HLP'!I23</f>
        <v>21543</v>
      </c>
      <c r="F21" s="1169">
        <f t="shared" si="0"/>
        <v>0.12837999999999999</v>
      </c>
      <c r="G21" s="1169">
        <f>'Daily HLP'!M23</f>
        <v>922.34000000008382</v>
      </c>
      <c r="H21" s="1169">
        <f t="shared" si="1"/>
        <v>0.68432000000000004</v>
      </c>
      <c r="I21" s="1169">
        <f>'Daily HLP'!P23</f>
        <v>152</v>
      </c>
      <c r="J21" s="1169">
        <f t="shared" si="2"/>
        <v>1.4000000000000001</v>
      </c>
      <c r="K21" s="1244">
        <f>Occupancy!G21</f>
        <v>147</v>
      </c>
      <c r="L21" s="1168">
        <f>Occupancy!F21</f>
        <v>683</v>
      </c>
      <c r="M21" s="1170" t="e">
        <f>E21*F21+G21*H21+#REF!*#REF!+I21*J21</f>
        <v>#REF!</v>
      </c>
    </row>
    <row r="22" spans="1:13">
      <c r="A22" s="1165" t="s">
        <v>305</v>
      </c>
      <c r="B22" s="1166">
        <f t="shared" si="3"/>
        <v>21</v>
      </c>
      <c r="C22" s="1166">
        <v>3</v>
      </c>
      <c r="D22" s="1167">
        <v>2021</v>
      </c>
      <c r="E22" s="1168">
        <f>'Daily HLP'!I24</f>
        <v>21518</v>
      </c>
      <c r="F22" s="1169">
        <f t="shared" si="0"/>
        <v>0.12837999999999999</v>
      </c>
      <c r="G22" s="1169">
        <f>'Daily HLP'!M24</f>
        <v>979.96999999997206</v>
      </c>
      <c r="H22" s="1169">
        <f t="shared" si="1"/>
        <v>0.68432000000000004</v>
      </c>
      <c r="I22" s="1169">
        <f>'Daily HLP'!P24</f>
        <v>203</v>
      </c>
      <c r="J22" s="1169">
        <f t="shared" si="2"/>
        <v>1.4000000000000001</v>
      </c>
      <c r="K22" s="1244">
        <f>Occupancy!G22</f>
        <v>101</v>
      </c>
      <c r="L22" s="1168">
        <f>Occupancy!F22</f>
        <v>530</v>
      </c>
      <c r="M22" s="1170" t="e">
        <f>E22*F22+G22*H22+#REF!*#REF!+I22*J22</f>
        <v>#REF!</v>
      </c>
    </row>
    <row r="23" spans="1:13">
      <c r="A23" s="1165" t="s">
        <v>305</v>
      </c>
      <c r="B23" s="1166">
        <f t="shared" si="3"/>
        <v>22</v>
      </c>
      <c r="C23" s="1166">
        <v>3</v>
      </c>
      <c r="D23" s="1167">
        <v>2021</v>
      </c>
      <c r="E23" s="1168">
        <f>'Daily HLP'!I25</f>
        <v>21653</v>
      </c>
      <c r="F23" s="1169">
        <f t="shared" si="0"/>
        <v>0.12837999999999999</v>
      </c>
      <c r="G23" s="1169">
        <f>'Daily HLP'!M25</f>
        <v>949.80000000004657</v>
      </c>
      <c r="H23" s="1169">
        <f t="shared" si="1"/>
        <v>0.68432000000000004</v>
      </c>
      <c r="I23" s="1169">
        <f>'Daily HLP'!P25</f>
        <v>174</v>
      </c>
      <c r="J23" s="1169">
        <f t="shared" si="2"/>
        <v>1.4000000000000001</v>
      </c>
      <c r="K23" s="1244">
        <f>Occupancy!G23</f>
        <v>106</v>
      </c>
      <c r="L23" s="1168">
        <f>Occupancy!F23</f>
        <v>267</v>
      </c>
      <c r="M23" s="1170" t="e">
        <f>E23*F23+G23*H23+#REF!*#REF!+I23*J23</f>
        <v>#REF!</v>
      </c>
    </row>
    <row r="24" spans="1:13">
      <c r="A24" s="1165" t="s">
        <v>305</v>
      </c>
      <c r="B24" s="1166">
        <f t="shared" si="3"/>
        <v>23</v>
      </c>
      <c r="C24" s="1166">
        <v>3</v>
      </c>
      <c r="D24" s="1167">
        <v>2021</v>
      </c>
      <c r="E24" s="1168">
        <f>'Daily HLP'!I26</f>
        <v>20933</v>
      </c>
      <c r="F24" s="1169">
        <f t="shared" si="0"/>
        <v>0.12837999999999999</v>
      </c>
      <c r="G24" s="1169">
        <f>'Daily HLP'!M26</f>
        <v>913.22999999998137</v>
      </c>
      <c r="H24" s="1169">
        <f t="shared" si="1"/>
        <v>0.68432000000000004</v>
      </c>
      <c r="I24" s="1169">
        <f>'Daily HLP'!P26</f>
        <v>152</v>
      </c>
      <c r="J24" s="1169">
        <f t="shared" si="2"/>
        <v>1.4000000000000001</v>
      </c>
      <c r="K24" s="1244">
        <f>Occupancy!G24</f>
        <v>98</v>
      </c>
      <c r="L24" s="1168">
        <f>Occupancy!F24</f>
        <v>335</v>
      </c>
      <c r="M24" s="1170" t="e">
        <f>E24*F24+G24*H24+#REF!*#REF!+I24*J24</f>
        <v>#REF!</v>
      </c>
    </row>
    <row r="25" spans="1:13">
      <c r="A25" s="1165" t="s">
        <v>305</v>
      </c>
      <c r="B25" s="1166">
        <f t="shared" si="3"/>
        <v>24</v>
      </c>
      <c r="C25" s="1166">
        <v>3</v>
      </c>
      <c r="D25" s="1167">
        <v>2021</v>
      </c>
      <c r="E25" s="1168">
        <f>'Daily HLP'!I27</f>
        <v>21281</v>
      </c>
      <c r="F25" s="1169">
        <f t="shared" si="0"/>
        <v>0.12837999999999999</v>
      </c>
      <c r="G25" s="1169">
        <f>'Daily HLP'!M27</f>
        <v>296</v>
      </c>
      <c r="H25" s="1169">
        <f t="shared" si="1"/>
        <v>0.68432000000000004</v>
      </c>
      <c r="I25" s="1169">
        <f>'Daily HLP'!P27</f>
        <v>194</v>
      </c>
      <c r="J25" s="1169">
        <f t="shared" si="2"/>
        <v>1.4000000000000001</v>
      </c>
      <c r="K25" s="1244">
        <f>Occupancy!G25</f>
        <v>115</v>
      </c>
      <c r="L25" s="1168">
        <f>Occupancy!F25</f>
        <v>410</v>
      </c>
      <c r="M25" s="1170" t="e">
        <f>E25*F25+G25*H25+#REF!*#REF!+I25*J25</f>
        <v>#REF!</v>
      </c>
    </row>
    <row r="26" spans="1:13">
      <c r="A26" s="1165" t="s">
        <v>305</v>
      </c>
      <c r="B26" s="1166">
        <f>B25+1</f>
        <v>25</v>
      </c>
      <c r="C26" s="1166">
        <v>3</v>
      </c>
      <c r="D26" s="1167">
        <v>2021</v>
      </c>
      <c r="E26" s="1168">
        <f>'Daily HLP'!I28</f>
        <v>-4956677</v>
      </c>
      <c r="F26" s="1169">
        <f t="shared" si="0"/>
        <v>0.12837999999999999</v>
      </c>
      <c r="G26" s="1169">
        <f>'Daily HLP'!M28</f>
        <v>-1640178</v>
      </c>
      <c r="H26" s="1169">
        <f t="shared" si="1"/>
        <v>0.68432000000000004</v>
      </c>
      <c r="I26" s="1169">
        <f>'Daily HLP'!P28</f>
        <v>-135723</v>
      </c>
      <c r="J26" s="1169">
        <f t="shared" si="2"/>
        <v>1.4000000000000001</v>
      </c>
      <c r="K26" s="1244">
        <f>Occupancy!G26</f>
        <v>0</v>
      </c>
      <c r="L26" s="1168">
        <f>Occupancy!F26</f>
        <v>0</v>
      </c>
      <c r="M26" s="1170" t="e">
        <f>E26*F26+G26*H26+#REF!*#REF!+I26*J26</f>
        <v>#REF!</v>
      </c>
    </row>
    <row r="27" spans="1:13">
      <c r="A27" s="1165" t="s">
        <v>305</v>
      </c>
      <c r="B27" s="1166">
        <f t="shared" si="3"/>
        <v>26</v>
      </c>
      <c r="C27" s="1166">
        <v>3</v>
      </c>
      <c r="D27" s="1167">
        <v>2021</v>
      </c>
      <c r="E27" s="1168">
        <f>'Daily HLP'!I29</f>
        <v>0</v>
      </c>
      <c r="F27" s="1169">
        <f t="shared" si="0"/>
        <v>0.12837999999999999</v>
      </c>
      <c r="G27" s="1169">
        <f>'Daily HLP'!M29</f>
        <v>0</v>
      </c>
      <c r="H27" s="1169">
        <f t="shared" si="1"/>
        <v>0.68432000000000004</v>
      </c>
      <c r="I27" s="1169">
        <f>'Daily HLP'!P29</f>
        <v>0</v>
      </c>
      <c r="J27" s="1169">
        <f t="shared" si="2"/>
        <v>1.4000000000000001</v>
      </c>
      <c r="K27" s="1244">
        <f>Occupancy!G27</f>
        <v>0</v>
      </c>
      <c r="L27" s="1168">
        <f>Occupancy!F27</f>
        <v>0</v>
      </c>
      <c r="M27" s="1170" t="e">
        <f>E27*F27+G27*H27+#REF!*#REF!+I27*J27</f>
        <v>#REF!</v>
      </c>
    </row>
    <row r="28" spans="1:13">
      <c r="A28" s="1165" t="s">
        <v>305</v>
      </c>
      <c r="B28" s="1166">
        <f t="shared" si="3"/>
        <v>27</v>
      </c>
      <c r="C28" s="1166">
        <v>3</v>
      </c>
      <c r="D28" s="1167">
        <v>2021</v>
      </c>
      <c r="E28" s="1168">
        <f>'Daily HLP'!I30</f>
        <v>0</v>
      </c>
      <c r="F28" s="1169">
        <f t="shared" si="0"/>
        <v>0.12837999999999999</v>
      </c>
      <c r="G28" s="1169">
        <f>'Daily HLP'!M30</f>
        <v>0</v>
      </c>
      <c r="H28" s="1169">
        <f t="shared" si="1"/>
        <v>0.68432000000000004</v>
      </c>
      <c r="I28" s="1169">
        <f>'Daily HLP'!P30</f>
        <v>0</v>
      </c>
      <c r="J28" s="1169">
        <f t="shared" si="2"/>
        <v>1.4000000000000001</v>
      </c>
      <c r="K28" s="1244">
        <f>Occupancy!G28</f>
        <v>0</v>
      </c>
      <c r="L28" s="1168">
        <f>Occupancy!F28</f>
        <v>0</v>
      </c>
      <c r="M28" s="1170" t="e">
        <f>E28*F28+G28*H28+#REF!*#REF!+I28*J28</f>
        <v>#REF!</v>
      </c>
    </row>
    <row r="29" spans="1:13">
      <c r="A29" s="1165" t="s">
        <v>305</v>
      </c>
      <c r="B29" s="1166">
        <f t="shared" si="3"/>
        <v>28</v>
      </c>
      <c r="C29" s="1166">
        <v>3</v>
      </c>
      <c r="D29" s="1167">
        <v>2021</v>
      </c>
      <c r="E29" s="1168">
        <f>'Daily HLP'!I31</f>
        <v>0</v>
      </c>
      <c r="F29" s="1169">
        <f t="shared" si="0"/>
        <v>0.12837999999999999</v>
      </c>
      <c r="G29" s="1169">
        <f>'Daily HLP'!M31</f>
        <v>0</v>
      </c>
      <c r="H29" s="1169">
        <f t="shared" si="1"/>
        <v>0.68432000000000004</v>
      </c>
      <c r="I29" s="1169">
        <f>'Daily HLP'!P31</f>
        <v>0</v>
      </c>
      <c r="J29" s="1169">
        <f t="shared" si="2"/>
        <v>1.4000000000000001</v>
      </c>
      <c r="K29" s="1244">
        <f>Occupancy!G29</f>
        <v>0</v>
      </c>
      <c r="L29" s="1168">
        <f>Occupancy!F29</f>
        <v>0</v>
      </c>
      <c r="M29" s="1170" t="e">
        <f>E29*F29+G29*H29+#REF!*#REF!+I29*J29</f>
        <v>#REF!</v>
      </c>
    </row>
    <row r="30" spans="1:13">
      <c r="A30" s="1165" t="s">
        <v>305</v>
      </c>
      <c r="B30" s="1166">
        <f t="shared" si="3"/>
        <v>29</v>
      </c>
      <c r="C30" s="1166">
        <v>3</v>
      </c>
      <c r="D30" s="1167">
        <v>2021</v>
      </c>
      <c r="E30" s="1168">
        <f>'Daily HLP'!I32</f>
        <v>0</v>
      </c>
      <c r="F30" s="1169">
        <f t="shared" si="0"/>
        <v>0.12837999999999999</v>
      </c>
      <c r="G30" s="1169">
        <f>'Daily HLP'!M32</f>
        <v>0</v>
      </c>
      <c r="H30" s="1169">
        <f t="shared" si="1"/>
        <v>0.68432000000000004</v>
      </c>
      <c r="I30" s="1169">
        <f>'Daily HLP'!P32</f>
        <v>0</v>
      </c>
      <c r="J30" s="1169">
        <f t="shared" si="2"/>
        <v>1.4000000000000001</v>
      </c>
      <c r="K30" s="1244">
        <f>Occupancy!G30</f>
        <v>0</v>
      </c>
      <c r="L30" s="1168">
        <f>Occupancy!F30</f>
        <v>0</v>
      </c>
      <c r="M30" s="1170" t="e">
        <f>E30*F30+G30*H30+#REF!*#REF!+I30*J30</f>
        <v>#REF!</v>
      </c>
    </row>
    <row r="31" spans="1:13">
      <c r="A31" s="1165" t="s">
        <v>305</v>
      </c>
      <c r="B31" s="1166">
        <f t="shared" si="3"/>
        <v>30</v>
      </c>
      <c r="C31" s="1166">
        <v>3</v>
      </c>
      <c r="D31" s="1167">
        <v>2021</v>
      </c>
      <c r="E31" s="1168">
        <f>'Daily HLP'!I33</f>
        <v>0</v>
      </c>
      <c r="F31" s="1169">
        <f t="shared" si="0"/>
        <v>0.12837999999999999</v>
      </c>
      <c r="G31" s="1169">
        <f>'Daily HLP'!M33</f>
        <v>0</v>
      </c>
      <c r="H31" s="1169">
        <f t="shared" si="1"/>
        <v>0.68432000000000004</v>
      </c>
      <c r="I31" s="1169">
        <f>'Daily HLP'!P33</f>
        <v>0</v>
      </c>
      <c r="J31" s="1169">
        <f t="shared" si="2"/>
        <v>1.4000000000000001</v>
      </c>
      <c r="K31" s="1244">
        <f>Occupancy!G31</f>
        <v>0</v>
      </c>
      <c r="L31" s="1168">
        <f>Occupancy!F31</f>
        <v>0</v>
      </c>
      <c r="M31" s="1170" t="e">
        <f>E31*F31+G31*H31+#REF!*#REF!+I31*J31</f>
        <v>#REF!</v>
      </c>
    </row>
    <row r="32" spans="1:13" s="1168" customFormat="1">
      <c r="A32" s="1172"/>
      <c r="B32" s="1166"/>
      <c r="C32" s="1166"/>
      <c r="D32" s="1167"/>
      <c r="F32" s="1169"/>
      <c r="G32" s="1169"/>
      <c r="H32" s="1169"/>
      <c r="I32" s="1169"/>
      <c r="J32" s="1169"/>
      <c r="M32" s="1171"/>
    </row>
    <row r="33" spans="1:13" s="1168" customFormat="1">
      <c r="A33" s="1172"/>
      <c r="B33" s="1166"/>
      <c r="C33" s="1166"/>
      <c r="D33" s="1167"/>
      <c r="F33" s="1169"/>
      <c r="G33" s="1169"/>
      <c r="H33" s="1169"/>
      <c r="I33" s="1169"/>
      <c r="J33" s="1169"/>
      <c r="M33" s="1171"/>
    </row>
    <row r="34" spans="1:13" s="1168" customFormat="1">
      <c r="A34" s="1172"/>
      <c r="B34" s="1166"/>
      <c r="C34" s="1166"/>
      <c r="D34" s="1167"/>
      <c r="F34" s="1169"/>
      <c r="G34" s="1169"/>
      <c r="H34" s="1169"/>
      <c r="I34" s="1169"/>
      <c r="J34" s="1169"/>
      <c r="M34" s="1171"/>
    </row>
    <row r="35" spans="1:13" s="1168" customFormat="1">
      <c r="A35" s="1172"/>
      <c r="B35" s="1166"/>
      <c r="C35" s="1166"/>
      <c r="D35" s="1167"/>
      <c r="F35" s="1169"/>
      <c r="G35" s="1169"/>
      <c r="H35" s="1169"/>
      <c r="I35" s="1169"/>
      <c r="J35" s="1169"/>
      <c r="M35" s="1171"/>
    </row>
    <row r="36" spans="1:13" s="1168" customFormat="1">
      <c r="A36" s="1172"/>
      <c r="B36" s="1166"/>
      <c r="C36" s="1166"/>
      <c r="D36" s="1167"/>
      <c r="F36" s="1169"/>
      <c r="G36" s="1169"/>
      <c r="H36" s="1169"/>
      <c r="I36" s="1169"/>
      <c r="J36" s="1169"/>
      <c r="M36" s="1171"/>
    </row>
    <row r="37" spans="1:13" s="1168" customFormat="1">
      <c r="A37" s="1172"/>
      <c r="B37" s="1166"/>
      <c r="C37" s="1166"/>
      <c r="D37" s="1167"/>
      <c r="F37" s="1169"/>
      <c r="G37" s="1169"/>
      <c r="H37" s="1169"/>
      <c r="I37" s="1169"/>
      <c r="J37" s="1169"/>
      <c r="M37" s="1171"/>
    </row>
    <row r="38" spans="1:13" s="1168" customFormat="1">
      <c r="A38" s="1172"/>
      <c r="B38" s="1166"/>
      <c r="C38" s="1166"/>
      <c r="D38" s="1167"/>
      <c r="F38" s="1169"/>
      <c r="G38" s="1169"/>
      <c r="H38" s="1169"/>
      <c r="I38" s="1169"/>
      <c r="J38" s="1169"/>
      <c r="M38" s="1171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BA8" activePane="bottomRight" state="frozen"/>
      <selection pane="topRight" activeCell="C1" sqref="C1"/>
      <selection pane="bottomLeft" activeCell="A2" sqref="A2"/>
      <selection pane="bottomRight" activeCell="BM2" sqref="BM2"/>
    </sheetView>
  </sheetViews>
  <sheetFormatPr defaultColWidth="9" defaultRowHeight="15"/>
  <cols>
    <col min="1" max="1" width="20.109375" style="1286" customWidth="1"/>
    <col min="2" max="3" width="9" style="1290" customWidth="1"/>
    <col min="4" max="4" width="10.44140625" style="1290" customWidth="1"/>
    <col min="5" max="29" width="9.77734375" style="1306" customWidth="1"/>
    <col min="30" max="30" width="9" style="1306"/>
    <col min="31" max="31" width="9" style="1307"/>
    <col min="32" max="32" width="9" style="1306"/>
    <col min="33" max="65" width="9" style="1308"/>
    <col min="66" max="16384" width="9" style="1289"/>
  </cols>
  <sheetData>
    <row r="1" spans="1:65" s="1286" customFormat="1" ht="60" customHeight="1">
      <c r="A1" s="1284" t="s">
        <v>294</v>
      </c>
      <c r="B1" s="1285" t="s">
        <v>295</v>
      </c>
      <c r="C1" s="1285" t="s">
        <v>296</v>
      </c>
      <c r="D1" s="1285" t="s">
        <v>297</v>
      </c>
      <c r="E1" s="1300" t="str">
        <f>'Section Load'!B4</f>
        <v>HVAC</v>
      </c>
      <c r="F1" s="1300" t="str">
        <f>'Section Load'!C4</f>
        <v>Fire &amp; Emergency PP</v>
      </c>
      <c r="G1" s="1300" t="str">
        <f>'Section Load'!D4</f>
        <v>Main PP</v>
      </c>
      <c r="H1" s="1300" t="str">
        <f>'Section Load'!E4</f>
        <v>Lighting PP</v>
      </c>
      <c r="I1" s="1300" t="str">
        <f>'Section Load'!F4</f>
        <v>CH-1+ CH2+CH3+CH4</v>
      </c>
      <c r="J1" s="1300" t="str">
        <f>'Section Load'!G4</f>
        <v>Chilled water Pump</v>
      </c>
      <c r="K1" s="1300" t="str">
        <f>'Section Load'!H4</f>
        <v>Ball Room-1</v>
      </c>
      <c r="L1" s="1300" t="str">
        <f>'Section Load'!I4</f>
        <v>Ball Room-2</v>
      </c>
      <c r="M1" s="1300" t="str">
        <f>'Section Load'!J4</f>
        <v>MK-1</v>
      </c>
      <c r="N1" s="1300" t="str">
        <f>'Section Load'!K4</f>
        <v>MK-2</v>
      </c>
      <c r="O1" s="1300" t="str">
        <f>'Section Load'!L4</f>
        <v>Prato</v>
      </c>
      <c r="P1" s="1300" t="str">
        <f>'Section Load'!M4</f>
        <v>San- Qi Indian</v>
      </c>
      <c r="Q1" s="1300" t="str">
        <f>'Section Load'!N4</f>
        <v>San- Qi Japanese</v>
      </c>
      <c r="R1" s="1300" t="str">
        <f>'Section Load'!O4</f>
        <v>The club</v>
      </c>
      <c r="S1" s="1300" t="str">
        <f>'Section Load'!P4</f>
        <v>AER</v>
      </c>
      <c r="T1" s="1300" t="str">
        <f>'Section Load'!Q4</f>
        <v>COLD ROOM'S</v>
      </c>
      <c r="U1" s="1300" t="str">
        <f>'Section Load'!R4</f>
        <v>Ball Room 1</v>
      </c>
      <c r="V1" s="1300" t="str">
        <f>'Section Load'!S4</f>
        <v>Ball Room 2</v>
      </c>
      <c r="W1" s="1300" t="str">
        <f>'Section Load'!T4</f>
        <v>B1 Laundry</v>
      </c>
      <c r="X1" s="1300" t="str">
        <f>'Section Load'!U4</f>
        <v>B2 Laundry</v>
      </c>
      <c r="Y1" s="1300" t="str">
        <f>'Section Load'!V4</f>
        <v>STP</v>
      </c>
      <c r="Z1" s="1300" t="str">
        <f>'Section Load'!W4</f>
        <v>MOCK Up Room</v>
      </c>
      <c r="AA1" s="1300" t="str">
        <f>'Section Load'!X4</f>
        <v>27th Floor</v>
      </c>
      <c r="AB1" s="1300" t="str">
        <f>'Section Load'!Y4</f>
        <v>Physic57</v>
      </c>
      <c r="AC1" s="1300" t="str">
        <f>'Section Load'!Z4</f>
        <v>Pinoor Legal- Power+lighting</v>
      </c>
      <c r="AD1" s="1300" t="str">
        <f>'Section Load'!AA4</f>
        <v>2nd floor plant room</v>
      </c>
      <c r="AE1" s="1300" t="str">
        <f>'Section Load'!AB4</f>
        <v>5th Floor</v>
      </c>
      <c r="AF1" s="1300" t="str">
        <f>'Section Load'!AC4</f>
        <v>5th Floor</v>
      </c>
      <c r="AG1" s="1300" t="str">
        <f>'Section Load'!AD4</f>
        <v>12th Floor</v>
      </c>
      <c r="AH1" s="1300" t="str">
        <f>'Section Load'!AE4</f>
        <v>20th Floor</v>
      </c>
      <c r="AI1" s="1300" t="str">
        <f>'Section Load'!AF4</f>
        <v>27th Floor</v>
      </c>
      <c r="AJ1" s="1300" t="str">
        <f>'Section Load'!AG4</f>
        <v>34th Floor</v>
      </c>
      <c r="AK1" s="1300" t="str">
        <f>'Section Load'!AH4</f>
        <v>Sanqi</v>
      </c>
      <c r="AL1" s="1300" t="str">
        <f>'Section Load'!AI4</f>
        <v>Cooling Tower</v>
      </c>
      <c r="AM1" s="1301" t="s">
        <v>328</v>
      </c>
      <c r="AN1" s="1301" t="s">
        <v>207</v>
      </c>
      <c r="AO1" s="1301" t="s">
        <v>209</v>
      </c>
      <c r="AP1" s="1301" t="s">
        <v>210</v>
      </c>
      <c r="AQ1" s="1301" t="s">
        <v>211</v>
      </c>
      <c r="AR1" s="1301" t="s">
        <v>212</v>
      </c>
      <c r="AS1" s="1301" t="s">
        <v>213</v>
      </c>
      <c r="AT1" s="1301" t="s">
        <v>214</v>
      </c>
      <c r="AU1" s="1301" t="s">
        <v>219</v>
      </c>
      <c r="AV1" s="1301" t="s">
        <v>77</v>
      </c>
      <c r="AW1" s="1301" t="s">
        <v>78</v>
      </c>
      <c r="AX1" s="1301" t="s">
        <v>220</v>
      </c>
      <c r="AY1" s="1301" t="s">
        <v>221</v>
      </c>
      <c r="AZ1" s="1301" t="s">
        <v>222</v>
      </c>
      <c r="BA1" s="1301" t="s">
        <v>224</v>
      </c>
      <c r="BB1" s="1301" t="s">
        <v>225</v>
      </c>
      <c r="BC1" s="1301" t="s">
        <v>226</v>
      </c>
      <c r="BD1" s="1301" t="s">
        <v>227</v>
      </c>
      <c r="BE1" s="1301" t="s">
        <v>329</v>
      </c>
      <c r="BF1" s="1301" t="s">
        <v>330</v>
      </c>
      <c r="BG1" s="1302" t="str">
        <f>'Section Load'!AJ4</f>
        <v>MGL</v>
      </c>
      <c r="BH1" s="1302" t="str">
        <f>'Section Load'!AK4</f>
        <v>HWG</v>
      </c>
      <c r="BI1" s="1302" t="str">
        <f>'Section Load'!AL4</f>
        <v>Prato</v>
      </c>
      <c r="BJ1" s="1302" t="str">
        <f>'Section Load'!AM4</f>
        <v>BR-1</v>
      </c>
      <c r="BK1" s="1302" t="str">
        <f>'Section Load'!AN4</f>
        <v>SanQi IND</v>
      </c>
      <c r="BL1" s="1302" t="str">
        <f>'Section Load'!AO4</f>
        <v>SanQi JPN</v>
      </c>
      <c r="BM1" s="1302" t="str">
        <f>'Section Load'!AP4</f>
        <v>Boiler</v>
      </c>
    </row>
    <row r="2" spans="1:65" ht="15" customHeight="1">
      <c r="A2" s="1287" t="s">
        <v>305</v>
      </c>
      <c r="B2" s="1288">
        <v>1</v>
      </c>
      <c r="C2" s="1288">
        <v>3</v>
      </c>
      <c r="D2" s="1288">
        <v>2021</v>
      </c>
      <c r="E2" s="1303">
        <f>'Section Load'!B5</f>
        <v>3193.1199999999953</v>
      </c>
      <c r="F2" s="1303">
        <f>'Section Load'!C5</f>
        <v>1450.4500000000044</v>
      </c>
      <c r="G2" s="1303">
        <f>'Section Load'!D5</f>
        <v>2140.4200000000055</v>
      </c>
      <c r="H2" s="1303">
        <f>'Section Load'!E5</f>
        <v>4328.8000000000029</v>
      </c>
      <c r="I2" s="1303">
        <f>'Section Load'!F5</f>
        <v>5749.6500000000087</v>
      </c>
      <c r="J2" s="1303">
        <f>'Section Load'!G5</f>
        <v>2455.359999999986</v>
      </c>
      <c r="K2" s="1303">
        <f>'Section Load'!H5</f>
        <v>1635.9199999999837</v>
      </c>
      <c r="L2" s="1303">
        <f>'Section Load'!I5</f>
        <v>759.23999999999069</v>
      </c>
      <c r="M2" s="1303">
        <f>'Section Load'!J5</f>
        <v>70</v>
      </c>
      <c r="N2" s="1303">
        <f>'Section Load'!K5</f>
        <v>0</v>
      </c>
      <c r="O2" s="1303">
        <f>'Section Load'!L5</f>
        <v>38.850000000000023</v>
      </c>
      <c r="P2" s="1303">
        <f>'Section Load'!M5</f>
        <v>144.65000000000009</v>
      </c>
      <c r="Q2" s="1303">
        <f>'Section Load'!N5</f>
        <v>79.150000000000091</v>
      </c>
      <c r="R2" s="1303">
        <f>'Section Load'!O5</f>
        <v>45</v>
      </c>
      <c r="S2" s="1303">
        <f>'Section Load'!P5</f>
        <v>390</v>
      </c>
      <c r="T2" s="1303">
        <f>'Section Load'!Q5</f>
        <v>192</v>
      </c>
      <c r="U2" s="1303">
        <f>'Section Load'!R5</f>
        <v>415</v>
      </c>
      <c r="V2" s="1303">
        <f>'Section Load'!S5</f>
        <v>112.56000000005588</v>
      </c>
      <c r="W2" s="1303">
        <f>'Section Load'!T5</f>
        <v>18.169999999998254</v>
      </c>
      <c r="X2" s="1303">
        <f>'Section Load'!U5</f>
        <v>230.74000000000524</v>
      </c>
      <c r="Y2" s="1303">
        <f>'Section Load'!V5</f>
        <v>520</v>
      </c>
      <c r="Z2" s="1303">
        <f>'Section Load'!W5</f>
        <v>138.30999999999767</v>
      </c>
      <c r="AA2" s="1303">
        <f>'Section Load'!X5</f>
        <v>39.19999999999709</v>
      </c>
      <c r="AB2" s="1303">
        <f>'Section Load'!Y5</f>
        <v>51.680000000022119</v>
      </c>
      <c r="AC2" s="1303">
        <f>'Section Load'!Z5</f>
        <v>63.100000000004457</v>
      </c>
      <c r="AD2" s="1303">
        <f>'Section Load'!AA5</f>
        <v>1.9999999967694748E-3</v>
      </c>
      <c r="AE2" s="1303">
        <f>'Section Load'!AB5</f>
        <v>14.210000000000036</v>
      </c>
      <c r="AF2" s="1303">
        <f>'Section Load'!AC5</f>
        <v>500.55000000000291</v>
      </c>
      <c r="AG2" s="1303">
        <f>'Section Load'!AD5</f>
        <v>399.05999999999767</v>
      </c>
      <c r="AH2" s="1303">
        <f>'Section Load'!AE5</f>
        <v>406.61000000000058</v>
      </c>
      <c r="AI2" s="1303">
        <f>'Section Load'!AF5</f>
        <v>704.24000000001979</v>
      </c>
      <c r="AJ2" s="1303">
        <f>'Section Load'!AG5</f>
        <v>348.89999999999418</v>
      </c>
      <c r="AK2" s="1303">
        <f>'Section Load'!AH5</f>
        <v>324.00100000000384</v>
      </c>
      <c r="AL2" s="1303">
        <f>'Section Load'!AI5</f>
        <v>690</v>
      </c>
      <c r="AM2" s="1304">
        <f>'[1]1'!$G$92</f>
        <v>87</v>
      </c>
      <c r="AN2" s="1304">
        <f>'[1]1'!$G$93</f>
        <v>200</v>
      </c>
      <c r="AO2" s="1304">
        <f>'[1]1'!$G$95</f>
        <v>72</v>
      </c>
      <c r="AP2" s="1304">
        <f>'[1]1'!$G$96</f>
        <v>23</v>
      </c>
      <c r="AQ2" s="1304">
        <f>'[1]1'!$G$97</f>
        <v>18</v>
      </c>
      <c r="AR2" s="1304">
        <f>'[1]1'!$G$98</f>
        <v>83</v>
      </c>
      <c r="AS2" s="1304">
        <f>'[1]1'!$G$99</f>
        <v>13</v>
      </c>
      <c r="AT2" s="1304">
        <f>'[1]1'!$G$100</f>
        <v>6</v>
      </c>
      <c r="AU2" s="1304">
        <f>'[1]1'!$G$104</f>
        <v>0</v>
      </c>
      <c r="AV2" s="1304">
        <f>'[1]1'!$G$105</f>
        <v>8</v>
      </c>
      <c r="AW2" s="1304">
        <f>'[1]1'!$G$106</f>
        <v>7</v>
      </c>
      <c r="AX2" s="1304">
        <f>'[1]1'!$G$109</f>
        <v>41</v>
      </c>
      <c r="AY2" s="1304">
        <f>'[1]1'!$G$110</f>
        <v>79</v>
      </c>
      <c r="AZ2" s="1304">
        <f>'[1]1'!$G$111</f>
        <v>0</v>
      </c>
      <c r="BA2" s="1304">
        <f>'[1]1'!$G$114</f>
        <v>16</v>
      </c>
      <c r="BB2" s="1304">
        <f>'[1]1'!$G$115</f>
        <v>5</v>
      </c>
      <c r="BC2" s="1304">
        <f>'[1]1'!$G$116</f>
        <v>0</v>
      </c>
      <c r="BD2" s="1304">
        <f>'[1]1'!$G$118</f>
        <v>138</v>
      </c>
      <c r="BE2" s="1304">
        <f>'[1]1'!$G$119</f>
        <v>132</v>
      </c>
      <c r="BF2" s="1304">
        <f>'[1]1'!$G$120</f>
        <v>120</v>
      </c>
      <c r="BG2" s="1305">
        <f>'Section Load'!AJ5</f>
        <v>880.63199999998324</v>
      </c>
      <c r="BH2" s="1305">
        <f>'Section Load'!AK5</f>
        <v>266.26000000000931</v>
      </c>
      <c r="BI2" s="1305">
        <f>'Section Load'!AL5</f>
        <v>0</v>
      </c>
      <c r="BJ2" s="1305">
        <f>'Section Load'!AM5</f>
        <v>63.950000000011642</v>
      </c>
      <c r="BK2" s="1305">
        <f>'Section Load'!AN5</f>
        <v>25.099999999998545</v>
      </c>
      <c r="BL2" s="1305">
        <f>'Section Load'!AO5</f>
        <v>2.1000000000003638</v>
      </c>
      <c r="BM2" s="1305">
        <f>'Section Load'!AP5</f>
        <v>523.22199999996337</v>
      </c>
    </row>
    <row r="3" spans="1:65">
      <c r="A3" s="1287" t="s">
        <v>305</v>
      </c>
      <c r="B3" s="1288">
        <f>B2+1</f>
        <v>2</v>
      </c>
      <c r="C3" s="1288">
        <v>3</v>
      </c>
      <c r="D3" s="1288">
        <v>2021</v>
      </c>
      <c r="E3" s="1303">
        <f>'Section Load'!B6</f>
        <v>3503.7600000000093</v>
      </c>
      <c r="F3" s="1303">
        <f>'Section Load'!C6</f>
        <v>1456.8399999999965</v>
      </c>
      <c r="G3" s="1303">
        <f>'Section Load'!D6</f>
        <v>2089.5099999999948</v>
      </c>
      <c r="H3" s="1303">
        <f>'Section Load'!E6</f>
        <v>4368.929999999993</v>
      </c>
      <c r="I3" s="1303">
        <f>'Section Load'!F6</f>
        <v>5632.6609999999928</v>
      </c>
      <c r="J3" s="1303">
        <f>'Section Load'!G6</f>
        <v>2485.5200000000186</v>
      </c>
      <c r="K3" s="1303">
        <f>'Section Load'!H6</f>
        <v>1600.359999999986</v>
      </c>
      <c r="L3" s="1303">
        <f>'Section Load'!I6</f>
        <v>669.28000000002794</v>
      </c>
      <c r="M3" s="1303">
        <f>'Section Load'!J6</f>
        <v>73</v>
      </c>
      <c r="N3" s="1303">
        <f>'Section Load'!K6</f>
        <v>0</v>
      </c>
      <c r="O3" s="1303">
        <f>'Section Load'!L6</f>
        <v>31.139999999999986</v>
      </c>
      <c r="P3" s="1303">
        <f>'Section Load'!M6</f>
        <v>150.39000000000033</v>
      </c>
      <c r="Q3" s="1303">
        <f>'Section Load'!N6</f>
        <v>80.629999999999882</v>
      </c>
      <c r="R3" s="1303">
        <f>'Section Load'!O6</f>
        <v>45</v>
      </c>
      <c r="S3" s="1303">
        <f>'Section Load'!P6</f>
        <v>377</v>
      </c>
      <c r="T3" s="1303">
        <f>'Section Load'!Q6</f>
        <v>298</v>
      </c>
      <c r="U3" s="1303">
        <f>'Section Load'!R6</f>
        <v>399.71999999997206</v>
      </c>
      <c r="V3" s="1303">
        <f>'Section Load'!S6</f>
        <v>101.23999999999069</v>
      </c>
      <c r="W3" s="1303">
        <f>'Section Load'!T6</f>
        <v>21.480000000010477</v>
      </c>
      <c r="X3" s="1303">
        <f>'Section Load'!U6</f>
        <v>212.68000000000029</v>
      </c>
      <c r="Y3" s="1303">
        <f>'Section Load'!V6</f>
        <v>547</v>
      </c>
      <c r="Z3" s="1303">
        <f>'Section Load'!W6</f>
        <v>140.35999999998603</v>
      </c>
      <c r="AA3" s="1303">
        <f>'Section Load'!X6</f>
        <v>38.200000000011642</v>
      </c>
      <c r="AB3" s="1303">
        <f>'Section Load'!Y6</f>
        <v>72.119999999995343</v>
      </c>
      <c r="AC3" s="1303">
        <f>'Section Load'!Z6</f>
        <v>89.899999999999636</v>
      </c>
      <c r="AD3" s="1303">
        <f>'Section Load'!AA6</f>
        <v>0</v>
      </c>
      <c r="AE3" s="1303">
        <f>'Section Load'!AB6</f>
        <v>11.880000000000109</v>
      </c>
      <c r="AF3" s="1303">
        <f>'Section Load'!AC6</f>
        <v>529.48999999999069</v>
      </c>
      <c r="AG3" s="1303">
        <f>'Section Load'!AD6</f>
        <v>396.30000000001746</v>
      </c>
      <c r="AH3" s="1303">
        <f>'Section Load'!AE6</f>
        <v>414.13999999999942</v>
      </c>
      <c r="AI3" s="1303">
        <f>'Section Load'!AF6</f>
        <v>702.92999999999302</v>
      </c>
      <c r="AJ3" s="1303">
        <f>'Section Load'!AG6</f>
        <v>364.49000000000524</v>
      </c>
      <c r="AK3" s="1303">
        <f>'Section Load'!AH6</f>
        <v>327.02900000000227</v>
      </c>
      <c r="AL3" s="1303">
        <f>'Section Load'!AI6</f>
        <v>727</v>
      </c>
      <c r="AM3" s="1304">
        <f>'[1]2'!$G$92</f>
        <v>75</v>
      </c>
      <c r="AN3" s="1304">
        <f>'[1]2'!$G$93</f>
        <v>151</v>
      </c>
      <c r="AO3" s="1304">
        <f>'[1]2'!$G$95</f>
        <v>70</v>
      </c>
      <c r="AP3" s="1304">
        <f>'[1]2'!$G$96</f>
        <v>30</v>
      </c>
      <c r="AQ3" s="1304">
        <f>'[1]2'!$G$97</f>
        <v>16</v>
      </c>
      <c r="AR3" s="1304">
        <f>'[1]2'!$G$98</f>
        <v>67</v>
      </c>
      <c r="AS3" s="1304">
        <f>'[1]2'!$G$99</f>
        <v>8</v>
      </c>
      <c r="AT3" s="1304">
        <f>'[1]2'!$G$100</f>
        <v>5</v>
      </c>
      <c r="AU3" s="1304">
        <f>'[1]2'!$G$104</f>
        <v>0</v>
      </c>
      <c r="AV3" s="1304">
        <f>'[1]2'!$G$105</f>
        <v>8</v>
      </c>
      <c r="AW3" s="1304">
        <f>'[1]2'!$G$106</f>
        <v>5</v>
      </c>
      <c r="AX3" s="1304">
        <f>'[1]2'!$G$109</f>
        <v>61</v>
      </c>
      <c r="AY3" s="1304">
        <f>'[1]2'!$G$110</f>
        <v>39</v>
      </c>
      <c r="AZ3" s="1304">
        <f>'[1]2'!$G$111</f>
        <v>16</v>
      </c>
      <c r="BA3" s="1304">
        <f>'[1]2'!$G$114</f>
        <v>11</v>
      </c>
      <c r="BB3" s="1304">
        <f>'[1]2'!$G$115</f>
        <v>3</v>
      </c>
      <c r="BC3" s="1304">
        <f>'[1]2'!$G$116</f>
        <v>0</v>
      </c>
      <c r="BD3" s="1304">
        <f>'[1]2'!$G$118</f>
        <v>126</v>
      </c>
      <c r="BE3" s="1304">
        <f>'[1]2'!$G$119</f>
        <v>129</v>
      </c>
      <c r="BF3" s="1304">
        <f>'[1]2'!$G$120</f>
        <v>116</v>
      </c>
      <c r="BG3" s="1305">
        <f>'Section Load'!AJ6</f>
        <v>993.17799999983981</v>
      </c>
      <c r="BH3" s="1305">
        <f>'Section Load'!AK6</f>
        <v>278.29000000003725</v>
      </c>
      <c r="BI3" s="1305">
        <f>'Section Load'!AL6</f>
        <v>0</v>
      </c>
      <c r="BJ3" s="1305">
        <f>'Section Load'!AM6</f>
        <v>81.699999999982538</v>
      </c>
      <c r="BK3" s="1305">
        <f>'Section Load'!AN6</f>
        <v>26.900000000001455</v>
      </c>
      <c r="BL3" s="1305">
        <f>'Section Load'!AO6</f>
        <v>0.5</v>
      </c>
      <c r="BM3" s="1305">
        <f>'Section Load'!AP6</f>
        <v>605.78799999981857</v>
      </c>
    </row>
    <row r="4" spans="1:65">
      <c r="A4" s="1287" t="s">
        <v>305</v>
      </c>
      <c r="B4" s="1288">
        <f t="shared" ref="B4:B32" si="0">B3+1</f>
        <v>3</v>
      </c>
      <c r="C4" s="1288">
        <v>3</v>
      </c>
      <c r="D4" s="1288">
        <v>2021</v>
      </c>
      <c r="E4" s="1303">
        <f>'Section Load'!B7</f>
        <v>3426.8800000000047</v>
      </c>
      <c r="F4" s="1303">
        <f>'Section Load'!C7</f>
        <v>1469.489999999998</v>
      </c>
      <c r="G4" s="1303">
        <f>'Section Load'!D7</f>
        <v>2172.0499999999665</v>
      </c>
      <c r="H4" s="1303">
        <f>'Section Load'!E7</f>
        <v>4356.4200000000128</v>
      </c>
      <c r="I4" s="1303">
        <f>'Section Load'!F7</f>
        <v>4924.5289999999077</v>
      </c>
      <c r="J4" s="1303">
        <f>'Section Load'!G7</f>
        <v>2463.8200000000652</v>
      </c>
      <c r="K4" s="1303">
        <f>'Section Load'!H7</f>
        <v>1065.359999999986</v>
      </c>
      <c r="L4" s="1303">
        <f>'Section Load'!I7</f>
        <v>626.4199999999837</v>
      </c>
      <c r="M4" s="1303">
        <f>'Section Load'!J7</f>
        <v>98</v>
      </c>
      <c r="N4" s="1303">
        <f>'Section Load'!K7</f>
        <v>0</v>
      </c>
      <c r="O4" s="1303">
        <f>'Section Load'!L7</f>
        <v>27.399999999999977</v>
      </c>
      <c r="P4" s="1303">
        <f>'Section Load'!M7</f>
        <v>154.07999999999993</v>
      </c>
      <c r="Q4" s="1303">
        <f>'Section Load'!N7</f>
        <v>83.180000000000064</v>
      </c>
      <c r="R4" s="1303">
        <f>'Section Load'!O7</f>
        <v>47</v>
      </c>
      <c r="S4" s="1303">
        <f>'Section Load'!P7</f>
        <v>329</v>
      </c>
      <c r="T4" s="1303">
        <f>'Section Load'!Q7</f>
        <v>116</v>
      </c>
      <c r="U4" s="1303">
        <f>'Section Load'!R7</f>
        <v>347.64000000001397</v>
      </c>
      <c r="V4" s="1303">
        <f>'Section Load'!S7</f>
        <v>100.35999999998603</v>
      </c>
      <c r="W4" s="1303">
        <f>'Section Load'!T7</f>
        <v>18.869999999995343</v>
      </c>
      <c r="X4" s="1303">
        <f>'Section Load'!U7</f>
        <v>188.79000000000087</v>
      </c>
      <c r="Y4" s="1303">
        <f>'Section Load'!V7</f>
        <v>523</v>
      </c>
      <c r="Z4" s="1303">
        <f>'Section Load'!W7</f>
        <v>117.79999999998836</v>
      </c>
      <c r="AA4" s="1303">
        <f>'Section Load'!X7</f>
        <v>39.19999999999709</v>
      </c>
      <c r="AB4" s="1303">
        <f>'Section Load'!Y7</f>
        <v>25.850000000005821</v>
      </c>
      <c r="AC4" s="1303">
        <f>'Section Load'!Z7</f>
        <v>87.999999999998636</v>
      </c>
      <c r="AD4" s="1303">
        <f>'Section Load'!AA7</f>
        <v>0</v>
      </c>
      <c r="AE4" s="1303">
        <f>'Section Load'!AB7</f>
        <v>11.919999999999845</v>
      </c>
      <c r="AF4" s="1303">
        <f>'Section Load'!AC7</f>
        <v>522.82000000000698</v>
      </c>
      <c r="AG4" s="1303">
        <f>'Section Load'!AD7</f>
        <v>378.17999999999302</v>
      </c>
      <c r="AH4" s="1303">
        <f>'Section Load'!AE7</f>
        <v>433.43000000000029</v>
      </c>
      <c r="AI4" s="1303">
        <f>'Section Load'!AF7</f>
        <v>659.32999999998719</v>
      </c>
      <c r="AJ4" s="1303">
        <f>'Section Load'!AG7</f>
        <v>359.23999999999069</v>
      </c>
      <c r="AK4" s="1303">
        <f>'Section Load'!AH7</f>
        <v>321.96999999999389</v>
      </c>
      <c r="AL4" s="1303">
        <f>'Section Load'!AI7</f>
        <v>553</v>
      </c>
      <c r="AM4" s="1304">
        <f>'[1]3'!$G$92</f>
        <v>88</v>
      </c>
      <c r="AN4" s="1304">
        <f>'[1]3'!$G$93</f>
        <v>150</v>
      </c>
      <c r="AO4" s="1304">
        <f>'[1]3'!$G$95</f>
        <v>64</v>
      </c>
      <c r="AP4" s="1304">
        <f>'[1]3'!$G$96</f>
        <v>36</v>
      </c>
      <c r="AQ4" s="1304">
        <f>'[1]3'!$G$97</f>
        <v>31</v>
      </c>
      <c r="AR4" s="1304">
        <f>'[1]3'!$G$98</f>
        <v>72</v>
      </c>
      <c r="AS4" s="1304">
        <f>'[1]3'!$G$99</f>
        <v>10</v>
      </c>
      <c r="AT4" s="1304">
        <f>'[1]3'!$G$100</f>
        <v>5</v>
      </c>
      <c r="AU4" s="1304">
        <f>'[1]3'!$G$104</f>
        <v>0</v>
      </c>
      <c r="AV4" s="1304">
        <f>'[1]3'!$G$105</f>
        <v>6</v>
      </c>
      <c r="AW4" s="1304">
        <f>'[1]3'!$G$106</f>
        <v>5</v>
      </c>
      <c r="AX4" s="1304">
        <f>'[1]3'!$G$109</f>
        <v>58</v>
      </c>
      <c r="AY4" s="1304">
        <f>'[1]3'!$G$110</f>
        <v>93</v>
      </c>
      <c r="AZ4" s="1304">
        <f>'[1]3'!$G$111</f>
        <v>0</v>
      </c>
      <c r="BA4" s="1304">
        <f>'[1]3'!$G$114</f>
        <v>12</v>
      </c>
      <c r="BB4" s="1304">
        <f>'[1]3'!$G$115</f>
        <v>6</v>
      </c>
      <c r="BC4" s="1304">
        <f>'[1]3'!$G$116</f>
        <v>0</v>
      </c>
      <c r="BD4" s="1304">
        <f>'[1]3'!$G$118</f>
        <v>139</v>
      </c>
      <c r="BE4" s="1304">
        <f>'[1]3'!$G$119</f>
        <v>146</v>
      </c>
      <c r="BF4" s="1304">
        <f>'[1]3'!$G$120</f>
        <v>151</v>
      </c>
      <c r="BG4" s="1305">
        <f>'Section Load'!AJ7</f>
        <v>830.41000000014901</v>
      </c>
      <c r="BH4" s="1305">
        <f>'Section Load'!AK7</f>
        <v>245.65000000002328</v>
      </c>
      <c r="BI4" s="1305">
        <f>'Section Load'!AL7</f>
        <v>0</v>
      </c>
      <c r="BJ4" s="1305">
        <f>'Section Load'!AM7</f>
        <v>63.660000000003492</v>
      </c>
      <c r="BK4" s="1305">
        <f>'Section Load'!AN7</f>
        <v>18.69999999999709</v>
      </c>
      <c r="BL4" s="1305">
        <f>'Section Load'!AO7</f>
        <v>3.7000000000007276</v>
      </c>
      <c r="BM4" s="1305">
        <f>'Section Load'!AP7</f>
        <v>498.70000000012442</v>
      </c>
    </row>
    <row r="5" spans="1:65">
      <c r="A5" s="1287" t="s">
        <v>305</v>
      </c>
      <c r="B5" s="1288">
        <f t="shared" si="0"/>
        <v>4</v>
      </c>
      <c r="C5" s="1288">
        <v>3</v>
      </c>
      <c r="D5" s="1288">
        <v>2021</v>
      </c>
      <c r="E5" s="1303">
        <f>'Section Load'!B8</f>
        <v>3260.5200000000186</v>
      </c>
      <c r="F5" s="1303">
        <f>'Section Load'!C8</f>
        <v>1488.3800000000047</v>
      </c>
      <c r="G5" s="1303">
        <f>'Section Load'!D8</f>
        <v>2010.8200000000143</v>
      </c>
      <c r="H5" s="1303">
        <f>'Section Load'!E8</f>
        <v>4163.2299999999814</v>
      </c>
      <c r="I5" s="1303">
        <f>'Section Load'!F8</f>
        <v>4227.2200000000594</v>
      </c>
      <c r="J5" s="1303">
        <f>'Section Load'!G8</f>
        <v>2461.1399999999721</v>
      </c>
      <c r="K5" s="1303">
        <f>'Section Load'!H8</f>
        <v>1029.3300000000163</v>
      </c>
      <c r="L5" s="1303">
        <f>'Section Load'!I8</f>
        <v>622.48999999999069</v>
      </c>
      <c r="M5" s="1303">
        <f>'Section Load'!J8</f>
        <v>90</v>
      </c>
      <c r="N5" s="1303">
        <f>'Section Load'!K8</f>
        <v>1</v>
      </c>
      <c r="O5" s="1303">
        <f>'Section Load'!L8</f>
        <v>17.440000000000055</v>
      </c>
      <c r="P5" s="1303">
        <f>'Section Load'!M8</f>
        <v>17.440000000000055</v>
      </c>
      <c r="Q5" s="1303">
        <f>'Section Load'!N8</f>
        <v>84.700000000000045</v>
      </c>
      <c r="R5" s="1303">
        <f>'Section Load'!O8</f>
        <v>50</v>
      </c>
      <c r="S5" s="1303">
        <f>'Section Load'!P8</f>
        <v>388</v>
      </c>
      <c r="T5" s="1303">
        <f>'Section Load'!Q8</f>
        <v>250</v>
      </c>
      <c r="U5" s="1303">
        <f>'Section Load'!R8</f>
        <v>350</v>
      </c>
      <c r="V5" s="1303">
        <f>'Section Load'!S8</f>
        <v>120</v>
      </c>
      <c r="W5" s="1303">
        <f>'Section Load'!T8</f>
        <v>22</v>
      </c>
      <c r="X5" s="1303">
        <f>'Section Load'!U8</f>
        <v>164.08999999999651</v>
      </c>
      <c r="Y5" s="1303">
        <f>'Section Load'!V8</f>
        <v>493</v>
      </c>
      <c r="Z5" s="1303">
        <f>'Section Load'!W8</f>
        <v>106</v>
      </c>
      <c r="AA5" s="1303">
        <f>'Section Load'!X8</f>
        <v>37.19999999999709</v>
      </c>
      <c r="AB5" s="1303">
        <f>'Section Load'!Y8</f>
        <v>107.73999999999069</v>
      </c>
      <c r="AC5" s="1303">
        <f>'Section Load'!Z8</f>
        <v>66.999999999998636</v>
      </c>
      <c r="AD5" s="1303">
        <f>'Section Load'!AA8</f>
        <v>-1.0000000002037268E-3</v>
      </c>
      <c r="AE5" s="1303">
        <f>'Section Load'!AB8</f>
        <v>14.630000000000109</v>
      </c>
      <c r="AF5" s="1303">
        <f>'Section Load'!AC8</f>
        <v>487.83999999999651</v>
      </c>
      <c r="AG5" s="1303">
        <f>'Section Load'!AD8</f>
        <v>355.16000000000349</v>
      </c>
      <c r="AH5" s="1303">
        <f>'Section Load'!AE8</f>
        <v>401.06999999999971</v>
      </c>
      <c r="AI5" s="1303">
        <f>'Section Load'!AF8</f>
        <v>671.67000000001281</v>
      </c>
      <c r="AJ5" s="1303">
        <f>'Section Load'!AG8</f>
        <v>331.85000000000582</v>
      </c>
      <c r="AK5" s="1303">
        <f>'Section Load'!AH8</f>
        <v>314.91000000000349</v>
      </c>
      <c r="AL5" s="1303">
        <f>'Section Load'!AI8</f>
        <v>700</v>
      </c>
      <c r="AM5" s="1304">
        <f>'[1]4'!$G$92</f>
        <v>102</v>
      </c>
      <c r="AN5" s="1304">
        <f>'[1]4'!$G$93</f>
        <v>140</v>
      </c>
      <c r="AO5" s="1304">
        <f>'[1]4'!$G$95</f>
        <v>78</v>
      </c>
      <c r="AP5" s="1304">
        <f>'[1]4'!$G$96</f>
        <v>35</v>
      </c>
      <c r="AQ5" s="1304">
        <f>'[1]4'!$G$97</f>
        <v>45</v>
      </c>
      <c r="AR5" s="1304">
        <f>'[1]4'!$G$98</f>
        <v>67</v>
      </c>
      <c r="AS5" s="1304">
        <f>'[1]4'!$G$99</f>
        <v>10</v>
      </c>
      <c r="AT5" s="1304">
        <f>'[1]4'!$G$100</f>
        <v>7</v>
      </c>
      <c r="AU5" s="1304">
        <f>'[1]4'!$G$104</f>
        <v>0</v>
      </c>
      <c r="AV5" s="1304">
        <f>'[1]4'!$G$105</f>
        <v>6</v>
      </c>
      <c r="AW5" s="1304">
        <f>'[1]4'!$G$106</f>
        <v>6</v>
      </c>
      <c r="AX5" s="1304">
        <f>'[1]4'!$G$109</f>
        <v>55</v>
      </c>
      <c r="AY5" s="1304">
        <f>'[1]4'!$G$110</f>
        <v>47</v>
      </c>
      <c r="AZ5" s="1304">
        <f>'[1]4'!$G$111</f>
        <v>14</v>
      </c>
      <c r="BA5" s="1304">
        <f>'[1]4'!$G$114</f>
        <v>14</v>
      </c>
      <c r="BB5" s="1304">
        <f>'[1]4'!$G$115</f>
        <v>7</v>
      </c>
      <c r="BC5" s="1304">
        <f>'[1]4'!$G$116</f>
        <v>0</v>
      </c>
      <c r="BD5" s="1304">
        <f>'[1]4'!$G$118</f>
        <v>152</v>
      </c>
      <c r="BE5" s="1304">
        <f>'[1]4'!$G$119</f>
        <v>175</v>
      </c>
      <c r="BF5" s="1304">
        <f>'[1]4'!$G$120</f>
        <v>116</v>
      </c>
      <c r="BG5" s="1305">
        <f>'Section Load'!AJ8</f>
        <v>884.16999999992549</v>
      </c>
      <c r="BH5" s="1305">
        <f>'Section Load'!AK8</f>
        <v>244.95999999996275</v>
      </c>
      <c r="BI5" s="1305">
        <f>'Section Load'!AL8</f>
        <v>-0.39999999999417923</v>
      </c>
      <c r="BJ5" s="1305">
        <f>'Section Load'!AM8</f>
        <v>71.350000000005821</v>
      </c>
      <c r="BK5" s="1305">
        <f>'Section Load'!AN8</f>
        <v>29.400000000001455</v>
      </c>
      <c r="BL5" s="1305">
        <f>'Section Load'!AO8</f>
        <v>1.8999999999996362</v>
      </c>
      <c r="BM5" s="1305">
        <f>'Section Load'!AP8</f>
        <v>536.95999999995001</v>
      </c>
    </row>
    <row r="6" spans="1:65">
      <c r="A6" s="1287" t="s">
        <v>305</v>
      </c>
      <c r="B6" s="1288">
        <f t="shared" si="0"/>
        <v>5</v>
      </c>
      <c r="C6" s="1288">
        <v>3</v>
      </c>
      <c r="D6" s="1288">
        <v>2021</v>
      </c>
      <c r="E6" s="1303">
        <f>'Section Load'!B9</f>
        <v>3368</v>
      </c>
      <c r="F6" s="1303">
        <f>'Section Load'!C9</f>
        <v>36659</v>
      </c>
      <c r="G6" s="1303">
        <f>'Section Load'!D9</f>
        <v>1822</v>
      </c>
      <c r="H6" s="1303">
        <f>'Section Load'!E9</f>
        <v>104331</v>
      </c>
      <c r="I6" s="1303">
        <f>'Section Load'!F9</f>
        <v>4900.739999999998</v>
      </c>
      <c r="J6" s="1303">
        <f>'Section Load'!G9</f>
        <v>2387</v>
      </c>
      <c r="K6" s="1303">
        <f>'Section Load'!H9</f>
        <v>1011</v>
      </c>
      <c r="L6" s="1303">
        <f>'Section Load'!I9</f>
        <v>577</v>
      </c>
      <c r="M6" s="1303">
        <f>'Section Load'!J9</f>
        <v>75</v>
      </c>
      <c r="N6" s="1303">
        <f>'Section Load'!K9</f>
        <v>0</v>
      </c>
      <c r="O6" s="1303">
        <f>'Section Load'!L9</f>
        <v>18</v>
      </c>
      <c r="P6" s="1303">
        <f>'Section Load'!M9</f>
        <v>160</v>
      </c>
      <c r="Q6" s="1303">
        <f>'Section Load'!N9</f>
        <v>84</v>
      </c>
      <c r="R6" s="1303">
        <f>'Section Load'!O9</f>
        <v>57</v>
      </c>
      <c r="S6" s="1303">
        <f>'Section Load'!P9</f>
        <v>332</v>
      </c>
      <c r="T6" s="1303">
        <f>'Section Load'!Q9</f>
        <v>216</v>
      </c>
      <c r="U6" s="1303">
        <f>'Section Load'!R9</f>
        <v>265</v>
      </c>
      <c r="V6" s="1303">
        <f>'Section Load'!S9</f>
        <v>-189</v>
      </c>
      <c r="W6" s="1303">
        <f>'Section Load'!T9</f>
        <v>21</v>
      </c>
      <c r="X6" s="1303">
        <f>'Section Load'!U9</f>
        <v>209</v>
      </c>
      <c r="Y6" s="1303">
        <f>'Section Load'!V9</f>
        <v>356</v>
      </c>
      <c r="Z6" s="1303">
        <f>'Section Load'!W9</f>
        <v>134</v>
      </c>
      <c r="AA6" s="1303">
        <f>'Section Load'!X9</f>
        <v>24.600000000005821</v>
      </c>
      <c r="AB6" s="1303">
        <f>'Section Load'!Y9</f>
        <v>69</v>
      </c>
      <c r="AC6" s="1303">
        <f>'Section Load'!Z9</f>
        <v>77</v>
      </c>
      <c r="AD6" s="1303">
        <f>'Section Load'!AA9</f>
        <v>-0.18799999999828287</v>
      </c>
      <c r="AE6" s="1303">
        <f>'Section Load'!AB9</f>
        <v>11</v>
      </c>
      <c r="AF6" s="1303">
        <f>'Section Load'!AC9</f>
        <v>542</v>
      </c>
      <c r="AG6" s="1303">
        <f>'Section Load'!AD9</f>
        <v>373</v>
      </c>
      <c r="AH6" s="1303">
        <f>'Section Load'!AE9</f>
        <v>395</v>
      </c>
      <c r="AI6" s="1303">
        <f>'Section Load'!AF9</f>
        <v>674</v>
      </c>
      <c r="AJ6" s="1303">
        <f>'Section Load'!AG9</f>
        <v>329</v>
      </c>
      <c r="AK6" s="1303">
        <f>'Section Load'!AH9</f>
        <v>321</v>
      </c>
      <c r="AL6" s="1303">
        <f>'Section Load'!AI9</f>
        <v>954</v>
      </c>
      <c r="AM6" s="1304">
        <f>'[1]5'!$G$92</f>
        <v>110</v>
      </c>
      <c r="AN6" s="1304">
        <f>'[1]5'!$G$93</f>
        <v>182</v>
      </c>
      <c r="AO6" s="1304">
        <f>'[1]5'!$G$95</f>
        <v>55</v>
      </c>
      <c r="AP6" s="1304">
        <f>'[1]5'!$G$96</f>
        <v>23</v>
      </c>
      <c r="AQ6" s="1304">
        <f>'[1]5'!$G$97</f>
        <v>40</v>
      </c>
      <c r="AR6" s="1304">
        <f>'[1]5'!$G$98</f>
        <v>40</v>
      </c>
      <c r="AS6" s="1304">
        <f>'[1]5'!$G$99</f>
        <v>7</v>
      </c>
      <c r="AT6" s="1304">
        <f>'[1]5'!$G$100</f>
        <v>6</v>
      </c>
      <c r="AU6" s="1304">
        <f>'[1]5'!$G$104</f>
        <v>0</v>
      </c>
      <c r="AV6" s="1304">
        <f>'[1]5'!$G$105</f>
        <v>14</v>
      </c>
      <c r="AW6" s="1304">
        <f>'[1]5'!$G$106</f>
        <v>9</v>
      </c>
      <c r="AX6" s="1304">
        <f>'[1]5'!$G$109</f>
        <v>115</v>
      </c>
      <c r="AY6" s="1304">
        <f>'[1]5'!$G$110</f>
        <v>79</v>
      </c>
      <c r="AZ6" s="1304">
        <f>'[1]5'!$G$111</f>
        <v>0</v>
      </c>
      <c r="BA6" s="1304">
        <f>'[1]5'!$G$114</f>
        <v>21</v>
      </c>
      <c r="BB6" s="1304">
        <f>'[1]5'!$G$115</f>
        <v>11</v>
      </c>
      <c r="BC6" s="1304">
        <f>'[1]5'!$G$116</f>
        <v>0</v>
      </c>
      <c r="BD6" s="1304">
        <f>'[1]5'!$G$118</f>
        <v>151</v>
      </c>
      <c r="BE6" s="1304">
        <f>'[1]5'!$G$119</f>
        <v>131</v>
      </c>
      <c r="BF6" s="1304">
        <f>'[1]5'!$G$120</f>
        <v>194</v>
      </c>
      <c r="BG6" s="1305">
        <f>'Section Load'!AJ9</f>
        <v>893.63999999989755</v>
      </c>
      <c r="BH6" s="1305">
        <f>'Section Load'!AK9</f>
        <v>245</v>
      </c>
      <c r="BI6" s="1305">
        <f>'Section Load'!AL9</f>
        <v>0</v>
      </c>
      <c r="BJ6" s="1305">
        <f>'Section Load'!AM9</f>
        <v>61</v>
      </c>
      <c r="BK6" s="1305">
        <f>'Section Load'!AN9</f>
        <v>21</v>
      </c>
      <c r="BL6" s="1305">
        <f>'Section Load'!AO9</f>
        <v>2</v>
      </c>
      <c r="BM6" s="1305">
        <f>'Section Load'!AP9</f>
        <v>564.63999999989755</v>
      </c>
    </row>
    <row r="7" spans="1:65">
      <c r="A7" s="1287" t="s">
        <v>305</v>
      </c>
      <c r="B7" s="1288">
        <f t="shared" si="0"/>
        <v>6</v>
      </c>
      <c r="C7" s="1288">
        <v>3</v>
      </c>
      <c r="D7" s="1288">
        <v>2021</v>
      </c>
      <c r="E7" s="1303">
        <f>'Section Load'!B10</f>
        <v>3484</v>
      </c>
      <c r="F7" s="1303">
        <f>'Section Load'!C10</f>
        <v>1518</v>
      </c>
      <c r="G7" s="1303">
        <f>'Section Load'!D10</f>
        <v>2123</v>
      </c>
      <c r="H7" s="1303">
        <f>'Section Load'!E10</f>
        <v>4237</v>
      </c>
      <c r="I7" s="1303">
        <f>'Section Load'!F10</f>
        <v>5904</v>
      </c>
      <c r="J7" s="1303">
        <f>'Section Load'!G10</f>
        <v>2437</v>
      </c>
      <c r="K7" s="1303">
        <f>'Section Load'!H10</f>
        <v>1043</v>
      </c>
      <c r="L7" s="1303">
        <f>'Section Load'!I10</f>
        <v>624</v>
      </c>
      <c r="M7" s="1303">
        <f>'Section Load'!J10</f>
        <v>75</v>
      </c>
      <c r="N7" s="1303">
        <f>'Section Load'!K10</f>
        <v>1</v>
      </c>
      <c r="O7" s="1303">
        <f>'Section Load'!L10</f>
        <v>33</v>
      </c>
      <c r="P7" s="1303">
        <f>'Section Load'!M10</f>
        <v>183</v>
      </c>
      <c r="Q7" s="1303">
        <f>'Section Load'!N10</f>
        <v>88</v>
      </c>
      <c r="R7" s="1303">
        <f>'Section Load'!O10</f>
        <v>51</v>
      </c>
      <c r="S7" s="1303">
        <f>'Section Load'!P10</f>
        <v>415</v>
      </c>
      <c r="T7" s="1303">
        <f>'Section Load'!Q10</f>
        <v>235</v>
      </c>
      <c r="U7" s="1303">
        <f>'Section Load'!R10</f>
        <v>412</v>
      </c>
      <c r="V7" s="1303">
        <f>'Section Load'!S10</f>
        <v>412</v>
      </c>
      <c r="W7" s="1303">
        <f>'Section Load'!T10</f>
        <v>23</v>
      </c>
      <c r="X7" s="1303">
        <f>'Section Load'!U10</f>
        <v>194</v>
      </c>
      <c r="Y7" s="1303">
        <f>'Section Load'!V10</f>
        <v>468</v>
      </c>
      <c r="Z7" s="1303">
        <f>'Section Load'!W10</f>
        <v>88</v>
      </c>
      <c r="AA7" s="1303">
        <f>'Section Load'!X10</f>
        <v>29</v>
      </c>
      <c r="AB7" s="1303">
        <f>'Section Load'!Y10</f>
        <v>91</v>
      </c>
      <c r="AC7" s="1303">
        <f>'Section Load'!Z10</f>
        <v>102</v>
      </c>
      <c r="AD7" s="1303">
        <f>'Section Load'!AA10</f>
        <v>0</v>
      </c>
      <c r="AE7" s="1303">
        <f>'Section Load'!AB10</f>
        <v>14</v>
      </c>
      <c r="AF7" s="1303">
        <f>'Section Load'!AC10</f>
        <v>502</v>
      </c>
      <c r="AG7" s="1303">
        <f>'Section Load'!AD10</f>
        <v>364</v>
      </c>
      <c r="AH7" s="1303">
        <f>'Section Load'!AE10</f>
        <v>387</v>
      </c>
      <c r="AI7" s="1303">
        <f>'Section Load'!AF10</f>
        <v>705</v>
      </c>
      <c r="AJ7" s="1303">
        <f>'Section Load'!AG10</f>
        <v>335</v>
      </c>
      <c r="AK7" s="1303">
        <f>'Section Load'!AH10</f>
        <v>332</v>
      </c>
      <c r="AL7" s="1303">
        <f>'Section Load'!AI10</f>
        <v>644</v>
      </c>
      <c r="AM7" s="1304">
        <f>'[1]6'!$G$92</f>
        <v>89</v>
      </c>
      <c r="AN7" s="1304">
        <f>'[1]6'!$G$93</f>
        <v>101</v>
      </c>
      <c r="AO7" s="1304">
        <f>'[1]6'!$G$95</f>
        <v>61</v>
      </c>
      <c r="AP7" s="1304">
        <f>'[1]6'!$G$96</f>
        <v>34</v>
      </c>
      <c r="AQ7" s="1304">
        <f>'[1]6'!$G$97</f>
        <v>31</v>
      </c>
      <c r="AR7" s="1304">
        <f>'[1]6'!$G$98</f>
        <v>72</v>
      </c>
      <c r="AS7" s="1304">
        <f>'[1]6'!$G$99</f>
        <v>9</v>
      </c>
      <c r="AT7" s="1304">
        <f>'[1]6'!$G$100</f>
        <v>9</v>
      </c>
      <c r="AU7" s="1304">
        <f>'[1]6'!$G$104</f>
        <v>0</v>
      </c>
      <c r="AV7" s="1304">
        <f>'[1]6'!$G$105</f>
        <v>6</v>
      </c>
      <c r="AW7" s="1304">
        <f>'[1]6'!$G$106</f>
        <v>6</v>
      </c>
      <c r="AX7" s="1304">
        <f>'[1]6'!$G$109</f>
        <v>40</v>
      </c>
      <c r="AY7" s="1304">
        <f>'[1]6'!$G$110</f>
        <v>45</v>
      </c>
      <c r="AZ7" s="1304">
        <f>'[1]6'!$G$111</f>
        <v>32</v>
      </c>
      <c r="BA7" s="1304">
        <f>'[1]6'!$G$114</f>
        <v>11</v>
      </c>
      <c r="BB7" s="1304">
        <f>'[1]6'!$G$115</f>
        <v>6</v>
      </c>
      <c r="BC7" s="1304">
        <f>'[1]6'!$G$116</f>
        <v>0</v>
      </c>
      <c r="BD7" s="1304">
        <f>'[1]6'!$G$118</f>
        <v>140</v>
      </c>
      <c r="BE7" s="1304">
        <f>'[1]6'!$G$119</f>
        <v>144</v>
      </c>
      <c r="BF7" s="1304">
        <f>'[1]6'!$G$120</f>
        <v>117</v>
      </c>
      <c r="BG7" s="1305">
        <f>'Section Load'!AJ10</f>
        <v>944.36000000010245</v>
      </c>
      <c r="BH7" s="1305">
        <f>'Section Load'!AK10</f>
        <v>264</v>
      </c>
      <c r="BI7" s="1305">
        <f>'Section Load'!AL10</f>
        <v>0</v>
      </c>
      <c r="BJ7" s="1305">
        <f>'Section Load'!AM10</f>
        <v>71</v>
      </c>
      <c r="BK7" s="1305">
        <f>'Section Load'!AN10</f>
        <v>32</v>
      </c>
      <c r="BL7" s="1305">
        <f>'Section Load'!AO10</f>
        <v>3</v>
      </c>
      <c r="BM7" s="1305">
        <f>'Section Load'!AP10</f>
        <v>574.36000000010245</v>
      </c>
    </row>
    <row r="8" spans="1:65">
      <c r="A8" s="1287" t="s">
        <v>305</v>
      </c>
      <c r="B8" s="1288">
        <f t="shared" si="0"/>
        <v>7</v>
      </c>
      <c r="C8" s="1288">
        <v>3</v>
      </c>
      <c r="D8" s="1288">
        <v>2021</v>
      </c>
      <c r="E8" s="1303">
        <f>'Section Load'!B11</f>
        <v>3319</v>
      </c>
      <c r="F8" s="1303">
        <f>'Section Load'!C11</f>
        <v>1500</v>
      </c>
      <c r="G8" s="1303">
        <f>'Section Load'!D11</f>
        <v>2331</v>
      </c>
      <c r="H8" s="1303">
        <f>'Section Load'!E11</f>
        <v>4230</v>
      </c>
      <c r="I8" s="1303">
        <f>'Section Load'!F11</f>
        <v>5494</v>
      </c>
      <c r="J8" s="1303">
        <f>'Section Load'!G11</f>
        <v>2417</v>
      </c>
      <c r="K8" s="1303">
        <f>'Section Load'!H11</f>
        <v>1230</v>
      </c>
      <c r="L8" s="1303">
        <f>'Section Load'!I11</f>
        <v>611</v>
      </c>
      <c r="M8" s="1303">
        <f>'Section Load'!J11</f>
        <v>72</v>
      </c>
      <c r="N8" s="1303">
        <f>'Section Load'!K11</f>
        <v>0</v>
      </c>
      <c r="O8" s="1303">
        <f>'Section Load'!L11</f>
        <v>46</v>
      </c>
      <c r="P8" s="1303">
        <f>'Section Load'!M11</f>
        <v>181</v>
      </c>
      <c r="Q8" s="1303">
        <f>'Section Load'!N11</f>
        <v>94</v>
      </c>
      <c r="R8" s="1303">
        <f>'Section Load'!O11</f>
        <v>52</v>
      </c>
      <c r="S8" s="1303">
        <f>'Section Load'!P11</f>
        <v>428</v>
      </c>
      <c r="T8" s="1303">
        <f>'Section Load'!Q11</f>
        <v>216</v>
      </c>
      <c r="U8" s="1303">
        <f>'Section Load'!R11</f>
        <v>359</v>
      </c>
      <c r="V8" s="1303">
        <f>'Section Load'!S11</f>
        <v>123</v>
      </c>
      <c r="W8" s="1303">
        <f>'Section Load'!T11</f>
        <v>21</v>
      </c>
      <c r="X8" s="1303">
        <f>'Section Load'!U11</f>
        <v>191</v>
      </c>
      <c r="Y8" s="1303">
        <f>'Section Load'!V11</f>
        <v>496</v>
      </c>
      <c r="Z8" s="1303">
        <f>'Section Load'!W11</f>
        <v>100</v>
      </c>
      <c r="AA8" s="1303">
        <f>'Section Load'!X11</f>
        <v>8</v>
      </c>
      <c r="AB8" s="1303">
        <f>'Section Load'!Y11</f>
        <v>37</v>
      </c>
      <c r="AC8" s="1303">
        <f>'Section Load'!Z11</f>
        <v>69</v>
      </c>
      <c r="AD8" s="1303">
        <f>'Section Load'!AA11</f>
        <v>0</v>
      </c>
      <c r="AE8" s="1303">
        <f>'Section Load'!AB11</f>
        <v>12</v>
      </c>
      <c r="AF8" s="1303">
        <f>'Section Load'!AC11</f>
        <v>553</v>
      </c>
      <c r="AG8" s="1303">
        <f>'Section Load'!AD11</f>
        <v>371</v>
      </c>
      <c r="AH8" s="1303">
        <f>'Section Load'!AE11</f>
        <v>369</v>
      </c>
      <c r="AI8" s="1303">
        <f>'Section Load'!AF11</f>
        <v>665</v>
      </c>
      <c r="AJ8" s="1303">
        <f>'Section Load'!AG11</f>
        <v>324</v>
      </c>
      <c r="AK8" s="1303">
        <f>'Section Load'!AH11</f>
        <v>329</v>
      </c>
      <c r="AL8" s="1303">
        <f>'Section Load'!AI11</f>
        <v>834</v>
      </c>
      <c r="AM8" s="1304">
        <f>'[1]7'!$G$92</f>
        <v>104</v>
      </c>
      <c r="AN8" s="1304">
        <f>'[1]7'!$G$93</f>
        <v>207</v>
      </c>
      <c r="AO8" s="1304">
        <f>'[1]7'!$G$95</f>
        <v>57</v>
      </c>
      <c r="AP8" s="1304">
        <f>'[1]7'!$G$96</f>
        <v>43</v>
      </c>
      <c r="AQ8" s="1304">
        <f>'[1]7'!$G$97</f>
        <v>23</v>
      </c>
      <c r="AR8" s="1304">
        <f>'[1]7'!$G$98</f>
        <v>58</v>
      </c>
      <c r="AS8" s="1304">
        <f>'[1]7'!$G$99</f>
        <v>14</v>
      </c>
      <c r="AT8" s="1304">
        <f>'[1]7'!$G$100</f>
        <v>8</v>
      </c>
      <c r="AU8" s="1304">
        <f>'[1]7'!$G$104</f>
        <v>0</v>
      </c>
      <c r="AV8" s="1304">
        <f>'[1]7'!$G$105</f>
        <v>6</v>
      </c>
      <c r="AW8" s="1304">
        <f>'[1]7'!$G$106</f>
        <v>4</v>
      </c>
      <c r="AX8" s="1304">
        <f>'[1]7'!$G$109</f>
        <v>39</v>
      </c>
      <c r="AY8" s="1304">
        <f>'[1]7'!$G$110</f>
        <v>101</v>
      </c>
      <c r="AZ8" s="1304">
        <f>'[1]7'!$G$111</f>
        <v>0</v>
      </c>
      <c r="BA8" s="1304">
        <f>'[1]7'!$G$114</f>
        <v>16</v>
      </c>
      <c r="BB8" s="1304">
        <f>'[1]7'!$G$115</f>
        <v>7</v>
      </c>
      <c r="BC8" s="1304">
        <f>'[1]7'!$G$116</f>
        <v>0</v>
      </c>
      <c r="BD8" s="1304">
        <f>'[1]7'!$G$118</f>
        <v>156</v>
      </c>
      <c r="BE8" s="1304">
        <f>'[1]7'!$G$119</f>
        <v>145</v>
      </c>
      <c r="BF8" s="1304">
        <f>'[1]7'!$G$120</f>
        <v>140</v>
      </c>
      <c r="BG8" s="1305">
        <f>'Section Load'!AJ11</f>
        <v>931</v>
      </c>
      <c r="BH8" s="1305">
        <f>'Section Load'!AK11</f>
        <v>275</v>
      </c>
      <c r="BI8" s="1305">
        <f>'Section Load'!AL11</f>
        <v>0</v>
      </c>
      <c r="BJ8" s="1305">
        <f>'Section Load'!AM11</f>
        <v>72</v>
      </c>
      <c r="BK8" s="1305">
        <f>'Section Load'!AN11</f>
        <v>38</v>
      </c>
      <c r="BL8" s="1305">
        <f>'Section Load'!AO11</f>
        <v>4</v>
      </c>
      <c r="BM8" s="1305">
        <f>'Section Load'!AP11</f>
        <v>542</v>
      </c>
    </row>
    <row r="9" spans="1:65">
      <c r="A9" s="1287" t="s">
        <v>305</v>
      </c>
      <c r="B9" s="1288">
        <f t="shared" si="0"/>
        <v>8</v>
      </c>
      <c r="C9" s="1288">
        <v>3</v>
      </c>
      <c r="D9" s="1288">
        <v>2021</v>
      </c>
      <c r="E9" s="1303">
        <f>'Section Load'!B12</f>
        <v>3394</v>
      </c>
      <c r="F9" s="1303">
        <f>'Section Load'!C12</f>
        <v>1483</v>
      </c>
      <c r="G9" s="1303">
        <f>'Section Load'!D12</f>
        <v>2160</v>
      </c>
      <c r="H9" s="1303">
        <f>'Section Load'!E12</f>
        <v>4272</v>
      </c>
      <c r="I9" s="1303">
        <f>'Section Load'!F12</f>
        <v>5838.260000000002</v>
      </c>
      <c r="J9" s="1303">
        <f>'Section Load'!G12</f>
        <v>2516</v>
      </c>
      <c r="K9" s="1303">
        <f>'Section Load'!H12</f>
        <v>1538</v>
      </c>
      <c r="L9" s="1303">
        <f>'Section Load'!I12</f>
        <v>676</v>
      </c>
      <c r="M9" s="1303">
        <f>'Section Load'!J12</f>
        <v>106</v>
      </c>
      <c r="N9" s="1303">
        <f>'Section Load'!K12</f>
        <v>0</v>
      </c>
      <c r="O9" s="1303">
        <f>'Section Load'!L12</f>
        <v>25</v>
      </c>
      <c r="P9" s="1303">
        <f>'Section Load'!M12</f>
        <v>170</v>
      </c>
      <c r="Q9" s="1303">
        <f>'Section Load'!N12</f>
        <v>74</v>
      </c>
      <c r="R9" s="1303">
        <f>'Section Load'!O12</f>
        <v>58</v>
      </c>
      <c r="S9" s="1303">
        <f>'Section Load'!P12</f>
        <v>372</v>
      </c>
      <c r="T9" s="1303">
        <f>'Section Load'!Q12</f>
        <v>210</v>
      </c>
      <c r="U9" s="1303">
        <f>'Section Load'!R12</f>
        <v>397</v>
      </c>
      <c r="V9" s="1303">
        <f>'Section Load'!S12</f>
        <v>122</v>
      </c>
      <c r="W9" s="1303">
        <f>'Section Load'!T12</f>
        <v>24</v>
      </c>
      <c r="X9" s="1303">
        <f>'Section Load'!U12</f>
        <v>201</v>
      </c>
      <c r="Y9" s="1303">
        <f>'Section Load'!V12</f>
        <v>361</v>
      </c>
      <c r="Z9" s="1303">
        <f>'Section Load'!W12</f>
        <v>100</v>
      </c>
      <c r="AA9" s="1303">
        <f>'Section Load'!X12</f>
        <v>36</v>
      </c>
      <c r="AB9" s="1303">
        <f>'Section Load'!Y12</f>
        <v>95</v>
      </c>
      <c r="AC9" s="1303">
        <f>'Section Load'!Z12</f>
        <v>83</v>
      </c>
      <c r="AD9" s="1303">
        <f>'Section Load'!AA12</f>
        <v>0</v>
      </c>
      <c r="AE9" s="1303">
        <f>'Section Load'!AB12</f>
        <v>12</v>
      </c>
      <c r="AF9" s="1303">
        <f>'Section Load'!AC12</f>
        <v>527</v>
      </c>
      <c r="AG9" s="1303">
        <f>'Section Load'!AD12</f>
        <v>378</v>
      </c>
      <c r="AH9" s="1303">
        <f>'Section Load'!AE12</f>
        <v>379</v>
      </c>
      <c r="AI9" s="1303">
        <f>'Section Load'!AF12</f>
        <v>678</v>
      </c>
      <c r="AJ9" s="1303">
        <f>'Section Load'!AG12</f>
        <v>343</v>
      </c>
      <c r="AK9" s="1303">
        <f>'Section Load'!AH12</f>
        <v>331</v>
      </c>
      <c r="AL9" s="1303">
        <f>'Section Load'!AI12</f>
        <v>793</v>
      </c>
      <c r="AM9" s="1304">
        <f>'[1]8'!$G$92</f>
        <v>95</v>
      </c>
      <c r="AN9" s="1304">
        <f>'[1]8'!$G$93</f>
        <v>207</v>
      </c>
      <c r="AO9" s="1304">
        <f>'[1]8'!$G$95</f>
        <v>71</v>
      </c>
      <c r="AP9" s="1304">
        <f>'[1]8'!$G$96</f>
        <v>51</v>
      </c>
      <c r="AQ9" s="1304">
        <f>'[1]8'!$G$97</f>
        <v>20</v>
      </c>
      <c r="AR9" s="1304">
        <f>'[1]8'!$G$98</f>
        <v>78</v>
      </c>
      <c r="AS9" s="1304">
        <f>'[1]8'!$G$99</f>
        <v>12</v>
      </c>
      <c r="AT9" s="1304">
        <f>'[1]8'!$G$100</f>
        <v>8</v>
      </c>
      <c r="AU9" s="1304">
        <f>'[1]8'!$G$104</f>
        <v>0</v>
      </c>
      <c r="AV9" s="1304">
        <f>'[1]8'!$G$105</f>
        <v>9</v>
      </c>
      <c r="AW9" s="1304">
        <f>'[1]8'!$G$106</f>
        <v>5</v>
      </c>
      <c r="AX9" s="1304">
        <f>'[1]8'!$G$109</f>
        <v>74</v>
      </c>
      <c r="AY9" s="1304">
        <f>'[1]8'!$G$110</f>
        <v>43</v>
      </c>
      <c r="AZ9" s="1304">
        <f>'[1]8'!$G$111</f>
        <v>0</v>
      </c>
      <c r="BA9" s="1304">
        <f>'[1]8'!$G$114</f>
        <v>16</v>
      </c>
      <c r="BB9" s="1304">
        <f>'[1]8'!$G$115</f>
        <v>7</v>
      </c>
      <c r="BC9" s="1304">
        <f>'[1]8'!$G$116</f>
        <v>0</v>
      </c>
      <c r="BD9" s="1304">
        <f>'[1]8'!$G$118</f>
        <v>146</v>
      </c>
      <c r="BE9" s="1304">
        <f>'[1]8'!$G$119</f>
        <v>162</v>
      </c>
      <c r="BF9" s="1304">
        <f>'[1]8'!$G$120</f>
        <v>117</v>
      </c>
      <c r="BG9" s="1305">
        <f>'Section Load'!AJ12</f>
        <v>859.85000000009313</v>
      </c>
      <c r="BH9" s="1305">
        <f>'Section Load'!AK12</f>
        <v>241</v>
      </c>
      <c r="BI9" s="1305">
        <f>'Section Load'!AL12</f>
        <v>0.39999999999417923</v>
      </c>
      <c r="BJ9" s="1305">
        <f>'Section Load'!AM12</f>
        <v>63</v>
      </c>
      <c r="BK9" s="1305">
        <f>'Section Load'!AN12</f>
        <v>16</v>
      </c>
      <c r="BL9" s="1305">
        <f>'Section Load'!AO12</f>
        <v>1</v>
      </c>
      <c r="BM9" s="1305">
        <f>'Section Load'!AP12</f>
        <v>538.45000000009895</v>
      </c>
    </row>
    <row r="10" spans="1:65">
      <c r="A10" s="1287" t="s">
        <v>305</v>
      </c>
      <c r="B10" s="1288">
        <f t="shared" si="0"/>
        <v>9</v>
      </c>
      <c r="C10" s="1288">
        <v>3</v>
      </c>
      <c r="D10" s="1288">
        <v>2021</v>
      </c>
      <c r="E10" s="1303">
        <f>'Section Load'!B13</f>
        <v>3381</v>
      </c>
      <c r="F10" s="1303">
        <f>'Section Load'!C13</f>
        <v>1491</v>
      </c>
      <c r="G10" s="1303">
        <f>'Section Load'!D13</f>
        <v>2121</v>
      </c>
      <c r="H10" s="1303">
        <f>'Section Load'!E13</f>
        <v>4195</v>
      </c>
      <c r="I10" s="1303">
        <f>'Section Load'!F13</f>
        <v>5115</v>
      </c>
      <c r="J10" s="1303">
        <f>'Section Load'!G13</f>
        <v>2377</v>
      </c>
      <c r="K10" s="1303">
        <f>'Section Load'!H13</f>
        <v>1028</v>
      </c>
      <c r="L10" s="1303">
        <f>'Section Load'!I13</f>
        <v>667</v>
      </c>
      <c r="M10" s="1303">
        <f>'Section Load'!J13</f>
        <v>100</v>
      </c>
      <c r="N10" s="1303">
        <f>'Section Load'!K13</f>
        <v>1</v>
      </c>
      <c r="O10" s="1303">
        <f>'Section Load'!L13</f>
        <v>24</v>
      </c>
      <c r="P10" s="1303">
        <f>'Section Load'!M13</f>
        <v>174</v>
      </c>
      <c r="Q10" s="1303">
        <f>'Section Load'!N13</f>
        <v>81</v>
      </c>
      <c r="R10" s="1303">
        <f>'Section Load'!O13</f>
        <v>65</v>
      </c>
      <c r="S10" s="1303">
        <f>'Section Load'!P13</f>
        <v>471</v>
      </c>
      <c r="T10" s="1303">
        <f>'Section Load'!Q13</f>
        <v>192</v>
      </c>
      <c r="U10" s="1303">
        <f>'Section Load'!R13</f>
        <v>134</v>
      </c>
      <c r="V10" s="1303">
        <f>'Section Load'!S13</f>
        <v>82</v>
      </c>
      <c r="W10" s="1303">
        <f>'Section Load'!T13</f>
        <v>22</v>
      </c>
      <c r="X10" s="1303">
        <f>'Section Load'!U13</f>
        <v>186</v>
      </c>
      <c r="Y10" s="1303">
        <f>'Section Load'!V13</f>
        <v>422</v>
      </c>
      <c r="Z10" s="1303">
        <f>'Section Load'!W13</f>
        <v>101</v>
      </c>
      <c r="AA10" s="1303">
        <f>'Section Load'!X13</f>
        <v>33</v>
      </c>
      <c r="AB10" s="1303">
        <f>'Section Load'!Y13</f>
        <v>102</v>
      </c>
      <c r="AC10" s="1303">
        <f>'Section Load'!Z13</f>
        <v>85</v>
      </c>
      <c r="AD10" s="1303">
        <f>'Section Load'!AA13</f>
        <v>0</v>
      </c>
      <c r="AE10" s="1303">
        <f>'Section Load'!AB13</f>
        <v>16</v>
      </c>
      <c r="AF10" s="1303">
        <f>'Section Load'!AC13</f>
        <v>504</v>
      </c>
      <c r="AG10" s="1303">
        <f>'Section Load'!AD13</f>
        <v>375</v>
      </c>
      <c r="AH10" s="1303">
        <f>'Section Load'!AE13</f>
        <v>378</v>
      </c>
      <c r="AI10" s="1303">
        <f>'Section Load'!AF13</f>
        <v>676</v>
      </c>
      <c r="AJ10" s="1303">
        <f>'Section Load'!AG13</f>
        <v>337</v>
      </c>
      <c r="AK10" s="1303">
        <f>'Section Load'!AH13</f>
        <v>332</v>
      </c>
      <c r="AL10" s="1303">
        <f>'Section Load'!AI13</f>
        <v>882</v>
      </c>
      <c r="AM10" s="1304">
        <f>'[1]9'!$G$92</f>
        <v>104</v>
      </c>
      <c r="AN10" s="1304">
        <f>'[1]9'!$G$93</f>
        <v>106</v>
      </c>
      <c r="AO10" s="1304">
        <f>'[1]9'!$G$95</f>
        <v>62</v>
      </c>
      <c r="AP10" s="1304">
        <f>'[1]9'!$G$96</f>
        <v>40</v>
      </c>
      <c r="AQ10" s="1304">
        <f>'[1]9'!$G$97</f>
        <v>29</v>
      </c>
      <c r="AR10" s="1304">
        <f>'[1]9'!$G$98</f>
        <v>67</v>
      </c>
      <c r="AS10" s="1304">
        <f>'[1]9'!$G$99</f>
        <v>13</v>
      </c>
      <c r="AT10" s="1304">
        <f>'[1]9'!$G$100</f>
        <v>9</v>
      </c>
      <c r="AU10" s="1304">
        <f>'[1]9'!$G$104</f>
        <v>0</v>
      </c>
      <c r="AV10" s="1304">
        <f>'[1]9'!$G$105</f>
        <v>0</v>
      </c>
      <c r="AW10" s="1304">
        <f>'[1]9'!$G$106</f>
        <v>4</v>
      </c>
      <c r="AX10" s="1304">
        <f>'[1]9'!$G$109</f>
        <v>53</v>
      </c>
      <c r="AY10" s="1304">
        <f>'[1]9'!$G$110</f>
        <v>63</v>
      </c>
      <c r="AZ10" s="1304">
        <f>'[1]9'!$G$111</f>
        <v>37</v>
      </c>
      <c r="BA10" s="1304">
        <f>'[1]9'!$G$114</f>
        <v>15</v>
      </c>
      <c r="BB10" s="1304">
        <f>'[1]9'!$G$115</f>
        <v>7</v>
      </c>
      <c r="BC10" s="1304">
        <f>'[1]9'!$G$116</f>
        <v>0</v>
      </c>
      <c r="BD10" s="1304">
        <f>'[1]9'!$G$118</f>
        <v>156</v>
      </c>
      <c r="BE10" s="1304">
        <f>'[1]9'!$G$119</f>
        <v>153</v>
      </c>
      <c r="BF10" s="1304">
        <f>'[1]9'!$G$120</f>
        <v>153</v>
      </c>
      <c r="BG10" s="1305">
        <f>'Section Load'!AJ13</f>
        <v>779.02000000001863</v>
      </c>
      <c r="BH10" s="1305">
        <f>'Section Load'!AK13</f>
        <v>253</v>
      </c>
      <c r="BI10" s="1305">
        <f>'Section Load'!AL13</f>
        <v>0</v>
      </c>
      <c r="BJ10" s="1305">
        <f>'Section Load'!AM13</f>
        <v>43</v>
      </c>
      <c r="BK10" s="1305">
        <f>'Section Load'!AN13</f>
        <v>85</v>
      </c>
      <c r="BL10" s="1305">
        <f>'Section Load'!AO13</f>
        <v>2</v>
      </c>
      <c r="BM10" s="1305">
        <f>'Section Load'!AP13</f>
        <v>396.02000000001863</v>
      </c>
    </row>
    <row r="11" spans="1:65">
      <c r="A11" s="1287" t="s">
        <v>305</v>
      </c>
      <c r="B11" s="1288">
        <f t="shared" si="0"/>
        <v>10</v>
      </c>
      <c r="C11" s="1288">
        <v>3</v>
      </c>
      <c r="D11" s="1288">
        <v>2021</v>
      </c>
      <c r="E11" s="1303">
        <f>'Section Load'!B14</f>
        <v>3447</v>
      </c>
      <c r="F11" s="1303">
        <f>'Section Load'!C14</f>
        <v>1549</v>
      </c>
      <c r="G11" s="1303">
        <f>'Section Load'!D14</f>
        <v>2046</v>
      </c>
      <c r="H11" s="1303">
        <f>'Section Load'!E14</f>
        <v>4185</v>
      </c>
      <c r="I11" s="1303">
        <f>'Section Load'!F14</f>
        <v>4999</v>
      </c>
      <c r="J11" s="1303">
        <f>'Section Load'!G14</f>
        <v>2507</v>
      </c>
      <c r="K11" s="1303">
        <f>'Section Load'!H14</f>
        <v>1194</v>
      </c>
      <c r="L11" s="1303">
        <f>'Section Load'!I14</f>
        <v>702</v>
      </c>
      <c r="M11" s="1303">
        <f>'Section Load'!J14</f>
        <v>87</v>
      </c>
      <c r="N11" s="1303">
        <f>'Section Load'!K14</f>
        <v>0</v>
      </c>
      <c r="O11" s="1303">
        <f>'Section Load'!L14</f>
        <v>25</v>
      </c>
      <c r="P11" s="1303">
        <f>'Section Load'!M14</f>
        <v>161</v>
      </c>
      <c r="Q11" s="1303">
        <f>'Section Load'!N14</f>
        <v>90</v>
      </c>
      <c r="R11" s="1303">
        <f>'Section Load'!O14</f>
        <v>56</v>
      </c>
      <c r="S11" s="1303">
        <f>'Section Load'!P14</f>
        <v>409</v>
      </c>
      <c r="T11" s="1303">
        <f>'Section Load'!Q14</f>
        <v>205</v>
      </c>
      <c r="U11" s="1303">
        <f>'Section Load'!R14</f>
        <v>517</v>
      </c>
      <c r="V11" s="1303">
        <f>'Section Load'!S14</f>
        <v>89</v>
      </c>
      <c r="W11" s="1303">
        <f>'Section Load'!T14</f>
        <v>25</v>
      </c>
      <c r="X11" s="1303">
        <f>'Section Load'!U14</f>
        <v>196</v>
      </c>
      <c r="Y11" s="1303">
        <f>'Section Load'!V14</f>
        <v>491</v>
      </c>
      <c r="Z11" s="1303">
        <f>'Section Load'!W14</f>
        <v>159</v>
      </c>
      <c r="AA11" s="1303">
        <f>'Section Load'!X14</f>
        <v>27</v>
      </c>
      <c r="AB11" s="1303">
        <f>'Section Load'!Y14</f>
        <v>96</v>
      </c>
      <c r="AC11" s="1303">
        <f>'Section Load'!Z14</f>
        <v>43</v>
      </c>
      <c r="AD11" s="1303">
        <f>'Section Load'!AA14</f>
        <v>0</v>
      </c>
      <c r="AE11" s="1303">
        <f>'Section Load'!AB14</f>
        <v>14</v>
      </c>
      <c r="AF11" s="1303">
        <f>'Section Load'!AC14</f>
        <v>545</v>
      </c>
      <c r="AG11" s="1303">
        <f>'Section Load'!AD14</f>
        <v>371</v>
      </c>
      <c r="AH11" s="1303">
        <f>'Section Load'!AE14</f>
        <v>355</v>
      </c>
      <c r="AI11" s="1303">
        <f>'Section Load'!AF14</f>
        <v>657</v>
      </c>
      <c r="AJ11" s="1303">
        <f>'Section Load'!AG14</f>
        <v>328</v>
      </c>
      <c r="AK11" s="1303">
        <f>'Section Load'!AH14</f>
        <v>327</v>
      </c>
      <c r="AL11" s="1303">
        <f>'Section Load'!AI14</f>
        <v>885</v>
      </c>
      <c r="AM11" s="1304">
        <f>'[1]10'!$G$92</f>
        <v>137</v>
      </c>
      <c r="AN11" s="1304">
        <f>'[1]10'!$G$93</f>
        <v>155</v>
      </c>
      <c r="AO11" s="1304">
        <f>'[1]10'!$G$95</f>
        <v>77</v>
      </c>
      <c r="AP11" s="1304">
        <f>'[1]10'!$G$96</f>
        <v>40</v>
      </c>
      <c r="AQ11" s="1304">
        <f>'[1]10'!$G$97</f>
        <v>46</v>
      </c>
      <c r="AR11" s="1304">
        <f>'[1]10'!$G$98</f>
        <v>80</v>
      </c>
      <c r="AS11" s="1304">
        <f>'[1]10'!$G$99</f>
        <v>12</v>
      </c>
      <c r="AT11" s="1304">
        <f>'[1]10'!$G$100</f>
        <v>12</v>
      </c>
      <c r="AU11" s="1304">
        <f>'[1]10'!$G$104</f>
        <v>0</v>
      </c>
      <c r="AV11" s="1304">
        <f>'[1]10'!$G$105</f>
        <v>12</v>
      </c>
      <c r="AW11" s="1304">
        <f>'[1]10'!$G$106</f>
        <v>3</v>
      </c>
      <c r="AX11" s="1304">
        <f>'[1]10'!$G$109</f>
        <v>61</v>
      </c>
      <c r="AY11" s="1304">
        <f>'[1]10'!$G$110</f>
        <v>64</v>
      </c>
      <c r="AZ11" s="1304">
        <f>'[1]10'!$G$111</f>
        <v>6</v>
      </c>
      <c r="BA11" s="1304">
        <f>'[1]10'!$G$114</f>
        <v>14</v>
      </c>
      <c r="BB11" s="1304">
        <f>'[1]10'!$G$115</f>
        <v>13</v>
      </c>
      <c r="BC11" s="1304">
        <f>'[1]10'!$G$116</f>
        <v>0</v>
      </c>
      <c r="BD11" s="1304">
        <f>'[1]10'!$G$118</f>
        <v>187</v>
      </c>
      <c r="BE11" s="1304">
        <f>'[1]10'!$G$119</f>
        <v>187</v>
      </c>
      <c r="BF11" s="1304">
        <f>'[1]10'!$G$120</f>
        <v>131</v>
      </c>
      <c r="BG11" s="1305">
        <f>'Section Load'!AJ14</f>
        <v>847.12999999988824</v>
      </c>
      <c r="BH11" s="1305">
        <f>'Section Load'!AK14</f>
        <v>247</v>
      </c>
      <c r="BI11" s="1305">
        <f>'Section Load'!AL14</f>
        <v>-0.39999999999417923</v>
      </c>
      <c r="BJ11" s="1305">
        <f>'Section Load'!AM14</f>
        <v>76</v>
      </c>
      <c r="BK11" s="1305">
        <f>'Section Load'!AN14</f>
        <v>51</v>
      </c>
      <c r="BL11" s="1305">
        <f>'Section Load'!AO14</f>
        <v>3</v>
      </c>
      <c r="BM11" s="1305">
        <f>'Section Load'!AP14</f>
        <v>470.52999999988242</v>
      </c>
    </row>
    <row r="12" spans="1:65">
      <c r="A12" s="1287" t="s">
        <v>305</v>
      </c>
      <c r="B12" s="1288">
        <f t="shared" si="0"/>
        <v>11</v>
      </c>
      <c r="C12" s="1288">
        <v>3</v>
      </c>
      <c r="D12" s="1288">
        <v>2021</v>
      </c>
      <c r="E12" s="1303">
        <f>'Section Load'!B15</f>
        <v>3850</v>
      </c>
      <c r="F12" s="1303">
        <f>'Section Load'!C15</f>
        <v>1551</v>
      </c>
      <c r="G12" s="1303">
        <f>'Section Load'!D15</f>
        <v>2085</v>
      </c>
      <c r="H12" s="1303">
        <f>'Section Load'!E15</f>
        <v>4105</v>
      </c>
      <c r="I12" s="1303">
        <f>'Section Load'!F15</f>
        <v>5075</v>
      </c>
      <c r="J12" s="1303">
        <f>'Section Load'!G15</f>
        <v>2394</v>
      </c>
      <c r="K12" s="1303">
        <f>'Section Load'!H15</f>
        <v>1135</v>
      </c>
      <c r="L12" s="1303">
        <f>'Section Load'!I15</f>
        <v>598</v>
      </c>
      <c r="M12" s="1303">
        <f>'Section Load'!J15</f>
        <v>95</v>
      </c>
      <c r="N12" s="1303">
        <f>'Section Load'!K15</f>
        <v>0</v>
      </c>
      <c r="O12" s="1303">
        <f>'Section Load'!L15</f>
        <v>26</v>
      </c>
      <c r="P12" s="1303">
        <f>'Section Load'!M15</f>
        <v>164</v>
      </c>
      <c r="Q12" s="1303">
        <f>'Section Load'!N15</f>
        <v>91</v>
      </c>
      <c r="R12" s="1303">
        <f>'Section Load'!O15</f>
        <v>55</v>
      </c>
      <c r="S12" s="1303">
        <f>'Section Load'!P15</f>
        <v>411</v>
      </c>
      <c r="T12" s="1303">
        <f>'Section Load'!Q15</f>
        <v>173</v>
      </c>
      <c r="U12" s="1303">
        <f>'Section Load'!R15</f>
        <v>97</v>
      </c>
      <c r="V12" s="1303">
        <f>'Section Load'!S15</f>
        <v>84</v>
      </c>
      <c r="W12" s="1303">
        <f>'Section Load'!T15</f>
        <v>26</v>
      </c>
      <c r="X12" s="1303">
        <f>'Section Load'!U15</f>
        <v>161</v>
      </c>
      <c r="Y12" s="1303">
        <f>'Section Load'!V15</f>
        <v>407</v>
      </c>
      <c r="Z12" s="1303">
        <f>'Section Load'!W15</f>
        <v>169</v>
      </c>
      <c r="AA12" s="1303">
        <f>'Section Load'!X15</f>
        <v>25</v>
      </c>
      <c r="AB12" s="1303">
        <f>'Section Load'!Y15</f>
        <v>83</v>
      </c>
      <c r="AC12" s="1303">
        <f>'Section Load'!Z15</f>
        <v>30</v>
      </c>
      <c r="AD12" s="1303">
        <f>'Section Load'!AA15</f>
        <v>0</v>
      </c>
      <c r="AE12" s="1303">
        <f>'Section Load'!AB15</f>
        <v>14</v>
      </c>
      <c r="AF12" s="1303">
        <f>'Section Load'!AC15</f>
        <v>507</v>
      </c>
      <c r="AG12" s="1303">
        <f>'Section Load'!AD15</f>
        <v>354</v>
      </c>
      <c r="AH12" s="1303">
        <f>'Section Load'!AE15</f>
        <v>346</v>
      </c>
      <c r="AI12" s="1303">
        <f>'Section Load'!AF15</f>
        <v>664</v>
      </c>
      <c r="AJ12" s="1303">
        <f>'Section Load'!AG15</f>
        <v>302</v>
      </c>
      <c r="AK12" s="1303">
        <f>'Section Load'!AH15</f>
        <v>330</v>
      </c>
      <c r="AL12" s="1303">
        <f>'Section Load'!AI15</f>
        <v>998</v>
      </c>
      <c r="AM12" s="1304">
        <f>'[1]11'!$G$92</f>
        <v>101</v>
      </c>
      <c r="AN12" s="1304">
        <f>'[1]11'!$G$93</f>
        <v>134</v>
      </c>
      <c r="AO12" s="1304">
        <f>'[1]11'!$G$95</f>
        <v>71</v>
      </c>
      <c r="AP12" s="1304">
        <f>'[1]11'!$G$96</f>
        <v>49</v>
      </c>
      <c r="AQ12" s="1304">
        <f>'[1]11'!$G$97</f>
        <v>23</v>
      </c>
      <c r="AR12" s="1304">
        <f>'[1]11'!$G$98</f>
        <v>75</v>
      </c>
      <c r="AS12" s="1304">
        <f>'[1]11'!$G$99</f>
        <v>10</v>
      </c>
      <c r="AT12" s="1304">
        <f>'[1]11'!$G$100</f>
        <v>9</v>
      </c>
      <c r="AU12" s="1304">
        <f>'[1]11'!$G$104</f>
        <v>0</v>
      </c>
      <c r="AV12" s="1304">
        <f>'[1]11'!$G$105</f>
        <v>7</v>
      </c>
      <c r="AW12" s="1304">
        <f>'[1]11'!$G$106</f>
        <v>6</v>
      </c>
      <c r="AX12" s="1304">
        <f>'[1]11'!$G$109</f>
        <v>105</v>
      </c>
      <c r="AY12" s="1304">
        <f>'[1]11'!$G$110</f>
        <v>99</v>
      </c>
      <c r="AZ12" s="1304">
        <f>'[1]11'!$G$111</f>
        <v>12</v>
      </c>
      <c r="BA12" s="1304">
        <f>'[1]11'!$G$114</f>
        <v>12</v>
      </c>
      <c r="BB12" s="1304">
        <f>'[1]11'!$G$115</f>
        <v>3</v>
      </c>
      <c r="BC12" s="1304">
        <f>'[1]11'!$G$116</f>
        <v>0</v>
      </c>
      <c r="BD12" s="1304">
        <f>'[1]11'!$G$118</f>
        <v>152</v>
      </c>
      <c r="BE12" s="1304">
        <f>'[1]11'!$G$119</f>
        <v>162</v>
      </c>
      <c r="BF12" s="1304">
        <f>'[1]11'!$G$120</f>
        <v>216</v>
      </c>
      <c r="BG12" s="1305">
        <f>'Section Load'!AJ15</f>
        <v>852</v>
      </c>
      <c r="BH12" s="1305">
        <f>'Section Load'!AK15</f>
        <v>233</v>
      </c>
      <c r="BI12" s="1305">
        <f>'Section Load'!AL15</f>
        <v>0</v>
      </c>
      <c r="BJ12" s="1305">
        <f>'Section Load'!AM15</f>
        <v>68</v>
      </c>
      <c r="BK12" s="1305">
        <f>'Section Load'!AN15</f>
        <v>17</v>
      </c>
      <c r="BL12" s="1305">
        <f>'Section Load'!AO15</f>
        <v>3</v>
      </c>
      <c r="BM12" s="1305">
        <f>'Section Load'!AP15</f>
        <v>531</v>
      </c>
    </row>
    <row r="13" spans="1:65">
      <c r="A13" s="1287" t="s">
        <v>305</v>
      </c>
      <c r="B13" s="1288">
        <f t="shared" si="0"/>
        <v>12</v>
      </c>
      <c r="C13" s="1288">
        <v>3</v>
      </c>
      <c r="D13" s="1288">
        <v>2021</v>
      </c>
      <c r="E13" s="1303">
        <f>'Section Load'!B16</f>
        <v>3783</v>
      </c>
      <c r="F13" s="1303">
        <f>'Section Load'!C16</f>
        <v>1569</v>
      </c>
      <c r="G13" s="1303">
        <f>'Section Load'!D16</f>
        <v>1820</v>
      </c>
      <c r="H13" s="1303">
        <f>'Section Load'!E16</f>
        <v>4165</v>
      </c>
      <c r="I13" s="1303">
        <f>'Section Load'!F16</f>
        <v>5122</v>
      </c>
      <c r="J13" s="1303">
        <f>'Section Load'!G16</f>
        <v>2392</v>
      </c>
      <c r="K13" s="1303">
        <f>'Section Load'!H16</f>
        <v>1179</v>
      </c>
      <c r="L13" s="1303">
        <f>'Section Load'!I16</f>
        <v>629</v>
      </c>
      <c r="M13" s="1303">
        <f>'Section Load'!J16</f>
        <v>87</v>
      </c>
      <c r="N13" s="1303">
        <f>'Section Load'!K16</f>
        <v>1</v>
      </c>
      <c r="O13" s="1303">
        <f>'Section Load'!L16</f>
        <v>24</v>
      </c>
      <c r="P13" s="1303">
        <f>'Section Load'!M16</f>
        <v>168</v>
      </c>
      <c r="Q13" s="1303">
        <f>'Section Load'!N16</f>
        <v>87</v>
      </c>
      <c r="R13" s="1303">
        <f>'Section Load'!O16</f>
        <v>53</v>
      </c>
      <c r="S13" s="1303">
        <f>'Section Load'!P16</f>
        <v>407</v>
      </c>
      <c r="T13" s="1303">
        <f>'Section Load'!Q16</f>
        <v>190</v>
      </c>
      <c r="U13" s="1303">
        <f>'Section Load'!R16</f>
        <v>576</v>
      </c>
      <c r="V13" s="1303">
        <f>'Section Load'!S16</f>
        <v>88</v>
      </c>
      <c r="W13" s="1303">
        <f>'Section Load'!T16</f>
        <v>23</v>
      </c>
      <c r="X13" s="1303">
        <f>'Section Load'!U16</f>
        <v>173</v>
      </c>
      <c r="Y13" s="1303">
        <f>'Section Load'!V16</f>
        <v>211</v>
      </c>
      <c r="Z13" s="1303">
        <f>'Section Load'!W16</f>
        <v>249</v>
      </c>
      <c r="AA13" s="1303">
        <f>'Section Load'!X16</f>
        <v>28</v>
      </c>
      <c r="AB13" s="1303">
        <f>'Section Load'!Y16</f>
        <v>74</v>
      </c>
      <c r="AC13" s="1303">
        <f>'Section Load'!Z16</f>
        <v>32</v>
      </c>
      <c r="AD13" s="1303">
        <f>'Section Load'!AA16</f>
        <v>0</v>
      </c>
      <c r="AE13" s="1303">
        <f>'Section Load'!AB16</f>
        <v>12</v>
      </c>
      <c r="AF13" s="1303">
        <f>'Section Load'!AC16</f>
        <v>514</v>
      </c>
      <c r="AG13" s="1303">
        <f>'Section Load'!AD16</f>
        <v>352</v>
      </c>
      <c r="AH13" s="1303">
        <f>'Section Load'!AE16</f>
        <v>366</v>
      </c>
      <c r="AI13" s="1303">
        <f>'Section Load'!AF16</f>
        <v>675</v>
      </c>
      <c r="AJ13" s="1303">
        <f>'Section Load'!AG16</f>
        <v>333</v>
      </c>
      <c r="AK13" s="1303">
        <f>'Section Load'!AH16</f>
        <v>328</v>
      </c>
      <c r="AL13" s="1303">
        <f>'Section Load'!AI16</f>
        <v>991</v>
      </c>
      <c r="AM13" s="1304">
        <f>'[1]12'!$G$92</f>
        <v>129</v>
      </c>
      <c r="AN13" s="1304">
        <f>'[1]12'!$G$93</f>
        <v>117</v>
      </c>
      <c r="AO13" s="1304">
        <f>'[1]12'!$G$95</f>
        <v>86</v>
      </c>
      <c r="AP13" s="1304">
        <f>'[1]12'!$G$96</f>
        <v>38</v>
      </c>
      <c r="AQ13" s="1304">
        <f>'[1]12'!$G$97</f>
        <v>27</v>
      </c>
      <c r="AR13" s="1304">
        <f>'[1]12'!$G$98</f>
        <v>83</v>
      </c>
      <c r="AS13" s="1304">
        <f>'[1]12'!$G$99</f>
        <v>10</v>
      </c>
      <c r="AT13" s="1304">
        <f>'[1]12'!$G$100</f>
        <v>7</v>
      </c>
      <c r="AU13" s="1304">
        <f>'[1]12'!$G$104</f>
        <v>0</v>
      </c>
      <c r="AV13" s="1304">
        <f>'[1]12'!$G$105</f>
        <v>9</v>
      </c>
      <c r="AW13" s="1304">
        <f>'[1]12'!$G$106</f>
        <v>12</v>
      </c>
      <c r="AX13" s="1304">
        <f>'[1]12'!$G$109</f>
        <v>64</v>
      </c>
      <c r="AY13" s="1304">
        <f>'[1]12'!$G$110</f>
        <v>59</v>
      </c>
      <c r="AZ13" s="1304">
        <f>'[1]12'!$G$111</f>
        <v>0</v>
      </c>
      <c r="BA13" s="1304">
        <f>'[1]12'!$G$114</f>
        <v>14</v>
      </c>
      <c r="BB13" s="1304">
        <f>'[1]12'!$G$115</f>
        <v>8</v>
      </c>
      <c r="BC13" s="1304">
        <f>'[1]12'!$G$116</f>
        <v>0</v>
      </c>
      <c r="BD13" s="1304">
        <f>'[1]12'!$G$118</f>
        <v>180</v>
      </c>
      <c r="BE13" s="1304">
        <f>'[1]12'!$G$119</f>
        <v>168</v>
      </c>
      <c r="BF13" s="1304">
        <f>'[1]12'!$G$120</f>
        <v>123</v>
      </c>
      <c r="BG13" s="1305">
        <f>'Section Load'!AJ16</f>
        <v>804.77000000001863</v>
      </c>
      <c r="BH13" s="1305">
        <f>'Section Load'!AK16</f>
        <v>245</v>
      </c>
      <c r="BI13" s="1305">
        <f>'Section Load'!AL16</f>
        <v>0</v>
      </c>
      <c r="BJ13" s="1305">
        <f>'Section Load'!AM16</f>
        <v>60</v>
      </c>
      <c r="BK13" s="1305">
        <f>'Section Load'!AN16</f>
        <v>20</v>
      </c>
      <c r="BL13" s="1305">
        <f>'Section Load'!AO16</f>
        <v>3</v>
      </c>
      <c r="BM13" s="1305">
        <f>'Section Load'!AP16</f>
        <v>476.77000000001863</v>
      </c>
    </row>
    <row r="14" spans="1:65">
      <c r="A14" s="1287" t="s">
        <v>305</v>
      </c>
      <c r="B14" s="1288">
        <f t="shared" si="0"/>
        <v>13</v>
      </c>
      <c r="C14" s="1288">
        <v>3</v>
      </c>
      <c r="D14" s="1288">
        <v>2021</v>
      </c>
      <c r="E14" s="1303">
        <f>'Section Load'!B17</f>
        <v>3627</v>
      </c>
      <c r="F14" s="1303">
        <f>'Section Load'!C17</f>
        <v>1606</v>
      </c>
      <c r="G14" s="1303">
        <f>'Section Load'!D17</f>
        <v>2030</v>
      </c>
      <c r="H14" s="1303">
        <f>'Section Load'!E17</f>
        <v>4243</v>
      </c>
      <c r="I14" s="1303">
        <f>'Section Load'!F17</f>
        <v>5361</v>
      </c>
      <c r="J14" s="1303">
        <f>'Section Load'!G17</f>
        <v>2397.33</v>
      </c>
      <c r="K14" s="1303">
        <f>'Section Load'!H17</f>
        <v>1073</v>
      </c>
      <c r="L14" s="1303">
        <f>'Section Load'!I17</f>
        <v>667</v>
      </c>
      <c r="M14" s="1303">
        <f>'Section Load'!J17</f>
        <v>90</v>
      </c>
      <c r="N14" s="1303">
        <f>'Section Load'!K17</f>
        <v>0</v>
      </c>
      <c r="O14" s="1303">
        <f>'Section Load'!L17</f>
        <v>35</v>
      </c>
      <c r="P14" s="1303">
        <f>'Section Load'!M17</f>
        <v>176</v>
      </c>
      <c r="Q14" s="1303">
        <f>'Section Load'!N17</f>
        <v>83</v>
      </c>
      <c r="R14" s="1303">
        <f>'Section Load'!O17</f>
        <v>53</v>
      </c>
      <c r="S14" s="1303">
        <f>'Section Load'!P17</f>
        <v>472</v>
      </c>
      <c r="T14" s="1303">
        <f>'Section Load'!Q17</f>
        <v>198</v>
      </c>
      <c r="U14" s="1303">
        <f>'Section Load'!R17</f>
        <v>362</v>
      </c>
      <c r="V14" s="1303">
        <f>'Section Load'!S17</f>
        <v>104</v>
      </c>
      <c r="W14" s="1303">
        <f>'Section Load'!T17</f>
        <v>24</v>
      </c>
      <c r="X14" s="1303">
        <f>'Section Load'!U17</f>
        <v>176</v>
      </c>
      <c r="Y14" s="1303">
        <f>'Section Load'!V17</f>
        <v>264</v>
      </c>
      <c r="Z14" s="1303">
        <f>'Section Load'!W17</f>
        <v>83</v>
      </c>
      <c r="AA14" s="1303">
        <f>'Section Load'!X17</f>
        <v>25</v>
      </c>
      <c r="AB14" s="1303">
        <f>'Section Load'!Y17</f>
        <v>66</v>
      </c>
      <c r="AC14" s="1303">
        <f>'Section Load'!Z17</f>
        <v>27</v>
      </c>
      <c r="AD14" s="1303">
        <f>'Section Load'!AA17</f>
        <v>0.18000000000029104</v>
      </c>
      <c r="AE14" s="1303">
        <f>'Section Load'!AB17</f>
        <v>12</v>
      </c>
      <c r="AF14" s="1303">
        <f>'Section Load'!AC17</f>
        <v>479</v>
      </c>
      <c r="AG14" s="1303">
        <f>'Section Load'!AD17</f>
        <v>358</v>
      </c>
      <c r="AH14" s="1303">
        <f>'Section Load'!AE17</f>
        <v>369</v>
      </c>
      <c r="AI14" s="1303">
        <f>'Section Load'!AF17</f>
        <v>703</v>
      </c>
      <c r="AJ14" s="1303">
        <f>'Section Load'!AG17</f>
        <v>354</v>
      </c>
      <c r="AK14" s="1303">
        <f>'Section Load'!AH17</f>
        <v>329</v>
      </c>
      <c r="AL14" s="1303">
        <f>'Section Load'!AI17</f>
        <v>758</v>
      </c>
      <c r="AM14" s="1304">
        <f>'[1]13'!$G$92</f>
        <v>149</v>
      </c>
      <c r="AN14" s="1304">
        <f>'[1]13'!$G$93</f>
        <v>249</v>
      </c>
      <c r="AO14" s="1304">
        <f>'[1]13'!$G$95</f>
        <v>88</v>
      </c>
      <c r="AP14" s="1304">
        <f>'[1]13'!$G$96</f>
        <v>43</v>
      </c>
      <c r="AQ14" s="1304">
        <f>'[1]13'!$G$97</f>
        <v>46</v>
      </c>
      <c r="AR14" s="1304">
        <f>'[1]13'!$G$98</f>
        <v>63</v>
      </c>
      <c r="AS14" s="1304">
        <f>'[1]13'!$G$99</f>
        <v>16</v>
      </c>
      <c r="AT14" s="1304">
        <f>'[1]13'!$G$100</f>
        <v>14</v>
      </c>
      <c r="AU14" s="1304">
        <f>'[1]13'!$G$104</f>
        <v>0</v>
      </c>
      <c r="AV14" s="1304">
        <f>'[1]13'!$G$105</f>
        <v>11</v>
      </c>
      <c r="AW14" s="1304">
        <f>'[1]13'!$G$106</f>
        <v>6</v>
      </c>
      <c r="AX14" s="1304">
        <f>'[1]13'!$G$109</f>
        <v>60</v>
      </c>
      <c r="AY14" s="1304">
        <f>'[1]13'!$G$110</f>
        <v>86</v>
      </c>
      <c r="AZ14" s="1304">
        <f>'[1]13'!$G$111</f>
        <v>13</v>
      </c>
      <c r="BA14" s="1304">
        <f>'[1]13'!$G$114</f>
        <v>20</v>
      </c>
      <c r="BB14" s="1304">
        <f>'[1]13'!$G$115</f>
        <v>6</v>
      </c>
      <c r="BC14" s="1304">
        <f>'[1]13'!$G$116</f>
        <v>0</v>
      </c>
      <c r="BD14" s="1304">
        <f>'[1]13'!$G$118</f>
        <v>201</v>
      </c>
      <c r="BE14" s="1304">
        <f>'[1]13'!$G$119</f>
        <v>207</v>
      </c>
      <c r="BF14" s="1304">
        <f>'[1]13'!$G$120</f>
        <v>159</v>
      </c>
      <c r="BG14" s="1305">
        <f>'Section Load'!AJ17</f>
        <v>836.22999999998137</v>
      </c>
      <c r="BH14" s="1305">
        <f>'Section Load'!AK17</f>
        <v>246</v>
      </c>
      <c r="BI14" s="1305">
        <f>'Section Load'!AL17</f>
        <v>0.39999999999417923</v>
      </c>
      <c r="BJ14" s="1305">
        <f>'Section Load'!AM17</f>
        <v>63</v>
      </c>
      <c r="BK14" s="1305">
        <f>'Section Load'!AN17</f>
        <v>28</v>
      </c>
      <c r="BL14" s="1305">
        <f>'Section Load'!AO17</f>
        <v>3</v>
      </c>
      <c r="BM14" s="1305">
        <f>'Section Load'!AP17</f>
        <v>495.82999999998719</v>
      </c>
    </row>
    <row r="15" spans="1:65">
      <c r="A15" s="1287" t="s">
        <v>305</v>
      </c>
      <c r="B15" s="1288">
        <f t="shared" si="0"/>
        <v>14</v>
      </c>
      <c r="C15" s="1288">
        <v>3</v>
      </c>
      <c r="D15" s="1288">
        <v>2021</v>
      </c>
      <c r="E15" s="1303">
        <f>'Section Load'!B18</f>
        <v>3483</v>
      </c>
      <c r="F15" s="1303">
        <f>'Section Load'!C18</f>
        <v>1563</v>
      </c>
      <c r="G15" s="1303">
        <f>'Section Load'!D18</f>
        <v>2010</v>
      </c>
      <c r="H15" s="1303">
        <f>'Section Load'!E18</f>
        <v>4133</v>
      </c>
      <c r="I15" s="1303">
        <f>'Section Load'!F18</f>
        <v>5010</v>
      </c>
      <c r="J15" s="1303">
        <f>'Section Load'!G18</f>
        <v>2407</v>
      </c>
      <c r="K15" s="1303">
        <f>'Section Load'!H18</f>
        <v>1184</v>
      </c>
      <c r="L15" s="1303">
        <f>'Section Load'!I18</f>
        <v>659</v>
      </c>
      <c r="M15" s="1303">
        <f>'Section Load'!J18</f>
        <v>90</v>
      </c>
      <c r="N15" s="1303">
        <f>'Section Load'!K18</f>
        <v>0</v>
      </c>
      <c r="O15" s="1303">
        <f>'Section Load'!L18</f>
        <v>49</v>
      </c>
      <c r="P15" s="1303">
        <f>'Section Load'!M18</f>
        <v>187</v>
      </c>
      <c r="Q15" s="1303">
        <f>'Section Load'!N18</f>
        <v>76</v>
      </c>
      <c r="R15" s="1303">
        <f>'Section Load'!O18</f>
        <v>49</v>
      </c>
      <c r="S15" s="1303">
        <f>'Section Load'!P18</f>
        <v>388</v>
      </c>
      <c r="T15" s="1303">
        <f>'Section Load'!Q18</f>
        <v>200</v>
      </c>
      <c r="U15" s="1303">
        <f>'Section Load'!R18</f>
        <v>362</v>
      </c>
      <c r="V15" s="1303">
        <f>'Section Load'!S18</f>
        <v>132</v>
      </c>
      <c r="W15" s="1303">
        <f>'Section Load'!T18</f>
        <v>25</v>
      </c>
      <c r="X15" s="1303">
        <f>'Section Load'!U18</f>
        <v>173</v>
      </c>
      <c r="Y15" s="1303">
        <f>'Section Load'!V18</f>
        <v>249</v>
      </c>
      <c r="Z15" s="1303">
        <f>'Section Load'!W18</f>
        <v>60</v>
      </c>
      <c r="AA15" s="1303">
        <f>'Section Load'!X18</f>
        <v>15</v>
      </c>
      <c r="AB15" s="1303">
        <f>'Section Load'!Y18</f>
        <v>31</v>
      </c>
      <c r="AC15" s="1303">
        <f>'Section Load'!Z18</f>
        <v>16</v>
      </c>
      <c r="AD15" s="1303">
        <f>'Section Load'!AA18</f>
        <v>0</v>
      </c>
      <c r="AE15" s="1303">
        <f>'Section Load'!AB18</f>
        <v>15</v>
      </c>
      <c r="AF15" s="1303">
        <f>'Section Load'!AC18</f>
        <v>488</v>
      </c>
      <c r="AG15" s="1303">
        <f>'Section Load'!AD18</f>
        <v>382</v>
      </c>
      <c r="AH15" s="1303">
        <f>'Section Load'!AE18</f>
        <v>371</v>
      </c>
      <c r="AI15" s="1303">
        <f>'Section Load'!AF18</f>
        <v>646</v>
      </c>
      <c r="AJ15" s="1303">
        <f>'Section Load'!AG18</f>
        <v>350</v>
      </c>
      <c r="AK15" s="1303">
        <f>'Section Load'!AH18</f>
        <v>313</v>
      </c>
      <c r="AL15" s="1303">
        <f>'Section Load'!AI18</f>
        <v>742</v>
      </c>
      <c r="AM15" s="1304">
        <f>'[1]14'!$G$92</f>
        <v>166</v>
      </c>
      <c r="AN15" s="1304">
        <f>'[1]14'!$G$93</f>
        <v>174</v>
      </c>
      <c r="AO15" s="1304">
        <f>'[1]14'!$G$95</f>
        <v>121</v>
      </c>
      <c r="AP15" s="1304">
        <f>'[1]14'!$G$96</f>
        <v>47</v>
      </c>
      <c r="AQ15" s="1304">
        <f>'[1]14'!$G$97</f>
        <v>46</v>
      </c>
      <c r="AR15" s="1304">
        <f>'[1]14'!$G$98</f>
        <v>71</v>
      </c>
      <c r="AS15" s="1304">
        <f>'[1]14'!$G$99</f>
        <v>19</v>
      </c>
      <c r="AT15" s="1304">
        <f>'[1]14'!$G$100</f>
        <v>24</v>
      </c>
      <c r="AU15" s="1304">
        <f>'[1]14'!$G$104</f>
        <v>87</v>
      </c>
      <c r="AV15" s="1304">
        <f>'[1]14'!$G$105</f>
        <v>11</v>
      </c>
      <c r="AW15" s="1304">
        <f>'[1]14'!$G$106</f>
        <v>5</v>
      </c>
      <c r="AX15" s="1304">
        <f>'[1]14'!$G$109</f>
        <v>60</v>
      </c>
      <c r="AY15" s="1304">
        <f>'[1]14'!$G$110</f>
        <v>42</v>
      </c>
      <c r="AZ15" s="1304">
        <f>'[1]14'!$G$111</f>
        <v>0</v>
      </c>
      <c r="BA15" s="1304">
        <f>'[1]14'!$G$114</f>
        <v>22</v>
      </c>
      <c r="BB15" s="1304">
        <f>'[1]14'!$G$115</f>
        <v>20</v>
      </c>
      <c r="BC15" s="1304">
        <f>'[1]14'!$G$116</f>
        <v>0</v>
      </c>
      <c r="BD15" s="1304">
        <f>'[1]14'!$G$118</f>
        <v>217</v>
      </c>
      <c r="BE15" s="1304">
        <f>'[1]14'!$G$119</f>
        <v>257</v>
      </c>
      <c r="BF15" s="1304">
        <f>'[1]14'!$G$120</f>
        <v>102</v>
      </c>
      <c r="BG15" s="1305">
        <f>'Section Load'!AJ18</f>
        <v>855</v>
      </c>
      <c r="BH15" s="1305">
        <f>'Section Load'!AK18</f>
        <v>245</v>
      </c>
      <c r="BI15" s="1305">
        <f>'Section Load'!AL18</f>
        <v>0</v>
      </c>
      <c r="BJ15" s="1305">
        <f>'Section Load'!AM18</f>
        <v>61.209999999991851</v>
      </c>
      <c r="BK15" s="1305">
        <f>'Section Load'!AN18</f>
        <v>-66.5</v>
      </c>
      <c r="BL15" s="1305">
        <f>'Section Load'!AO18</f>
        <v>3.2999999999992724</v>
      </c>
      <c r="BM15" s="1305">
        <f>'Section Load'!AP18</f>
        <v>611.99000000000888</v>
      </c>
    </row>
    <row r="16" spans="1:65">
      <c r="A16" s="1287" t="s">
        <v>305</v>
      </c>
      <c r="B16" s="1288">
        <f t="shared" si="0"/>
        <v>15</v>
      </c>
      <c r="C16" s="1288">
        <v>3</v>
      </c>
      <c r="D16" s="1288">
        <v>2021</v>
      </c>
      <c r="E16" s="1303">
        <f>'Section Load'!B19</f>
        <v>3462.7600000000093</v>
      </c>
      <c r="F16" s="1303">
        <f>'Section Load'!C19</f>
        <v>1624.6700000000128</v>
      </c>
      <c r="G16" s="1303">
        <f>'Section Load'!D19</f>
        <v>1887.9100000000326</v>
      </c>
      <c r="H16" s="1303">
        <f>'Section Load'!E19</f>
        <v>4262.210000000021</v>
      </c>
      <c r="I16" s="1303">
        <f>'Section Load'!F19</f>
        <v>5696.4530000000013</v>
      </c>
      <c r="J16" s="1303">
        <f>'Section Load'!G19</f>
        <v>2431.5500000000466</v>
      </c>
      <c r="K16" s="1303">
        <f>'Section Load'!H19</f>
        <v>1168.6699999999837</v>
      </c>
      <c r="L16" s="1303">
        <f>'Section Load'!I19</f>
        <v>718</v>
      </c>
      <c r="M16" s="1303">
        <f>'Section Load'!J19</f>
        <v>103</v>
      </c>
      <c r="N16" s="1303">
        <f>'Section Load'!K19</f>
        <v>1</v>
      </c>
      <c r="O16" s="1303">
        <f>'Section Load'!L19</f>
        <v>20.950000000000045</v>
      </c>
      <c r="P16" s="1303">
        <f>'Section Load'!M19</f>
        <v>168.28999999999996</v>
      </c>
      <c r="Q16" s="1303">
        <f>'Section Load'!N19</f>
        <v>72.619999999999891</v>
      </c>
      <c r="R16" s="1303">
        <f>'Section Load'!O19</f>
        <v>57</v>
      </c>
      <c r="S16" s="1303">
        <f>'Section Load'!P19</f>
        <v>443</v>
      </c>
      <c r="T16" s="1303">
        <f>'Section Load'!Q19</f>
        <v>194</v>
      </c>
      <c r="U16" s="1303">
        <f>'Section Load'!R19</f>
        <v>347.52000000001863</v>
      </c>
      <c r="V16" s="1303">
        <f>'Section Load'!S19</f>
        <v>134.1600000000326</v>
      </c>
      <c r="W16" s="1303">
        <f>'Section Load'!T19</f>
        <v>20.940000000002328</v>
      </c>
      <c r="X16" s="1303">
        <f>'Section Load'!U19</f>
        <v>161.55000000000291</v>
      </c>
      <c r="Y16" s="1303">
        <f>'Section Load'!V19</f>
        <v>280</v>
      </c>
      <c r="Z16" s="1303">
        <f>'Section Load'!W19</f>
        <v>106.52000000001863</v>
      </c>
      <c r="AA16" s="1303">
        <f>'Section Load'!X19</f>
        <v>32.5</v>
      </c>
      <c r="AB16" s="1303">
        <f>'Section Load'!Y19</f>
        <v>89.450000000011642</v>
      </c>
      <c r="AC16" s="1303">
        <f>'Section Load'!Z19</f>
        <v>37.699999999999818</v>
      </c>
      <c r="AD16" s="1303">
        <f>'Section Load'!AA19</f>
        <v>0</v>
      </c>
      <c r="AE16" s="1303">
        <f>'Section Load'!AB19</f>
        <v>14.769999999999982</v>
      </c>
      <c r="AF16" s="1303">
        <f>'Section Load'!AC19</f>
        <v>518.10999999998603</v>
      </c>
      <c r="AG16" s="1303">
        <f>'Section Load'!AD19</f>
        <v>379.45999999999185</v>
      </c>
      <c r="AH16" s="1303">
        <f>'Section Load'!AE19</f>
        <v>393.72999999999956</v>
      </c>
      <c r="AI16" s="1303">
        <f>'Section Load'!AF19</f>
        <v>716.52999999999884</v>
      </c>
      <c r="AJ16" s="1303">
        <f>'Section Load'!AG19</f>
        <v>346.16999999999825</v>
      </c>
      <c r="AK16" s="1303">
        <f>'Section Load'!AH19</f>
        <v>307.39999999999418</v>
      </c>
      <c r="AL16" s="1303">
        <f>'Section Load'!AI19</f>
        <v>731</v>
      </c>
      <c r="AM16" s="1304">
        <f>'[1]15'!$G$92</f>
        <v>192</v>
      </c>
      <c r="AN16" s="1304">
        <f>'[1]15'!$G$93</f>
        <v>194</v>
      </c>
      <c r="AO16" s="1304">
        <f>'[1]15'!$G$95</f>
        <v>131</v>
      </c>
      <c r="AP16" s="1304">
        <f>'[1]15'!$G$96</f>
        <v>25</v>
      </c>
      <c r="AQ16" s="1304">
        <f>'[1]15'!$G$97</f>
        <v>35</v>
      </c>
      <c r="AR16" s="1304">
        <f>'[1]15'!$G$98</f>
        <v>76</v>
      </c>
      <c r="AS16" s="1304">
        <f>'[1]15'!$G$99</f>
        <v>30</v>
      </c>
      <c r="AT16" s="1304">
        <f>'[1]15'!$G$100</f>
        <v>23</v>
      </c>
      <c r="AU16" s="1304">
        <f>'[1]15'!$G$104</f>
        <v>0</v>
      </c>
      <c r="AV16" s="1304">
        <f>'[1]15'!$G$105</f>
        <v>17</v>
      </c>
      <c r="AW16" s="1304">
        <f>'[1]15'!$G$106</f>
        <v>11</v>
      </c>
      <c r="AX16" s="1304">
        <f>'[1]15'!$G$109</f>
        <v>83</v>
      </c>
      <c r="AY16" s="1304">
        <f>'[1]15'!$G$110</f>
        <v>86</v>
      </c>
      <c r="AZ16" s="1304">
        <f>'[1]15'!$G$111</f>
        <v>13</v>
      </c>
      <c r="BA16" s="1304">
        <f>'[1]15'!$G$114</f>
        <v>35</v>
      </c>
      <c r="BB16" s="1304">
        <f>'[1]15'!$G$115</f>
        <v>13</v>
      </c>
      <c r="BC16" s="1304">
        <f>'[1]15'!$G$116</f>
        <v>0</v>
      </c>
      <c r="BD16" s="1304">
        <f>'[1]15'!$G$118</f>
        <v>244</v>
      </c>
      <c r="BE16" s="1304">
        <f>'[1]15'!$G$119</f>
        <v>244</v>
      </c>
      <c r="BF16" s="1304">
        <f>'[1]15'!$G$120</f>
        <v>182</v>
      </c>
      <c r="BG16" s="1305">
        <f>'Section Load'!AJ19</f>
        <v>827.70900000003166</v>
      </c>
      <c r="BH16" s="1305">
        <f>'Section Load'!AK19</f>
        <v>248.96999999997206</v>
      </c>
      <c r="BI16" s="1305">
        <f>'Section Load'!AL19</f>
        <v>0</v>
      </c>
      <c r="BJ16" s="1305">
        <f>'Section Load'!AM19</f>
        <v>61.670000000012806</v>
      </c>
      <c r="BK16" s="1305">
        <f>'Section Load'!AN19</f>
        <v>14.400000000001455</v>
      </c>
      <c r="BL16" s="1305">
        <f>'Section Load'!AO19</f>
        <v>2.5</v>
      </c>
      <c r="BM16" s="1305">
        <f>'Section Load'!AP19</f>
        <v>500.16900000004534</v>
      </c>
    </row>
    <row r="17" spans="1:65">
      <c r="A17" s="1287" t="s">
        <v>305</v>
      </c>
      <c r="B17" s="1288">
        <f t="shared" si="0"/>
        <v>16</v>
      </c>
      <c r="C17" s="1288">
        <v>3</v>
      </c>
      <c r="D17" s="1288">
        <v>2021</v>
      </c>
      <c r="E17" s="1303">
        <f>'Section Load'!B20</f>
        <v>3222.4799999999814</v>
      </c>
      <c r="F17" s="1303">
        <f>'Section Load'!C20</f>
        <v>1585.0999999999767</v>
      </c>
      <c r="G17" s="1303">
        <f>'Section Load'!D20</f>
        <v>1760.3199999999488</v>
      </c>
      <c r="H17" s="1303">
        <f>'Section Load'!E20</f>
        <v>4153.4599999999627</v>
      </c>
      <c r="I17" s="1303">
        <f>'Section Load'!F20</f>
        <v>5084.1600000000326</v>
      </c>
      <c r="J17" s="1303">
        <f>'Section Load'!G20</f>
        <v>2381.4399999999441</v>
      </c>
      <c r="K17" s="1303">
        <f>'Section Load'!H20</f>
        <v>1068.2399999999907</v>
      </c>
      <c r="L17" s="1303">
        <f>'Section Load'!I20</f>
        <v>616.75</v>
      </c>
      <c r="M17" s="1303">
        <f>'Section Load'!J20</f>
        <v>100</v>
      </c>
      <c r="N17" s="1303">
        <f>'Section Load'!K20</f>
        <v>0</v>
      </c>
      <c r="O17" s="1303">
        <f>'Section Load'!L20</f>
        <v>18.440000000000055</v>
      </c>
      <c r="P17" s="1303">
        <f>'Section Load'!M20</f>
        <v>163.93000000000029</v>
      </c>
      <c r="Q17" s="1303">
        <f>'Section Load'!N20</f>
        <v>67.680000000000291</v>
      </c>
      <c r="R17" s="1303">
        <f>'Section Load'!O20</f>
        <v>58</v>
      </c>
      <c r="S17" s="1303">
        <f>'Section Load'!P20</f>
        <v>423</v>
      </c>
      <c r="T17" s="1303">
        <f>'Section Load'!Q20</f>
        <v>206</v>
      </c>
      <c r="U17" s="1303">
        <f>'Section Load'!R20</f>
        <v>353.8399999999674</v>
      </c>
      <c r="V17" s="1303">
        <f>'Section Load'!S20</f>
        <v>108.15999999991618</v>
      </c>
      <c r="W17" s="1303">
        <f>'Section Load'!T20</f>
        <v>24.289999999993597</v>
      </c>
      <c r="X17" s="1303">
        <f>'Section Load'!U20</f>
        <v>174.29999999999563</v>
      </c>
      <c r="Y17" s="1303">
        <f>'Section Load'!V20</f>
        <v>241</v>
      </c>
      <c r="Z17" s="1303">
        <f>'Section Load'!W20</f>
        <v>113.03999999997905</v>
      </c>
      <c r="AA17" s="1303">
        <f>'Section Load'!X20</f>
        <v>29.899999999994179</v>
      </c>
      <c r="AB17" s="1303">
        <f>'Section Load'!Y20</f>
        <v>117.50999999998021</v>
      </c>
      <c r="AC17" s="1303">
        <f>'Section Load'!Z20</f>
        <v>33.499999999994543</v>
      </c>
      <c r="AD17" s="1303">
        <f>'Section Load'!AA20</f>
        <v>0</v>
      </c>
      <c r="AE17" s="1303">
        <f>'Section Load'!AB20</f>
        <v>14.950000000000045</v>
      </c>
      <c r="AF17" s="1303">
        <f>'Section Load'!AC20</f>
        <v>493.8300000000163</v>
      </c>
      <c r="AG17" s="1303">
        <f>'Section Load'!AD20</f>
        <v>375.70000000001164</v>
      </c>
      <c r="AH17" s="1303">
        <f>'Section Load'!AE20</f>
        <v>391.40000000000146</v>
      </c>
      <c r="AI17" s="1303">
        <f>'Section Load'!AF20</f>
        <v>670.17999999999302</v>
      </c>
      <c r="AJ17" s="1303">
        <f>'Section Load'!AG20</f>
        <v>323.41999999999825</v>
      </c>
      <c r="AK17" s="1303">
        <f>'Section Load'!AH20</f>
        <v>305.08000000000175</v>
      </c>
      <c r="AL17" s="1303">
        <f>'Section Load'!AI20</f>
        <v>692</v>
      </c>
      <c r="AM17" s="1304">
        <f>'[1]16'!$G$92</f>
        <v>132</v>
      </c>
      <c r="AN17" s="1304">
        <f>'[1]16'!$G$93</f>
        <v>154</v>
      </c>
      <c r="AO17" s="1304">
        <f>'[1]16'!$G$95</f>
        <v>97</v>
      </c>
      <c r="AP17" s="1304">
        <f>'[1]16'!$G$96</f>
        <v>18</v>
      </c>
      <c r="AQ17" s="1304">
        <f>'[1]16'!$G$97</f>
        <v>24</v>
      </c>
      <c r="AR17" s="1304">
        <f>'[1]16'!$G$98</f>
        <v>56</v>
      </c>
      <c r="AS17" s="1304">
        <f>'[1]16'!$G$99</f>
        <v>17</v>
      </c>
      <c r="AT17" s="1304">
        <f>'[1]16'!$G$100</f>
        <v>6</v>
      </c>
      <c r="AU17" s="1304">
        <f>'[1]16'!$G$104</f>
        <v>0</v>
      </c>
      <c r="AV17" s="1304">
        <f>'[1]16'!$G$105</f>
        <v>12</v>
      </c>
      <c r="AW17" s="1304">
        <f>'[1]16'!$G$106</f>
        <v>6</v>
      </c>
      <c r="AX17" s="1304">
        <f>'[1]16'!$G$109</f>
        <v>60</v>
      </c>
      <c r="AY17" s="1304">
        <f>'[1]16'!$G$110</f>
        <v>58</v>
      </c>
      <c r="AZ17" s="1304">
        <f>'[1]16'!$G$111</f>
        <v>0</v>
      </c>
      <c r="BA17" s="1304">
        <f>'[1]16'!$G$114</f>
        <v>21</v>
      </c>
      <c r="BB17" s="1304">
        <f>'[1]16'!$G$115</f>
        <v>13</v>
      </c>
      <c r="BC17" s="1304">
        <f>'[1]16'!$G$116</f>
        <v>0</v>
      </c>
      <c r="BD17" s="1304">
        <f>'[1]16'!$G$118</f>
        <v>182</v>
      </c>
      <c r="BE17" s="1304">
        <f>'[1]16'!$G$119</f>
        <v>162</v>
      </c>
      <c r="BF17" s="1304">
        <f>'[1]16'!$G$120</f>
        <v>118</v>
      </c>
      <c r="BG17" s="1305">
        <f>'Section Load'!AJ20</f>
        <v>821.11100000003353</v>
      </c>
      <c r="BH17" s="1305">
        <f>'Section Load'!AK20</f>
        <v>235.94000000006054</v>
      </c>
      <c r="BI17" s="1305">
        <f>'Section Load'!AL20</f>
        <v>0</v>
      </c>
      <c r="BJ17" s="1305">
        <f>'Section Load'!AM20</f>
        <v>50.299999999988358</v>
      </c>
      <c r="BK17" s="1305">
        <f>'Section Load'!AN20</f>
        <v>16.099999999998545</v>
      </c>
      <c r="BL17" s="1305">
        <f>'Section Load'!AO20</f>
        <v>0.6000000000003638</v>
      </c>
      <c r="BM17" s="1305">
        <f>'Section Load'!AP20</f>
        <v>518.17099999998572</v>
      </c>
    </row>
    <row r="18" spans="1:65">
      <c r="A18" s="1287" t="s">
        <v>305</v>
      </c>
      <c r="B18" s="1288">
        <f t="shared" si="0"/>
        <v>17</v>
      </c>
      <c r="C18" s="1288">
        <v>3</v>
      </c>
      <c r="D18" s="1288">
        <v>2021</v>
      </c>
      <c r="E18" s="1303">
        <f>'Section Load'!B21</f>
        <v>3306.640000000014</v>
      </c>
      <c r="F18" s="1303">
        <f>'Section Load'!C21</f>
        <v>1574.5299999999988</v>
      </c>
      <c r="G18" s="1303">
        <f>'Section Load'!D21</f>
        <v>1736.4000000000233</v>
      </c>
      <c r="H18" s="1303">
        <f>'Section Load'!E21</f>
        <v>4104.4800000000396</v>
      </c>
      <c r="I18" s="1303">
        <f>'Section Load'!F21</f>
        <v>4907.5169999999634</v>
      </c>
      <c r="J18" s="1303">
        <f>'Section Load'!G21</f>
        <v>2358</v>
      </c>
      <c r="K18" s="1303">
        <f>'Section Load'!H21</f>
        <v>1167.5599999999977</v>
      </c>
      <c r="L18" s="1303">
        <f>'Section Load'!I21</f>
        <v>641.94000000000233</v>
      </c>
      <c r="M18" s="1303">
        <f>'Section Load'!J21</f>
        <v>86</v>
      </c>
      <c r="N18" s="1303">
        <f>'Section Load'!K21</f>
        <v>0</v>
      </c>
      <c r="O18" s="1303">
        <f>'Section Load'!L21</f>
        <v>17.559999999999945</v>
      </c>
      <c r="P18" s="1303">
        <f>'Section Load'!M21</f>
        <v>153.09000000000015</v>
      </c>
      <c r="Q18" s="1303">
        <f>'Section Load'!N21</f>
        <v>65.329999999999927</v>
      </c>
      <c r="R18" s="1303">
        <f>'Section Load'!O21</f>
        <v>59</v>
      </c>
      <c r="S18" s="1303">
        <f>'Section Load'!P21</f>
        <v>391</v>
      </c>
      <c r="T18" s="1303">
        <f>'Section Load'!Q21</f>
        <v>201</v>
      </c>
      <c r="U18" s="1303">
        <f>'Section Load'!R21</f>
        <v>334.79999999998836</v>
      </c>
      <c r="V18" s="1303">
        <f>'Section Load'!S21</f>
        <v>112.64000000001397</v>
      </c>
      <c r="W18" s="1303">
        <f>'Section Load'!T21</f>
        <v>21.279999999998836</v>
      </c>
      <c r="X18" s="1303">
        <f>'Section Load'!U21</f>
        <v>148.98999999999796</v>
      </c>
      <c r="Y18" s="1303">
        <f>'Section Load'!V21</f>
        <v>240</v>
      </c>
      <c r="Z18" s="1303">
        <f>'Section Load'!W21</f>
        <v>115.11999999999534</v>
      </c>
      <c r="AA18" s="1303">
        <f>'Section Load'!X21</f>
        <v>28.400000000008731</v>
      </c>
      <c r="AB18" s="1303">
        <f>'Section Load'!Y21</f>
        <v>82.740000000019791</v>
      </c>
      <c r="AC18" s="1303">
        <f>'Section Load'!Z21</f>
        <v>33.200000000008458</v>
      </c>
      <c r="AD18" s="1303">
        <f>'Section Load'!AA21</f>
        <v>0</v>
      </c>
      <c r="AE18" s="1303">
        <f>'Section Load'!AB21</f>
        <v>12.379999999999882</v>
      </c>
      <c r="AF18" s="1303">
        <f>'Section Load'!AC21</f>
        <v>505.82000000000698</v>
      </c>
      <c r="AG18" s="1303">
        <f>'Section Load'!AD21</f>
        <v>373.57999999998719</v>
      </c>
      <c r="AH18" s="1303">
        <f>'Section Load'!AE21</f>
        <v>384.29999999999927</v>
      </c>
      <c r="AI18" s="1303">
        <f>'Section Load'!AF21</f>
        <v>642.52000000001863</v>
      </c>
      <c r="AJ18" s="1303">
        <f>'Section Load'!AG21</f>
        <v>313.22000000000116</v>
      </c>
      <c r="AK18" s="1303">
        <f>'Section Load'!AH21</f>
        <v>309.02000000000407</v>
      </c>
      <c r="AL18" s="1303">
        <f>'Section Load'!AI21</f>
        <v>661</v>
      </c>
      <c r="AM18" s="1304">
        <f>'[1]17'!$G$92</f>
        <v>84</v>
      </c>
      <c r="AN18" s="1304">
        <f>'[1]17'!$G$93</f>
        <v>134</v>
      </c>
      <c r="AO18" s="1304">
        <f>'[1]17'!$G$95</f>
        <v>72</v>
      </c>
      <c r="AP18" s="1304">
        <f>'[1]17'!$G$96</f>
        <v>15</v>
      </c>
      <c r="AQ18" s="1304">
        <f>'[1]17'!$G$97</f>
        <v>20</v>
      </c>
      <c r="AR18" s="1304">
        <f>'[1]17'!$G$98</f>
        <v>35</v>
      </c>
      <c r="AS18" s="1304">
        <f>'[1]17'!$G$99</f>
        <v>14</v>
      </c>
      <c r="AT18" s="1304">
        <f>'[1]17'!$G$100</f>
        <v>6</v>
      </c>
      <c r="AU18" s="1304">
        <f>'[1]17'!$G$104</f>
        <v>0</v>
      </c>
      <c r="AV18" s="1304">
        <f>'[1]17'!$G$105</f>
        <v>9</v>
      </c>
      <c r="AW18" s="1304">
        <f>'[1]17'!$G$106</f>
        <v>5</v>
      </c>
      <c r="AX18" s="1304">
        <f>'[1]17'!$G$109</f>
        <v>40</v>
      </c>
      <c r="AY18" s="1304">
        <f>'[1]17'!$G$110</f>
        <v>37</v>
      </c>
      <c r="AZ18" s="1304">
        <f>'[1]17'!$G$111</f>
        <v>22</v>
      </c>
      <c r="BA18" s="1304">
        <f>'[1]17'!$G$114</f>
        <v>17</v>
      </c>
      <c r="BB18" s="1304">
        <f>'[1]17'!$G$115</f>
        <v>6</v>
      </c>
      <c r="BC18" s="1304">
        <f>'[1]17'!$G$116</f>
        <v>0</v>
      </c>
      <c r="BD18" s="1304">
        <f>'[1]17'!$G$118</f>
        <v>135</v>
      </c>
      <c r="BE18" s="1304">
        <f>'[1]17'!$G$119</f>
        <v>127</v>
      </c>
      <c r="BF18" s="1304">
        <f>'[1]17'!$G$120</f>
        <v>99</v>
      </c>
      <c r="BG18" s="1305">
        <f>'Section Load'!AJ21</f>
        <v>780.70900000003166</v>
      </c>
      <c r="BH18" s="1305">
        <f>'Section Load'!AK21</f>
        <v>236.09999999997672</v>
      </c>
      <c r="BI18" s="1305">
        <f>'Section Load'!AL21</f>
        <v>0</v>
      </c>
      <c r="BJ18" s="1305">
        <f>'Section Load'!AM21</f>
        <v>72.25</v>
      </c>
      <c r="BK18" s="1305">
        <f>'Section Load'!AN21</f>
        <v>16.80000000000291</v>
      </c>
      <c r="BL18" s="1305">
        <f>'Section Load'!AO21</f>
        <v>4.5</v>
      </c>
      <c r="BM18" s="1305">
        <f>'Section Load'!AP21</f>
        <v>451.05900000005204</v>
      </c>
    </row>
    <row r="19" spans="1:65">
      <c r="A19" s="1287" t="s">
        <v>305</v>
      </c>
      <c r="B19" s="1288">
        <f t="shared" si="0"/>
        <v>18</v>
      </c>
      <c r="C19" s="1288">
        <v>3</v>
      </c>
      <c r="D19" s="1288">
        <v>2021</v>
      </c>
      <c r="E19" s="1303">
        <f>'Section Load'!B22</f>
        <v>3524.640000000014</v>
      </c>
      <c r="F19" s="1303">
        <f>'Section Load'!C22</f>
        <v>1640.260000000002</v>
      </c>
      <c r="G19" s="1303">
        <f>'Section Load'!D22</f>
        <v>1769.359999999986</v>
      </c>
      <c r="H19" s="1303">
        <f>'Section Load'!E22</f>
        <v>4365.3999999999651</v>
      </c>
      <c r="I19" s="1303">
        <f>'Section Load'!F22</f>
        <v>6598.2730000000229</v>
      </c>
      <c r="J19" s="1303">
        <f>'Section Load'!G22</f>
        <v>2617.359999999986</v>
      </c>
      <c r="K19" s="1303">
        <f>'Section Load'!H22</f>
        <v>1567.9200000000419</v>
      </c>
      <c r="L19" s="1303">
        <f>'Section Load'!I22</f>
        <v>789.30999999999767</v>
      </c>
      <c r="M19" s="1303">
        <f>'Section Load'!J22</f>
        <v>86</v>
      </c>
      <c r="N19" s="1303">
        <f>'Section Load'!K22</f>
        <v>1</v>
      </c>
      <c r="O19" s="1303">
        <f>'Section Load'!L22</f>
        <v>20.089999999999918</v>
      </c>
      <c r="P19" s="1303">
        <f>'Section Load'!M22</f>
        <v>171.1899999999996</v>
      </c>
      <c r="Q19" s="1303">
        <f>'Section Load'!N22</f>
        <v>81.7199999999998</v>
      </c>
      <c r="R19" s="1303">
        <f>'Section Load'!O22</f>
        <v>54</v>
      </c>
      <c r="S19" s="1303">
        <f>'Section Load'!P22</f>
        <v>465</v>
      </c>
      <c r="T19" s="1303">
        <f>'Section Load'!Q22</f>
        <v>199</v>
      </c>
      <c r="U19" s="1303">
        <f>'Section Load'!R22</f>
        <v>255.84000000002561</v>
      </c>
      <c r="V19" s="1303">
        <f>'Section Load'!S22</f>
        <v>129.08000000007451</v>
      </c>
      <c r="W19" s="1303">
        <f>'Section Load'!T22</f>
        <v>21.360000000000582</v>
      </c>
      <c r="X19" s="1303">
        <f>'Section Load'!U22</f>
        <v>155.26000000000204</v>
      </c>
      <c r="Y19" s="1303">
        <f>'Section Load'!V22</f>
        <v>239</v>
      </c>
      <c r="Z19" s="1303">
        <f>'Section Load'!W22</f>
        <v>148.55999999999767</v>
      </c>
      <c r="AA19" s="1303">
        <f>'Section Load'!X22</f>
        <v>38.899999999994179</v>
      </c>
      <c r="AB19" s="1303">
        <f>'Section Load'!Y22</f>
        <v>82.529999999998836</v>
      </c>
      <c r="AC19" s="1303">
        <f>'Section Load'!Z22</f>
        <v>42.999999999994088</v>
      </c>
      <c r="AD19" s="1303">
        <f>'Section Load'!AA22</f>
        <v>0</v>
      </c>
      <c r="AE19" s="1303">
        <f>'Section Load'!AB22</f>
        <v>12.480000000000018</v>
      </c>
      <c r="AF19" s="1303">
        <f>'Section Load'!AC22</f>
        <v>516.08999999999651</v>
      </c>
      <c r="AG19" s="1303">
        <f>'Section Load'!AD22</f>
        <v>385.02999999999884</v>
      </c>
      <c r="AH19" s="1303">
        <f>'Section Load'!AE22</f>
        <v>401.47000000000116</v>
      </c>
      <c r="AI19" s="1303">
        <f>'Section Load'!AF22</f>
        <v>737.87999999997555</v>
      </c>
      <c r="AJ19" s="1303">
        <f>'Section Load'!AG22</f>
        <v>335.4600000000064</v>
      </c>
      <c r="AK19" s="1303">
        <f>'Section Load'!AH22</f>
        <v>321.58999999999651</v>
      </c>
      <c r="AL19" s="1303">
        <f>'Section Load'!AI22</f>
        <v>727</v>
      </c>
      <c r="AM19" s="1304">
        <f>'[1]18'!$G$92</f>
        <v>81</v>
      </c>
      <c r="AN19" s="1304">
        <f>'[1]18'!$G$93</f>
        <v>137</v>
      </c>
      <c r="AO19" s="1304">
        <f>'[1]18'!$G$95</f>
        <v>74</v>
      </c>
      <c r="AP19" s="1304">
        <f>'[1]18'!$G$96</f>
        <v>16</v>
      </c>
      <c r="AQ19" s="1304">
        <f>'[1]18'!$G$97</f>
        <v>17</v>
      </c>
      <c r="AR19" s="1304">
        <f>'[1]18'!$G$98</f>
        <v>78</v>
      </c>
      <c r="AS19" s="1304">
        <f>'[1]18'!$G$99</f>
        <v>22</v>
      </c>
      <c r="AT19" s="1304">
        <f>'[1]18'!$G$100</f>
        <v>5</v>
      </c>
      <c r="AU19" s="1304">
        <f>'[1]18'!$G$104</f>
        <v>0</v>
      </c>
      <c r="AV19" s="1304">
        <f>'[1]18'!$G$105</f>
        <v>8</v>
      </c>
      <c r="AW19" s="1304">
        <f>'[1]18'!$G$106</f>
        <v>10</v>
      </c>
      <c r="AX19" s="1304">
        <f>'[1]18'!$G$109</f>
        <v>60</v>
      </c>
      <c r="AY19" s="1304">
        <f>'[1]18'!$G$110</f>
        <v>92</v>
      </c>
      <c r="AZ19" s="1304">
        <f>'[1]18'!$G$111</f>
        <v>7</v>
      </c>
      <c r="BA19" s="1304">
        <f>'[1]18'!$G$114</f>
        <v>25</v>
      </c>
      <c r="BB19" s="1304">
        <f>'[1]18'!$G$115</f>
        <v>5</v>
      </c>
      <c r="BC19" s="1304">
        <f>'[1]18'!$G$116</f>
        <v>0</v>
      </c>
      <c r="BD19" s="1304">
        <f>'[1]18'!$G$118</f>
        <v>128</v>
      </c>
      <c r="BE19" s="1304">
        <f>'[1]18'!$G$119</f>
        <v>134</v>
      </c>
      <c r="BF19" s="1304">
        <f>'[1]18'!$G$120</f>
        <v>159</v>
      </c>
      <c r="BG19" s="1305">
        <f>'Section Load'!AJ22</f>
        <v>810.4749999998603</v>
      </c>
      <c r="BH19" s="1305">
        <f>'Section Load'!AK22</f>
        <v>261.28000000002794</v>
      </c>
      <c r="BI19" s="1305">
        <f>'Section Load'!AL22</f>
        <v>0</v>
      </c>
      <c r="BJ19" s="1305">
        <f>'Section Load'!AM22</f>
        <v>73.050000000017462</v>
      </c>
      <c r="BK19" s="1305">
        <f>'Section Load'!AN22</f>
        <v>16.5</v>
      </c>
      <c r="BL19" s="1305">
        <f>'Section Load'!AO22</f>
        <v>1.3999999999996362</v>
      </c>
      <c r="BM19" s="1305">
        <f>'Section Load'!AP22</f>
        <v>458.24499999981526</v>
      </c>
    </row>
    <row r="20" spans="1:65">
      <c r="A20" s="1287" t="s">
        <v>305</v>
      </c>
      <c r="B20" s="1288">
        <f t="shared" si="0"/>
        <v>19</v>
      </c>
      <c r="C20" s="1288">
        <v>3</v>
      </c>
      <c r="D20" s="1288">
        <v>2021</v>
      </c>
      <c r="E20" s="1303">
        <f>'Section Load'!B23</f>
        <v>3067.1999999999534</v>
      </c>
      <c r="F20" s="1303">
        <f>'Section Load'!C23</f>
        <v>1459.4200000000055</v>
      </c>
      <c r="G20" s="1303">
        <f>'Section Load'!D23</f>
        <v>1724.8999999999578</v>
      </c>
      <c r="H20" s="1303">
        <f>'Section Load'!E23</f>
        <v>4021.5299999999988</v>
      </c>
      <c r="I20" s="1303">
        <f>'Section Load'!F23</f>
        <v>4813.649999999936</v>
      </c>
      <c r="J20" s="1303">
        <f>'Section Load'!G23</f>
        <v>2380.950000000028</v>
      </c>
      <c r="K20" s="1303">
        <f>'Section Load'!H23</f>
        <v>1178.9599999999627</v>
      </c>
      <c r="L20" s="1303">
        <f>'Section Load'!I23</f>
        <v>604.6699999999837</v>
      </c>
      <c r="M20" s="1303">
        <f>'Section Load'!J23</f>
        <v>83</v>
      </c>
      <c r="N20" s="1303">
        <f>'Section Load'!K23</f>
        <v>0</v>
      </c>
      <c r="O20" s="1303">
        <f>'Section Load'!L23</f>
        <v>18.130000000000109</v>
      </c>
      <c r="P20" s="1303">
        <f>'Section Load'!M23</f>
        <v>159.5</v>
      </c>
      <c r="Q20" s="1303">
        <f>'Section Load'!N23</f>
        <v>83.010000000000218</v>
      </c>
      <c r="R20" s="1303">
        <f>'Section Load'!O23</f>
        <v>56</v>
      </c>
      <c r="S20" s="1303">
        <f>'Section Load'!P23</f>
        <v>466</v>
      </c>
      <c r="T20" s="1303">
        <f>'Section Load'!Q23</f>
        <v>200</v>
      </c>
      <c r="U20" s="1303">
        <f>'Section Load'!R23</f>
        <v>440.03999999997905</v>
      </c>
      <c r="V20" s="1303">
        <f>'Section Load'!S23</f>
        <v>107.07999999995809</v>
      </c>
      <c r="W20" s="1303">
        <f>'Section Load'!T23</f>
        <v>20.720000000001164</v>
      </c>
      <c r="X20" s="1303">
        <f>'Section Load'!U23</f>
        <v>165.06999999999971</v>
      </c>
      <c r="Y20" s="1303">
        <f>'Section Load'!V23</f>
        <v>254</v>
      </c>
      <c r="Z20" s="1303">
        <f>'Section Load'!W23</f>
        <v>170.47999999998137</v>
      </c>
      <c r="AA20" s="1303">
        <f>'Section Load'!X23</f>
        <v>33.430000000007567</v>
      </c>
      <c r="AB20" s="1303">
        <f>'Section Load'!Y23</f>
        <v>90.279999999998836</v>
      </c>
      <c r="AC20" s="1303">
        <f>'Section Load'!Z23</f>
        <v>37.63000000000784</v>
      </c>
      <c r="AD20" s="1303">
        <f>'Section Load'!AA23</f>
        <v>2.0000000000436557E-2</v>
      </c>
      <c r="AE20" s="1303">
        <f>'Section Load'!AB23</f>
        <v>10.630000000000109</v>
      </c>
      <c r="AF20" s="1303">
        <f>'Section Load'!AC23</f>
        <v>499.66000000000349</v>
      </c>
      <c r="AG20" s="1303">
        <f>'Section Load'!AD23</f>
        <v>362.18000000002212</v>
      </c>
      <c r="AH20" s="1303">
        <f>'Section Load'!AE23</f>
        <v>338.5099999999984</v>
      </c>
      <c r="AI20" s="1303">
        <f>'Section Load'!AF23</f>
        <v>688.72000000000116</v>
      </c>
      <c r="AJ20" s="1303">
        <f>'Section Load'!AG23</f>
        <v>300.19999999999709</v>
      </c>
      <c r="AK20" s="1303">
        <f>'Section Load'!AH23</f>
        <v>294.54000000000815</v>
      </c>
      <c r="AL20" s="1303">
        <f>'Section Load'!AI23</f>
        <v>715</v>
      </c>
      <c r="AM20" s="1304">
        <f>'[1]19'!$G$92</f>
        <v>95</v>
      </c>
      <c r="AN20" s="1304">
        <f>'[1]19'!$G$93</f>
        <v>142</v>
      </c>
      <c r="AO20" s="1304">
        <f>'[1]19'!$G$95</f>
        <v>79</v>
      </c>
      <c r="AP20" s="1304">
        <f>'[1]19'!$G$96</f>
        <v>9</v>
      </c>
      <c r="AQ20" s="1304">
        <f>'[1]19'!$G$97</f>
        <v>24</v>
      </c>
      <c r="AR20" s="1304">
        <f>'[1]19'!$G$98</f>
        <v>63</v>
      </c>
      <c r="AS20" s="1304">
        <f>'[1]19'!$G$99</f>
        <v>23</v>
      </c>
      <c r="AT20" s="1304">
        <f>'[1]19'!$G$100</f>
        <v>6</v>
      </c>
      <c r="AU20" s="1304">
        <f>'[1]19'!$G$104</f>
        <v>0</v>
      </c>
      <c r="AV20" s="1304">
        <f>'[1]19'!$G$105</f>
        <v>7</v>
      </c>
      <c r="AW20" s="1304">
        <f>'[1]19'!$G$106</f>
        <v>6</v>
      </c>
      <c r="AX20" s="1304">
        <f>'[1]19'!$G$109</f>
        <v>40</v>
      </c>
      <c r="AY20" s="1304">
        <f>'[1]19'!$G$110</f>
        <v>31</v>
      </c>
      <c r="AZ20" s="1304">
        <f>'[1]19'!$G$111</f>
        <v>0</v>
      </c>
      <c r="BA20" s="1304">
        <f>'[1]19'!$G$114</f>
        <v>26</v>
      </c>
      <c r="BB20" s="1304">
        <f>'[1]19'!$G$115</f>
        <v>2</v>
      </c>
      <c r="BC20" s="1304">
        <f>'[1]19'!$G$116</f>
        <v>0</v>
      </c>
      <c r="BD20" s="1304">
        <f>'[1]19'!$G$118</f>
        <v>145</v>
      </c>
      <c r="BE20" s="1304">
        <f>'[1]19'!$G$119</f>
        <v>141</v>
      </c>
      <c r="BF20" s="1304">
        <f>'[1]19'!$G$120</f>
        <v>71</v>
      </c>
      <c r="BG20" s="1305">
        <f>'Section Load'!AJ23</f>
        <v>806.65599999995902</v>
      </c>
      <c r="BH20" s="1305">
        <f>'Section Load'!AK23</f>
        <v>244.43999999994412</v>
      </c>
      <c r="BI20" s="1305">
        <f>'Section Load'!AL23</f>
        <v>-0.39999999999417923</v>
      </c>
      <c r="BJ20" s="1305">
        <f>'Section Load'!AM23</f>
        <v>75.649999999994179</v>
      </c>
      <c r="BK20" s="1305">
        <f>'Section Load'!AN23</f>
        <v>14.299999999995634</v>
      </c>
      <c r="BL20" s="1305">
        <f>'Section Load'!AO23</f>
        <v>1.6000000000003638</v>
      </c>
      <c r="BM20" s="1305">
        <f>'Section Load'!AP23</f>
        <v>471.0660000000189</v>
      </c>
    </row>
    <row r="21" spans="1:65">
      <c r="A21" s="1287" t="s">
        <v>305</v>
      </c>
      <c r="B21" s="1288">
        <f t="shared" si="0"/>
        <v>20</v>
      </c>
      <c r="C21" s="1288">
        <v>3</v>
      </c>
      <c r="D21" s="1288">
        <v>2021</v>
      </c>
      <c r="E21" s="1303">
        <f>'Section Load'!B24</f>
        <v>3354</v>
      </c>
      <c r="F21" s="1303">
        <f>'Section Load'!C24</f>
        <v>1568.4199999999983</v>
      </c>
      <c r="G21" s="1303">
        <f>'Section Load'!D24</f>
        <v>1803.9100000000035</v>
      </c>
      <c r="H21" s="1303">
        <f>'Section Load'!E24</f>
        <v>4428.9200000000128</v>
      </c>
      <c r="I21" s="1303">
        <f>'Section Load'!F24</f>
        <v>5278.3600000000879</v>
      </c>
      <c r="J21" s="1303">
        <f>'Section Load'!G24</f>
        <v>2443.9200000000419</v>
      </c>
      <c r="K21" s="1303">
        <f>'Section Load'!H24</f>
        <v>1405.4800000000396</v>
      </c>
      <c r="L21" s="1303">
        <f>'Section Load'!I24</f>
        <v>603.14000000001397</v>
      </c>
      <c r="M21" s="1303">
        <f>'Section Load'!J24</f>
        <v>109</v>
      </c>
      <c r="N21" s="1303">
        <f>'Section Load'!K24</f>
        <v>8</v>
      </c>
      <c r="O21" s="1303">
        <f>'Section Load'!L24</f>
        <v>18.929999999999836</v>
      </c>
      <c r="P21" s="1303">
        <f>'Section Load'!M24</f>
        <v>198</v>
      </c>
      <c r="Q21" s="1303">
        <f>'Section Load'!N24</f>
        <v>78.109999999999673</v>
      </c>
      <c r="R21" s="1303">
        <f>'Section Load'!O24</f>
        <v>49</v>
      </c>
      <c r="S21" s="1303">
        <f>'Section Load'!P24</f>
        <v>519</v>
      </c>
      <c r="T21" s="1303">
        <f>'Section Load'!Q24</f>
        <v>187</v>
      </c>
      <c r="U21" s="1303">
        <f>'Section Load'!R24</f>
        <v>396.51000000000931</v>
      </c>
      <c r="V21" s="1303">
        <f>'Section Load'!S24</f>
        <v>94.800000000046566</v>
      </c>
      <c r="W21" s="1303">
        <f>'Section Load'!T24</f>
        <v>21.089999999996508</v>
      </c>
      <c r="X21" s="1303">
        <f>'Section Load'!U24</f>
        <v>182.08000000000175</v>
      </c>
      <c r="Y21" s="1303">
        <f>'Section Load'!V24</f>
        <v>229</v>
      </c>
      <c r="Z21" s="1303">
        <f>'Section Load'!W24</f>
        <v>93.320000000006985</v>
      </c>
      <c r="AA21" s="1303">
        <f>'Section Load'!X24</f>
        <v>29.169999999998254</v>
      </c>
      <c r="AB21" s="1303">
        <f>'Section Load'!Y24</f>
        <v>82.779999999998836</v>
      </c>
      <c r="AC21" s="1303">
        <f>'Section Load'!Z24</f>
        <v>34.469999999998436</v>
      </c>
      <c r="AD21" s="1303">
        <f>'Section Load'!AA24</f>
        <v>0</v>
      </c>
      <c r="AE21" s="1303">
        <f>'Section Load'!AB24</f>
        <v>10.740000000000009</v>
      </c>
      <c r="AF21" s="1303">
        <f>'Section Load'!AC24</f>
        <v>499.85999999998603</v>
      </c>
      <c r="AG21" s="1303">
        <f>'Section Load'!AD24</f>
        <v>364.33999999999651</v>
      </c>
      <c r="AH21" s="1303">
        <f>'Section Load'!AE24</f>
        <v>343.39000000000306</v>
      </c>
      <c r="AI21" s="1303">
        <f>'Section Load'!AF24</f>
        <v>770</v>
      </c>
      <c r="AJ21" s="1303">
        <f>'Section Load'!AG24</f>
        <v>328.02999999999884</v>
      </c>
      <c r="AK21" s="1303">
        <f>'Section Load'!AH24</f>
        <v>314.08000000000175</v>
      </c>
      <c r="AL21" s="1303">
        <f>'Section Load'!AI24</f>
        <v>686</v>
      </c>
      <c r="AM21" s="1304">
        <f>'[1]20'!$G$92</f>
        <v>107</v>
      </c>
      <c r="AN21" s="1304">
        <f>'[1]20'!$G$93</f>
        <v>133</v>
      </c>
      <c r="AO21" s="1304">
        <f>'[1]20'!$G$95</f>
        <v>86</v>
      </c>
      <c r="AP21" s="1304">
        <f>'[1]20'!$G$96</f>
        <v>22</v>
      </c>
      <c r="AQ21" s="1304">
        <f>'[1]20'!$G$97</f>
        <v>32</v>
      </c>
      <c r="AR21" s="1304">
        <f>'[1]20'!$G$98</f>
        <v>68</v>
      </c>
      <c r="AS21" s="1304">
        <f>'[1]20'!$G$99</f>
        <v>21</v>
      </c>
      <c r="AT21" s="1304">
        <f>'[1]20'!$G$100</f>
        <v>8</v>
      </c>
      <c r="AU21" s="1304">
        <f>'[1]20'!$G$104</f>
        <v>0</v>
      </c>
      <c r="AV21" s="1304">
        <f>'[1]20'!$G$105</f>
        <v>13</v>
      </c>
      <c r="AW21" s="1304">
        <f>'[1]20'!$G$106</f>
        <v>8</v>
      </c>
      <c r="AX21" s="1304">
        <f>'[1]20'!$G$109</f>
        <v>59</v>
      </c>
      <c r="AY21" s="1304">
        <f>'[1]20'!$G$110</f>
        <v>75</v>
      </c>
      <c r="AZ21" s="1304">
        <f>'[1]20'!$G$111</f>
        <v>20</v>
      </c>
      <c r="BA21" s="1304">
        <f>'[1]20'!$G$114</f>
        <v>26</v>
      </c>
      <c r="BB21" s="1304">
        <f>'[1]20'!$G$115</f>
        <v>8</v>
      </c>
      <c r="BC21" s="1304">
        <f>'[1]20'!$G$116</f>
        <v>0</v>
      </c>
      <c r="BD21" s="1304">
        <f>'[1]20'!$G$118</f>
        <v>158</v>
      </c>
      <c r="BE21" s="1304">
        <f>'[1]20'!$G$119</f>
        <v>169</v>
      </c>
      <c r="BF21" s="1304">
        <f>'[1]20'!$G$120</f>
        <v>154</v>
      </c>
      <c r="BG21" s="1305">
        <f>'Section Load'!AJ24</f>
        <v>922.34000000008382</v>
      </c>
      <c r="BH21" s="1305">
        <f>'Section Load'!AK24</f>
        <v>267.73999999999069</v>
      </c>
      <c r="BI21" s="1305">
        <f>'Section Load'!AL24</f>
        <v>0</v>
      </c>
      <c r="BJ21" s="1305">
        <f>'Section Load'!AM24</f>
        <v>76.880000000004657</v>
      </c>
      <c r="BK21" s="1305">
        <f>'Section Load'!AN24</f>
        <v>24.200000000004366</v>
      </c>
      <c r="BL21" s="1305">
        <f>'Section Load'!AO24</f>
        <v>4.5</v>
      </c>
      <c r="BM21" s="1305">
        <f>'Section Load'!AP24</f>
        <v>549.02000000008411</v>
      </c>
    </row>
    <row r="22" spans="1:65">
      <c r="A22" s="1287" t="s">
        <v>305</v>
      </c>
      <c r="B22" s="1288">
        <f t="shared" si="0"/>
        <v>21</v>
      </c>
      <c r="C22" s="1288">
        <v>3</v>
      </c>
      <c r="D22" s="1288">
        <v>2021</v>
      </c>
      <c r="E22" s="1303">
        <f>'Section Load'!B25</f>
        <v>3387.0400000000373</v>
      </c>
      <c r="F22" s="1303">
        <f>'Section Load'!C25</f>
        <v>1605.3700000000026</v>
      </c>
      <c r="G22" s="1303">
        <f>'Section Load'!D25</f>
        <v>1861.4300000000003</v>
      </c>
      <c r="H22" s="1303">
        <f>'Section Load'!E25</f>
        <v>4385.2799999999988</v>
      </c>
      <c r="I22" s="1303">
        <f>'Section Load'!F25</f>
        <v>5380.7369999999719</v>
      </c>
      <c r="J22" s="1303">
        <f>'Section Load'!G25</f>
        <v>2440.4499999999534</v>
      </c>
      <c r="K22" s="1303">
        <f>'Section Load'!H25</f>
        <v>1212.4799999999814</v>
      </c>
      <c r="L22" s="1303">
        <f>'Section Load'!I25</f>
        <v>605.14000000001397</v>
      </c>
      <c r="M22" s="1303">
        <f>'Section Load'!J25</f>
        <v>90</v>
      </c>
      <c r="N22" s="1303">
        <f>'Section Load'!K25</f>
        <v>2</v>
      </c>
      <c r="O22" s="1303">
        <f>'Section Load'!L25</f>
        <v>38.600000000000136</v>
      </c>
      <c r="P22" s="1303">
        <f>'Section Load'!M25</f>
        <v>158.55000000000018</v>
      </c>
      <c r="Q22" s="1303">
        <f>'Section Load'!N25</f>
        <v>77.440000000000055</v>
      </c>
      <c r="R22" s="1303">
        <f>'Section Load'!O25</f>
        <v>48</v>
      </c>
      <c r="S22" s="1303">
        <f>'Section Load'!P25</f>
        <v>411</v>
      </c>
      <c r="T22" s="1303">
        <f>'Section Load'!Q25</f>
        <v>169</v>
      </c>
      <c r="U22" s="1303">
        <f>'Section Load'!R25</f>
        <v>383.21000000002095</v>
      </c>
      <c r="V22" s="1303">
        <f>'Section Load'!S25</f>
        <v>114.88000000000466</v>
      </c>
      <c r="W22" s="1303">
        <f>'Section Load'!T25</f>
        <v>21.030000000013388</v>
      </c>
      <c r="X22" s="1303">
        <f>'Section Load'!U25</f>
        <v>183.41999999999825</v>
      </c>
      <c r="Y22" s="1303">
        <f>'Section Load'!V25</f>
        <v>252</v>
      </c>
      <c r="Z22" s="1303">
        <f>'Section Load'!W25</f>
        <v>51.480000000039581</v>
      </c>
      <c r="AA22" s="1303">
        <f>'Section Load'!X25</f>
        <v>22.30000000000291</v>
      </c>
      <c r="AB22" s="1303">
        <f>'Section Load'!Y25</f>
        <v>31.220000000001164</v>
      </c>
      <c r="AC22" s="1303">
        <f>'Section Load'!Z25</f>
        <v>29.200000000003001</v>
      </c>
      <c r="AD22" s="1303">
        <f>'Section Load'!AA25</f>
        <v>0</v>
      </c>
      <c r="AE22" s="1303">
        <f>'Section Load'!AB25</f>
        <v>10.680000000000064</v>
      </c>
      <c r="AF22" s="1303">
        <f>'Section Load'!AC25</f>
        <v>499.63000000000466</v>
      </c>
      <c r="AG22" s="1303">
        <f>'Section Load'!AD25</f>
        <v>386.33999999999651</v>
      </c>
      <c r="AH22" s="1303">
        <f>'Section Load'!AE25</f>
        <v>393.30999999999767</v>
      </c>
      <c r="AI22" s="1303">
        <f>'Section Load'!AF25</f>
        <v>671.34000000002561</v>
      </c>
      <c r="AJ22" s="1303">
        <f>'Section Load'!AG25</f>
        <v>337.57000000000698</v>
      </c>
      <c r="AK22" s="1303">
        <f>'Section Load'!AH25</f>
        <v>318.8799999999901</v>
      </c>
      <c r="AL22" s="1303">
        <f>'Section Load'!AI25</f>
        <v>683</v>
      </c>
      <c r="AM22" s="1304">
        <f>'[1]21'!$G$92</f>
        <v>122</v>
      </c>
      <c r="AN22" s="1304">
        <f>'[1]21'!$G$93</f>
        <v>110</v>
      </c>
      <c r="AO22" s="1304">
        <f>'[1]21'!$G$95</f>
        <v>72</v>
      </c>
      <c r="AP22" s="1304">
        <f>'[1]21'!$G$96</f>
        <v>27</v>
      </c>
      <c r="AQ22" s="1304">
        <f>'[1]21'!$G$97</f>
        <v>35</v>
      </c>
      <c r="AR22" s="1304">
        <f>'[1]21'!$G$98</f>
        <v>87</v>
      </c>
      <c r="AS22" s="1304">
        <f>'[1]21'!$G$99</f>
        <v>15</v>
      </c>
      <c r="AT22" s="1304">
        <f>'[1]21'!$G$100</f>
        <v>12</v>
      </c>
      <c r="AU22" s="1304">
        <f>'[1]21'!$G$104</f>
        <v>0</v>
      </c>
      <c r="AV22" s="1304">
        <f>'[1]21'!$G$105</f>
        <v>7</v>
      </c>
      <c r="AW22" s="1304">
        <f>'[1]21'!$G$106</f>
        <v>6</v>
      </c>
      <c r="AX22" s="1304">
        <f>'[1]21'!$G$109</f>
        <v>60</v>
      </c>
      <c r="AY22" s="1304">
        <f>'[1]21'!$G$110</f>
        <v>100</v>
      </c>
      <c r="AZ22" s="1304">
        <f>'[1]21'!$G$111</f>
        <v>6</v>
      </c>
      <c r="BA22" s="1304">
        <f>'[1]21'!$G$114</f>
        <v>17</v>
      </c>
      <c r="BB22" s="1304">
        <f>'[1]21'!$G$115</f>
        <v>9</v>
      </c>
      <c r="BC22" s="1304">
        <f>'[1]21'!$G$116</f>
        <v>0</v>
      </c>
      <c r="BD22" s="1304">
        <f>'[1]21'!$G$118</f>
        <v>173</v>
      </c>
      <c r="BE22" s="1304">
        <f>'[1]21'!$G$119</f>
        <v>161</v>
      </c>
      <c r="BF22" s="1304">
        <f>'[1]21'!$G$120</f>
        <v>166</v>
      </c>
      <c r="BG22" s="1305">
        <f>'Section Load'!AJ25</f>
        <v>979.96999999997206</v>
      </c>
      <c r="BH22" s="1305">
        <f>'Section Load'!AK25</f>
        <v>300.25</v>
      </c>
      <c r="BI22" s="1305">
        <f>'Section Load'!AL25</f>
        <v>0</v>
      </c>
      <c r="BJ22" s="1305">
        <f>'Section Load'!AM25</f>
        <v>73.279999999998836</v>
      </c>
      <c r="BK22" s="1305">
        <f>'Section Load'!AN25</f>
        <v>29.799999999995634</v>
      </c>
      <c r="BL22" s="1305">
        <f>'Section Load'!AO25</f>
        <v>2.5</v>
      </c>
      <c r="BM22" s="1305">
        <f>'Section Load'!AP25</f>
        <v>574.13999999997759</v>
      </c>
    </row>
    <row r="23" spans="1:65">
      <c r="A23" s="1287" t="s">
        <v>305</v>
      </c>
      <c r="B23" s="1288">
        <f t="shared" si="0"/>
        <v>22</v>
      </c>
      <c r="C23" s="1288">
        <v>3</v>
      </c>
      <c r="D23" s="1288">
        <v>2021</v>
      </c>
      <c r="E23" s="1303">
        <f>'Section Load'!B26</f>
        <v>3337.8399999999674</v>
      </c>
      <c r="F23" s="1303">
        <f>'Section Load'!C26</f>
        <v>1553.1800000000003</v>
      </c>
      <c r="G23" s="1303">
        <f>'Section Load'!D26</f>
        <v>1793.5399999999936</v>
      </c>
      <c r="H23" s="1303">
        <f>'Section Load'!E26</f>
        <v>4335.3999999999796</v>
      </c>
      <c r="I23" s="1303">
        <f>'Section Load'!F26</f>
        <v>5689.2200000000012</v>
      </c>
      <c r="J23" s="1303">
        <f>'Section Load'!G26</f>
        <v>2399.4699999999721</v>
      </c>
      <c r="K23" s="1303">
        <f>'Section Load'!H26</f>
        <v>1248.4400000000023</v>
      </c>
      <c r="L23" s="1303">
        <f>'Section Load'!I26</f>
        <v>664.15999999997439</v>
      </c>
      <c r="M23" s="1303">
        <f>'Section Load'!J26</f>
        <v>103</v>
      </c>
      <c r="N23" s="1303">
        <f>'Section Load'!K26</f>
        <v>1</v>
      </c>
      <c r="O23" s="1303">
        <f>'Section Load'!L26</f>
        <v>18.509999999999991</v>
      </c>
      <c r="P23" s="1303">
        <f>'Section Load'!M26</f>
        <v>159.42000000000007</v>
      </c>
      <c r="Q23" s="1303">
        <f>'Section Load'!N26</f>
        <v>77.990000000000236</v>
      </c>
      <c r="R23" s="1303">
        <f>'Section Load'!O26</f>
        <v>50</v>
      </c>
      <c r="S23" s="1303">
        <f>'Section Load'!P26</f>
        <v>405</v>
      </c>
      <c r="T23" s="1303">
        <f>'Section Load'!Q26</f>
        <v>169</v>
      </c>
      <c r="U23" s="1303">
        <f>'Section Load'!R26</f>
        <v>337.88000000000466</v>
      </c>
      <c r="V23" s="1303">
        <f>'Section Load'!S26</f>
        <v>123.8399999999674</v>
      </c>
      <c r="W23" s="1303">
        <f>'Section Load'!T26</f>
        <v>22.299999999988358</v>
      </c>
      <c r="X23" s="1303">
        <f>'Section Load'!U26</f>
        <v>192.76000000000204</v>
      </c>
      <c r="Y23" s="1303">
        <f>'Section Load'!V26</f>
        <v>242</v>
      </c>
      <c r="Z23" s="1303">
        <f>'Section Load'!W26</f>
        <v>197.61999999999534</v>
      </c>
      <c r="AA23" s="1303">
        <f>'Section Load'!X26</f>
        <v>31.399999999994179</v>
      </c>
      <c r="AB23" s="1303">
        <f>'Section Load'!Y26</f>
        <v>102.58999999999651</v>
      </c>
      <c r="AC23" s="1303">
        <f>'Section Load'!Z26</f>
        <v>41.699999999994361</v>
      </c>
      <c r="AD23" s="1303">
        <f>'Section Load'!AA26</f>
        <v>0</v>
      </c>
      <c r="AE23" s="1303">
        <f>'Section Load'!AB26</f>
        <v>10.669999999999845</v>
      </c>
      <c r="AF23" s="1303">
        <f>'Section Load'!AC26</f>
        <v>558</v>
      </c>
      <c r="AG23" s="1303">
        <f>'Section Load'!AD26</f>
        <v>383.07999999998719</v>
      </c>
      <c r="AH23" s="1303">
        <f>'Section Load'!AE26</f>
        <v>392.26000000000204</v>
      </c>
      <c r="AI23" s="1303">
        <f>'Section Load'!AF26</f>
        <v>690.51999999998952</v>
      </c>
      <c r="AJ23" s="1303">
        <f>'Section Load'!AG26</f>
        <v>308</v>
      </c>
      <c r="AK23" s="1303">
        <f>'Section Load'!AH26</f>
        <v>309.82000000000698</v>
      </c>
      <c r="AL23" s="1303">
        <f>'Section Load'!AI26</f>
        <v>675</v>
      </c>
      <c r="AM23" s="1304">
        <f>'[1]22'!$G$92</f>
        <v>122</v>
      </c>
      <c r="AN23" s="1304">
        <f>'[1]22'!$G$93</f>
        <v>186</v>
      </c>
      <c r="AO23" s="1304">
        <f>'[1]22'!$G$95</f>
        <v>107</v>
      </c>
      <c r="AP23" s="1304">
        <f>'[1]22'!$G$96</f>
        <v>21</v>
      </c>
      <c r="AQ23" s="1304">
        <f>'[1]22'!$G$97</f>
        <v>17</v>
      </c>
      <c r="AR23" s="1304">
        <f>'[1]22'!$G$98</f>
        <v>71</v>
      </c>
      <c r="AS23" s="1304">
        <f>'[1]22'!$G$99</f>
        <v>17</v>
      </c>
      <c r="AT23" s="1304">
        <f>'[1]22'!$G$100</f>
        <v>8</v>
      </c>
      <c r="AU23" s="1304">
        <f>'[1]22'!$G$104</f>
        <v>8</v>
      </c>
      <c r="AV23" s="1304">
        <f>'[1]22'!$G$105</f>
        <v>12</v>
      </c>
      <c r="AW23" s="1304">
        <f>'[1]22'!$G$106</f>
        <v>5</v>
      </c>
      <c r="AX23" s="1304">
        <f>'[1]22'!$G$109</f>
        <v>62</v>
      </c>
      <c r="AY23" s="1304">
        <f>'[1]22'!$G$110</f>
        <v>70</v>
      </c>
      <c r="AZ23" s="1304">
        <f>'[1]22'!$G$111</f>
        <v>8</v>
      </c>
      <c r="BA23" s="1304">
        <f>'[1]22'!$G$114</f>
        <v>21</v>
      </c>
      <c r="BB23" s="1304">
        <f>'[1]22'!$G$115</f>
        <v>10</v>
      </c>
      <c r="BC23" s="1304">
        <f>'[1]22'!$G$116</f>
        <v>0</v>
      </c>
      <c r="BD23" s="1304">
        <f>'[1]22'!$G$118</f>
        <v>173</v>
      </c>
      <c r="BE23" s="1304">
        <f>'[1]22'!$G$119</f>
        <v>170</v>
      </c>
      <c r="BF23" s="1304">
        <f>'[1]22'!$G$120</f>
        <v>140</v>
      </c>
      <c r="BG23" s="1305">
        <f>'Section Load'!AJ26</f>
        <v>949.80000000004657</v>
      </c>
      <c r="BH23" s="1305">
        <f>'Section Load'!AK26</f>
        <v>281.96000000007916</v>
      </c>
      <c r="BI23" s="1305">
        <f>'Section Load'!AL26</f>
        <v>0</v>
      </c>
      <c r="BJ23" s="1305">
        <f>'Section Load'!AM26</f>
        <v>65.190000000002328</v>
      </c>
      <c r="BK23" s="1305">
        <f>'Section Load'!AN26</f>
        <v>16.599999999998545</v>
      </c>
      <c r="BL23" s="1305">
        <f>'Section Load'!AO26</f>
        <v>1.6000000000003638</v>
      </c>
      <c r="BM23" s="1305">
        <f>'Section Load'!AP26</f>
        <v>584.44999999996617</v>
      </c>
    </row>
    <row r="24" spans="1:65">
      <c r="A24" s="1287" t="s">
        <v>305</v>
      </c>
      <c r="B24" s="1288">
        <f t="shared" si="0"/>
        <v>23</v>
      </c>
      <c r="C24" s="1288">
        <v>3</v>
      </c>
      <c r="D24" s="1288">
        <v>2021</v>
      </c>
      <c r="E24" s="1303">
        <f>'Section Load'!B27</f>
        <v>3280.4000000000233</v>
      </c>
      <c r="F24" s="1303">
        <f>'Section Load'!C27</f>
        <v>1487.9199999999983</v>
      </c>
      <c r="G24" s="1303">
        <f>'Section Load'!D27</f>
        <v>1823.2300000000541</v>
      </c>
      <c r="H24" s="1303">
        <f>'Section Load'!E27</f>
        <v>4120.7899999999936</v>
      </c>
      <c r="I24" s="1303">
        <f>'Section Load'!F27</f>
        <v>5237.7799999999697</v>
      </c>
      <c r="J24" s="1303">
        <f>'Section Load'!G27</f>
        <v>2358.5300000000279</v>
      </c>
      <c r="K24" s="1303">
        <f>'Section Load'!H27</f>
        <v>1181.25</v>
      </c>
      <c r="L24" s="1303">
        <f>'Section Load'!I27</f>
        <v>620.89000000001397</v>
      </c>
      <c r="M24" s="1303">
        <f>'Section Load'!J27</f>
        <v>100</v>
      </c>
      <c r="N24" s="1303">
        <f>'Section Load'!K27</f>
        <v>0</v>
      </c>
      <c r="O24" s="1303">
        <f>'Section Load'!L27</f>
        <v>17.789999999999964</v>
      </c>
      <c r="P24" s="1303">
        <f>'Section Load'!M27</f>
        <v>154.02999999999975</v>
      </c>
      <c r="Q24" s="1303">
        <f>'Section Load'!N27</f>
        <v>75.099999999999909</v>
      </c>
      <c r="R24" s="1303">
        <f>'Section Load'!O27</f>
        <v>50</v>
      </c>
      <c r="S24" s="1303">
        <f>'Section Load'!P27</f>
        <v>415</v>
      </c>
      <c r="T24" s="1303">
        <f>'Section Load'!Q27</f>
        <v>199</v>
      </c>
      <c r="U24" s="1303">
        <f>'Section Load'!R27</f>
        <v>354.35999999998603</v>
      </c>
      <c r="V24" s="1303">
        <f>'Section Load'!S27</f>
        <v>118.35999999998603</v>
      </c>
      <c r="W24" s="1303">
        <f>'Section Load'!T27</f>
        <v>19.990000000005239</v>
      </c>
      <c r="X24" s="1303">
        <f>'Section Load'!U27</f>
        <v>190.56999999999971</v>
      </c>
      <c r="Y24" s="1303">
        <f>'Section Load'!V27</f>
        <v>295</v>
      </c>
      <c r="Z24" s="1303">
        <f>'Section Load'!W27</f>
        <v>113.85999999998603</v>
      </c>
      <c r="AA24" s="1303">
        <f>'Section Load'!X27</f>
        <v>37</v>
      </c>
      <c r="AB24" s="1303">
        <f>'Section Load'!Y27</f>
        <v>88.899999999994179</v>
      </c>
      <c r="AC24" s="1303">
        <f>'Section Load'!Z27</f>
        <v>42</v>
      </c>
      <c r="AD24" s="1303">
        <f>'Section Load'!AA27</f>
        <v>-0.2000000000007276</v>
      </c>
      <c r="AE24" s="1303">
        <f>'Section Load'!AB27</f>
        <v>10.700000000000045</v>
      </c>
      <c r="AF24" s="1303">
        <f>'Section Load'!AC27</f>
        <v>497</v>
      </c>
      <c r="AG24" s="1303">
        <f>'Section Load'!AD27</f>
        <v>372.29000000000815</v>
      </c>
      <c r="AH24" s="1303">
        <f>'Section Load'!AE27</f>
        <v>379.62999999999738</v>
      </c>
      <c r="AI24" s="1303">
        <f>'Section Load'!AF27</f>
        <v>701.30999999999767</v>
      </c>
      <c r="AJ24" s="1303">
        <f>'Section Load'!AG27</f>
        <v>9626</v>
      </c>
      <c r="AK24" s="1303">
        <f>'Section Load'!AH27</f>
        <v>314.58999999999651</v>
      </c>
      <c r="AL24" s="1303">
        <f>'Section Load'!AI27</f>
        <v>708</v>
      </c>
      <c r="AM24" s="1304">
        <f>'[1]23'!$G$92</f>
        <v>104</v>
      </c>
      <c r="AN24" s="1304">
        <f>'[1]23'!$G$93</f>
        <v>179</v>
      </c>
      <c r="AO24" s="1304">
        <f>'[1]23'!$G$95</f>
        <v>101</v>
      </c>
      <c r="AP24" s="1304">
        <f>'[1]23'!$G$96</f>
        <v>18</v>
      </c>
      <c r="AQ24" s="1304">
        <f>'[1]23'!$G$97</f>
        <v>14</v>
      </c>
      <c r="AR24" s="1304">
        <f>'[1]23'!$G$98</f>
        <v>82</v>
      </c>
      <c r="AS24" s="1304">
        <f>'[1]23'!$G$99</f>
        <v>12</v>
      </c>
      <c r="AT24" s="1304">
        <f>'[1]23'!$G$100</f>
        <v>7</v>
      </c>
      <c r="AU24" s="1304">
        <f>'[1]23'!$G$104</f>
        <v>10</v>
      </c>
      <c r="AV24" s="1304">
        <f>'[1]23'!$G$105</f>
        <v>13</v>
      </c>
      <c r="AW24" s="1304">
        <f>'[1]23'!$G$106</f>
        <v>6</v>
      </c>
      <c r="AX24" s="1304">
        <f>'[1]23'!$G$109</f>
        <v>59</v>
      </c>
      <c r="AY24" s="1304">
        <f>'[1]23'!$G$110</f>
        <v>89</v>
      </c>
      <c r="AZ24" s="1304">
        <f>'[1]23'!$G$111</f>
        <v>5</v>
      </c>
      <c r="BA24" s="1304">
        <f>'[1]23'!$G$114</f>
        <v>14</v>
      </c>
      <c r="BB24" s="1304">
        <f>'[1]23'!$G$115</f>
        <v>2</v>
      </c>
      <c r="BC24" s="1304">
        <f>'[1]23'!$G$116</f>
        <v>0</v>
      </c>
      <c r="BD24" s="1304">
        <f>'[1]23'!$G$118</f>
        <v>155</v>
      </c>
      <c r="BE24" s="1304">
        <f>'[1]23'!$G$119</f>
        <v>152</v>
      </c>
      <c r="BF24" s="1304">
        <f>'[1]23'!$G$120</f>
        <v>153</v>
      </c>
      <c r="BG24" s="1305">
        <f>'Section Load'!AJ27</f>
        <v>913.22999999998137</v>
      </c>
      <c r="BH24" s="1305">
        <f>'Section Load'!AK27</f>
        <v>273.31999999994878</v>
      </c>
      <c r="BI24" s="1305">
        <f>'Section Load'!AL27</f>
        <v>0</v>
      </c>
      <c r="BJ24" s="1305">
        <f>'Section Load'!AM27</f>
        <v>78.519999999989523</v>
      </c>
      <c r="BK24" s="1305">
        <f>'Section Load'!AN27</f>
        <v>22.80000000000291</v>
      </c>
      <c r="BL24" s="1305">
        <f>'Section Load'!AO27</f>
        <v>1.5</v>
      </c>
      <c r="BM24" s="1305">
        <f>'Section Load'!AP27</f>
        <v>537.09000000004016</v>
      </c>
    </row>
    <row r="25" spans="1:65">
      <c r="A25" s="1287" t="s">
        <v>305</v>
      </c>
      <c r="B25" s="1288">
        <f t="shared" si="0"/>
        <v>24</v>
      </c>
      <c r="C25" s="1288">
        <v>3</v>
      </c>
      <c r="D25" s="1288">
        <v>2021</v>
      </c>
      <c r="E25" s="1303">
        <f>'Section Load'!B28</f>
        <v>3119</v>
      </c>
      <c r="F25" s="1303">
        <f>'Section Load'!C28</f>
        <v>1480.1300000000047</v>
      </c>
      <c r="G25" s="1303">
        <f>'Section Load'!D28</f>
        <v>1763</v>
      </c>
      <c r="H25" s="1303">
        <f>'Section Load'!E28</f>
        <v>4090.5300000000279</v>
      </c>
      <c r="I25" s="1303">
        <f>'Section Load'!F28</f>
        <v>5174.8500000000131</v>
      </c>
      <c r="J25" s="1303">
        <f>'Section Load'!G28</f>
        <v>2354</v>
      </c>
      <c r="K25" s="1303">
        <f>'Section Load'!H28</f>
        <v>1818</v>
      </c>
      <c r="L25" s="1303">
        <f>'Section Load'!I28</f>
        <v>598</v>
      </c>
      <c r="M25" s="1303">
        <f>'Section Load'!J28</f>
        <v>85</v>
      </c>
      <c r="N25" s="1303">
        <f>'Section Load'!K28</f>
        <v>1</v>
      </c>
      <c r="O25" s="1303">
        <f>'Section Load'!L28</f>
        <v>19</v>
      </c>
      <c r="P25" s="1303">
        <f>'Section Load'!M28</f>
        <v>174</v>
      </c>
      <c r="Q25" s="1303">
        <f>'Section Load'!N28</f>
        <v>82</v>
      </c>
      <c r="R25" s="1303">
        <f>'Section Load'!O28</f>
        <v>49</v>
      </c>
      <c r="S25" s="1303">
        <f>'Section Load'!P28</f>
        <v>409</v>
      </c>
      <c r="T25" s="1303">
        <f>'Section Load'!Q28</f>
        <v>183</v>
      </c>
      <c r="U25" s="1303">
        <f>'Section Load'!R28</f>
        <v>408</v>
      </c>
      <c r="V25" s="1303">
        <f>'Section Load'!S28</f>
        <v>137</v>
      </c>
      <c r="W25" s="1303">
        <f>'Section Load'!T28</f>
        <v>22</v>
      </c>
      <c r="X25" s="1303">
        <f>'Section Load'!U28</f>
        <v>205</v>
      </c>
      <c r="Y25" s="1303">
        <f>'Section Load'!V28</f>
        <v>237</v>
      </c>
      <c r="Z25" s="1303">
        <f>'Section Load'!W28</f>
        <v>167</v>
      </c>
      <c r="AA25" s="1303">
        <f>'Section Load'!X28</f>
        <v>45</v>
      </c>
      <c r="AB25" s="1303">
        <f>'Section Load'!Y28</f>
        <v>80</v>
      </c>
      <c r="AC25" s="1303">
        <f>'Section Load'!Z28</f>
        <v>49</v>
      </c>
      <c r="AD25" s="1303">
        <f>'Section Load'!AA28</f>
        <v>0</v>
      </c>
      <c r="AE25" s="1303">
        <f>'Section Load'!AB28</f>
        <v>12</v>
      </c>
      <c r="AF25" s="1303">
        <f>'Section Load'!AC28</f>
        <v>490</v>
      </c>
      <c r="AG25" s="1303">
        <f>'Section Load'!AD28</f>
        <v>393</v>
      </c>
      <c r="AH25" s="1303">
        <f>'Section Load'!AE28</f>
        <v>376</v>
      </c>
      <c r="AI25" s="1303">
        <f>'Section Load'!AF28</f>
        <v>716</v>
      </c>
      <c r="AJ25" s="1303">
        <f>'Section Load'!AG28</f>
        <v>347</v>
      </c>
      <c r="AK25" s="1303">
        <f>'Section Load'!AH28</f>
        <v>317</v>
      </c>
      <c r="AL25" s="1303">
        <f>'Section Load'!AI28</f>
        <v>738</v>
      </c>
      <c r="AM25" s="1304">
        <f>'[1]24'!$G$92</f>
        <v>88</v>
      </c>
      <c r="AN25" s="1304">
        <f>'[1]24'!$G$93</f>
        <v>142</v>
      </c>
      <c r="AO25" s="1304">
        <f>'[1]24'!$G$95</f>
        <v>71</v>
      </c>
      <c r="AP25" s="1304">
        <f>'[1]24'!$G$96</f>
        <v>13</v>
      </c>
      <c r="AQ25" s="1304">
        <f>'[1]24'!$G$97</f>
        <v>18</v>
      </c>
      <c r="AR25" s="1304">
        <f>'[1]24'!$G$98</f>
        <v>94</v>
      </c>
      <c r="AS25" s="1304">
        <f>'[1]24'!$G$99</f>
        <v>25</v>
      </c>
      <c r="AT25" s="1304">
        <f>'[1]24'!$G$100</f>
        <v>13</v>
      </c>
      <c r="AU25" s="1304">
        <f>'[1]24'!$G$104</f>
        <v>10</v>
      </c>
      <c r="AV25" s="1304">
        <f>'[1]24'!$G$105</f>
        <v>9</v>
      </c>
      <c r="AW25" s="1304">
        <f>'[1]24'!$G$106</f>
        <v>5</v>
      </c>
      <c r="AX25" s="1304">
        <f>'[1]24'!$G$109</f>
        <v>82</v>
      </c>
      <c r="AY25" s="1304">
        <f>'[1]24'!$G$110</f>
        <v>41</v>
      </c>
      <c r="AZ25" s="1304">
        <f>'[1]24'!$G$111</f>
        <v>10</v>
      </c>
      <c r="BA25" s="1304">
        <f>'[1]24'!$G$114</f>
        <v>30</v>
      </c>
      <c r="BB25" s="1304">
        <f>'[1]24'!$G$115</f>
        <v>11</v>
      </c>
      <c r="BC25" s="1304">
        <f>'[1]24'!$G$116</f>
        <v>0</v>
      </c>
      <c r="BD25" s="1304">
        <f>'[1]24'!$G$118</f>
        <v>140</v>
      </c>
      <c r="BE25" s="1304">
        <f>'[1]24'!$G$119</f>
        <v>140</v>
      </c>
      <c r="BF25" s="1304">
        <f>'[1]24'!$G$120</f>
        <v>133</v>
      </c>
      <c r="BG25" s="1305">
        <f>'Section Load'!AJ28</f>
        <v>296</v>
      </c>
      <c r="BH25" s="1305">
        <f>'Section Load'!AK28</f>
        <v>101</v>
      </c>
      <c r="BI25" s="1305">
        <f>'Section Load'!AL28</f>
        <v>0</v>
      </c>
      <c r="BJ25" s="1305">
        <f>'Section Load'!AM28</f>
        <v>23.579999999987194</v>
      </c>
      <c r="BK25" s="1305">
        <f>'Section Load'!AN28</f>
        <v>3</v>
      </c>
      <c r="BL25" s="1305">
        <f>'Section Load'!AO28</f>
        <v>0</v>
      </c>
      <c r="BM25" s="1305">
        <f>'Section Load'!AP28</f>
        <v>168.42000000001281</v>
      </c>
    </row>
    <row r="26" spans="1:65">
      <c r="A26" s="1287" t="s">
        <v>305</v>
      </c>
      <c r="B26" s="1288">
        <f>B25+1</f>
        <v>25</v>
      </c>
      <c r="C26" s="1288">
        <v>3</v>
      </c>
      <c r="D26" s="1288">
        <v>2021</v>
      </c>
      <c r="E26" s="1303">
        <f>'Section Load'!B29</f>
        <v>-1035402</v>
      </c>
      <c r="F26" s="1303">
        <f>'Section Load'!C29</f>
        <v>-188879</v>
      </c>
      <c r="G26" s="1303">
        <f>'Section Load'!D29</f>
        <v>-598611</v>
      </c>
      <c r="H26" s="1303">
        <f>'Section Load'!E29</f>
        <v>-524043</v>
      </c>
      <c r="I26" s="1303">
        <f>'Section Load'!F29</f>
        <v>-953862</v>
      </c>
      <c r="J26" s="1303">
        <f>'Section Load'!G29</f>
        <v>-891872</v>
      </c>
      <c r="K26" s="1303">
        <f>'Section Load'!H29</f>
        <v>-432426</v>
      </c>
      <c r="L26" s="1303">
        <f>'Section Load'!I29</f>
        <v>-311995</v>
      </c>
      <c r="M26" s="1303">
        <f>'Section Load'!J29</f>
        <v>-852740</v>
      </c>
      <c r="N26" s="1303">
        <f>'Section Load'!K29</f>
        <v>-885790</v>
      </c>
      <c r="O26" s="1303">
        <f>'Section Load'!L29</f>
        <v>-1214</v>
      </c>
      <c r="P26" s="1303">
        <f>'Section Load'!M29</f>
        <v>-7505</v>
      </c>
      <c r="Q26" s="1303">
        <f>'Section Load'!N29</f>
        <v>-3451</v>
      </c>
      <c r="R26" s="1303">
        <f>'Section Load'!O29</f>
        <v>-699854</v>
      </c>
      <c r="S26" s="1303">
        <f>'Section Load'!P29</f>
        <v>-662799</v>
      </c>
      <c r="T26" s="1303">
        <f>'Section Load'!Q29</f>
        <v>-819907</v>
      </c>
      <c r="U26" s="1303">
        <f>'Section Load'!R29</f>
        <v>-503279</v>
      </c>
      <c r="V26" s="1303">
        <f>'Section Load'!S29</f>
        <v>-628605</v>
      </c>
      <c r="W26" s="1303">
        <f>'Section Load'!T29</f>
        <v>-106732</v>
      </c>
      <c r="X26" s="1303">
        <f>'Section Load'!U29</f>
        <v>-40284</v>
      </c>
      <c r="Y26" s="1303">
        <f>'Section Load'!V29</f>
        <v>-4914</v>
      </c>
      <c r="Z26" s="1303">
        <f>'Section Load'!W29</f>
        <v>-453391</v>
      </c>
      <c r="AA26" s="1303">
        <f>'Section Load'!X29</f>
        <v>-79939</v>
      </c>
      <c r="AB26" s="1303">
        <f>'Section Load'!Y29</f>
        <v>-150114</v>
      </c>
      <c r="AC26" s="1303">
        <f>'Section Load'!Z29</f>
        <v>-83197</v>
      </c>
      <c r="AD26" s="1303">
        <f>'Section Load'!AA29</f>
        <v>-20419</v>
      </c>
      <c r="AE26" s="1303">
        <f>'Section Load'!AB29</f>
        <v>-2012</v>
      </c>
      <c r="AF26" s="1303">
        <f>'Section Load'!AC29</f>
        <v>-135907</v>
      </c>
      <c r="AG26" s="1303">
        <f>'Section Load'!AD29</f>
        <v>-141579</v>
      </c>
      <c r="AH26" s="1303">
        <f>'Section Load'!AE29</f>
        <v>-34324</v>
      </c>
      <c r="AI26" s="1303">
        <f>'Section Load'!AF29</f>
        <v>-224328</v>
      </c>
      <c r="AJ26" s="1303">
        <f>'Section Load'!AG29</f>
        <v>-80766</v>
      </c>
      <c r="AK26" s="1303">
        <f>'Section Load'!AH29</f>
        <v>-72124</v>
      </c>
      <c r="AL26" s="1303">
        <f>'Section Load'!AI29</f>
        <v>-448965</v>
      </c>
      <c r="AM26" s="1304">
        <f>'[1]25'!$G$92</f>
        <v>103</v>
      </c>
      <c r="AN26" s="1304">
        <f>'[1]25'!$G$93</f>
        <v>190</v>
      </c>
      <c r="AO26" s="1304">
        <f>'[1]25'!$G$95</f>
        <v>103</v>
      </c>
      <c r="AP26" s="1304">
        <f>'[1]25'!$G$96</f>
        <v>14</v>
      </c>
      <c r="AQ26" s="1304">
        <f>'[1]25'!$G$97</f>
        <v>15</v>
      </c>
      <c r="AR26" s="1304">
        <f>'[1]25'!$G$98</f>
        <v>108</v>
      </c>
      <c r="AS26" s="1304">
        <f>'[1]25'!$G$99</f>
        <v>16</v>
      </c>
      <c r="AT26" s="1304">
        <f>'[1]25'!$G$100</f>
        <v>5</v>
      </c>
      <c r="AU26" s="1304">
        <f>'[1]25'!$G$104</f>
        <v>0</v>
      </c>
      <c r="AV26" s="1304">
        <f>'[1]25'!$G$105</f>
        <v>6</v>
      </c>
      <c r="AW26" s="1304">
        <f>'[1]25'!$G$106</f>
        <v>4</v>
      </c>
      <c r="AX26" s="1304">
        <f>'[1]25'!$G$109</f>
        <v>40</v>
      </c>
      <c r="AY26" s="1304">
        <f>'[1]25'!$G$110</f>
        <v>148</v>
      </c>
      <c r="AZ26" s="1304">
        <f>'[1]25'!$G$111</f>
        <v>0</v>
      </c>
      <c r="BA26" s="1304">
        <f>'[1]25'!$G$114</f>
        <v>19</v>
      </c>
      <c r="BB26" s="1304">
        <f>'[1]25'!$G$115</f>
        <v>5</v>
      </c>
      <c r="BC26" s="1304">
        <f>'[1]25'!$G$116</f>
        <v>0</v>
      </c>
      <c r="BD26" s="1304">
        <f>'[1]25'!$G$118</f>
        <v>155</v>
      </c>
      <c r="BE26" s="1304">
        <f>'[1]25'!$G$119</f>
        <v>153</v>
      </c>
      <c r="BF26" s="1304">
        <f>'[1]25'!$G$120</f>
        <v>188</v>
      </c>
      <c r="BG26" s="1305">
        <f>'Section Load'!AJ29</f>
        <v>-1640178</v>
      </c>
      <c r="BH26" s="1305">
        <f>'Section Load'!AK29</f>
        <v>-816987</v>
      </c>
      <c r="BI26" s="1305">
        <f>'Section Load'!AL29</f>
        <v>-73583</v>
      </c>
      <c r="BJ26" s="1305">
        <f>'Section Load'!AM29</f>
        <v>-141548.57999999999</v>
      </c>
      <c r="BK26" s="1305">
        <f>'Section Load'!AN29</f>
        <v>-59823</v>
      </c>
      <c r="BL26" s="1305">
        <f>'Section Load'!AO29</f>
        <v>-8944</v>
      </c>
      <c r="BM26" s="1305">
        <f>'Section Load'!AP29</f>
        <v>-539292.41999999993</v>
      </c>
    </row>
    <row r="27" spans="1:65">
      <c r="A27" s="1287" t="s">
        <v>305</v>
      </c>
      <c r="B27" s="1288">
        <f t="shared" si="0"/>
        <v>26</v>
      </c>
      <c r="C27" s="1288">
        <v>3</v>
      </c>
      <c r="D27" s="1288">
        <v>2021</v>
      </c>
      <c r="E27" s="1303">
        <f>'Section Load'!B30</f>
        <v>0</v>
      </c>
      <c r="F27" s="1303">
        <f>'Section Load'!C30</f>
        <v>0</v>
      </c>
      <c r="G27" s="1303">
        <f>'Section Load'!D30</f>
        <v>0</v>
      </c>
      <c r="H27" s="1303">
        <f>'Section Load'!E30</f>
        <v>0</v>
      </c>
      <c r="I27" s="1303">
        <f>'Section Load'!F30</f>
        <v>0</v>
      </c>
      <c r="J27" s="1303">
        <f>'Section Load'!G30</f>
        <v>0</v>
      </c>
      <c r="K27" s="1303">
        <f>'Section Load'!H30</f>
        <v>0</v>
      </c>
      <c r="L27" s="1303">
        <f>'Section Load'!I30</f>
        <v>0</v>
      </c>
      <c r="M27" s="1303">
        <f>'Section Load'!J30</f>
        <v>0</v>
      </c>
      <c r="N27" s="1303">
        <f>'Section Load'!K30</f>
        <v>0</v>
      </c>
      <c r="O27" s="1303">
        <f>'Section Load'!L30</f>
        <v>0</v>
      </c>
      <c r="P27" s="1303">
        <f>'Section Load'!M30</f>
        <v>0</v>
      </c>
      <c r="Q27" s="1303">
        <f>'Section Load'!N30</f>
        <v>0</v>
      </c>
      <c r="R27" s="1303">
        <f>'Section Load'!O30</f>
        <v>0</v>
      </c>
      <c r="S27" s="1303">
        <f>'Section Load'!P30</f>
        <v>0</v>
      </c>
      <c r="T27" s="1303">
        <f>'Section Load'!Q30</f>
        <v>0</v>
      </c>
      <c r="U27" s="1303">
        <f>'Section Load'!R30</f>
        <v>0</v>
      </c>
      <c r="V27" s="1303">
        <f>'Section Load'!S30</f>
        <v>0</v>
      </c>
      <c r="W27" s="1303">
        <f>'Section Load'!T30</f>
        <v>0</v>
      </c>
      <c r="X27" s="1303">
        <f>'Section Load'!U30</f>
        <v>0</v>
      </c>
      <c r="Y27" s="1303">
        <f>'Section Load'!V30</f>
        <v>0</v>
      </c>
      <c r="Z27" s="1303">
        <f>'Section Load'!W30</f>
        <v>0</v>
      </c>
      <c r="AA27" s="1303">
        <f>'Section Load'!X30</f>
        <v>0</v>
      </c>
      <c r="AB27" s="1303">
        <f>'Section Load'!Y30</f>
        <v>0</v>
      </c>
      <c r="AC27" s="1303">
        <f>'Section Load'!Z30</f>
        <v>0</v>
      </c>
      <c r="AD27" s="1303">
        <f>'Section Load'!AA30</f>
        <v>0</v>
      </c>
      <c r="AE27" s="1303">
        <f>'Section Load'!AB30</f>
        <v>0</v>
      </c>
      <c r="AF27" s="1303">
        <f>'Section Load'!AC30</f>
        <v>0</v>
      </c>
      <c r="AG27" s="1303">
        <f>'Section Load'!AD30</f>
        <v>0</v>
      </c>
      <c r="AH27" s="1303">
        <f>'Section Load'!AE30</f>
        <v>0</v>
      </c>
      <c r="AI27" s="1303">
        <f>'Section Load'!AF30</f>
        <v>0</v>
      </c>
      <c r="AJ27" s="1303">
        <f>'Section Load'!AG30</f>
        <v>0</v>
      </c>
      <c r="AK27" s="1303">
        <f>'Section Load'!AH30</f>
        <v>0</v>
      </c>
      <c r="AL27" s="1303">
        <f>'Section Load'!AI30</f>
        <v>0</v>
      </c>
      <c r="AM27" s="1304">
        <f>'[1]26'!$G$92</f>
        <v>69</v>
      </c>
      <c r="AN27" s="1304">
        <f>'[1]26'!$G$93</f>
        <v>158</v>
      </c>
      <c r="AO27" s="1304">
        <f>'[1]26'!$G$95</f>
        <v>79</v>
      </c>
      <c r="AP27" s="1304">
        <f>'[1]26'!$G$96</f>
        <v>12</v>
      </c>
      <c r="AQ27" s="1304">
        <f>'[1]26'!$G$97</f>
        <v>19</v>
      </c>
      <c r="AR27" s="1304">
        <f>'[1]26'!$G$98</f>
        <v>129</v>
      </c>
      <c r="AS27" s="1304">
        <f>'[1]26'!$G$99</f>
        <v>13</v>
      </c>
      <c r="AT27" s="1304">
        <f>'[1]26'!$G$100</f>
        <v>12</v>
      </c>
      <c r="AU27" s="1304">
        <f>'[1]26'!$G$104</f>
        <v>3</v>
      </c>
      <c r="AV27" s="1304">
        <f>'[1]26'!$G$105</f>
        <v>9</v>
      </c>
      <c r="AW27" s="1304">
        <f>'[1]26'!$G$106</f>
        <v>6</v>
      </c>
      <c r="AX27" s="1304">
        <f>'[1]26'!$G$109</f>
        <v>60</v>
      </c>
      <c r="AY27" s="1304">
        <f>'[1]26'!$G$110</f>
        <v>123</v>
      </c>
      <c r="AZ27" s="1304">
        <f>'[1]26'!$G$111</f>
        <v>12</v>
      </c>
      <c r="BA27" s="1304">
        <f>'[1]26'!$G$114</f>
        <v>16</v>
      </c>
      <c r="BB27" s="1304">
        <f>'[1]26'!$G$115</f>
        <v>6</v>
      </c>
      <c r="BC27" s="1304">
        <f>'[1]26'!$G$116</f>
        <v>0</v>
      </c>
      <c r="BD27" s="1304">
        <f>'[1]26'!$G$118</f>
        <v>120</v>
      </c>
      <c r="BE27" s="1304">
        <f>'[1]26'!$G$119</f>
        <v>135</v>
      </c>
      <c r="BF27" s="1304">
        <f>'[1]26'!$G$120</f>
        <v>195</v>
      </c>
      <c r="BG27" s="1305">
        <f>'Section Load'!AJ30</f>
        <v>0</v>
      </c>
      <c r="BH27" s="1305">
        <f>'Section Load'!AK30</f>
        <v>0</v>
      </c>
      <c r="BI27" s="1305">
        <f>'Section Load'!AL30</f>
        <v>0</v>
      </c>
      <c r="BJ27" s="1305">
        <f>'Section Load'!AM30</f>
        <v>0</v>
      </c>
      <c r="BK27" s="1305">
        <f>'Section Load'!AN30</f>
        <v>0</v>
      </c>
      <c r="BL27" s="1305">
        <f>'Section Load'!AO30</f>
        <v>0</v>
      </c>
      <c r="BM27" s="1305">
        <f>'Section Load'!AP30</f>
        <v>0</v>
      </c>
    </row>
    <row r="28" spans="1:65">
      <c r="A28" s="1287" t="s">
        <v>305</v>
      </c>
      <c r="B28" s="1288">
        <f t="shared" si="0"/>
        <v>27</v>
      </c>
      <c r="C28" s="1288">
        <v>3</v>
      </c>
      <c r="D28" s="1288">
        <v>2021</v>
      </c>
      <c r="E28" s="1303">
        <f>'Section Load'!B31</f>
        <v>0</v>
      </c>
      <c r="F28" s="1303">
        <f>'Section Load'!C31</f>
        <v>0</v>
      </c>
      <c r="G28" s="1303">
        <f>'Section Load'!D31</f>
        <v>0</v>
      </c>
      <c r="H28" s="1303">
        <f>'Section Load'!E31</f>
        <v>0</v>
      </c>
      <c r="I28" s="1303">
        <f>'Section Load'!F31</f>
        <v>0</v>
      </c>
      <c r="J28" s="1303">
        <f>'Section Load'!G31</f>
        <v>0</v>
      </c>
      <c r="K28" s="1303">
        <f>'Section Load'!H31</f>
        <v>0</v>
      </c>
      <c r="L28" s="1303">
        <f>'Section Load'!I31</f>
        <v>0</v>
      </c>
      <c r="M28" s="1303">
        <f>'Section Load'!J31</f>
        <v>0</v>
      </c>
      <c r="N28" s="1303">
        <f>'Section Load'!K31</f>
        <v>0</v>
      </c>
      <c r="O28" s="1303">
        <f>'Section Load'!L31</f>
        <v>0</v>
      </c>
      <c r="P28" s="1303">
        <f>'Section Load'!M31</f>
        <v>0</v>
      </c>
      <c r="Q28" s="1303">
        <f>'Section Load'!N31</f>
        <v>0</v>
      </c>
      <c r="R28" s="1303">
        <f>'Section Load'!O31</f>
        <v>0</v>
      </c>
      <c r="S28" s="1303">
        <f>'Section Load'!P31</f>
        <v>0</v>
      </c>
      <c r="T28" s="1303">
        <f>'Section Load'!Q31</f>
        <v>0</v>
      </c>
      <c r="U28" s="1303">
        <f>'Section Load'!R31</f>
        <v>0</v>
      </c>
      <c r="V28" s="1303">
        <f>'Section Load'!S31</f>
        <v>0</v>
      </c>
      <c r="W28" s="1303">
        <f>'Section Load'!T31</f>
        <v>0</v>
      </c>
      <c r="X28" s="1303">
        <f>'Section Load'!U31</f>
        <v>0</v>
      </c>
      <c r="Y28" s="1303">
        <f>'Section Load'!V31</f>
        <v>0</v>
      </c>
      <c r="Z28" s="1303">
        <f>'Section Load'!W31</f>
        <v>0</v>
      </c>
      <c r="AA28" s="1303">
        <f>'Section Load'!X31</f>
        <v>0</v>
      </c>
      <c r="AB28" s="1303">
        <f>'Section Load'!Y31</f>
        <v>0</v>
      </c>
      <c r="AC28" s="1303">
        <f>'Section Load'!Z31</f>
        <v>0</v>
      </c>
      <c r="AD28" s="1303">
        <f>'Section Load'!AA31</f>
        <v>0</v>
      </c>
      <c r="AE28" s="1303">
        <f>'Section Load'!AB31</f>
        <v>0</v>
      </c>
      <c r="AF28" s="1303">
        <f>'Section Load'!AC31</f>
        <v>0</v>
      </c>
      <c r="AG28" s="1303">
        <f>'Section Load'!AD31</f>
        <v>0</v>
      </c>
      <c r="AH28" s="1303">
        <f>'Section Load'!AE31</f>
        <v>0</v>
      </c>
      <c r="AI28" s="1303">
        <f>'Section Load'!AF31</f>
        <v>0</v>
      </c>
      <c r="AJ28" s="1303">
        <f>'Section Load'!AG31</f>
        <v>0</v>
      </c>
      <c r="AK28" s="1303">
        <f>'Section Load'!AH31</f>
        <v>0</v>
      </c>
      <c r="AL28" s="1303">
        <f>'Section Load'!AI31</f>
        <v>0</v>
      </c>
      <c r="AM28" s="1304">
        <f>'[1]27'!$G$92</f>
        <v>146</v>
      </c>
      <c r="AN28" s="1304">
        <f>'[1]27'!$G$93</f>
        <v>152</v>
      </c>
      <c r="AO28" s="1304">
        <f>'[1]27'!$G$95</f>
        <v>85</v>
      </c>
      <c r="AP28" s="1304">
        <f>'[1]27'!$G$96</f>
        <v>16</v>
      </c>
      <c r="AQ28" s="1304">
        <f>'[1]27'!$G$97</f>
        <v>31</v>
      </c>
      <c r="AR28" s="1304">
        <f>'[1]27'!$G$98</f>
        <v>62</v>
      </c>
      <c r="AS28" s="1304">
        <f>'[1]27'!$G$99</f>
        <v>19</v>
      </c>
      <c r="AT28" s="1304">
        <f>'[1]27'!$G$100</f>
        <v>34</v>
      </c>
      <c r="AU28" s="1304">
        <f>'[1]27'!$G$104</f>
        <v>0</v>
      </c>
      <c r="AV28" s="1304">
        <f>'[1]27'!$G$105</f>
        <v>8</v>
      </c>
      <c r="AW28" s="1304">
        <f>'[1]27'!$G$106</f>
        <v>6</v>
      </c>
      <c r="AX28" s="1304">
        <f>'[1]27'!$G$109</f>
        <v>82</v>
      </c>
      <c r="AY28" s="1304">
        <f>'[1]27'!$G$110</f>
        <v>95</v>
      </c>
      <c r="AZ28" s="1304">
        <f>'[1]27'!$G$111</f>
        <v>7</v>
      </c>
      <c r="BA28" s="1304">
        <f>'[1]27'!$G$114</f>
        <v>22</v>
      </c>
      <c r="BB28" s="1304">
        <f>'[1]27'!$G$115</f>
        <v>25</v>
      </c>
      <c r="BC28" s="1304">
        <f>'[1]27'!$G$116</f>
        <v>0</v>
      </c>
      <c r="BD28" s="1304">
        <f>'[1]27'!$G$118</f>
        <v>200</v>
      </c>
      <c r="BE28" s="1304">
        <f>'[1]27'!$G$119</f>
        <v>185</v>
      </c>
      <c r="BF28" s="1304">
        <f>'[1]27'!$G$120</f>
        <v>184</v>
      </c>
      <c r="BG28" s="1305">
        <f>'Section Load'!AJ31</f>
        <v>0</v>
      </c>
      <c r="BH28" s="1305">
        <f>'Section Load'!AK31</f>
        <v>0</v>
      </c>
      <c r="BI28" s="1305">
        <f>'Section Load'!AL31</f>
        <v>0</v>
      </c>
      <c r="BJ28" s="1305">
        <f>'Section Load'!AM31</f>
        <v>0</v>
      </c>
      <c r="BK28" s="1305">
        <f>'Section Load'!AN31</f>
        <v>0</v>
      </c>
      <c r="BL28" s="1305">
        <f>'Section Load'!AO31</f>
        <v>0</v>
      </c>
      <c r="BM28" s="1305">
        <f>'Section Load'!AP31</f>
        <v>0</v>
      </c>
    </row>
    <row r="29" spans="1:65">
      <c r="A29" s="1287" t="s">
        <v>305</v>
      </c>
      <c r="B29" s="1288">
        <f t="shared" si="0"/>
        <v>28</v>
      </c>
      <c r="C29" s="1288">
        <v>3</v>
      </c>
      <c r="D29" s="1288">
        <v>2021</v>
      </c>
      <c r="E29" s="1303">
        <f>'Section Load'!B32</f>
        <v>0</v>
      </c>
      <c r="F29" s="1303">
        <f>'Section Load'!C32</f>
        <v>0</v>
      </c>
      <c r="G29" s="1303">
        <f>'Section Load'!D32</f>
        <v>0</v>
      </c>
      <c r="H29" s="1303">
        <f>'Section Load'!E32</f>
        <v>0</v>
      </c>
      <c r="I29" s="1303">
        <f>'Section Load'!F32</f>
        <v>0</v>
      </c>
      <c r="J29" s="1303">
        <f>'Section Load'!G32</f>
        <v>0</v>
      </c>
      <c r="K29" s="1303">
        <f>'Section Load'!H32</f>
        <v>0</v>
      </c>
      <c r="L29" s="1303">
        <f>'Section Load'!I32</f>
        <v>0</v>
      </c>
      <c r="M29" s="1303">
        <f>'Section Load'!J32</f>
        <v>0</v>
      </c>
      <c r="N29" s="1303">
        <f>'Section Load'!K32</f>
        <v>0</v>
      </c>
      <c r="O29" s="1303">
        <f>'Section Load'!L32</f>
        <v>0</v>
      </c>
      <c r="P29" s="1303">
        <f>'Section Load'!M32</f>
        <v>0</v>
      </c>
      <c r="Q29" s="1303">
        <f>'Section Load'!N32</f>
        <v>0</v>
      </c>
      <c r="R29" s="1303">
        <f>'Section Load'!O32</f>
        <v>0</v>
      </c>
      <c r="S29" s="1303">
        <f>'Section Load'!P32</f>
        <v>0</v>
      </c>
      <c r="T29" s="1303">
        <f>'Section Load'!Q32</f>
        <v>0</v>
      </c>
      <c r="U29" s="1303">
        <f>'Section Load'!R32</f>
        <v>0</v>
      </c>
      <c r="V29" s="1303">
        <f>'Section Load'!S32</f>
        <v>0</v>
      </c>
      <c r="W29" s="1303">
        <f>'Section Load'!T32</f>
        <v>0</v>
      </c>
      <c r="X29" s="1303">
        <f>'Section Load'!U32</f>
        <v>0</v>
      </c>
      <c r="Y29" s="1303">
        <f>'Section Load'!V32</f>
        <v>0</v>
      </c>
      <c r="Z29" s="1303">
        <f>'Section Load'!W32</f>
        <v>0</v>
      </c>
      <c r="AA29" s="1303">
        <f>'Section Load'!X32</f>
        <v>0</v>
      </c>
      <c r="AB29" s="1303">
        <f>'Section Load'!Y32</f>
        <v>0</v>
      </c>
      <c r="AC29" s="1303">
        <f>'Section Load'!Z32</f>
        <v>0</v>
      </c>
      <c r="AD29" s="1303">
        <f>'Section Load'!AA32</f>
        <v>0</v>
      </c>
      <c r="AE29" s="1303">
        <f>'Section Load'!AB32</f>
        <v>0</v>
      </c>
      <c r="AF29" s="1303">
        <f>'Section Load'!AC32</f>
        <v>0</v>
      </c>
      <c r="AG29" s="1303">
        <f>'Section Load'!AD32</f>
        <v>0</v>
      </c>
      <c r="AH29" s="1303">
        <f>'Section Load'!AE32</f>
        <v>0</v>
      </c>
      <c r="AI29" s="1303">
        <f>'Section Load'!AF32</f>
        <v>0</v>
      </c>
      <c r="AJ29" s="1303">
        <f>'Section Load'!AG32</f>
        <v>0</v>
      </c>
      <c r="AK29" s="1303">
        <f>'Section Load'!AH32</f>
        <v>0</v>
      </c>
      <c r="AL29" s="1303">
        <f>'Section Load'!AI32</f>
        <v>0</v>
      </c>
      <c r="AM29" s="1304">
        <f>'[1]28'!$G$92</f>
        <v>144</v>
      </c>
      <c r="AN29" s="1304">
        <f>'[1]28'!$G$93</f>
        <v>201</v>
      </c>
      <c r="AO29" s="1304">
        <f>'[1]28'!$G$95</f>
        <v>90</v>
      </c>
      <c r="AP29" s="1304">
        <f>'[1]28'!$G$96</f>
        <v>40</v>
      </c>
      <c r="AQ29" s="1304">
        <f>'[1]28'!$G$97</f>
        <v>30</v>
      </c>
      <c r="AR29" s="1304">
        <f>'[1]28'!$G$98</f>
        <v>69</v>
      </c>
      <c r="AS29" s="1304">
        <f>'[1]28'!$G$99</f>
        <v>27</v>
      </c>
      <c r="AT29" s="1304">
        <f>'[1]28'!$G$100</f>
        <v>32</v>
      </c>
      <c r="AU29" s="1304">
        <f>'[1]28'!$G$104</f>
        <v>0</v>
      </c>
      <c r="AV29" s="1304">
        <f>'[1]28'!$G$105</f>
        <v>9</v>
      </c>
      <c r="AW29" s="1304">
        <f>'[1]28'!$G$106</f>
        <v>6</v>
      </c>
      <c r="AX29" s="1304">
        <f>'[1]28'!$G$109</f>
        <v>61</v>
      </c>
      <c r="AY29" s="1304">
        <f>'[1]28'!$G$110</f>
        <v>49</v>
      </c>
      <c r="AZ29" s="1304">
        <f>'[1]28'!$G$111</f>
        <v>0</v>
      </c>
      <c r="BA29" s="1304">
        <f>'[1]28'!$G$114</f>
        <v>32</v>
      </c>
      <c r="BB29" s="1304">
        <f>'[1]28'!$G$115</f>
        <v>23</v>
      </c>
      <c r="BC29" s="1304">
        <f>'[1]28'!$G$116</f>
        <v>0</v>
      </c>
      <c r="BD29" s="1304">
        <f>'[1]28'!$G$118</f>
        <v>196</v>
      </c>
      <c r="BE29" s="1304">
        <f>'[1]28'!$G$119</f>
        <v>219</v>
      </c>
      <c r="BF29" s="1304">
        <f>'[1]28'!$G$120</f>
        <v>110</v>
      </c>
      <c r="BG29" s="1305">
        <f>'Section Load'!AJ32</f>
        <v>0</v>
      </c>
      <c r="BH29" s="1305">
        <f>'Section Load'!AK32</f>
        <v>0</v>
      </c>
      <c r="BI29" s="1305">
        <f>'Section Load'!AL32</f>
        <v>0</v>
      </c>
      <c r="BJ29" s="1305">
        <f>'Section Load'!AM32</f>
        <v>0</v>
      </c>
      <c r="BK29" s="1305">
        <f>'Section Load'!AN32</f>
        <v>0</v>
      </c>
      <c r="BL29" s="1305">
        <f>'Section Load'!AO32</f>
        <v>0</v>
      </c>
      <c r="BM29" s="1305">
        <f>'Section Load'!AP32</f>
        <v>0</v>
      </c>
    </row>
    <row r="30" spans="1:65">
      <c r="A30" s="1287" t="s">
        <v>305</v>
      </c>
      <c r="B30" s="1288">
        <f t="shared" si="0"/>
        <v>29</v>
      </c>
      <c r="C30" s="1288">
        <v>3</v>
      </c>
      <c r="D30" s="1288">
        <v>2021</v>
      </c>
      <c r="E30" s="1303">
        <f>'Section Load'!B33</f>
        <v>0</v>
      </c>
      <c r="F30" s="1303">
        <f>'Section Load'!C33</f>
        <v>0</v>
      </c>
      <c r="G30" s="1303">
        <f>'Section Load'!D33</f>
        <v>0</v>
      </c>
      <c r="H30" s="1303">
        <f>'Section Load'!E33</f>
        <v>0</v>
      </c>
      <c r="I30" s="1303">
        <f>'Section Load'!F33</f>
        <v>7.9199999999254942</v>
      </c>
      <c r="J30" s="1303">
        <f>'Section Load'!G33</f>
        <v>0</v>
      </c>
      <c r="K30" s="1303">
        <f>'Section Load'!H33</f>
        <v>0</v>
      </c>
      <c r="L30" s="1303">
        <f>'Section Load'!I33</f>
        <v>0</v>
      </c>
      <c r="M30" s="1303">
        <f>'Section Load'!J33</f>
        <v>0</v>
      </c>
      <c r="N30" s="1303">
        <f>'Section Load'!K33</f>
        <v>0</v>
      </c>
      <c r="O30" s="1303">
        <f>'Section Load'!L33</f>
        <v>0</v>
      </c>
      <c r="P30" s="1303">
        <f>'Section Load'!M33</f>
        <v>0</v>
      </c>
      <c r="Q30" s="1303">
        <f>'Section Load'!N33</f>
        <v>0</v>
      </c>
      <c r="R30" s="1303">
        <f>'Section Load'!O33</f>
        <v>0</v>
      </c>
      <c r="S30" s="1303">
        <f>'Section Load'!P33</f>
        <v>0</v>
      </c>
      <c r="T30" s="1303">
        <f>'Section Load'!Q33</f>
        <v>0</v>
      </c>
      <c r="U30" s="1303">
        <f>'Section Load'!R33</f>
        <v>0</v>
      </c>
      <c r="V30" s="1303">
        <f>'Section Load'!S33</f>
        <v>0</v>
      </c>
      <c r="W30" s="1303">
        <f>'Section Load'!T33</f>
        <v>0</v>
      </c>
      <c r="X30" s="1303">
        <f>'Section Load'!U33</f>
        <v>0</v>
      </c>
      <c r="Y30" s="1303">
        <f>'Section Load'!V33</f>
        <v>0</v>
      </c>
      <c r="Z30" s="1303">
        <f>'Section Load'!W33</f>
        <v>0</v>
      </c>
      <c r="AA30" s="1303">
        <f>'Section Load'!X33</f>
        <v>0</v>
      </c>
      <c r="AB30" s="1303">
        <f>'Section Load'!Y33</f>
        <v>0</v>
      </c>
      <c r="AC30" s="1303">
        <f>'Section Load'!Z33</f>
        <v>0</v>
      </c>
      <c r="AD30" s="1303">
        <f>'Section Load'!AA33</f>
        <v>0</v>
      </c>
      <c r="AE30" s="1303">
        <f>'Section Load'!AB33</f>
        <v>0</v>
      </c>
      <c r="AF30" s="1303">
        <f>'Section Load'!AC33</f>
        <v>0</v>
      </c>
      <c r="AG30" s="1303">
        <f>'Section Load'!AD33</f>
        <v>0</v>
      </c>
      <c r="AH30" s="1303">
        <f>'Section Load'!AE33</f>
        <v>0</v>
      </c>
      <c r="AI30" s="1303">
        <f>'Section Load'!AF33</f>
        <v>0</v>
      </c>
      <c r="AJ30" s="1303">
        <f>'Section Load'!AG33</f>
        <v>0</v>
      </c>
      <c r="AK30" s="1303">
        <f>'Section Load'!AH33</f>
        <v>0</v>
      </c>
      <c r="AL30" s="1303">
        <f>'Section Load'!AI33</f>
        <v>0</v>
      </c>
      <c r="AM30" s="1304">
        <f>'[1]28'!$G$92</f>
        <v>144</v>
      </c>
      <c r="AN30" s="1304">
        <f>'[1]28'!$G$93</f>
        <v>201</v>
      </c>
      <c r="AO30" s="1304">
        <f>'[1]28'!$G$95</f>
        <v>90</v>
      </c>
      <c r="AP30" s="1304">
        <f>'[1]28'!$G$96</f>
        <v>40</v>
      </c>
      <c r="AQ30" s="1304">
        <f>'[1]28'!$G$97</f>
        <v>30</v>
      </c>
      <c r="AR30" s="1304">
        <f>'[1]28'!$G$98</f>
        <v>69</v>
      </c>
      <c r="AS30" s="1304">
        <f>'[1]28'!$G$99</f>
        <v>27</v>
      </c>
      <c r="AT30" s="1304">
        <f>'[1]28'!$G$100</f>
        <v>32</v>
      </c>
      <c r="AU30" s="1304">
        <f>'[1]28'!$G$104</f>
        <v>0</v>
      </c>
      <c r="AV30" s="1304">
        <f>'[1]28'!$G$105</f>
        <v>9</v>
      </c>
      <c r="AW30" s="1304">
        <f>'[1]28'!$G$106</f>
        <v>6</v>
      </c>
      <c r="AX30" s="1304">
        <f>'[1]28'!$G$109</f>
        <v>61</v>
      </c>
      <c r="AY30" s="1304">
        <f>'[1]28'!$G$110</f>
        <v>49</v>
      </c>
      <c r="AZ30" s="1304">
        <f>'[1]28'!$G$111</f>
        <v>0</v>
      </c>
      <c r="BA30" s="1304">
        <f>'[1]28'!$G$114</f>
        <v>32</v>
      </c>
      <c r="BB30" s="1304">
        <f>'[1]28'!$G$115</f>
        <v>23</v>
      </c>
      <c r="BC30" s="1304">
        <f>'[1]28'!$G$116</f>
        <v>0</v>
      </c>
      <c r="BD30" s="1304">
        <f>'[1]28'!$G$118</f>
        <v>196</v>
      </c>
      <c r="BE30" s="1304">
        <f>'[1]28'!$G$119</f>
        <v>219</v>
      </c>
      <c r="BF30" s="1304">
        <f>'[1]28'!$G$120</f>
        <v>110</v>
      </c>
      <c r="BG30" s="1305">
        <f>'Section Load'!AJ33</f>
        <v>0</v>
      </c>
      <c r="BH30" s="1305">
        <f>'Section Load'!AK33</f>
        <v>0</v>
      </c>
      <c r="BI30" s="1305">
        <f>'Section Load'!AL33</f>
        <v>0</v>
      </c>
      <c r="BJ30" s="1305">
        <f>'Section Load'!AM33</f>
        <v>0</v>
      </c>
      <c r="BK30" s="1305">
        <f>'Section Load'!AN33</f>
        <v>0</v>
      </c>
      <c r="BL30" s="1305">
        <f>'Section Load'!AO33</f>
        <v>0</v>
      </c>
      <c r="BM30" s="1305">
        <f>'Section Load'!AP33</f>
        <v>0</v>
      </c>
    </row>
    <row r="31" spans="1:65">
      <c r="A31" s="1287" t="s">
        <v>305</v>
      </c>
      <c r="B31" s="1288">
        <f t="shared" si="0"/>
        <v>30</v>
      </c>
      <c r="C31" s="1288">
        <v>3</v>
      </c>
      <c r="D31" s="1288">
        <v>2021</v>
      </c>
      <c r="E31" s="1303">
        <f>'Section Load'!B34</f>
        <v>0</v>
      </c>
      <c r="F31" s="1303">
        <f>'Section Load'!C34</f>
        <v>0</v>
      </c>
      <c r="G31" s="1303">
        <f>'Section Load'!D34</f>
        <v>0</v>
      </c>
      <c r="H31" s="1303">
        <f>'Section Load'!E34</f>
        <v>0</v>
      </c>
      <c r="I31" s="1303">
        <f>'Section Load'!F34</f>
        <v>0</v>
      </c>
      <c r="J31" s="1303">
        <f>'Section Load'!G34</f>
        <v>0</v>
      </c>
      <c r="K31" s="1303">
        <f>'Section Load'!H34</f>
        <v>0</v>
      </c>
      <c r="L31" s="1303">
        <f>'Section Load'!I34</f>
        <v>0</v>
      </c>
      <c r="M31" s="1303">
        <f>'Section Load'!J34</f>
        <v>0</v>
      </c>
      <c r="N31" s="1303">
        <f>'Section Load'!K34</f>
        <v>0</v>
      </c>
      <c r="O31" s="1303">
        <f>'Section Load'!L34</f>
        <v>0</v>
      </c>
      <c r="P31" s="1303">
        <f>'Section Load'!M34</f>
        <v>0</v>
      </c>
      <c r="Q31" s="1303">
        <f>'Section Load'!N34</f>
        <v>0</v>
      </c>
      <c r="R31" s="1303">
        <f>'Section Load'!O34</f>
        <v>0</v>
      </c>
      <c r="S31" s="1303">
        <f>'Section Load'!P34</f>
        <v>0</v>
      </c>
      <c r="T31" s="1303">
        <f>'Section Load'!Q34</f>
        <v>0</v>
      </c>
      <c r="U31" s="1303">
        <f>'Section Load'!R34</f>
        <v>0</v>
      </c>
      <c r="V31" s="1303">
        <f>'Section Load'!S34</f>
        <v>0</v>
      </c>
      <c r="W31" s="1303">
        <f>'Section Load'!T34</f>
        <v>0</v>
      </c>
      <c r="X31" s="1303">
        <f>'Section Load'!U34</f>
        <v>0</v>
      </c>
      <c r="Y31" s="1303">
        <f>'Section Load'!V34</f>
        <v>0</v>
      </c>
      <c r="Z31" s="1303">
        <f>'Section Load'!W34</f>
        <v>0</v>
      </c>
      <c r="AA31" s="1303">
        <f>'Section Load'!X34</f>
        <v>0</v>
      </c>
      <c r="AB31" s="1303">
        <f>'Section Load'!Y34</f>
        <v>0</v>
      </c>
      <c r="AC31" s="1303">
        <f>'Section Load'!Z34</f>
        <v>0</v>
      </c>
      <c r="AD31" s="1303">
        <f>'Section Load'!AA34</f>
        <v>0</v>
      </c>
      <c r="AE31" s="1303">
        <f>'Section Load'!AB34</f>
        <v>0</v>
      </c>
      <c r="AF31" s="1303">
        <f>'Section Load'!AC34</f>
        <v>0</v>
      </c>
      <c r="AG31" s="1303">
        <f>'Section Load'!AD34</f>
        <v>0</v>
      </c>
      <c r="AH31" s="1303">
        <f>'Section Load'!AE34</f>
        <v>0</v>
      </c>
      <c r="AI31" s="1303">
        <f>'Section Load'!AF34</f>
        <v>0</v>
      </c>
      <c r="AJ31" s="1303">
        <f>'Section Load'!AG34</f>
        <v>0</v>
      </c>
      <c r="AK31" s="1303">
        <f>'Section Load'!AH34</f>
        <v>0</v>
      </c>
      <c r="AL31" s="1303">
        <f>'Section Load'!AI34</f>
        <v>0</v>
      </c>
      <c r="AM31" s="1304">
        <f>'[1]28'!$G$92</f>
        <v>144</v>
      </c>
      <c r="AN31" s="1304">
        <f>'[1]28'!$G$93</f>
        <v>201</v>
      </c>
      <c r="AO31" s="1304">
        <f>'[1]28'!$G$95</f>
        <v>90</v>
      </c>
      <c r="AP31" s="1304">
        <f>'[1]28'!$G$96</f>
        <v>40</v>
      </c>
      <c r="AQ31" s="1304">
        <f>'[1]28'!$G$97</f>
        <v>30</v>
      </c>
      <c r="AR31" s="1304">
        <f>'[1]28'!$G$98</f>
        <v>69</v>
      </c>
      <c r="AS31" s="1304">
        <f>'[1]28'!$G$99</f>
        <v>27</v>
      </c>
      <c r="AT31" s="1304">
        <f>'[1]28'!$G$100</f>
        <v>32</v>
      </c>
      <c r="AU31" s="1304">
        <f>'[1]28'!$G$104</f>
        <v>0</v>
      </c>
      <c r="AV31" s="1304">
        <f>'[1]28'!$G$105</f>
        <v>9</v>
      </c>
      <c r="AW31" s="1304">
        <f>'[1]28'!$G$106</f>
        <v>6</v>
      </c>
      <c r="AX31" s="1304">
        <f>'[1]28'!$G$109</f>
        <v>61</v>
      </c>
      <c r="AY31" s="1304">
        <f>'[1]28'!$G$110</f>
        <v>49</v>
      </c>
      <c r="AZ31" s="1304">
        <f>'[1]28'!$G$111</f>
        <v>0</v>
      </c>
      <c r="BA31" s="1304">
        <f>'[1]28'!$G$114</f>
        <v>32</v>
      </c>
      <c r="BB31" s="1304">
        <f>'[1]28'!$G$115</f>
        <v>23</v>
      </c>
      <c r="BC31" s="1304">
        <f>'[1]28'!$G$116</f>
        <v>0</v>
      </c>
      <c r="BD31" s="1304">
        <f>'[1]28'!$G$118</f>
        <v>196</v>
      </c>
      <c r="BE31" s="1304">
        <f>'[1]28'!$G$119</f>
        <v>219</v>
      </c>
      <c r="BF31" s="1304">
        <f>'[1]28'!$G$120</f>
        <v>110</v>
      </c>
      <c r="BG31" s="1305">
        <f>'Section Load'!AJ34</f>
        <v>0</v>
      </c>
      <c r="BH31" s="1305">
        <f>'Section Load'!AK34</f>
        <v>0</v>
      </c>
      <c r="BI31" s="1305">
        <f>'Section Load'!AL34</f>
        <v>0</v>
      </c>
      <c r="BJ31" s="1305">
        <f>'Section Load'!AM34</f>
        <v>0</v>
      </c>
      <c r="BK31" s="1305">
        <f>'Section Load'!AN34</f>
        <v>0</v>
      </c>
      <c r="BL31" s="1305">
        <f>'Section Load'!AO34</f>
        <v>0</v>
      </c>
      <c r="BM31" s="1305">
        <f>'Section Load'!AP34</f>
        <v>0</v>
      </c>
    </row>
    <row r="32" spans="1:65">
      <c r="A32" s="1287" t="s">
        <v>305</v>
      </c>
      <c r="B32" s="1288">
        <f t="shared" si="0"/>
        <v>31</v>
      </c>
      <c r="C32" s="1288">
        <v>3</v>
      </c>
      <c r="D32" s="1288">
        <v>2021</v>
      </c>
      <c r="E32" s="1303">
        <f>'Section Load'!B35</f>
        <v>0</v>
      </c>
      <c r="F32" s="1303">
        <f>'Section Load'!C35</f>
        <v>0</v>
      </c>
      <c r="G32" s="1303">
        <f>'Section Load'!D35</f>
        <v>0</v>
      </c>
      <c r="H32" s="1303">
        <f>'Section Load'!E35</f>
        <v>0</v>
      </c>
      <c r="I32" s="1303">
        <f>'Section Load'!F35</f>
        <v>0</v>
      </c>
      <c r="J32" s="1303">
        <f>'Section Load'!G35</f>
        <v>0</v>
      </c>
      <c r="K32" s="1303">
        <f>'Section Load'!H35</f>
        <v>0</v>
      </c>
      <c r="L32" s="1303">
        <f>'Section Load'!I35</f>
        <v>0</v>
      </c>
      <c r="M32" s="1303">
        <f>'Section Load'!J35</f>
        <v>0</v>
      </c>
      <c r="N32" s="1303">
        <f>'Section Load'!K35</f>
        <v>0</v>
      </c>
      <c r="O32" s="1303">
        <f>'Section Load'!L35</f>
        <v>0</v>
      </c>
      <c r="P32" s="1303">
        <f>'Section Load'!M35</f>
        <v>0</v>
      </c>
      <c r="Q32" s="1303">
        <f>'Section Load'!N35</f>
        <v>0</v>
      </c>
      <c r="R32" s="1303">
        <f>'Section Load'!O35</f>
        <v>0</v>
      </c>
      <c r="S32" s="1303">
        <f>'Section Load'!P35</f>
        <v>0</v>
      </c>
      <c r="T32" s="1303">
        <f>'Section Load'!Q35</f>
        <v>0</v>
      </c>
      <c r="U32" s="1303">
        <f>'Section Load'!R35</f>
        <v>0</v>
      </c>
      <c r="V32" s="1303">
        <f>'Section Load'!S35</f>
        <v>0</v>
      </c>
      <c r="W32" s="1303">
        <f>'Section Load'!T35</f>
        <v>0</v>
      </c>
      <c r="X32" s="1303">
        <f>'Section Load'!U35</f>
        <v>0</v>
      </c>
      <c r="Y32" s="1303">
        <f>'Section Load'!V35</f>
        <v>0</v>
      </c>
      <c r="Z32" s="1303">
        <f>'Section Load'!W35</f>
        <v>0</v>
      </c>
      <c r="AA32" s="1303">
        <f>'Section Load'!X35</f>
        <v>0</v>
      </c>
      <c r="AB32" s="1303">
        <f>'Section Load'!Y35</f>
        <v>0</v>
      </c>
      <c r="AC32" s="1303">
        <f>'Section Load'!Z35</f>
        <v>0</v>
      </c>
      <c r="AD32" s="1303">
        <f>'Section Load'!AA35</f>
        <v>0</v>
      </c>
      <c r="AE32" s="1303">
        <f>'Section Load'!AB35</f>
        <v>0</v>
      </c>
      <c r="AF32" s="1303">
        <f>'Section Load'!AC35</f>
        <v>0</v>
      </c>
      <c r="AG32" s="1303">
        <f>'Section Load'!AD35</f>
        <v>0</v>
      </c>
      <c r="AH32" s="1303">
        <f>'Section Load'!AE35</f>
        <v>0</v>
      </c>
      <c r="AI32" s="1303">
        <f>'Section Load'!AF35</f>
        <v>0</v>
      </c>
      <c r="AJ32" s="1303">
        <f>'Section Load'!AG35</f>
        <v>0</v>
      </c>
      <c r="AK32" s="1303">
        <f>'Section Load'!AH35</f>
        <v>0</v>
      </c>
      <c r="AL32" s="1303">
        <f>'Section Load'!AI35</f>
        <v>0</v>
      </c>
      <c r="AM32" s="1304">
        <f>'[1]28'!$G$92</f>
        <v>144</v>
      </c>
      <c r="AN32" s="1304">
        <f>'[1]28'!$G$93</f>
        <v>201</v>
      </c>
      <c r="AO32" s="1304">
        <f>'[1]28'!$G$95</f>
        <v>90</v>
      </c>
      <c r="AP32" s="1304">
        <f>'[1]28'!$G$96</f>
        <v>40</v>
      </c>
      <c r="AQ32" s="1304">
        <f>'[1]28'!$G$97</f>
        <v>30</v>
      </c>
      <c r="AR32" s="1304">
        <f>'[1]28'!$G$98</f>
        <v>69</v>
      </c>
      <c r="AS32" s="1304">
        <f>'[1]28'!$G$99</f>
        <v>27</v>
      </c>
      <c r="AT32" s="1304">
        <f>'[1]28'!$G$100</f>
        <v>32</v>
      </c>
      <c r="AU32" s="1304">
        <f>'[1]28'!$G$104</f>
        <v>0</v>
      </c>
      <c r="AV32" s="1304">
        <f>'[1]28'!$G$105</f>
        <v>9</v>
      </c>
      <c r="AW32" s="1304">
        <f>'[1]28'!$G$106</f>
        <v>6</v>
      </c>
      <c r="AX32" s="1304">
        <f>'[1]28'!$G$109</f>
        <v>61</v>
      </c>
      <c r="AY32" s="1304">
        <f>'[1]28'!$G$110</f>
        <v>49</v>
      </c>
      <c r="AZ32" s="1304">
        <f>'[1]28'!$G$111</f>
        <v>0</v>
      </c>
      <c r="BA32" s="1304">
        <f>'[1]28'!$G$114</f>
        <v>32</v>
      </c>
      <c r="BB32" s="1304">
        <f>'[1]28'!$G$115</f>
        <v>23</v>
      </c>
      <c r="BC32" s="1304">
        <f>'[1]28'!$G$116</f>
        <v>0</v>
      </c>
      <c r="BD32" s="1304">
        <f>'[1]28'!$G$118</f>
        <v>196</v>
      </c>
      <c r="BE32" s="1304">
        <f>'[1]28'!$G$119</f>
        <v>219</v>
      </c>
      <c r="BF32" s="1304">
        <f>'[1]28'!$G$120</f>
        <v>110</v>
      </c>
      <c r="BG32" s="1305">
        <f>'Section Load'!AJ35</f>
        <v>0</v>
      </c>
      <c r="BH32" s="1305">
        <f>'Section Load'!AK35</f>
        <v>0</v>
      </c>
      <c r="BI32" s="1305">
        <f>'Section Load'!AL35</f>
        <v>0</v>
      </c>
      <c r="BJ32" s="1305">
        <f>'Section Load'!AM35</f>
        <v>0</v>
      </c>
      <c r="BK32" s="1305">
        <f>'Section Load'!AN35</f>
        <v>0</v>
      </c>
      <c r="BL32" s="1305">
        <f>'Section Load'!AO35</f>
        <v>0</v>
      </c>
      <c r="BM32" s="1305">
        <f>'Section Load'!AP35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AQ3" sqref="AQ1:AZ104857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84"/>
      <c r="B1" s="1384"/>
      <c r="C1" s="1384"/>
      <c r="D1" s="1384"/>
      <c r="E1" s="1384"/>
      <c r="F1" s="1384"/>
      <c r="G1" s="1384"/>
      <c r="H1" s="1384"/>
      <c r="I1" s="1384"/>
      <c r="J1" s="1384"/>
      <c r="K1" s="1384"/>
      <c r="L1" s="1384"/>
      <c r="M1" s="1384"/>
      <c r="N1" s="1384"/>
      <c r="O1" s="1384"/>
      <c r="P1" s="1384"/>
      <c r="Q1" s="1384"/>
      <c r="R1" s="1384"/>
      <c r="S1" s="1384"/>
      <c r="T1" s="1384"/>
      <c r="U1" s="1384"/>
      <c r="V1" s="1384"/>
      <c r="W1" s="1384"/>
      <c r="X1" s="1384"/>
      <c r="Y1" s="1384"/>
      <c r="Z1" s="1384"/>
      <c r="AA1" s="1384"/>
      <c r="AB1" s="1384"/>
      <c r="AC1" s="1384"/>
      <c r="AD1" s="1384"/>
      <c r="AE1" s="1384"/>
      <c r="AF1" s="1384"/>
      <c r="AG1" s="1384"/>
      <c r="AH1" s="1384"/>
      <c r="AI1" s="1384"/>
      <c r="AJ1" s="1384"/>
      <c r="AK1" s="1384"/>
      <c r="AL1" s="1384"/>
      <c r="AM1" s="1384"/>
      <c r="AN1" s="1384"/>
      <c r="AO1" s="1384"/>
      <c r="AP1" s="1384"/>
      <c r="AQ1" s="1384"/>
      <c r="AR1" s="1384"/>
      <c r="AS1" s="1384"/>
      <c r="AT1" s="1384"/>
      <c r="AU1" s="1384"/>
      <c r="AV1" s="1384"/>
      <c r="AW1" s="1384"/>
      <c r="AX1" s="1384"/>
      <c r="AY1" s="1384"/>
      <c r="AZ1" s="1384"/>
      <c r="BA1" s="1384"/>
      <c r="BB1" s="1384"/>
      <c r="BC1" s="1384"/>
      <c r="BD1" s="1384"/>
      <c r="BE1" s="1384"/>
      <c r="BF1" s="1384"/>
      <c r="BG1" s="1384"/>
      <c r="BH1" s="1384"/>
      <c r="BI1" s="1384"/>
      <c r="BJ1" s="1384"/>
      <c r="BK1" s="1384"/>
      <c r="BL1" s="1384"/>
      <c r="BM1" s="1384"/>
      <c r="BN1" s="1384"/>
      <c r="BO1" s="1384"/>
    </row>
    <row r="2" spans="1:70" ht="28.5" customHeight="1">
      <c r="A2" s="1" t="s">
        <v>0</v>
      </c>
      <c r="B2" s="1" t="s">
        <v>0</v>
      </c>
      <c r="C2" s="1122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385" t="s">
        <v>6</v>
      </c>
      <c r="J2" s="1385"/>
      <c r="K2" s="1385"/>
      <c r="L2" s="237"/>
      <c r="M2" s="1386" t="s">
        <v>7</v>
      </c>
      <c r="N2" s="1386"/>
      <c r="O2" s="1386"/>
      <c r="P2" s="1387" t="s">
        <v>8</v>
      </c>
      <c r="Q2" s="1387"/>
      <c r="R2" s="1387"/>
      <c r="S2" s="237" t="s">
        <v>9</v>
      </c>
      <c r="T2" s="1388" t="s">
        <v>10</v>
      </c>
      <c r="U2" s="1388"/>
      <c r="V2" s="1388"/>
      <c r="W2" s="1389" t="s">
        <v>11</v>
      </c>
      <c r="X2" s="1390"/>
      <c r="Y2" s="1391"/>
      <c r="Z2" s="1121"/>
      <c r="AA2" s="1392" t="s">
        <v>12</v>
      </c>
      <c r="AB2" s="1392"/>
      <c r="AC2" s="1392"/>
      <c r="AD2" s="1392"/>
      <c r="AE2" s="1122"/>
      <c r="AF2" s="1122" t="s">
        <v>13</v>
      </c>
      <c r="AG2" s="1122" t="s">
        <v>14</v>
      </c>
      <c r="AH2" s="1392" t="s">
        <v>15</v>
      </c>
      <c r="AI2" s="1392"/>
      <c r="AJ2" s="1392"/>
      <c r="AK2" s="1122" t="s">
        <v>16</v>
      </c>
      <c r="AL2" s="1392" t="s">
        <v>17</v>
      </c>
      <c r="AM2" s="1392"/>
      <c r="AN2" s="1392"/>
      <c r="AO2" s="1122" t="s">
        <v>18</v>
      </c>
      <c r="AP2" s="5" t="s">
        <v>19</v>
      </c>
      <c r="AQ2" s="1393" t="s">
        <v>20</v>
      </c>
      <c r="AR2" s="1394"/>
      <c r="AS2" s="1394"/>
      <c r="AT2" s="1394"/>
      <c r="AU2" s="1394"/>
      <c r="AV2" s="1394"/>
      <c r="AW2" s="1394"/>
      <c r="AX2" s="1394"/>
      <c r="AY2" s="1394"/>
      <c r="AZ2" s="1395"/>
      <c r="BA2" s="1393" t="s">
        <v>21</v>
      </c>
      <c r="BB2" s="1394"/>
      <c r="BC2" s="1394"/>
      <c r="BD2" s="1394"/>
      <c r="BE2" s="1394"/>
      <c r="BF2" s="1394"/>
      <c r="BG2" s="1394"/>
      <c r="BH2" s="1394"/>
      <c r="BI2" s="1394"/>
      <c r="BJ2" s="438"/>
      <c r="BK2" s="420"/>
      <c r="BL2" s="232"/>
      <c r="BM2" s="232"/>
      <c r="BN2" s="232"/>
      <c r="BO2" s="1122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22554</v>
      </c>
      <c r="H4" s="19">
        <f>'1'!G8</f>
        <v>22554</v>
      </c>
      <c r="I4" s="19">
        <f>'1'!G7</f>
        <v>22397</v>
      </c>
      <c r="J4" s="19">
        <f>'1'!F27</f>
        <v>9</v>
      </c>
      <c r="K4" s="242">
        <f>H4*J4</f>
        <v>202986</v>
      </c>
      <c r="L4" s="238">
        <f>I4/202</f>
        <v>110.87623762376238</v>
      </c>
      <c r="M4" s="19">
        <f>'1'!G15</f>
        <v>880.63199999998324</v>
      </c>
      <c r="N4" s="19">
        <v>35</v>
      </c>
      <c r="O4" s="238">
        <f>M4*N4</f>
        <v>30822.119999999413</v>
      </c>
      <c r="P4" s="19">
        <f>'1'!G20</f>
        <v>228</v>
      </c>
      <c r="Q4" s="19">
        <v>134</v>
      </c>
      <c r="R4" s="239">
        <f t="shared" ref="R4:R34" si="0">P4*Q4</f>
        <v>30552</v>
      </c>
      <c r="S4" s="240">
        <f t="shared" ref="S4:S34" si="1">P4/(F4*202/100)</f>
        <v>240.15167474194229</v>
      </c>
      <c r="T4" s="19">
        <f>'1'!G24</f>
        <v>0</v>
      </c>
      <c r="U4" s="19">
        <v>69</v>
      </c>
      <c r="V4" s="241">
        <f>T4*U4</f>
        <v>0</v>
      </c>
      <c r="W4" s="22">
        <f>'1'!G95</f>
        <v>76</v>
      </c>
      <c r="X4" s="22">
        <f>'1'!G96</f>
        <v>13</v>
      </c>
      <c r="Y4" s="22">
        <f>'1'!G97</f>
        <v>24</v>
      </c>
      <c r="Z4" s="22">
        <f>W4+X4+Y4</f>
        <v>113</v>
      </c>
      <c r="AA4" s="19">
        <f>'1'!G132</f>
        <v>0</v>
      </c>
      <c r="AB4" s="19">
        <f>'1'!G133</f>
        <v>0</v>
      </c>
      <c r="AC4" s="19">
        <f>'1'!G134</f>
        <v>24</v>
      </c>
      <c r="AD4" s="19">
        <f>'1'!G135</f>
        <v>3.4399999999986903</v>
      </c>
      <c r="AE4" s="19">
        <f>AA4+AB4+AC4+AD4</f>
        <v>27.43999999999869</v>
      </c>
      <c r="AF4" s="23">
        <f t="shared" ref="AF4:AF34" si="2">AV4+AW4+BF4+BG4</f>
        <v>5749.6500000000087</v>
      </c>
      <c r="AG4" s="23">
        <f>AF4/AE4</f>
        <v>209.53534985423772</v>
      </c>
      <c r="AH4" s="19">
        <f>'1'!G136</f>
        <v>8.7700000000004366</v>
      </c>
      <c r="AI4" s="19">
        <f>'1'!G137</f>
        <v>0</v>
      </c>
      <c r="AJ4" s="19">
        <f>'1'!G138</f>
        <v>5.3700000000098953</v>
      </c>
      <c r="AK4" s="19">
        <f>AH4+AI4+AJ4</f>
        <v>14.140000000010332</v>
      </c>
      <c r="AL4" s="19">
        <f>'1'!G139</f>
        <v>7.709999999999809</v>
      </c>
      <c r="AM4" s="19">
        <f>'1'!G140</f>
        <v>-0.47000000000025466</v>
      </c>
      <c r="AN4" s="19"/>
      <c r="AO4" s="19">
        <f>AL4+AM4</f>
        <v>7.2399999999995543</v>
      </c>
      <c r="AP4" s="258">
        <f>'1'!G123</f>
        <v>266.26000000000931</v>
      </c>
      <c r="AQ4" s="261">
        <f>'1'!G35</f>
        <v>3193.1199999999953</v>
      </c>
      <c r="AR4" s="19">
        <f>'1'!G37</f>
        <v>1450.4500000000044</v>
      </c>
      <c r="AS4" s="19">
        <f>'1'!G38</f>
        <v>2140.4200000000055</v>
      </c>
      <c r="AT4" s="19">
        <f>'1'!G39</f>
        <v>4328.8000000000029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2455.359999999986</v>
      </c>
      <c r="AY4" s="19">
        <f>'1'!G44</f>
        <v>0</v>
      </c>
      <c r="AZ4" s="262">
        <f>'1'!G36</f>
        <v>759.23999999999069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0</v>
      </c>
      <c r="BE4" s="19">
        <f>'1'!G54</f>
        <v>68.1899999999996</v>
      </c>
      <c r="BF4" s="19">
        <f>'1'!G55</f>
        <v>5092.7700000000041</v>
      </c>
      <c r="BG4" s="19">
        <f>'1'!G56</f>
        <v>656.88000000000466</v>
      </c>
      <c r="BH4" s="19">
        <f>'1'!G57</f>
        <v>0</v>
      </c>
      <c r="BI4" s="262">
        <f>'1'!G50</f>
        <v>1635.9199999999837</v>
      </c>
      <c r="BJ4" s="370">
        <f>SUM(AV4,AW4,BF4,BG4)</f>
        <v>5749.6500000000087</v>
      </c>
      <c r="BK4" s="370">
        <f>'1'!G84</f>
        <v>690</v>
      </c>
      <c r="BL4" s="23">
        <f>SUM(AQ4,AV4,AW4,AX4,BA4,BF4,BG4,BH4)/I4%</f>
        <v>50.891324730990711</v>
      </c>
      <c r="BM4" s="23">
        <f>SUM(AT4,BD4)/I4%</f>
        <v>19.327588516319164</v>
      </c>
      <c r="BN4" s="24">
        <f>(AS4+BC4)/I4</f>
        <v>9.5567263472786781E-2</v>
      </c>
      <c r="BO4" s="25">
        <f>K4+O4+R4+V4</f>
        <v>264360.11999999941</v>
      </c>
      <c r="BP4" s="213">
        <f>SUM(AV4,AW4,AX4,BF4,BG4,BH4,BK4)</f>
        <v>8895.0099999999948</v>
      </c>
      <c r="BQ4">
        <f>BP4/(AE4*280)</f>
        <v>1.1577220428988468</v>
      </c>
      <c r="BR4" s="213">
        <f>SUM(AV4,AW4,BF4,BG4)/(AE4*400)</f>
        <v>0.52383837463559435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22596</v>
      </c>
      <c r="H5" s="19">
        <f>'2'!G8</f>
        <v>22596</v>
      </c>
      <c r="I5" s="19">
        <f>'2'!G7</f>
        <v>22379</v>
      </c>
      <c r="J5" s="19">
        <v>10</v>
      </c>
      <c r="K5" s="242">
        <f t="shared" ref="K5:K34" si="3">H5*J5</f>
        <v>225960</v>
      </c>
      <c r="L5" s="238">
        <f t="shared" ref="L5:L34" si="4">I5/202</f>
        <v>110.78712871287129</v>
      </c>
      <c r="M5" s="19">
        <f>'2'!G15</f>
        <v>993.17799999983981</v>
      </c>
      <c r="N5" s="19">
        <v>35</v>
      </c>
      <c r="O5" s="238">
        <f t="shared" ref="O5:O34" si="5">M5*N5</f>
        <v>34761.229999994393</v>
      </c>
      <c r="P5" s="19">
        <f>'2'!G20</f>
        <v>192</v>
      </c>
      <c r="Q5" s="19">
        <v>134</v>
      </c>
      <c r="R5" s="239">
        <f t="shared" si="0"/>
        <v>25728</v>
      </c>
      <c r="S5" s="240">
        <f t="shared" si="1"/>
        <v>198.01980198019803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85</v>
      </c>
      <c r="X5" s="22">
        <f>'2'!G96</f>
        <v>18</v>
      </c>
      <c r="Y5" s="22">
        <f>'2'!G97</f>
        <v>19</v>
      </c>
      <c r="Z5" s="22">
        <f t="shared" ref="Z5:Z34" si="7">W5+X5+Y5</f>
        <v>122</v>
      </c>
      <c r="AA5" s="19">
        <f>'2'!G132</f>
        <v>0</v>
      </c>
      <c r="AB5" s="19">
        <f>'2'!G133</f>
        <v>0</v>
      </c>
      <c r="AC5" s="19">
        <f>'2'!G134</f>
        <v>19</v>
      </c>
      <c r="AD5" s="19">
        <f>'2'!G135</f>
        <v>7.6500000000014552</v>
      </c>
      <c r="AE5" s="19">
        <f t="shared" ref="AE5:AE34" si="8">AA5+AB5+AC5+AD5</f>
        <v>26.650000000001455</v>
      </c>
      <c r="AF5" s="23">
        <f t="shared" si="2"/>
        <v>5632.6609999999928</v>
      </c>
      <c r="AG5" s="23">
        <f t="shared" ref="AG5:AG34" si="9">AF5/AE5</f>
        <v>211.35688555345911</v>
      </c>
      <c r="AH5" s="19">
        <f>'2'!G136</f>
        <v>8.8400000000001455</v>
      </c>
      <c r="AI5" s="19">
        <f>'2'!G137</f>
        <v>0</v>
      </c>
      <c r="AJ5" s="19">
        <f>'2'!G138</f>
        <v>6.6399999999994179</v>
      </c>
      <c r="AK5" s="19">
        <f t="shared" ref="AK5:AK34" si="10">AH5+AI5+AJ5</f>
        <v>15.479999999999563</v>
      </c>
      <c r="AL5" s="19">
        <f>'2'!G139</f>
        <v>8.0600000000001728</v>
      </c>
      <c r="AM5" s="19">
        <f>'2'!G140</f>
        <v>0.47000000000025466</v>
      </c>
      <c r="AN5" s="19"/>
      <c r="AO5" s="19">
        <f t="shared" ref="AO5:AO34" si="11">AL5+AM5</f>
        <v>8.5300000000004275</v>
      </c>
      <c r="AP5" s="258">
        <f>'2'!G123</f>
        <v>278.29000000003725</v>
      </c>
      <c r="AQ5" s="261">
        <f>'2'!G35</f>
        <v>3503.7600000000093</v>
      </c>
      <c r="AR5" s="19">
        <f>'2'!G37</f>
        <v>1456.8399999999965</v>
      </c>
      <c r="AS5" s="19">
        <f>'2'!G38</f>
        <v>2089.5099999999948</v>
      </c>
      <c r="AT5" s="19">
        <f>'2'!G39</f>
        <v>4368.929999999993</v>
      </c>
      <c r="AU5" s="19">
        <f>'2'!G40</f>
        <v>0</v>
      </c>
      <c r="AV5" s="19">
        <f>'2'!G41</f>
        <v>0</v>
      </c>
      <c r="AW5" s="19">
        <f>'2'!G42</f>
        <v>1.0000000038417056E-3</v>
      </c>
      <c r="AX5" s="19">
        <f>'2'!G43</f>
        <v>2485.5200000000186</v>
      </c>
      <c r="AY5" s="19">
        <f>'2'!G44</f>
        <v>0</v>
      </c>
      <c r="AZ5" s="262">
        <f>'2'!G36</f>
        <v>669.28000000002794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36.210000000000946</v>
      </c>
      <c r="BF5" s="19">
        <f>'2'!G55</f>
        <v>3791.5399999999936</v>
      </c>
      <c r="BG5" s="19">
        <f>'2'!G56</f>
        <v>1841.1199999999953</v>
      </c>
      <c r="BH5" s="19">
        <f>'2'!G57</f>
        <v>0</v>
      </c>
      <c r="BI5" s="262">
        <f>'2'!G50</f>
        <v>1600.359999999986</v>
      </c>
      <c r="BJ5" s="370">
        <f t="shared" ref="BJ5:BJ34" si="12">SUM(AV5,AW5,BF5,BG5)</f>
        <v>5632.6609999999928</v>
      </c>
      <c r="BK5" s="370">
        <f>'2'!G84</f>
        <v>727</v>
      </c>
      <c r="BL5" s="23">
        <f t="shared" ref="BL5:BL34" si="13">SUM(AQ5,AV5,AW5,AX5,BA5,BF5,BG5,BH5)/I5%</f>
        <v>51.932351758344971</v>
      </c>
      <c r="BM5" s="23">
        <f t="shared" ref="BM5:BM34" si="14">SUM(AT5,BD5)/I5%</f>
        <v>19.522454086420275</v>
      </c>
      <c r="BN5" s="24">
        <f t="shared" ref="BN5:BN34" si="15">(AS5+BC5)/I5</f>
        <v>9.336923008177285E-2</v>
      </c>
      <c r="BO5" s="25">
        <f t="shared" ref="BO5:BO34" si="16">K5+O5+R5+V5</f>
        <v>286449.22999999439</v>
      </c>
      <c r="BP5" s="213">
        <f t="shared" ref="BP5:BP35" si="17">SUM(AV5,AW5,AX5,BF5,BG5,BH5,BK5)</f>
        <v>8845.1810000000114</v>
      </c>
      <c r="BQ5">
        <f t="shared" ref="BQ5:BQ35" si="18">BP5/(AE5*280)</f>
        <v>1.1853633074242198</v>
      </c>
    </row>
    <row r="6" spans="1:70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0.43519999999999998</v>
      </c>
      <c r="G6" s="19">
        <f>'3'!G8</f>
        <v>21194</v>
      </c>
      <c r="H6" s="19">
        <f>'3'!G8</f>
        <v>21194</v>
      </c>
      <c r="I6" s="19">
        <f>'3'!G7</f>
        <v>21109</v>
      </c>
      <c r="J6" s="19">
        <v>10</v>
      </c>
      <c r="K6" s="242">
        <f t="shared" si="3"/>
        <v>211940</v>
      </c>
      <c r="L6" s="238">
        <f t="shared" si="4"/>
        <v>104.5</v>
      </c>
      <c r="M6" s="19">
        <f>'3'!G15</f>
        <v>830.41000000014901</v>
      </c>
      <c r="N6" s="19">
        <v>35</v>
      </c>
      <c r="O6" s="238">
        <f t="shared" si="5"/>
        <v>29064.350000005215</v>
      </c>
      <c r="P6" s="19">
        <f>'3'!G20</f>
        <v>192</v>
      </c>
      <c r="Q6" s="19">
        <v>134</v>
      </c>
      <c r="R6" s="239">
        <f t="shared" si="0"/>
        <v>25728</v>
      </c>
      <c r="S6" s="240">
        <f t="shared" si="1"/>
        <v>218.40419336051252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76</v>
      </c>
      <c r="X6" s="22">
        <f>'3'!G96</f>
        <v>17</v>
      </c>
      <c r="Y6" s="22">
        <f>'3'!G97</f>
        <v>16</v>
      </c>
      <c r="Z6" s="22">
        <f>W6+X6+Y6</f>
        <v>109</v>
      </c>
      <c r="AA6" s="19">
        <f>'3'!G132</f>
        <v>0</v>
      </c>
      <c r="AB6" s="19">
        <f>'3'!G133</f>
        <v>-0.48000000000001819</v>
      </c>
      <c r="AC6" s="19">
        <f>'3'!G134</f>
        <v>24.059999999997672</v>
      </c>
      <c r="AD6" s="19">
        <f>'3'!G135</f>
        <v>0</v>
      </c>
      <c r="AE6" s="19">
        <f t="shared" si="8"/>
        <v>23.579999999997654</v>
      </c>
      <c r="AF6" s="23">
        <f t="shared" si="2"/>
        <v>4924.5289999999077</v>
      </c>
      <c r="AG6" s="23">
        <f t="shared" si="9"/>
        <v>208.84346904157752</v>
      </c>
      <c r="AH6" s="19">
        <f>'3'!G136</f>
        <v>8.5299999999988358</v>
      </c>
      <c r="AI6" s="19">
        <f>'3'!G137</f>
        <v>0</v>
      </c>
      <c r="AJ6" s="19">
        <f>'3'!G138</f>
        <v>5.4599999999918509</v>
      </c>
      <c r="AK6" s="19">
        <f t="shared" si="10"/>
        <v>13.989999999990687</v>
      </c>
      <c r="AL6" s="19">
        <f>'3'!G139</f>
        <v>7.0599999999999454</v>
      </c>
      <c r="AM6" s="19">
        <f>'3'!G140</f>
        <v>0</v>
      </c>
      <c r="AN6" s="19"/>
      <c r="AO6" s="19">
        <f t="shared" si="11"/>
        <v>7.0599999999999454</v>
      </c>
      <c r="AP6" s="258">
        <f>'3'!G123</f>
        <v>245.65000000002328</v>
      </c>
      <c r="AQ6" s="261">
        <f>'3'!G35</f>
        <v>3426.8800000000047</v>
      </c>
      <c r="AR6" s="19">
        <f>'3'!G37</f>
        <v>197.79000000000087</v>
      </c>
      <c r="AS6" s="19">
        <f>'3'!G38</f>
        <v>290.09000000000378</v>
      </c>
      <c r="AT6" s="19">
        <f>'3'!G39</f>
        <v>695.16000000000349</v>
      </c>
      <c r="AU6" s="19">
        <f>'3'!G40</f>
        <v>0</v>
      </c>
      <c r="AV6" s="19">
        <f>'3'!G41</f>
        <v>0</v>
      </c>
      <c r="AW6" s="19">
        <f>'3'!G42</f>
        <v>-1.0000000038417056E-3</v>
      </c>
      <c r="AX6" s="19">
        <f>'3'!G43</f>
        <v>2463.8200000000652</v>
      </c>
      <c r="AY6" s="19">
        <f>'3'!G44</f>
        <v>0</v>
      </c>
      <c r="AZ6" s="262">
        <f>'3'!G36</f>
        <v>626.4199999999837</v>
      </c>
      <c r="BA6" s="261">
        <f>'3'!G49</f>
        <v>0</v>
      </c>
      <c r="BB6" s="19">
        <f>'3'!G51</f>
        <v>1271.6999999999971</v>
      </c>
      <c r="BC6" s="19">
        <f>'3'!G52</f>
        <v>1881.9599999999627</v>
      </c>
      <c r="BD6" s="19">
        <f>'3'!G53</f>
        <v>3661.2600000000093</v>
      </c>
      <c r="BE6" s="19">
        <f>'3'!G54</f>
        <v>-3.0000000000654836E-2</v>
      </c>
      <c r="BF6" s="19">
        <f>'3'!G55</f>
        <v>4916.609999999986</v>
      </c>
      <c r="BG6" s="19">
        <f>'3'!G56</f>
        <v>7.9199999999254942</v>
      </c>
      <c r="BH6" s="19">
        <f>'3'!G57</f>
        <v>0</v>
      </c>
      <c r="BI6" s="262">
        <f>'3'!G50</f>
        <v>1065.359999999986</v>
      </c>
      <c r="BJ6" s="370">
        <f t="shared" si="12"/>
        <v>4924.5289999999077</v>
      </c>
      <c r="BK6" s="370">
        <f>'3'!G84</f>
        <v>553</v>
      </c>
      <c r="BL6" s="23">
        <f t="shared" si="13"/>
        <v>51.235155620825132</v>
      </c>
      <c r="BM6" s="23">
        <f t="shared" si="14"/>
        <v>20.637737457956383</v>
      </c>
      <c r="BN6" s="24">
        <f t="shared" si="15"/>
        <v>0.10289686863423025</v>
      </c>
      <c r="BO6" s="25">
        <f t="shared" si="16"/>
        <v>266732.35000000522</v>
      </c>
      <c r="BP6" s="213">
        <f t="shared" si="17"/>
        <v>7941.3489999999729</v>
      </c>
      <c r="BQ6">
        <f t="shared" si="18"/>
        <v>1.2027973161275844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0.78</v>
      </c>
      <c r="F7" s="256">
        <f>'4'!D2</f>
        <v>0.45</v>
      </c>
      <c r="G7" s="19">
        <f>'4'!G8</f>
        <v>19927</v>
      </c>
      <c r="H7" s="19">
        <f>'4'!G8</f>
        <v>19927</v>
      </c>
      <c r="I7" s="19">
        <f>'4'!G7</f>
        <v>19792</v>
      </c>
      <c r="J7" s="19">
        <v>10</v>
      </c>
      <c r="K7" s="242">
        <f t="shared" si="3"/>
        <v>199270</v>
      </c>
      <c r="L7" s="238">
        <f t="shared" si="4"/>
        <v>97.980198019801975</v>
      </c>
      <c r="M7" s="19">
        <f>'4'!G15</f>
        <v>884.16999999992549</v>
      </c>
      <c r="N7" s="19">
        <v>35</v>
      </c>
      <c r="O7" s="238">
        <f t="shared" si="5"/>
        <v>30945.949999997392</v>
      </c>
      <c r="P7" s="19">
        <f>'4'!G20</f>
        <v>192</v>
      </c>
      <c r="Q7" s="19">
        <v>134</v>
      </c>
      <c r="R7" s="239">
        <f t="shared" si="0"/>
        <v>25728</v>
      </c>
      <c r="S7" s="240">
        <f t="shared" si="1"/>
        <v>211.22112211221122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98</v>
      </c>
      <c r="X7" s="22">
        <f>'4'!G96</f>
        <v>10</v>
      </c>
      <c r="Y7" s="22">
        <f>'4'!G97</f>
        <v>16</v>
      </c>
      <c r="Z7" s="22">
        <f t="shared" si="7"/>
        <v>124</v>
      </c>
      <c r="AA7" s="19">
        <f>'4'!G132</f>
        <v>0</v>
      </c>
      <c r="AB7" s="19">
        <f>'4'!G133</f>
        <v>0.48000000000001819</v>
      </c>
      <c r="AC7" s="19">
        <f>'4'!G134</f>
        <v>23.80000000000291</v>
      </c>
      <c r="AD7" s="19">
        <f>'4'!G135</f>
        <v>-9.0000000000145519E-2</v>
      </c>
      <c r="AE7" s="19">
        <f t="shared" si="8"/>
        <v>24.190000000002783</v>
      </c>
      <c r="AF7" s="23">
        <f t="shared" si="2"/>
        <v>4227.2200000000594</v>
      </c>
      <c r="AG7" s="23">
        <f t="shared" si="9"/>
        <v>174.75072343942014</v>
      </c>
      <c r="AH7" s="19">
        <f>'4'!G136</f>
        <v>8.0800000000017462</v>
      </c>
      <c r="AI7" s="19">
        <f>'4'!G137</f>
        <v>0</v>
      </c>
      <c r="AJ7" s="19">
        <f>'4'!G138</f>
        <v>3.1900000000023283</v>
      </c>
      <c r="AK7" s="19">
        <f t="shared" si="10"/>
        <v>11.270000000004075</v>
      </c>
      <c r="AL7" s="19">
        <f>'4'!G139</f>
        <v>7.0299999999999727</v>
      </c>
      <c r="AM7" s="19">
        <f>'4'!G140</f>
        <v>0</v>
      </c>
      <c r="AN7" s="19"/>
      <c r="AO7" s="19">
        <f t="shared" si="11"/>
        <v>7.0299999999999727</v>
      </c>
      <c r="AP7" s="258">
        <f>'4'!G123</f>
        <v>244.95999999996275</v>
      </c>
      <c r="AQ7" s="261">
        <f>'4'!G35</f>
        <v>3260.6500000000233</v>
      </c>
      <c r="AR7" s="19">
        <f>'4'!G37</f>
        <v>0</v>
      </c>
      <c r="AS7" s="19">
        <f>'4'!G38</f>
        <v>0.48999999999796273</v>
      </c>
      <c r="AT7" s="19">
        <f>'4'!G39</f>
        <v>0</v>
      </c>
      <c r="AU7" s="19">
        <f>'4'!G40</f>
        <v>0</v>
      </c>
      <c r="AV7" s="19">
        <f>'4'!G41</f>
        <v>-0.37000000000261934</v>
      </c>
      <c r="AW7" s="19">
        <f>'4'!G42</f>
        <v>0.15000000000145519</v>
      </c>
      <c r="AX7" s="19">
        <f>'4'!G43</f>
        <v>2461.4699999999721</v>
      </c>
      <c r="AY7" s="19">
        <f>'4'!G44</f>
        <v>0</v>
      </c>
      <c r="AZ7" s="262">
        <f>'4'!G36</f>
        <v>622.48999999999069</v>
      </c>
      <c r="BA7" s="261">
        <f>'4'!G49</f>
        <v>-0.13000000000465661</v>
      </c>
      <c r="BB7" s="19">
        <f>'4'!G51</f>
        <v>1488.3800000000047</v>
      </c>
      <c r="BC7" s="19">
        <f>'4'!G52</f>
        <v>2010.3300000000163</v>
      </c>
      <c r="BD7" s="19">
        <f>'4'!G53</f>
        <v>4163.2299999999814</v>
      </c>
      <c r="BE7" s="19">
        <f>'4'!G54</f>
        <v>0</v>
      </c>
      <c r="BF7" s="19">
        <f>'4'!G55</f>
        <v>4227.390000000014</v>
      </c>
      <c r="BG7" s="19">
        <f>'4'!G56</f>
        <v>5.0000000046566129E-2</v>
      </c>
      <c r="BH7" s="19">
        <f>'4'!G57</f>
        <v>-0.32999999999992724</v>
      </c>
      <c r="BI7" s="262">
        <f>'4'!G50</f>
        <v>1029.3300000000163</v>
      </c>
      <c r="BJ7" s="370">
        <f t="shared" si="12"/>
        <v>4227.2200000000594</v>
      </c>
      <c r="BK7" s="370">
        <f>'3'!G84</f>
        <v>553</v>
      </c>
      <c r="BL7" s="23">
        <f t="shared" si="13"/>
        <v>50.26717865804391</v>
      </c>
      <c r="BM7" s="23">
        <f t="shared" si="14"/>
        <v>21.034913096200391</v>
      </c>
      <c r="BN7" s="24">
        <f t="shared" si="15"/>
        <v>0.10159761519806054</v>
      </c>
      <c r="BO7" s="25">
        <f t="shared" si="16"/>
        <v>255943.94999999739</v>
      </c>
      <c r="BP7" s="213">
        <f t="shared" si="17"/>
        <v>7241.3600000000315</v>
      </c>
      <c r="BQ7">
        <f t="shared" si="18"/>
        <v>1.0691194708556071</v>
      </c>
    </row>
    <row r="8" spans="1:70">
      <c r="A8" s="16">
        <v>5</v>
      </c>
      <c r="B8" s="27">
        <v>5</v>
      </c>
      <c r="C8" s="27"/>
      <c r="D8" s="19">
        <f>'5'!D3</f>
        <v>28</v>
      </c>
      <c r="E8" s="256">
        <f>'5'!D4</f>
        <v>0.78</v>
      </c>
      <c r="F8" s="256">
        <f>'5'!D2</f>
        <v>0.48</v>
      </c>
      <c r="G8" s="19">
        <f>'5'!G8</f>
        <v>20535</v>
      </c>
      <c r="H8" s="19">
        <f>'5'!G8</f>
        <v>20535</v>
      </c>
      <c r="I8" s="19">
        <f>'5'!G7</f>
        <v>20391</v>
      </c>
      <c r="J8" s="19">
        <v>10</v>
      </c>
      <c r="K8" s="242">
        <f t="shared" si="3"/>
        <v>205350</v>
      </c>
      <c r="L8" s="238">
        <f t="shared" si="4"/>
        <v>100.94554455445545</v>
      </c>
      <c r="M8" s="19">
        <f>'5'!G15</f>
        <v>893.63999999989755</v>
      </c>
      <c r="N8" s="19">
        <v>35</v>
      </c>
      <c r="O8" s="238">
        <f t="shared" si="5"/>
        <v>31277.399999996414</v>
      </c>
      <c r="P8" s="19">
        <f>'5'!G20</f>
        <v>191</v>
      </c>
      <c r="Q8" s="19">
        <v>134</v>
      </c>
      <c r="R8" s="239">
        <f t="shared" si="0"/>
        <v>25594</v>
      </c>
      <c r="S8" s="240">
        <f t="shared" si="1"/>
        <v>196.98844884488452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83</v>
      </c>
      <c r="X8" s="22">
        <f>'5'!G96</f>
        <v>11</v>
      </c>
      <c r="Y8" s="22">
        <f>'5'!G97</f>
        <v>11</v>
      </c>
      <c r="Z8" s="22">
        <f t="shared" si="7"/>
        <v>105</v>
      </c>
      <c r="AA8" s="19">
        <f>'5'!G132</f>
        <v>386</v>
      </c>
      <c r="AB8" s="19">
        <f>'5'!G133</f>
        <v>-1</v>
      </c>
      <c r="AC8" s="19">
        <f>'5'!G134</f>
        <v>24</v>
      </c>
      <c r="AD8" s="19">
        <f>'5'!G135</f>
        <v>-0.4500000000007276</v>
      </c>
      <c r="AE8" s="19">
        <f t="shared" si="8"/>
        <v>408.54999999999927</v>
      </c>
      <c r="AF8" s="23">
        <f t="shared" si="2"/>
        <v>4900.739999999998</v>
      </c>
      <c r="AG8" s="23">
        <f t="shared" si="9"/>
        <v>11.995447313670313</v>
      </c>
      <c r="AH8" s="19">
        <f>'5'!G136</f>
        <v>9.25</v>
      </c>
      <c r="AI8" s="19">
        <f>'5'!G137</f>
        <v>-0.31000000000130967</v>
      </c>
      <c r="AJ8" s="19">
        <f>'5'!G138</f>
        <v>5</v>
      </c>
      <c r="AK8" s="19">
        <f t="shared" si="10"/>
        <v>13.93999999999869</v>
      </c>
      <c r="AL8" s="19">
        <f>'5'!G139</f>
        <v>7</v>
      </c>
      <c r="AM8" s="19">
        <f>'5'!G140</f>
        <v>0</v>
      </c>
      <c r="AN8" s="19"/>
      <c r="AO8" s="19">
        <f t="shared" si="11"/>
        <v>7</v>
      </c>
      <c r="AP8" s="258">
        <f>'5'!G123</f>
        <v>245</v>
      </c>
      <c r="AQ8" s="261">
        <f>'5'!G35</f>
        <v>3368</v>
      </c>
      <c r="AR8" s="19">
        <f>'5'!G37</f>
        <v>35167</v>
      </c>
      <c r="AS8" s="19">
        <f>'5'!G38</f>
        <v>-1</v>
      </c>
      <c r="AT8" s="19">
        <f>'5'!G39</f>
        <v>100066</v>
      </c>
      <c r="AU8" s="19">
        <f>'5'!G40</f>
        <v>0</v>
      </c>
      <c r="AV8" s="19">
        <f>'5'!G41</f>
        <v>-0.26000000000203727</v>
      </c>
      <c r="AW8" s="19">
        <f>'5'!G42</f>
        <v>-1</v>
      </c>
      <c r="AX8" s="19">
        <f>'5'!G43</f>
        <v>2387</v>
      </c>
      <c r="AY8" s="19">
        <f>'5'!G44</f>
        <v>0</v>
      </c>
      <c r="AZ8" s="262">
        <f>'5'!G36</f>
        <v>577</v>
      </c>
      <c r="BA8" s="261">
        <f>'5'!G49</f>
        <v>0</v>
      </c>
      <c r="BB8" s="19">
        <f>'5'!G51</f>
        <v>1492</v>
      </c>
      <c r="BC8" s="19">
        <f>'5'!G52</f>
        <v>1823</v>
      </c>
      <c r="BD8" s="19">
        <f>'5'!G53</f>
        <v>4265</v>
      </c>
      <c r="BE8" s="19">
        <f>'5'!G54</f>
        <v>0</v>
      </c>
      <c r="BF8" s="19">
        <f>'5'!G55</f>
        <v>4924</v>
      </c>
      <c r="BG8" s="19">
        <f>'5'!G56</f>
        <v>-22</v>
      </c>
      <c r="BH8" s="19">
        <f>'5'!G57</f>
        <v>0</v>
      </c>
      <c r="BI8" s="262">
        <f>'5'!G50</f>
        <v>1011</v>
      </c>
      <c r="BJ8" s="370">
        <f t="shared" si="12"/>
        <v>4900.739999999998</v>
      </c>
      <c r="BK8" s="370">
        <f>'5'!G84</f>
        <v>954</v>
      </c>
      <c r="BL8" s="23">
        <f t="shared" si="13"/>
        <v>52.257074199401686</v>
      </c>
      <c r="BM8" s="23">
        <f t="shared" si="14"/>
        <v>511.65219949977933</v>
      </c>
      <c r="BN8" s="24">
        <f t="shared" si="15"/>
        <v>8.9353145995782451E-2</v>
      </c>
      <c r="BO8" s="25">
        <f t="shared" si="16"/>
        <v>262221.39999999641</v>
      </c>
      <c r="BP8" s="213">
        <f t="shared" si="17"/>
        <v>8241.739999999998</v>
      </c>
      <c r="BQ8">
        <f t="shared" si="18"/>
        <v>7.2046960504921695E-2</v>
      </c>
    </row>
    <row r="9" spans="1:70">
      <c r="A9" s="16">
        <v>6</v>
      </c>
      <c r="B9" s="17">
        <v>6</v>
      </c>
      <c r="C9" s="26"/>
      <c r="D9" s="19">
        <f>'6'!D3</f>
        <v>29</v>
      </c>
      <c r="E9" s="256">
        <f>'6'!D4</f>
        <v>0.8</v>
      </c>
      <c r="F9" s="256">
        <f>'6'!D2</f>
        <v>0.8</v>
      </c>
      <c r="G9" s="19">
        <f>'6'!G8</f>
        <v>21971</v>
      </c>
      <c r="H9" s="19">
        <f>'6'!G8</f>
        <v>21971</v>
      </c>
      <c r="I9" s="19">
        <f>'6'!G7</f>
        <v>21871</v>
      </c>
      <c r="J9" s="19">
        <v>10</v>
      </c>
      <c r="K9" s="242">
        <f t="shared" si="3"/>
        <v>219710</v>
      </c>
      <c r="L9" s="238">
        <f t="shared" si="4"/>
        <v>108.27227722772277</v>
      </c>
      <c r="M9" s="19">
        <f>'6'!G15</f>
        <v>944.36000000010245</v>
      </c>
      <c r="N9" s="19">
        <v>35</v>
      </c>
      <c r="O9" s="238">
        <f t="shared" si="5"/>
        <v>33052.600000003586</v>
      </c>
      <c r="P9" s="19">
        <f>'6'!G20</f>
        <v>191</v>
      </c>
      <c r="Q9" s="19">
        <v>134</v>
      </c>
      <c r="R9" s="239">
        <f t="shared" si="0"/>
        <v>25594</v>
      </c>
      <c r="S9" s="240">
        <f t="shared" si="1"/>
        <v>118.19306930693067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120</v>
      </c>
      <c r="X9" s="22">
        <f>'6'!G96</f>
        <v>21</v>
      </c>
      <c r="Y9" s="22">
        <f>'6'!G97</f>
        <v>25</v>
      </c>
      <c r="Z9" s="22">
        <f t="shared" si="7"/>
        <v>166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1.0100000000020373</v>
      </c>
      <c r="AE9" s="19">
        <f t="shared" si="8"/>
        <v>25.010000000002037</v>
      </c>
      <c r="AF9" s="23">
        <f t="shared" si="2"/>
        <v>5904</v>
      </c>
      <c r="AG9" s="23">
        <f t="shared" si="9"/>
        <v>236.06557377047258</v>
      </c>
      <c r="AH9" s="19">
        <f>'6'!G136</f>
        <v>8.319999999999709</v>
      </c>
      <c r="AI9" s="19">
        <f>'6'!G137</f>
        <v>0</v>
      </c>
      <c r="AJ9" s="19">
        <f>'6'!G138</f>
        <v>6</v>
      </c>
      <c r="AK9" s="19">
        <f t="shared" si="10"/>
        <v>14.319999999999709</v>
      </c>
      <c r="AL9" s="19">
        <f>'6'!G139</f>
        <v>8</v>
      </c>
      <c r="AM9" s="19">
        <f>'6'!G140</f>
        <v>0</v>
      </c>
      <c r="AN9" s="19"/>
      <c r="AO9" s="19">
        <f t="shared" si="11"/>
        <v>8</v>
      </c>
      <c r="AP9" s="258">
        <f>'6'!G123</f>
        <v>264</v>
      </c>
      <c r="AQ9" s="261">
        <f>'6'!G35</f>
        <v>3484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2437</v>
      </c>
      <c r="AY9" s="19">
        <f>'6'!G44</f>
        <v>0</v>
      </c>
      <c r="AZ9" s="262">
        <f>'6'!G36</f>
        <v>624</v>
      </c>
      <c r="BA9" s="261">
        <f>'6'!G49</f>
        <v>0</v>
      </c>
      <c r="BB9" s="19">
        <f>'6'!G51</f>
        <v>1518</v>
      </c>
      <c r="BC9" s="19">
        <f>'6'!G52</f>
        <v>2123</v>
      </c>
      <c r="BD9" s="19">
        <f>'6'!G53</f>
        <v>4237</v>
      </c>
      <c r="BE9" s="19">
        <f>'6'!G54</f>
        <v>0</v>
      </c>
      <c r="BF9" s="19">
        <f>'6'!G55</f>
        <v>5678</v>
      </c>
      <c r="BG9" s="19">
        <f>'6'!G56</f>
        <v>226</v>
      </c>
      <c r="BH9" s="19">
        <f>'6'!G57</f>
        <v>0</v>
      </c>
      <c r="BI9" s="262">
        <f>'6'!G50</f>
        <v>1043</v>
      </c>
      <c r="BJ9" s="370">
        <f t="shared" si="12"/>
        <v>5904</v>
      </c>
      <c r="BK9" s="370">
        <f>'6'!G84</f>
        <v>644</v>
      </c>
      <c r="BL9" s="23">
        <f t="shared" si="13"/>
        <v>54.067029399661649</v>
      </c>
      <c r="BM9" s="23">
        <f t="shared" si="14"/>
        <v>19.372685291024645</v>
      </c>
      <c r="BN9" s="24">
        <f t="shared" si="15"/>
        <v>9.7069178364043704E-2</v>
      </c>
      <c r="BO9" s="25">
        <f t="shared" si="16"/>
        <v>278356.60000000359</v>
      </c>
      <c r="BP9" s="213">
        <f t="shared" si="17"/>
        <v>8985</v>
      </c>
      <c r="BQ9">
        <f t="shared" si="18"/>
        <v>1.2830582052892083</v>
      </c>
    </row>
    <row r="10" spans="1:70">
      <c r="A10" s="16">
        <v>7</v>
      </c>
      <c r="B10" s="26">
        <v>7</v>
      </c>
      <c r="C10" s="27"/>
      <c r="D10" s="19">
        <f>'7'!D3</f>
        <v>29</v>
      </c>
      <c r="E10" s="256">
        <f>'7'!D4</f>
        <v>0.82</v>
      </c>
      <c r="F10" s="256">
        <f>'7'!D2</f>
        <v>0.51</v>
      </c>
      <c r="G10" s="19">
        <f>'7'!G8</f>
        <v>21681</v>
      </c>
      <c r="H10" s="19">
        <f>'7'!G8</f>
        <v>21681</v>
      </c>
      <c r="I10" s="19">
        <f>'7'!G7</f>
        <v>21611</v>
      </c>
      <c r="J10" s="19">
        <v>10</v>
      </c>
      <c r="K10" s="242">
        <f t="shared" si="3"/>
        <v>216810</v>
      </c>
      <c r="L10" s="238">
        <f t="shared" si="4"/>
        <v>106.98514851485149</v>
      </c>
      <c r="M10" s="19">
        <f>'7'!G15</f>
        <v>931</v>
      </c>
      <c r="N10" s="19">
        <v>35</v>
      </c>
      <c r="O10" s="238">
        <f t="shared" si="5"/>
        <v>32585</v>
      </c>
      <c r="P10" s="19">
        <f>'7'!G20</f>
        <v>251</v>
      </c>
      <c r="Q10" s="19">
        <v>134</v>
      </c>
      <c r="R10" s="239">
        <f t="shared" si="0"/>
        <v>33634</v>
      </c>
      <c r="S10" s="240">
        <f t="shared" si="1"/>
        <v>243.64201125994953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119</v>
      </c>
      <c r="X10" s="22">
        <f>'7'!G96</f>
        <v>32</v>
      </c>
      <c r="Y10" s="22">
        <f>'7'!G97</f>
        <v>28</v>
      </c>
      <c r="Z10" s="22">
        <f t="shared" si="7"/>
        <v>179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5494</v>
      </c>
      <c r="AG10" s="23">
        <f t="shared" si="9"/>
        <v>228.91666666666666</v>
      </c>
      <c r="AH10" s="19">
        <f>'7'!G136</f>
        <v>9.9199999999982538</v>
      </c>
      <c r="AI10" s="19">
        <f>'7'!G137</f>
        <v>0</v>
      </c>
      <c r="AJ10" s="19">
        <f>'7'!G138</f>
        <v>3</v>
      </c>
      <c r="AK10" s="19">
        <f t="shared" si="10"/>
        <v>12.919999999998254</v>
      </c>
      <c r="AL10" s="19">
        <f>'7'!G139</f>
        <v>8</v>
      </c>
      <c r="AM10" s="19">
        <f>'7'!G140</f>
        <v>0</v>
      </c>
      <c r="AN10" s="19"/>
      <c r="AO10" s="19">
        <f t="shared" si="11"/>
        <v>8</v>
      </c>
      <c r="AP10" s="258">
        <f>'7'!G123</f>
        <v>275</v>
      </c>
      <c r="AQ10" s="261">
        <f>'7'!G35</f>
        <v>3319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2417</v>
      </c>
      <c r="AY10" s="19">
        <f>'7'!G44</f>
        <v>0</v>
      </c>
      <c r="AZ10" s="262">
        <f>'7'!G36</f>
        <v>611</v>
      </c>
      <c r="BA10" s="261">
        <f>'7'!G49</f>
        <v>0</v>
      </c>
      <c r="BB10" s="19">
        <f>'7'!G51</f>
        <v>1500</v>
      </c>
      <c r="BC10" s="19">
        <f>'7'!G52</f>
        <v>2331</v>
      </c>
      <c r="BD10" s="19">
        <f>'7'!G53</f>
        <v>4230</v>
      </c>
      <c r="BE10" s="19">
        <f>'7'!G54</f>
        <v>0</v>
      </c>
      <c r="BF10" s="19">
        <f>'7'!G55</f>
        <v>5494</v>
      </c>
      <c r="BG10" s="19">
        <f>'7'!G56</f>
        <v>0</v>
      </c>
      <c r="BH10" s="19">
        <f>'7'!G57</f>
        <v>0</v>
      </c>
      <c r="BI10" s="262">
        <f>'7'!G50</f>
        <v>1230</v>
      </c>
      <c r="BJ10" s="370">
        <f t="shared" si="12"/>
        <v>5494</v>
      </c>
      <c r="BK10" s="370">
        <f>'7'!G84</f>
        <v>834</v>
      </c>
      <c r="BL10" s="23">
        <f t="shared" si="13"/>
        <v>51.964277451297946</v>
      </c>
      <c r="BM10" s="23">
        <f t="shared" si="14"/>
        <v>19.573365415760492</v>
      </c>
      <c r="BN10" s="24">
        <f t="shared" si="15"/>
        <v>0.10786173707833974</v>
      </c>
      <c r="BO10" s="25">
        <f t="shared" si="16"/>
        <v>283029</v>
      </c>
      <c r="BP10" s="213">
        <f t="shared" si="17"/>
        <v>8745</v>
      </c>
      <c r="BQ10">
        <f t="shared" si="18"/>
        <v>1.3013392857142858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0.41</v>
      </c>
      <c r="G11" s="19">
        <f>'8'!G8</f>
        <v>22672</v>
      </c>
      <c r="H11" s="19">
        <f>'8'!G8</f>
        <v>22672</v>
      </c>
      <c r="I11" s="19">
        <f>'8'!G7</f>
        <v>22521</v>
      </c>
      <c r="J11" s="19">
        <v>10</v>
      </c>
      <c r="K11" s="242">
        <f t="shared" si="3"/>
        <v>226720</v>
      </c>
      <c r="L11" s="238">
        <f t="shared" si="4"/>
        <v>111.49009900990099</v>
      </c>
      <c r="M11" s="19">
        <f>'8'!G15</f>
        <v>859.85000000009313</v>
      </c>
      <c r="N11" s="19">
        <v>35</v>
      </c>
      <c r="O11" s="238">
        <f t="shared" si="5"/>
        <v>30094.75000000326</v>
      </c>
      <c r="P11" s="19">
        <f>'8'!G20</f>
        <v>193</v>
      </c>
      <c r="Q11" s="19">
        <v>134</v>
      </c>
      <c r="R11" s="239">
        <f t="shared" si="0"/>
        <v>25862</v>
      </c>
      <c r="S11" s="240">
        <f t="shared" si="1"/>
        <v>233.03549867181843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72</v>
      </c>
      <c r="X11" s="22">
        <f>'8'!G96</f>
        <v>13</v>
      </c>
      <c r="Y11" s="22">
        <f>'8'!G97</f>
        <v>13</v>
      </c>
      <c r="Z11" s="22">
        <f t="shared" si="7"/>
        <v>98</v>
      </c>
      <c r="AA11" s="19">
        <f>'8'!G132</f>
        <v>4.3499999999985448</v>
      </c>
      <c r="AB11" s="19">
        <f>'8'!G133</f>
        <v>0</v>
      </c>
      <c r="AC11" s="19">
        <f>'8'!G134</f>
        <v>24</v>
      </c>
      <c r="AD11" s="19">
        <f>'8'!G135</f>
        <v>0</v>
      </c>
      <c r="AE11" s="19">
        <f t="shared" si="8"/>
        <v>28.349999999998545</v>
      </c>
      <c r="AF11" s="23">
        <f t="shared" si="2"/>
        <v>5838.260000000002</v>
      </c>
      <c r="AG11" s="23">
        <f t="shared" si="9"/>
        <v>205.93509700177432</v>
      </c>
      <c r="AH11" s="19">
        <f>'8'!G136</f>
        <v>9.6900000000023283</v>
      </c>
      <c r="AI11" s="19">
        <f>'8'!G137</f>
        <v>0</v>
      </c>
      <c r="AJ11" s="19">
        <f>'8'!G138</f>
        <v>1.8200000000069849</v>
      </c>
      <c r="AK11" s="19">
        <f t="shared" si="10"/>
        <v>11.510000000009313</v>
      </c>
      <c r="AL11" s="19">
        <f>'8'!G139</f>
        <v>6.6800000000000637</v>
      </c>
      <c r="AM11" s="19">
        <f>'8'!G140</f>
        <v>0</v>
      </c>
      <c r="AN11" s="19"/>
      <c r="AO11" s="19">
        <f t="shared" si="11"/>
        <v>6.6800000000000637</v>
      </c>
      <c r="AP11" s="258">
        <f>'8'!G123</f>
        <v>241</v>
      </c>
      <c r="AQ11" s="261">
        <f>'8'!G35</f>
        <v>3394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885.26000000000204</v>
      </c>
      <c r="AW11" s="19">
        <f>'8'!G42</f>
        <v>0</v>
      </c>
      <c r="AX11" s="19">
        <f>'8'!G43</f>
        <v>2516</v>
      </c>
      <c r="AY11" s="23">
        <f>'8'!G44</f>
        <v>0</v>
      </c>
      <c r="AZ11" s="262">
        <f>'8'!G36</f>
        <v>676</v>
      </c>
      <c r="BA11" s="261">
        <f>'8'!G49</f>
        <v>0</v>
      </c>
      <c r="BB11" s="19">
        <f>'8'!G51</f>
        <v>1483</v>
      </c>
      <c r="BC11" s="19">
        <f>'8'!G52</f>
        <v>2160</v>
      </c>
      <c r="BD11" s="19">
        <f>'8'!G53</f>
        <v>4272</v>
      </c>
      <c r="BE11" s="19">
        <f>'8'!G54</f>
        <v>0</v>
      </c>
      <c r="BF11" s="19">
        <f>'8'!G55</f>
        <v>4953</v>
      </c>
      <c r="BG11" s="19">
        <f>'8'!G56</f>
        <v>0</v>
      </c>
      <c r="BH11" s="19">
        <f>'8'!G57</f>
        <v>0</v>
      </c>
      <c r="BI11" s="262">
        <f>'8'!G50</f>
        <v>1538</v>
      </c>
      <c r="BJ11" s="370">
        <f t="shared" si="12"/>
        <v>5838.260000000002</v>
      </c>
      <c r="BK11" s="370">
        <f>'8'!G84</f>
        <v>793</v>
      </c>
      <c r="BL11" s="23">
        <f t="shared" si="13"/>
        <v>52.165800808134634</v>
      </c>
      <c r="BM11" s="23">
        <f t="shared" si="14"/>
        <v>18.968962301851604</v>
      </c>
      <c r="BN11" s="24">
        <f t="shared" si="15"/>
        <v>9.5910483548687891E-2</v>
      </c>
      <c r="BO11" s="25">
        <f t="shared" si="16"/>
        <v>282676.75000000326</v>
      </c>
      <c r="BP11" s="213">
        <f t="shared" si="17"/>
        <v>9147.260000000002</v>
      </c>
      <c r="BQ11">
        <f t="shared" si="18"/>
        <v>1.152338120433418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0.45</v>
      </c>
      <c r="G12" s="19">
        <f>'9'!G8</f>
        <v>21123</v>
      </c>
      <c r="H12" s="19">
        <f>'9'!G8</f>
        <v>21123</v>
      </c>
      <c r="I12" s="19">
        <f>'9'!G7</f>
        <v>20912</v>
      </c>
      <c r="J12" s="19">
        <v>10</v>
      </c>
      <c r="K12" s="242">
        <f t="shared" si="3"/>
        <v>211230</v>
      </c>
      <c r="L12" s="238">
        <f t="shared" si="4"/>
        <v>103.52475247524752</v>
      </c>
      <c r="M12" s="19">
        <f>'9'!G15</f>
        <v>779.02000000001863</v>
      </c>
      <c r="N12" s="19">
        <v>35</v>
      </c>
      <c r="O12" s="238">
        <f t="shared" si="5"/>
        <v>27265.700000000652</v>
      </c>
      <c r="P12" s="19">
        <f>'9'!G20</f>
        <v>172</v>
      </c>
      <c r="Q12" s="19">
        <v>134</v>
      </c>
      <c r="R12" s="239">
        <f t="shared" si="0"/>
        <v>23048</v>
      </c>
      <c r="S12" s="240">
        <f t="shared" si="1"/>
        <v>189.2189218921892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91</v>
      </c>
      <c r="X12" s="22">
        <f>'9'!G96</f>
        <v>12</v>
      </c>
      <c r="Y12" s="22">
        <f>'9'!G97</f>
        <v>17</v>
      </c>
      <c r="Z12" s="22">
        <f t="shared" si="7"/>
        <v>120</v>
      </c>
      <c r="AA12" s="19">
        <f>'9'!G132</f>
        <v>0</v>
      </c>
      <c r="AB12" s="19">
        <f>'9'!G133</f>
        <v>0</v>
      </c>
      <c r="AC12" s="19">
        <f>'9'!G134</f>
        <v>24.419999999998254</v>
      </c>
      <c r="AD12" s="19">
        <f>'9'!G135</f>
        <v>0</v>
      </c>
      <c r="AE12" s="19">
        <f t="shared" si="8"/>
        <v>24.419999999998254</v>
      </c>
      <c r="AF12" s="23">
        <f t="shared" si="2"/>
        <v>5115</v>
      </c>
      <c r="AG12" s="23">
        <f t="shared" si="9"/>
        <v>209.45945945947443</v>
      </c>
      <c r="AH12" s="19">
        <f>'9'!G136</f>
        <v>8.2200000000011642</v>
      </c>
      <c r="AI12" s="19">
        <f>'9'!G137</f>
        <v>0</v>
      </c>
      <c r="AJ12" s="19">
        <f>'9'!G138</f>
        <v>3</v>
      </c>
      <c r="AK12" s="19">
        <f t="shared" si="10"/>
        <v>11.220000000001164</v>
      </c>
      <c r="AL12" s="19">
        <f>'9'!G139</f>
        <v>7.3199999999999363</v>
      </c>
      <c r="AM12" s="19">
        <f>'9'!G140</f>
        <v>0</v>
      </c>
      <c r="AN12" s="19"/>
      <c r="AO12" s="19">
        <f t="shared" si="11"/>
        <v>7.3199999999999363</v>
      </c>
      <c r="AP12" s="258">
        <f>'9'!G123</f>
        <v>253</v>
      </c>
      <c r="AQ12" s="261">
        <f>'9'!G35</f>
        <v>3381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2377</v>
      </c>
      <c r="AY12" s="23">
        <f>'9'!G44</f>
        <v>0</v>
      </c>
      <c r="AZ12" s="262">
        <f>'9'!G36</f>
        <v>667</v>
      </c>
      <c r="BA12" s="261">
        <f>'9'!G49</f>
        <v>0</v>
      </c>
      <c r="BB12" s="19">
        <f>'9'!G51</f>
        <v>1491</v>
      </c>
      <c r="BC12" s="19">
        <f>'9'!G52</f>
        <v>2121</v>
      </c>
      <c r="BD12" s="19">
        <f>'9'!G53</f>
        <v>4195</v>
      </c>
      <c r="BE12" s="19">
        <f>'9'!G54</f>
        <v>0</v>
      </c>
      <c r="BF12" s="19">
        <f>'9'!G55</f>
        <v>5115</v>
      </c>
      <c r="BG12" s="19">
        <f>'9'!G56</f>
        <v>0</v>
      </c>
      <c r="BH12" s="19">
        <f>'9'!G57</f>
        <v>0</v>
      </c>
      <c r="BI12" s="262">
        <f>'9'!G50</f>
        <v>1028</v>
      </c>
      <c r="BJ12" s="370">
        <f t="shared" si="12"/>
        <v>5115</v>
      </c>
      <c r="BK12" s="370">
        <f>'8'!G84</f>
        <v>793</v>
      </c>
      <c r="BL12" s="23">
        <f t="shared" si="13"/>
        <v>51.994070390206581</v>
      </c>
      <c r="BM12" s="23">
        <f t="shared" si="14"/>
        <v>20.060252486610558</v>
      </c>
      <c r="BN12" s="24">
        <f t="shared" si="15"/>
        <v>0.10142501912777353</v>
      </c>
      <c r="BO12" s="25">
        <f t="shared" si="16"/>
        <v>261543.70000000065</v>
      </c>
      <c r="BP12" s="213">
        <f t="shared" si="17"/>
        <v>8285</v>
      </c>
      <c r="BQ12">
        <f t="shared" si="18"/>
        <v>1.2116824616825483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256">
        <f>'10'!D4</f>
        <v>0.78</v>
      </c>
      <c r="F13" s="256">
        <f>'10'!D2</f>
        <v>0.42</v>
      </c>
      <c r="G13" s="19">
        <f>'10'!G8</f>
        <v>21940</v>
      </c>
      <c r="H13" s="19">
        <f>'10'!G8</f>
        <v>21940</v>
      </c>
      <c r="I13" s="19">
        <f>'10'!G7</f>
        <v>21790</v>
      </c>
      <c r="J13" s="19">
        <v>10</v>
      </c>
      <c r="K13" s="242">
        <f t="shared" si="3"/>
        <v>219400</v>
      </c>
      <c r="L13" s="238">
        <f t="shared" si="4"/>
        <v>107.87128712871286</v>
      </c>
      <c r="M13" s="19">
        <f>'10'!G15</f>
        <v>847.12999999988824</v>
      </c>
      <c r="N13" s="19">
        <v>35</v>
      </c>
      <c r="O13" s="238">
        <f t="shared" si="5"/>
        <v>29649.549999996088</v>
      </c>
      <c r="P13" s="19">
        <f>'10'!G20</f>
        <v>152</v>
      </c>
      <c r="Q13" s="19">
        <v>134</v>
      </c>
      <c r="R13" s="239">
        <f t="shared" si="0"/>
        <v>20368</v>
      </c>
      <c r="S13" s="240">
        <f t="shared" si="1"/>
        <v>179.16077322017915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68</v>
      </c>
      <c r="X13" s="22">
        <f>'10'!G96</f>
        <v>11</v>
      </c>
      <c r="Y13" s="22">
        <f>'10'!G97</f>
        <v>18</v>
      </c>
      <c r="Z13" s="22">
        <f t="shared" si="7"/>
        <v>97</v>
      </c>
      <c r="AA13" s="19">
        <f>'10'!G132</f>
        <v>0</v>
      </c>
      <c r="AB13" s="19">
        <f>'10'!G133</f>
        <v>0</v>
      </c>
      <c r="AC13" s="19">
        <f>'10'!G134</f>
        <v>24.010000000002037</v>
      </c>
      <c r="AD13" s="19">
        <f>'10'!G135</f>
        <v>0</v>
      </c>
      <c r="AE13" s="19">
        <f t="shared" si="8"/>
        <v>24.010000000002037</v>
      </c>
      <c r="AF13" s="23">
        <f t="shared" si="2"/>
        <v>4999</v>
      </c>
      <c r="AG13" s="23">
        <f t="shared" si="9"/>
        <v>208.20491461889111</v>
      </c>
      <c r="AH13" s="19">
        <f>'10'!G136</f>
        <v>8.1699999999982538</v>
      </c>
      <c r="AI13" s="19">
        <f>'10'!G137</f>
        <v>0</v>
      </c>
      <c r="AJ13" s="19">
        <f>'10'!G138</f>
        <v>3.1799999999930151</v>
      </c>
      <c r="AK13" s="19">
        <f t="shared" si="10"/>
        <v>11.349999999991269</v>
      </c>
      <c r="AL13" s="19">
        <f>'10'!G139</f>
        <v>7</v>
      </c>
      <c r="AM13" s="19">
        <f>'10'!G140</f>
        <v>0</v>
      </c>
      <c r="AN13" s="19"/>
      <c r="AO13" s="19">
        <f t="shared" si="11"/>
        <v>7</v>
      </c>
      <c r="AP13" s="258">
        <f>'10'!G123</f>
        <v>247</v>
      </c>
      <c r="AQ13" s="261">
        <f>'10'!G35</f>
        <v>3447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2507</v>
      </c>
      <c r="AY13" s="23">
        <f>'10'!G44</f>
        <v>0</v>
      </c>
      <c r="AZ13" s="262">
        <f>'10'!G36</f>
        <v>702</v>
      </c>
      <c r="BA13" s="261">
        <f>'10'!G49</f>
        <v>0</v>
      </c>
      <c r="BB13" s="19">
        <f>'10'!G51</f>
        <v>1549</v>
      </c>
      <c r="BC13" s="19">
        <f>'10'!G52</f>
        <v>2046</v>
      </c>
      <c r="BD13" s="19">
        <f>'10'!G53</f>
        <v>4185</v>
      </c>
      <c r="BE13" s="19">
        <f>'10'!G54</f>
        <v>0</v>
      </c>
      <c r="BF13" s="19">
        <f>'10'!G55</f>
        <v>4999</v>
      </c>
      <c r="BG13" s="19">
        <f>'10'!G56</f>
        <v>0</v>
      </c>
      <c r="BH13" s="19">
        <f>'10'!G57</f>
        <v>0</v>
      </c>
      <c r="BI13" s="262">
        <f>'10'!G50</f>
        <v>1194</v>
      </c>
      <c r="BJ13" s="370">
        <f t="shared" si="12"/>
        <v>4999</v>
      </c>
      <c r="BK13" s="370">
        <f>'8'!G84</f>
        <v>793</v>
      </c>
      <c r="BL13" s="23">
        <f t="shared" si="13"/>
        <v>50.266177145479574</v>
      </c>
      <c r="BM13" s="23">
        <f t="shared" si="14"/>
        <v>19.206057824690223</v>
      </c>
      <c r="BN13" s="24">
        <f t="shared" si="15"/>
        <v>9.3896282698485545E-2</v>
      </c>
      <c r="BO13" s="25">
        <f t="shared" si="16"/>
        <v>269417.54999999609</v>
      </c>
      <c r="BP13" s="213">
        <f t="shared" si="17"/>
        <v>8299</v>
      </c>
      <c r="BQ13">
        <f t="shared" si="18"/>
        <v>1.2344558814778508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0.8</v>
      </c>
      <c r="F14" s="256">
        <f>'11'!D2</f>
        <v>0.37</v>
      </c>
      <c r="G14" s="19">
        <f>'11'!G8</f>
        <v>21398</v>
      </c>
      <c r="H14" s="19">
        <f>'11'!G8</f>
        <v>21398</v>
      </c>
      <c r="I14" s="19">
        <f>'11'!G7</f>
        <v>21316</v>
      </c>
      <c r="J14" s="19">
        <v>10</v>
      </c>
      <c r="K14" s="242">
        <f t="shared" si="3"/>
        <v>213980</v>
      </c>
      <c r="L14" s="238">
        <f t="shared" si="4"/>
        <v>105.52475247524752</v>
      </c>
      <c r="M14" s="19">
        <f>'11'!G15</f>
        <v>852</v>
      </c>
      <c r="N14" s="19">
        <v>35</v>
      </c>
      <c r="O14" s="238">
        <f t="shared" si="5"/>
        <v>29820</v>
      </c>
      <c r="P14" s="19">
        <f>'11'!G20</f>
        <v>171</v>
      </c>
      <c r="Q14" s="19">
        <v>134</v>
      </c>
      <c r="R14" s="239">
        <f t="shared" si="0"/>
        <v>22914</v>
      </c>
      <c r="S14" s="240">
        <f t="shared" si="1"/>
        <v>228.7931495852288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79</v>
      </c>
      <c r="X14" s="22">
        <f>'11'!G96</f>
        <v>10</v>
      </c>
      <c r="Y14" s="22">
        <f>'11'!G97</f>
        <v>22</v>
      </c>
      <c r="Z14" s="22">
        <f t="shared" si="7"/>
        <v>111</v>
      </c>
      <c r="AA14" s="19">
        <f>'11'!G132</f>
        <v>0</v>
      </c>
      <c r="AB14" s="19">
        <f>'11'!G133</f>
        <v>0</v>
      </c>
      <c r="AC14" s="19">
        <f>'11'!G134</f>
        <v>24.080000000001746</v>
      </c>
      <c r="AD14" s="19">
        <f>'11'!G135</f>
        <v>0</v>
      </c>
      <c r="AE14" s="19">
        <f t="shared" si="8"/>
        <v>24.080000000001746</v>
      </c>
      <c r="AF14" s="23">
        <f t="shared" si="2"/>
        <v>5075</v>
      </c>
      <c r="AG14" s="23">
        <f t="shared" si="9"/>
        <v>210.75581395347308</v>
      </c>
      <c r="AH14" s="19">
        <f>'11'!G136</f>
        <v>8</v>
      </c>
      <c r="AI14" s="19">
        <f>'11'!G137</f>
        <v>0.31000000000130967</v>
      </c>
      <c r="AJ14" s="19">
        <f>'11'!G138</f>
        <v>6</v>
      </c>
      <c r="AK14" s="19">
        <f t="shared" si="10"/>
        <v>14.31000000000131</v>
      </c>
      <c r="AL14" s="19">
        <f>'11'!G139</f>
        <v>7</v>
      </c>
      <c r="AM14" s="19">
        <f>'11'!G140</f>
        <v>0</v>
      </c>
      <c r="AN14" s="19"/>
      <c r="AO14" s="19">
        <f t="shared" si="11"/>
        <v>7</v>
      </c>
      <c r="AP14" s="258">
        <f>'11'!G123</f>
        <v>233</v>
      </c>
      <c r="AQ14" s="261">
        <f>'11'!G35</f>
        <v>3850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2394</v>
      </c>
      <c r="AY14" s="23">
        <f>'11'!G44</f>
        <v>0</v>
      </c>
      <c r="AZ14" s="262">
        <f>'11'!G36</f>
        <v>598</v>
      </c>
      <c r="BA14" s="261">
        <f>'11'!G49</f>
        <v>0</v>
      </c>
      <c r="BB14" s="19">
        <f>'11'!G51</f>
        <v>1551</v>
      </c>
      <c r="BC14" s="19">
        <f>'11'!G52</f>
        <v>2085</v>
      </c>
      <c r="BD14" s="19">
        <f>'11'!G53</f>
        <v>4105</v>
      </c>
      <c r="BE14" s="19">
        <f>'11'!G54</f>
        <v>0</v>
      </c>
      <c r="BF14" s="19">
        <f>'11'!G55</f>
        <v>5075</v>
      </c>
      <c r="BG14" s="19">
        <f>'11'!G56</f>
        <v>0</v>
      </c>
      <c r="BH14" s="19">
        <f>'11'!G57</f>
        <v>0</v>
      </c>
      <c r="BI14" s="262">
        <f>'11'!G50</f>
        <v>1135</v>
      </c>
      <c r="BJ14" s="370">
        <f t="shared" si="12"/>
        <v>5075</v>
      </c>
      <c r="BK14" s="370">
        <f>'11'!G84</f>
        <v>998</v>
      </c>
      <c r="BL14" s="23">
        <f t="shared" si="13"/>
        <v>53.100957027584911</v>
      </c>
      <c r="BM14" s="23">
        <f t="shared" si="14"/>
        <v>19.25783449052355</v>
      </c>
      <c r="BN14" s="24">
        <f t="shared" si="15"/>
        <v>9.7813848752111091E-2</v>
      </c>
      <c r="BO14" s="25">
        <f t="shared" si="16"/>
        <v>266714</v>
      </c>
      <c r="BP14" s="213">
        <f t="shared" si="17"/>
        <v>8467</v>
      </c>
      <c r="BQ14">
        <f t="shared" si="18"/>
        <v>1.2557842904602792</v>
      </c>
    </row>
    <row r="15" spans="1:70">
      <c r="A15" s="16">
        <v>12</v>
      </c>
      <c r="B15" s="26">
        <v>12</v>
      </c>
      <c r="C15" s="27"/>
      <c r="D15" s="19">
        <f>'12'!D3</f>
        <v>32</v>
      </c>
      <c r="E15" s="256">
        <f>'12'!D4</f>
        <v>0.8</v>
      </c>
      <c r="F15" s="256">
        <f>'12'!D2</f>
        <v>0.42</v>
      </c>
      <c r="G15" s="19">
        <f>'12'!G8</f>
        <v>21271</v>
      </c>
      <c r="H15" s="19">
        <f>'12'!G8</f>
        <v>21271</v>
      </c>
      <c r="I15" s="19">
        <f>'12'!G7</f>
        <v>21182</v>
      </c>
      <c r="J15" s="19">
        <v>10</v>
      </c>
      <c r="K15" s="242">
        <f t="shared" si="3"/>
        <v>212710</v>
      </c>
      <c r="L15" s="238">
        <f t="shared" si="4"/>
        <v>104.86138613861387</v>
      </c>
      <c r="M15" s="19">
        <f>'12'!G15</f>
        <v>804.77000000001863</v>
      </c>
      <c r="N15" s="19">
        <v>35</v>
      </c>
      <c r="O15" s="234">
        <f t="shared" si="5"/>
        <v>28166.950000000652</v>
      </c>
      <c r="P15" s="19">
        <f>'12'!G20</f>
        <v>154</v>
      </c>
      <c r="Q15" s="19">
        <v>134</v>
      </c>
      <c r="R15" s="239">
        <f t="shared" si="0"/>
        <v>20636</v>
      </c>
      <c r="S15" s="240">
        <f t="shared" si="1"/>
        <v>181.51815181518151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71</v>
      </c>
      <c r="X15" s="22">
        <f>'12'!G96</f>
        <v>8</v>
      </c>
      <c r="Y15" s="22">
        <f>'12'!G97</f>
        <v>18</v>
      </c>
      <c r="Z15" s="22">
        <f t="shared" si="7"/>
        <v>97</v>
      </c>
      <c r="AA15" s="19">
        <f>'12'!G132</f>
        <v>0</v>
      </c>
      <c r="AB15" s="19">
        <f>'12'!G133</f>
        <v>0</v>
      </c>
      <c r="AC15" s="19">
        <f>'12'!G134</f>
        <v>24.059999999997672</v>
      </c>
      <c r="AD15" s="19">
        <f>'12'!G135</f>
        <v>0</v>
      </c>
      <c r="AE15" s="19">
        <f t="shared" si="8"/>
        <v>24.059999999997672</v>
      </c>
      <c r="AF15" s="23">
        <f t="shared" si="2"/>
        <v>5122</v>
      </c>
      <c r="AG15" s="23">
        <f t="shared" si="9"/>
        <v>212.88445552786766</v>
      </c>
      <c r="AH15" s="19">
        <f>'12'!G136</f>
        <v>8</v>
      </c>
      <c r="AI15" s="19">
        <f>'12'!G137</f>
        <v>0</v>
      </c>
      <c r="AJ15" s="19">
        <f>'12'!G138</f>
        <v>3.8600000000005821</v>
      </c>
      <c r="AK15" s="19">
        <f t="shared" si="10"/>
        <v>11.860000000000582</v>
      </c>
      <c r="AL15" s="19">
        <f>'12'!G139</f>
        <v>7</v>
      </c>
      <c r="AM15" s="19">
        <f>'12'!G140</f>
        <v>0</v>
      </c>
      <c r="AN15" s="19"/>
      <c r="AO15" s="19">
        <f t="shared" si="11"/>
        <v>7</v>
      </c>
      <c r="AP15" s="258">
        <f>'12'!G123</f>
        <v>245</v>
      </c>
      <c r="AQ15" s="261">
        <f>'12'!G35</f>
        <v>3783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2392</v>
      </c>
      <c r="AY15" s="23">
        <f>'12'!G44</f>
        <v>0</v>
      </c>
      <c r="AZ15" s="262">
        <f>'12'!G36</f>
        <v>629</v>
      </c>
      <c r="BA15" s="261">
        <f>'12'!G49</f>
        <v>0</v>
      </c>
      <c r="BB15" s="19">
        <f>'12'!G51</f>
        <v>1569</v>
      </c>
      <c r="BC15" s="19">
        <f>'12'!G52</f>
        <v>1820</v>
      </c>
      <c r="BD15" s="19">
        <f>'12'!G53</f>
        <v>4165</v>
      </c>
      <c r="BE15" s="19">
        <f>'12'!G54</f>
        <v>0</v>
      </c>
      <c r="BF15" s="19">
        <f>'12'!G55</f>
        <v>5122</v>
      </c>
      <c r="BG15" s="19">
        <f>'12'!G56</f>
        <v>0</v>
      </c>
      <c r="BH15" s="19">
        <f>'12'!G57</f>
        <v>0</v>
      </c>
      <c r="BI15" s="262">
        <f>'12'!G50</f>
        <v>1179</v>
      </c>
      <c r="BJ15" s="370">
        <f t="shared" si="12"/>
        <v>5122</v>
      </c>
      <c r="BK15" s="370">
        <f>'12'!G84</f>
        <v>991</v>
      </c>
      <c r="BL15" s="23">
        <f t="shared" si="13"/>
        <v>53.333018600698708</v>
      </c>
      <c r="BM15" s="23">
        <f t="shared" si="14"/>
        <v>19.662921348314608</v>
      </c>
      <c r="BN15" s="24">
        <f t="shared" si="15"/>
        <v>8.5922009253139461E-2</v>
      </c>
      <c r="BO15" s="25">
        <f t="shared" si="16"/>
        <v>261512.95000000065</v>
      </c>
      <c r="BP15" s="213">
        <f t="shared" si="17"/>
        <v>8505</v>
      </c>
      <c r="BQ15">
        <f t="shared" si="18"/>
        <v>1.2624688279302967</v>
      </c>
    </row>
    <row r="16" spans="1:70">
      <c r="A16" s="16">
        <v>13</v>
      </c>
      <c r="B16" s="26">
        <v>13</v>
      </c>
      <c r="C16" s="26"/>
      <c r="D16" s="19">
        <f>'13'!D3</f>
        <v>28</v>
      </c>
      <c r="E16" s="256">
        <f>'13'!D4</f>
        <v>0.78</v>
      </c>
      <c r="F16" s="256">
        <f>'13'!D2</f>
        <v>0.73</v>
      </c>
      <c r="G16" s="19">
        <f>'13'!G8</f>
        <v>21585</v>
      </c>
      <c r="H16" s="19">
        <f>'13'!G8</f>
        <v>21585</v>
      </c>
      <c r="I16" s="19">
        <f>'13'!G7</f>
        <v>21531</v>
      </c>
      <c r="J16" s="19">
        <v>10</v>
      </c>
      <c r="K16" s="242">
        <f t="shared" si="3"/>
        <v>215850</v>
      </c>
      <c r="L16" s="238">
        <f t="shared" si="4"/>
        <v>106.58910891089108</v>
      </c>
      <c r="M16" s="19">
        <f>'13'!G15</f>
        <v>836.22999999998137</v>
      </c>
      <c r="N16" s="19">
        <v>35</v>
      </c>
      <c r="O16" s="234">
        <f t="shared" si="5"/>
        <v>29268.049999999348</v>
      </c>
      <c r="P16" s="19">
        <f>'13'!G20</f>
        <v>213</v>
      </c>
      <c r="Q16" s="19">
        <v>134</v>
      </c>
      <c r="R16" s="239">
        <f t="shared" si="0"/>
        <v>28542</v>
      </c>
      <c r="S16" s="240">
        <f t="shared" si="1"/>
        <v>144.4459514444595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105</v>
      </c>
      <c r="X16" s="22">
        <f>'13'!G96</f>
        <v>22</v>
      </c>
      <c r="Y16" s="22">
        <f>'13'!G97</f>
        <v>21</v>
      </c>
      <c r="Z16" s="22">
        <f t="shared" si="7"/>
        <v>148</v>
      </c>
      <c r="AA16" s="19">
        <f>'13'!G132</f>
        <v>-0.34999999999854481</v>
      </c>
      <c r="AB16" s="19">
        <f>'13'!G133</f>
        <v>0</v>
      </c>
      <c r="AC16" s="19">
        <f>'13'!G134</f>
        <v>24.430000000000291</v>
      </c>
      <c r="AD16" s="19">
        <f>'13'!G135</f>
        <v>0</v>
      </c>
      <c r="AE16" s="19">
        <f t="shared" si="8"/>
        <v>24.080000000001746</v>
      </c>
      <c r="AF16" s="23">
        <f t="shared" si="2"/>
        <v>5361</v>
      </c>
      <c r="AG16" s="23">
        <f t="shared" si="9"/>
        <v>222.63289036543236</v>
      </c>
      <c r="AH16" s="19">
        <f>'13'!G136</f>
        <v>8.9799999999995634</v>
      </c>
      <c r="AI16" s="19">
        <f>'13'!G137</f>
        <v>-0.31000000000130967</v>
      </c>
      <c r="AJ16" s="19">
        <f>'13'!G138</f>
        <v>2.1399999999994179</v>
      </c>
      <c r="AK16" s="19">
        <f t="shared" si="10"/>
        <v>10.809999999997672</v>
      </c>
      <c r="AL16" s="19">
        <f>'13'!G139</f>
        <v>7</v>
      </c>
      <c r="AM16" s="19">
        <f>'13'!G140</f>
        <v>0</v>
      </c>
      <c r="AN16" s="19"/>
      <c r="AO16" s="19">
        <f t="shared" si="11"/>
        <v>7</v>
      </c>
      <c r="AP16" s="258">
        <f>'13'!G123</f>
        <v>246</v>
      </c>
      <c r="AQ16" s="261">
        <f>'13'!G35</f>
        <v>3627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2397</v>
      </c>
      <c r="AY16" s="23">
        <f>'13'!G44</f>
        <v>0</v>
      </c>
      <c r="AZ16" s="262">
        <f>'13'!G36</f>
        <v>667</v>
      </c>
      <c r="BA16" s="261">
        <f>'13'!G49</f>
        <v>0</v>
      </c>
      <c r="BB16" s="19">
        <f>'13'!G51</f>
        <v>1606</v>
      </c>
      <c r="BC16" s="19">
        <f>'13'!G52</f>
        <v>2030</v>
      </c>
      <c r="BD16" s="19">
        <f>'13'!G53</f>
        <v>4243</v>
      </c>
      <c r="BE16" s="19">
        <f>'13'!G54</f>
        <v>0</v>
      </c>
      <c r="BF16" s="19">
        <f>'13'!G55</f>
        <v>5361</v>
      </c>
      <c r="BG16" s="19">
        <f>'13'!G56</f>
        <v>0</v>
      </c>
      <c r="BH16" s="19">
        <f>'13'!G57</f>
        <v>0.32999999999992724</v>
      </c>
      <c r="BI16" s="262">
        <f>'13'!G50</f>
        <v>1073</v>
      </c>
      <c r="BJ16" s="370">
        <f t="shared" si="12"/>
        <v>5361</v>
      </c>
      <c r="BK16" s="370">
        <f>'13'!G84</f>
        <v>758</v>
      </c>
      <c r="BL16" s="23">
        <f t="shared" si="13"/>
        <v>52.878779434304029</v>
      </c>
      <c r="BM16" s="23">
        <f t="shared" si="14"/>
        <v>19.706469741303238</v>
      </c>
      <c r="BN16" s="24">
        <f t="shared" si="15"/>
        <v>9.4282662207979193E-2</v>
      </c>
      <c r="BO16" s="25">
        <f t="shared" si="16"/>
        <v>273660.04999999935</v>
      </c>
      <c r="BP16" s="213">
        <f t="shared" si="17"/>
        <v>8516.33</v>
      </c>
      <c r="BQ16">
        <f t="shared" si="18"/>
        <v>1.2631006763169468</v>
      </c>
    </row>
    <row r="17" spans="1:69">
      <c r="A17" s="16">
        <v>14</v>
      </c>
      <c r="B17" s="17">
        <v>14</v>
      </c>
      <c r="C17" s="27"/>
      <c r="D17" s="19">
        <f>'14'!D3</f>
        <v>30</v>
      </c>
      <c r="E17" s="256">
        <f>'14'!D4</f>
        <v>0.78</v>
      </c>
      <c r="F17" s="256">
        <f>'14'!D2</f>
        <v>0.4</v>
      </c>
      <c r="G17" s="19">
        <f>'14'!G8</f>
        <v>21025</v>
      </c>
      <c r="H17" s="19">
        <f>'14'!G8</f>
        <v>21025</v>
      </c>
      <c r="I17" s="19">
        <f>'14'!G7</f>
        <v>20968</v>
      </c>
      <c r="J17" s="19">
        <v>10</v>
      </c>
      <c r="K17" s="242">
        <f t="shared" si="3"/>
        <v>210250</v>
      </c>
      <c r="L17" s="238">
        <f t="shared" si="4"/>
        <v>103.80198019801981</v>
      </c>
      <c r="M17" s="19">
        <f>'14'!G15</f>
        <v>855</v>
      </c>
      <c r="N17" s="19">
        <v>35</v>
      </c>
      <c r="O17" s="234">
        <f t="shared" si="5"/>
        <v>29925</v>
      </c>
      <c r="P17" s="19">
        <f>'14'!G20</f>
        <v>232</v>
      </c>
      <c r="Q17" s="19">
        <v>134</v>
      </c>
      <c r="R17" s="239">
        <f t="shared" si="0"/>
        <v>31088</v>
      </c>
      <c r="S17" s="240">
        <f t="shared" si="1"/>
        <v>287.12871287128706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74</v>
      </c>
      <c r="X17" s="22">
        <f>'14'!G96</f>
        <v>22</v>
      </c>
      <c r="Y17" s="22">
        <f>'14'!G97</f>
        <v>26</v>
      </c>
      <c r="Z17" s="22">
        <f>W17+X17+Y17</f>
        <v>122</v>
      </c>
      <c r="AA17" s="19">
        <f>'14'!G132</f>
        <v>0</v>
      </c>
      <c r="AB17" s="19">
        <f>'14'!G133</f>
        <v>0</v>
      </c>
      <c r="AC17" s="19">
        <f>'14'!G134</f>
        <v>24</v>
      </c>
      <c r="AD17" s="19">
        <f>'14'!G135</f>
        <v>0.41999999999825377</v>
      </c>
      <c r="AE17" s="19">
        <f t="shared" si="8"/>
        <v>24.419999999998254</v>
      </c>
      <c r="AF17" s="23">
        <f t="shared" si="2"/>
        <v>5010</v>
      </c>
      <c r="AG17" s="23">
        <f t="shared" si="9"/>
        <v>205.15970515971983</v>
      </c>
      <c r="AH17" s="19">
        <f>'14'!G136</f>
        <v>8.3600000000005821</v>
      </c>
      <c r="AI17" s="19">
        <f>'14'!G137</f>
        <v>0.31000000000130967</v>
      </c>
      <c r="AJ17" s="19">
        <f>'14'!G138</f>
        <v>3.6699999999982538</v>
      </c>
      <c r="AK17" s="19">
        <f t="shared" si="10"/>
        <v>12.340000000000146</v>
      </c>
      <c r="AL17" s="19">
        <f>'14'!G139</f>
        <v>7</v>
      </c>
      <c r="AM17" s="19">
        <f>'14'!G140</f>
        <v>0</v>
      </c>
      <c r="AN17" s="19"/>
      <c r="AO17" s="19">
        <f t="shared" si="11"/>
        <v>7</v>
      </c>
      <c r="AP17" s="258">
        <f>'14'!G123</f>
        <v>245</v>
      </c>
      <c r="AQ17" s="261">
        <f>'14'!G35</f>
        <v>3483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2407</v>
      </c>
      <c r="AY17" s="23">
        <f>'14'!G44</f>
        <v>0</v>
      </c>
      <c r="AZ17" s="262">
        <f>'14'!G36</f>
        <v>659</v>
      </c>
      <c r="BA17" s="261">
        <f>'14'!G49</f>
        <v>0</v>
      </c>
      <c r="BB17" s="19">
        <f>'14'!G51</f>
        <v>1563</v>
      </c>
      <c r="BC17" s="19">
        <f>'14'!G52</f>
        <v>2010</v>
      </c>
      <c r="BD17" s="19">
        <f>'14'!G53</f>
        <v>4133</v>
      </c>
      <c r="BE17" s="19">
        <f>'14'!G54</f>
        <v>0</v>
      </c>
      <c r="BF17" s="19">
        <f>'14'!G55</f>
        <v>5010</v>
      </c>
      <c r="BG17" s="19">
        <f>'14'!G56</f>
        <v>0</v>
      </c>
      <c r="BH17" s="19">
        <f>'14'!G57</f>
        <v>0</v>
      </c>
      <c r="BI17" s="262">
        <f>'14'!G50</f>
        <v>1184</v>
      </c>
      <c r="BJ17" s="370">
        <f t="shared" si="12"/>
        <v>5010</v>
      </c>
      <c r="BK17" s="370">
        <f>'14'!G84</f>
        <v>742</v>
      </c>
      <c r="BL17" s="23">
        <f t="shared" si="13"/>
        <v>51.98397558183899</v>
      </c>
      <c r="BM17" s="23">
        <f t="shared" si="14"/>
        <v>19.710988172453263</v>
      </c>
      <c r="BN17" s="24">
        <f t="shared" si="15"/>
        <v>9.5860358641739793E-2</v>
      </c>
      <c r="BO17" s="25">
        <f t="shared" si="16"/>
        <v>271263</v>
      </c>
      <c r="BP17" s="213">
        <f t="shared" si="17"/>
        <v>8159</v>
      </c>
      <c r="BQ17">
        <f t="shared" si="18"/>
        <v>1.1932549432550286</v>
      </c>
    </row>
    <row r="18" spans="1:69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21074</v>
      </c>
      <c r="H18" s="19">
        <f>'15'!G8</f>
        <v>21074</v>
      </c>
      <c r="I18" s="19">
        <f>'15'!G7</f>
        <v>20985</v>
      </c>
      <c r="J18" s="19">
        <v>10</v>
      </c>
      <c r="K18" s="242">
        <f t="shared" si="3"/>
        <v>210740</v>
      </c>
      <c r="L18" s="238">
        <f t="shared" si="4"/>
        <v>103.88613861386139</v>
      </c>
      <c r="M18" s="19">
        <f>'15'!G15</f>
        <v>827.70900000003166</v>
      </c>
      <c r="N18" s="19">
        <v>35</v>
      </c>
      <c r="O18" s="234">
        <f t="shared" si="5"/>
        <v>28969.815000001108</v>
      </c>
      <c r="P18" s="19">
        <f>'15'!G20</f>
        <v>175</v>
      </c>
      <c r="Q18" s="19">
        <v>134</v>
      </c>
      <c r="R18" s="239">
        <f t="shared" si="0"/>
        <v>23450</v>
      </c>
      <c r="S18" s="240">
        <f t="shared" si="1"/>
        <v>129.30397517363679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72</v>
      </c>
      <c r="X18" s="22">
        <f>'15'!G96</f>
        <v>8</v>
      </c>
      <c r="Y18" s="22">
        <f>'15'!G97</f>
        <v>0</v>
      </c>
      <c r="Z18" s="22">
        <f t="shared" si="7"/>
        <v>80</v>
      </c>
      <c r="AA18" s="19">
        <f>'15'!G132</f>
        <v>0</v>
      </c>
      <c r="AB18" s="19">
        <f>'15'!G133</f>
        <v>0</v>
      </c>
      <c r="AC18" s="19">
        <f>'15'!G134</f>
        <v>24</v>
      </c>
      <c r="AD18" s="19">
        <f>'15'!G135</f>
        <v>0</v>
      </c>
      <c r="AE18" s="19">
        <f t="shared" si="8"/>
        <v>24</v>
      </c>
      <c r="AF18" s="23">
        <f t="shared" si="2"/>
        <v>5696.4530000000013</v>
      </c>
      <c r="AG18" s="23">
        <f t="shared" si="9"/>
        <v>237.35220833333338</v>
      </c>
      <c r="AH18" s="19">
        <f>'15'!G136</f>
        <v>7.9399999999986903</v>
      </c>
      <c r="AI18" s="19">
        <f>'15'!G137</f>
        <v>5.9999999997671694E-2</v>
      </c>
      <c r="AJ18" s="19">
        <f>'15'!G138</f>
        <v>4.7900000000081491</v>
      </c>
      <c r="AK18" s="19">
        <f t="shared" si="10"/>
        <v>12.790000000004511</v>
      </c>
      <c r="AL18" s="19">
        <f>'15'!G139</f>
        <v>7.3699999999998909</v>
      </c>
      <c r="AM18" s="19">
        <f>'15'!G140</f>
        <v>-0.47000000000025466</v>
      </c>
      <c r="AN18" s="19"/>
      <c r="AO18" s="19">
        <f t="shared" si="11"/>
        <v>6.8999999999996362</v>
      </c>
      <c r="AP18" s="258">
        <f>'15'!G123</f>
        <v>248.96999999997206</v>
      </c>
      <c r="AQ18" s="261">
        <f>'15'!G35</f>
        <v>3462.6300000000047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-0.06</v>
      </c>
      <c r="AV18" s="19">
        <f>'15'!G41</f>
        <v>612.01000000000204</v>
      </c>
      <c r="AW18" s="19">
        <f>'15'!G42</f>
        <v>0.16300000000046566</v>
      </c>
      <c r="AX18" s="19">
        <f>'15'!G43</f>
        <v>2431.5500000000466</v>
      </c>
      <c r="AY18" s="23">
        <f>'15'!G44</f>
        <v>0</v>
      </c>
      <c r="AZ18" s="262">
        <f>'15'!G36</f>
        <v>718</v>
      </c>
      <c r="BA18" s="261">
        <f>'15'!G49</f>
        <v>0.13000000000465661</v>
      </c>
      <c r="BB18" s="19">
        <f>'15'!G51</f>
        <v>1624.6700000000128</v>
      </c>
      <c r="BC18" s="19">
        <f>'15'!G52</f>
        <v>1887.9100000000326</v>
      </c>
      <c r="BD18" s="19">
        <f>'15'!G53</f>
        <v>4262.210000000021</v>
      </c>
      <c r="BE18" s="19">
        <f>'15'!G54</f>
        <v>0.29000000000087311</v>
      </c>
      <c r="BF18" s="19">
        <f>'15'!G55</f>
        <v>5012.1700000000128</v>
      </c>
      <c r="BG18" s="19">
        <f>'15'!G56</f>
        <v>72.10999999998603</v>
      </c>
      <c r="BH18" s="19">
        <f>'15'!G57</f>
        <v>0</v>
      </c>
      <c r="BI18" s="262">
        <f>'15'!G50</f>
        <v>1168.6699999999837</v>
      </c>
      <c r="BJ18" s="370">
        <f t="shared" si="12"/>
        <v>5696.4530000000013</v>
      </c>
      <c r="BK18" s="370">
        <f>'15'!G84</f>
        <v>731</v>
      </c>
      <c r="BL18" s="23">
        <f t="shared" si="13"/>
        <v>55.233562068144188</v>
      </c>
      <c r="BM18" s="23">
        <f t="shared" si="14"/>
        <v>20.31074577078876</v>
      </c>
      <c r="BN18" s="24">
        <f t="shared" si="15"/>
        <v>8.9964736716703964E-2</v>
      </c>
      <c r="BO18" s="25">
        <f t="shared" si="16"/>
        <v>263159.81500000111</v>
      </c>
      <c r="BP18" s="213">
        <f t="shared" si="17"/>
        <v>8859.0030000000479</v>
      </c>
      <c r="BQ18">
        <f t="shared" si="18"/>
        <v>1.3183040178571499</v>
      </c>
    </row>
    <row r="19" spans="1:69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20521</v>
      </c>
      <c r="H19" s="19">
        <f>'16'!G8</f>
        <v>20521</v>
      </c>
      <c r="I19" s="19">
        <f>'16'!G7</f>
        <v>20449</v>
      </c>
      <c r="J19" s="19">
        <v>10</v>
      </c>
      <c r="K19" s="242">
        <f t="shared" si="3"/>
        <v>205210</v>
      </c>
      <c r="L19" s="238">
        <f t="shared" si="4"/>
        <v>101.23267326732673</v>
      </c>
      <c r="M19" s="19">
        <f>'16'!G15</f>
        <v>821.11100000003353</v>
      </c>
      <c r="N19" s="19">
        <v>35</v>
      </c>
      <c r="O19" s="234">
        <f t="shared" si="5"/>
        <v>28738.885000001173</v>
      </c>
      <c r="P19" s="19">
        <f>'16'!G20</f>
        <v>154</v>
      </c>
      <c r="Q19" s="19">
        <v>134</v>
      </c>
      <c r="R19" s="239">
        <f t="shared" si="0"/>
        <v>20636</v>
      </c>
      <c r="S19" s="240">
        <f t="shared" si="1"/>
        <v>120.15385935756699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72</v>
      </c>
      <c r="X19" s="22">
        <f>'16'!G96</f>
        <v>7</v>
      </c>
      <c r="Y19" s="22">
        <f>'16'!G97</f>
        <v>-91</v>
      </c>
      <c r="Z19" s="22">
        <f t="shared" si="7"/>
        <v>-12</v>
      </c>
      <c r="AA19" s="19">
        <f>'16'!G132</f>
        <v>0</v>
      </c>
      <c r="AB19" s="19">
        <f>'16'!G133</f>
        <v>0</v>
      </c>
      <c r="AC19" s="19">
        <f>'16'!G134</f>
        <v>24.290000000000873</v>
      </c>
      <c r="AD19" s="19">
        <f>'16'!G135</f>
        <v>-6.0000000001309672E-2</v>
      </c>
      <c r="AE19" s="19">
        <f t="shared" si="8"/>
        <v>24.229999999999563</v>
      </c>
      <c r="AF19" s="23">
        <f t="shared" si="2"/>
        <v>5084.1600000000326</v>
      </c>
      <c r="AG19" s="23">
        <f t="shared" si="9"/>
        <v>209.82913743293952</v>
      </c>
      <c r="AH19" s="19">
        <f>'16'!G136</f>
        <v>8.7299999999995634</v>
      </c>
      <c r="AI19" s="19">
        <f>'16'!G137</f>
        <v>-5.9999999997671694E-2</v>
      </c>
      <c r="AJ19" s="19">
        <f>'16'!G138</f>
        <v>3.0999999999912689</v>
      </c>
      <c r="AK19" s="19">
        <f t="shared" si="10"/>
        <v>11.769999999993161</v>
      </c>
      <c r="AL19" s="19">
        <f>'16'!G139</f>
        <v>4.1500000000000909</v>
      </c>
      <c r="AM19" s="19">
        <f>'16'!G140</f>
        <v>2.9600000000000364</v>
      </c>
      <c r="AN19" s="19"/>
      <c r="AO19" s="19">
        <f t="shared" si="11"/>
        <v>7.1100000000001273</v>
      </c>
      <c r="AP19" s="258">
        <f>'16'!G123</f>
        <v>235.94000000006054</v>
      </c>
      <c r="AQ19" s="261">
        <f>'16'!G35</f>
        <v>3222.4799999999814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2381.4399999999441</v>
      </c>
      <c r="AY19" s="23">
        <f>'16'!G44</f>
        <v>0</v>
      </c>
      <c r="AZ19" s="262">
        <f>'16'!G36</f>
        <v>616.75</v>
      </c>
      <c r="BA19" s="261">
        <f>'16'!G49</f>
        <v>0</v>
      </c>
      <c r="BB19" s="19">
        <f>'16'!G51</f>
        <v>1585.0999999999767</v>
      </c>
      <c r="BC19" s="19">
        <f>'16'!G52</f>
        <v>1760.3199999999488</v>
      </c>
      <c r="BD19" s="19">
        <f>'16'!G53</f>
        <v>4153.4599999999627</v>
      </c>
      <c r="BE19" s="19">
        <f>'16'!G54</f>
        <v>0</v>
      </c>
      <c r="BF19" s="19">
        <f>'16'!G55</f>
        <v>5075.5999999999767</v>
      </c>
      <c r="BG19" s="19">
        <f>'16'!G56</f>
        <v>8.5600000000558794</v>
      </c>
      <c r="BH19" s="19">
        <f>'16'!G57</f>
        <v>0</v>
      </c>
      <c r="BI19" s="262">
        <f>'16'!G50</f>
        <v>1068.2399999999907</v>
      </c>
      <c r="BJ19" s="370">
        <f t="shared" si="12"/>
        <v>5084.1600000000326</v>
      </c>
      <c r="BK19" s="370">
        <f>'16'!G84</f>
        <v>692</v>
      </c>
      <c r="BL19" s="23">
        <f t="shared" si="13"/>
        <v>52.267005721550966</v>
      </c>
      <c r="BM19" s="23">
        <f t="shared" si="14"/>
        <v>20.311311066555639</v>
      </c>
      <c r="BN19" s="24">
        <f t="shared" si="15"/>
        <v>8.6083427062445539E-2</v>
      </c>
      <c r="BO19" s="25">
        <f t="shared" si="16"/>
        <v>254584.88500000117</v>
      </c>
      <c r="BP19" s="213">
        <f t="shared" si="17"/>
        <v>8157.5999999999767</v>
      </c>
      <c r="BQ19">
        <f t="shared" si="18"/>
        <v>1.2024055185425571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20325</v>
      </c>
      <c r="H20" s="19">
        <f>'17'!G8</f>
        <v>20325</v>
      </c>
      <c r="I20" s="19">
        <f>'17'!G7</f>
        <v>20248</v>
      </c>
      <c r="J20" s="19">
        <v>10</v>
      </c>
      <c r="K20" s="242">
        <f t="shared" si="3"/>
        <v>203250</v>
      </c>
      <c r="L20" s="238">
        <f t="shared" si="4"/>
        <v>100.23762376237623</v>
      </c>
      <c r="M20" s="19">
        <f>'17'!G15</f>
        <v>780.70900000003166</v>
      </c>
      <c r="N20" s="19">
        <v>35</v>
      </c>
      <c r="O20" s="234">
        <f t="shared" si="5"/>
        <v>27324.815000001108</v>
      </c>
      <c r="P20" s="19">
        <f>'17'!G20</f>
        <v>173</v>
      </c>
      <c r="Q20" s="19">
        <v>134</v>
      </c>
      <c r="R20" s="239">
        <f t="shared" si="0"/>
        <v>23182</v>
      </c>
      <c r="S20" s="240">
        <f t="shared" si="1"/>
        <v>174.78278440088906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97</v>
      </c>
      <c r="X20" s="22">
        <f>'17'!G96</f>
        <v>14</v>
      </c>
      <c r="Y20" s="22">
        <f>'17'!G97</f>
        <v>0</v>
      </c>
      <c r="Z20" s="22">
        <f t="shared" si="7"/>
        <v>111</v>
      </c>
      <c r="AA20" s="19">
        <f>'17'!G132</f>
        <v>0</v>
      </c>
      <c r="AB20" s="19">
        <f>'17'!G133</f>
        <v>0</v>
      </c>
      <c r="AC20" s="19">
        <f>'17'!G134</f>
        <v>23.849999999998545</v>
      </c>
      <c r="AD20" s="19">
        <f>'17'!G135</f>
        <v>0</v>
      </c>
      <c r="AE20" s="19">
        <f t="shared" si="8"/>
        <v>23.849999999998545</v>
      </c>
      <c r="AF20" s="23">
        <f t="shared" si="2"/>
        <v>4907.5169999999634</v>
      </c>
      <c r="AG20" s="23">
        <f t="shared" si="9"/>
        <v>205.76591194969654</v>
      </c>
      <c r="AH20" s="19">
        <f>'17'!G136</f>
        <v>6.7400000000016007</v>
      </c>
      <c r="AI20" s="19">
        <f>'17'!G137</f>
        <v>0</v>
      </c>
      <c r="AJ20" s="19">
        <f>'17'!G138</f>
        <v>4.6100000000005821</v>
      </c>
      <c r="AK20" s="19">
        <f t="shared" si="10"/>
        <v>11.350000000002183</v>
      </c>
      <c r="AL20" s="19">
        <f>'17'!G139</f>
        <v>0</v>
      </c>
      <c r="AM20" s="19">
        <f>'17'!G140</f>
        <v>7.9400000000005093</v>
      </c>
      <c r="AN20" s="19"/>
      <c r="AO20" s="19">
        <f t="shared" si="11"/>
        <v>7.9400000000005093</v>
      </c>
      <c r="AP20" s="258">
        <f>'17'!G123</f>
        <v>236.09999999997672</v>
      </c>
      <c r="AQ20" s="261">
        <f>'17'!G35</f>
        <v>3306.640000000014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-2.9999999969732016E-3</v>
      </c>
      <c r="AX20" s="19">
        <f>'17'!G43</f>
        <v>2358</v>
      </c>
      <c r="AY20" s="23">
        <f>'17'!G44</f>
        <v>0</v>
      </c>
      <c r="AZ20" s="262">
        <f>'17'!G36</f>
        <v>641.94000000000233</v>
      </c>
      <c r="BA20" s="261">
        <f>'17'!G49</f>
        <v>0</v>
      </c>
      <c r="BB20" s="19">
        <f>'17'!G51</f>
        <v>1574.5299999999988</v>
      </c>
      <c r="BC20" s="19">
        <f>'17'!G52</f>
        <v>1736.4000000000233</v>
      </c>
      <c r="BD20" s="19">
        <f>'17'!G53</f>
        <v>4104.4800000000396</v>
      </c>
      <c r="BE20" s="19">
        <f>'17'!G54</f>
        <v>0</v>
      </c>
      <c r="BF20" s="19">
        <f>'17'!G55</f>
        <v>4898.960000000021</v>
      </c>
      <c r="BG20" s="19">
        <f>'17'!G56</f>
        <v>8.559999999939464</v>
      </c>
      <c r="BH20" s="19">
        <f>'17'!G57</f>
        <v>0</v>
      </c>
      <c r="BI20" s="262">
        <f>'17'!G50</f>
        <v>1167.5599999999977</v>
      </c>
      <c r="BJ20" s="370">
        <f t="shared" si="12"/>
        <v>4907.5169999999634</v>
      </c>
      <c r="BK20" s="370">
        <f>'17'!G84</f>
        <v>661</v>
      </c>
      <c r="BL20" s="23">
        <f t="shared" si="13"/>
        <v>52.213339589095114</v>
      </c>
      <c r="BM20" s="23">
        <f t="shared" si="14"/>
        <v>20.271039114974513</v>
      </c>
      <c r="BN20" s="24">
        <f t="shared" si="15"/>
        <v>8.5756617937575233E-2</v>
      </c>
      <c r="BO20" s="25">
        <f t="shared" si="16"/>
        <v>253756.81500000111</v>
      </c>
      <c r="BP20" s="213">
        <f t="shared" si="17"/>
        <v>7926.5169999999634</v>
      </c>
      <c r="BQ20">
        <f t="shared" si="18"/>
        <v>1.1869597184786533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23577</v>
      </c>
      <c r="H21" s="19">
        <f>'18'!G8</f>
        <v>23577</v>
      </c>
      <c r="I21" s="19">
        <f>'18'!G7</f>
        <v>23409</v>
      </c>
      <c r="J21" s="19">
        <v>10</v>
      </c>
      <c r="K21" s="242">
        <f t="shared" si="3"/>
        <v>235770</v>
      </c>
      <c r="L21" s="238">
        <f t="shared" si="4"/>
        <v>115.88613861386139</v>
      </c>
      <c r="M21" s="19">
        <f>'18'!G15</f>
        <v>810.4749999998603</v>
      </c>
      <c r="N21" s="19">
        <v>35</v>
      </c>
      <c r="O21" s="234">
        <f t="shared" si="5"/>
        <v>28366.624999995111</v>
      </c>
      <c r="P21" s="19">
        <f>'18'!G20</f>
        <v>133</v>
      </c>
      <c r="Q21" s="19">
        <v>134</v>
      </c>
      <c r="R21" s="239">
        <f t="shared" si="0"/>
        <v>17822</v>
      </c>
      <c r="S21" s="240">
        <f t="shared" si="1"/>
        <v>143.13387860525182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71</v>
      </c>
      <c r="X21" s="22">
        <f>'18'!G96</f>
        <v>13</v>
      </c>
      <c r="Y21" s="22">
        <f>'18'!G97</f>
        <v>13</v>
      </c>
      <c r="Z21" s="22">
        <f t="shared" si="7"/>
        <v>97</v>
      </c>
      <c r="AA21" s="19">
        <f>'18'!G132</f>
        <v>2</v>
      </c>
      <c r="AB21" s="19">
        <f>'18'!G133</f>
        <v>0</v>
      </c>
      <c r="AC21" s="19">
        <f>'18'!G134</f>
        <v>21.889999999999418</v>
      </c>
      <c r="AD21" s="19">
        <f>'18'!G135</f>
        <v>0</v>
      </c>
      <c r="AE21" s="19">
        <f t="shared" si="8"/>
        <v>23.889999999999418</v>
      </c>
      <c r="AF21" s="23">
        <f t="shared" si="2"/>
        <v>6598.2730000000229</v>
      </c>
      <c r="AG21" s="23">
        <f t="shared" si="9"/>
        <v>276.19393051486747</v>
      </c>
      <c r="AH21" s="19">
        <f>'18'!G136</f>
        <v>6.5600000000013097</v>
      </c>
      <c r="AI21" s="19">
        <f>'18'!G137</f>
        <v>0</v>
      </c>
      <c r="AJ21" s="19">
        <f>'18'!G138</f>
        <v>5.180000000007567</v>
      </c>
      <c r="AK21" s="19">
        <f t="shared" si="10"/>
        <v>11.740000000008877</v>
      </c>
      <c r="AL21" s="19">
        <f>'18'!G139</f>
        <v>0</v>
      </c>
      <c r="AM21" s="19">
        <f>'18'!G140</f>
        <v>8.7999999999992724</v>
      </c>
      <c r="AN21" s="19"/>
      <c r="AO21" s="19">
        <f t="shared" si="11"/>
        <v>8.7999999999992724</v>
      </c>
      <c r="AP21" s="258">
        <f>'18'!G123</f>
        <v>261.28000000002794</v>
      </c>
      <c r="AQ21" s="261">
        <f>'18'!G35</f>
        <v>3524.640000000014</v>
      </c>
      <c r="AR21" s="19">
        <f>'18'!G37</f>
        <v>6.9999999999708962E-2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1922.5900000000038</v>
      </c>
      <c r="AW21" s="19">
        <f>'18'!G42</f>
        <v>2.9999999969732016E-3</v>
      </c>
      <c r="AX21" s="19">
        <f>'18'!G43</f>
        <v>2617.359999999986</v>
      </c>
      <c r="AY21" s="23">
        <f>'18'!G44</f>
        <v>0</v>
      </c>
      <c r="AZ21" s="262">
        <f>'18'!G36</f>
        <v>789.30999999999767</v>
      </c>
      <c r="BA21" s="261">
        <f>'18'!G49</f>
        <v>0</v>
      </c>
      <c r="BB21" s="19">
        <f>'18'!G51</f>
        <v>1640.1900000000023</v>
      </c>
      <c r="BC21" s="19">
        <f>'18'!G52</f>
        <v>1769.359999999986</v>
      </c>
      <c r="BD21" s="19">
        <f>'18'!G53</f>
        <v>4365.3999999999651</v>
      </c>
      <c r="BE21" s="19">
        <f>'18'!G54</f>
        <v>0</v>
      </c>
      <c r="BF21" s="19">
        <f>'18'!G55</f>
        <v>4666.8799999999756</v>
      </c>
      <c r="BG21" s="19">
        <f>'18'!G56</f>
        <v>8.8000000000465661</v>
      </c>
      <c r="BH21" s="19">
        <f>'18'!G57</f>
        <v>0</v>
      </c>
      <c r="BI21" s="262">
        <f>'18'!G50</f>
        <v>1567.9200000000419</v>
      </c>
      <c r="BJ21" s="370">
        <f t="shared" si="12"/>
        <v>6598.2730000000229</v>
      </c>
      <c r="BK21" s="370">
        <f>'18'!G84</f>
        <v>727</v>
      </c>
      <c r="BL21" s="23">
        <f t="shared" si="13"/>
        <v>54.424678542441036</v>
      </c>
      <c r="BM21" s="23">
        <f t="shared" si="14"/>
        <v>18.648383100516746</v>
      </c>
      <c r="BN21" s="24">
        <f t="shared" si="15"/>
        <v>7.5584604212054596E-2</v>
      </c>
      <c r="BO21" s="25">
        <f t="shared" si="16"/>
        <v>281958.62499999511</v>
      </c>
      <c r="BP21" s="213">
        <f t="shared" si="17"/>
        <v>9942.6330000000089</v>
      </c>
      <c r="BQ21">
        <f t="shared" si="18"/>
        <v>1.4863710159660724</v>
      </c>
    </row>
    <row r="22" spans="1:69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0.65</v>
      </c>
      <c r="G22" s="19">
        <f>'19'!G8</f>
        <v>19886</v>
      </c>
      <c r="H22" s="19">
        <f>'19'!G8</f>
        <v>19886</v>
      </c>
      <c r="I22" s="19">
        <f>'19'!G7</f>
        <v>19811</v>
      </c>
      <c r="J22" s="19">
        <v>10</v>
      </c>
      <c r="K22" s="242">
        <f t="shared" si="3"/>
        <v>198860</v>
      </c>
      <c r="L22" s="238">
        <f t="shared" si="4"/>
        <v>98.074257425742573</v>
      </c>
      <c r="M22" s="19">
        <f>'19'!G15</f>
        <v>806.65599999995902</v>
      </c>
      <c r="N22" s="19">
        <v>35</v>
      </c>
      <c r="O22" s="234">
        <f t="shared" si="5"/>
        <v>28232.959999998566</v>
      </c>
      <c r="P22" s="19">
        <f>'19'!G20</f>
        <v>171</v>
      </c>
      <c r="Q22" s="19">
        <v>134</v>
      </c>
      <c r="R22" s="239">
        <f t="shared" si="0"/>
        <v>22914</v>
      </c>
      <c r="S22" s="240">
        <f t="shared" si="1"/>
        <v>130.23610053313021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76</v>
      </c>
      <c r="X22" s="22">
        <f>'19'!G96</f>
        <v>15</v>
      </c>
      <c r="Y22" s="22">
        <f>'19'!G97</f>
        <v>16</v>
      </c>
      <c r="Z22" s="22">
        <f t="shared" si="7"/>
        <v>107</v>
      </c>
      <c r="AA22" s="19">
        <f>'19'!G132</f>
        <v>19.029999999998836</v>
      </c>
      <c r="AB22" s="19">
        <f>'19'!G133</f>
        <v>0</v>
      </c>
      <c r="AC22" s="19">
        <f>'19'!G134</f>
        <v>4.9700000000011642</v>
      </c>
      <c r="AD22" s="19">
        <f>'19'!G135</f>
        <v>0</v>
      </c>
      <c r="AE22" s="19">
        <f t="shared" si="8"/>
        <v>24</v>
      </c>
      <c r="AF22" s="23">
        <f t="shared" si="2"/>
        <v>4813.649999999936</v>
      </c>
      <c r="AG22" s="23">
        <f t="shared" si="9"/>
        <v>200.56874999999732</v>
      </c>
      <c r="AH22" s="19">
        <f>'19'!G136</f>
        <v>7.5900000000001455</v>
      </c>
      <c r="AI22" s="19">
        <f>'19'!G137</f>
        <v>0</v>
      </c>
      <c r="AJ22" s="19">
        <f>'19'!G138</f>
        <v>3.7899999999935972</v>
      </c>
      <c r="AK22" s="19">
        <f t="shared" si="10"/>
        <v>11.379999999993743</v>
      </c>
      <c r="AL22" s="19">
        <f>'19'!G139</f>
        <v>0</v>
      </c>
      <c r="AM22" s="19">
        <f>'19'!G140</f>
        <v>8.4600000000000364</v>
      </c>
      <c r="AN22" s="19"/>
      <c r="AO22" s="19">
        <f t="shared" si="11"/>
        <v>8.4600000000000364</v>
      </c>
      <c r="AP22" s="258">
        <f>'19'!G123</f>
        <v>244.43999999994412</v>
      </c>
      <c r="AQ22" s="261">
        <f>'19'!G35</f>
        <v>3067.1999999999534</v>
      </c>
      <c r="AR22" s="19">
        <f>'19'!G37</f>
        <v>1377.0400000000009</v>
      </c>
      <c r="AS22" s="19">
        <f>'19'!G38</f>
        <v>1626.8199999999997</v>
      </c>
      <c r="AT22" s="19">
        <f>'19'!G39</f>
        <v>3777.9700000000012</v>
      </c>
      <c r="AU22" s="19">
        <f>'19'!G40</f>
        <v>0.23</v>
      </c>
      <c r="AV22" s="19">
        <f>'19'!G41</f>
        <v>3748.4899999999907</v>
      </c>
      <c r="AW22" s="19">
        <f>'19'!G42</f>
        <v>0</v>
      </c>
      <c r="AX22" s="19">
        <f>'19'!G43</f>
        <v>2381.2800000000279</v>
      </c>
      <c r="AY22" s="23">
        <f>'19'!G44</f>
        <v>0</v>
      </c>
      <c r="AZ22" s="262">
        <f>'19'!G36</f>
        <v>604.6699999999837</v>
      </c>
      <c r="BA22" s="261">
        <f>'19'!G49</f>
        <v>0</v>
      </c>
      <c r="BB22" s="19">
        <f>'19'!G51</f>
        <v>82.380000000004657</v>
      </c>
      <c r="BC22" s="19">
        <f>'19'!G52</f>
        <v>98.07999999995809</v>
      </c>
      <c r="BD22" s="19">
        <f>'19'!G53</f>
        <v>243.55999999999767</v>
      </c>
      <c r="BE22" s="19">
        <f>'19'!G54</f>
        <v>73.099999999998545</v>
      </c>
      <c r="BF22" s="19">
        <f>'19'!G55</f>
        <v>1056.6000000000058</v>
      </c>
      <c r="BG22" s="19">
        <f>'19'!G56</f>
        <v>8.559999999939464</v>
      </c>
      <c r="BH22" s="19">
        <f>'19'!G57</f>
        <v>-0.32999999999992724</v>
      </c>
      <c r="BI22" s="262">
        <f>'19'!G50</f>
        <v>1178.9599999999627</v>
      </c>
      <c r="BJ22" s="370">
        <f t="shared" si="12"/>
        <v>4813.649999999936</v>
      </c>
      <c r="BK22" s="370">
        <f>'19'!G84</f>
        <v>715</v>
      </c>
      <c r="BL22" s="23">
        <f t="shared" si="13"/>
        <v>51.798495785169436</v>
      </c>
      <c r="BM22" s="23">
        <f t="shared" si="14"/>
        <v>20.299480086820445</v>
      </c>
      <c r="BN22" s="24">
        <f t="shared" si="15"/>
        <v>8.7067790621369837E-2</v>
      </c>
      <c r="BO22" s="25">
        <f t="shared" si="16"/>
        <v>250006.95999999857</v>
      </c>
      <c r="BP22" s="213">
        <f t="shared" si="17"/>
        <v>7909.599999999964</v>
      </c>
      <c r="BQ22">
        <f t="shared" si="18"/>
        <v>1.1770238095238041</v>
      </c>
    </row>
    <row r="23" spans="1:69">
      <c r="A23" s="16">
        <v>20</v>
      </c>
      <c r="B23" s="26">
        <v>20</v>
      </c>
      <c r="C23" s="26"/>
      <c r="D23" s="19">
        <f>'20'!D3</f>
        <v>28</v>
      </c>
      <c r="E23" s="256">
        <f>'20'!D4</f>
        <v>0.51</v>
      </c>
      <c r="F23" s="256">
        <f>'20'!D2</f>
        <v>0.60219999999999996</v>
      </c>
      <c r="G23" s="19">
        <f>'20'!G8</f>
        <v>21614</v>
      </c>
      <c r="H23" s="19">
        <f>'20'!G8</f>
        <v>21614</v>
      </c>
      <c r="I23" s="19">
        <f>'20'!G7</f>
        <v>21543</v>
      </c>
      <c r="J23" s="19">
        <v>10</v>
      </c>
      <c r="K23" s="242">
        <f t="shared" si="3"/>
        <v>216140</v>
      </c>
      <c r="L23" s="238">
        <f t="shared" si="4"/>
        <v>106.64851485148515</v>
      </c>
      <c r="M23" s="19">
        <f>'20'!G15</f>
        <v>922.34000000008382</v>
      </c>
      <c r="N23" s="19">
        <v>35</v>
      </c>
      <c r="O23" s="234">
        <f t="shared" si="5"/>
        <v>32281.900000002934</v>
      </c>
      <c r="P23" s="19">
        <f>'20'!G20</f>
        <v>152</v>
      </c>
      <c r="Q23" s="19">
        <v>134</v>
      </c>
      <c r="R23" s="239">
        <f t="shared" si="0"/>
        <v>20368</v>
      </c>
      <c r="S23" s="240">
        <f t="shared" si="1"/>
        <v>124.95437521168259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77</v>
      </c>
      <c r="X23" s="22">
        <f>'20'!G96</f>
        <v>16</v>
      </c>
      <c r="Y23" s="22">
        <f>'20'!G97</f>
        <v>20</v>
      </c>
      <c r="Z23" s="22">
        <f t="shared" si="7"/>
        <v>113</v>
      </c>
      <c r="AA23" s="19">
        <f>'20'!G132</f>
        <v>19.790000000000873</v>
      </c>
      <c r="AB23" s="19">
        <f>'20'!G133</f>
        <v>0.51999999999998181</v>
      </c>
      <c r="AC23" s="19">
        <f>'20'!G134</f>
        <v>4</v>
      </c>
      <c r="AD23" s="19">
        <f>'20'!G135</f>
        <v>0</v>
      </c>
      <c r="AE23" s="19">
        <f t="shared" si="8"/>
        <v>24.310000000000855</v>
      </c>
      <c r="AF23" s="23">
        <f t="shared" si="2"/>
        <v>5278.3600000000879</v>
      </c>
      <c r="AG23" s="23">
        <f t="shared" si="9"/>
        <v>217.12710818592768</v>
      </c>
      <c r="AH23" s="19">
        <f>'20'!G136</f>
        <v>9.8499999999985448</v>
      </c>
      <c r="AI23" s="19">
        <f>'20'!G137</f>
        <v>0</v>
      </c>
      <c r="AJ23" s="19">
        <f>'20'!G138</f>
        <v>2.4799999999959255</v>
      </c>
      <c r="AK23" s="19">
        <f t="shared" si="10"/>
        <v>12.32999999999447</v>
      </c>
      <c r="AL23" s="19">
        <f>'20'!G139</f>
        <v>0</v>
      </c>
      <c r="AM23" s="19">
        <f>'20'!G140</f>
        <v>9.160000000000764</v>
      </c>
      <c r="AN23" s="19"/>
      <c r="AO23" s="19">
        <f t="shared" si="11"/>
        <v>9.160000000000764</v>
      </c>
      <c r="AP23" s="258">
        <f>'20'!G123</f>
        <v>267.73999999999069</v>
      </c>
      <c r="AQ23" s="261">
        <f>'20'!G35</f>
        <v>3354</v>
      </c>
      <c r="AR23" s="19">
        <f>'20'!G37</f>
        <v>1568.4199999999983</v>
      </c>
      <c r="AS23" s="19">
        <f>'20'!G38</f>
        <v>1803.9100000000035</v>
      </c>
      <c r="AT23" s="19">
        <f>'20'!G39</f>
        <v>4253.3999999999942</v>
      </c>
      <c r="AU23" s="19">
        <f>'20'!G40</f>
        <v>0</v>
      </c>
      <c r="AV23" s="19">
        <f>'20'!G41</f>
        <v>4344.1800000000076</v>
      </c>
      <c r="AW23" s="19">
        <f>'20'!G42</f>
        <v>0</v>
      </c>
      <c r="AX23" s="19">
        <f>'20'!G43</f>
        <v>2443.9200000000419</v>
      </c>
      <c r="AY23" s="23">
        <f>'20'!G44</f>
        <v>0</v>
      </c>
      <c r="AZ23" s="262">
        <f>'20'!G36</f>
        <v>603.14000000001397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81.170000000000073</v>
      </c>
      <c r="BF23" s="19">
        <f>'20'!G55</f>
        <v>925.33999999999651</v>
      </c>
      <c r="BG23" s="19">
        <f>'20'!G56</f>
        <v>8.840000000083819</v>
      </c>
      <c r="BH23" s="19">
        <f>'20'!G57</f>
        <v>0</v>
      </c>
      <c r="BI23" s="262">
        <f>'20'!G50</f>
        <v>1405.4800000000396</v>
      </c>
      <c r="BJ23" s="370">
        <f t="shared" si="12"/>
        <v>5278.3600000000879</v>
      </c>
      <c r="BK23" s="370">
        <f>'20'!G84</f>
        <v>686</v>
      </c>
      <c r="BL23" s="23">
        <f t="shared" si="13"/>
        <v>51.414751891566304</v>
      </c>
      <c r="BM23" s="23">
        <f t="shared" si="14"/>
        <v>19.743768277398662</v>
      </c>
      <c r="BN23" s="24">
        <f t="shared" si="15"/>
        <v>8.3735320057559459E-2</v>
      </c>
      <c r="BO23" s="25">
        <f t="shared" si="16"/>
        <v>268789.90000000293</v>
      </c>
      <c r="BP23" s="213">
        <f t="shared" si="17"/>
        <v>8408.2800000001298</v>
      </c>
      <c r="BQ23">
        <f t="shared" si="18"/>
        <v>1.2352764882176404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0.48</v>
      </c>
      <c r="G24" s="19">
        <f>'21'!G8</f>
        <v>21610</v>
      </c>
      <c r="H24" s="19">
        <f>'21'!G8</f>
        <v>21610</v>
      </c>
      <c r="I24" s="19">
        <f>'21'!G7</f>
        <v>21518</v>
      </c>
      <c r="J24" s="19">
        <v>10</v>
      </c>
      <c r="K24" s="242">
        <f t="shared" si="3"/>
        <v>216100</v>
      </c>
      <c r="L24" s="238">
        <f t="shared" si="4"/>
        <v>106.52475247524752</v>
      </c>
      <c r="M24" s="19">
        <f>'21'!G15</f>
        <v>979.96999999997206</v>
      </c>
      <c r="N24" s="19">
        <v>35</v>
      </c>
      <c r="O24" s="234">
        <f t="shared" si="5"/>
        <v>34298.949999999022</v>
      </c>
      <c r="P24" s="19">
        <f>'21'!G20</f>
        <v>203</v>
      </c>
      <c r="Q24" s="19">
        <v>134</v>
      </c>
      <c r="R24" s="239">
        <f t="shared" si="0"/>
        <v>27202</v>
      </c>
      <c r="S24" s="240">
        <f t="shared" si="1"/>
        <v>209.36468646864688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80</v>
      </c>
      <c r="X24" s="22">
        <f>'21'!G96</f>
        <v>26</v>
      </c>
      <c r="Y24" s="22">
        <f>'21'!G97</f>
        <v>28</v>
      </c>
      <c r="Z24" s="22">
        <f t="shared" si="7"/>
        <v>134</v>
      </c>
      <c r="AA24" s="19">
        <f>'21'!G132</f>
        <v>24.349999999998545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24.349999999998545</v>
      </c>
      <c r="AF24" s="23">
        <f t="shared" si="2"/>
        <v>5380.7369999999719</v>
      </c>
      <c r="AG24" s="23">
        <f t="shared" si="9"/>
        <v>220.97482546202437</v>
      </c>
      <c r="AH24" s="19">
        <f>'21'!G136</f>
        <v>9.569999999999709</v>
      </c>
      <c r="AI24" s="19">
        <f>'21'!G137</f>
        <v>0</v>
      </c>
      <c r="AJ24" s="19">
        <f>'21'!G138</f>
        <v>1.9800000000104774</v>
      </c>
      <c r="AK24" s="19">
        <f t="shared" si="10"/>
        <v>11.550000000010186</v>
      </c>
      <c r="AL24" s="19">
        <f>'21'!G139</f>
        <v>0</v>
      </c>
      <c r="AM24" s="19">
        <f>'21'!G140</f>
        <v>9.819999999999709</v>
      </c>
      <c r="AN24" s="19"/>
      <c r="AO24" s="19">
        <f t="shared" si="11"/>
        <v>9.819999999999709</v>
      </c>
      <c r="AP24" s="258">
        <f>'21'!G123</f>
        <v>300.25</v>
      </c>
      <c r="AQ24" s="261">
        <f>'21'!G35</f>
        <v>3387.0400000000373</v>
      </c>
      <c r="AR24" s="19">
        <f>'21'!G37</f>
        <v>1605.3700000000026</v>
      </c>
      <c r="AS24" s="19">
        <f>'21'!G38</f>
        <v>1861.4300000000003</v>
      </c>
      <c r="AT24" s="19">
        <f>'21'!G39</f>
        <v>4179.6600000000035</v>
      </c>
      <c r="AU24" s="19">
        <f>'21'!G40</f>
        <v>0</v>
      </c>
      <c r="AV24" s="19">
        <f>'21'!G41</f>
        <v>5371.5800000000017</v>
      </c>
      <c r="AW24" s="19">
        <f>'21'!G42</f>
        <v>0.43699999999807915</v>
      </c>
      <c r="AX24" s="19">
        <f>'21'!G43</f>
        <v>2440.4499999999534</v>
      </c>
      <c r="AY24" s="23">
        <f>'21'!G44</f>
        <v>0</v>
      </c>
      <c r="AZ24" s="262">
        <f>'21'!G36</f>
        <v>605.14000000001397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205.61999999999534</v>
      </c>
      <c r="BE24" s="19">
        <f>'21'!G54</f>
        <v>78.489999999999782</v>
      </c>
      <c r="BF24" s="19">
        <f>'21'!G55</f>
        <v>0</v>
      </c>
      <c r="BG24" s="19">
        <f>'21'!G56</f>
        <v>8.7199999999720603</v>
      </c>
      <c r="BH24" s="19">
        <f>'21'!G57</f>
        <v>0</v>
      </c>
      <c r="BI24" s="262">
        <f>'21'!G50</f>
        <v>1212.4799999999814</v>
      </c>
      <c r="BJ24" s="370">
        <f t="shared" si="12"/>
        <v>5380.7369999999719</v>
      </c>
      <c r="BK24" s="370">
        <f>'21'!G84</f>
        <v>683</v>
      </c>
      <c r="BL24" s="23">
        <f t="shared" si="13"/>
        <v>52.08768008179181</v>
      </c>
      <c r="BM24" s="23">
        <f t="shared" si="14"/>
        <v>20.37958918115066</v>
      </c>
      <c r="BN24" s="24">
        <f t="shared" si="15"/>
        <v>8.6505716144623115E-2</v>
      </c>
      <c r="BO24" s="25">
        <f t="shared" si="16"/>
        <v>277600.94999999902</v>
      </c>
      <c r="BP24" s="213">
        <f t="shared" si="17"/>
        <v>8504.1869999999253</v>
      </c>
      <c r="BQ24">
        <f t="shared" si="18"/>
        <v>1.2473140217073091</v>
      </c>
    </row>
    <row r="25" spans="1:69">
      <c r="A25" s="16">
        <v>22</v>
      </c>
      <c r="B25" s="27">
        <v>22</v>
      </c>
      <c r="C25" s="28"/>
      <c r="D25" s="19">
        <f>'22'!D3</f>
        <v>28</v>
      </c>
      <c r="E25" s="256">
        <f>'22'!D4</f>
        <v>0.75</v>
      </c>
      <c r="F25" s="256">
        <f>'22'!D2</f>
        <v>0.38</v>
      </c>
      <c r="G25" s="19">
        <f>'22'!G8</f>
        <v>21749</v>
      </c>
      <c r="H25" s="19">
        <f>'22'!G8</f>
        <v>21749</v>
      </c>
      <c r="I25" s="19">
        <f>'22'!G7</f>
        <v>21653</v>
      </c>
      <c r="J25" s="19">
        <v>10</v>
      </c>
      <c r="K25" s="242">
        <f t="shared" si="3"/>
        <v>217490</v>
      </c>
      <c r="L25" s="238">
        <f t="shared" si="4"/>
        <v>107.1930693069307</v>
      </c>
      <c r="M25" s="19">
        <f>'22'!G15</f>
        <v>949.80000000004657</v>
      </c>
      <c r="N25" s="19">
        <v>35</v>
      </c>
      <c r="O25" s="234">
        <f t="shared" si="5"/>
        <v>33243.00000000163</v>
      </c>
      <c r="P25" s="19">
        <f>'22'!G20</f>
        <v>174</v>
      </c>
      <c r="Q25" s="19">
        <v>134</v>
      </c>
      <c r="R25" s="239">
        <f t="shared" si="0"/>
        <v>23316</v>
      </c>
      <c r="S25" s="240">
        <f t="shared" si="1"/>
        <v>226.6805627931214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85</v>
      </c>
      <c r="X25" s="22">
        <f>'22'!G96</f>
        <v>17</v>
      </c>
      <c r="Y25" s="22">
        <f>'22'!G97</f>
        <v>21</v>
      </c>
      <c r="Z25" s="22">
        <f t="shared" si="7"/>
        <v>123</v>
      </c>
      <c r="AA25" s="19">
        <f>'22'!G132</f>
        <v>24.220000000001164</v>
      </c>
      <c r="AB25" s="19">
        <f>'22'!G133</f>
        <v>0</v>
      </c>
      <c r="AC25" s="19">
        <f>'22'!G134</f>
        <v>0</v>
      </c>
      <c r="AD25" s="19">
        <f>'22'!G135</f>
        <v>1.0000000002037268E-2</v>
      </c>
      <c r="AE25" s="19">
        <f t="shared" si="8"/>
        <v>24.230000000003201</v>
      </c>
      <c r="AF25" s="23">
        <f t="shared" si="2"/>
        <v>5689.2200000000012</v>
      </c>
      <c r="AG25" s="23">
        <f t="shared" si="9"/>
        <v>234.80066033839248</v>
      </c>
      <c r="AH25" s="19">
        <f>'22'!G136</f>
        <v>9.9500000000007276</v>
      </c>
      <c r="AI25" s="19">
        <f>'22'!G137</f>
        <v>5.9999999997671694E-2</v>
      </c>
      <c r="AJ25" s="19">
        <f>'22'!G138</f>
        <v>3.7699999999895226</v>
      </c>
      <c r="AK25" s="19">
        <f t="shared" si="10"/>
        <v>13.779999999987922</v>
      </c>
      <c r="AL25" s="19">
        <f>'22'!G139</f>
        <v>0</v>
      </c>
      <c r="AM25" s="19">
        <f>'22'!G140</f>
        <v>9.25</v>
      </c>
      <c r="AN25" s="19"/>
      <c r="AO25" s="19">
        <f t="shared" si="11"/>
        <v>9.25</v>
      </c>
      <c r="AP25" s="258">
        <f>'22'!G123</f>
        <v>281.96000000007916</v>
      </c>
      <c r="AQ25" s="261">
        <f>'22'!G35</f>
        <v>3337.8399999999674</v>
      </c>
      <c r="AR25" s="19">
        <f>'22'!G37</f>
        <v>1553.1800000000003</v>
      </c>
      <c r="AS25" s="19">
        <f>'22'!G38</f>
        <v>1793.5399999999936</v>
      </c>
      <c r="AT25" s="19">
        <f>'22'!G39</f>
        <v>4121.1800000000076</v>
      </c>
      <c r="AU25" s="19">
        <f>'22'!G40</f>
        <v>0</v>
      </c>
      <c r="AV25" s="19">
        <f>'22'!G41</f>
        <v>5680.2200000000012</v>
      </c>
      <c r="AW25" s="19">
        <f>'22'!G42</f>
        <v>0</v>
      </c>
      <c r="AX25" s="19">
        <f>'22'!G43</f>
        <v>2399.4699999999721</v>
      </c>
      <c r="AY25" s="23">
        <f>'22'!G44</f>
        <v>0</v>
      </c>
      <c r="AZ25" s="262">
        <f>'22'!G36</f>
        <v>664.15999999997439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214.21999999997206</v>
      </c>
      <c r="BE25" s="19">
        <f>'22'!G54</f>
        <v>77.81000000000131</v>
      </c>
      <c r="BF25" s="19">
        <f>'22'!G55</f>
        <v>0</v>
      </c>
      <c r="BG25" s="19">
        <f>'22'!G56</f>
        <v>9</v>
      </c>
      <c r="BH25" s="19">
        <f>'22'!G57</f>
        <v>0</v>
      </c>
      <c r="BI25" s="262">
        <f>'22'!G50</f>
        <v>1248.4400000000023</v>
      </c>
      <c r="BJ25" s="370">
        <f t="shared" si="12"/>
        <v>5689.2200000000012</v>
      </c>
      <c r="BK25" s="370">
        <f>'22'!G84</f>
        <v>675</v>
      </c>
      <c r="BL25" s="23">
        <f t="shared" si="13"/>
        <v>52.771117166212257</v>
      </c>
      <c r="BM25" s="23">
        <f t="shared" si="14"/>
        <v>20.022167828938159</v>
      </c>
      <c r="BN25" s="24">
        <f t="shared" si="15"/>
        <v>8.2831016487322481E-2</v>
      </c>
      <c r="BO25" s="25">
        <f t="shared" si="16"/>
        <v>274049.00000000163</v>
      </c>
      <c r="BP25" s="213">
        <f t="shared" si="17"/>
        <v>8763.6899999999732</v>
      </c>
      <c r="BQ25">
        <f t="shared" si="18"/>
        <v>1.2917413477977147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21024</v>
      </c>
      <c r="H26" s="19">
        <f>'23'!G8</f>
        <v>21024</v>
      </c>
      <c r="I26" s="19">
        <f>'23'!G7</f>
        <v>20933</v>
      </c>
      <c r="J26" s="19">
        <v>10</v>
      </c>
      <c r="K26" s="242">
        <f t="shared" si="3"/>
        <v>210240</v>
      </c>
      <c r="L26" s="238">
        <f t="shared" si="4"/>
        <v>103.62871287128714</v>
      </c>
      <c r="M26" s="19">
        <f>'23'!G15</f>
        <v>913.22999999998137</v>
      </c>
      <c r="N26" s="19">
        <v>35</v>
      </c>
      <c r="O26" s="234">
        <f t="shared" si="5"/>
        <v>31963.049999999348</v>
      </c>
      <c r="P26" s="19">
        <f>'23'!G20</f>
        <v>152</v>
      </c>
      <c r="Q26" s="19">
        <v>134</v>
      </c>
      <c r="R26" s="239">
        <f t="shared" si="0"/>
        <v>20368</v>
      </c>
      <c r="S26" s="240">
        <f t="shared" si="1"/>
        <v>144.70677837014472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76</v>
      </c>
      <c r="X26" s="22">
        <f>'23'!G96</f>
        <v>16</v>
      </c>
      <c r="Y26" s="22">
        <f>'23'!G97</f>
        <v>14</v>
      </c>
      <c r="Z26" s="22">
        <f t="shared" si="7"/>
        <v>106</v>
      </c>
      <c r="AA26" s="19">
        <f>'23'!G132</f>
        <v>23.580000000001746</v>
      </c>
      <c r="AB26" s="19">
        <f>'23'!G133</f>
        <v>0</v>
      </c>
      <c r="AC26" s="19">
        <f>'23'!G134</f>
        <v>0</v>
      </c>
      <c r="AD26" s="19">
        <f>'23'!G135</f>
        <v>0</v>
      </c>
      <c r="AE26" s="19">
        <f t="shared" si="8"/>
        <v>23.580000000001746</v>
      </c>
      <c r="AF26" s="23">
        <f t="shared" si="2"/>
        <v>5237.7799999999697</v>
      </c>
      <c r="AG26" s="23">
        <f t="shared" si="9"/>
        <v>222.12807463950728</v>
      </c>
      <c r="AH26" s="19">
        <f>'23'!G136</f>
        <v>8.5799999999981083</v>
      </c>
      <c r="AI26" s="19">
        <f>'23'!G137</f>
        <v>-5.9999999997671694E-2</v>
      </c>
      <c r="AJ26" s="19">
        <f>'23'!G138</f>
        <v>2.6300000000046566</v>
      </c>
      <c r="AK26" s="19">
        <f t="shared" si="10"/>
        <v>11.150000000005093</v>
      </c>
      <c r="AL26" s="19">
        <f>'23'!G139</f>
        <v>0</v>
      </c>
      <c r="AM26" s="19">
        <f>'23'!G140</f>
        <v>9.7399999999997817</v>
      </c>
      <c r="AN26" s="19"/>
      <c r="AO26" s="19">
        <f t="shared" si="11"/>
        <v>9.7399999999997817</v>
      </c>
      <c r="AP26" s="258">
        <f>'23'!G123</f>
        <v>273.31999999994878</v>
      </c>
      <c r="AQ26" s="261">
        <f>'23'!G35</f>
        <v>3280.5300000000279</v>
      </c>
      <c r="AR26" s="19">
        <f>'23'!G37</f>
        <v>1487.9199999999983</v>
      </c>
      <c r="AS26" s="19">
        <f>'23'!G38</f>
        <v>1823.3000000000029</v>
      </c>
      <c r="AT26" s="19">
        <f>'23'!G39</f>
        <v>4120.7899999999936</v>
      </c>
      <c r="AU26" s="19">
        <f>'23'!G40</f>
        <v>0</v>
      </c>
      <c r="AV26" s="19">
        <f>'23'!G41</f>
        <v>5237.929999999993</v>
      </c>
      <c r="AW26" s="19">
        <f>'23'!G42</f>
        <v>0</v>
      </c>
      <c r="AX26" s="19">
        <f>'23'!G43</f>
        <v>2358.5300000000279</v>
      </c>
      <c r="AY26" s="23">
        <f>'23'!G44</f>
        <v>0</v>
      </c>
      <c r="AZ26" s="262">
        <f>'23'!G36</f>
        <v>620.89000000001397</v>
      </c>
      <c r="BA26" s="261">
        <f>'23'!G49</f>
        <v>-0.13000000000465661</v>
      </c>
      <c r="BB26" s="19">
        <f>'23'!G51</f>
        <v>0</v>
      </c>
      <c r="BC26" s="19">
        <f>'23'!G52</f>
        <v>-6.9999999948777258E-2</v>
      </c>
      <c r="BD26" s="19">
        <f>'23'!G53</f>
        <v>0</v>
      </c>
      <c r="BE26" s="19">
        <f>'23'!G54</f>
        <v>76.139999999999418</v>
      </c>
      <c r="BF26" s="19">
        <f>'23'!G55</f>
        <v>0</v>
      </c>
      <c r="BG26" s="19">
        <f>'23'!G56</f>
        <v>-0.15000000002328306</v>
      </c>
      <c r="BH26" s="19">
        <f>'23'!G57</f>
        <v>0</v>
      </c>
      <c r="BI26" s="262">
        <f>'23'!G50</f>
        <v>1181.25</v>
      </c>
      <c r="BJ26" s="370">
        <f t="shared" si="12"/>
        <v>5237.7799999999697</v>
      </c>
      <c r="BK26" s="370">
        <f>'23'!G84</f>
        <v>708</v>
      </c>
      <c r="BL26" s="23">
        <f t="shared" si="13"/>
        <v>51.959633115177091</v>
      </c>
      <c r="BM26" s="23">
        <f t="shared" si="14"/>
        <v>19.685616012993805</v>
      </c>
      <c r="BN26" s="24">
        <f t="shared" si="15"/>
        <v>8.7098361438879002E-2</v>
      </c>
      <c r="BO26" s="25">
        <f t="shared" si="16"/>
        <v>262571.04999999935</v>
      </c>
      <c r="BP26" s="213">
        <f t="shared" si="17"/>
        <v>8304.3099999999977</v>
      </c>
      <c r="BQ26">
        <f t="shared" si="18"/>
        <v>1.2577714164545291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21369</v>
      </c>
      <c r="H27" s="19">
        <f>'24'!G8</f>
        <v>21369</v>
      </c>
      <c r="I27" s="19">
        <f>'24'!G7</f>
        <v>21281</v>
      </c>
      <c r="J27" s="19">
        <v>10</v>
      </c>
      <c r="K27" s="242">
        <f t="shared" si="3"/>
        <v>213690</v>
      </c>
      <c r="L27" s="238">
        <f t="shared" si="4"/>
        <v>105.35148514851485</v>
      </c>
      <c r="M27" s="19">
        <f>'24'!G15</f>
        <v>296</v>
      </c>
      <c r="N27" s="19">
        <v>35</v>
      </c>
      <c r="O27" s="234">
        <f t="shared" si="5"/>
        <v>10360</v>
      </c>
      <c r="P27" s="19">
        <f>'24'!G20</f>
        <v>194</v>
      </c>
      <c r="Q27" s="19">
        <v>134</v>
      </c>
      <c r="R27" s="239">
        <f t="shared" si="0"/>
        <v>25996</v>
      </c>
      <c r="S27" s="240">
        <f t="shared" si="1"/>
        <v>152.44381581015244</v>
      </c>
      <c r="T27" s="19">
        <f>'24'!G24</f>
        <v>1290</v>
      </c>
      <c r="U27" s="19">
        <v>69</v>
      </c>
      <c r="V27" s="241">
        <f t="shared" si="6"/>
        <v>89010</v>
      </c>
      <c r="W27" s="22">
        <f>'24'!G95</f>
        <v>85</v>
      </c>
      <c r="X27" s="22">
        <f>'24'!G96</f>
        <v>15</v>
      </c>
      <c r="Y27" s="22">
        <f>'24'!G97</f>
        <v>13</v>
      </c>
      <c r="Z27" s="22">
        <f t="shared" si="7"/>
        <v>113</v>
      </c>
      <c r="AA27" s="19">
        <f>'24'!G132</f>
        <v>23.979999999995925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23.979999999995925</v>
      </c>
      <c r="AF27" s="23">
        <f t="shared" si="2"/>
        <v>5174.8500000000131</v>
      </c>
      <c r="AG27" s="23">
        <f t="shared" si="9"/>
        <v>215.79858215183037</v>
      </c>
      <c r="AH27" s="19">
        <f>'24'!G136</f>
        <v>3.4000000000014552</v>
      </c>
      <c r="AI27" s="19">
        <f>'24'!G137</f>
        <v>4.6599999999998545</v>
      </c>
      <c r="AJ27" s="19">
        <f>'24'!G138</f>
        <v>0</v>
      </c>
      <c r="AK27" s="19">
        <f t="shared" si="10"/>
        <v>8.0600000000013097</v>
      </c>
      <c r="AL27" s="19">
        <f>'24'!G139</f>
        <v>0</v>
      </c>
      <c r="AM27" s="19">
        <f>'24'!G140</f>
        <v>8.7100000000000364</v>
      </c>
      <c r="AN27" s="19"/>
      <c r="AO27" s="19">
        <f t="shared" si="11"/>
        <v>8.7100000000000364</v>
      </c>
      <c r="AP27" s="258">
        <f>'24'!G123</f>
        <v>101</v>
      </c>
      <c r="AQ27" s="261">
        <f>'24'!G35</f>
        <v>3119</v>
      </c>
      <c r="AR27" s="19">
        <f>'24'!G37</f>
        <v>1480</v>
      </c>
      <c r="AS27" s="19">
        <f>'24'!G38</f>
        <v>1763</v>
      </c>
      <c r="AT27" s="19">
        <f>'24'!G39</f>
        <v>4091</v>
      </c>
      <c r="AU27" s="19">
        <f>'24'!G40</f>
        <v>0</v>
      </c>
      <c r="AV27" s="19">
        <f>'24'!G41</f>
        <v>5174</v>
      </c>
      <c r="AW27" s="19">
        <f>'24'!G42</f>
        <v>0.40000000000145519</v>
      </c>
      <c r="AX27" s="19">
        <f>'24'!G43</f>
        <v>2354</v>
      </c>
      <c r="AY27" s="23">
        <f>'24'!G44</f>
        <v>0</v>
      </c>
      <c r="AZ27" s="262">
        <f>'24'!G36</f>
        <v>598</v>
      </c>
      <c r="BA27" s="261">
        <f>'24'!G49</f>
        <v>0</v>
      </c>
      <c r="BB27" s="19">
        <f>'24'!G51</f>
        <v>0.13000000000465661</v>
      </c>
      <c r="BC27" s="19">
        <f>'24'!G52</f>
        <v>0</v>
      </c>
      <c r="BD27" s="19">
        <f>'24'!G53</f>
        <v>-0.46999999997206032</v>
      </c>
      <c r="BE27" s="19">
        <f>'24'!G54</f>
        <v>70</v>
      </c>
      <c r="BF27" s="19">
        <f>'24'!G55</f>
        <v>0.45000000001164153</v>
      </c>
      <c r="BG27" s="19">
        <f>'24'!G56</f>
        <v>0</v>
      </c>
      <c r="BH27" s="19">
        <f>'24'!G57</f>
        <v>0</v>
      </c>
      <c r="BI27" s="262">
        <f>'24'!G50</f>
        <v>1818</v>
      </c>
      <c r="BJ27" s="370">
        <f t="shared" si="12"/>
        <v>5174.8500000000131</v>
      </c>
      <c r="BK27" s="370">
        <f>'24'!G84</f>
        <v>738</v>
      </c>
      <c r="BL27" s="23">
        <f t="shared" si="13"/>
        <v>50.034537850664975</v>
      </c>
      <c r="BM27" s="23">
        <f t="shared" si="14"/>
        <v>19.221512146985706</v>
      </c>
      <c r="BN27" s="24">
        <f t="shared" si="15"/>
        <v>8.2843851322776191E-2</v>
      </c>
      <c r="BO27" s="25">
        <f t="shared" si="16"/>
        <v>339056</v>
      </c>
      <c r="BP27" s="213">
        <f t="shared" si="17"/>
        <v>8266.8500000000131</v>
      </c>
      <c r="BQ27">
        <f t="shared" si="18"/>
        <v>1.2312120219232423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-4987377</v>
      </c>
      <c r="H28" s="19">
        <f>'25'!G8</f>
        <v>-4987377</v>
      </c>
      <c r="I28" s="19">
        <f>'25'!G7</f>
        <v>-4956677</v>
      </c>
      <c r="J28" s="19">
        <v>10</v>
      </c>
      <c r="K28" s="242">
        <f t="shared" si="3"/>
        <v>-49873770</v>
      </c>
      <c r="L28" s="238">
        <f t="shared" si="4"/>
        <v>-24538.004950495051</v>
      </c>
      <c r="M28" s="19">
        <f>'25'!G15</f>
        <v>-1640178</v>
      </c>
      <c r="N28" s="19">
        <v>35</v>
      </c>
      <c r="O28" s="234">
        <f t="shared" si="5"/>
        <v>-57406230</v>
      </c>
      <c r="P28" s="19">
        <f>'25'!G20</f>
        <v>-135723</v>
      </c>
      <c r="Q28" s="19">
        <v>134</v>
      </c>
      <c r="R28" s="239">
        <f t="shared" si="0"/>
        <v>-18186882</v>
      </c>
      <c r="S28" s="240">
        <f t="shared" si="1"/>
        <v>-124425.1925192519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-410164</v>
      </c>
      <c r="X28" s="22">
        <f>'25'!G96</f>
        <v>-101699</v>
      </c>
      <c r="Y28" s="22">
        <f>'25'!G97</f>
        <v>-96757</v>
      </c>
      <c r="Z28" s="22">
        <f t="shared" si="7"/>
        <v>-608620</v>
      </c>
      <c r="AA28" s="19">
        <f>'25'!G132</f>
        <v>-39365.279999999999</v>
      </c>
      <c r="AB28" s="19">
        <f>'25'!G133</f>
        <v>-299.52</v>
      </c>
      <c r="AC28" s="19">
        <f>'25'!G134</f>
        <v>-40802</v>
      </c>
      <c r="AD28" s="19">
        <f>'25'!G135</f>
        <v>-32582.93</v>
      </c>
      <c r="AE28" s="19">
        <f t="shared" si="8"/>
        <v>-113049.72999999998</v>
      </c>
      <c r="AF28" s="23">
        <f t="shared" si="2"/>
        <v>-894733</v>
      </c>
      <c r="AG28" s="23">
        <f t="shared" si="9"/>
        <v>7.9145080664942782</v>
      </c>
      <c r="AH28" s="19">
        <f>'24'!G136</f>
        <v>3.4000000000014552</v>
      </c>
      <c r="AI28" s="19">
        <f>'24'!G137</f>
        <v>4.6599999999998545</v>
      </c>
      <c r="AJ28" s="19">
        <f>'24'!G138</f>
        <v>0</v>
      </c>
      <c r="AK28" s="19">
        <f t="shared" si="10"/>
        <v>8.0600000000013097</v>
      </c>
      <c r="AL28" s="19">
        <f>'23'!G139</f>
        <v>0</v>
      </c>
      <c r="AM28" s="19">
        <f>'24'!G140</f>
        <v>8.7100000000000364</v>
      </c>
      <c r="AN28" s="19"/>
      <c r="AO28" s="19">
        <f t="shared" si="11"/>
        <v>8.7100000000000364</v>
      </c>
      <c r="AP28" s="258">
        <f>'25'!G123</f>
        <v>-816987</v>
      </c>
      <c r="AQ28" s="261">
        <f>'25'!G35</f>
        <v>-774670</v>
      </c>
      <c r="AR28" s="19">
        <f>'25'!G37</f>
        <v>-44239</v>
      </c>
      <c r="AS28" s="19">
        <f>'25'!G38</f>
        <v>-59005</v>
      </c>
      <c r="AT28" s="19">
        <f>'25'!G39</f>
        <v>-124610</v>
      </c>
      <c r="AU28" s="19">
        <f>'25'!G40</f>
        <v>-0.23</v>
      </c>
      <c r="AV28" s="19">
        <f>'25'!G41</f>
        <v>-96858</v>
      </c>
      <c r="AW28" s="19"/>
      <c r="AX28" s="19">
        <f>'25'!G43</f>
        <v>-884161</v>
      </c>
      <c r="AY28" s="23">
        <f>'25'!G44</f>
        <v>0</v>
      </c>
      <c r="AZ28" s="262">
        <f>'25'!G36</f>
        <v>-311995</v>
      </c>
      <c r="BA28" s="261">
        <f>'25'!G49</f>
        <v>-260732</v>
      </c>
      <c r="BB28" s="19">
        <f>'25'!G51</f>
        <v>-144640</v>
      </c>
      <c r="BC28" s="19">
        <f>'25'!G52</f>
        <v>-539606</v>
      </c>
      <c r="BD28" s="19">
        <f>'25'!G53</f>
        <v>-399433</v>
      </c>
      <c r="BE28" s="19">
        <f>'24'!G54</f>
        <v>70</v>
      </c>
      <c r="BF28" s="19">
        <f>'25'!G55</f>
        <v>-208981</v>
      </c>
      <c r="BG28" s="19">
        <f>'25'!G56</f>
        <v>-588894</v>
      </c>
      <c r="BH28" s="19">
        <f>'25'!G57</f>
        <v>-7711</v>
      </c>
      <c r="BI28" s="262">
        <f>'25'!G50</f>
        <v>-432426</v>
      </c>
      <c r="BJ28" s="370">
        <f t="shared" si="12"/>
        <v>-894733</v>
      </c>
      <c r="BK28" s="370">
        <f>'25'!G84</f>
        <v>-448965</v>
      </c>
      <c r="BL28" s="23">
        <f t="shared" si="13"/>
        <v>56.93344553215794</v>
      </c>
      <c r="BM28" s="23">
        <f t="shared" si="14"/>
        <v>10.57246619055468</v>
      </c>
      <c r="BN28" s="24">
        <f t="shared" si="15"/>
        <v>0.12076861171304888</v>
      </c>
      <c r="BO28" s="25">
        <f t="shared" si="16"/>
        <v>-125466882</v>
      </c>
      <c r="BP28" s="213">
        <f t="shared" si="17"/>
        <v>-2235570</v>
      </c>
      <c r="BQ28">
        <f t="shared" si="18"/>
        <v>7.062536612363933E-2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0</v>
      </c>
      <c r="H29" s="19">
        <f>'26'!G8</f>
        <v>0</v>
      </c>
      <c r="I29" s="19">
        <f>'26'!G7</f>
        <v>0</v>
      </c>
      <c r="J29" s="19">
        <v>10</v>
      </c>
      <c r="K29" s="242">
        <f t="shared" si="3"/>
        <v>0</v>
      </c>
      <c r="L29" s="238">
        <f t="shared" si="4"/>
        <v>0</v>
      </c>
      <c r="M29" s="19">
        <f>'26'!G15</f>
        <v>0</v>
      </c>
      <c r="N29" s="19">
        <v>35</v>
      </c>
      <c r="O29" s="234">
        <f t="shared" si="5"/>
        <v>0</v>
      </c>
      <c r="P29" s="19">
        <f>'26'!G20</f>
        <v>0</v>
      </c>
      <c r="Q29" s="19">
        <v>134</v>
      </c>
      <c r="R29" s="239">
        <f t="shared" si="0"/>
        <v>0</v>
      </c>
      <c r="S29" s="240">
        <f t="shared" si="1"/>
        <v>0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0</v>
      </c>
      <c r="X29" s="22">
        <f>'26'!G96</f>
        <v>0</v>
      </c>
      <c r="Y29" s="22">
        <f>'26'!G97</f>
        <v>0</v>
      </c>
      <c r="Z29" s="22">
        <f t="shared" si="7"/>
        <v>0</v>
      </c>
      <c r="AA29" s="19">
        <f>'26'!G132</f>
        <v>0</v>
      </c>
      <c r="AB29" s="19">
        <f>'26'!G133</f>
        <v>0</v>
      </c>
      <c r="AC29" s="19">
        <f>'26'!G134</f>
        <v>0</v>
      </c>
      <c r="AD29" s="19">
        <f>'26'!G135</f>
        <v>0</v>
      </c>
      <c r="AE29" s="19">
        <f t="shared" si="8"/>
        <v>0</v>
      </c>
      <c r="AF29" s="23">
        <f t="shared" si="2"/>
        <v>0</v>
      </c>
      <c r="AG29" s="23" t="e">
        <f t="shared" si="9"/>
        <v>#DIV/0!</v>
      </c>
      <c r="AH29" s="19">
        <f>'26'!G136</f>
        <v>0</v>
      </c>
      <c r="AI29" s="19">
        <f>'26'!G137</f>
        <v>0</v>
      </c>
      <c r="AJ29" s="19">
        <f>'26'!G138</f>
        <v>0</v>
      </c>
      <c r="AK29" s="19">
        <f t="shared" si="10"/>
        <v>0</v>
      </c>
      <c r="AL29" s="19">
        <f>'26'!G139</f>
        <v>0</v>
      </c>
      <c r="AM29" s="19">
        <f>'26'!G140</f>
        <v>0</v>
      </c>
      <c r="AN29" s="19"/>
      <c r="AO29" s="19">
        <f t="shared" si="11"/>
        <v>0</v>
      </c>
      <c r="AP29" s="258">
        <f>'26'!G123</f>
        <v>0</v>
      </c>
      <c r="AQ29" s="261">
        <f>'26'!G35</f>
        <v>0</v>
      </c>
      <c r="AR29" s="19">
        <f>'26'!G37</f>
        <v>0</v>
      </c>
      <c r="AS29" s="19">
        <f>'26'!G38</f>
        <v>0</v>
      </c>
      <c r="AT29" s="19">
        <f>'26'!G39</f>
        <v>0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0</v>
      </c>
      <c r="AY29" s="23">
        <f>'26'!G44</f>
        <v>0</v>
      </c>
      <c r="AZ29" s="262">
        <f>'26'!G36</f>
        <v>0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0</v>
      </c>
      <c r="BG29" s="19">
        <f>'26'!G56</f>
        <v>0</v>
      </c>
      <c r="BH29" s="19">
        <f>'26'!G57</f>
        <v>0</v>
      </c>
      <c r="BI29" s="262">
        <f>'26'!G50</f>
        <v>0</v>
      </c>
      <c r="BJ29" s="370">
        <f t="shared" si="12"/>
        <v>0</v>
      </c>
      <c r="BK29" s="370">
        <f>'26'!G84</f>
        <v>0</v>
      </c>
      <c r="BL29" s="23" t="e">
        <f t="shared" si="13"/>
        <v>#DIV/0!</v>
      </c>
      <c r="BM29" s="23" t="e">
        <f t="shared" si="14"/>
        <v>#DIV/0!</v>
      </c>
      <c r="BN29" s="24" t="e">
        <f t="shared" si="15"/>
        <v>#DIV/0!</v>
      </c>
      <c r="BO29" s="25">
        <f t="shared" si="16"/>
        <v>0</v>
      </c>
      <c r="BP29" s="213">
        <f t="shared" si="17"/>
        <v>0</v>
      </c>
      <c r="BQ29" t="e">
        <f t="shared" si="18"/>
        <v>#DIV/0!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0</v>
      </c>
      <c r="H30" s="19">
        <f>'27'!G8</f>
        <v>0</v>
      </c>
      <c r="I30" s="19">
        <f>'27'!G7</f>
        <v>0</v>
      </c>
      <c r="J30" s="19">
        <v>10</v>
      </c>
      <c r="K30" s="242">
        <f t="shared" si="3"/>
        <v>0</v>
      </c>
      <c r="L30" s="238">
        <f t="shared" si="4"/>
        <v>0</v>
      </c>
      <c r="M30" s="19">
        <f>'27'!G15</f>
        <v>0</v>
      </c>
      <c r="N30" s="19">
        <v>35</v>
      </c>
      <c r="O30" s="234">
        <f t="shared" si="5"/>
        <v>0</v>
      </c>
      <c r="P30" s="19">
        <f>'27'!G20</f>
        <v>0</v>
      </c>
      <c r="Q30" s="19">
        <v>134</v>
      </c>
      <c r="R30" s="239">
        <f t="shared" si="0"/>
        <v>0</v>
      </c>
      <c r="S30" s="240">
        <f t="shared" si="1"/>
        <v>0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0</v>
      </c>
      <c r="X30" s="22">
        <f>'27'!G96</f>
        <v>0</v>
      </c>
      <c r="Y30" s="22">
        <f>'27'!G97</f>
        <v>0</v>
      </c>
      <c r="Z30" s="22">
        <f t="shared" si="7"/>
        <v>0</v>
      </c>
      <c r="AA30" s="19">
        <f>'27'!G132</f>
        <v>0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0</v>
      </c>
      <c r="AF30" s="23">
        <f t="shared" si="2"/>
        <v>0</v>
      </c>
      <c r="AG30" s="23" t="e">
        <f t="shared" si="9"/>
        <v>#DIV/0!</v>
      </c>
      <c r="AH30" s="19">
        <f>'27'!G136</f>
        <v>0</v>
      </c>
      <c r="AI30" s="19">
        <f>'27'!G137</f>
        <v>0</v>
      </c>
      <c r="AJ30" s="19">
        <f>'27'!G138</f>
        <v>0</v>
      </c>
      <c r="AK30" s="19">
        <f t="shared" si="10"/>
        <v>0</v>
      </c>
      <c r="AL30" s="19">
        <f>'27'!G139</f>
        <v>0</v>
      </c>
      <c r="AM30" s="19">
        <f>'27'!G140</f>
        <v>0</v>
      </c>
      <c r="AN30" s="19"/>
      <c r="AO30" s="19">
        <f t="shared" si="11"/>
        <v>0</v>
      </c>
      <c r="AP30" s="258">
        <f>'27'!G123</f>
        <v>0</v>
      </c>
      <c r="AQ30" s="261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0</v>
      </c>
      <c r="AW30" s="19">
        <f>'27'!G42</f>
        <v>0</v>
      </c>
      <c r="AX30" s="19">
        <f>'27'!G43</f>
        <v>0</v>
      </c>
      <c r="AY30" s="23">
        <f>'27'!G44</f>
        <v>0</v>
      </c>
      <c r="AZ30" s="262">
        <f>'27'!G36</f>
        <v>0</v>
      </c>
      <c r="BA30" s="261">
        <f>'27'!G49</f>
        <v>0</v>
      </c>
      <c r="BB30" s="19">
        <f>'27'!G51</f>
        <v>0</v>
      </c>
      <c r="BC30" s="19">
        <f>'27'!G52</f>
        <v>0</v>
      </c>
      <c r="BD30" s="19">
        <f>'27'!G53</f>
        <v>0</v>
      </c>
      <c r="BE30" s="19">
        <f>'27'!G54</f>
        <v>0</v>
      </c>
      <c r="BF30" s="19">
        <f>'27'!G55</f>
        <v>0</v>
      </c>
      <c r="BG30" s="19">
        <f>'27'!G56</f>
        <v>0</v>
      </c>
      <c r="BH30" s="19">
        <f>'27'!G57</f>
        <v>0</v>
      </c>
      <c r="BI30" s="262">
        <f>'27'!G50</f>
        <v>0</v>
      </c>
      <c r="BJ30" s="370">
        <f t="shared" si="12"/>
        <v>0</v>
      </c>
      <c r="BK30" s="370">
        <f>'27'!G84</f>
        <v>0</v>
      </c>
      <c r="BL30" s="23" t="e">
        <f t="shared" si="13"/>
        <v>#DIV/0!</v>
      </c>
      <c r="BM30" s="23" t="e">
        <f t="shared" si="14"/>
        <v>#DIV/0!</v>
      </c>
      <c r="BN30" s="24" t="e">
        <f t="shared" si="15"/>
        <v>#DIV/0!</v>
      </c>
      <c r="BO30" s="25">
        <f t="shared" si="16"/>
        <v>0</v>
      </c>
      <c r="BP30" s="213">
        <f t="shared" si="17"/>
        <v>0</v>
      </c>
      <c r="BQ30" t="e">
        <f t="shared" si="18"/>
        <v>#DIV/0!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0</v>
      </c>
      <c r="H31" s="19">
        <f>'28'!G8</f>
        <v>0</v>
      </c>
      <c r="I31" s="19">
        <f>'28'!G7</f>
        <v>0</v>
      </c>
      <c r="J31" s="19">
        <v>10</v>
      </c>
      <c r="K31" s="242">
        <f t="shared" si="3"/>
        <v>0</v>
      </c>
      <c r="L31" s="238">
        <f t="shared" si="4"/>
        <v>0</v>
      </c>
      <c r="M31" s="19">
        <f>'28'!G15</f>
        <v>0</v>
      </c>
      <c r="N31" s="19">
        <v>35</v>
      </c>
      <c r="O31" s="234">
        <f t="shared" si="5"/>
        <v>0</v>
      </c>
      <c r="P31" s="19">
        <f>'28'!G20</f>
        <v>0</v>
      </c>
      <c r="Q31" s="19">
        <v>134</v>
      </c>
      <c r="R31" s="239">
        <f t="shared" si="0"/>
        <v>0</v>
      </c>
      <c r="S31" s="240">
        <f t="shared" si="1"/>
        <v>0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0</v>
      </c>
      <c r="X31" s="22">
        <f>'28'!G96</f>
        <v>0</v>
      </c>
      <c r="Y31" s="22">
        <f>'28'!G97</f>
        <v>0</v>
      </c>
      <c r="Z31" s="22">
        <f t="shared" si="7"/>
        <v>0</v>
      </c>
      <c r="AA31" s="19">
        <f>'28'!G132</f>
        <v>0</v>
      </c>
      <c r="AB31" s="19">
        <f>'28'!G133</f>
        <v>0</v>
      </c>
      <c r="AC31" s="19">
        <f>'28'!G134</f>
        <v>0</v>
      </c>
      <c r="AD31" s="19">
        <f>'28'!G135</f>
        <v>0</v>
      </c>
      <c r="AE31" s="19">
        <f t="shared" si="8"/>
        <v>0</v>
      </c>
      <c r="AF31" s="23">
        <f t="shared" si="2"/>
        <v>0</v>
      </c>
      <c r="AG31" s="23" t="e">
        <f t="shared" si="9"/>
        <v>#DIV/0!</v>
      </c>
      <c r="AH31" s="19">
        <f>'28'!G136</f>
        <v>0</v>
      </c>
      <c r="AI31" s="19">
        <f>'28'!G137</f>
        <v>0</v>
      </c>
      <c r="AJ31" s="19">
        <f>'28'!G138</f>
        <v>0</v>
      </c>
      <c r="AK31" s="19">
        <f t="shared" si="10"/>
        <v>0</v>
      </c>
      <c r="AL31" s="19">
        <f>'28'!G139</f>
        <v>0</v>
      </c>
      <c r="AM31" s="19">
        <f>'28'!G140</f>
        <v>0</v>
      </c>
      <c r="AN31" s="19"/>
      <c r="AO31" s="19">
        <f t="shared" si="11"/>
        <v>0</v>
      </c>
      <c r="AP31" s="258">
        <f>'28'!G123</f>
        <v>0</v>
      </c>
      <c r="AQ31" s="261">
        <f>'28'!G35</f>
        <v>0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0</v>
      </c>
      <c r="AW31" s="19">
        <f>'28'!G42</f>
        <v>0</v>
      </c>
      <c r="AX31" s="439">
        <f>'28'!G43</f>
        <v>0</v>
      </c>
      <c r="AY31" s="23">
        <f>'28'!G44</f>
        <v>0</v>
      </c>
      <c r="AZ31" s="262">
        <f>'28'!G36</f>
        <v>0</v>
      </c>
      <c r="BA31" s="261">
        <f>'28'!G49</f>
        <v>0</v>
      </c>
      <c r="BB31" s="19">
        <f>'28'!G51</f>
        <v>0</v>
      </c>
      <c r="BC31" s="19">
        <f>'28'!G52</f>
        <v>0</v>
      </c>
      <c r="BD31" s="19">
        <f>'28'!G53</f>
        <v>0</v>
      </c>
      <c r="BE31" s="19">
        <f>'28'!G54</f>
        <v>0</v>
      </c>
      <c r="BF31" s="19">
        <f>'28'!G55</f>
        <v>0</v>
      </c>
      <c r="BG31" s="19">
        <f>'28'!G56</f>
        <v>0</v>
      </c>
      <c r="BH31" s="19">
        <f>'28'!G57</f>
        <v>0</v>
      </c>
      <c r="BI31" s="262">
        <f>'28'!G50</f>
        <v>0</v>
      </c>
      <c r="BJ31" s="370">
        <f t="shared" si="12"/>
        <v>0</v>
      </c>
      <c r="BK31" s="370">
        <f>'28'!G84</f>
        <v>0</v>
      </c>
      <c r="BL31" s="23" t="e">
        <f>SUM(AQ31,AV31,AW31,AX31,BA31,BF31,BG31,BH31)/I31%</f>
        <v>#DIV/0!</v>
      </c>
      <c r="BM31" s="23" t="e">
        <f t="shared" si="14"/>
        <v>#DIV/0!</v>
      </c>
      <c r="BN31" s="24" t="e">
        <f t="shared" si="15"/>
        <v>#DIV/0!</v>
      </c>
      <c r="BO31" s="25">
        <f t="shared" si="16"/>
        <v>0</v>
      </c>
      <c r="BP31" s="213">
        <f t="shared" si="17"/>
        <v>0</v>
      </c>
      <c r="BQ31" t="e">
        <f t="shared" si="18"/>
        <v>#DIV/0!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0</v>
      </c>
      <c r="H32" s="19"/>
      <c r="I32" s="19">
        <f>'29'!G7</f>
        <v>0</v>
      </c>
      <c r="J32" s="19">
        <v>10</v>
      </c>
      <c r="K32" s="242">
        <f t="shared" si="3"/>
        <v>0</v>
      </c>
      <c r="L32" s="238">
        <f t="shared" si="4"/>
        <v>0</v>
      </c>
      <c r="M32" s="19">
        <f>'29'!G15</f>
        <v>0</v>
      </c>
      <c r="N32" s="19">
        <v>35</v>
      </c>
      <c r="O32" s="234">
        <f t="shared" si="5"/>
        <v>0</v>
      </c>
      <c r="P32" s="19">
        <f>'29'!G20</f>
        <v>0</v>
      </c>
      <c r="Q32" s="19">
        <v>134</v>
      </c>
      <c r="R32" s="239">
        <f t="shared" si="0"/>
        <v>0</v>
      </c>
      <c r="S32" s="240">
        <f t="shared" si="1"/>
        <v>0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0</v>
      </c>
      <c r="X32" s="22">
        <f>'29'!G96</f>
        <v>0</v>
      </c>
      <c r="Y32" s="22">
        <f>'29'!G97</f>
        <v>0</v>
      </c>
      <c r="Z32" s="22">
        <f t="shared" si="7"/>
        <v>0</v>
      </c>
      <c r="AA32" s="19">
        <f>'29'!G132</f>
        <v>0</v>
      </c>
      <c r="AB32" s="19">
        <f>'29'!G133</f>
        <v>0</v>
      </c>
      <c r="AC32" s="19">
        <f>'29'!G134</f>
        <v>0</v>
      </c>
      <c r="AD32" s="19">
        <f>'29'!G135</f>
        <v>0</v>
      </c>
      <c r="AE32" s="19">
        <f t="shared" si="8"/>
        <v>0</v>
      </c>
      <c r="AF32" s="23">
        <f t="shared" si="2"/>
        <v>0</v>
      </c>
      <c r="AG32" s="23" t="e">
        <f t="shared" si="9"/>
        <v>#DIV/0!</v>
      </c>
      <c r="AH32" s="19">
        <f>'29'!G136</f>
        <v>0</v>
      </c>
      <c r="AI32" s="19">
        <f>'29'!G137</f>
        <v>0</v>
      </c>
      <c r="AJ32" s="19">
        <f>'29'!G138</f>
        <v>0</v>
      </c>
      <c r="AK32" s="19">
        <f t="shared" si="10"/>
        <v>0</v>
      </c>
      <c r="AL32" s="19">
        <f>'29'!G139</f>
        <v>0</v>
      </c>
      <c r="AM32" s="19">
        <f>'29'!G140</f>
        <v>0</v>
      </c>
      <c r="AN32" s="19"/>
      <c r="AO32" s="19">
        <f t="shared" si="11"/>
        <v>0</v>
      </c>
      <c r="AP32" s="258">
        <f>'29'!G123</f>
        <v>0</v>
      </c>
      <c r="AQ32" s="261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0</v>
      </c>
      <c r="AY32" s="23">
        <f>'29'!G44</f>
        <v>0</v>
      </c>
      <c r="AZ32" s="262">
        <f>'29'!G36</f>
        <v>0</v>
      </c>
      <c r="BA32" s="261">
        <f>'29'!G49</f>
        <v>0</v>
      </c>
      <c r="BB32" s="19">
        <f>'29'!G51</f>
        <v>0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0</v>
      </c>
      <c r="BG32" s="19">
        <f>'29'!G56</f>
        <v>0</v>
      </c>
      <c r="BH32" s="19">
        <f>'29'!G57</f>
        <v>0</v>
      </c>
      <c r="BI32" s="262">
        <f>'29'!G50</f>
        <v>0</v>
      </c>
      <c r="BJ32" s="370">
        <f t="shared" si="12"/>
        <v>0</v>
      </c>
      <c r="BK32" s="370">
        <f>'29'!G84</f>
        <v>0</v>
      </c>
      <c r="BL32" s="23" t="e">
        <f t="shared" si="13"/>
        <v>#DIV/0!</v>
      </c>
      <c r="BM32" s="23" t="e">
        <f t="shared" si="14"/>
        <v>#DIV/0!</v>
      </c>
      <c r="BN32" s="24" t="e">
        <f t="shared" si="15"/>
        <v>#DIV/0!</v>
      </c>
      <c r="BO32" s="25">
        <f t="shared" si="16"/>
        <v>0</v>
      </c>
      <c r="BP32" s="213">
        <f t="shared" si="17"/>
        <v>0</v>
      </c>
      <c r="BQ32" t="e">
        <f t="shared" si="18"/>
        <v>#DIV/0!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0</v>
      </c>
      <c r="H33" s="19"/>
      <c r="I33" s="19">
        <f>'30'!G7</f>
        <v>0</v>
      </c>
      <c r="J33" s="19">
        <v>10</v>
      </c>
      <c r="K33" s="242">
        <f t="shared" si="3"/>
        <v>0</v>
      </c>
      <c r="L33" s="238">
        <f t="shared" si="4"/>
        <v>0</v>
      </c>
      <c r="M33" s="19">
        <f>'30'!G15</f>
        <v>0</v>
      </c>
      <c r="N33" s="19">
        <v>35</v>
      </c>
      <c r="O33" s="234">
        <f t="shared" si="5"/>
        <v>0</v>
      </c>
      <c r="P33" s="19">
        <f>'30'!G20</f>
        <v>0</v>
      </c>
      <c r="Q33" s="19">
        <v>134</v>
      </c>
      <c r="R33" s="239">
        <f t="shared" si="0"/>
        <v>0</v>
      </c>
      <c r="S33" s="240">
        <f t="shared" si="1"/>
        <v>0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0</v>
      </c>
      <c r="X33" s="22">
        <f>'30'!G96</f>
        <v>0</v>
      </c>
      <c r="Y33" s="22">
        <f>'30'!G97</f>
        <v>0</v>
      </c>
      <c r="Z33" s="22">
        <f t="shared" si="7"/>
        <v>0</v>
      </c>
      <c r="AA33" s="19">
        <f>'30'!G132</f>
        <v>0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0</v>
      </c>
      <c r="AF33" s="23">
        <f t="shared" si="2"/>
        <v>0</v>
      </c>
      <c r="AG33" s="23" t="e">
        <f t="shared" si="9"/>
        <v>#DIV/0!</v>
      </c>
      <c r="AH33" s="19">
        <f>'30'!G136</f>
        <v>0</v>
      </c>
      <c r="AI33" s="19">
        <f>'30'!G137</f>
        <v>0</v>
      </c>
      <c r="AJ33" s="19">
        <f>'30'!G138</f>
        <v>0</v>
      </c>
      <c r="AK33" s="19">
        <f t="shared" si="10"/>
        <v>0</v>
      </c>
      <c r="AL33" s="19">
        <f>'30'!G139</f>
        <v>0</v>
      </c>
      <c r="AM33" s="19">
        <f>'30'!G140</f>
        <v>0</v>
      </c>
      <c r="AN33" s="19"/>
      <c r="AO33" s="19">
        <f t="shared" si="11"/>
        <v>0</v>
      </c>
      <c r="AP33" s="258">
        <f>'30'!G123</f>
        <v>0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0</v>
      </c>
      <c r="AY33" s="23">
        <f>'30'!G44</f>
        <v>0</v>
      </c>
      <c r="AZ33" s="262">
        <f>'30'!G36</f>
        <v>0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-7711.33</v>
      </c>
      <c r="BI33" s="238">
        <f t="shared" ref="BI33" si="19">BF33/202</f>
        <v>0</v>
      </c>
      <c r="BJ33" s="370">
        <f t="shared" si="12"/>
        <v>0</v>
      </c>
      <c r="BK33" s="370">
        <f>'31'!G84</f>
        <v>0</v>
      </c>
      <c r="BL33" s="23" t="e">
        <f t="shared" si="13"/>
        <v>#DIV/0!</v>
      </c>
      <c r="BM33" s="23" t="e">
        <f t="shared" si="14"/>
        <v>#DIV/0!</v>
      </c>
      <c r="BN33" s="24" t="e">
        <f t="shared" si="15"/>
        <v>#DIV/0!</v>
      </c>
      <c r="BO33" s="25">
        <f t="shared" si="16"/>
        <v>0</v>
      </c>
      <c r="BP33" s="213">
        <f t="shared" si="17"/>
        <v>-7711.33</v>
      </c>
      <c r="BQ33" t="e">
        <f t="shared" si="18"/>
        <v>#DIV/0!</v>
      </c>
    </row>
    <row r="34" spans="1:69">
      <c r="A34" s="16">
        <v>31</v>
      </c>
      <c r="B34" s="27">
        <v>31</v>
      </c>
      <c r="C34" s="28"/>
      <c r="D34" s="19">
        <f>'[2]30'!D34</f>
        <v>0</v>
      </c>
      <c r="E34" s="256" t="str">
        <f>'[2]31'!D5</f>
        <v>Unit</v>
      </c>
      <c r="F34" s="256">
        <f>'[2]31'!D3</f>
        <v>30</v>
      </c>
      <c r="G34" s="19">
        <f>'[2]31'!G8</f>
        <v>19595</v>
      </c>
      <c r="H34" s="19"/>
      <c r="I34" s="19">
        <f>'[2]31'!G7</f>
        <v>19398</v>
      </c>
      <c r="J34" s="19">
        <v>10</v>
      </c>
      <c r="K34" s="242">
        <f t="shared" si="3"/>
        <v>0</v>
      </c>
      <c r="L34" s="238">
        <f t="shared" si="4"/>
        <v>96.029702970297024</v>
      </c>
      <c r="M34" s="19">
        <f>'[2]10'!G15</f>
        <v>827.6500000001397</v>
      </c>
      <c r="N34" s="19">
        <v>35</v>
      </c>
      <c r="O34" s="234">
        <f t="shared" si="5"/>
        <v>28967.750000004889</v>
      </c>
      <c r="P34" s="19">
        <f>'[2]31'!G20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'[2]31'!G24</f>
        <v>0</v>
      </c>
      <c r="U34" s="19">
        <v>69</v>
      </c>
      <c r="V34" s="241">
        <f t="shared" si="6"/>
        <v>0</v>
      </c>
      <c r="W34" s="22">
        <f>'[2]31'!G95</f>
        <v>63</v>
      </c>
      <c r="X34" s="22">
        <f>'[2]31'!G96</f>
        <v>15</v>
      </c>
      <c r="Y34" s="22">
        <f>'[2]31'!G97</f>
        <v>22</v>
      </c>
      <c r="Z34" s="22">
        <f t="shared" si="7"/>
        <v>100</v>
      </c>
      <c r="AA34" s="19">
        <f>'[2]31'!G132</f>
        <v>0</v>
      </c>
      <c r="AB34" s="19">
        <f>'[2]31'!G133</f>
        <v>0</v>
      </c>
      <c r="AC34" s="19">
        <f>'[2]31'!G134</f>
        <v>0</v>
      </c>
      <c r="AD34" s="19">
        <f>'[2]31'!G135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'[2]31'!G136</f>
        <v>6.3300000000017462</v>
      </c>
      <c r="AI34" s="19">
        <f>'[2]31'!G137</f>
        <v>0</v>
      </c>
      <c r="AJ34" s="19">
        <f>'[2]31'!G138</f>
        <v>0</v>
      </c>
      <c r="AK34" s="19">
        <f t="shared" si="10"/>
        <v>6.3300000000017462</v>
      </c>
      <c r="AL34" s="19">
        <f>'[2]31'!G139</f>
        <v>0</v>
      </c>
      <c r="AM34" s="19">
        <f>'[2]31'!G140</f>
        <v>7.9200000000000728</v>
      </c>
      <c r="AN34" s="19"/>
      <c r="AO34" s="19">
        <f t="shared" si="11"/>
        <v>7.9200000000000728</v>
      </c>
      <c r="AP34" s="258">
        <f>'[2]31'!G123</f>
        <v>241.35000000009313</v>
      </c>
      <c r="AQ34" s="261">
        <f>'[2]31'!G35</f>
        <v>0</v>
      </c>
      <c r="AR34" s="19">
        <f>'[2]31'!G37</f>
        <v>0</v>
      </c>
      <c r="AS34" s="19">
        <f>'[2]31'!G38</f>
        <v>0</v>
      </c>
      <c r="AT34" s="19">
        <f>'[2]31'!G39</f>
        <v>0</v>
      </c>
      <c r="AU34" s="19">
        <f>'[2]31'!G40</f>
        <v>0</v>
      </c>
      <c r="AV34" s="19">
        <f>'[2]31'!G41</f>
        <v>0</v>
      </c>
      <c r="AW34" s="19">
        <f>'[2]31'!G42</f>
        <v>8.999999999650754E-2</v>
      </c>
      <c r="AX34" s="19">
        <f>'[2]31'!G43</f>
        <v>1972.7200000000885</v>
      </c>
      <c r="AY34" s="23">
        <f>'[2]31'!G44</f>
        <v>0</v>
      </c>
      <c r="AZ34" s="262">
        <f>'[2]31'!G36</f>
        <v>668.5800000000163</v>
      </c>
      <c r="BA34" s="261">
        <f>'[2]31'!G49</f>
        <v>2791.390000000014</v>
      </c>
      <c r="BB34" s="19">
        <f>'[2]31'!G51</f>
        <v>1472.3400000000038</v>
      </c>
      <c r="BC34" s="19">
        <f>'[2]31'!G52</f>
        <v>2047.2800000000279</v>
      </c>
      <c r="BD34" s="19">
        <f>'[2]31'!G53</f>
        <v>4400.9700000000012</v>
      </c>
      <c r="BE34" s="19">
        <f>'[2]31'!G54</f>
        <v>79.989999999999782</v>
      </c>
      <c r="BF34" s="19">
        <f>'[2]31'!BD7</f>
        <v>0</v>
      </c>
      <c r="BG34" s="19">
        <f>'[2]31'!G56</f>
        <v>4263.1199999999953</v>
      </c>
      <c r="BH34" s="19">
        <f>'[2]31'!H57</f>
        <v>0</v>
      </c>
      <c r="BI34" s="262">
        <f>'[2]31'!G50</f>
        <v>1070.4400000000023</v>
      </c>
      <c r="BJ34" s="370">
        <f t="shared" si="12"/>
        <v>4263.2099999999919</v>
      </c>
      <c r="BK34" s="370">
        <f>'[2]31'!G84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53623.750000004889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202</v>
      </c>
      <c r="B35" s="30"/>
      <c r="C35" s="31"/>
      <c r="D35" s="32">
        <f>AVERAGE(D4:D34)</f>
        <v>25.387096774193548</v>
      </c>
      <c r="E35" s="33"/>
      <c r="F35" s="384">
        <f>AVERAGE(F4:F34)</f>
        <v>1.4813516129032258</v>
      </c>
      <c r="G35" s="34">
        <f>SUM(G4:G34)</f>
        <v>-4453561</v>
      </c>
      <c r="H35" s="34">
        <f>SUM(H4:H34)</f>
        <v>-4473156</v>
      </c>
      <c r="I35" s="34">
        <f t="shared" ref="I35:BO35" si="20">SUM(I4:I34)</f>
        <v>-4425679</v>
      </c>
      <c r="J35" s="34">
        <f t="shared" si="20"/>
        <v>309</v>
      </c>
      <c r="K35" s="34">
        <f t="shared" si="20"/>
        <v>-44754114</v>
      </c>
      <c r="L35" s="34">
        <f t="shared" si="20"/>
        <v>-21909.301980198023</v>
      </c>
      <c r="M35" s="34">
        <f t="shared" si="20"/>
        <v>-1619050.96</v>
      </c>
      <c r="N35" s="34">
        <f t="shared" si="20"/>
        <v>1085</v>
      </c>
      <c r="O35" s="34">
        <f t="shared" si="20"/>
        <v>-56666783.599999994</v>
      </c>
      <c r="P35" s="34">
        <f t="shared" si="20"/>
        <v>-131134</v>
      </c>
      <c r="Q35" s="34">
        <f t="shared" si="20"/>
        <v>4154</v>
      </c>
      <c r="R35" s="34">
        <f t="shared" si="20"/>
        <v>-17571956</v>
      </c>
      <c r="S35" s="34">
        <f t="shared" si="20"/>
        <v>-119996.47391779034</v>
      </c>
      <c r="T35" s="34">
        <f t="shared" si="20"/>
        <v>1290</v>
      </c>
      <c r="U35" s="34">
        <f t="shared" si="20"/>
        <v>2139</v>
      </c>
      <c r="V35" s="34">
        <f t="shared" si="20"/>
        <v>89010</v>
      </c>
      <c r="W35" s="34">
        <f t="shared" si="20"/>
        <v>-408093</v>
      </c>
      <c r="X35" s="34">
        <f t="shared" si="20"/>
        <v>-101317</v>
      </c>
      <c r="Y35" s="34">
        <f t="shared" si="20"/>
        <v>-96427</v>
      </c>
      <c r="Z35" s="34">
        <f t="shared" si="20"/>
        <v>-605837</v>
      </c>
      <c r="AA35" s="34">
        <f t="shared" si="20"/>
        <v>-38838.33</v>
      </c>
      <c r="AB35" s="34">
        <f t="shared" si="20"/>
        <v>-300</v>
      </c>
      <c r="AC35" s="34">
        <f t="shared" si="20"/>
        <v>-40367.14</v>
      </c>
      <c r="AD35" s="34">
        <f t="shared" si="20"/>
        <v>-32547.08</v>
      </c>
      <c r="AE35" s="34">
        <f t="shared" si="20"/>
        <v>-112052.54999999999</v>
      </c>
      <c r="AF35" s="34">
        <f t="shared" si="20"/>
        <v>-763255.7300000001</v>
      </c>
      <c r="AG35" s="34" t="e">
        <f t="shared" si="20"/>
        <v>#DIV/0!</v>
      </c>
      <c r="AH35" s="34">
        <f t="shared" si="20"/>
        <v>209.77000000000407</v>
      </c>
      <c r="AI35" s="34">
        <f t="shared" si="20"/>
        <v>9.319999999999709</v>
      </c>
      <c r="AJ35" s="34">
        <f t="shared" si="20"/>
        <v>90.660000000003492</v>
      </c>
      <c r="AK35" s="34">
        <f t="shared" si="20"/>
        <v>309.75000000000728</v>
      </c>
      <c r="AL35" s="34">
        <f t="shared" si="20"/>
        <v>113.37999999999988</v>
      </c>
      <c r="AM35" s="34">
        <f t="shared" si="20"/>
        <v>91</v>
      </c>
      <c r="AN35" s="34">
        <f t="shared" si="20"/>
        <v>0</v>
      </c>
      <c r="AO35" s="34">
        <f t="shared" si="20"/>
        <v>204.37999999999988</v>
      </c>
      <c r="AP35" s="34">
        <f t="shared" si="20"/>
        <v>-810765.48999999987</v>
      </c>
      <c r="AQ35" s="34">
        <f t="shared" si="20"/>
        <v>-693087.59</v>
      </c>
      <c r="AR35" s="34">
        <f t="shared" si="20"/>
        <v>3105.0800000000017</v>
      </c>
      <c r="AS35" s="34">
        <f t="shared" si="20"/>
        <v>-43813.49</v>
      </c>
      <c r="AT35" s="34">
        <f t="shared" si="20"/>
        <v>9392.890000000014</v>
      </c>
      <c r="AU35" s="34">
        <f t="shared" si="20"/>
        <v>-0.06</v>
      </c>
      <c r="AV35" s="34">
        <f t="shared" si="20"/>
        <v>-63882.37</v>
      </c>
      <c r="AW35" s="34">
        <f t="shared" si="20"/>
        <v>0.23999999999796273</v>
      </c>
      <c r="AX35" s="34">
        <f t="shared" si="20"/>
        <v>-823925.10999999987</v>
      </c>
      <c r="AY35" s="34">
        <f t="shared" si="20"/>
        <v>0</v>
      </c>
      <c r="AZ35" s="34">
        <f t="shared" si="20"/>
        <v>-295776.99</v>
      </c>
      <c r="BA35" s="34">
        <f t="shared" si="20"/>
        <v>-257940.74</v>
      </c>
      <c r="BB35" s="34">
        <f t="shared" si="20"/>
        <v>-118578.57999999999</v>
      </c>
      <c r="BC35" s="34">
        <f t="shared" si="20"/>
        <v>-505865.43</v>
      </c>
      <c r="BD35" s="34">
        <f t="shared" si="20"/>
        <v>-327629.06000000006</v>
      </c>
      <c r="BE35" s="34">
        <f t="shared" si="20"/>
        <v>711.35999999999967</v>
      </c>
      <c r="BF35" s="34">
        <f t="shared" si="20"/>
        <v>-117585.69</v>
      </c>
      <c r="BG35" s="34">
        <f t="shared" si="20"/>
        <v>-581787.91</v>
      </c>
      <c r="BH35" s="34">
        <f t="shared" si="20"/>
        <v>-15422.66</v>
      </c>
      <c r="BI35" s="34">
        <f t="shared" si="20"/>
        <v>-401392.59</v>
      </c>
      <c r="BJ35" s="34">
        <f t="shared" si="20"/>
        <v>-763255.7300000001</v>
      </c>
      <c r="BK35" s="34">
        <f t="shared" si="20"/>
        <v>-430749</v>
      </c>
      <c r="BL35" s="34" t="e">
        <f t="shared" si="20"/>
        <v>#DIV/0!</v>
      </c>
      <c r="BM35" s="34" t="e">
        <f t="shared" si="20"/>
        <v>#DIV/0!</v>
      </c>
      <c r="BN35" s="34" t="e">
        <f t="shared" si="20"/>
        <v>#DIV/0!</v>
      </c>
      <c r="BO35" s="34">
        <f t="shared" si="20"/>
        <v>-118903843.60000001</v>
      </c>
      <c r="BP35" s="213">
        <f t="shared" si="17"/>
        <v>-2033352.4999999998</v>
      </c>
      <c r="BQ35">
        <f t="shared" si="18"/>
        <v>6.4808638574362781E-2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-6</v>
      </c>
      <c r="E36" s="35">
        <f t="shared" si="21"/>
        <v>-0.14000000000000001</v>
      </c>
      <c r="F36" s="35">
        <f t="shared" si="21"/>
        <v>0.27</v>
      </c>
      <c r="G36" s="35"/>
      <c r="H36" s="35"/>
      <c r="I36" s="35">
        <f t="shared" ref="I36:AO36" si="22">I18-I17</f>
        <v>17</v>
      </c>
      <c r="J36" s="35">
        <f t="shared" si="22"/>
        <v>0</v>
      </c>
      <c r="K36" s="235">
        <f t="shared" si="22"/>
        <v>490</v>
      </c>
      <c r="L36" s="235">
        <f t="shared" si="22"/>
        <v>8.4158415841585565E-2</v>
      </c>
      <c r="M36" s="35">
        <f t="shared" si="22"/>
        <v>-27.290999999968335</v>
      </c>
      <c r="N36" s="35">
        <f t="shared" si="22"/>
        <v>0</v>
      </c>
      <c r="O36" s="235">
        <f t="shared" si="22"/>
        <v>-955.18499999889173</v>
      </c>
      <c r="P36" s="35">
        <f t="shared" si="22"/>
        <v>-57</v>
      </c>
      <c r="Q36" s="35">
        <f t="shared" si="22"/>
        <v>0</v>
      </c>
      <c r="R36" s="235">
        <f t="shared" si="22"/>
        <v>-7638</v>
      </c>
      <c r="S36" s="235">
        <f t="shared" si="22"/>
        <v>-157.82473769765028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-2</v>
      </c>
      <c r="X36" s="35">
        <f t="shared" si="22"/>
        <v>-14</v>
      </c>
      <c r="Y36" s="35">
        <f t="shared" si="22"/>
        <v>-26</v>
      </c>
      <c r="Z36" s="35">
        <f t="shared" si="22"/>
        <v>-42</v>
      </c>
      <c r="AA36" s="35">
        <f t="shared" si="22"/>
        <v>0</v>
      </c>
      <c r="AB36" s="35">
        <f t="shared" si="22"/>
        <v>0</v>
      </c>
      <c r="AC36" s="35">
        <f t="shared" si="22"/>
        <v>0</v>
      </c>
      <c r="AD36" s="35">
        <f t="shared" si="22"/>
        <v>-0.41999999999825377</v>
      </c>
      <c r="AE36" s="35">
        <f t="shared" si="22"/>
        <v>-0.41999999999825377</v>
      </c>
      <c r="AF36" s="35">
        <f t="shared" si="22"/>
        <v>686.45300000000134</v>
      </c>
      <c r="AG36" s="35">
        <f t="shared" si="22"/>
        <v>32.192503173613545</v>
      </c>
      <c r="AH36" s="35">
        <f t="shared" si="22"/>
        <v>-0.42000000000189175</v>
      </c>
      <c r="AI36" s="35">
        <f t="shared" si="22"/>
        <v>-0.25000000000363798</v>
      </c>
      <c r="AJ36" s="35">
        <f t="shared" si="22"/>
        <v>1.1200000000098953</v>
      </c>
      <c r="AK36" s="35">
        <f t="shared" si="22"/>
        <v>0.45000000000436557</v>
      </c>
      <c r="AL36" s="35">
        <f t="shared" si="22"/>
        <v>0.36999999999989086</v>
      </c>
      <c r="AM36" s="35">
        <f t="shared" si="22"/>
        <v>-0.47000000000025466</v>
      </c>
      <c r="AN36" s="35">
        <f t="shared" si="22"/>
        <v>0</v>
      </c>
      <c r="AO36" s="35">
        <f t="shared" si="22"/>
        <v>-0.1000000000003638</v>
      </c>
      <c r="AP36" s="35"/>
      <c r="AQ36" s="35">
        <f t="shared" ref="AQ36:AX36" si="23">AQ18-AQ17</f>
        <v>-20.369999999995343</v>
      </c>
      <c r="AR36" s="35">
        <f t="shared" si="23"/>
        <v>0</v>
      </c>
      <c r="AS36" s="35">
        <f t="shared" si="23"/>
        <v>0</v>
      </c>
      <c r="AT36" s="35">
        <f t="shared" si="23"/>
        <v>0</v>
      </c>
      <c r="AU36" s="35">
        <f t="shared" si="23"/>
        <v>-0.06</v>
      </c>
      <c r="AV36" s="35">
        <f t="shared" si="23"/>
        <v>612.01000000000204</v>
      </c>
      <c r="AW36" s="35">
        <f t="shared" si="23"/>
        <v>0.16300000000046566</v>
      </c>
      <c r="AX36" s="35">
        <f t="shared" si="23"/>
        <v>24.550000000046566</v>
      </c>
      <c r="AY36" s="35"/>
      <c r="AZ36" s="35"/>
      <c r="BA36" s="35">
        <f t="shared" ref="BA36:BH36" si="24">BA18-BA17</f>
        <v>0.13000000000465661</v>
      </c>
      <c r="BB36" s="35">
        <f t="shared" si="24"/>
        <v>61.670000000012806</v>
      </c>
      <c r="BC36" s="35">
        <f t="shared" si="24"/>
        <v>-122.0899999999674</v>
      </c>
      <c r="BD36" s="35">
        <f t="shared" si="24"/>
        <v>129.21000000002095</v>
      </c>
      <c r="BE36" s="35">
        <f t="shared" si="24"/>
        <v>0.29000000000087311</v>
      </c>
      <c r="BF36" s="35">
        <f t="shared" si="24"/>
        <v>2.1700000000128057</v>
      </c>
      <c r="BG36" s="35">
        <f t="shared" si="24"/>
        <v>72.10999999998603</v>
      </c>
      <c r="BH36" s="35">
        <f t="shared" si="24"/>
        <v>0</v>
      </c>
      <c r="BI36" s="35"/>
      <c r="BJ36" s="35"/>
      <c r="BK36" s="35"/>
      <c r="BL36" s="35">
        <f>BL18-BL17</f>
        <v>3.2495864863051978</v>
      </c>
      <c r="BM36" s="35">
        <f>BM18-BM17</f>
        <v>0.59975759833549702</v>
      </c>
      <c r="BN36" s="35"/>
      <c r="BO36" s="35">
        <f>BO18-BO17</f>
        <v>-8103.1849999988917</v>
      </c>
      <c r="BP36" s="35">
        <f>BP18-BP17</f>
        <v>700.0030000000479</v>
      </c>
    </row>
    <row r="37" spans="1:69">
      <c r="F37" s="213">
        <f>AVERAGE(F4:F35)</f>
        <v>1.4813516129032258</v>
      </c>
      <c r="G37" s="213"/>
      <c r="H37" s="213"/>
      <c r="I37" s="213">
        <f>AVERAGE(I4:I35)</f>
        <v>-276604.9375</v>
      </c>
    </row>
    <row r="38" spans="1:69">
      <c r="B38" s="36" t="s">
        <v>68</v>
      </c>
      <c r="F38" s="383">
        <f>AVERAGE(F4:F35)</f>
        <v>1.4813516129032258</v>
      </c>
      <c r="G38" s="383"/>
      <c r="H38" s="383"/>
    </row>
    <row r="41" spans="1:69">
      <c r="BJ41">
        <f>(BJ31+BK31)/400</f>
        <v>0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topLeftCell="A7" workbookViewId="0">
      <selection activeCell="H23" sqref="H23"/>
    </sheetView>
  </sheetViews>
  <sheetFormatPr defaultRowHeight="15.75"/>
  <cols>
    <col min="2" max="2" width="9.109375" style="1168" customWidth="1"/>
    <col min="3" max="3" width="7.44140625" style="1168" customWidth="1"/>
    <col min="4" max="4" width="7.5546875" style="1168" customWidth="1"/>
    <col min="5" max="5" width="7.88671875" style="1168" customWidth="1"/>
    <col min="6" max="6" width="10.6640625" style="1168" customWidth="1"/>
  </cols>
  <sheetData>
    <row r="1" spans="1:7" ht="47.25">
      <c r="A1" s="1032"/>
      <c r="B1" s="1241" t="s">
        <v>311</v>
      </c>
      <c r="C1" s="1241" t="s">
        <v>309</v>
      </c>
      <c r="D1" s="1241" t="s">
        <v>310</v>
      </c>
      <c r="E1" s="1241" t="s">
        <v>313</v>
      </c>
      <c r="F1" s="1241" t="s">
        <v>312</v>
      </c>
      <c r="G1" s="1280" t="s">
        <v>323</v>
      </c>
    </row>
    <row r="2" spans="1:7">
      <c r="A2" s="1032">
        <v>1</v>
      </c>
      <c r="B2" s="1242"/>
      <c r="C2" s="1243"/>
      <c r="D2" s="1243">
        <v>1</v>
      </c>
      <c r="E2" s="1243">
        <f>SUM(C2:D2)/202%</f>
        <v>0.49504950495049505</v>
      </c>
      <c r="F2" s="1279"/>
      <c r="G2" s="1279">
        <f>C2+D2</f>
        <v>1</v>
      </c>
    </row>
    <row r="3" spans="1:7">
      <c r="A3" s="1032">
        <v>2</v>
      </c>
      <c r="B3" s="1242"/>
      <c r="C3" s="1243">
        <v>120</v>
      </c>
      <c r="D3" s="1243">
        <v>1</v>
      </c>
      <c r="E3" s="1243">
        <f t="shared" ref="E3:E5" si="0">SUM(C3:D3)/202%</f>
        <v>59.900990099009903</v>
      </c>
      <c r="F3" s="1279">
        <v>349</v>
      </c>
      <c r="G3" s="1279">
        <f t="shared" ref="G3:G30" si="1">C3+D3</f>
        <v>121</v>
      </c>
    </row>
    <row r="4" spans="1:7">
      <c r="A4" s="1032">
        <v>3</v>
      </c>
      <c r="B4" s="1242"/>
      <c r="C4" s="1243">
        <v>83</v>
      </c>
      <c r="D4" s="1243">
        <v>1</v>
      </c>
      <c r="E4" s="1243">
        <f t="shared" si="0"/>
        <v>41.584158415841586</v>
      </c>
      <c r="F4" s="1279">
        <v>399</v>
      </c>
      <c r="G4" s="1279">
        <f t="shared" si="1"/>
        <v>84</v>
      </c>
    </row>
    <row r="5" spans="1:7">
      <c r="A5" s="1032">
        <v>4</v>
      </c>
      <c r="B5" s="1242"/>
      <c r="C5" s="1243">
        <v>86</v>
      </c>
      <c r="D5" s="1243">
        <v>0</v>
      </c>
      <c r="E5" s="1243">
        <f t="shared" si="0"/>
        <v>42.574257425742573</v>
      </c>
      <c r="F5" s="1279">
        <v>369</v>
      </c>
      <c r="G5" s="1279">
        <f t="shared" si="1"/>
        <v>86</v>
      </c>
    </row>
    <row r="6" spans="1:7">
      <c r="A6" s="1032">
        <v>5</v>
      </c>
      <c r="B6" s="1242"/>
      <c r="C6" s="1243">
        <v>96</v>
      </c>
      <c r="D6" s="1243">
        <v>1</v>
      </c>
      <c r="E6" s="1243">
        <f t="shared" ref="E6:E30" si="2">SUM(C6:D6)/202%</f>
        <v>48.019801980198018</v>
      </c>
      <c r="F6" s="1279">
        <v>328</v>
      </c>
      <c r="G6" s="1279">
        <f t="shared" si="1"/>
        <v>97</v>
      </c>
    </row>
    <row r="7" spans="1:7">
      <c r="A7" s="1032">
        <v>6</v>
      </c>
      <c r="B7" s="1242"/>
      <c r="C7" s="1243">
        <v>161</v>
      </c>
      <c r="D7" s="1243">
        <v>1</v>
      </c>
      <c r="E7" s="1243">
        <f t="shared" si="2"/>
        <v>80.198019801980195</v>
      </c>
      <c r="F7" s="1279">
        <v>506</v>
      </c>
      <c r="G7" s="1279">
        <f t="shared" si="1"/>
        <v>162</v>
      </c>
    </row>
    <row r="8" spans="1:7">
      <c r="A8" s="1032">
        <v>7</v>
      </c>
      <c r="B8" s="1242"/>
      <c r="C8" s="1243">
        <v>98</v>
      </c>
      <c r="D8" s="1243">
        <v>1</v>
      </c>
      <c r="E8" s="1243">
        <f t="shared" si="2"/>
        <v>49.009900990099013</v>
      </c>
      <c r="F8" s="1279">
        <v>607</v>
      </c>
      <c r="G8" s="1279">
        <f t="shared" si="1"/>
        <v>99</v>
      </c>
    </row>
    <row r="9" spans="1:7">
      <c r="A9" s="1032">
        <v>8</v>
      </c>
      <c r="B9" s="1242"/>
      <c r="C9" s="1243">
        <v>81</v>
      </c>
      <c r="D9" s="1243">
        <v>1</v>
      </c>
      <c r="E9" s="1243">
        <f t="shared" si="2"/>
        <v>40.594059405940591</v>
      </c>
      <c r="F9" s="1279">
        <v>406</v>
      </c>
      <c r="G9" s="1279">
        <f t="shared" si="1"/>
        <v>82</v>
      </c>
    </row>
    <row r="10" spans="1:7">
      <c r="A10" s="1032">
        <v>9</v>
      </c>
      <c r="B10" s="1242"/>
      <c r="C10" s="1243">
        <v>82</v>
      </c>
      <c r="D10" s="1243">
        <v>2</v>
      </c>
      <c r="E10" s="1243">
        <f t="shared" si="2"/>
        <v>41.584158415841586</v>
      </c>
      <c r="F10" s="1279">
        <v>328</v>
      </c>
      <c r="G10" s="1279">
        <f t="shared" si="1"/>
        <v>84</v>
      </c>
    </row>
    <row r="11" spans="1:7">
      <c r="A11" s="1032">
        <v>10</v>
      </c>
      <c r="B11" s="1242"/>
      <c r="C11" s="1243">
        <v>80</v>
      </c>
      <c r="D11" s="1243">
        <v>1</v>
      </c>
      <c r="E11" s="1243">
        <f t="shared" si="2"/>
        <v>40.099009900990097</v>
      </c>
      <c r="F11" s="1279">
        <v>362</v>
      </c>
      <c r="G11" s="1279">
        <f t="shared" si="1"/>
        <v>81</v>
      </c>
    </row>
    <row r="12" spans="1:7">
      <c r="A12" s="1032">
        <v>11</v>
      </c>
      <c r="B12" s="1242"/>
      <c r="C12" s="1243">
        <v>68</v>
      </c>
      <c r="D12" s="1243">
        <v>1</v>
      </c>
      <c r="E12" s="1243">
        <f t="shared" si="2"/>
        <v>34.158415841584159</v>
      </c>
      <c r="F12" s="1279">
        <v>305</v>
      </c>
      <c r="G12" s="1279">
        <f t="shared" si="1"/>
        <v>69</v>
      </c>
    </row>
    <row r="13" spans="1:7">
      <c r="A13" s="1032">
        <v>12</v>
      </c>
      <c r="B13" s="1242"/>
      <c r="C13" s="1243">
        <v>78</v>
      </c>
      <c r="D13" s="1243">
        <v>0</v>
      </c>
      <c r="E13" s="1243">
        <f t="shared" si="2"/>
        <v>38.613861386138616</v>
      </c>
      <c r="F13" s="1243">
        <v>455</v>
      </c>
      <c r="G13" s="1279">
        <f t="shared" si="1"/>
        <v>78</v>
      </c>
    </row>
    <row r="14" spans="1:7">
      <c r="A14" s="1032">
        <v>13</v>
      </c>
      <c r="B14" s="1242"/>
      <c r="C14" s="1243">
        <v>140</v>
      </c>
      <c r="D14" s="1243">
        <v>0</v>
      </c>
      <c r="E14" s="1243">
        <f t="shared" si="2"/>
        <v>69.306930693069305</v>
      </c>
      <c r="F14" s="1243">
        <v>415</v>
      </c>
      <c r="G14" s="1279">
        <f t="shared" si="1"/>
        <v>140</v>
      </c>
    </row>
    <row r="15" spans="1:7">
      <c r="A15" s="1032">
        <v>14</v>
      </c>
      <c r="B15" s="1242"/>
      <c r="C15" s="1243">
        <v>74</v>
      </c>
      <c r="D15" s="1243">
        <v>0</v>
      </c>
      <c r="E15" s="1243">
        <f t="shared" si="2"/>
        <v>36.633663366336634</v>
      </c>
      <c r="F15" s="1243">
        <v>542</v>
      </c>
      <c r="G15" s="1279">
        <f t="shared" si="1"/>
        <v>74</v>
      </c>
    </row>
    <row r="16" spans="1:7">
      <c r="A16" s="1032">
        <v>15</v>
      </c>
      <c r="B16" s="1242"/>
      <c r="C16" s="1243">
        <v>60</v>
      </c>
      <c r="D16" s="1243">
        <v>1</v>
      </c>
      <c r="E16" s="1243">
        <f t="shared" si="2"/>
        <v>30.198019801980198</v>
      </c>
      <c r="F16" s="1243">
        <v>257</v>
      </c>
      <c r="G16" s="1279">
        <f t="shared" si="1"/>
        <v>61</v>
      </c>
    </row>
    <row r="17" spans="1:7">
      <c r="A17" s="1032">
        <v>16</v>
      </c>
      <c r="B17" s="1242"/>
      <c r="C17" s="1243">
        <v>78</v>
      </c>
      <c r="D17" s="1243">
        <v>1</v>
      </c>
      <c r="E17" s="1243">
        <f t="shared" si="2"/>
        <v>39.10891089108911</v>
      </c>
      <c r="F17" s="1243">
        <v>315</v>
      </c>
      <c r="G17" s="1279">
        <f t="shared" si="1"/>
        <v>79</v>
      </c>
    </row>
    <row r="18" spans="1:7">
      <c r="A18" s="1032">
        <v>17</v>
      </c>
      <c r="B18" s="1242"/>
      <c r="C18" s="1243">
        <v>83</v>
      </c>
      <c r="D18" s="1243">
        <v>1</v>
      </c>
      <c r="E18" s="1243">
        <f t="shared" si="2"/>
        <v>41.584158415841586</v>
      </c>
      <c r="F18" s="1243">
        <v>364</v>
      </c>
      <c r="G18" s="1279">
        <f t="shared" si="1"/>
        <v>84</v>
      </c>
    </row>
    <row r="19" spans="1:7">
      <c r="A19" s="1032">
        <v>18</v>
      </c>
      <c r="B19" s="1242"/>
      <c r="C19" s="1168">
        <v>83</v>
      </c>
      <c r="D19" s="1168">
        <v>2</v>
      </c>
      <c r="E19" s="1243">
        <f t="shared" si="2"/>
        <v>42.079207920792079</v>
      </c>
      <c r="F19" s="1168">
        <v>251</v>
      </c>
      <c r="G19" s="1279">
        <f t="shared" si="1"/>
        <v>85</v>
      </c>
    </row>
    <row r="20" spans="1:7">
      <c r="A20" s="1032">
        <v>19</v>
      </c>
      <c r="B20" s="1242"/>
      <c r="C20" s="1243">
        <v>99</v>
      </c>
      <c r="D20" s="1243">
        <v>1</v>
      </c>
      <c r="E20" s="1243">
        <f t="shared" si="2"/>
        <v>49.504950495049506</v>
      </c>
      <c r="F20" s="1243">
        <v>410</v>
      </c>
      <c r="G20" s="1279">
        <f t="shared" si="1"/>
        <v>100</v>
      </c>
    </row>
    <row r="21" spans="1:7">
      <c r="A21" s="1032">
        <v>20</v>
      </c>
      <c r="B21" s="1242"/>
      <c r="C21" s="1243">
        <v>146</v>
      </c>
      <c r="D21" s="1243">
        <v>1</v>
      </c>
      <c r="E21" s="1243">
        <f t="shared" si="2"/>
        <v>72.772277227722768</v>
      </c>
      <c r="F21" s="1243">
        <v>683</v>
      </c>
      <c r="G21" s="1279">
        <f t="shared" si="1"/>
        <v>147</v>
      </c>
    </row>
    <row r="22" spans="1:7">
      <c r="A22" s="1032">
        <v>21</v>
      </c>
      <c r="B22" s="1242"/>
      <c r="C22" s="1243">
        <v>101</v>
      </c>
      <c r="D22" s="1243">
        <v>0</v>
      </c>
      <c r="E22" s="1243">
        <f t="shared" si="2"/>
        <v>50</v>
      </c>
      <c r="F22" s="1243">
        <v>530</v>
      </c>
      <c r="G22" s="1279">
        <f t="shared" si="1"/>
        <v>101</v>
      </c>
    </row>
    <row r="23" spans="1:7">
      <c r="A23" s="1032">
        <v>22</v>
      </c>
      <c r="B23" s="1242"/>
      <c r="C23" s="1243">
        <v>88</v>
      </c>
      <c r="D23" s="1243">
        <v>18</v>
      </c>
      <c r="E23" s="1243">
        <f t="shared" si="2"/>
        <v>52.475247524752476</v>
      </c>
      <c r="F23" s="1243">
        <v>267</v>
      </c>
      <c r="G23" s="1279">
        <f t="shared" si="1"/>
        <v>106</v>
      </c>
    </row>
    <row r="24" spans="1:7">
      <c r="A24" s="1032">
        <v>23</v>
      </c>
      <c r="B24" s="1242"/>
      <c r="C24" s="1243">
        <v>81</v>
      </c>
      <c r="D24" s="1243">
        <v>17</v>
      </c>
      <c r="E24" s="1243">
        <f t="shared" si="2"/>
        <v>48.514851485148512</v>
      </c>
      <c r="F24" s="1243">
        <v>335</v>
      </c>
      <c r="G24" s="1279">
        <f t="shared" si="1"/>
        <v>98</v>
      </c>
    </row>
    <row r="25" spans="1:7">
      <c r="A25" s="1032">
        <v>24</v>
      </c>
      <c r="B25" s="1242"/>
      <c r="C25" s="1243">
        <v>98</v>
      </c>
      <c r="D25" s="1243">
        <v>17</v>
      </c>
      <c r="E25" s="1243">
        <f t="shared" si="2"/>
        <v>56.930693069306933</v>
      </c>
      <c r="F25" s="1243">
        <v>410</v>
      </c>
      <c r="G25" s="1279">
        <f t="shared" si="1"/>
        <v>115</v>
      </c>
    </row>
    <row r="26" spans="1:7">
      <c r="A26" s="1032">
        <v>25</v>
      </c>
      <c r="B26" s="1242"/>
      <c r="C26" s="1243"/>
      <c r="D26" s="1243"/>
      <c r="E26" s="1243">
        <f t="shared" si="2"/>
        <v>0</v>
      </c>
      <c r="F26" s="1243"/>
      <c r="G26" s="1279">
        <f t="shared" si="1"/>
        <v>0</v>
      </c>
    </row>
    <row r="27" spans="1:7">
      <c r="A27" s="1032">
        <v>26</v>
      </c>
      <c r="B27" s="1242"/>
      <c r="C27" s="1243"/>
      <c r="D27" s="1243"/>
      <c r="E27" s="1243">
        <f t="shared" si="2"/>
        <v>0</v>
      </c>
      <c r="F27" s="1243"/>
      <c r="G27" s="1279">
        <f t="shared" si="1"/>
        <v>0</v>
      </c>
    </row>
    <row r="28" spans="1:7">
      <c r="A28" s="1032">
        <v>27</v>
      </c>
      <c r="B28" s="1242"/>
      <c r="C28" s="1243"/>
      <c r="D28" s="1243"/>
      <c r="E28" s="1243">
        <f t="shared" si="2"/>
        <v>0</v>
      </c>
      <c r="F28" s="1243"/>
      <c r="G28" s="1279">
        <f t="shared" si="1"/>
        <v>0</v>
      </c>
    </row>
    <row r="29" spans="1:7">
      <c r="A29" s="1032">
        <v>28</v>
      </c>
      <c r="B29" s="1242"/>
      <c r="C29" s="1243"/>
      <c r="D29" s="1243"/>
      <c r="E29" s="1243">
        <f t="shared" si="2"/>
        <v>0</v>
      </c>
      <c r="F29" s="1243"/>
      <c r="G29" s="1279">
        <f t="shared" si="1"/>
        <v>0</v>
      </c>
    </row>
    <row r="30" spans="1:7">
      <c r="A30" s="1032">
        <v>29</v>
      </c>
      <c r="B30" s="1242"/>
      <c r="C30" s="1243"/>
      <c r="D30" s="1243"/>
      <c r="E30" s="1243">
        <f t="shared" si="2"/>
        <v>0</v>
      </c>
      <c r="F30" s="1243"/>
      <c r="G30" s="1279">
        <f t="shared" si="1"/>
        <v>0</v>
      </c>
    </row>
    <row r="31" spans="1:7">
      <c r="A31" s="1032">
        <v>30</v>
      </c>
      <c r="B31" s="1243"/>
      <c r="C31" s="1243"/>
      <c r="D31" s="1243"/>
      <c r="E31" s="1243"/>
      <c r="F31" s="1243"/>
      <c r="G31" s="1328"/>
    </row>
    <row r="32" spans="1:7">
      <c r="A32" s="1032">
        <v>31</v>
      </c>
      <c r="B32" s="1243"/>
      <c r="C32" s="1243"/>
      <c r="D32" s="1243"/>
      <c r="E32" s="1243"/>
      <c r="F32" s="1243"/>
      <c r="G32" s="1328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0"/>
  <sheetViews>
    <sheetView zoomScale="90" zoomScaleNormal="90" workbookViewId="0">
      <selection activeCell="Q28" sqref="Q28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18" width="11" bestFit="1" customWidth="1"/>
    <col min="19" max="27" width="4.44140625" customWidth="1"/>
    <col min="28" max="28" width="5.77734375" customWidth="1"/>
    <col min="29" max="34" width="4.44140625" customWidth="1"/>
  </cols>
  <sheetData>
    <row r="3" spans="2:35" s="37" customFormat="1">
      <c r="B3" s="1075"/>
      <c r="C3" s="1076" t="s">
        <v>0</v>
      </c>
      <c r="D3" s="1034">
        <v>1</v>
      </c>
      <c r="E3" s="1034">
        <v>2</v>
      </c>
      <c r="F3" s="1034">
        <v>3</v>
      </c>
      <c r="G3" s="1034">
        <v>4</v>
      </c>
      <c r="H3" s="1034">
        <v>5</v>
      </c>
      <c r="I3" s="1034">
        <v>6</v>
      </c>
      <c r="J3" s="1034">
        <v>7</v>
      </c>
      <c r="K3" s="1034">
        <v>8</v>
      </c>
      <c r="L3" s="1034">
        <v>9</v>
      </c>
      <c r="M3" s="1034">
        <v>10</v>
      </c>
      <c r="N3" s="1034">
        <v>11</v>
      </c>
      <c r="O3" s="1034">
        <v>12</v>
      </c>
      <c r="P3" s="1034">
        <v>13</v>
      </c>
      <c r="Q3" s="1034">
        <v>14</v>
      </c>
      <c r="R3" s="1076">
        <v>15</v>
      </c>
      <c r="S3" s="1076">
        <v>16</v>
      </c>
      <c r="T3" s="1076">
        <v>17</v>
      </c>
      <c r="U3" s="1076">
        <v>18</v>
      </c>
      <c r="V3" s="1076">
        <v>19</v>
      </c>
      <c r="W3" s="1076">
        <v>20</v>
      </c>
      <c r="X3" s="1076">
        <v>21</v>
      </c>
      <c r="Y3" s="1076">
        <v>22</v>
      </c>
      <c r="Z3" s="1076">
        <v>23</v>
      </c>
      <c r="AA3" s="1076">
        <v>24</v>
      </c>
      <c r="AB3" s="1076">
        <v>25</v>
      </c>
      <c r="AC3" s="1076">
        <v>26</v>
      </c>
      <c r="AD3" s="1076">
        <v>27</v>
      </c>
      <c r="AE3" s="1076">
        <v>28</v>
      </c>
      <c r="AF3" s="1076">
        <v>29</v>
      </c>
      <c r="AG3" s="1076">
        <v>30</v>
      </c>
      <c r="AH3" s="1076">
        <v>31</v>
      </c>
      <c r="AI3" s="1076"/>
    </row>
    <row r="4" spans="2:35">
      <c r="B4" s="452"/>
      <c r="C4" s="448" t="s">
        <v>69</v>
      </c>
      <c r="D4" s="449">
        <f>'[3]1'!F3</f>
        <v>0.5</v>
      </c>
      <c r="E4" s="449">
        <f>'[3]2'!F3</f>
        <v>0.1</v>
      </c>
      <c r="F4" s="449">
        <f>'[3]3'!F3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180</v>
      </c>
      <c r="E5" s="450">
        <f>'2'!G18</f>
        <v>140</v>
      </c>
      <c r="F5" s="450">
        <f>'3'!G18</f>
        <v>140</v>
      </c>
      <c r="G5" s="450">
        <f>'4'!G18</f>
        <v>140</v>
      </c>
      <c r="H5" s="450">
        <f>'5'!G18</f>
        <v>140</v>
      </c>
      <c r="I5" s="450">
        <f>'6'!G18</f>
        <v>140</v>
      </c>
      <c r="J5" s="450">
        <f>'7'!G18</f>
        <v>200</v>
      </c>
      <c r="K5" s="450">
        <f>'8'!G18</f>
        <v>140</v>
      </c>
      <c r="L5" s="450">
        <f>'9'!G18</f>
        <v>120</v>
      </c>
      <c r="M5" s="450">
        <f>'10'!G18</f>
        <v>100</v>
      </c>
      <c r="N5" s="450">
        <f>'11'!G18</f>
        <v>120</v>
      </c>
      <c r="O5" s="450">
        <f>'12'!G18</f>
        <v>100</v>
      </c>
      <c r="P5" s="450">
        <f>'13'!G18</f>
        <v>160</v>
      </c>
      <c r="Q5" s="450">
        <f>'14'!G18</f>
        <v>180</v>
      </c>
      <c r="R5" s="450">
        <f>'15'!G18</f>
        <v>120</v>
      </c>
      <c r="S5" s="450">
        <f>'16'!G18</f>
        <v>100</v>
      </c>
      <c r="T5" s="450">
        <f>'17'!G18</f>
        <v>120</v>
      </c>
      <c r="U5" s="450">
        <f>'18'!G18</f>
        <v>80</v>
      </c>
      <c r="V5" s="450">
        <f>'19'!G18</f>
        <v>120</v>
      </c>
      <c r="W5" s="450">
        <f>'20'!G18</f>
        <v>100</v>
      </c>
      <c r="X5" s="450">
        <f>'21'!G18</f>
        <v>150</v>
      </c>
      <c r="Y5" s="450">
        <f>'22'!G18</f>
        <v>120</v>
      </c>
      <c r="Z5" s="450">
        <f>'23'!G18</f>
        <v>100</v>
      </c>
      <c r="AA5" s="450">
        <f>'24'!G18</f>
        <v>140</v>
      </c>
      <c r="AB5" s="450">
        <f>'25'!G18</f>
        <v>0</v>
      </c>
      <c r="AC5" s="450">
        <f>'26'!G18</f>
        <v>0</v>
      </c>
      <c r="AD5" s="450">
        <f>'27'!G18</f>
        <v>0</v>
      </c>
      <c r="AE5" s="450">
        <f>'28'!G18</f>
        <v>0</v>
      </c>
      <c r="AF5" s="450">
        <f>'29'!G18</f>
        <v>0</v>
      </c>
      <c r="AG5" s="450">
        <f>'30'!G18</f>
        <v>0</v>
      </c>
      <c r="AH5" s="450">
        <f>'31'!G18</f>
        <v>0</v>
      </c>
      <c r="AI5" s="448"/>
    </row>
    <row r="6" spans="2:35">
      <c r="B6" s="452"/>
      <c r="C6" s="448" t="s">
        <v>71</v>
      </c>
      <c r="D6" s="450">
        <f>'1'!G19</f>
        <v>48</v>
      </c>
      <c r="E6" s="450">
        <f>'2'!G19</f>
        <v>52</v>
      </c>
      <c r="F6" s="450">
        <f>'3'!G19</f>
        <v>52</v>
      </c>
      <c r="G6" s="450">
        <f>'4'!G19</f>
        <v>52</v>
      </c>
      <c r="H6" s="450">
        <f>'5'!G19</f>
        <v>51</v>
      </c>
      <c r="I6" s="450">
        <f>'6'!G19</f>
        <v>51</v>
      </c>
      <c r="J6" s="450">
        <f>'7'!G19</f>
        <v>51</v>
      </c>
      <c r="K6" s="450">
        <f>'8'!G19</f>
        <v>53</v>
      </c>
      <c r="L6" s="450">
        <f>'9'!G19</f>
        <v>52</v>
      </c>
      <c r="M6" s="450">
        <f>'10'!G19</f>
        <v>52</v>
      </c>
      <c r="N6" s="450">
        <f>'11'!G19</f>
        <v>51</v>
      </c>
      <c r="O6" s="450">
        <f>'12'!G19</f>
        <v>54</v>
      </c>
      <c r="P6" s="450">
        <f>'13'!G19</f>
        <v>53</v>
      </c>
      <c r="Q6" s="450">
        <f>'14'!G19</f>
        <v>52</v>
      </c>
      <c r="R6" s="450">
        <f>'15'!G19</f>
        <v>55</v>
      </c>
      <c r="S6" s="450">
        <f>'16'!G19</f>
        <v>54</v>
      </c>
      <c r="T6" s="450">
        <f>'17'!G19</f>
        <v>53</v>
      </c>
      <c r="U6" s="450">
        <f>'18'!G19</f>
        <v>53</v>
      </c>
      <c r="V6" s="450">
        <f>'19'!G19</f>
        <v>51</v>
      </c>
      <c r="W6" s="450">
        <f>'20'!G19</f>
        <v>52</v>
      </c>
      <c r="X6" s="450">
        <f>'21'!G19</f>
        <v>53</v>
      </c>
      <c r="Y6" s="450">
        <f>'22'!G19</f>
        <v>54</v>
      </c>
      <c r="Z6" s="450">
        <f>'23'!G19</f>
        <v>52</v>
      </c>
      <c r="AA6" s="450">
        <f>'24'!G19</f>
        <v>54</v>
      </c>
      <c r="AB6" s="450">
        <f>'25'!G19</f>
        <v>-135723</v>
      </c>
      <c r="AC6" s="450">
        <f>'26'!G19</f>
        <v>0</v>
      </c>
      <c r="AD6" s="450">
        <f>'27'!G19</f>
        <v>0</v>
      </c>
      <c r="AE6" s="450">
        <f>'28'!G19</f>
        <v>0</v>
      </c>
      <c r="AF6" s="450">
        <f>'29'!G19</f>
        <v>0</v>
      </c>
      <c r="AG6" s="450">
        <f>'30'!G19</f>
        <v>0</v>
      </c>
      <c r="AH6" s="450">
        <f>'31'!G19</f>
        <v>0</v>
      </c>
      <c r="AI6" s="448"/>
    </row>
    <row r="7" spans="2:35">
      <c r="B7" s="452"/>
      <c r="C7" s="448" t="s">
        <v>72</v>
      </c>
      <c r="D7" s="450">
        <f>'1'!G92</f>
        <v>122</v>
      </c>
      <c r="E7" s="450">
        <f>'2'!G92</f>
        <v>95</v>
      </c>
      <c r="F7" s="450">
        <f>'3'!G92</f>
        <v>82</v>
      </c>
      <c r="G7" s="450">
        <f>'4'!G92</f>
        <v>99</v>
      </c>
      <c r="H7" s="450">
        <f>'5'!G92</f>
        <v>73</v>
      </c>
      <c r="I7" s="450">
        <f>'6'!G92</f>
        <v>116</v>
      </c>
      <c r="J7" s="450">
        <f>'7'!G92</f>
        <v>162</v>
      </c>
      <c r="K7" s="450">
        <f>'8'!G92</f>
        <v>93</v>
      </c>
      <c r="L7" s="450">
        <f>'9'!G92</f>
        <v>96</v>
      </c>
      <c r="M7" s="450">
        <f>'10'!G92</f>
        <v>47</v>
      </c>
      <c r="N7" s="450">
        <f>'11'!G92</f>
        <v>79</v>
      </c>
      <c r="O7" s="450">
        <f>'12'!G92</f>
        <v>68</v>
      </c>
      <c r="P7" s="450">
        <f>'13'!G92</f>
        <v>119</v>
      </c>
      <c r="Q7" s="450">
        <f>'14'!G92</f>
        <v>110</v>
      </c>
      <c r="R7" s="450">
        <f>'15'!G92</f>
        <v>83</v>
      </c>
      <c r="S7" s="450">
        <f>'16'!G92</f>
        <v>75</v>
      </c>
      <c r="T7" s="450">
        <f>'17'!G92</f>
        <v>77</v>
      </c>
      <c r="U7" s="450">
        <f>'18'!G92</f>
        <v>59</v>
      </c>
      <c r="V7" s="450">
        <f>'19'!G92</f>
        <v>70</v>
      </c>
      <c r="W7" s="450">
        <f>'20'!G92</f>
        <v>77</v>
      </c>
      <c r="X7" s="450">
        <f>'21'!G92</f>
        <v>115</v>
      </c>
      <c r="Y7" s="450">
        <f>'22'!G92</f>
        <v>84</v>
      </c>
      <c r="Z7" s="450">
        <f>'23'!G92</f>
        <v>88</v>
      </c>
      <c r="AA7" s="450">
        <f>'24'!G92</f>
        <v>79</v>
      </c>
      <c r="AB7" s="450">
        <f>'25'!G92</f>
        <v>-241863</v>
      </c>
      <c r="AC7" s="450">
        <f>'26'!G92</f>
        <v>0</v>
      </c>
      <c r="AD7" s="450">
        <f>'27'!G92</f>
        <v>0</v>
      </c>
      <c r="AE7" s="450">
        <f>'28'!G92</f>
        <v>0</v>
      </c>
      <c r="AF7" s="450">
        <f>'29'!G92</f>
        <v>0</v>
      </c>
      <c r="AG7" s="450">
        <f>'30'!G92</f>
        <v>0</v>
      </c>
      <c r="AH7" s="450">
        <f>'31'!G92</f>
        <v>0</v>
      </c>
      <c r="AI7" s="448"/>
    </row>
    <row r="8" spans="2:35">
      <c r="B8" s="1396" t="s">
        <v>73</v>
      </c>
      <c r="C8" s="448" t="s">
        <v>33</v>
      </c>
      <c r="D8" s="450">
        <f>'1'!G95</f>
        <v>76</v>
      </c>
      <c r="E8" s="450">
        <f>'2'!G95</f>
        <v>85</v>
      </c>
      <c r="F8" s="450">
        <f>'3'!G95</f>
        <v>76</v>
      </c>
      <c r="G8" s="450">
        <f>'4'!G95</f>
        <v>98</v>
      </c>
      <c r="H8" s="450">
        <f>'5'!G95</f>
        <v>83</v>
      </c>
      <c r="I8" s="450">
        <f>'6'!G95</f>
        <v>120</v>
      </c>
      <c r="J8" s="450">
        <f>'7'!G95</f>
        <v>119</v>
      </c>
      <c r="K8" s="450">
        <f>'8'!G95</f>
        <v>72</v>
      </c>
      <c r="L8" s="450">
        <f>'9'!G95</f>
        <v>91</v>
      </c>
      <c r="M8" s="450">
        <f>'10'!G95</f>
        <v>68</v>
      </c>
      <c r="N8" s="450">
        <f>'11'!G95</f>
        <v>79</v>
      </c>
      <c r="O8" s="450">
        <f>'12'!G95</f>
        <v>71</v>
      </c>
      <c r="P8" s="450">
        <f>'13'!G95</f>
        <v>105</v>
      </c>
      <c r="Q8" s="450">
        <f>'14'!G95</f>
        <v>74</v>
      </c>
      <c r="R8" s="450">
        <f>'15'!G95</f>
        <v>72</v>
      </c>
      <c r="S8" s="450">
        <f>'16'!G95</f>
        <v>72</v>
      </c>
      <c r="T8" s="450">
        <f>'17'!G95</f>
        <v>97</v>
      </c>
      <c r="U8" s="450">
        <f>'18'!G95</f>
        <v>71</v>
      </c>
      <c r="V8" s="450">
        <f>'19'!G95</f>
        <v>76</v>
      </c>
      <c r="W8" s="450">
        <f>'20'!G95</f>
        <v>77</v>
      </c>
      <c r="X8" s="450">
        <f>'21'!G95</f>
        <v>80</v>
      </c>
      <c r="Y8" s="450">
        <f>'22'!G95</f>
        <v>85</v>
      </c>
      <c r="Z8" s="450">
        <f>'23'!G95</f>
        <v>76</v>
      </c>
      <c r="AA8" s="450">
        <f>'24'!G95</f>
        <v>85</v>
      </c>
      <c r="AB8" s="450">
        <f>'25'!G95</f>
        <v>-410164</v>
      </c>
      <c r="AC8" s="450">
        <f>'26'!G95</f>
        <v>0</v>
      </c>
      <c r="AD8" s="450">
        <f>'27'!G95</f>
        <v>0</v>
      </c>
      <c r="AE8" s="450">
        <f>'28'!G95</f>
        <v>0</v>
      </c>
      <c r="AF8" s="450">
        <f>'29'!G95</f>
        <v>0</v>
      </c>
      <c r="AG8" s="450">
        <f>'30'!G95</f>
        <v>0</v>
      </c>
      <c r="AH8" s="450">
        <f>'31'!G95</f>
        <v>0</v>
      </c>
      <c r="AI8" s="448"/>
    </row>
    <row r="9" spans="2:35">
      <c r="B9" s="1396"/>
      <c r="C9" s="448" t="s">
        <v>34</v>
      </c>
      <c r="D9" s="450">
        <f>'1'!G96</f>
        <v>13</v>
      </c>
      <c r="E9" s="450">
        <f>'2'!G96</f>
        <v>18</v>
      </c>
      <c r="F9" s="450">
        <f>'3'!G96</f>
        <v>17</v>
      </c>
      <c r="G9" s="450">
        <f>'4'!G96</f>
        <v>10</v>
      </c>
      <c r="H9" s="450">
        <f>'5'!G96</f>
        <v>11</v>
      </c>
      <c r="I9" s="450">
        <f>'6'!G96</f>
        <v>21</v>
      </c>
      <c r="J9" s="450">
        <f>'7'!G96</f>
        <v>32</v>
      </c>
      <c r="K9" s="450">
        <f>'8'!G96</f>
        <v>13</v>
      </c>
      <c r="L9" s="450">
        <f>'9'!G96</f>
        <v>12</v>
      </c>
      <c r="M9" s="450">
        <f>'10'!G96</f>
        <v>11</v>
      </c>
      <c r="N9" s="450">
        <f>'11'!G96</f>
        <v>10</v>
      </c>
      <c r="O9" s="450">
        <f>'12'!G96</f>
        <v>8</v>
      </c>
      <c r="P9" s="450">
        <f>'13'!G96</f>
        <v>22</v>
      </c>
      <c r="Q9" s="450">
        <f>'14'!G96</f>
        <v>22</v>
      </c>
      <c r="R9" s="450">
        <f>'15'!G96</f>
        <v>8</v>
      </c>
      <c r="S9" s="450">
        <f>'16'!G96</f>
        <v>7</v>
      </c>
      <c r="T9" s="450">
        <f>'17'!G96</f>
        <v>14</v>
      </c>
      <c r="U9" s="450">
        <f>'18'!G96</f>
        <v>13</v>
      </c>
      <c r="V9" s="450">
        <f>'19'!G96</f>
        <v>15</v>
      </c>
      <c r="W9" s="450">
        <f>'20'!G96</f>
        <v>16</v>
      </c>
      <c r="X9" s="450">
        <f>'21'!G96</f>
        <v>26</v>
      </c>
      <c r="Y9" s="450">
        <f>'22'!G96</f>
        <v>17</v>
      </c>
      <c r="Z9" s="450">
        <f>'23'!G96</f>
        <v>16</v>
      </c>
      <c r="AA9" s="450">
        <f>'24'!G96</f>
        <v>15</v>
      </c>
      <c r="AB9" s="450">
        <f>'25'!G96</f>
        <v>-101699</v>
      </c>
      <c r="AC9" s="450">
        <f>'26'!G96</f>
        <v>0</v>
      </c>
      <c r="AD9" s="450">
        <f>'27'!G96</f>
        <v>0</v>
      </c>
      <c r="AE9" s="450">
        <f>'28'!G96</f>
        <v>0</v>
      </c>
      <c r="AF9" s="450">
        <f>'29'!G96</f>
        <v>0</v>
      </c>
      <c r="AG9" s="450">
        <f>'30'!G96</f>
        <v>0</v>
      </c>
      <c r="AH9" s="450">
        <f>'31'!G96</f>
        <v>0</v>
      </c>
      <c r="AI9" s="448"/>
    </row>
    <row r="10" spans="2:35">
      <c r="B10" s="1396"/>
      <c r="C10" s="448" t="s">
        <v>35</v>
      </c>
      <c r="D10" s="450">
        <f>'1'!G97</f>
        <v>24</v>
      </c>
      <c r="E10" s="450">
        <f>'2'!G97</f>
        <v>19</v>
      </c>
      <c r="F10" s="450">
        <f>'3'!G97</f>
        <v>16</v>
      </c>
      <c r="G10" s="450">
        <f>'4'!G97</f>
        <v>16</v>
      </c>
      <c r="H10" s="450">
        <f>'5'!G97</f>
        <v>11</v>
      </c>
      <c r="I10" s="450">
        <f>'6'!G97</f>
        <v>25</v>
      </c>
      <c r="J10" s="450">
        <f>'7'!G97</f>
        <v>28</v>
      </c>
      <c r="K10" s="450">
        <f>'8'!G97</f>
        <v>13</v>
      </c>
      <c r="L10" s="450">
        <f>'9'!G97</f>
        <v>17</v>
      </c>
      <c r="M10" s="450">
        <f>'10'!G97</f>
        <v>18</v>
      </c>
      <c r="N10" s="450">
        <f>'11'!G97</f>
        <v>22</v>
      </c>
      <c r="O10" s="450">
        <f>'12'!G97</f>
        <v>18</v>
      </c>
      <c r="P10" s="450">
        <f>'13'!G97</f>
        <v>21</v>
      </c>
      <c r="Q10" s="450">
        <f>'14'!G97</f>
        <v>26</v>
      </c>
      <c r="R10" s="450">
        <f>'15'!G97</f>
        <v>0</v>
      </c>
      <c r="S10" s="450">
        <f>'16'!G97</f>
        <v>-91</v>
      </c>
      <c r="T10" s="450">
        <f>'17'!G97</f>
        <v>0</v>
      </c>
      <c r="U10" s="450">
        <f>'18'!G97</f>
        <v>13</v>
      </c>
      <c r="V10" s="450">
        <f>'19'!G97</f>
        <v>16</v>
      </c>
      <c r="W10" s="450">
        <f>'20'!G97</f>
        <v>20</v>
      </c>
      <c r="X10" s="450">
        <f>'21'!G97</f>
        <v>28</v>
      </c>
      <c r="Y10" s="450">
        <f>'22'!G97</f>
        <v>21</v>
      </c>
      <c r="Z10" s="450">
        <f>'23'!G97</f>
        <v>14</v>
      </c>
      <c r="AA10" s="450">
        <f>'24'!G97</f>
        <v>13</v>
      </c>
      <c r="AB10" s="450">
        <f>'25'!G97</f>
        <v>-96757</v>
      </c>
      <c r="AC10" s="450">
        <f>'26'!G97</f>
        <v>0</v>
      </c>
      <c r="AD10" s="450">
        <f>'27'!G97</f>
        <v>0</v>
      </c>
      <c r="AE10" s="450">
        <f>'28'!G97</f>
        <v>0</v>
      </c>
      <c r="AF10" s="450">
        <f>'29'!G97</f>
        <v>0</v>
      </c>
      <c r="AG10" s="450">
        <f>'30'!G97</f>
        <v>0</v>
      </c>
      <c r="AH10" s="450">
        <f>'31'!G97</f>
        <v>0</v>
      </c>
      <c r="AI10" s="448"/>
    </row>
    <row r="11" spans="2:35">
      <c r="B11" s="452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8"/>
      <c r="S11" s="448"/>
      <c r="T11" s="448"/>
      <c r="U11" s="448"/>
      <c r="V11" s="448"/>
      <c r="W11" s="448"/>
      <c r="X11" s="448"/>
      <c r="Y11" s="448"/>
      <c r="Z11" s="448"/>
      <c r="AA11" s="448"/>
      <c r="AB11" s="448"/>
      <c r="AC11" s="448"/>
      <c r="AD11" s="448"/>
      <c r="AE11" s="448"/>
      <c r="AF11" s="448"/>
      <c r="AG11" s="448"/>
      <c r="AH11" s="448"/>
      <c r="AI11" s="448"/>
    </row>
    <row r="12" spans="2:35">
      <c r="B12" s="1396" t="s">
        <v>74</v>
      </c>
      <c r="C12" s="448" t="s">
        <v>33</v>
      </c>
      <c r="D12" s="450">
        <f>'1'!G98</f>
        <v>70</v>
      </c>
      <c r="E12" s="450">
        <f>'2'!G98</f>
        <v>101</v>
      </c>
      <c r="F12" s="450">
        <f>'3'!G98</f>
        <v>87</v>
      </c>
      <c r="G12" s="450">
        <f>'4'!G98</f>
        <v>49</v>
      </c>
      <c r="H12" s="450">
        <f>'5'!G98</f>
        <v>19</v>
      </c>
      <c r="I12" s="450">
        <f>'6'!G98</f>
        <v>37</v>
      </c>
      <c r="J12" s="450">
        <f>'7'!G98</f>
        <v>28</v>
      </c>
      <c r="K12" s="450">
        <f>'8'!G98</f>
        <v>39</v>
      </c>
      <c r="L12" s="450">
        <f>'9'!G98</f>
        <v>78</v>
      </c>
      <c r="M12" s="450">
        <f>'10'!G98</f>
        <v>44</v>
      </c>
      <c r="N12" s="450">
        <f>'11'!G98</f>
        <v>72</v>
      </c>
      <c r="O12" s="450">
        <f>'12'!G98</f>
        <v>67</v>
      </c>
      <c r="P12" s="450">
        <f>'13'!G98</f>
        <v>48</v>
      </c>
      <c r="Q12" s="450">
        <f>'14'!G98</f>
        <v>29</v>
      </c>
      <c r="R12" s="450">
        <f>'15'!G98</f>
        <v>39</v>
      </c>
      <c r="S12" s="450">
        <f>'16'!G98</f>
        <v>10</v>
      </c>
      <c r="T12" s="450">
        <f>'17'!G98</f>
        <v>18</v>
      </c>
      <c r="U12" s="450">
        <f>'18'!G98</f>
        <v>16</v>
      </c>
      <c r="V12" s="450">
        <f>'19'!G98</f>
        <v>32</v>
      </c>
      <c r="W12" s="450">
        <f>'20'!G98</f>
        <v>19</v>
      </c>
      <c r="X12" s="450">
        <f>'21'!G98</f>
        <v>37</v>
      </c>
      <c r="Y12" s="450">
        <f>'22'!G98</f>
        <v>36</v>
      </c>
      <c r="Z12" s="450">
        <f>'23'!G98</f>
        <v>46</v>
      </c>
      <c r="AA12" s="450">
        <f>'24'!G98</f>
        <v>58</v>
      </c>
      <c r="AB12" s="450">
        <f>'25'!G98</f>
        <v>-148687</v>
      </c>
      <c r="AC12" s="450">
        <f>'26'!G98</f>
        <v>0</v>
      </c>
      <c r="AD12" s="450">
        <f>'27'!G98</f>
        <v>0</v>
      </c>
      <c r="AE12" s="450">
        <f>'28'!G98</f>
        <v>0</v>
      </c>
      <c r="AF12" s="450">
        <f>'29'!G98</f>
        <v>0</v>
      </c>
      <c r="AG12" s="450">
        <f>'30'!G98</f>
        <v>0</v>
      </c>
      <c r="AH12" s="450">
        <f>'31'!G98</f>
        <v>0</v>
      </c>
      <c r="AI12" s="448"/>
    </row>
    <row r="13" spans="2:35">
      <c r="B13" s="1396"/>
      <c r="C13" s="448" t="s">
        <v>34</v>
      </c>
      <c r="D13" s="450">
        <f>'1'!G114</f>
        <v>19</v>
      </c>
      <c r="E13" s="450">
        <f>'2'!G114</f>
        <v>22</v>
      </c>
      <c r="F13" s="450">
        <f>'3'!G114</f>
        <v>16</v>
      </c>
      <c r="G13" s="450">
        <f>'4'!G114</f>
        <v>8</v>
      </c>
      <c r="H13" s="450">
        <f>'5'!G114</f>
        <v>20</v>
      </c>
      <c r="I13" s="450">
        <f>'6'!G114</f>
        <v>11</v>
      </c>
      <c r="J13" s="450">
        <f>'7'!G114</f>
        <v>26</v>
      </c>
      <c r="K13" s="450">
        <f>'8'!G114</f>
        <v>26</v>
      </c>
      <c r="L13" s="450">
        <f>'9'!G114</f>
        <v>18</v>
      </c>
      <c r="M13" s="450">
        <f>'10'!G114</f>
        <v>8</v>
      </c>
      <c r="N13" s="450">
        <f>'11'!G114</f>
        <v>14</v>
      </c>
      <c r="O13" s="450">
        <f>'12'!G114</f>
        <v>17</v>
      </c>
      <c r="P13" s="450">
        <f>'13'!G114</f>
        <v>8</v>
      </c>
      <c r="Q13" s="450">
        <f>'14'!G114</f>
        <v>26</v>
      </c>
      <c r="R13" s="450">
        <f>'15'!G114</f>
        <v>22</v>
      </c>
      <c r="S13" s="450">
        <f>'16'!G114</f>
        <v>32</v>
      </c>
      <c r="T13" s="450">
        <f>'17'!G114</f>
        <v>11</v>
      </c>
      <c r="U13" s="450">
        <f>'18'!G114</f>
        <v>7</v>
      </c>
      <c r="V13" s="450">
        <f>'19'!G114</f>
        <v>14</v>
      </c>
      <c r="W13" s="450">
        <f>'20'!G114</f>
        <v>9</v>
      </c>
      <c r="X13" s="450">
        <f>'21'!G114</f>
        <v>17</v>
      </c>
      <c r="Y13" s="450">
        <f>'22'!G114</f>
        <v>14</v>
      </c>
      <c r="Z13" s="450">
        <f>'23'!G114</f>
        <v>12</v>
      </c>
      <c r="AA13" s="450">
        <f>'24'!G114</f>
        <v>10</v>
      </c>
      <c r="AB13" s="450">
        <f>'25'!G114</f>
        <v>-10701</v>
      </c>
      <c r="AC13" s="450">
        <f>'26'!G114</f>
        <v>0</v>
      </c>
      <c r="AD13" s="450">
        <f>'27'!G114</f>
        <v>0</v>
      </c>
      <c r="AE13" s="450">
        <f>'28'!G114</f>
        <v>0</v>
      </c>
      <c r="AF13" s="450">
        <f>'29'!G114</f>
        <v>0</v>
      </c>
      <c r="AG13" s="450">
        <f>'30'!G114</f>
        <v>0</v>
      </c>
      <c r="AH13" s="450">
        <f>'31'!G114</f>
        <v>0</v>
      </c>
      <c r="AI13" s="448"/>
    </row>
    <row r="14" spans="2:35">
      <c r="B14" s="1396"/>
      <c r="C14" s="448" t="s">
        <v>35</v>
      </c>
      <c r="D14" s="450">
        <f>'1'!G115</f>
        <v>13</v>
      </c>
      <c r="E14" s="450">
        <f>'2'!G115</f>
        <v>10</v>
      </c>
      <c r="F14" s="450">
        <f>'3'!G115</f>
        <v>13</v>
      </c>
      <c r="G14" s="450">
        <f>'4'!G115</f>
        <v>11</v>
      </c>
      <c r="H14" s="450">
        <f>'5'!G115</f>
        <v>19</v>
      </c>
      <c r="I14" s="450">
        <f>'6'!G115</f>
        <v>7</v>
      </c>
      <c r="J14" s="450">
        <f>'7'!G115</f>
        <v>6</v>
      </c>
      <c r="K14" s="450">
        <f>'8'!G115</f>
        <v>6</v>
      </c>
      <c r="L14" s="450">
        <f>'9'!G115</f>
        <v>5</v>
      </c>
      <c r="M14" s="450">
        <f>'10'!G115</f>
        <v>3</v>
      </c>
      <c r="N14" s="450">
        <f>'11'!G115</f>
        <v>13</v>
      </c>
      <c r="O14" s="450">
        <f>'12'!G115</f>
        <v>8</v>
      </c>
      <c r="P14" s="450">
        <f>'13'!G115</f>
        <v>12</v>
      </c>
      <c r="Q14" s="450">
        <f>'14'!G115</f>
        <v>26</v>
      </c>
      <c r="R14" s="450">
        <f>'15'!G115</f>
        <v>17</v>
      </c>
      <c r="S14" s="450">
        <f>'16'!G115</f>
        <v>0</v>
      </c>
      <c r="T14" s="450">
        <f>'17'!G115</f>
        <v>6</v>
      </c>
      <c r="U14" s="450">
        <f>'18'!G115</f>
        <v>6</v>
      </c>
      <c r="V14" s="450">
        <f>'19'!G115</f>
        <v>3</v>
      </c>
      <c r="W14" s="450">
        <f>'20'!G115</f>
        <v>9</v>
      </c>
      <c r="X14" s="450">
        <f>'21'!G115</f>
        <v>4</v>
      </c>
      <c r="Y14" s="450">
        <f>'22'!G115</f>
        <v>16</v>
      </c>
      <c r="Z14" s="450">
        <f>'23'!G115</f>
        <v>16</v>
      </c>
      <c r="AA14" s="450">
        <f>'24'!G115</f>
        <v>13</v>
      </c>
      <c r="AB14" s="450">
        <f>'25'!G115</f>
        <v>-7898</v>
      </c>
      <c r="AC14" s="450">
        <f>'26'!G115</f>
        <v>0</v>
      </c>
      <c r="AD14" s="450">
        <f>'27'!G115</f>
        <v>0</v>
      </c>
      <c r="AE14" s="450">
        <f>'28'!G115</f>
        <v>0</v>
      </c>
      <c r="AF14" s="450">
        <f>'29'!G115</f>
        <v>0</v>
      </c>
      <c r="AG14" s="450">
        <f>'30'!G115</f>
        <v>0</v>
      </c>
      <c r="AH14" s="450">
        <f>'31'!G115</f>
        <v>0</v>
      </c>
      <c r="AI14" s="448"/>
    </row>
    <row r="15" spans="2:35">
      <c r="B15" s="452"/>
      <c r="C15" s="448"/>
      <c r="D15" s="448"/>
      <c r="E15" s="448"/>
      <c r="F15" s="448"/>
      <c r="G15" s="448"/>
      <c r="H15" s="448"/>
      <c r="I15" s="448"/>
      <c r="J15" s="448"/>
      <c r="K15" s="448"/>
      <c r="L15" s="448"/>
      <c r="M15" s="448"/>
      <c r="N15" s="448"/>
      <c r="O15" s="448"/>
      <c r="P15" s="448"/>
      <c r="Q15" s="448"/>
      <c r="R15" s="448"/>
      <c r="S15" s="448"/>
      <c r="T15" s="448"/>
      <c r="U15" s="448"/>
      <c r="V15" s="448"/>
      <c r="W15" s="448"/>
      <c r="X15" s="448"/>
      <c r="Y15" s="448"/>
      <c r="Z15" s="448"/>
      <c r="AA15" s="448"/>
      <c r="AB15" s="448"/>
      <c r="AC15" s="448"/>
      <c r="AD15" s="448"/>
      <c r="AE15" s="448"/>
      <c r="AF15" s="448"/>
      <c r="AG15" s="448"/>
      <c r="AH15" s="448"/>
      <c r="AI15" s="448"/>
    </row>
    <row r="16" spans="2:35">
      <c r="B16" s="1396" t="s">
        <v>75</v>
      </c>
      <c r="C16" s="448" t="s">
        <v>76</v>
      </c>
      <c r="D16" s="448">
        <f>'1'!G104</f>
        <v>0</v>
      </c>
      <c r="E16" s="450">
        <f>'2'!G104</f>
        <v>0</v>
      </c>
      <c r="F16" s="450">
        <f>'3'!G104</f>
        <v>0</v>
      </c>
      <c r="G16" s="450">
        <f>'4'!G104</f>
        <v>3</v>
      </c>
      <c r="H16" s="450">
        <f>'5'!G104</f>
        <v>3</v>
      </c>
      <c r="I16" s="450">
        <f>'6'!G104</f>
        <v>3</v>
      </c>
      <c r="J16" s="450">
        <f>'7'!G104</f>
        <v>5</v>
      </c>
      <c r="K16" s="450">
        <f>'8'!G104</f>
        <v>6</v>
      </c>
      <c r="L16" s="450">
        <f>'9'!G104</f>
        <v>10</v>
      </c>
      <c r="M16" s="450">
        <f>'10'!G104</f>
        <v>8</v>
      </c>
      <c r="N16" s="450">
        <f>'11'!G104</f>
        <v>0</v>
      </c>
      <c r="O16" s="450">
        <f>'12'!G104</f>
        <v>0</v>
      </c>
      <c r="P16" s="450">
        <f>'13'!G104</f>
        <v>3</v>
      </c>
      <c r="Q16" s="450">
        <f>'14'!G104</f>
        <v>4</v>
      </c>
      <c r="R16" s="450">
        <f>'15'!G104</f>
        <v>0</v>
      </c>
      <c r="S16" s="450">
        <f>'16'!G104</f>
        <v>0</v>
      </c>
      <c r="T16" s="450">
        <f>'17'!G104</f>
        <v>0</v>
      </c>
      <c r="U16" s="450">
        <f>'18'!G104</f>
        <v>41</v>
      </c>
      <c r="V16" s="450">
        <f>'19'!G104</f>
        <v>0</v>
      </c>
      <c r="W16" s="450">
        <f>'20'!G104</f>
        <v>0</v>
      </c>
      <c r="X16" s="450">
        <f>'21'!G104</f>
        <v>0</v>
      </c>
      <c r="Y16" s="450">
        <f>'22'!G104</f>
        <v>0</v>
      </c>
      <c r="Z16" s="450">
        <f>'23'!G104</f>
        <v>3</v>
      </c>
      <c r="AA16" s="450">
        <f>'24'!G104</f>
        <v>3</v>
      </c>
      <c r="AB16" s="450">
        <f>'25'!G104</f>
        <v>-7287</v>
      </c>
      <c r="AC16" s="450">
        <f>'26'!G104</f>
        <v>0</v>
      </c>
      <c r="AD16" s="450">
        <f>'27'!G104</f>
        <v>0</v>
      </c>
      <c r="AE16" s="450">
        <f>'28'!G104</f>
        <v>0</v>
      </c>
      <c r="AF16" s="450">
        <f>'29'!G104</f>
        <v>0</v>
      </c>
      <c r="AG16" s="450">
        <f>'30'!G104</f>
        <v>0</v>
      </c>
      <c r="AH16" s="450">
        <f>'31'!G104</f>
        <v>0</v>
      </c>
      <c r="AI16" s="448"/>
    </row>
    <row r="17" spans="2:35">
      <c r="B17" s="1396"/>
      <c r="C17" s="448" t="s">
        <v>77</v>
      </c>
      <c r="D17" s="448">
        <f>'1'!G105</f>
        <v>9</v>
      </c>
      <c r="E17" s="450">
        <f>'2'!G105</f>
        <v>9</v>
      </c>
      <c r="F17" s="450">
        <f>'3'!G105</f>
        <v>9</v>
      </c>
      <c r="G17" s="450">
        <f>'4'!G105</f>
        <v>9</v>
      </c>
      <c r="H17" s="450">
        <f>'5'!G105</f>
        <v>9</v>
      </c>
      <c r="I17" s="450">
        <f>'6'!G105</f>
        <v>12</v>
      </c>
      <c r="J17" s="450">
        <f>'7'!G105</f>
        <v>9</v>
      </c>
      <c r="K17" s="450">
        <f>'8'!G105</f>
        <v>10</v>
      </c>
      <c r="L17" s="450">
        <f>'9'!G105</f>
        <v>7</v>
      </c>
      <c r="M17" s="450">
        <f>'10'!G105</f>
        <v>7</v>
      </c>
      <c r="N17" s="450">
        <f>'11'!G105</f>
        <v>6</v>
      </c>
      <c r="O17" s="450">
        <f>'12'!G105</f>
        <v>6</v>
      </c>
      <c r="P17" s="450">
        <f>'13'!G105</f>
        <v>8</v>
      </c>
      <c r="Q17" s="450">
        <f>'14'!G105</f>
        <v>7</v>
      </c>
      <c r="R17" s="450">
        <f>'15'!G105</f>
        <v>6</v>
      </c>
      <c r="S17" s="450">
        <f>'16'!G105</f>
        <v>8</v>
      </c>
      <c r="T17" s="450">
        <f>'17'!G105</f>
        <v>5</v>
      </c>
      <c r="U17" s="450">
        <f>'18'!G105</f>
        <v>7</v>
      </c>
      <c r="V17" s="450">
        <f>'19'!G105</f>
        <v>7</v>
      </c>
      <c r="W17" s="450">
        <f>'20'!G105</f>
        <v>10</v>
      </c>
      <c r="X17" s="450">
        <f>'21'!G105</f>
        <v>9</v>
      </c>
      <c r="Y17" s="450">
        <f>'22'!G105</f>
        <v>10</v>
      </c>
      <c r="Z17" s="450">
        <f>'23'!G105</f>
        <v>10</v>
      </c>
      <c r="AA17" s="450">
        <f>'24'!G105</f>
        <v>7</v>
      </c>
      <c r="AB17" s="450">
        <f>'25'!G105</f>
        <v>-35594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0</v>
      </c>
      <c r="AI17" s="448"/>
    </row>
    <row r="18" spans="2:35">
      <c r="B18" s="1396"/>
      <c r="C18" s="448" t="s">
        <v>78</v>
      </c>
      <c r="D18" s="448">
        <f>'1'!G106</f>
        <v>5</v>
      </c>
      <c r="E18" s="450">
        <f>'2'!G106</f>
        <v>5</v>
      </c>
      <c r="F18" s="450">
        <f>'3'!G106</f>
        <v>6</v>
      </c>
      <c r="G18" s="450">
        <f>'4'!G106</f>
        <v>6</v>
      </c>
      <c r="H18" s="450">
        <f>'5'!G106</f>
        <v>11</v>
      </c>
      <c r="I18" s="450">
        <f>'6'!G106</f>
        <v>4</v>
      </c>
      <c r="J18" s="450">
        <f>'7'!G106</f>
        <v>6</v>
      </c>
      <c r="K18" s="450">
        <f>'8'!G106</f>
        <v>3</v>
      </c>
      <c r="L18" s="450">
        <f>'9'!G106</f>
        <v>5</v>
      </c>
      <c r="M18" s="450">
        <f>'10'!G106</f>
        <v>5</v>
      </c>
      <c r="N18" s="450">
        <f>'11'!G106</f>
        <v>11</v>
      </c>
      <c r="O18" s="450">
        <f>'12'!G106</f>
        <v>4</v>
      </c>
      <c r="P18" s="450">
        <f>'13'!G106</f>
        <v>6</v>
      </c>
      <c r="Q18" s="450">
        <f>'14'!G106</f>
        <v>5</v>
      </c>
      <c r="R18" s="450">
        <f>'15'!G106</f>
        <v>6</v>
      </c>
      <c r="S18" s="450">
        <f>'16'!G106</f>
        <v>7</v>
      </c>
      <c r="T18" s="450">
        <f>'17'!G106</f>
        <v>4</v>
      </c>
      <c r="U18" s="450">
        <f>'18'!G106</f>
        <v>5</v>
      </c>
      <c r="V18" s="450">
        <f>'19'!G106</f>
        <v>4</v>
      </c>
      <c r="W18" s="450">
        <f>'20'!G106</f>
        <v>7</v>
      </c>
      <c r="X18" s="450">
        <f>'21'!G106</f>
        <v>6</v>
      </c>
      <c r="Y18" s="450">
        <f>'22'!G106</f>
        <v>6</v>
      </c>
      <c r="Z18" s="450">
        <f>'23'!G106</f>
        <v>6</v>
      </c>
      <c r="AA18" s="450">
        <f>'24'!G106</f>
        <v>7</v>
      </c>
      <c r="AB18" s="450">
        <f>'25'!G106</f>
        <v>-19381</v>
      </c>
      <c r="AC18" s="450">
        <f>'26'!G106</f>
        <v>0</v>
      </c>
      <c r="AD18" s="450">
        <f>'27'!G106</f>
        <v>0</v>
      </c>
      <c r="AE18" s="450">
        <f>'28'!G106</f>
        <v>0</v>
      </c>
      <c r="AF18" s="450">
        <f>'29'!G106</f>
        <v>0</v>
      </c>
      <c r="AG18" s="450">
        <f>'30'!G106</f>
        <v>0</v>
      </c>
      <c r="AH18" s="450">
        <f>'31'!G106</f>
        <v>0</v>
      </c>
      <c r="AI18" s="448"/>
    </row>
    <row r="19" spans="2:35">
      <c r="B19" s="452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8"/>
      <c r="S19" s="448"/>
      <c r="T19" s="448"/>
      <c r="U19" s="448"/>
      <c r="V19" s="448"/>
      <c r="W19" s="448"/>
      <c r="X19" s="448"/>
      <c r="Y19" s="448"/>
      <c r="Z19" s="448"/>
      <c r="AA19" s="448"/>
      <c r="AB19" s="448"/>
      <c r="AC19" s="448"/>
      <c r="AD19" s="448"/>
      <c r="AE19" s="448"/>
      <c r="AF19" s="448"/>
      <c r="AG19" s="448"/>
      <c r="AH19" s="448"/>
      <c r="AI19" s="448"/>
    </row>
    <row r="20" spans="2:35">
      <c r="B20" s="1396" t="s">
        <v>79</v>
      </c>
      <c r="C20" s="448" t="s">
        <v>80</v>
      </c>
      <c r="D20" s="448">
        <f>'1'!G109</f>
        <v>82</v>
      </c>
      <c r="E20" s="450">
        <f>'2'!G109</f>
        <v>81</v>
      </c>
      <c r="F20" s="450">
        <f>'3'!G109</f>
        <v>90</v>
      </c>
      <c r="G20" s="450">
        <f>'4'!G109</f>
        <v>82</v>
      </c>
      <c r="H20" s="450">
        <f>'5'!G109</f>
        <v>172</v>
      </c>
      <c r="I20" s="450">
        <f>'6'!G109</f>
        <v>76</v>
      </c>
      <c r="J20" s="450">
        <f>'7'!G109</f>
        <v>83</v>
      </c>
      <c r="K20" s="450">
        <f>'8'!G109</f>
        <v>84</v>
      </c>
      <c r="L20" s="450">
        <f>'9'!G109</f>
        <v>40</v>
      </c>
      <c r="M20" s="450">
        <f>'10'!G109</f>
        <v>83</v>
      </c>
      <c r="N20" s="450">
        <f>'11'!G109</f>
        <v>82</v>
      </c>
      <c r="O20" s="450">
        <f>'12'!G109</f>
        <v>41</v>
      </c>
      <c r="P20" s="450">
        <f>'13'!G109</f>
        <v>98</v>
      </c>
      <c r="Q20" s="450">
        <f>'14'!G109</f>
        <v>78</v>
      </c>
      <c r="R20" s="450">
        <f>'15'!G109</f>
        <v>81</v>
      </c>
      <c r="S20" s="450">
        <f>'16'!G109</f>
        <v>53</v>
      </c>
      <c r="T20" s="450">
        <f>'17'!G109</f>
        <v>64</v>
      </c>
      <c r="U20" s="450">
        <f>'18'!G109</f>
        <v>76</v>
      </c>
      <c r="V20" s="450">
        <f>'19'!G109</f>
        <v>107</v>
      </c>
      <c r="W20" s="450">
        <f>'20'!G109</f>
        <v>43</v>
      </c>
      <c r="X20" s="450">
        <f>'21'!G109</f>
        <v>95</v>
      </c>
      <c r="Y20" s="450">
        <f>'22'!G109</f>
        <v>85</v>
      </c>
      <c r="Z20" s="450">
        <f>'23'!G109</f>
        <v>85</v>
      </c>
      <c r="AA20" s="450">
        <f>'24'!G109</f>
        <v>63</v>
      </c>
      <c r="AB20" s="450">
        <f>'25'!G109</f>
        <v>-58195</v>
      </c>
      <c r="AC20" s="450">
        <f>'26'!G109</f>
        <v>0</v>
      </c>
      <c r="AD20" s="450">
        <f>'27'!G109</f>
        <v>0</v>
      </c>
      <c r="AE20" s="450">
        <f>'28'!G109</f>
        <v>0</v>
      </c>
      <c r="AF20" s="450">
        <f>'29'!G109</f>
        <v>0</v>
      </c>
      <c r="AG20" s="450">
        <f>'30'!G109</f>
        <v>0</v>
      </c>
      <c r="AH20" s="450">
        <f>'31'!G109</f>
        <v>0</v>
      </c>
      <c r="AI20" s="448"/>
    </row>
    <row r="21" spans="2:35">
      <c r="B21" s="1396"/>
      <c r="C21" s="448" t="s">
        <v>81</v>
      </c>
      <c r="D21" s="448">
        <f>'1'!G110</f>
        <v>66</v>
      </c>
      <c r="E21" s="450">
        <f>'2'!G110</f>
        <v>97</v>
      </c>
      <c r="F21" s="450">
        <f>'3'!G110</f>
        <v>105</v>
      </c>
      <c r="G21" s="450">
        <f>'4'!G110</f>
        <v>39</v>
      </c>
      <c r="H21" s="450">
        <f>'5'!G110</f>
        <v>39</v>
      </c>
      <c r="I21" s="450">
        <f>'6'!G110</f>
        <v>65</v>
      </c>
      <c r="J21" s="450">
        <f>'7'!G110</f>
        <v>24</v>
      </c>
      <c r="K21" s="450">
        <f>'8'!G110</f>
        <v>56</v>
      </c>
      <c r="L21" s="450">
        <f>'9'!G110</f>
        <v>81</v>
      </c>
      <c r="M21" s="450">
        <f>'10'!G110</f>
        <v>38</v>
      </c>
      <c r="N21" s="450">
        <f>'11'!G110</f>
        <v>58</v>
      </c>
      <c r="O21" s="450">
        <f>'12'!G110</f>
        <v>31</v>
      </c>
      <c r="P21" s="450">
        <f>'13'!G110</f>
        <v>25</v>
      </c>
      <c r="Q21" s="450">
        <f>'14'!G110</f>
        <v>23</v>
      </c>
      <c r="R21" s="450">
        <f>'15'!G110</f>
        <v>21</v>
      </c>
      <c r="S21" s="450">
        <f>'16'!G110</f>
        <v>26</v>
      </c>
      <c r="T21" s="450">
        <f>'17'!G110</f>
        <v>0</v>
      </c>
      <c r="U21" s="450">
        <f>'18'!G110</f>
        <v>0</v>
      </c>
      <c r="V21" s="450">
        <f>'19'!G110</f>
        <v>25</v>
      </c>
      <c r="W21" s="450">
        <f>'20'!G110</f>
        <v>28</v>
      </c>
      <c r="X21" s="450">
        <f>'21'!G110</f>
        <v>22</v>
      </c>
      <c r="Y21" s="450">
        <f>'22'!G110</f>
        <v>36</v>
      </c>
      <c r="Z21" s="450">
        <f>'23'!G110</f>
        <v>58</v>
      </c>
      <c r="AA21" s="450">
        <f>'24'!G110</f>
        <v>38</v>
      </c>
      <c r="AB21" s="450">
        <f>'25'!G110</f>
        <v>-31489</v>
      </c>
      <c r="AC21" s="450">
        <f>'26'!G110</f>
        <v>0</v>
      </c>
      <c r="AD21" s="450">
        <f>'27'!G110</f>
        <v>0</v>
      </c>
      <c r="AE21" s="450">
        <f>'28'!G110</f>
        <v>0</v>
      </c>
      <c r="AF21" s="450">
        <f>'29'!G110</f>
        <v>0</v>
      </c>
      <c r="AG21" s="450">
        <f>'30'!G110</f>
        <v>0</v>
      </c>
      <c r="AH21" s="450">
        <f>'31'!G110</f>
        <v>0</v>
      </c>
      <c r="AI21" s="448"/>
    </row>
    <row r="22" spans="2:35">
      <c r="B22" s="1396"/>
      <c r="C22" s="448" t="s">
        <v>82</v>
      </c>
      <c r="D22" s="448">
        <f>'1'!G111</f>
        <v>7</v>
      </c>
      <c r="E22" s="450">
        <f>'2'!G111</f>
        <v>0</v>
      </c>
      <c r="F22" s="450">
        <f>'3'!G111</f>
        <v>25</v>
      </c>
      <c r="G22" s="450">
        <f>'4'!G111</f>
        <v>0</v>
      </c>
      <c r="H22" s="450">
        <f>'5'!G111</f>
        <v>0</v>
      </c>
      <c r="I22" s="450">
        <f>'6'!G111</f>
        <v>17</v>
      </c>
      <c r="J22" s="450">
        <f>'7'!G111</f>
        <v>0</v>
      </c>
      <c r="K22" s="450">
        <f>'8'!G111</f>
        <v>6</v>
      </c>
      <c r="L22" s="450">
        <f>'9'!G111</f>
        <v>8</v>
      </c>
      <c r="M22" s="450">
        <f>'10'!G111</f>
        <v>4</v>
      </c>
      <c r="N22" s="450">
        <f>'11'!G111</f>
        <v>0</v>
      </c>
      <c r="O22" s="450">
        <f>'12'!G111</f>
        <v>7</v>
      </c>
      <c r="P22" s="450">
        <f>'13'!G111</f>
        <v>0</v>
      </c>
      <c r="Q22" s="450">
        <f>'14'!G111</f>
        <v>0</v>
      </c>
      <c r="R22" s="450">
        <f>'15'!G111</f>
        <v>10</v>
      </c>
      <c r="S22" s="450">
        <f>'16'!G111</f>
        <v>0</v>
      </c>
      <c r="T22" s="450">
        <f>'17'!G111</f>
        <v>20</v>
      </c>
      <c r="U22" s="450">
        <f>'18'!G111</f>
        <v>0</v>
      </c>
      <c r="V22" s="450">
        <f>'19'!G111</f>
        <v>0</v>
      </c>
      <c r="W22" s="450">
        <f>'20'!G111</f>
        <v>14</v>
      </c>
      <c r="X22" s="450">
        <f>'21'!G111</f>
        <v>0</v>
      </c>
      <c r="Y22" s="450">
        <f>'22'!G111</f>
        <v>8</v>
      </c>
      <c r="Z22" s="450">
        <f>'23'!G111</f>
        <v>11</v>
      </c>
      <c r="AA22" s="450">
        <f>'24'!G111</f>
        <v>0</v>
      </c>
      <c r="AB22" s="450">
        <f>'25'!G111</f>
        <v>-4117</v>
      </c>
      <c r="AC22" s="450">
        <f>'26'!G111</f>
        <v>0</v>
      </c>
      <c r="AD22" s="450">
        <f>'27'!G111</f>
        <v>0</v>
      </c>
      <c r="AE22" s="450">
        <f>'28'!G111</f>
        <v>0</v>
      </c>
      <c r="AF22" s="450">
        <f>'29'!G111</f>
        <v>0</v>
      </c>
      <c r="AG22" s="450">
        <f>'30'!G111</f>
        <v>0</v>
      </c>
      <c r="AH22" s="450">
        <f>'31'!G111</f>
        <v>0</v>
      </c>
      <c r="AI22" s="448"/>
    </row>
    <row r="23" spans="2:35">
      <c r="B23" s="452"/>
      <c r="C23" s="448"/>
      <c r="D23" s="448"/>
      <c r="E23" s="448"/>
      <c r="F23" s="448"/>
      <c r="G23" s="448"/>
      <c r="H23" s="448"/>
      <c r="I23" s="448"/>
      <c r="J23" s="448"/>
      <c r="K23" s="448"/>
      <c r="L23" s="448"/>
      <c r="M23" s="448"/>
      <c r="N23" s="448"/>
      <c r="O23" s="448"/>
      <c r="P23" s="448"/>
      <c r="Q23" s="448"/>
      <c r="R23" s="448"/>
      <c r="S23" s="448"/>
      <c r="T23" s="448"/>
      <c r="U23" s="448"/>
      <c r="V23" s="448"/>
      <c r="W23" s="448"/>
      <c r="X23" s="448"/>
      <c r="Y23" s="448"/>
      <c r="Z23" s="448"/>
      <c r="AA23" s="448"/>
      <c r="AB23" s="448"/>
      <c r="AC23" s="448"/>
      <c r="AD23" s="448"/>
      <c r="AE23" s="448"/>
      <c r="AF23" s="448"/>
      <c r="AG23" s="448"/>
      <c r="AH23" s="448"/>
      <c r="AI23" s="448"/>
    </row>
    <row r="24" spans="2:35" ht="30">
      <c r="B24" s="452" t="s">
        <v>83</v>
      </c>
      <c r="C24" s="448"/>
      <c r="D24" s="450">
        <f>SUM(D8:D10,D13:D14,)</f>
        <v>145</v>
      </c>
      <c r="E24" s="450">
        <f t="shared" ref="E24:AI24" si="0">SUM(E8:E10,E13:E14,)</f>
        <v>154</v>
      </c>
      <c r="F24" s="450">
        <f t="shared" si="0"/>
        <v>138</v>
      </c>
      <c r="G24" s="450">
        <f t="shared" si="0"/>
        <v>143</v>
      </c>
      <c r="H24" s="450">
        <f t="shared" si="0"/>
        <v>144</v>
      </c>
      <c r="I24" s="450">
        <f t="shared" si="0"/>
        <v>184</v>
      </c>
      <c r="J24" s="450">
        <f t="shared" si="0"/>
        <v>211</v>
      </c>
      <c r="K24" s="450">
        <f t="shared" si="0"/>
        <v>130</v>
      </c>
      <c r="L24" s="450">
        <f t="shared" si="0"/>
        <v>143</v>
      </c>
      <c r="M24" s="450">
        <f t="shared" si="0"/>
        <v>108</v>
      </c>
      <c r="N24" s="450">
        <f t="shared" si="0"/>
        <v>138</v>
      </c>
      <c r="O24" s="450">
        <f t="shared" si="0"/>
        <v>122</v>
      </c>
      <c r="P24" s="450">
        <f t="shared" si="0"/>
        <v>168</v>
      </c>
      <c r="Q24" s="450">
        <f t="shared" si="0"/>
        <v>174</v>
      </c>
      <c r="R24" s="450">
        <f t="shared" si="0"/>
        <v>119</v>
      </c>
      <c r="S24" s="450">
        <f t="shared" si="0"/>
        <v>20</v>
      </c>
      <c r="T24" s="450">
        <f>SUM(T8:T10,T13:T14,)</f>
        <v>128</v>
      </c>
      <c r="U24" s="450">
        <f t="shared" si="0"/>
        <v>110</v>
      </c>
      <c r="V24" s="450">
        <f t="shared" si="0"/>
        <v>124</v>
      </c>
      <c r="W24" s="450">
        <f t="shared" si="0"/>
        <v>131</v>
      </c>
      <c r="X24" s="450">
        <f t="shared" si="0"/>
        <v>155</v>
      </c>
      <c r="Y24" s="450">
        <f t="shared" si="0"/>
        <v>153</v>
      </c>
      <c r="Z24" s="450">
        <f t="shared" si="0"/>
        <v>134</v>
      </c>
      <c r="AA24" s="450">
        <f t="shared" si="0"/>
        <v>136</v>
      </c>
      <c r="AB24" s="450">
        <f t="shared" si="0"/>
        <v>-627219</v>
      </c>
      <c r="AC24" s="450">
        <f t="shared" si="0"/>
        <v>0</v>
      </c>
      <c r="AD24" s="450">
        <f t="shared" si="0"/>
        <v>0</v>
      </c>
      <c r="AE24" s="450">
        <f t="shared" si="0"/>
        <v>0</v>
      </c>
      <c r="AF24" s="450">
        <f t="shared" si="0"/>
        <v>0</v>
      </c>
      <c r="AG24" s="450">
        <f t="shared" si="0"/>
        <v>0</v>
      </c>
      <c r="AH24" s="450">
        <f t="shared" si="0"/>
        <v>0</v>
      </c>
      <c r="AI24" s="450">
        <f t="shared" si="0"/>
        <v>0</v>
      </c>
    </row>
    <row r="25" spans="2:35">
      <c r="B25" s="452"/>
      <c r="C25" s="448"/>
      <c r="D25" s="448"/>
      <c r="E25" s="448"/>
      <c r="F25" s="448"/>
      <c r="G25" s="448"/>
      <c r="H25" s="448"/>
      <c r="I25" s="448"/>
      <c r="J25" s="448"/>
      <c r="K25" s="448"/>
      <c r="L25" s="448"/>
      <c r="M25" s="448"/>
      <c r="N25" s="448"/>
      <c r="O25" s="448"/>
      <c r="P25" s="448"/>
      <c r="Q25" s="448"/>
      <c r="R25" s="448"/>
      <c r="S25" s="448"/>
      <c r="T25" s="448"/>
      <c r="U25" s="448"/>
      <c r="V25" s="448"/>
      <c r="W25" s="448"/>
      <c r="X25" s="448"/>
      <c r="Y25" s="448"/>
      <c r="Z25" s="448"/>
      <c r="AA25" s="448"/>
      <c r="AB25" s="448"/>
      <c r="AC25" s="448"/>
      <c r="AD25" s="448"/>
      <c r="AE25" s="448"/>
      <c r="AF25" s="448"/>
      <c r="AG25" s="448"/>
      <c r="AH25" s="448"/>
      <c r="AI25" s="448"/>
    </row>
    <row r="26" spans="2:35" ht="30">
      <c r="B26" s="452" t="s">
        <v>84</v>
      </c>
      <c r="C26" s="448"/>
      <c r="D26" s="450">
        <f>SUM(D12,D20,D22)</f>
        <v>159</v>
      </c>
      <c r="E26" s="450">
        <f t="shared" ref="E26:AH26" si="1">SUM(E12,E20,E22)</f>
        <v>182</v>
      </c>
      <c r="F26" s="450">
        <f>SUM(F12,F20,F22)</f>
        <v>202</v>
      </c>
      <c r="G26" s="450">
        <f t="shared" si="1"/>
        <v>131</v>
      </c>
      <c r="H26" s="450">
        <f t="shared" si="1"/>
        <v>191</v>
      </c>
      <c r="I26" s="450">
        <f t="shared" si="1"/>
        <v>130</v>
      </c>
      <c r="J26" s="450">
        <f t="shared" si="1"/>
        <v>111</v>
      </c>
      <c r="K26" s="450">
        <f t="shared" si="1"/>
        <v>129</v>
      </c>
      <c r="L26" s="450">
        <f t="shared" si="1"/>
        <v>126</v>
      </c>
      <c r="M26" s="450">
        <f t="shared" si="1"/>
        <v>131</v>
      </c>
      <c r="N26" s="450">
        <f t="shared" si="1"/>
        <v>154</v>
      </c>
      <c r="O26" s="450">
        <f t="shared" si="1"/>
        <v>115</v>
      </c>
      <c r="P26" s="450">
        <f t="shared" si="1"/>
        <v>146</v>
      </c>
      <c r="Q26" s="450">
        <f t="shared" si="1"/>
        <v>107</v>
      </c>
      <c r="R26" s="450">
        <f t="shared" si="1"/>
        <v>130</v>
      </c>
      <c r="S26" s="450">
        <f t="shared" si="1"/>
        <v>63</v>
      </c>
      <c r="T26" s="450">
        <f t="shared" si="1"/>
        <v>102</v>
      </c>
      <c r="U26" s="450">
        <f t="shared" si="1"/>
        <v>92</v>
      </c>
      <c r="V26" s="450">
        <f t="shared" si="1"/>
        <v>139</v>
      </c>
      <c r="W26" s="450">
        <f t="shared" si="1"/>
        <v>76</v>
      </c>
      <c r="X26" s="450">
        <f t="shared" si="1"/>
        <v>132</v>
      </c>
      <c r="Y26" s="450">
        <f t="shared" si="1"/>
        <v>129</v>
      </c>
      <c r="Z26" s="450">
        <f t="shared" si="1"/>
        <v>142</v>
      </c>
      <c r="AA26" s="450">
        <f t="shared" si="1"/>
        <v>121</v>
      </c>
      <c r="AB26" s="450">
        <f t="shared" si="1"/>
        <v>-210999</v>
      </c>
      <c r="AC26" s="450">
        <f t="shared" si="1"/>
        <v>0</v>
      </c>
      <c r="AD26" s="450">
        <f t="shared" si="1"/>
        <v>0</v>
      </c>
      <c r="AE26" s="450">
        <f t="shared" si="1"/>
        <v>0</v>
      </c>
      <c r="AF26" s="450">
        <f t="shared" si="1"/>
        <v>0</v>
      </c>
      <c r="AG26" s="450">
        <f t="shared" si="1"/>
        <v>0</v>
      </c>
      <c r="AH26" s="450">
        <f t="shared" si="1"/>
        <v>0</v>
      </c>
      <c r="AI26" s="450">
        <f t="shared" ref="AI26" si="2">SUM(AI12)</f>
        <v>0</v>
      </c>
    </row>
    <row r="27" spans="2:35">
      <c r="B27" s="1031"/>
      <c r="C27" s="1032"/>
      <c r="D27" s="1032"/>
      <c r="E27" s="1032"/>
      <c r="F27" s="1032"/>
      <c r="G27" s="1032"/>
      <c r="H27" s="1032"/>
      <c r="I27" s="1032"/>
      <c r="J27" s="1032"/>
      <c r="K27" s="1032"/>
      <c r="L27" s="1032"/>
      <c r="M27" s="1032"/>
      <c r="N27" s="1032"/>
      <c r="O27" s="1032"/>
      <c r="P27" s="1032"/>
      <c r="Q27" s="1032"/>
      <c r="R27" s="1032"/>
      <c r="S27" s="1032"/>
      <c r="T27" s="1032"/>
      <c r="U27" s="1032"/>
      <c r="V27" s="1032"/>
      <c r="W27" s="1032"/>
      <c r="X27" s="1032"/>
      <c r="Y27" s="1032"/>
      <c r="Z27" s="1032"/>
      <c r="AA27" s="1032"/>
      <c r="AB27" s="1032"/>
      <c r="AC27" s="1032"/>
      <c r="AD27" s="1032"/>
      <c r="AE27" s="1032"/>
      <c r="AF27" s="1032"/>
      <c r="AG27" s="1032"/>
      <c r="AH27" s="1032"/>
      <c r="AI27" s="1032"/>
    </row>
    <row r="28" spans="2:35">
      <c r="B28" s="1031" t="s">
        <v>85</v>
      </c>
      <c r="C28" s="1032"/>
      <c r="D28" s="1033">
        <f>D8</f>
        <v>76</v>
      </c>
      <c r="E28" s="1033">
        <f t="shared" ref="E28:AH28" si="3">E8</f>
        <v>85</v>
      </c>
      <c r="F28" s="1033">
        <f t="shared" si="3"/>
        <v>76</v>
      </c>
      <c r="G28" s="1033">
        <f t="shared" si="3"/>
        <v>98</v>
      </c>
      <c r="H28" s="1033">
        <f t="shared" si="3"/>
        <v>83</v>
      </c>
      <c r="I28" s="1033">
        <f t="shared" si="3"/>
        <v>120</v>
      </c>
      <c r="J28" s="1033">
        <f t="shared" si="3"/>
        <v>119</v>
      </c>
      <c r="K28" s="1033">
        <f t="shared" si="3"/>
        <v>72</v>
      </c>
      <c r="L28" s="1033">
        <f t="shared" si="3"/>
        <v>91</v>
      </c>
      <c r="M28" s="1033">
        <f t="shared" si="3"/>
        <v>68</v>
      </c>
      <c r="N28" s="1033">
        <f t="shared" si="3"/>
        <v>79</v>
      </c>
      <c r="O28" s="1033">
        <f t="shared" si="3"/>
        <v>71</v>
      </c>
      <c r="P28" s="1033">
        <f t="shared" si="3"/>
        <v>105</v>
      </c>
      <c r="Q28" s="1033">
        <f t="shared" si="3"/>
        <v>74</v>
      </c>
      <c r="R28" s="1033">
        <f t="shared" si="3"/>
        <v>72</v>
      </c>
      <c r="S28" s="1033">
        <f t="shared" si="3"/>
        <v>72</v>
      </c>
      <c r="T28" s="1033">
        <f t="shared" si="3"/>
        <v>97</v>
      </c>
      <c r="U28" s="1033">
        <f t="shared" si="3"/>
        <v>71</v>
      </c>
      <c r="V28" s="1033">
        <f t="shared" si="3"/>
        <v>76</v>
      </c>
      <c r="W28" s="1033">
        <f t="shared" si="3"/>
        <v>77</v>
      </c>
      <c r="X28" s="1033">
        <f t="shared" si="3"/>
        <v>80</v>
      </c>
      <c r="Y28" s="1033">
        <f t="shared" si="3"/>
        <v>85</v>
      </c>
      <c r="Z28" s="1033">
        <f t="shared" si="3"/>
        <v>76</v>
      </c>
      <c r="AA28" s="1033">
        <f t="shared" si="3"/>
        <v>85</v>
      </c>
      <c r="AB28" s="1033">
        <f t="shared" si="3"/>
        <v>-410164</v>
      </c>
      <c r="AC28" s="1033">
        <f t="shared" si="3"/>
        <v>0</v>
      </c>
      <c r="AD28" s="1033">
        <f t="shared" si="3"/>
        <v>0</v>
      </c>
      <c r="AE28" s="1033">
        <f t="shared" si="3"/>
        <v>0</v>
      </c>
      <c r="AF28" s="1033">
        <f t="shared" si="3"/>
        <v>0</v>
      </c>
      <c r="AG28" s="1033">
        <f t="shared" si="3"/>
        <v>0</v>
      </c>
      <c r="AH28" s="1033">
        <f t="shared" si="3"/>
        <v>0</v>
      </c>
      <c r="AI28" s="1032"/>
    </row>
    <row r="29" spans="2:35">
      <c r="B29" s="1031" t="s">
        <v>86</v>
      </c>
      <c r="C29" s="1032"/>
      <c r="D29" s="1033">
        <f>SUM(D9:D10,D13:D14)</f>
        <v>69</v>
      </c>
      <c r="E29" s="1033">
        <f t="shared" ref="E29:AH29" si="4">SUM(E9:E10,E13:E14)</f>
        <v>69</v>
      </c>
      <c r="F29" s="1033">
        <f t="shared" si="4"/>
        <v>62</v>
      </c>
      <c r="G29" s="1033">
        <f t="shared" si="4"/>
        <v>45</v>
      </c>
      <c r="H29" s="1033">
        <f t="shared" si="4"/>
        <v>61</v>
      </c>
      <c r="I29" s="1033">
        <f t="shared" si="4"/>
        <v>64</v>
      </c>
      <c r="J29" s="1033">
        <f t="shared" si="4"/>
        <v>92</v>
      </c>
      <c r="K29" s="1033">
        <f t="shared" si="4"/>
        <v>58</v>
      </c>
      <c r="L29" s="1033">
        <f t="shared" si="4"/>
        <v>52</v>
      </c>
      <c r="M29" s="1033">
        <f t="shared" si="4"/>
        <v>40</v>
      </c>
      <c r="N29" s="1033">
        <f t="shared" si="4"/>
        <v>59</v>
      </c>
      <c r="O29" s="1033">
        <f t="shared" si="4"/>
        <v>51</v>
      </c>
      <c r="P29" s="1033">
        <f t="shared" si="4"/>
        <v>63</v>
      </c>
      <c r="Q29" s="1033">
        <f t="shared" si="4"/>
        <v>100</v>
      </c>
      <c r="R29" s="1033">
        <f t="shared" si="4"/>
        <v>47</v>
      </c>
      <c r="S29" s="1033">
        <f t="shared" si="4"/>
        <v>-52</v>
      </c>
      <c r="T29" s="1033">
        <f t="shared" si="4"/>
        <v>31</v>
      </c>
      <c r="U29" s="1033">
        <f t="shared" si="4"/>
        <v>39</v>
      </c>
      <c r="V29" s="1033">
        <f t="shared" si="4"/>
        <v>48</v>
      </c>
      <c r="W29" s="1033">
        <f t="shared" si="4"/>
        <v>54</v>
      </c>
      <c r="X29" s="1033">
        <f t="shared" si="4"/>
        <v>75</v>
      </c>
      <c r="Y29" s="1033">
        <f t="shared" si="4"/>
        <v>68</v>
      </c>
      <c r="Z29" s="1033">
        <f t="shared" si="4"/>
        <v>58</v>
      </c>
      <c r="AA29" s="1033">
        <f t="shared" si="4"/>
        <v>51</v>
      </c>
      <c r="AB29" s="1033">
        <f t="shared" si="4"/>
        <v>-217055</v>
      </c>
      <c r="AC29" s="1033">
        <f t="shared" si="4"/>
        <v>0</v>
      </c>
      <c r="AD29" s="1033">
        <f t="shared" si="4"/>
        <v>0</v>
      </c>
      <c r="AE29" s="1033">
        <f t="shared" si="4"/>
        <v>0</v>
      </c>
      <c r="AF29" s="1033">
        <f t="shared" si="4"/>
        <v>0</v>
      </c>
      <c r="AG29" s="1033">
        <f t="shared" si="4"/>
        <v>0</v>
      </c>
      <c r="AH29" s="1033">
        <f t="shared" si="4"/>
        <v>0</v>
      </c>
      <c r="AI29" s="1032"/>
    </row>
    <row r="30" spans="2:35">
      <c r="B30" s="1031" t="s">
        <v>87</v>
      </c>
      <c r="C30" s="1032"/>
      <c r="D30" s="1032">
        <f>D29/SUM(D28:D29)%</f>
        <v>47.586206896551722</v>
      </c>
      <c r="E30" s="1032">
        <f t="shared" ref="E30:AH30" si="5">E29/SUM(E28:E29)%</f>
        <v>44.805194805194802</v>
      </c>
      <c r="F30" s="1032">
        <f t="shared" si="5"/>
        <v>44.927536231884062</v>
      </c>
      <c r="G30" s="1032">
        <f t="shared" si="5"/>
        <v>31.46853146853147</v>
      </c>
      <c r="H30" s="1032">
        <f t="shared" si="5"/>
        <v>42.361111111111114</v>
      </c>
      <c r="I30" s="1032">
        <f t="shared" si="5"/>
        <v>34.782608695652172</v>
      </c>
      <c r="J30" s="1032">
        <f t="shared" si="5"/>
        <v>43.601895734597157</v>
      </c>
      <c r="K30" s="1032">
        <f t="shared" si="5"/>
        <v>44.615384615384613</v>
      </c>
      <c r="L30" s="1032">
        <f t="shared" si="5"/>
        <v>36.363636363636367</v>
      </c>
      <c r="M30" s="1032">
        <f t="shared" si="5"/>
        <v>37.037037037037038</v>
      </c>
      <c r="N30" s="1032">
        <f t="shared" si="5"/>
        <v>42.753623188405797</v>
      </c>
      <c r="O30" s="1032">
        <f t="shared" si="5"/>
        <v>41.803278688524593</v>
      </c>
      <c r="P30" s="1032">
        <f t="shared" si="5"/>
        <v>37.5</v>
      </c>
      <c r="Q30" s="1032">
        <f t="shared" si="5"/>
        <v>57.47126436781609</v>
      </c>
      <c r="R30" s="1032">
        <f t="shared" si="5"/>
        <v>39.495798319327733</v>
      </c>
      <c r="S30" s="1032">
        <f t="shared" si="5"/>
        <v>-260</v>
      </c>
      <c r="T30" s="1032">
        <f t="shared" si="5"/>
        <v>24.21875</v>
      </c>
      <c r="U30" s="1032">
        <f t="shared" si="5"/>
        <v>35.454545454545453</v>
      </c>
      <c r="V30" s="1032">
        <f t="shared" si="5"/>
        <v>38.70967741935484</v>
      </c>
      <c r="W30" s="1032">
        <f t="shared" si="5"/>
        <v>41.221374045801525</v>
      </c>
      <c r="X30" s="1032">
        <f t="shared" si="5"/>
        <v>48.387096774193544</v>
      </c>
      <c r="Y30" s="1032">
        <f t="shared" si="5"/>
        <v>44.444444444444443</v>
      </c>
      <c r="Z30" s="1032">
        <f t="shared" si="5"/>
        <v>43.283582089552233</v>
      </c>
      <c r="AA30" s="1032">
        <f t="shared" si="5"/>
        <v>37.5</v>
      </c>
      <c r="AB30" s="1032">
        <f t="shared" si="5"/>
        <v>34.60593508806334</v>
      </c>
      <c r="AC30" s="1032" t="e">
        <f t="shared" si="5"/>
        <v>#DIV/0!</v>
      </c>
      <c r="AD30" s="1032" t="e">
        <f t="shared" si="5"/>
        <v>#DIV/0!</v>
      </c>
      <c r="AE30" s="1032" t="e">
        <f t="shared" si="5"/>
        <v>#DIV/0!</v>
      </c>
      <c r="AF30" s="1032" t="e">
        <f t="shared" si="5"/>
        <v>#DIV/0!</v>
      </c>
      <c r="AG30" s="1032" t="e">
        <f t="shared" si="5"/>
        <v>#DIV/0!</v>
      </c>
      <c r="AH30" s="1032" t="e">
        <f t="shared" si="5"/>
        <v>#DIV/0!</v>
      </c>
      <c r="AI30" s="1032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90"/>
  <sheetViews>
    <sheetView zoomScale="85" zoomScaleNormal="85" workbookViewId="0">
      <pane xSplit="1" topLeftCell="AB1" activePane="topRight" state="frozen"/>
      <selection activeCell="A3" sqref="A3"/>
      <selection pane="topRight" activeCell="AJ5" sqref="AJ5"/>
    </sheetView>
  </sheetViews>
  <sheetFormatPr defaultRowHeight="15.75"/>
  <cols>
    <col min="1" max="1" width="8.88671875" style="1043"/>
    <col min="2" max="2" width="8.109375" bestFit="1" customWidth="1"/>
    <col min="3" max="3" width="6.109375" bestFit="1" customWidth="1"/>
    <col min="4" max="5" width="7.5546875" bestFit="1" customWidth="1"/>
    <col min="6" max="6" width="8.109375" bestFit="1" customWidth="1"/>
    <col min="7" max="7" width="8.21875" bestFit="1" customWidth="1"/>
    <col min="8" max="9" width="7.109375" customWidth="1"/>
    <col min="10" max="28" width="7.33203125" style="1043" customWidth="1"/>
    <col min="29" max="47" width="7" style="1043" customWidth="1"/>
    <col min="48" max="16384" width="8.88671875" style="1043"/>
  </cols>
  <sheetData>
    <row r="1" spans="1:49" ht="16.5" thickBot="1">
      <c r="B1" s="1043"/>
      <c r="C1" s="1043"/>
      <c r="D1" s="1043"/>
      <c r="E1" s="1043"/>
      <c r="F1" s="1043"/>
      <c r="G1" s="1043"/>
      <c r="H1" s="1043"/>
      <c r="I1" s="1043"/>
    </row>
    <row r="2" spans="1:49">
      <c r="B2" s="1393" t="s">
        <v>20</v>
      </c>
      <c r="C2" s="1394"/>
      <c r="D2" s="1394"/>
      <c r="E2" s="1394"/>
      <c r="F2" s="1394"/>
      <c r="G2" s="1394"/>
      <c r="H2" s="1394"/>
      <c r="I2" s="1395"/>
      <c r="J2" s="1399" t="s">
        <v>88</v>
      </c>
      <c r="K2" s="1399"/>
      <c r="L2" s="1399"/>
      <c r="M2" s="1399"/>
      <c r="N2" s="1399"/>
      <c r="O2" s="1399"/>
      <c r="P2" s="1399"/>
      <c r="Q2" s="1399"/>
      <c r="R2" s="1399"/>
      <c r="S2" s="1399"/>
      <c r="T2" s="1399"/>
      <c r="U2" s="1399"/>
      <c r="V2" s="1399"/>
      <c r="W2" s="1399"/>
      <c r="X2" s="1399"/>
      <c r="Y2" s="1399"/>
      <c r="Z2" s="1399"/>
      <c r="AA2" s="1399"/>
      <c r="AB2" s="1399"/>
      <c r="AC2" s="1399"/>
      <c r="AD2" s="1399"/>
      <c r="AE2" s="1399"/>
      <c r="AF2" s="1399"/>
      <c r="AG2" s="1399"/>
      <c r="AH2" s="1399"/>
      <c r="AI2" s="1399"/>
      <c r="AJ2" s="1398"/>
      <c r="AK2" s="1398"/>
      <c r="AL2" s="1398"/>
      <c r="AM2" s="1398"/>
      <c r="AN2" s="1398"/>
      <c r="AO2" s="1398"/>
      <c r="AP2" s="1398"/>
      <c r="AQ2" s="1123"/>
      <c r="AR2" s="1397" t="s">
        <v>89</v>
      </c>
      <c r="AS2" s="1397"/>
      <c r="AT2" s="1397"/>
      <c r="AU2" s="1397"/>
    </row>
    <row r="3" spans="1:49">
      <c r="B3" s="1294"/>
      <c r="C3" s="438"/>
      <c r="D3" s="438"/>
      <c r="E3" s="438"/>
      <c r="F3" s="438"/>
      <c r="G3" s="438"/>
      <c r="H3" s="438"/>
      <c r="I3" s="1295"/>
      <c r="J3" s="1293"/>
      <c r="K3" s="1293"/>
      <c r="L3" s="1293"/>
      <c r="M3" s="1293"/>
      <c r="N3" s="1293"/>
      <c r="O3" s="1293"/>
      <c r="P3" s="1293"/>
      <c r="Q3" s="1293"/>
      <c r="R3" s="1293"/>
      <c r="S3" s="1293"/>
      <c r="T3" s="1293"/>
      <c r="U3" s="1293"/>
      <c r="V3" s="1293"/>
      <c r="W3" s="1296"/>
      <c r="X3" s="1296"/>
      <c r="Y3" s="1296"/>
      <c r="Z3" s="1296"/>
      <c r="AA3" s="1296"/>
      <c r="AB3" s="1296"/>
      <c r="AC3" s="1296"/>
      <c r="AD3" s="1296"/>
      <c r="AE3" s="1296"/>
      <c r="AF3" s="1296"/>
      <c r="AG3" s="1296"/>
      <c r="AH3" s="1296"/>
      <c r="AI3" s="1293"/>
      <c r="AJ3" s="1400" t="s">
        <v>140</v>
      </c>
      <c r="AK3" s="1400"/>
      <c r="AL3" s="1400"/>
      <c r="AM3" s="1400"/>
      <c r="AN3" s="1400"/>
      <c r="AO3" s="1400"/>
      <c r="AP3" s="1400"/>
      <c r="AQ3" s="1401" t="s">
        <v>334</v>
      </c>
      <c r="AR3" s="1401"/>
      <c r="AS3" s="1401"/>
      <c r="AT3" s="1401"/>
      <c r="AU3" s="1401"/>
    </row>
    <row r="4" spans="1:49" ht="34.5" customHeight="1">
      <c r="A4" s="1044"/>
      <c r="B4" s="1297" t="s">
        <v>335</v>
      </c>
      <c r="C4" s="1298" t="s">
        <v>336</v>
      </c>
      <c r="D4" s="1298" t="s">
        <v>337</v>
      </c>
      <c r="E4" s="1298" t="s">
        <v>338</v>
      </c>
      <c r="F4" s="1298" t="s">
        <v>333</v>
      </c>
      <c r="G4" s="1298" t="s">
        <v>53</v>
      </c>
      <c r="H4" s="1299" t="s">
        <v>62</v>
      </c>
      <c r="I4" s="1299" t="s">
        <v>55</v>
      </c>
      <c r="J4" s="1044" t="s">
        <v>90</v>
      </c>
      <c r="K4" s="1044" t="s">
        <v>91</v>
      </c>
      <c r="L4" s="1044" t="s">
        <v>106</v>
      </c>
      <c r="M4" s="1044" t="s">
        <v>339</v>
      </c>
      <c r="N4" s="1044" t="s">
        <v>340</v>
      </c>
      <c r="O4" s="1044" t="s">
        <v>341</v>
      </c>
      <c r="P4" s="1044" t="s">
        <v>342</v>
      </c>
      <c r="Q4" s="1044" t="s">
        <v>92</v>
      </c>
      <c r="R4" s="1044" t="s">
        <v>343</v>
      </c>
      <c r="S4" s="1044" t="s">
        <v>344</v>
      </c>
      <c r="T4" s="1044" t="s">
        <v>327</v>
      </c>
      <c r="U4" s="1044" t="s">
        <v>77</v>
      </c>
      <c r="V4" s="1044" t="s">
        <v>345</v>
      </c>
      <c r="W4" s="1045" t="s">
        <v>346</v>
      </c>
      <c r="X4" s="1045" t="s">
        <v>102</v>
      </c>
      <c r="Y4" s="1045" t="s">
        <v>96</v>
      </c>
      <c r="Z4" s="1045" t="s">
        <v>97</v>
      </c>
      <c r="AA4" s="433" t="s">
        <v>347</v>
      </c>
      <c r="AB4" s="434" t="s">
        <v>99</v>
      </c>
      <c r="AC4" s="434" t="s">
        <v>99</v>
      </c>
      <c r="AD4" s="434" t="s">
        <v>100</v>
      </c>
      <c r="AE4" s="434" t="s">
        <v>326</v>
      </c>
      <c r="AF4" s="434" t="s">
        <v>102</v>
      </c>
      <c r="AG4" s="434" t="s">
        <v>103</v>
      </c>
      <c r="AH4" s="434" t="s">
        <v>104</v>
      </c>
      <c r="AI4" s="1044" t="s">
        <v>201</v>
      </c>
      <c r="AJ4" s="1044" t="s">
        <v>348</v>
      </c>
      <c r="AK4" s="1044" t="s">
        <v>105</v>
      </c>
      <c r="AL4" s="1044" t="s">
        <v>106</v>
      </c>
      <c r="AM4" s="1044" t="s">
        <v>107</v>
      </c>
      <c r="AN4" s="1044" t="s">
        <v>108</v>
      </c>
      <c r="AO4" s="1044" t="s">
        <v>109</v>
      </c>
      <c r="AP4" s="1044" t="s">
        <v>349</v>
      </c>
      <c r="AQ4" s="1044" t="s">
        <v>105</v>
      </c>
      <c r="AR4" s="1044" t="s">
        <v>41</v>
      </c>
      <c r="AS4" s="1044" t="s">
        <v>42</v>
      </c>
      <c r="AT4" s="1044" t="s">
        <v>324</v>
      </c>
      <c r="AU4" s="1044" t="s">
        <v>110</v>
      </c>
    </row>
    <row r="5" spans="1:49">
      <c r="A5" s="1046">
        <v>43862</v>
      </c>
      <c r="B5" s="261">
        <f>SUM('1'!G35,'1'!G49)</f>
        <v>3193.1199999999953</v>
      </c>
      <c r="C5" s="261">
        <f>SUM('1'!H37,'1'!H51)</f>
        <v>1450.4500000000044</v>
      </c>
      <c r="D5" s="261">
        <f>SUM('1'!G38,'1'!G52)</f>
        <v>2140.4200000000055</v>
      </c>
      <c r="E5" s="261">
        <f>SUM('1'!G39,'1'!G53)</f>
        <v>4328.8000000000029</v>
      </c>
      <c r="F5" s="261">
        <f>SUM('1'!G41,'1'!G42,'1'!G55,'1'!G56)</f>
        <v>5749.6500000000087</v>
      </c>
      <c r="G5" s="261">
        <f>SUM('1'!G43,'1'!G57)</f>
        <v>2455.359999999986</v>
      </c>
      <c r="H5" s="1047">
        <f>'1'!G50</f>
        <v>1635.9199999999837</v>
      </c>
      <c r="I5" s="1047">
        <f>'1'!G36</f>
        <v>759.23999999999069</v>
      </c>
      <c r="J5" s="1047">
        <f>'1'!G72</f>
        <v>70</v>
      </c>
      <c r="K5" s="1047">
        <f>'1'!$G$73</f>
        <v>0</v>
      </c>
      <c r="L5" s="1047">
        <f>'1'!$G$74</f>
        <v>38.850000000000023</v>
      </c>
      <c r="M5" s="1047">
        <f>'1'!$G$75</f>
        <v>144.65000000000009</v>
      </c>
      <c r="N5" s="1047">
        <f>'1'!$G$76</f>
        <v>79.150000000000091</v>
      </c>
      <c r="O5" s="1047">
        <f>'1'!$G$77</f>
        <v>45</v>
      </c>
      <c r="P5" s="1047">
        <f>'1'!$G$78</f>
        <v>390</v>
      </c>
      <c r="Q5" s="1047">
        <f>'1'!$G$79</f>
        <v>192</v>
      </c>
      <c r="R5" s="1047">
        <f>'1'!$G$80</f>
        <v>415</v>
      </c>
      <c r="S5" s="1047">
        <f>'1'!$G$81</f>
        <v>112.56000000005588</v>
      </c>
      <c r="T5" s="1047">
        <f>'1'!$G$82</f>
        <v>18.169999999998254</v>
      </c>
      <c r="U5" s="1047">
        <f>'1'!$G$58</f>
        <v>230.74000000000524</v>
      </c>
      <c r="V5" s="1047">
        <f>'1'!$G$83</f>
        <v>520</v>
      </c>
      <c r="W5" s="1047">
        <f>'1'!G86</f>
        <v>138.30999999999767</v>
      </c>
      <c r="X5" s="1047">
        <f>'1'!G87</f>
        <v>39.19999999999709</v>
      </c>
      <c r="Y5" s="1047">
        <f>'1'!G88</f>
        <v>51.680000000022119</v>
      </c>
      <c r="Z5" s="1047">
        <f>'1'!G89+'1'!G90</f>
        <v>63.100000000004457</v>
      </c>
      <c r="AA5" s="1047">
        <f>'1'!$G$62</f>
        <v>1.9999999967694748E-3</v>
      </c>
      <c r="AB5" s="1047">
        <f>'1'!$G$63</f>
        <v>14.210000000000036</v>
      </c>
      <c r="AC5" s="1047">
        <f>'1'!$G$64</f>
        <v>500.55000000000291</v>
      </c>
      <c r="AD5" s="1047">
        <f>'1'!$G$65</f>
        <v>399.05999999999767</v>
      </c>
      <c r="AE5" s="1047">
        <f>'1'!$G$66</f>
        <v>406.61000000000058</v>
      </c>
      <c r="AF5" s="1047">
        <f>'1'!$G$67</f>
        <v>704.24000000001979</v>
      </c>
      <c r="AG5" s="1047">
        <f>'1'!$G$68</f>
        <v>348.89999999999418</v>
      </c>
      <c r="AH5" s="1047">
        <f>'1'!$G$69</f>
        <v>324.00100000000384</v>
      </c>
      <c r="AI5" s="1047">
        <f>'1'!$G$84</f>
        <v>690</v>
      </c>
      <c r="AJ5" s="1047">
        <f>'1'!$G$15</f>
        <v>880.63199999998324</v>
      </c>
      <c r="AK5" s="1047">
        <f>'1'!$G$123</f>
        <v>266.26000000000931</v>
      </c>
      <c r="AL5" s="1047">
        <f>'1'!$G$124</f>
        <v>0</v>
      </c>
      <c r="AM5" s="1047">
        <f>'1'!$G$125</f>
        <v>63.950000000011642</v>
      </c>
      <c r="AN5" s="1047">
        <f>'1'!$G$126</f>
        <v>25.099999999998545</v>
      </c>
      <c r="AO5" s="1047">
        <f>'1'!$G$127</f>
        <v>2.1000000000003638</v>
      </c>
      <c r="AP5" s="1047">
        <f>AJ5-SUM(AK5:AO5)</f>
        <v>523.22199999996337</v>
      </c>
      <c r="AQ5" s="1047">
        <f>SUM('1'!G139:G140)</f>
        <v>7.2399999999995543</v>
      </c>
      <c r="AR5" s="1047">
        <f>'1'!$G$136</f>
        <v>8.7700000000004366</v>
      </c>
      <c r="AS5" s="1047">
        <f>'1'!$G$137</f>
        <v>0</v>
      </c>
      <c r="AT5" s="1047">
        <f>'1'!$G$138</f>
        <v>5.3700000000098953</v>
      </c>
      <c r="AU5" s="1044">
        <f>SUM(AR5:AT5)</f>
        <v>14.140000000010332</v>
      </c>
    </row>
    <row r="6" spans="1:49">
      <c r="A6" s="1046">
        <v>43863</v>
      </c>
      <c r="B6" s="261">
        <f>SUM('2'!G35,'2'!G49)</f>
        <v>3503.7600000000093</v>
      </c>
      <c r="C6" s="261">
        <f>SUM('2'!G37,'2'!G51)</f>
        <v>1456.8399999999965</v>
      </c>
      <c r="D6" s="261">
        <f>SUM('2'!G38,'2'!G52)</f>
        <v>2089.5099999999948</v>
      </c>
      <c r="E6" s="261">
        <f>SUM('2'!G39,'2'!G53)</f>
        <v>4368.929999999993</v>
      </c>
      <c r="F6" s="261">
        <f>SUM('2'!G41,'2'!G42,'2'!G55,'2'!G56)</f>
        <v>5632.6609999999928</v>
      </c>
      <c r="G6" s="261">
        <f>SUM('2'!G43,'2'!G57)</f>
        <v>2485.5200000000186</v>
      </c>
      <c r="H6" s="1047">
        <f>'2'!G50</f>
        <v>1600.359999999986</v>
      </c>
      <c r="I6" s="1047">
        <f>'2'!G36</f>
        <v>669.28000000002794</v>
      </c>
      <c r="J6" s="1047">
        <f>'2'!G72</f>
        <v>73</v>
      </c>
      <c r="K6" s="1047">
        <f>'2'!$G$73</f>
        <v>0</v>
      </c>
      <c r="L6" s="1047">
        <f>'2'!$G$74</f>
        <v>31.139999999999986</v>
      </c>
      <c r="M6" s="1047">
        <f>'2'!$G$75</f>
        <v>150.39000000000033</v>
      </c>
      <c r="N6" s="1047">
        <f>'2'!$G$76</f>
        <v>80.629999999999882</v>
      </c>
      <c r="O6" s="1047">
        <f>'2'!$G$77</f>
        <v>45</v>
      </c>
      <c r="P6" s="1047">
        <f>'2'!$G$78</f>
        <v>377</v>
      </c>
      <c r="Q6" s="1047">
        <f>'2'!$G$79</f>
        <v>298</v>
      </c>
      <c r="R6" s="1047">
        <f>'2'!$G$80</f>
        <v>399.71999999997206</v>
      </c>
      <c r="S6" s="1037">
        <f>'2'!$G$81</f>
        <v>101.23999999999069</v>
      </c>
      <c r="T6" s="1037">
        <f>'2'!$G$82</f>
        <v>21.480000000010477</v>
      </c>
      <c r="U6" s="1037">
        <f>'2'!$G$58</f>
        <v>212.68000000000029</v>
      </c>
      <c r="V6" s="1037">
        <f>'2'!$G$83</f>
        <v>547</v>
      </c>
      <c r="W6" s="1037">
        <f>'2'!G86</f>
        <v>140.35999999998603</v>
      </c>
      <c r="X6" s="1047">
        <f>'2'!G87</f>
        <v>38.200000000011642</v>
      </c>
      <c r="Y6" s="1047">
        <f>'2'!G88</f>
        <v>72.119999999995343</v>
      </c>
      <c r="Z6" s="1047">
        <f>'2'!G89+'2'!G90</f>
        <v>89.899999999999636</v>
      </c>
      <c r="AA6" s="1047">
        <f>'2'!$G$62</f>
        <v>0</v>
      </c>
      <c r="AB6" s="1047">
        <f>'2'!$G$63</f>
        <v>11.880000000000109</v>
      </c>
      <c r="AC6" s="1047">
        <f>'2'!$G$64</f>
        <v>529.48999999999069</v>
      </c>
      <c r="AD6" s="1047">
        <f>'2'!$G$65</f>
        <v>396.30000000001746</v>
      </c>
      <c r="AE6" s="1047">
        <f>'2'!$G$66</f>
        <v>414.13999999999942</v>
      </c>
      <c r="AF6" s="1047">
        <f>'2'!$G$67</f>
        <v>702.92999999999302</v>
      </c>
      <c r="AG6" s="1047">
        <f>'2'!$G$68</f>
        <v>364.49000000000524</v>
      </c>
      <c r="AH6" s="1047">
        <f>'2'!$G$69</f>
        <v>327.02900000000227</v>
      </c>
      <c r="AI6" s="1047">
        <f>'2'!$G$84</f>
        <v>727</v>
      </c>
      <c r="AJ6" s="1047">
        <f>'2'!$G$15</f>
        <v>993.17799999983981</v>
      </c>
      <c r="AK6" s="1047">
        <f>'2'!$G$123</f>
        <v>278.29000000003725</v>
      </c>
      <c r="AL6" s="1047">
        <f>'2'!$G$124</f>
        <v>0</v>
      </c>
      <c r="AM6" s="1047">
        <f>'2'!$G$125</f>
        <v>81.699999999982538</v>
      </c>
      <c r="AN6" s="1047">
        <f>'2'!$G$126</f>
        <v>26.900000000001455</v>
      </c>
      <c r="AO6" s="1047">
        <f>'2'!$G$127</f>
        <v>0.5</v>
      </c>
      <c r="AP6" s="1047">
        <f t="shared" ref="AP6:AP35" si="0">AJ6-SUM(AK6:AO6)</f>
        <v>605.78799999981857</v>
      </c>
      <c r="AQ6" s="1047">
        <f>SUM('2'!G139:G140)</f>
        <v>8.5300000000004275</v>
      </c>
      <c r="AR6" s="1047">
        <f>'2'!$G$136</f>
        <v>8.8400000000001455</v>
      </c>
      <c r="AS6" s="1047">
        <f>'2'!$G$137</f>
        <v>0</v>
      </c>
      <c r="AT6" s="1047">
        <f>'2'!$G$138</f>
        <v>6.6399999999994179</v>
      </c>
      <c r="AU6" s="1044">
        <f t="shared" ref="AU6:AU35" si="1">SUM(AR6:AT6)</f>
        <v>15.479999999999563</v>
      </c>
    </row>
    <row r="7" spans="1:49" s="1049" customFormat="1">
      <c r="A7" s="1046">
        <v>43864</v>
      </c>
      <c r="B7" s="261">
        <f>SUM('3'!G35,'3'!G49)</f>
        <v>3426.8800000000047</v>
      </c>
      <c r="C7" s="261">
        <f>SUM('3'!G37,'3'!G51)</f>
        <v>1469.489999999998</v>
      </c>
      <c r="D7" s="261">
        <f>SUM('3'!G38,'3'!G52)</f>
        <v>2172.0499999999665</v>
      </c>
      <c r="E7" s="261">
        <f>SUM('3'!G39,'3'!G53)</f>
        <v>4356.4200000000128</v>
      </c>
      <c r="F7" s="261">
        <f>SUM('3'!G41,'3'!G42,'3'!G55,'3'!G56)</f>
        <v>4924.5289999999077</v>
      </c>
      <c r="G7" s="261">
        <f>SUM('3'!G43,'3'!G57)</f>
        <v>2463.8200000000652</v>
      </c>
      <c r="H7" s="1037">
        <f>'3'!G50</f>
        <v>1065.359999999986</v>
      </c>
      <c r="I7" s="1037">
        <f>'3'!G36</f>
        <v>626.4199999999837</v>
      </c>
      <c r="J7" s="1037">
        <f>'3'!G72</f>
        <v>98</v>
      </c>
      <c r="K7" s="1037">
        <f>'3'!$G$73</f>
        <v>0</v>
      </c>
      <c r="L7" s="1037">
        <f>'3'!$G$74</f>
        <v>27.399999999999977</v>
      </c>
      <c r="M7" s="1037">
        <f>'3'!$G$75</f>
        <v>154.07999999999993</v>
      </c>
      <c r="N7" s="1037">
        <f>'3'!$G$76</f>
        <v>83.180000000000064</v>
      </c>
      <c r="O7" s="1037">
        <f>'3'!$G$77</f>
        <v>47</v>
      </c>
      <c r="P7" s="1037">
        <f>'3'!$G$78</f>
        <v>329</v>
      </c>
      <c r="Q7" s="1037">
        <f>'3'!$G$79</f>
        <v>116</v>
      </c>
      <c r="R7" s="1037">
        <f>'3'!$G$80</f>
        <v>347.64000000001397</v>
      </c>
      <c r="S7" s="1037">
        <f>'3'!$G$81</f>
        <v>100.35999999998603</v>
      </c>
      <c r="T7" s="1037">
        <f>'3'!$G$82</f>
        <v>18.869999999995343</v>
      </c>
      <c r="U7" s="1037">
        <f>'3'!$G$58</f>
        <v>188.79000000000087</v>
      </c>
      <c r="V7" s="1037">
        <f>'3'!$G$83</f>
        <v>523</v>
      </c>
      <c r="W7" s="1047">
        <f>'3'!G86</f>
        <v>117.79999999998836</v>
      </c>
      <c r="X7" s="1047">
        <f>'1'!G87</f>
        <v>39.19999999999709</v>
      </c>
      <c r="Y7" s="1047">
        <f>'3'!G88</f>
        <v>25.850000000005821</v>
      </c>
      <c r="Z7" s="1047">
        <f>'3'!G89+'3'!G90</f>
        <v>87.999999999998636</v>
      </c>
      <c r="AA7" s="1037">
        <f>'3'!$G$62</f>
        <v>0</v>
      </c>
      <c r="AB7" s="1037">
        <f>'3'!$G$63</f>
        <v>11.919999999999845</v>
      </c>
      <c r="AC7" s="1037">
        <f>'3'!$G$64</f>
        <v>522.82000000000698</v>
      </c>
      <c r="AD7" s="1037">
        <f>'3'!$G$65</f>
        <v>378.17999999999302</v>
      </c>
      <c r="AE7" s="1037">
        <f>'3'!$G$66</f>
        <v>433.43000000000029</v>
      </c>
      <c r="AF7" s="787">
        <f>'3'!$G$67</f>
        <v>659.32999999998719</v>
      </c>
      <c r="AG7" s="787">
        <f>'3'!$G$68</f>
        <v>359.23999999999069</v>
      </c>
      <c r="AH7" s="1037">
        <f>'3'!$G$69</f>
        <v>321.96999999999389</v>
      </c>
      <c r="AI7" s="1037">
        <f>'3'!$G$84</f>
        <v>553</v>
      </c>
      <c r="AJ7" s="1037">
        <f>'3'!$G$15</f>
        <v>830.41000000014901</v>
      </c>
      <c r="AK7" s="1037">
        <f>'3'!$G$123</f>
        <v>245.65000000002328</v>
      </c>
      <c r="AL7" s="1037">
        <f>'3'!$G$124</f>
        <v>0</v>
      </c>
      <c r="AM7" s="1037">
        <f>'3'!$G$125</f>
        <v>63.660000000003492</v>
      </c>
      <c r="AN7" s="1037">
        <f>'3'!$G$126</f>
        <v>18.69999999999709</v>
      </c>
      <c r="AO7" s="1037">
        <f>'3'!$G$127</f>
        <v>3.7000000000007276</v>
      </c>
      <c r="AP7" s="1037">
        <f t="shared" si="0"/>
        <v>498.70000000012442</v>
      </c>
      <c r="AQ7" s="1047">
        <f>SUM('3'!G139:G140)</f>
        <v>7.0599999999999454</v>
      </c>
      <c r="AR7" s="1037">
        <f>'3'!$G$136</f>
        <v>8.5299999999988358</v>
      </c>
      <c r="AS7" s="1037">
        <f>'3'!$G$137</f>
        <v>0</v>
      </c>
      <c r="AT7" s="1037">
        <f>'3'!$G$138</f>
        <v>5.4599999999918509</v>
      </c>
      <c r="AU7" s="1048">
        <f t="shared" si="1"/>
        <v>13.989999999990687</v>
      </c>
    </row>
    <row r="8" spans="1:49">
      <c r="A8" s="1046">
        <v>43865</v>
      </c>
      <c r="B8" s="261">
        <f>SUM('4'!G35,'4'!G49)</f>
        <v>3260.5200000000186</v>
      </c>
      <c r="C8" s="261">
        <f>SUM('4'!G37,'4'!G51)</f>
        <v>1488.3800000000047</v>
      </c>
      <c r="D8" s="261">
        <f>SUM('4'!G38,'4'!G52)</f>
        <v>2010.8200000000143</v>
      </c>
      <c r="E8" s="261">
        <f>SUM('4'!G39,'4'!G53)</f>
        <v>4163.2299999999814</v>
      </c>
      <c r="F8" s="261">
        <f>SUM('4'!G41,'4'!G42,'4'!G55,'4'!G56)</f>
        <v>4227.2200000000594</v>
      </c>
      <c r="G8" s="261">
        <f>SUM('4'!G43,'4'!G57)</f>
        <v>2461.1399999999721</v>
      </c>
      <c r="H8" s="1047">
        <f>'4'!G50</f>
        <v>1029.3300000000163</v>
      </c>
      <c r="I8" s="1047">
        <f>'4'!G36</f>
        <v>622.48999999999069</v>
      </c>
      <c r="J8" s="1047">
        <f>'4'!G72</f>
        <v>90</v>
      </c>
      <c r="K8" s="1047">
        <f>'4'!$G$73</f>
        <v>1</v>
      </c>
      <c r="L8" s="1047">
        <f>'4'!$G$74</f>
        <v>17.440000000000055</v>
      </c>
      <c r="M8" s="1047">
        <f>'4'!$G$74</f>
        <v>17.440000000000055</v>
      </c>
      <c r="N8" s="1047">
        <f>'4'!$G$76</f>
        <v>84.700000000000045</v>
      </c>
      <c r="O8" s="1047">
        <f>'4'!$G$77</f>
        <v>50</v>
      </c>
      <c r="P8" s="1047">
        <f>'4'!$G$78</f>
        <v>388</v>
      </c>
      <c r="Q8" s="1047">
        <f>'4'!$G$79</f>
        <v>250</v>
      </c>
      <c r="R8" s="1037">
        <f>'4'!$G$80</f>
        <v>350</v>
      </c>
      <c r="S8" s="1037">
        <f>'4'!$G$81</f>
        <v>120</v>
      </c>
      <c r="T8" s="1047">
        <f>'4'!$G$82</f>
        <v>22</v>
      </c>
      <c r="U8" s="1047">
        <f>'4'!$G$58</f>
        <v>164.08999999999651</v>
      </c>
      <c r="V8" s="1047">
        <f>'4'!$G$83</f>
        <v>493</v>
      </c>
      <c r="W8" s="1047">
        <f>'4'!G86</f>
        <v>106</v>
      </c>
      <c r="X8" s="1047">
        <f>'4'!G87</f>
        <v>37.19999999999709</v>
      </c>
      <c r="Y8" s="1047">
        <f>'4'!G88</f>
        <v>107.73999999999069</v>
      </c>
      <c r="Z8" s="1047">
        <f>'4'!G89+'4'!G90</f>
        <v>66.999999999998636</v>
      </c>
      <c r="AA8" s="1047">
        <f>'4'!$G$62</f>
        <v>-1.0000000002037268E-3</v>
      </c>
      <c r="AB8" s="1047">
        <f>'4'!$G$63</f>
        <v>14.630000000000109</v>
      </c>
      <c r="AC8" s="1047">
        <f>'4'!$G$64</f>
        <v>487.83999999999651</v>
      </c>
      <c r="AD8" s="1047">
        <f>'4'!$G$65</f>
        <v>355.16000000000349</v>
      </c>
      <c r="AE8" s="1047">
        <f>'4'!$G$66</f>
        <v>401.06999999999971</v>
      </c>
      <c r="AF8" s="1047">
        <f>'4'!$G$67</f>
        <v>671.67000000001281</v>
      </c>
      <c r="AG8" s="1047">
        <f>'4'!$G$68</f>
        <v>331.85000000000582</v>
      </c>
      <c r="AH8" s="1047">
        <f>'4'!$G$69</f>
        <v>314.91000000000349</v>
      </c>
      <c r="AI8" s="1047">
        <f>'4'!$G$84</f>
        <v>700</v>
      </c>
      <c r="AJ8" s="1047">
        <f>'4'!$G$15</f>
        <v>884.16999999992549</v>
      </c>
      <c r="AK8" s="1047">
        <f>'4'!$G$123</f>
        <v>244.95999999996275</v>
      </c>
      <c r="AL8" s="1047">
        <f>'4'!$G$124</f>
        <v>-0.39999999999417923</v>
      </c>
      <c r="AM8" s="1047">
        <f>'4'!$G$125</f>
        <v>71.350000000005821</v>
      </c>
      <c r="AN8" s="1047">
        <f>'4'!$G$126</f>
        <v>29.400000000001455</v>
      </c>
      <c r="AO8" s="1047">
        <f>'4'!$G$127</f>
        <v>1.8999999999996362</v>
      </c>
      <c r="AP8" s="1047">
        <f t="shared" si="0"/>
        <v>536.95999999995001</v>
      </c>
      <c r="AQ8" s="1047">
        <f>SUM('4'!G139:G140)</f>
        <v>7.0299999999999727</v>
      </c>
      <c r="AR8" s="1047">
        <f>'4'!$G$136</f>
        <v>8.0800000000017462</v>
      </c>
      <c r="AS8" s="1047">
        <f>'4'!$G$137</f>
        <v>0</v>
      </c>
      <c r="AT8" s="1047">
        <f>'4'!$G$138</f>
        <v>3.1900000000023283</v>
      </c>
      <c r="AU8" s="1044">
        <f t="shared" si="1"/>
        <v>11.270000000004075</v>
      </c>
    </row>
    <row r="9" spans="1:49">
      <c r="A9" s="1046">
        <v>43866</v>
      </c>
      <c r="B9" s="261">
        <f>SUM('5'!G35,'5'!G49)</f>
        <v>3368</v>
      </c>
      <c r="C9" s="261">
        <f>SUM('5'!G37,'5'!G51)</f>
        <v>36659</v>
      </c>
      <c r="D9" s="261">
        <f>SUM('5'!G38,'5'!G52)</f>
        <v>1822</v>
      </c>
      <c r="E9" s="261">
        <f>SUM('5'!G39,'5'!G53)</f>
        <v>104331</v>
      </c>
      <c r="F9" s="261">
        <f>SUM('5'!G41,'5'!G42,'5'!G55,'5'!G56)</f>
        <v>4900.739999999998</v>
      </c>
      <c r="G9" s="261">
        <f>SUM('5'!G43,'5'!G57)</f>
        <v>2387</v>
      </c>
      <c r="H9" s="1047">
        <f>'5'!G50</f>
        <v>1011</v>
      </c>
      <c r="I9" s="1047">
        <f>'5'!G36</f>
        <v>577</v>
      </c>
      <c r="J9" s="1047">
        <f>'5'!G72</f>
        <v>75</v>
      </c>
      <c r="K9" s="1047">
        <f>'5'!$G$73</f>
        <v>0</v>
      </c>
      <c r="L9" s="1047">
        <f>'5'!$G$74</f>
        <v>18</v>
      </c>
      <c r="M9" s="1058">
        <f>'5'!$G$75</f>
        <v>160</v>
      </c>
      <c r="N9" s="1047">
        <f>'5'!$G$76</f>
        <v>84</v>
      </c>
      <c r="O9" s="1037">
        <f>'5'!$G$77</f>
        <v>57</v>
      </c>
      <c r="P9" s="1057">
        <f>'5'!$G$78</f>
        <v>332</v>
      </c>
      <c r="Q9" s="1057">
        <f>'5'!$G$79</f>
        <v>216</v>
      </c>
      <c r="R9" s="1050">
        <f>'5'!$G$80</f>
        <v>265</v>
      </c>
      <c r="S9" s="1057">
        <f>'5'!$G$81</f>
        <v>-189</v>
      </c>
      <c r="T9" s="1047">
        <f>'5'!$G$82</f>
        <v>21</v>
      </c>
      <c r="U9" s="1047">
        <f>'5'!$G$58</f>
        <v>209</v>
      </c>
      <c r="V9" s="1047">
        <f>'5'!$G$83</f>
        <v>356</v>
      </c>
      <c r="W9" s="1057">
        <f>'5'!G86</f>
        <v>134</v>
      </c>
      <c r="X9" s="1047">
        <f>'5'!G87</f>
        <v>24.600000000005821</v>
      </c>
      <c r="Y9" s="1047">
        <f>'5'!G88</f>
        <v>69</v>
      </c>
      <c r="Z9" s="1047">
        <f>'5'!G89+'5'!G90</f>
        <v>77</v>
      </c>
      <c r="AA9" s="1047">
        <f>'5'!$G$62</f>
        <v>-0.18799999999828287</v>
      </c>
      <c r="AB9" s="1047">
        <f>'5'!$G$63</f>
        <v>11</v>
      </c>
      <c r="AC9" s="1047">
        <f>'5'!$G$64</f>
        <v>542</v>
      </c>
      <c r="AD9" s="1047">
        <f>'5'!$G$65</f>
        <v>373</v>
      </c>
      <c r="AE9" s="1047">
        <f>'5'!$G$66</f>
        <v>395</v>
      </c>
      <c r="AF9" s="1047">
        <f>'5'!$G$67</f>
        <v>674</v>
      </c>
      <c r="AG9" s="1047">
        <f>'5'!$G$68</f>
        <v>329</v>
      </c>
      <c r="AH9" s="1047">
        <f>'5'!$G$69</f>
        <v>321</v>
      </c>
      <c r="AI9" s="1047">
        <f>'5'!$G$84</f>
        <v>954</v>
      </c>
      <c r="AJ9" s="1057">
        <f>'5'!$G$15</f>
        <v>893.63999999989755</v>
      </c>
      <c r="AK9" s="1047">
        <f>'5'!$G$123</f>
        <v>245</v>
      </c>
      <c r="AL9" s="1047">
        <f>'5'!$G$124</f>
        <v>0</v>
      </c>
      <c r="AM9" s="1047">
        <f>'5'!$G$125</f>
        <v>61</v>
      </c>
      <c r="AN9" s="1047">
        <f>'5'!$G$126</f>
        <v>21</v>
      </c>
      <c r="AO9" s="1047">
        <f>'5'!$G$127</f>
        <v>2</v>
      </c>
      <c r="AP9" s="1047">
        <f t="shared" si="0"/>
        <v>564.63999999989755</v>
      </c>
      <c r="AQ9" s="1047">
        <f>SUM('5'!G139:G140)</f>
        <v>7</v>
      </c>
      <c r="AR9" s="1047">
        <f>'5'!$G$136</f>
        <v>9.25</v>
      </c>
      <c r="AS9" s="1047">
        <f>'5'!$G$137</f>
        <v>-0.31000000000130967</v>
      </c>
      <c r="AT9" s="1047">
        <f>'5'!$G$138</f>
        <v>5</v>
      </c>
      <c r="AU9" s="1044">
        <f t="shared" si="1"/>
        <v>13.93999999999869</v>
      </c>
    </row>
    <row r="10" spans="1:49">
      <c r="A10" s="1046">
        <v>43867</v>
      </c>
      <c r="B10" s="261">
        <f>SUM('6'!G35,'6'!G49)</f>
        <v>3484</v>
      </c>
      <c r="C10" s="261">
        <f>SUM('6'!G37,'6'!G51)</f>
        <v>1518</v>
      </c>
      <c r="D10" s="261">
        <f>SUM('6'!G38,'6'!G52)</f>
        <v>2123</v>
      </c>
      <c r="E10" s="261">
        <f>SUM('6'!G39,'6'!G53)</f>
        <v>4237</v>
      </c>
      <c r="F10" s="261">
        <f>SUM('6'!G41,'6'!G42,'6'!G55,'6'!G56)</f>
        <v>5904</v>
      </c>
      <c r="G10" s="261">
        <f>SUM('6'!G43,'6'!G57)</f>
        <v>2437</v>
      </c>
      <c r="H10" s="1047">
        <f>'6'!G50</f>
        <v>1043</v>
      </c>
      <c r="I10" s="1047">
        <f>'6'!G36</f>
        <v>624</v>
      </c>
      <c r="J10" s="1047">
        <f>'6'!G72</f>
        <v>75</v>
      </c>
      <c r="K10" s="1047">
        <f>'6'!$G$73</f>
        <v>1</v>
      </c>
      <c r="L10" s="1047">
        <f>'6'!$G$74</f>
        <v>33</v>
      </c>
      <c r="M10" s="1047">
        <f>'6'!$G$75</f>
        <v>183</v>
      </c>
      <c r="N10" s="1047">
        <f>'6'!$G$76</f>
        <v>88</v>
      </c>
      <c r="O10" s="1047">
        <f>'6'!$G$77</f>
        <v>51</v>
      </c>
      <c r="P10" s="1037">
        <f>'6'!$G$78</f>
        <v>415</v>
      </c>
      <c r="Q10" s="1037">
        <f>'6'!$G$79</f>
        <v>235</v>
      </c>
      <c r="R10" s="1037">
        <f>'6'!$G$80</f>
        <v>412</v>
      </c>
      <c r="S10" s="1037">
        <f>'6'!$G$81</f>
        <v>412</v>
      </c>
      <c r="T10" s="1037">
        <f>'6'!$G$82</f>
        <v>23</v>
      </c>
      <c r="U10" s="1037">
        <f>'6'!$G$58</f>
        <v>194</v>
      </c>
      <c r="V10" s="1037">
        <f>'6'!$G$83</f>
        <v>468</v>
      </c>
      <c r="W10" s="1037">
        <f>'6'!G86</f>
        <v>88</v>
      </c>
      <c r="X10" s="1037">
        <f>'6'!G87</f>
        <v>29</v>
      </c>
      <c r="Y10" s="1037">
        <f>'6'!G88</f>
        <v>91</v>
      </c>
      <c r="Z10" s="1037">
        <f>'6'!G89+'6'!G90</f>
        <v>102</v>
      </c>
      <c r="AA10" s="1047">
        <f>'6'!$G$62</f>
        <v>0</v>
      </c>
      <c r="AB10" s="1047">
        <f>'6'!$G$63</f>
        <v>14</v>
      </c>
      <c r="AC10" s="1047">
        <f>'6'!$G$64</f>
        <v>502</v>
      </c>
      <c r="AD10" s="1047">
        <f>'6'!$G$65</f>
        <v>364</v>
      </c>
      <c r="AE10" s="1047">
        <f>'6'!$G$66</f>
        <v>387</v>
      </c>
      <c r="AF10" s="1047">
        <f>'6'!$G$67</f>
        <v>705</v>
      </c>
      <c r="AG10" s="1047">
        <f>'6'!$G$68</f>
        <v>335</v>
      </c>
      <c r="AH10" s="1047">
        <f>'6'!$G$69</f>
        <v>332</v>
      </c>
      <c r="AI10" s="1047">
        <f>'6'!$G$84</f>
        <v>644</v>
      </c>
      <c r="AJ10" s="1047">
        <f>'6'!$G$15</f>
        <v>944.36000000010245</v>
      </c>
      <c r="AK10" s="1085">
        <f>'6'!$G$123</f>
        <v>264</v>
      </c>
      <c r="AL10" s="1047">
        <f>'6'!$G$124</f>
        <v>0</v>
      </c>
      <c r="AM10" s="1047">
        <f>'6'!$G$125</f>
        <v>71</v>
      </c>
      <c r="AN10" s="1047">
        <f>'6'!$G$126</f>
        <v>32</v>
      </c>
      <c r="AO10" s="1047">
        <f>'6'!$G$127</f>
        <v>3</v>
      </c>
      <c r="AP10" s="1047">
        <f t="shared" si="0"/>
        <v>574.36000000010245</v>
      </c>
      <c r="AQ10" s="1047">
        <f>SUM('6'!G139:G140)</f>
        <v>8</v>
      </c>
      <c r="AR10" s="1047">
        <f>'6'!$G$136</f>
        <v>8.319999999999709</v>
      </c>
      <c r="AS10" s="1047">
        <f>'6'!$G$137</f>
        <v>0</v>
      </c>
      <c r="AT10" s="1047">
        <f>'6'!$G$138</f>
        <v>6</v>
      </c>
      <c r="AU10" s="1044">
        <f t="shared" si="1"/>
        <v>14.319999999999709</v>
      </c>
    </row>
    <row r="11" spans="1:49">
      <c r="A11" s="1046">
        <v>43868</v>
      </c>
      <c r="B11" s="261">
        <f>SUM('7'!G35,'7'!G49)</f>
        <v>3319</v>
      </c>
      <c r="C11" s="261">
        <f>SUM('7'!G37,'7'!G51)</f>
        <v>1500</v>
      </c>
      <c r="D11" s="261">
        <f>SUM('7'!G38,'7'!G52)</f>
        <v>2331</v>
      </c>
      <c r="E11" s="261">
        <f>SUM('7'!G39,'7'!G53)</f>
        <v>4230</v>
      </c>
      <c r="F11" s="261">
        <f>SUM('7'!G41,'7'!G42,'7'!G55,'7'!G56)</f>
        <v>5494</v>
      </c>
      <c r="G11" s="261">
        <f>SUM('7'!G43,'7'!G57)</f>
        <v>2417</v>
      </c>
      <c r="H11" s="1047">
        <f>'7'!G50</f>
        <v>1230</v>
      </c>
      <c r="I11" s="1047">
        <f>'7'!G36</f>
        <v>611</v>
      </c>
      <c r="J11" s="1047">
        <f>'7'!G72</f>
        <v>72</v>
      </c>
      <c r="K11" s="1047">
        <f>'7'!$G$73</f>
        <v>0</v>
      </c>
      <c r="L11" s="1047">
        <f>'7'!$G$74</f>
        <v>46</v>
      </c>
      <c r="M11" s="1047">
        <f>'7'!$G$75</f>
        <v>181</v>
      </c>
      <c r="N11" s="1047">
        <f>'7'!$G$76</f>
        <v>94</v>
      </c>
      <c r="O11" s="1047">
        <f>'7'!$G$77</f>
        <v>52</v>
      </c>
      <c r="P11" s="1037">
        <f>'7'!$G$78</f>
        <v>428</v>
      </c>
      <c r="Q11" s="1037">
        <f>'7'!$G$79</f>
        <v>216</v>
      </c>
      <c r="R11" s="1037">
        <f>'7'!$G$80</f>
        <v>359</v>
      </c>
      <c r="S11" s="1037">
        <f>'7'!$G$81</f>
        <v>123</v>
      </c>
      <c r="T11" s="1037">
        <f>'7'!$G$82</f>
        <v>21</v>
      </c>
      <c r="U11" s="1037">
        <f>'7'!$G$58</f>
        <v>191</v>
      </c>
      <c r="V11" s="1050">
        <f>'7'!$G$83</f>
        <v>496</v>
      </c>
      <c r="W11" s="1073">
        <f>'7'!G86</f>
        <v>100</v>
      </c>
      <c r="X11" s="1037">
        <f>'7'!G87</f>
        <v>8</v>
      </c>
      <c r="Y11" s="1037">
        <f>'7'!G88</f>
        <v>37</v>
      </c>
      <c r="Z11" s="1037">
        <f>'7'!G89+'7'!G90</f>
        <v>69</v>
      </c>
      <c r="AA11" s="1047">
        <f>'7'!$G$62</f>
        <v>0</v>
      </c>
      <c r="AB11" s="1047">
        <f>'7'!$G$63</f>
        <v>12</v>
      </c>
      <c r="AC11" s="1047">
        <f>'7'!$G$64</f>
        <v>553</v>
      </c>
      <c r="AD11" s="1047">
        <f>'7'!$G$65</f>
        <v>371</v>
      </c>
      <c r="AE11" s="1047">
        <f>'7'!$G$66</f>
        <v>369</v>
      </c>
      <c r="AF11" s="1047">
        <f>'7'!$G$67</f>
        <v>665</v>
      </c>
      <c r="AG11" s="1050">
        <f>'7'!$G$68</f>
        <v>324</v>
      </c>
      <c r="AH11" s="1047">
        <f>'7'!$G$69</f>
        <v>329</v>
      </c>
      <c r="AI11" s="1047">
        <f>'7'!$G$84</f>
        <v>834</v>
      </c>
      <c r="AJ11" s="1047">
        <f>'7'!$G$15</f>
        <v>931</v>
      </c>
      <c r="AK11" s="1085">
        <f>'7'!$G$123</f>
        <v>275</v>
      </c>
      <c r="AL11" s="1047">
        <f>'7'!$G$124</f>
        <v>0</v>
      </c>
      <c r="AM11" s="1047">
        <f>'7'!$G$125</f>
        <v>72</v>
      </c>
      <c r="AN11" s="1047">
        <f>'7'!$G$126</f>
        <v>38</v>
      </c>
      <c r="AO11" s="1047">
        <f>'7'!$G$127</f>
        <v>4</v>
      </c>
      <c r="AP11" s="1047">
        <f t="shared" si="0"/>
        <v>542</v>
      </c>
      <c r="AQ11" s="1047">
        <f>SUM('7'!G139:G140)</f>
        <v>8</v>
      </c>
      <c r="AR11" s="1047">
        <f>'7'!$G$136</f>
        <v>9.9199999999982538</v>
      </c>
      <c r="AS11" s="1047">
        <f>'7'!$G$137</f>
        <v>0</v>
      </c>
      <c r="AT11" s="1047">
        <f>'7'!$G$138</f>
        <v>3</v>
      </c>
      <c r="AU11" s="1044">
        <f t="shared" si="1"/>
        <v>12.919999999998254</v>
      </c>
    </row>
    <row r="12" spans="1:49">
      <c r="A12" s="1046">
        <v>43869</v>
      </c>
      <c r="B12" s="261">
        <f>SUM('8'!G35,'8'!G49)</f>
        <v>3394</v>
      </c>
      <c r="C12" s="261">
        <f>SUM('8'!G37,'8'!G51)</f>
        <v>1483</v>
      </c>
      <c r="D12" s="261">
        <f>SUM('8'!G38,'8'!G52)</f>
        <v>2160</v>
      </c>
      <c r="E12" s="261">
        <f>SUM('8'!G39,'8'!G53)</f>
        <v>4272</v>
      </c>
      <c r="F12" s="261">
        <f>SUM('8'!G41,'8'!G42,'8'!G55,'8'!G56)</f>
        <v>5838.260000000002</v>
      </c>
      <c r="G12" s="261">
        <f>SUM('8'!G43,'8'!G57)</f>
        <v>2516</v>
      </c>
      <c r="H12" s="1047">
        <f>'8'!G50</f>
        <v>1538</v>
      </c>
      <c r="I12" s="1047">
        <f>'8'!G36</f>
        <v>676</v>
      </c>
      <c r="J12" s="1047">
        <f>'8'!G72</f>
        <v>106</v>
      </c>
      <c r="K12" s="1047">
        <f>'8'!$G$73</f>
        <v>0</v>
      </c>
      <c r="L12" s="1047">
        <f>'8'!$G$74</f>
        <v>25</v>
      </c>
      <c r="M12" s="1047">
        <f>'8'!$G$75</f>
        <v>170</v>
      </c>
      <c r="N12" s="1047">
        <f>'8'!$G$76</f>
        <v>74</v>
      </c>
      <c r="O12" s="1047">
        <f>'8'!$G$77</f>
        <v>58</v>
      </c>
      <c r="P12" s="1037">
        <f>'8'!$G$78</f>
        <v>372</v>
      </c>
      <c r="Q12" s="1037">
        <f>'8'!$G$79</f>
        <v>210</v>
      </c>
      <c r="R12" s="1037">
        <f>'8'!$G$80</f>
        <v>397</v>
      </c>
      <c r="S12" s="1037">
        <f>'8'!$G$81</f>
        <v>122</v>
      </c>
      <c r="T12" s="1037">
        <f>'8'!$G$82</f>
        <v>24</v>
      </c>
      <c r="U12" s="1037">
        <f>'8'!$G$58</f>
        <v>201</v>
      </c>
      <c r="V12" s="1037">
        <f>'8'!$G$83</f>
        <v>361</v>
      </c>
      <c r="W12" s="1037">
        <f>'8'!G86</f>
        <v>100</v>
      </c>
      <c r="X12" s="1037">
        <f>'8'!G87</f>
        <v>36</v>
      </c>
      <c r="Y12" s="1037">
        <f>'8'!G88</f>
        <v>95</v>
      </c>
      <c r="Z12" s="1037">
        <f>'8'!G89+'8'!G90</f>
        <v>83</v>
      </c>
      <c r="AA12" s="1047">
        <f>'8'!$G$62</f>
        <v>0</v>
      </c>
      <c r="AB12" s="1047">
        <f>'8'!$G$63</f>
        <v>12</v>
      </c>
      <c r="AC12" s="1047">
        <f>'8'!$G$64</f>
        <v>527</v>
      </c>
      <c r="AD12" s="1047">
        <f>'8'!$G$65</f>
        <v>378</v>
      </c>
      <c r="AE12" s="1047">
        <f>'8'!$G$66</f>
        <v>379</v>
      </c>
      <c r="AF12" s="1047">
        <f>'8'!$G$67</f>
        <v>678</v>
      </c>
      <c r="AG12" s="1047">
        <f>'8'!$G$68</f>
        <v>343</v>
      </c>
      <c r="AH12" s="1047">
        <f>'8'!$G$69</f>
        <v>331</v>
      </c>
      <c r="AI12" s="1047">
        <f>'8'!$G$84</f>
        <v>793</v>
      </c>
      <c r="AJ12" s="1047">
        <f>'8'!$G$15</f>
        <v>859.85000000009313</v>
      </c>
      <c r="AK12" s="1047">
        <f>'8'!$G$123</f>
        <v>241</v>
      </c>
      <c r="AL12" s="1047">
        <f>'8'!$G$124</f>
        <v>0.39999999999417923</v>
      </c>
      <c r="AM12" s="1047">
        <f>'8'!$G$125</f>
        <v>63</v>
      </c>
      <c r="AN12" s="1047">
        <f>'8'!$G$126</f>
        <v>16</v>
      </c>
      <c r="AO12" s="1047">
        <f>'8'!$G$127</f>
        <v>1</v>
      </c>
      <c r="AP12" s="1047">
        <f t="shared" si="0"/>
        <v>538.45000000009895</v>
      </c>
      <c r="AQ12" s="1047">
        <f>SUM('8'!G139:G140)</f>
        <v>6.6800000000000637</v>
      </c>
      <c r="AR12" s="1047">
        <f>'8'!$G$136</f>
        <v>9.6900000000023283</v>
      </c>
      <c r="AS12" s="1047">
        <f>'8'!$G$137</f>
        <v>0</v>
      </c>
      <c r="AT12" s="1047">
        <f>'8'!$G$138</f>
        <v>1.8200000000069849</v>
      </c>
      <c r="AU12" s="1044">
        <f t="shared" si="1"/>
        <v>11.510000000009313</v>
      </c>
    </row>
    <row r="13" spans="1:49">
      <c r="A13" s="1046">
        <v>43870</v>
      </c>
      <c r="B13" s="261">
        <f>SUM('9'!G35,'9'!G49)</f>
        <v>3381</v>
      </c>
      <c r="C13" s="261">
        <f>SUM('9'!G37,'9'!G51)</f>
        <v>1491</v>
      </c>
      <c r="D13" s="261">
        <f>SUM('9'!G38,'9'!G52)</f>
        <v>2121</v>
      </c>
      <c r="E13" s="261">
        <f>SUM('9'!G39,'9'!G53)</f>
        <v>4195</v>
      </c>
      <c r="F13" s="261">
        <f>SUM('9'!G41,'9'!G42,'9'!G55,'9'!G56)</f>
        <v>5115</v>
      </c>
      <c r="G13" s="261">
        <f>SUM('9'!G43,'9'!G57)</f>
        <v>2377</v>
      </c>
      <c r="H13" s="1047">
        <f>'9'!G50</f>
        <v>1028</v>
      </c>
      <c r="I13" s="1047">
        <f>'9'!G36</f>
        <v>667</v>
      </c>
      <c r="J13" s="1047">
        <f>'9'!G72</f>
        <v>100</v>
      </c>
      <c r="K13" s="1047">
        <f>'9'!$G$73</f>
        <v>1</v>
      </c>
      <c r="L13" s="1047">
        <f>'9'!$G$74</f>
        <v>24</v>
      </c>
      <c r="M13" s="1047">
        <f>'9'!$G$75</f>
        <v>174</v>
      </c>
      <c r="N13" s="1047">
        <f>'9'!$G$76</f>
        <v>81</v>
      </c>
      <c r="O13" s="1047">
        <f>'9'!$G$77</f>
        <v>65</v>
      </c>
      <c r="P13" s="1037">
        <f>'9'!$G$78</f>
        <v>471</v>
      </c>
      <c r="Q13" s="1037">
        <f>'9'!$G$79</f>
        <v>192</v>
      </c>
      <c r="R13" s="1037">
        <f>'9'!$G$80</f>
        <v>134</v>
      </c>
      <c r="S13" s="1037">
        <f>'9'!$G$81</f>
        <v>82</v>
      </c>
      <c r="T13" s="1037">
        <f>'9'!$G$82</f>
        <v>22</v>
      </c>
      <c r="U13" s="1037">
        <f>'9'!$G$58</f>
        <v>186</v>
      </c>
      <c r="V13" s="1037">
        <f>'9'!$G$83</f>
        <v>422</v>
      </c>
      <c r="W13" s="1037">
        <f>'9'!G86</f>
        <v>101</v>
      </c>
      <c r="X13" s="1037">
        <f>'9'!G87</f>
        <v>33</v>
      </c>
      <c r="Y13" s="1037">
        <f>'9'!G88</f>
        <v>102</v>
      </c>
      <c r="Z13" s="1037">
        <f>'9'!G89+'9'!H90</f>
        <v>85</v>
      </c>
      <c r="AA13" s="1047">
        <f>'9'!$G$62</f>
        <v>0</v>
      </c>
      <c r="AB13" s="1047">
        <f>'9'!$G$63</f>
        <v>16</v>
      </c>
      <c r="AC13" s="1047">
        <f>'9'!$G$64</f>
        <v>504</v>
      </c>
      <c r="AD13" s="1057">
        <f>'9'!$G$65</f>
        <v>375</v>
      </c>
      <c r="AE13" s="1057">
        <f>'9'!$G$66</f>
        <v>378</v>
      </c>
      <c r="AF13" s="1047">
        <f>'9'!$G$67</f>
        <v>676</v>
      </c>
      <c r="AG13" s="1047">
        <f>'9'!$G$68</f>
        <v>337</v>
      </c>
      <c r="AH13" s="1047">
        <f>'9'!$G$69</f>
        <v>332</v>
      </c>
      <c r="AI13" s="1047">
        <f>'9'!$G$84</f>
        <v>882</v>
      </c>
      <c r="AJ13" s="1047">
        <f>'9'!$G$15</f>
        <v>779.02000000001863</v>
      </c>
      <c r="AK13" s="1047">
        <f>'9'!$G$123</f>
        <v>253</v>
      </c>
      <c r="AL13" s="1047">
        <f>'9'!$G$124</f>
        <v>0</v>
      </c>
      <c r="AM13" s="1047">
        <f>'9'!$G$125</f>
        <v>43</v>
      </c>
      <c r="AN13" s="1047">
        <f>'9'!$G$126</f>
        <v>85</v>
      </c>
      <c r="AO13" s="1047">
        <f>'9'!$G$127</f>
        <v>2</v>
      </c>
      <c r="AP13" s="1047">
        <f t="shared" si="0"/>
        <v>396.02000000001863</v>
      </c>
      <c r="AQ13" s="1047">
        <f>SUM('9'!G139:G140)</f>
        <v>7.3199999999999363</v>
      </c>
      <c r="AR13" s="1047">
        <f>'9'!$G$136</f>
        <v>8.2200000000011642</v>
      </c>
      <c r="AS13" s="1047">
        <f>'9'!$G$137</f>
        <v>0</v>
      </c>
      <c r="AT13" s="1047">
        <f>'9'!$G$138</f>
        <v>3</v>
      </c>
      <c r="AU13" s="1044">
        <f t="shared" si="1"/>
        <v>11.220000000001164</v>
      </c>
    </row>
    <row r="14" spans="1:49">
      <c r="A14" s="1046">
        <v>43871</v>
      </c>
      <c r="B14" s="261">
        <f>SUM('10'!G35,'10'!G49)</f>
        <v>3447</v>
      </c>
      <c r="C14" s="261">
        <f>SUM('10'!G37,'10'!G51)</f>
        <v>1549</v>
      </c>
      <c r="D14" s="261">
        <f>SUM('10'!G38,'10'!G52)</f>
        <v>2046</v>
      </c>
      <c r="E14" s="261">
        <f>SUM('10'!G39,'10'!G53)</f>
        <v>4185</v>
      </c>
      <c r="F14" s="261">
        <f>SUM('10'!G41,'10'!G42,'10'!G55,'10'!G56)</f>
        <v>4999</v>
      </c>
      <c r="G14" s="261">
        <f>SUM('10'!G43,'10'!G57)</f>
        <v>2507</v>
      </c>
      <c r="H14" s="1047">
        <f>'10'!G50</f>
        <v>1194</v>
      </c>
      <c r="I14" s="1047">
        <f>'10'!G36</f>
        <v>702</v>
      </c>
      <c r="J14" s="1047">
        <f>'10'!G72</f>
        <v>87</v>
      </c>
      <c r="K14" s="1047">
        <f>'10'!$G$73</f>
        <v>0</v>
      </c>
      <c r="L14" s="1047">
        <f>'10'!$G$74</f>
        <v>25</v>
      </c>
      <c r="M14" s="1047">
        <f>'10'!$G$75</f>
        <v>161</v>
      </c>
      <c r="N14" s="1047">
        <f>'10'!$G$76</f>
        <v>90</v>
      </c>
      <c r="O14" s="1047">
        <f>'10'!$G$77</f>
        <v>56</v>
      </c>
      <c r="P14" s="1037">
        <f>'10'!$G$78</f>
        <v>409</v>
      </c>
      <c r="Q14" s="1037">
        <f>'10'!$G$79</f>
        <v>205</v>
      </c>
      <c r="R14" s="1051">
        <f>'10'!$G$80</f>
        <v>517</v>
      </c>
      <c r="S14" s="1051">
        <f>'10'!$G$81</f>
        <v>89</v>
      </c>
      <c r="T14" s="1037">
        <f>'10'!$G$82</f>
        <v>25</v>
      </c>
      <c r="U14" s="1037">
        <f>'10'!$G$58</f>
        <v>196</v>
      </c>
      <c r="V14" s="1037">
        <f>'10'!$G$83</f>
        <v>491</v>
      </c>
      <c r="W14" s="1037">
        <f>'10'!G86</f>
        <v>159</v>
      </c>
      <c r="X14" s="1037">
        <f>'10'!G87</f>
        <v>27</v>
      </c>
      <c r="Y14" s="1037">
        <f>'10'!G88</f>
        <v>96</v>
      </c>
      <c r="Z14" s="1037">
        <f>'10'!G87+'10'!H90</f>
        <v>43</v>
      </c>
      <c r="AA14" s="1047">
        <f>'10'!$G$62</f>
        <v>0</v>
      </c>
      <c r="AB14" s="1047">
        <f>'10'!$G$63</f>
        <v>14</v>
      </c>
      <c r="AC14" s="1047">
        <f>'10'!$G$64</f>
        <v>545</v>
      </c>
      <c r="AD14" s="1047">
        <f>'10'!$G$65</f>
        <v>371</v>
      </c>
      <c r="AE14" s="1047">
        <f>'10'!$G$66</f>
        <v>355</v>
      </c>
      <c r="AF14" s="1047">
        <f>'10'!$G$67</f>
        <v>657</v>
      </c>
      <c r="AG14" s="1047">
        <f>'10'!$G$68</f>
        <v>328</v>
      </c>
      <c r="AH14" s="1047">
        <f>'10'!$G$69</f>
        <v>327</v>
      </c>
      <c r="AI14" s="1047">
        <f>'10'!$G$84</f>
        <v>885</v>
      </c>
      <c r="AJ14" s="1047">
        <f>'10'!$G$15</f>
        <v>847.12999999988824</v>
      </c>
      <c r="AK14" s="1047">
        <f>'10'!$G$123</f>
        <v>247</v>
      </c>
      <c r="AL14" s="1047">
        <f>'10'!$G$124</f>
        <v>-0.39999999999417923</v>
      </c>
      <c r="AM14" s="1047">
        <f>'10'!$G$125</f>
        <v>76</v>
      </c>
      <c r="AN14" s="1047">
        <f>'10'!$G$126</f>
        <v>51</v>
      </c>
      <c r="AO14" s="1047">
        <f>'10'!$G$127</f>
        <v>3</v>
      </c>
      <c r="AP14" s="1047">
        <f t="shared" si="0"/>
        <v>470.52999999988242</v>
      </c>
      <c r="AQ14" s="1047">
        <f>SUM('10'!G139:G140)</f>
        <v>7</v>
      </c>
      <c r="AR14" s="1047">
        <f>'10'!$G$136</f>
        <v>8.1699999999982538</v>
      </c>
      <c r="AS14" s="1047">
        <f>'10'!$G$137</f>
        <v>0</v>
      </c>
      <c r="AT14" s="1047">
        <f>'10'!$G$138</f>
        <v>3.1799999999930151</v>
      </c>
      <c r="AU14" s="1044">
        <f t="shared" si="1"/>
        <v>11.349999999991269</v>
      </c>
    </row>
    <row r="15" spans="1:49">
      <c r="A15" s="1046">
        <v>43872</v>
      </c>
      <c r="B15" s="261">
        <f>SUM('11'!G35,'11'!G49)</f>
        <v>3850</v>
      </c>
      <c r="C15" s="261">
        <f>SUM('11'!G37,'11'!G51)</f>
        <v>1551</v>
      </c>
      <c r="D15" s="261">
        <f>SUM('11'!G38,'11'!G52)</f>
        <v>2085</v>
      </c>
      <c r="E15" s="261">
        <f>SUM('11'!G39,'11'!G53)</f>
        <v>4105</v>
      </c>
      <c r="F15" s="261">
        <f>SUM('11'!G41,'11'!G42,'11'!G55,'11'!G56)</f>
        <v>5075</v>
      </c>
      <c r="G15" s="261">
        <f>SUM('11'!G43,'11'!G57)</f>
        <v>2394</v>
      </c>
      <c r="H15" s="1047">
        <f>'11'!G50</f>
        <v>1135</v>
      </c>
      <c r="I15" s="1047">
        <f>'11'!G36</f>
        <v>598</v>
      </c>
      <c r="J15" s="1047">
        <f>'11'!G72</f>
        <v>95</v>
      </c>
      <c r="K15" s="1047">
        <f>'11'!$G$73</f>
        <v>0</v>
      </c>
      <c r="L15" s="1047">
        <f>'11'!$G$74</f>
        <v>26</v>
      </c>
      <c r="M15" s="1047">
        <f>'11'!$G$75</f>
        <v>164</v>
      </c>
      <c r="N15" s="1047">
        <f>'11'!$G$76</f>
        <v>91</v>
      </c>
      <c r="O15" s="1047">
        <f>'11'!$G$77</f>
        <v>55</v>
      </c>
      <c r="P15" s="1037">
        <f>'11'!$G$78</f>
        <v>411</v>
      </c>
      <c r="Q15" s="1037">
        <f>'11'!$G$79</f>
        <v>173</v>
      </c>
      <c r="R15" s="1037">
        <f>'11'!$G$80</f>
        <v>97</v>
      </c>
      <c r="S15" s="1037">
        <f>'11'!$G$81</f>
        <v>84</v>
      </c>
      <c r="T15" s="1037">
        <f>'11'!$G$82</f>
        <v>26</v>
      </c>
      <c r="U15" s="1037">
        <f>'11'!$G$58</f>
        <v>161</v>
      </c>
      <c r="V15" s="1037">
        <f>'11'!$G$83</f>
        <v>407</v>
      </c>
      <c r="W15" s="1037">
        <f>'11'!G86</f>
        <v>169</v>
      </c>
      <c r="X15" s="1037">
        <f>'11'!G87</f>
        <v>25</v>
      </c>
      <c r="Y15" s="1037">
        <f>'11'!G88</f>
        <v>83</v>
      </c>
      <c r="Z15" s="1037">
        <f>'11'!G87+'11'!H90</f>
        <v>30</v>
      </c>
      <c r="AA15" s="1047">
        <f>'11'!$G$62</f>
        <v>0</v>
      </c>
      <c r="AB15" s="1047">
        <f>'11'!$G$63</f>
        <v>14</v>
      </c>
      <c r="AC15" s="1047">
        <f>'11'!$G$64</f>
        <v>507</v>
      </c>
      <c r="AD15" s="1047">
        <f>'11'!$G$65</f>
        <v>354</v>
      </c>
      <c r="AE15" s="1047">
        <f>'11'!$G$66</f>
        <v>346</v>
      </c>
      <c r="AF15" s="1047">
        <f>'11'!$G$67</f>
        <v>664</v>
      </c>
      <c r="AG15" s="1047">
        <f>'11'!$G$68</f>
        <v>302</v>
      </c>
      <c r="AH15" s="1047">
        <f>'11'!$G$69</f>
        <v>330</v>
      </c>
      <c r="AI15" s="1047">
        <f>'11'!$G$84</f>
        <v>998</v>
      </c>
      <c r="AJ15" s="1047">
        <f>'11'!$G$15</f>
        <v>852</v>
      </c>
      <c r="AK15" s="1047">
        <f>'11'!$G$123</f>
        <v>233</v>
      </c>
      <c r="AL15" s="1047">
        <f>'11'!$G$124</f>
        <v>0</v>
      </c>
      <c r="AM15" s="1047">
        <f>'11'!$G$125</f>
        <v>68</v>
      </c>
      <c r="AN15" s="1047">
        <f>'11'!$G$126</f>
        <v>17</v>
      </c>
      <c r="AO15" s="1047">
        <f>'11'!$G$127</f>
        <v>3</v>
      </c>
      <c r="AP15" s="1047">
        <f t="shared" si="0"/>
        <v>531</v>
      </c>
      <c r="AQ15" s="1047">
        <f>SUM('11'!G139:G140)</f>
        <v>7</v>
      </c>
      <c r="AR15" s="1047">
        <f>'11'!$G$136</f>
        <v>8</v>
      </c>
      <c r="AS15" s="1047">
        <f>'11'!$G$137</f>
        <v>0.31000000000130967</v>
      </c>
      <c r="AT15" s="1047">
        <f>'11'!$G$138</f>
        <v>6</v>
      </c>
      <c r="AU15" s="1044">
        <f t="shared" si="1"/>
        <v>14.31000000000131</v>
      </c>
    </row>
    <row r="16" spans="1:49">
      <c r="A16" s="1046">
        <v>43873</v>
      </c>
      <c r="B16" s="261">
        <f>SUM('12'!G35,'12'!G49)</f>
        <v>3783</v>
      </c>
      <c r="C16" s="261">
        <f>SUM('12'!G37,'12'!G51)</f>
        <v>1569</v>
      </c>
      <c r="D16" s="261">
        <f>SUM('12'!G38,'12'!G52)</f>
        <v>1820</v>
      </c>
      <c r="E16" s="261">
        <f>SUM('12'!G39,'12'!G53)</f>
        <v>4165</v>
      </c>
      <c r="F16" s="261">
        <f>SUM('12'!G41,'12'!G42,'12'!G55,'12'!G56)</f>
        <v>5122</v>
      </c>
      <c r="G16" s="261">
        <f>SUM('12'!G43,'12'!G57)</f>
        <v>2392</v>
      </c>
      <c r="H16" s="1047">
        <f>'12'!G50</f>
        <v>1179</v>
      </c>
      <c r="I16" s="1047">
        <f>'12'!G36</f>
        <v>629</v>
      </c>
      <c r="J16" s="1047">
        <f>'12'!G72</f>
        <v>87</v>
      </c>
      <c r="K16" s="1047">
        <f>'12'!$G$73</f>
        <v>1</v>
      </c>
      <c r="L16" s="1047">
        <f>'12'!$G$74</f>
        <v>24</v>
      </c>
      <c r="M16" s="1047">
        <f>'12'!$G$75</f>
        <v>168</v>
      </c>
      <c r="N16" s="1047">
        <f>'12'!$G$76</f>
        <v>87</v>
      </c>
      <c r="O16" s="1047">
        <f>'12'!$G$77</f>
        <v>53</v>
      </c>
      <c r="P16" s="1037">
        <f>'12'!$G$78</f>
        <v>407</v>
      </c>
      <c r="Q16" s="1037">
        <f>'12'!$G$79</f>
        <v>190</v>
      </c>
      <c r="R16" s="1037">
        <f>'12'!$G$80</f>
        <v>576</v>
      </c>
      <c r="S16" s="1037">
        <f>'12'!$G$81</f>
        <v>88</v>
      </c>
      <c r="T16" s="1037">
        <f>'12'!$G$82</f>
        <v>23</v>
      </c>
      <c r="U16" s="1037">
        <f>'12'!$G$58</f>
        <v>173</v>
      </c>
      <c r="V16" s="1037">
        <f>'12'!$G$83</f>
        <v>211</v>
      </c>
      <c r="W16" s="1037">
        <f>'12'!G86</f>
        <v>249</v>
      </c>
      <c r="X16" s="1037">
        <f>'12'!G87</f>
        <v>28</v>
      </c>
      <c r="Y16" s="1037">
        <f>'12'!G88</f>
        <v>74</v>
      </c>
      <c r="Z16" s="1037">
        <f>'12'!G87+'12'!H90</f>
        <v>32</v>
      </c>
      <c r="AA16" s="1047">
        <f>'12'!$G$62</f>
        <v>0</v>
      </c>
      <c r="AB16" s="1047">
        <f>'12'!$G$63</f>
        <v>12</v>
      </c>
      <c r="AC16" s="1047">
        <f>'12'!$G$64</f>
        <v>514</v>
      </c>
      <c r="AD16" s="1047">
        <f>'12'!$G$65</f>
        <v>352</v>
      </c>
      <c r="AE16" s="1047">
        <f>'12'!$G$66</f>
        <v>366</v>
      </c>
      <c r="AF16" s="1047">
        <f>'12'!$G$67</f>
        <v>675</v>
      </c>
      <c r="AG16" s="1047">
        <f>'12'!$G$68</f>
        <v>333</v>
      </c>
      <c r="AH16" s="1047">
        <f>'12'!$G$69</f>
        <v>328</v>
      </c>
      <c r="AI16" s="1047">
        <f>'12'!$G$84</f>
        <v>991</v>
      </c>
      <c r="AJ16" s="1047">
        <f>'12'!$G$15</f>
        <v>804.77000000001863</v>
      </c>
      <c r="AK16" s="1085">
        <f>'12'!$G$123</f>
        <v>245</v>
      </c>
      <c r="AL16" s="1047">
        <f>'12'!$G$124</f>
        <v>0</v>
      </c>
      <c r="AM16" s="1074">
        <f>'12'!$G$125</f>
        <v>60</v>
      </c>
      <c r="AN16" s="1047">
        <f>'12'!$G$126</f>
        <v>20</v>
      </c>
      <c r="AO16" s="1047">
        <f>'12'!$G$127</f>
        <v>3</v>
      </c>
      <c r="AP16" s="1047">
        <f t="shared" si="0"/>
        <v>476.77000000001863</v>
      </c>
      <c r="AQ16" s="1047">
        <f>SUM('12'!G139:G140)</f>
        <v>7</v>
      </c>
      <c r="AR16" s="1047">
        <f>'12'!$G$136</f>
        <v>8</v>
      </c>
      <c r="AS16" s="1047">
        <f>'12'!$G$137</f>
        <v>0</v>
      </c>
      <c r="AT16" s="1047">
        <f>'12'!$G$138</f>
        <v>3.8600000000005821</v>
      </c>
      <c r="AU16" s="1044">
        <f t="shared" si="1"/>
        <v>11.860000000000582</v>
      </c>
      <c r="AW16" s="1052">
        <f>AK16-AM16</f>
        <v>185</v>
      </c>
    </row>
    <row r="17" spans="1:49">
      <c r="A17" s="1046">
        <v>43874</v>
      </c>
      <c r="B17" s="261">
        <f>SUM('13'!G35,'13'!G49)</f>
        <v>3627</v>
      </c>
      <c r="C17" s="261">
        <f>SUM('13'!G37,'13'!G51)</f>
        <v>1606</v>
      </c>
      <c r="D17" s="261">
        <f>SUM('13'!G38,'13'!G52)</f>
        <v>2030</v>
      </c>
      <c r="E17" s="261">
        <f>SUM('13'!G39,'13'!G53)</f>
        <v>4243</v>
      </c>
      <c r="F17" s="261">
        <f>SUM('13'!G41,'13'!G42,'13'!G55,'13'!G56)</f>
        <v>5361</v>
      </c>
      <c r="G17" s="261">
        <f>SUM('13'!G43,'13'!G57)</f>
        <v>2397.33</v>
      </c>
      <c r="H17" s="1047">
        <f>'13'!G50</f>
        <v>1073</v>
      </c>
      <c r="I17" s="1047">
        <f>'13'!G36</f>
        <v>667</v>
      </c>
      <c r="J17" s="1047">
        <f>'13'!G72</f>
        <v>90</v>
      </c>
      <c r="K17" s="1047">
        <f>'13'!$G$73</f>
        <v>0</v>
      </c>
      <c r="L17" s="1047">
        <f>'13'!$G$74</f>
        <v>35</v>
      </c>
      <c r="M17" s="1047">
        <f>'13'!$G$75</f>
        <v>176</v>
      </c>
      <c r="N17" s="1047">
        <f>'13'!$G$76</f>
        <v>83</v>
      </c>
      <c r="O17" s="1047">
        <f>'13'!$G$77</f>
        <v>53</v>
      </c>
      <c r="P17" s="1037">
        <f>'13'!$G$78</f>
        <v>472</v>
      </c>
      <c r="Q17" s="1037">
        <f>'13'!$G$79</f>
        <v>198</v>
      </c>
      <c r="R17" s="1037">
        <f>'13'!$G$80</f>
        <v>362</v>
      </c>
      <c r="S17" s="1037">
        <f>'13'!$G$81</f>
        <v>104</v>
      </c>
      <c r="T17" s="1037">
        <f>'13'!$G$82</f>
        <v>24</v>
      </c>
      <c r="U17" s="1037">
        <f>'13'!$G$58</f>
        <v>176</v>
      </c>
      <c r="V17" s="1037">
        <f>'13'!$G$83</f>
        <v>264</v>
      </c>
      <c r="W17" s="1037">
        <f>'13'!G86</f>
        <v>83</v>
      </c>
      <c r="X17" s="1037">
        <f>'13'!G87</f>
        <v>25</v>
      </c>
      <c r="Y17" s="1037">
        <f>'13'!G88</f>
        <v>66</v>
      </c>
      <c r="Z17" s="1037">
        <f>'13'!G87+'13'!H90</f>
        <v>27</v>
      </c>
      <c r="AA17" s="1047">
        <f>'13'!$G$62</f>
        <v>0.18000000000029104</v>
      </c>
      <c r="AB17" s="1047">
        <f>'13'!$G$63</f>
        <v>12</v>
      </c>
      <c r="AC17" s="1047">
        <f>'13'!$G$64</f>
        <v>479</v>
      </c>
      <c r="AD17" s="1047">
        <f>'13'!$G$65</f>
        <v>358</v>
      </c>
      <c r="AE17" s="1047">
        <f>'13'!$G$66</f>
        <v>369</v>
      </c>
      <c r="AF17" s="1047">
        <f>'13'!$G$67</f>
        <v>703</v>
      </c>
      <c r="AG17" s="1047">
        <f>'13'!$G$68</f>
        <v>354</v>
      </c>
      <c r="AH17" s="1047">
        <f>'13'!$G$69</f>
        <v>329</v>
      </c>
      <c r="AI17" s="1047">
        <f>'13'!$G$84</f>
        <v>758</v>
      </c>
      <c r="AJ17" s="1047">
        <f>'13'!$G$15</f>
        <v>836.22999999998137</v>
      </c>
      <c r="AK17" s="1085">
        <f>'13'!$G$123</f>
        <v>246</v>
      </c>
      <c r="AL17" s="1047">
        <f>'13'!$G$124</f>
        <v>0.39999999999417923</v>
      </c>
      <c r="AM17" s="1047">
        <f>'13'!$G$125</f>
        <v>63</v>
      </c>
      <c r="AN17" s="1047">
        <f>'13'!$G$126</f>
        <v>28</v>
      </c>
      <c r="AO17" s="1047">
        <f>'13'!$G$127</f>
        <v>3</v>
      </c>
      <c r="AP17" s="1047">
        <f t="shared" si="0"/>
        <v>495.82999999998719</v>
      </c>
      <c r="AQ17" s="1047">
        <f>SUM('13'!G139:G140)</f>
        <v>7</v>
      </c>
      <c r="AR17" s="1047">
        <f>'13'!$G$136</f>
        <v>8.9799999999995634</v>
      </c>
      <c r="AS17" s="1047">
        <f>'13'!$G$137</f>
        <v>-0.31000000000130967</v>
      </c>
      <c r="AT17" s="1047">
        <f>'13'!$G$138</f>
        <v>2.1399999999994179</v>
      </c>
      <c r="AU17" s="1044">
        <f t="shared" si="1"/>
        <v>10.809999999997672</v>
      </c>
      <c r="AW17" s="1052">
        <f t="shared" ref="AW17:AW35" si="2">AK17-AP17</f>
        <v>-249.82999999998719</v>
      </c>
    </row>
    <row r="18" spans="1:49">
      <c r="A18" s="1046">
        <v>43875</v>
      </c>
      <c r="B18" s="261">
        <f>SUM('14'!G35,'14'!G49)</f>
        <v>3483</v>
      </c>
      <c r="C18" s="261">
        <f>SUM('14'!G37,'14'!G51)</f>
        <v>1563</v>
      </c>
      <c r="D18" s="261">
        <f>SUM('14'!G38,'14'!G52)</f>
        <v>2010</v>
      </c>
      <c r="E18" s="261">
        <f>SUM('14'!G39,'14'!G53)</f>
        <v>4133</v>
      </c>
      <c r="F18" s="261">
        <f>SUM('14'!G41,'14'!G42,'14'!G55,'14'!G56)</f>
        <v>5010</v>
      </c>
      <c r="G18" s="261">
        <f>SUM('14'!G43,'14'!G57)</f>
        <v>2407</v>
      </c>
      <c r="H18" s="1047">
        <f>'14'!G50</f>
        <v>1184</v>
      </c>
      <c r="I18" s="1047">
        <f>'14'!G36</f>
        <v>659</v>
      </c>
      <c r="J18" s="1047">
        <f>'14'!G72</f>
        <v>90</v>
      </c>
      <c r="K18" s="1047">
        <f>'14'!$G$73</f>
        <v>0</v>
      </c>
      <c r="L18" s="1047">
        <f>'14'!$G$74</f>
        <v>49</v>
      </c>
      <c r="M18" s="1047">
        <f>'14'!$G$75</f>
        <v>187</v>
      </c>
      <c r="N18" s="1047">
        <f>'14'!$G$76</f>
        <v>76</v>
      </c>
      <c r="O18" s="1047">
        <f>'14'!$G$77</f>
        <v>49</v>
      </c>
      <c r="P18" s="1037">
        <f>'14'!$G$78</f>
        <v>388</v>
      </c>
      <c r="Q18" s="1037">
        <f>'14'!$G$79</f>
        <v>200</v>
      </c>
      <c r="R18" s="1037">
        <f>'14'!$G$80</f>
        <v>362</v>
      </c>
      <c r="S18" s="1037">
        <f>'14'!$G$81</f>
        <v>132</v>
      </c>
      <c r="T18" s="1037">
        <f>'14'!$G$82</f>
        <v>25</v>
      </c>
      <c r="U18" s="1037">
        <f>'14'!$G$58</f>
        <v>173</v>
      </c>
      <c r="V18" s="1037">
        <f>'14'!$G$83</f>
        <v>249</v>
      </c>
      <c r="W18" s="1037">
        <f>'14'!G86</f>
        <v>60</v>
      </c>
      <c r="X18" s="1037">
        <f>'14'!G87</f>
        <v>15</v>
      </c>
      <c r="Y18" s="1037">
        <f>'14'!G88</f>
        <v>31</v>
      </c>
      <c r="Z18" s="1037">
        <f>'14'!G87+'14'!H90</f>
        <v>16</v>
      </c>
      <c r="AA18" s="1047">
        <f>'14'!$G$62</f>
        <v>0</v>
      </c>
      <c r="AB18" s="1047">
        <f>'14'!$G$63</f>
        <v>15</v>
      </c>
      <c r="AC18" s="1047">
        <f>'14'!$G$64</f>
        <v>488</v>
      </c>
      <c r="AD18" s="1047">
        <f>'14'!$G$65</f>
        <v>382</v>
      </c>
      <c r="AE18" s="1047">
        <f>'14'!$G$66</f>
        <v>371</v>
      </c>
      <c r="AF18" s="1047">
        <f>'14'!$G$67</f>
        <v>646</v>
      </c>
      <c r="AG18" s="1047">
        <f>'14'!$G$68</f>
        <v>350</v>
      </c>
      <c r="AH18" s="1047">
        <f>'14'!$G$69</f>
        <v>313</v>
      </c>
      <c r="AI18" s="1047">
        <f>'14'!$G$84</f>
        <v>742</v>
      </c>
      <c r="AJ18" s="1047">
        <f>'14'!$G$15</f>
        <v>855</v>
      </c>
      <c r="AK18" s="1047">
        <f>'14'!$G$123</f>
        <v>245</v>
      </c>
      <c r="AL18" s="1047">
        <f>'14'!$G$124</f>
        <v>0</v>
      </c>
      <c r="AM18" s="1047">
        <f>'14'!$G$125</f>
        <v>61.209999999991851</v>
      </c>
      <c r="AN18" s="1047">
        <f>'14'!$G$126</f>
        <v>-66.5</v>
      </c>
      <c r="AO18" s="1047">
        <f>'14'!$G$127</f>
        <v>3.2999999999992724</v>
      </c>
      <c r="AP18" s="1047">
        <f t="shared" si="0"/>
        <v>611.99000000000888</v>
      </c>
      <c r="AQ18" s="1047">
        <f>SUM('14'!G139:G140)</f>
        <v>7</v>
      </c>
      <c r="AR18" s="1047">
        <f>'14'!$G$136</f>
        <v>8.3600000000005821</v>
      </c>
      <c r="AS18" s="1047">
        <f>'14'!$G$137</f>
        <v>0.31000000000130967</v>
      </c>
      <c r="AT18" s="1047">
        <f>'14'!$G$138</f>
        <v>3.6699999999982538</v>
      </c>
      <c r="AU18" s="1044">
        <f t="shared" si="1"/>
        <v>12.340000000000146</v>
      </c>
      <c r="AW18" s="1052">
        <f>AK18-AP18</f>
        <v>-366.99000000000888</v>
      </c>
    </row>
    <row r="19" spans="1:49">
      <c r="A19" s="1046">
        <v>43876</v>
      </c>
      <c r="B19" s="261">
        <f>SUM('15'!G35,'15'!G49)</f>
        <v>3462.7600000000093</v>
      </c>
      <c r="C19" s="261">
        <f>SUM('15'!G37,'15'!G51)</f>
        <v>1624.6700000000128</v>
      </c>
      <c r="D19" s="261">
        <f>SUM('15'!G38,'15'!G52)</f>
        <v>1887.9100000000326</v>
      </c>
      <c r="E19" s="261">
        <f>SUM('15'!G39,'15'!G53)</f>
        <v>4262.210000000021</v>
      </c>
      <c r="F19" s="261">
        <f>SUM('15'!G41,'15'!G42,'15'!G55,'15'!G56)</f>
        <v>5696.4530000000013</v>
      </c>
      <c r="G19" s="261">
        <f>SUM('15'!G43,'15'!G57)</f>
        <v>2431.5500000000466</v>
      </c>
      <c r="H19" s="1047">
        <f>'15'!G50</f>
        <v>1168.6699999999837</v>
      </c>
      <c r="I19" s="1047">
        <f>'15'!G36</f>
        <v>718</v>
      </c>
      <c r="J19" s="1047">
        <f>'15'!G72</f>
        <v>103</v>
      </c>
      <c r="K19" s="1047">
        <f>'15'!$G$73</f>
        <v>1</v>
      </c>
      <c r="L19" s="1047">
        <f>'15'!$G$74</f>
        <v>20.950000000000045</v>
      </c>
      <c r="M19" s="1047">
        <f>'15'!$G$75</f>
        <v>168.28999999999996</v>
      </c>
      <c r="N19" s="1047">
        <f>'15'!$G$76</f>
        <v>72.619999999999891</v>
      </c>
      <c r="O19" s="1047">
        <f>'15'!$G$77</f>
        <v>57</v>
      </c>
      <c r="P19" s="1037">
        <f>'15'!$G$78</f>
        <v>443</v>
      </c>
      <c r="Q19" s="1037">
        <f>'15'!$G$79</f>
        <v>194</v>
      </c>
      <c r="R19" s="1037">
        <f>'15'!$G$80</f>
        <v>347.52000000001863</v>
      </c>
      <c r="S19" s="1037">
        <f>'15'!$G$81</f>
        <v>134.1600000000326</v>
      </c>
      <c r="T19" s="1037">
        <f>'15'!$G$82</f>
        <v>20.940000000002328</v>
      </c>
      <c r="U19" s="1037">
        <f>'15'!$G$58</f>
        <v>161.55000000000291</v>
      </c>
      <c r="V19" s="1037">
        <f>'15'!$G$83</f>
        <v>280</v>
      </c>
      <c r="W19" s="1037">
        <f>'15'!G86</f>
        <v>106.52000000001863</v>
      </c>
      <c r="X19" s="1037">
        <f>'15'!G87</f>
        <v>32.5</v>
      </c>
      <c r="Y19" s="1037">
        <f>'15'!G88</f>
        <v>89.450000000011642</v>
      </c>
      <c r="Z19" s="1037">
        <f>'15'!G87+'15'!H90</f>
        <v>37.699999999999818</v>
      </c>
      <c r="AA19" s="1047">
        <f>'15'!$G$62</f>
        <v>0</v>
      </c>
      <c r="AB19" s="1047">
        <f>'15'!$G$63</f>
        <v>14.769999999999982</v>
      </c>
      <c r="AC19" s="1047">
        <f>'15'!$G$64</f>
        <v>518.10999999998603</v>
      </c>
      <c r="AD19" s="1047">
        <f>'15'!$G$65</f>
        <v>379.45999999999185</v>
      </c>
      <c r="AE19" s="1047">
        <f>'15'!$G$66</f>
        <v>393.72999999999956</v>
      </c>
      <c r="AF19" s="1047">
        <f>'15'!$G$67</f>
        <v>716.52999999999884</v>
      </c>
      <c r="AG19" s="1047">
        <f>'15'!$G$68</f>
        <v>346.16999999999825</v>
      </c>
      <c r="AH19" s="1047">
        <f>'15'!$G$69</f>
        <v>307.39999999999418</v>
      </c>
      <c r="AI19" s="1047">
        <f>'15'!$G$84</f>
        <v>731</v>
      </c>
      <c r="AJ19" s="1047">
        <f>'15'!$G$15</f>
        <v>827.70900000003166</v>
      </c>
      <c r="AK19" s="1047">
        <f>'15'!$G$123</f>
        <v>248.96999999997206</v>
      </c>
      <c r="AL19" s="1047">
        <f>'15'!$G$124</f>
        <v>0</v>
      </c>
      <c r="AM19" s="1047">
        <f>'15'!$G$125</f>
        <v>61.670000000012806</v>
      </c>
      <c r="AN19" s="1047">
        <f>'15'!$G$126</f>
        <v>14.400000000001455</v>
      </c>
      <c r="AO19" s="1047">
        <f>'15'!$G$127</f>
        <v>2.5</v>
      </c>
      <c r="AP19" s="1047">
        <f t="shared" si="0"/>
        <v>500.16900000004534</v>
      </c>
      <c r="AQ19" s="1047">
        <f>SUM('15'!G139:G140)</f>
        <v>6.8999999999996362</v>
      </c>
      <c r="AR19" s="1047">
        <f>'15'!$G$136</f>
        <v>7.9399999999986903</v>
      </c>
      <c r="AS19" s="1047">
        <f>'15'!$G$137</f>
        <v>5.9999999997671694E-2</v>
      </c>
      <c r="AT19" s="1047">
        <f>'15'!$G$138</f>
        <v>4.7900000000081491</v>
      </c>
      <c r="AU19" s="1044">
        <f t="shared" si="1"/>
        <v>12.790000000004511</v>
      </c>
      <c r="AW19" s="1052">
        <f t="shared" si="2"/>
        <v>-251.19900000007328</v>
      </c>
    </row>
    <row r="20" spans="1:49">
      <c r="A20" s="1046">
        <v>43877</v>
      </c>
      <c r="B20" s="261">
        <f>SUM('16'!G35,'16'!G49)</f>
        <v>3222.4799999999814</v>
      </c>
      <c r="C20" s="261">
        <f>SUM('16'!G37,'16'!G51)</f>
        <v>1585.0999999999767</v>
      </c>
      <c r="D20" s="261">
        <f>SUM('16'!G38,'16'!G52)</f>
        <v>1760.3199999999488</v>
      </c>
      <c r="E20" s="261">
        <f>SUM('16'!G39,'16'!G53)</f>
        <v>4153.4599999999627</v>
      </c>
      <c r="F20" s="261">
        <f>SUM('16'!G41,'16'!G42,'16'!G55,'16'!G56)</f>
        <v>5084.1600000000326</v>
      </c>
      <c r="G20" s="261">
        <f>SUM('16'!G43,'16'!G57)</f>
        <v>2381.4399999999441</v>
      </c>
      <c r="H20" s="1047">
        <f>'16'!G50</f>
        <v>1068.2399999999907</v>
      </c>
      <c r="I20" s="1047">
        <f>'16'!G36</f>
        <v>616.75</v>
      </c>
      <c r="J20" s="1047">
        <f>'16'!G72</f>
        <v>100</v>
      </c>
      <c r="K20" s="1047">
        <f>'16'!$G$73</f>
        <v>0</v>
      </c>
      <c r="L20" s="1047">
        <f>'16'!$G$74</f>
        <v>18.440000000000055</v>
      </c>
      <c r="M20" s="1047">
        <f>'16'!$G$75</f>
        <v>163.93000000000029</v>
      </c>
      <c r="N20" s="1047">
        <f>'16'!$G$76</f>
        <v>67.680000000000291</v>
      </c>
      <c r="O20" s="1047">
        <f>'16'!$G$77</f>
        <v>58</v>
      </c>
      <c r="P20" s="1037">
        <f>'16'!$G$78</f>
        <v>423</v>
      </c>
      <c r="Q20" s="1037">
        <f>'16'!$G$79</f>
        <v>206</v>
      </c>
      <c r="R20" s="1037">
        <f>'16'!$G$80</f>
        <v>353.8399999999674</v>
      </c>
      <c r="S20" s="1037">
        <f>'16'!$G$81</f>
        <v>108.15999999991618</v>
      </c>
      <c r="T20" s="1037">
        <f>'16'!$G$82</f>
        <v>24.289999999993597</v>
      </c>
      <c r="U20" s="1037">
        <f>'16'!$G$58</f>
        <v>174.29999999999563</v>
      </c>
      <c r="V20" s="1037">
        <f>'16'!$G$83</f>
        <v>241</v>
      </c>
      <c r="W20" s="1037">
        <f>'16'!G86</f>
        <v>113.03999999997905</v>
      </c>
      <c r="X20" s="1037">
        <f>'16'!G87</f>
        <v>29.899999999994179</v>
      </c>
      <c r="Y20" s="1037">
        <f>'16'!G88</f>
        <v>117.50999999998021</v>
      </c>
      <c r="Z20" s="1037">
        <f>'16'!G87+'16'!H90</f>
        <v>33.499999999994543</v>
      </c>
      <c r="AA20" s="1047">
        <f>'16'!$G$62</f>
        <v>0</v>
      </c>
      <c r="AB20" s="1047">
        <f>'16'!$G$63</f>
        <v>14.950000000000045</v>
      </c>
      <c r="AC20" s="1047">
        <f>'16'!$G$64</f>
        <v>493.8300000000163</v>
      </c>
      <c r="AD20" s="1047">
        <f>'16'!$G$65</f>
        <v>375.70000000001164</v>
      </c>
      <c r="AE20" s="1047">
        <f>'16'!$G$66</f>
        <v>391.40000000000146</v>
      </c>
      <c r="AF20" s="1047">
        <f>'16'!$G$67</f>
        <v>670.17999999999302</v>
      </c>
      <c r="AG20" s="1047">
        <f>'16'!$G$68</f>
        <v>323.41999999999825</v>
      </c>
      <c r="AH20" s="1047">
        <f>'16'!$G$69</f>
        <v>305.08000000000175</v>
      </c>
      <c r="AI20" s="1047">
        <f>'16'!$G$84</f>
        <v>692</v>
      </c>
      <c r="AJ20" s="1047">
        <f>'16'!$G$15</f>
        <v>821.11100000003353</v>
      </c>
      <c r="AK20" s="1085">
        <f>'16'!$G$123</f>
        <v>235.94000000006054</v>
      </c>
      <c r="AL20" s="1047">
        <f>'16'!$G$124</f>
        <v>0</v>
      </c>
      <c r="AM20" s="1047">
        <f>'16'!$G$125</f>
        <v>50.299999999988358</v>
      </c>
      <c r="AN20" s="1047">
        <f>'16'!$G$126</f>
        <v>16.099999999998545</v>
      </c>
      <c r="AO20" s="1047">
        <f>'16'!$G$127</f>
        <v>0.6000000000003638</v>
      </c>
      <c r="AP20" s="1047">
        <f t="shared" si="0"/>
        <v>518.17099999998572</v>
      </c>
      <c r="AQ20" s="1047">
        <f>SUM('16'!G139:G140)</f>
        <v>7.1100000000001273</v>
      </c>
      <c r="AR20" s="1047">
        <f>'16'!$G$136</f>
        <v>8.7299999999995634</v>
      </c>
      <c r="AS20" s="1047">
        <f>'16'!$G$137</f>
        <v>-5.9999999997671694E-2</v>
      </c>
      <c r="AT20" s="1047">
        <f>'16'!$G$138</f>
        <v>3.0999999999912689</v>
      </c>
      <c r="AU20" s="1044">
        <f t="shared" si="1"/>
        <v>11.769999999993161</v>
      </c>
      <c r="AW20" s="1052">
        <f t="shared" si="2"/>
        <v>-282.23099999992519</v>
      </c>
    </row>
    <row r="21" spans="1:49">
      <c r="A21" s="1046">
        <v>43878</v>
      </c>
      <c r="B21" s="261">
        <f>SUM('17'!G35,'17'!G49)</f>
        <v>3306.640000000014</v>
      </c>
      <c r="C21" s="261">
        <f>SUM('17'!G37,'17'!G51)</f>
        <v>1574.5299999999988</v>
      </c>
      <c r="D21" s="261">
        <f>SUM('17'!G38,'17'!G52)</f>
        <v>1736.4000000000233</v>
      </c>
      <c r="E21" s="261">
        <f>SUM('17'!G39,'17'!G53)</f>
        <v>4104.4800000000396</v>
      </c>
      <c r="F21" s="261">
        <f>SUM('17'!G41,'17'!G42,'17'!G55,'17'!G56)</f>
        <v>4907.5169999999634</v>
      </c>
      <c r="G21" s="261">
        <f>SUM('17'!G43,'17'!G57)</f>
        <v>2358</v>
      </c>
      <c r="H21" s="1047">
        <f>'17'!G50</f>
        <v>1167.5599999999977</v>
      </c>
      <c r="I21" s="1047">
        <f>'17'!G36</f>
        <v>641.94000000000233</v>
      </c>
      <c r="J21" s="1047">
        <f>'18'!G72</f>
        <v>86</v>
      </c>
      <c r="K21" s="1047">
        <f>'17'!$G$73</f>
        <v>0</v>
      </c>
      <c r="L21" s="1047">
        <f>'17'!$G$74</f>
        <v>17.559999999999945</v>
      </c>
      <c r="M21" s="1047">
        <f>'17'!$G$75</f>
        <v>153.09000000000015</v>
      </c>
      <c r="N21" s="1047">
        <f>'17'!$G$76</f>
        <v>65.329999999999927</v>
      </c>
      <c r="O21" s="1047">
        <f>'17'!$G$77</f>
        <v>59</v>
      </c>
      <c r="P21" s="1037">
        <f>'17'!$G$78</f>
        <v>391</v>
      </c>
      <c r="Q21" s="1037">
        <f>'17'!$G$79</f>
        <v>201</v>
      </c>
      <c r="R21" s="1037">
        <f>'17'!$G$80</f>
        <v>334.79999999998836</v>
      </c>
      <c r="S21" s="1037">
        <f>'17'!$G$81</f>
        <v>112.64000000001397</v>
      </c>
      <c r="T21" s="1037">
        <f>'17'!$G$82</f>
        <v>21.279999999998836</v>
      </c>
      <c r="U21" s="1037">
        <f>'17'!$G$58</f>
        <v>148.98999999999796</v>
      </c>
      <c r="V21" s="1037">
        <f>'17'!$G$83</f>
        <v>240</v>
      </c>
      <c r="W21" s="1037">
        <f>'17'!G86</f>
        <v>115.11999999999534</v>
      </c>
      <c r="X21" s="1037">
        <f>'17'!G87</f>
        <v>28.400000000008731</v>
      </c>
      <c r="Y21" s="1037">
        <f>'17'!G88</f>
        <v>82.740000000019791</v>
      </c>
      <c r="Z21" s="1037">
        <f>'17'!G87+'17'!H90</f>
        <v>33.200000000008458</v>
      </c>
      <c r="AA21" s="1047">
        <f>'17'!$G$62</f>
        <v>0</v>
      </c>
      <c r="AB21" s="1047">
        <f>'17'!$G$63</f>
        <v>12.379999999999882</v>
      </c>
      <c r="AC21" s="1047">
        <f>'17'!$G$64</f>
        <v>505.82000000000698</v>
      </c>
      <c r="AD21" s="1047">
        <f>'17'!$G$65</f>
        <v>373.57999999998719</v>
      </c>
      <c r="AE21" s="1047">
        <f>'17'!$G$66</f>
        <v>384.29999999999927</v>
      </c>
      <c r="AF21" s="1047">
        <f>'17'!$G$67</f>
        <v>642.52000000001863</v>
      </c>
      <c r="AG21" s="1047">
        <f>'17'!$G$68</f>
        <v>313.22000000000116</v>
      </c>
      <c r="AH21" s="1047">
        <f>'17'!$G$69</f>
        <v>309.02000000000407</v>
      </c>
      <c r="AI21" s="1047">
        <f>'17'!$G$84</f>
        <v>661</v>
      </c>
      <c r="AJ21" s="1047">
        <f>'17'!$G$15</f>
        <v>780.70900000003166</v>
      </c>
      <c r="AK21" s="1047">
        <f>'17'!$G$123</f>
        <v>236.09999999997672</v>
      </c>
      <c r="AL21" s="1047">
        <f>'17'!$G$124</f>
        <v>0</v>
      </c>
      <c r="AM21" s="1047">
        <f>'17'!$G$125</f>
        <v>72.25</v>
      </c>
      <c r="AN21" s="1047">
        <f>'17'!$G$126</f>
        <v>16.80000000000291</v>
      </c>
      <c r="AO21" s="1047">
        <f>'17'!$G$127</f>
        <v>4.5</v>
      </c>
      <c r="AP21" s="1047">
        <f t="shared" si="0"/>
        <v>451.05900000005204</v>
      </c>
      <c r="AQ21" s="1047">
        <f>SUM('17'!G139:G140)</f>
        <v>7.9400000000005093</v>
      </c>
      <c r="AR21" s="1047">
        <f>'17'!$G$136</f>
        <v>6.7400000000016007</v>
      </c>
      <c r="AS21" s="1047">
        <f>'17'!$G$137</f>
        <v>0</v>
      </c>
      <c r="AT21" s="1047">
        <f>'17'!$G$138</f>
        <v>4.6100000000005821</v>
      </c>
      <c r="AU21" s="1044">
        <f t="shared" si="1"/>
        <v>11.350000000002183</v>
      </c>
      <c r="AW21" s="1052">
        <f t="shared" si="2"/>
        <v>-214.95900000007532</v>
      </c>
    </row>
    <row r="22" spans="1:49">
      <c r="A22" s="1046">
        <v>43879</v>
      </c>
      <c r="B22" s="261">
        <f>SUM('18'!G35,'18'!G49)</f>
        <v>3524.640000000014</v>
      </c>
      <c r="C22" s="261">
        <f>SUM('18'!G37,'18'!G51)</f>
        <v>1640.260000000002</v>
      </c>
      <c r="D22" s="261">
        <f>SUM('18'!G38,'18'!G52)</f>
        <v>1769.359999999986</v>
      </c>
      <c r="E22" s="261">
        <f>SUM('18'!G39,'18'!G53)</f>
        <v>4365.3999999999651</v>
      </c>
      <c r="F22" s="261">
        <f>SUM('18'!G41,'18'!G42,'18'!G55,'18'!G56)</f>
        <v>6598.2730000000229</v>
      </c>
      <c r="G22" s="261">
        <f>SUM('18'!G43,'18'!G57)</f>
        <v>2617.359999999986</v>
      </c>
      <c r="H22" s="1047">
        <f>'18'!G50</f>
        <v>1567.9200000000419</v>
      </c>
      <c r="I22" s="1047">
        <f>'18'!G36</f>
        <v>789.30999999999767</v>
      </c>
      <c r="J22" s="1047">
        <f>'18'!G72</f>
        <v>86</v>
      </c>
      <c r="K22" s="1047">
        <f>'18'!$G$73</f>
        <v>1</v>
      </c>
      <c r="L22" s="1047">
        <f>'18'!$G$74</f>
        <v>20.089999999999918</v>
      </c>
      <c r="M22" s="1047">
        <f>'18'!$G$75</f>
        <v>171.1899999999996</v>
      </c>
      <c r="N22" s="1047">
        <f>'18'!$G$76</f>
        <v>81.7199999999998</v>
      </c>
      <c r="O22" s="1047">
        <f>'18'!$G$77</f>
        <v>54</v>
      </c>
      <c r="P22" s="1037">
        <f>'18'!$G$78</f>
        <v>465</v>
      </c>
      <c r="Q22" s="1037">
        <f>'18'!$G$79</f>
        <v>199</v>
      </c>
      <c r="R22" s="1050">
        <f>'18'!$G$80</f>
        <v>255.84000000002561</v>
      </c>
      <c r="S22" s="1050">
        <f>'18'!$G$81</f>
        <v>129.08000000007451</v>
      </c>
      <c r="T22" s="1050">
        <f>'18'!$G$82</f>
        <v>21.360000000000582</v>
      </c>
      <c r="U22" s="1050">
        <f>'18'!$G$58</f>
        <v>155.26000000000204</v>
      </c>
      <c r="V22" s="1050">
        <f>'18'!$G$83</f>
        <v>239</v>
      </c>
      <c r="W22" s="1050">
        <f>'18'!G86</f>
        <v>148.55999999999767</v>
      </c>
      <c r="X22" s="1037">
        <f>'18'!G87</f>
        <v>38.899999999994179</v>
      </c>
      <c r="Y22" s="1037">
        <f>'18'!G88</f>
        <v>82.529999999998836</v>
      </c>
      <c r="Z22" s="1037">
        <f>'18'!G87+'18'!H90</f>
        <v>42.999999999994088</v>
      </c>
      <c r="AA22" s="1047">
        <f>'18'!$G$62</f>
        <v>0</v>
      </c>
      <c r="AB22" s="1047">
        <f>'18'!$G$63</f>
        <v>12.480000000000018</v>
      </c>
      <c r="AC22" s="1047">
        <f>'18'!$G$64</f>
        <v>516.08999999999651</v>
      </c>
      <c r="AD22" s="1047">
        <f>'18'!$G$65</f>
        <v>385.02999999999884</v>
      </c>
      <c r="AE22" s="1047">
        <f>'18'!$G$66</f>
        <v>401.47000000000116</v>
      </c>
      <c r="AF22" s="1047">
        <f>'18'!$G$67</f>
        <v>737.87999999997555</v>
      </c>
      <c r="AG22" s="1047">
        <f>'18'!$G$68</f>
        <v>335.4600000000064</v>
      </c>
      <c r="AH22" s="1047">
        <f>'18'!$G$69</f>
        <v>321.58999999999651</v>
      </c>
      <c r="AI22" s="1047">
        <f>'18'!$G$84</f>
        <v>727</v>
      </c>
      <c r="AJ22" s="1047">
        <f>'18'!$G$15</f>
        <v>810.4749999998603</v>
      </c>
      <c r="AK22" s="1047">
        <f>'18'!$G$123</f>
        <v>261.28000000002794</v>
      </c>
      <c r="AL22" s="1047">
        <f>'18'!$G$124</f>
        <v>0</v>
      </c>
      <c r="AM22" s="1047">
        <f>'18'!$G$125</f>
        <v>73.050000000017462</v>
      </c>
      <c r="AN22" s="1047">
        <f>'18'!$G$126</f>
        <v>16.5</v>
      </c>
      <c r="AO22" s="1047">
        <f>'18'!$G$127</f>
        <v>1.3999999999996362</v>
      </c>
      <c r="AP22" s="1047">
        <f t="shared" si="0"/>
        <v>458.24499999981526</v>
      </c>
      <c r="AQ22" s="1047">
        <f>SUM('18'!G139:G140)</f>
        <v>8.7999999999992724</v>
      </c>
      <c r="AR22" s="1047">
        <f>'18'!$G$136</f>
        <v>6.5600000000013097</v>
      </c>
      <c r="AS22" s="1047">
        <f>'18'!$G$137</f>
        <v>0</v>
      </c>
      <c r="AT22" s="1047">
        <f>'18'!$G$138</f>
        <v>5.180000000007567</v>
      </c>
      <c r="AU22" s="1044">
        <f t="shared" si="1"/>
        <v>11.740000000008877</v>
      </c>
      <c r="AW22" s="1052">
        <f t="shared" si="2"/>
        <v>-196.96499999978732</v>
      </c>
    </row>
    <row r="23" spans="1:49" s="1049" customFormat="1">
      <c r="A23" s="1046">
        <v>43880</v>
      </c>
      <c r="B23" s="261">
        <f>SUM('19'!G35,'19'!G49)</f>
        <v>3067.1999999999534</v>
      </c>
      <c r="C23" s="261">
        <f>SUM('19'!G37,'19'!G51)</f>
        <v>1459.4200000000055</v>
      </c>
      <c r="D23" s="261">
        <f>SUM('19'!G38,'19'!G52)</f>
        <v>1724.8999999999578</v>
      </c>
      <c r="E23" s="261">
        <f>SUM('19'!G39,'19'!G53)</f>
        <v>4021.5299999999988</v>
      </c>
      <c r="F23" s="261">
        <f>SUM('19'!G41,'19'!G42,'19'!G55,'19'!G56)</f>
        <v>4813.649999999936</v>
      </c>
      <c r="G23" s="261">
        <f>SUM('19'!G43,'19'!G57)</f>
        <v>2380.950000000028</v>
      </c>
      <c r="H23" s="1037">
        <f>'19'!G50</f>
        <v>1178.9599999999627</v>
      </c>
      <c r="I23" s="1037">
        <f>'19'!G36</f>
        <v>604.6699999999837</v>
      </c>
      <c r="J23" s="1037">
        <f>'19'!G72</f>
        <v>83</v>
      </c>
      <c r="K23" s="1037">
        <f>'19'!$G$73</f>
        <v>0</v>
      </c>
      <c r="L23" s="1037">
        <f>'19'!$G$74</f>
        <v>18.130000000000109</v>
      </c>
      <c r="M23" s="1037">
        <f>'19'!$G$75</f>
        <v>159.5</v>
      </c>
      <c r="N23" s="1047">
        <f>'19'!G76</f>
        <v>83.010000000000218</v>
      </c>
      <c r="O23" s="1037">
        <f>'19'!$G$77</f>
        <v>56</v>
      </c>
      <c r="P23" s="1037">
        <f>'19'!$G$78</f>
        <v>466</v>
      </c>
      <c r="Q23" s="1037">
        <f>'19'!$G$79</f>
        <v>200</v>
      </c>
      <c r="R23" s="1037">
        <f>'19'!$G$80</f>
        <v>440.03999999997905</v>
      </c>
      <c r="S23" s="1037">
        <f>'19'!$G$81</f>
        <v>107.07999999995809</v>
      </c>
      <c r="T23" s="1037">
        <f>'19'!$G$82</f>
        <v>20.720000000001164</v>
      </c>
      <c r="U23" s="1037">
        <f>'19'!$G$58</f>
        <v>165.06999999999971</v>
      </c>
      <c r="V23" s="1037">
        <f>'19'!$G$83</f>
        <v>254</v>
      </c>
      <c r="W23" s="1037">
        <f>'19'!G86</f>
        <v>170.47999999998137</v>
      </c>
      <c r="X23" s="1037">
        <f>'19'!G87</f>
        <v>33.430000000007567</v>
      </c>
      <c r="Y23" s="1037">
        <f>'19'!G88</f>
        <v>90.279999999998836</v>
      </c>
      <c r="Z23" s="1037">
        <f>'19'!G87+'19'!H90</f>
        <v>37.63000000000784</v>
      </c>
      <c r="AA23" s="1037">
        <f>'19'!$G$62</f>
        <v>2.0000000000436557E-2</v>
      </c>
      <c r="AB23" s="1037">
        <f>'19'!$G$63</f>
        <v>10.630000000000109</v>
      </c>
      <c r="AC23" s="1037">
        <f>'19'!$G$64</f>
        <v>499.66000000000349</v>
      </c>
      <c r="AD23" s="1037">
        <f>'19'!$G$65</f>
        <v>362.18000000002212</v>
      </c>
      <c r="AE23" s="1037">
        <f>'19'!$G$66</f>
        <v>338.5099999999984</v>
      </c>
      <c r="AF23" s="1037">
        <f>'19'!$G$67</f>
        <v>688.72000000000116</v>
      </c>
      <c r="AG23" s="1037">
        <f>'19'!$G$68</f>
        <v>300.19999999999709</v>
      </c>
      <c r="AH23" s="1037">
        <f>'19'!$G$69</f>
        <v>294.54000000000815</v>
      </c>
      <c r="AI23" s="1037">
        <f>'19'!$G$84</f>
        <v>715</v>
      </c>
      <c r="AJ23" s="1037">
        <f>'19'!$G$15</f>
        <v>806.65599999995902</v>
      </c>
      <c r="AK23" s="1037">
        <f>'19'!$G$123</f>
        <v>244.43999999994412</v>
      </c>
      <c r="AL23" s="1037">
        <f>'19'!$G$124</f>
        <v>-0.39999999999417923</v>
      </c>
      <c r="AM23" s="1037">
        <f>'19'!$G$125</f>
        <v>75.649999999994179</v>
      </c>
      <c r="AN23" s="1037">
        <f>'19'!$G$126</f>
        <v>14.299999999995634</v>
      </c>
      <c r="AO23" s="1037">
        <f>'19'!$G$127</f>
        <v>1.6000000000003638</v>
      </c>
      <c r="AP23" s="1037">
        <f t="shared" si="0"/>
        <v>471.0660000000189</v>
      </c>
      <c r="AQ23" s="1037">
        <f>SUM('19'!G139:G140)</f>
        <v>8.4600000000000364</v>
      </c>
      <c r="AR23" s="1037">
        <f>'19'!$G$136</f>
        <v>7.5900000000001455</v>
      </c>
      <c r="AS23" s="1037">
        <f>'19'!$G$137</f>
        <v>0</v>
      </c>
      <c r="AT23" s="1037">
        <f>'19'!$G$138</f>
        <v>3.7899999999935972</v>
      </c>
      <c r="AU23" s="1048">
        <f t="shared" si="1"/>
        <v>11.379999999993743</v>
      </c>
      <c r="AW23" s="1053">
        <f t="shared" si="2"/>
        <v>-226.62600000007478</v>
      </c>
    </row>
    <row r="24" spans="1:49">
      <c r="A24" s="1046">
        <v>43881</v>
      </c>
      <c r="B24" s="261">
        <f>SUM('20'!G35,'20'!G49)</f>
        <v>3354</v>
      </c>
      <c r="C24" s="261">
        <f>SUM('20'!G37,'20'!G51)</f>
        <v>1568.4199999999983</v>
      </c>
      <c r="D24" s="261">
        <f>SUM('20'!G38,'20'!G52)</f>
        <v>1803.9100000000035</v>
      </c>
      <c r="E24" s="261">
        <f>SUM('20'!G39,'20'!G53)</f>
        <v>4428.9200000000128</v>
      </c>
      <c r="F24" s="261">
        <f>SUM('20'!G41,'20'!G42,'20'!G55,'20'!G56)</f>
        <v>5278.3600000000879</v>
      </c>
      <c r="G24" s="261">
        <f>SUM('20'!G43,'20'!G57)</f>
        <v>2443.9200000000419</v>
      </c>
      <c r="H24" s="1047">
        <f>'20'!G50</f>
        <v>1405.4800000000396</v>
      </c>
      <c r="I24" s="1047">
        <f>'20'!G36</f>
        <v>603.14000000001397</v>
      </c>
      <c r="J24" s="1047">
        <f>'20'!G72</f>
        <v>109</v>
      </c>
      <c r="K24" s="1047">
        <f>'20'!$G$73</f>
        <v>8</v>
      </c>
      <c r="L24" s="1047">
        <f>'20'!$G$74</f>
        <v>18.929999999999836</v>
      </c>
      <c r="M24" s="1047">
        <f>'20'!$G$75</f>
        <v>198</v>
      </c>
      <c r="N24" s="1047">
        <f>'20'!$G$76</f>
        <v>78.109999999999673</v>
      </c>
      <c r="O24" s="1047">
        <f>'20'!$G$77</f>
        <v>49</v>
      </c>
      <c r="P24" s="1037">
        <f>'20'!$G$78</f>
        <v>519</v>
      </c>
      <c r="Q24" s="1037">
        <f>'20'!$G$79</f>
        <v>187</v>
      </c>
      <c r="R24" s="1037">
        <f>'20'!$G$80</f>
        <v>396.51000000000931</v>
      </c>
      <c r="S24" s="1037">
        <f>'20'!$G$81</f>
        <v>94.800000000046566</v>
      </c>
      <c r="T24" s="1037">
        <f>'20'!$G$82</f>
        <v>21.089999999996508</v>
      </c>
      <c r="U24" s="1037">
        <f>'20'!$G$58</f>
        <v>182.08000000000175</v>
      </c>
      <c r="V24" s="1037">
        <f>'20'!$G$83</f>
        <v>229</v>
      </c>
      <c r="W24" s="1037">
        <f>'20'!G86</f>
        <v>93.320000000006985</v>
      </c>
      <c r="X24" s="1037">
        <f>'20'!G87</f>
        <v>29.169999999998254</v>
      </c>
      <c r="Y24" s="1037">
        <f>'20'!G88</f>
        <v>82.779999999998836</v>
      </c>
      <c r="Z24" s="1037">
        <f>'20'!G87+'20'!H90</f>
        <v>34.469999999998436</v>
      </c>
      <c r="AA24" s="1047">
        <f>'20'!$G$62</f>
        <v>0</v>
      </c>
      <c r="AB24" s="1047">
        <f>'20'!$G$63</f>
        <v>10.740000000000009</v>
      </c>
      <c r="AC24" s="1047">
        <f>'20'!$G$64</f>
        <v>499.85999999998603</v>
      </c>
      <c r="AD24" s="1047">
        <f>'20'!$G$65</f>
        <v>364.33999999999651</v>
      </c>
      <c r="AE24" s="1047">
        <f>'20'!$G$66</f>
        <v>343.39000000000306</v>
      </c>
      <c r="AF24" s="1047">
        <f>'20'!$G$67</f>
        <v>770</v>
      </c>
      <c r="AG24" s="1047">
        <f>'20'!$G$68</f>
        <v>328.02999999999884</v>
      </c>
      <c r="AH24" s="1047">
        <f>'20'!$G$69</f>
        <v>314.08000000000175</v>
      </c>
      <c r="AI24" s="1047">
        <f>'20'!$G$84</f>
        <v>686</v>
      </c>
      <c r="AJ24" s="1047">
        <f>'20'!$G$15</f>
        <v>922.34000000008382</v>
      </c>
      <c r="AK24" s="1047">
        <f>'20'!$G$123</f>
        <v>267.73999999999069</v>
      </c>
      <c r="AL24" s="1047">
        <f>'20'!$G$124</f>
        <v>0</v>
      </c>
      <c r="AM24" s="1047">
        <f>'20'!$G$125</f>
        <v>76.880000000004657</v>
      </c>
      <c r="AN24" s="1047">
        <f>'20'!$G$126</f>
        <v>24.200000000004366</v>
      </c>
      <c r="AO24" s="1047">
        <f>'20'!$G$127</f>
        <v>4.5</v>
      </c>
      <c r="AP24" s="1047">
        <f t="shared" si="0"/>
        <v>549.02000000008411</v>
      </c>
      <c r="AQ24" s="1047">
        <f>SUM('20'!G139:G140)</f>
        <v>9.160000000000764</v>
      </c>
      <c r="AR24" s="1047">
        <f>'20'!$G$136</f>
        <v>9.8499999999985448</v>
      </c>
      <c r="AS24" s="1047">
        <f>'20'!$G$137</f>
        <v>0</v>
      </c>
      <c r="AT24" s="1047">
        <f>'20'!$G$138</f>
        <v>2.4799999999959255</v>
      </c>
      <c r="AU24" s="1044">
        <f t="shared" si="1"/>
        <v>12.32999999999447</v>
      </c>
      <c r="AW24" s="1052">
        <f t="shared" si="2"/>
        <v>-281.28000000009342</v>
      </c>
    </row>
    <row r="25" spans="1:49">
      <c r="A25" s="1046">
        <v>43882</v>
      </c>
      <c r="B25" s="261">
        <f>SUM('21'!G35,'21'!G49)</f>
        <v>3387.0400000000373</v>
      </c>
      <c r="C25" s="261">
        <f>SUM('21'!G37,'21'!G51)</f>
        <v>1605.3700000000026</v>
      </c>
      <c r="D25" s="261">
        <f>SUM('21'!G38,'21'!G52)</f>
        <v>1861.4300000000003</v>
      </c>
      <c r="E25" s="261">
        <f>SUM('21'!G39,'21'!G53)</f>
        <v>4385.2799999999988</v>
      </c>
      <c r="F25" s="261">
        <f>SUM('21'!G41,'21'!G42,'21'!G55,'21'!G56)</f>
        <v>5380.7369999999719</v>
      </c>
      <c r="G25" s="261">
        <f>SUM('21'!G43,'21'!G57)</f>
        <v>2440.4499999999534</v>
      </c>
      <c r="H25" s="1047">
        <f>'21'!G50</f>
        <v>1212.4799999999814</v>
      </c>
      <c r="I25" s="1047">
        <f>'21'!G36</f>
        <v>605.14000000001397</v>
      </c>
      <c r="J25" s="1047">
        <f>'21'!G72</f>
        <v>90</v>
      </c>
      <c r="K25" s="1047">
        <f>'21'!$G$73</f>
        <v>2</v>
      </c>
      <c r="L25" s="1047">
        <f>'21'!$G$74</f>
        <v>38.600000000000136</v>
      </c>
      <c r="M25" s="1047">
        <f>'21'!$G$75</f>
        <v>158.55000000000018</v>
      </c>
      <c r="N25" s="1047">
        <f>'21'!$G$76</f>
        <v>77.440000000000055</v>
      </c>
      <c r="O25" s="1047">
        <f>'21'!$G$77</f>
        <v>48</v>
      </c>
      <c r="P25" s="1037">
        <f>'21'!$G$78</f>
        <v>411</v>
      </c>
      <c r="Q25" s="1037">
        <f>'21'!$G$79</f>
        <v>169</v>
      </c>
      <c r="R25" s="1037">
        <f>'21'!$G$80</f>
        <v>383.21000000002095</v>
      </c>
      <c r="S25" s="1037">
        <f>'21'!$G$81</f>
        <v>114.88000000000466</v>
      </c>
      <c r="T25" s="1037">
        <f>'21'!$G$82</f>
        <v>21.030000000013388</v>
      </c>
      <c r="U25" s="1037">
        <f>'21'!$G$58</f>
        <v>183.41999999999825</v>
      </c>
      <c r="V25" s="1037">
        <f>'21'!$G$83</f>
        <v>252</v>
      </c>
      <c r="W25" s="1037">
        <f>'21'!G86</f>
        <v>51.480000000039581</v>
      </c>
      <c r="X25" s="1037">
        <f>'21'!G87</f>
        <v>22.30000000000291</v>
      </c>
      <c r="Y25" s="1037">
        <f>'21'!G88</f>
        <v>31.220000000001164</v>
      </c>
      <c r="Z25" s="1037">
        <f>'21'!G87+'21'!H90</f>
        <v>29.200000000003001</v>
      </c>
      <c r="AA25" s="1047">
        <f>'21'!$G$62</f>
        <v>0</v>
      </c>
      <c r="AB25" s="1047">
        <f>'21'!$G$63</f>
        <v>10.680000000000064</v>
      </c>
      <c r="AC25" s="1047">
        <f>'21'!$G$64</f>
        <v>499.63000000000466</v>
      </c>
      <c r="AD25" s="1047">
        <f>'21'!$G$65</f>
        <v>386.33999999999651</v>
      </c>
      <c r="AE25" s="1047">
        <f>'21'!$G$66</f>
        <v>393.30999999999767</v>
      </c>
      <c r="AF25" s="1047">
        <f>'21'!$G$67</f>
        <v>671.34000000002561</v>
      </c>
      <c r="AG25" s="1047">
        <f>'21'!$G$68</f>
        <v>337.57000000000698</v>
      </c>
      <c r="AH25" s="1047">
        <f>'21'!$G$69</f>
        <v>318.8799999999901</v>
      </c>
      <c r="AI25" s="1047">
        <f>'21'!$G$84</f>
        <v>683</v>
      </c>
      <c r="AJ25" s="1047">
        <f>'21'!$G$15</f>
        <v>979.96999999997206</v>
      </c>
      <c r="AK25" s="1047">
        <f>'21'!$G$123</f>
        <v>300.25</v>
      </c>
      <c r="AL25" s="1047">
        <f>'21'!$G$124</f>
        <v>0</v>
      </c>
      <c r="AM25" s="1047">
        <f>'21'!$G$125</f>
        <v>73.279999999998836</v>
      </c>
      <c r="AN25" s="1047">
        <f>'21'!$G$126</f>
        <v>29.799999999995634</v>
      </c>
      <c r="AO25" s="1047">
        <f>'21'!$G$127</f>
        <v>2.5</v>
      </c>
      <c r="AP25" s="1047">
        <f t="shared" si="0"/>
        <v>574.13999999997759</v>
      </c>
      <c r="AQ25" s="1047">
        <f>SUM('21'!G139:G140)</f>
        <v>9.819999999999709</v>
      </c>
      <c r="AR25" s="1047">
        <f>'21'!$G$136</f>
        <v>9.569999999999709</v>
      </c>
      <c r="AS25" s="1047">
        <f>'21'!$G$137</f>
        <v>0</v>
      </c>
      <c r="AT25" s="1047">
        <f>'21'!$G$138</f>
        <v>1.9800000000104774</v>
      </c>
      <c r="AU25" s="1044">
        <f t="shared" si="1"/>
        <v>11.550000000010186</v>
      </c>
      <c r="AW25" s="1052">
        <f t="shared" si="2"/>
        <v>-273.88999999997759</v>
      </c>
    </row>
    <row r="26" spans="1:49">
      <c r="A26" s="1046">
        <v>43883</v>
      </c>
      <c r="B26" s="261">
        <f>SUM('22'!G35,'22'!G49)</f>
        <v>3337.8399999999674</v>
      </c>
      <c r="C26" s="261">
        <f>SUM('22'!G37,'22'!G51)</f>
        <v>1553.1800000000003</v>
      </c>
      <c r="D26" s="261">
        <f>SUM('22'!G38,'22'!G52)</f>
        <v>1793.5399999999936</v>
      </c>
      <c r="E26" s="261">
        <f>SUM('22'!G39,'22'!G53)</f>
        <v>4335.3999999999796</v>
      </c>
      <c r="F26" s="261">
        <f>SUM('22'!G41,'22'!G42,'22'!G55,'22'!G56)</f>
        <v>5689.2200000000012</v>
      </c>
      <c r="G26" s="261">
        <f>SUM('22'!G43,'22'!G57)</f>
        <v>2399.4699999999721</v>
      </c>
      <c r="H26" s="1047">
        <f>'22'!G50</f>
        <v>1248.4400000000023</v>
      </c>
      <c r="I26" s="1047">
        <f>'22'!G36</f>
        <v>664.15999999997439</v>
      </c>
      <c r="J26" s="1047">
        <f>'22'!G72</f>
        <v>103</v>
      </c>
      <c r="K26" s="1047">
        <f>'22'!$G$73</f>
        <v>1</v>
      </c>
      <c r="L26" s="1047">
        <f>'22'!$G$74</f>
        <v>18.509999999999991</v>
      </c>
      <c r="M26" s="1047">
        <f>'22'!$G$75</f>
        <v>159.42000000000007</v>
      </c>
      <c r="N26" s="1047">
        <f>'22'!$G$76</f>
        <v>77.990000000000236</v>
      </c>
      <c r="O26" s="1047">
        <f>'22'!$G$77</f>
        <v>50</v>
      </c>
      <c r="P26" s="1037">
        <f>'22'!$G$78</f>
        <v>405</v>
      </c>
      <c r="Q26" s="1037">
        <f>'22'!$G$79</f>
        <v>169</v>
      </c>
      <c r="R26" s="1037">
        <f>'22'!$G$80</f>
        <v>337.88000000000466</v>
      </c>
      <c r="S26" s="1037">
        <f>'22'!$G$81</f>
        <v>123.8399999999674</v>
      </c>
      <c r="T26" s="1037">
        <f>'22'!$G$82</f>
        <v>22.299999999988358</v>
      </c>
      <c r="U26" s="1037">
        <f>'22'!$G$58</f>
        <v>192.76000000000204</v>
      </c>
      <c r="V26" s="1037">
        <f>'22'!$G$83</f>
        <v>242</v>
      </c>
      <c r="W26" s="1037">
        <f>'22'!G86</f>
        <v>197.61999999999534</v>
      </c>
      <c r="X26" s="1037">
        <f>'22'!G87</f>
        <v>31.399999999994179</v>
      </c>
      <c r="Y26" s="1037">
        <f>'22'!G88</f>
        <v>102.58999999999651</v>
      </c>
      <c r="Z26" s="1037">
        <f>'22'!G87+'22'!H90</f>
        <v>41.699999999994361</v>
      </c>
      <c r="AA26" s="1047">
        <f>'22'!$G$62</f>
        <v>0</v>
      </c>
      <c r="AB26" s="1047">
        <f>'22'!$G$63</f>
        <v>10.669999999999845</v>
      </c>
      <c r="AC26" s="1047">
        <f>'22'!$G$64</f>
        <v>558</v>
      </c>
      <c r="AD26" s="1047">
        <f>'22'!$G$65</f>
        <v>383.07999999998719</v>
      </c>
      <c r="AE26" s="1047">
        <f>'22'!$G$66</f>
        <v>392.26000000000204</v>
      </c>
      <c r="AF26" s="1047">
        <f>'22'!$G$67</f>
        <v>690.51999999998952</v>
      </c>
      <c r="AG26" s="1047">
        <f>'22'!$G$68</f>
        <v>308</v>
      </c>
      <c r="AH26" s="1047">
        <f>'22'!$G$69</f>
        <v>309.82000000000698</v>
      </c>
      <c r="AI26" s="1047">
        <f>'22'!$G$84</f>
        <v>675</v>
      </c>
      <c r="AJ26" s="1047">
        <f>'22'!$G$15</f>
        <v>949.80000000004657</v>
      </c>
      <c r="AK26" s="1085">
        <f>'22'!$G$123</f>
        <v>281.96000000007916</v>
      </c>
      <c r="AL26" s="1047">
        <f>'22'!$G$124</f>
        <v>0</v>
      </c>
      <c r="AM26" s="1047">
        <f>'22'!$G$125</f>
        <v>65.190000000002328</v>
      </c>
      <c r="AN26" s="1047">
        <f>'22'!$G$126</f>
        <v>16.599999999998545</v>
      </c>
      <c r="AO26" s="1047">
        <f>'22'!$G$127</f>
        <v>1.6000000000003638</v>
      </c>
      <c r="AP26" s="1047">
        <f t="shared" si="0"/>
        <v>584.44999999996617</v>
      </c>
      <c r="AQ26" s="1047">
        <f>SUM('22'!G139:G140)</f>
        <v>9.25</v>
      </c>
      <c r="AR26" s="1047">
        <f>'22'!$G$136</f>
        <v>9.9500000000007276</v>
      </c>
      <c r="AS26" s="1047">
        <f>'22'!$G$137</f>
        <v>5.9999999997671694E-2</v>
      </c>
      <c r="AT26" s="1047">
        <f>'22'!$G$138</f>
        <v>3.7699999999895226</v>
      </c>
      <c r="AU26" s="1044">
        <f t="shared" si="1"/>
        <v>13.779999999987922</v>
      </c>
      <c r="AW26" s="1052">
        <f t="shared" si="2"/>
        <v>-302.489999999887</v>
      </c>
    </row>
    <row r="27" spans="1:49">
      <c r="A27" s="1046">
        <v>43884</v>
      </c>
      <c r="B27" s="261">
        <f>SUM('23'!G35,'23'!G49)</f>
        <v>3280.4000000000233</v>
      </c>
      <c r="C27" s="261">
        <f>SUM('23'!G37,'23'!G51)</f>
        <v>1487.9199999999983</v>
      </c>
      <c r="D27" s="261">
        <f>SUM('23'!G38,'23'!G52)</f>
        <v>1823.2300000000541</v>
      </c>
      <c r="E27" s="261">
        <f>SUM('23'!G39,'23'!G53)</f>
        <v>4120.7899999999936</v>
      </c>
      <c r="F27" s="261">
        <f>SUM('23'!G41,'23'!G42,'23'!G55,'23'!G56)</f>
        <v>5237.7799999999697</v>
      </c>
      <c r="G27" s="261">
        <f>SUM('23'!G43,'23'!G57)</f>
        <v>2358.5300000000279</v>
      </c>
      <c r="H27" s="1047">
        <f>'23'!G50</f>
        <v>1181.25</v>
      </c>
      <c r="I27" s="1047">
        <f>'23'!G36</f>
        <v>620.89000000001397</v>
      </c>
      <c r="J27" s="1047">
        <f>'23'!G72</f>
        <v>100</v>
      </c>
      <c r="K27" s="1047">
        <f>'23'!G73</f>
        <v>0</v>
      </c>
      <c r="L27" s="1047">
        <f>'23'!$G$74</f>
        <v>17.789999999999964</v>
      </c>
      <c r="M27" s="1047">
        <f>'23'!$G$75</f>
        <v>154.02999999999975</v>
      </c>
      <c r="N27" s="1047">
        <f>'23'!$G$76</f>
        <v>75.099999999999909</v>
      </c>
      <c r="O27" s="1047">
        <f>'23'!$G$77</f>
        <v>50</v>
      </c>
      <c r="P27" s="1037">
        <f>'23'!$G$78</f>
        <v>415</v>
      </c>
      <c r="Q27" s="1037">
        <f>'23'!$G$79</f>
        <v>199</v>
      </c>
      <c r="R27" s="1037">
        <f>'23'!$G$80</f>
        <v>354.35999999998603</v>
      </c>
      <c r="S27" s="1037">
        <f>'23'!$G$81</f>
        <v>118.35999999998603</v>
      </c>
      <c r="T27" s="1037">
        <f>'23'!$G$82</f>
        <v>19.990000000005239</v>
      </c>
      <c r="U27" s="1037">
        <f>'23'!$G$58</f>
        <v>190.56999999999971</v>
      </c>
      <c r="V27" s="1083">
        <f>'23'!$G$83</f>
        <v>295</v>
      </c>
      <c r="W27" s="1037">
        <f>'23'!$G$86</f>
        <v>113.85999999998603</v>
      </c>
      <c r="X27" s="1037">
        <f>'23'!G87</f>
        <v>37</v>
      </c>
      <c r="Y27" s="1037">
        <f>'23'!G88</f>
        <v>88.899999999994179</v>
      </c>
      <c r="Z27" s="1037">
        <f>'23'!G87+'23'!H90</f>
        <v>42</v>
      </c>
      <c r="AA27" s="1047">
        <f>'23'!$G$62</f>
        <v>-0.2000000000007276</v>
      </c>
      <c r="AB27" s="1047">
        <f>'23'!$G$63</f>
        <v>10.700000000000045</v>
      </c>
      <c r="AC27" s="1047">
        <f>'23'!$G$64</f>
        <v>497</v>
      </c>
      <c r="AD27" s="1047">
        <f>'23'!$G$65</f>
        <v>372.29000000000815</v>
      </c>
      <c r="AE27" s="1047">
        <f>'23'!$G$66</f>
        <v>379.62999999999738</v>
      </c>
      <c r="AF27" s="1047">
        <f>'23'!$G$67</f>
        <v>701.30999999999767</v>
      </c>
      <c r="AG27" s="1047">
        <f>'23'!$G$68</f>
        <v>9626</v>
      </c>
      <c r="AH27" s="1047">
        <f>'23'!$G$69</f>
        <v>314.58999999999651</v>
      </c>
      <c r="AI27" s="1047">
        <f>'23'!$G$84</f>
        <v>708</v>
      </c>
      <c r="AJ27" s="1047">
        <f>'23'!$G$15</f>
        <v>913.22999999998137</v>
      </c>
      <c r="AK27" s="1047">
        <f>'23'!$G$123</f>
        <v>273.31999999994878</v>
      </c>
      <c r="AL27" s="1047">
        <f>'23'!$G$124</f>
        <v>0</v>
      </c>
      <c r="AM27" s="1047">
        <f>'23'!$G$125</f>
        <v>78.519999999989523</v>
      </c>
      <c r="AN27" s="1047">
        <f>'23'!$G$126</f>
        <v>22.80000000000291</v>
      </c>
      <c r="AO27" s="1047">
        <f>'23'!$G$127</f>
        <v>1.5</v>
      </c>
      <c r="AP27" s="1047">
        <f t="shared" si="0"/>
        <v>537.09000000004016</v>
      </c>
      <c r="AQ27" s="1047">
        <f>SUM('23'!G139:G140)</f>
        <v>9.7399999999997817</v>
      </c>
      <c r="AR27" s="1047">
        <f>'23'!$G$136</f>
        <v>8.5799999999981083</v>
      </c>
      <c r="AS27" s="1047">
        <f>'23'!$G$137</f>
        <v>-5.9999999997671694E-2</v>
      </c>
      <c r="AT27" s="1047">
        <f>'23'!$G$138</f>
        <v>2.6300000000046566</v>
      </c>
      <c r="AU27" s="1044">
        <f t="shared" si="1"/>
        <v>11.150000000005093</v>
      </c>
      <c r="AW27" s="1052">
        <f t="shared" si="2"/>
        <v>-263.77000000009139</v>
      </c>
    </row>
    <row r="28" spans="1:49" s="1086" customFormat="1">
      <c r="A28" s="1046">
        <v>43885</v>
      </c>
      <c r="B28" s="261">
        <f>SUM('24'!G35,'24'!G49)</f>
        <v>3119</v>
      </c>
      <c r="C28" s="261">
        <f>SUM('24'!G37,'24'!G51)</f>
        <v>1480.1300000000047</v>
      </c>
      <c r="D28" s="261">
        <f>SUM('24'!G38,'24'!G52)</f>
        <v>1763</v>
      </c>
      <c r="E28" s="261">
        <f>SUM('24'!G39,'24'!G53)</f>
        <v>4090.5300000000279</v>
      </c>
      <c r="F28" s="261">
        <f>SUM('24'!G41,'24'!G42,'24'!G55,'24'!G56)</f>
        <v>5174.8500000000131</v>
      </c>
      <c r="G28" s="261">
        <f>SUM('24'!G43,'24'!G57)</f>
        <v>2354</v>
      </c>
      <c r="H28" s="1047">
        <f>'24'!G50</f>
        <v>1818</v>
      </c>
      <c r="I28" s="1037">
        <f>'24'!G36</f>
        <v>598</v>
      </c>
      <c r="J28" s="1037">
        <f>'24'!G72</f>
        <v>85</v>
      </c>
      <c r="K28" s="1037">
        <f>'24'!G73</f>
        <v>1</v>
      </c>
      <c r="L28" s="1037">
        <f>'24'!$G$74</f>
        <v>19</v>
      </c>
      <c r="M28" s="1037">
        <f>'24'!$G$75</f>
        <v>174</v>
      </c>
      <c r="N28" s="1037">
        <f>'24'!$G$76</f>
        <v>82</v>
      </c>
      <c r="O28" s="1037">
        <f>'24'!$G$77</f>
        <v>49</v>
      </c>
      <c r="P28" s="1037">
        <f>'24'!$G$78</f>
        <v>409</v>
      </c>
      <c r="Q28" s="1037">
        <f>'24'!$G$79</f>
        <v>183</v>
      </c>
      <c r="R28" s="1037">
        <f>'24'!$G$80</f>
        <v>408</v>
      </c>
      <c r="S28" s="1037">
        <f>'24'!$G$81</f>
        <v>137</v>
      </c>
      <c r="T28" s="1037">
        <f>'24'!$G$82</f>
        <v>22</v>
      </c>
      <c r="U28" s="1037">
        <f>'24'!$G$58</f>
        <v>205</v>
      </c>
      <c r="V28" s="1037">
        <f>'24'!$G$83</f>
        <v>237</v>
      </c>
      <c r="W28" s="1037">
        <f>'24'!G86</f>
        <v>167</v>
      </c>
      <c r="X28" s="1037">
        <f>'24'!G87</f>
        <v>45</v>
      </c>
      <c r="Y28" s="1037">
        <f>'24'!G88</f>
        <v>80</v>
      </c>
      <c r="Z28" s="1037">
        <f>'24'!G87+'24'!H90</f>
        <v>49</v>
      </c>
      <c r="AA28" s="1037">
        <f>'24'!$G$62</f>
        <v>0</v>
      </c>
      <c r="AB28" s="1037">
        <f>'24'!$G$63</f>
        <v>12</v>
      </c>
      <c r="AC28" s="1037">
        <f>'24'!$G$64</f>
        <v>490</v>
      </c>
      <c r="AD28" s="1037">
        <f>'24'!$G$65</f>
        <v>393</v>
      </c>
      <c r="AE28" s="1037">
        <f>'24'!$G$66</f>
        <v>376</v>
      </c>
      <c r="AF28" s="1037">
        <f>'24'!$G$67</f>
        <v>716</v>
      </c>
      <c r="AG28" s="1037">
        <f>'24'!$G$68</f>
        <v>347</v>
      </c>
      <c r="AH28" s="1037">
        <f>'24'!$G$69</f>
        <v>317</v>
      </c>
      <c r="AI28" s="1037">
        <f>'24'!$G$84</f>
        <v>738</v>
      </c>
      <c r="AJ28" s="1037">
        <f>'24'!$G$15</f>
        <v>296</v>
      </c>
      <c r="AK28" s="1085">
        <f>'24'!$G$123</f>
        <v>101</v>
      </c>
      <c r="AL28" s="1085">
        <f>'24'!$G$124</f>
        <v>0</v>
      </c>
      <c r="AM28" s="1085">
        <f>'24'!$G$125</f>
        <v>23.579999999987194</v>
      </c>
      <c r="AN28" s="1037">
        <f>'24'!$G$126</f>
        <v>3</v>
      </c>
      <c r="AO28" s="1037">
        <f>'24'!$G$127</f>
        <v>0</v>
      </c>
      <c r="AP28" s="1085">
        <f>AJ28-SUM(AK28:AO28)</f>
        <v>168.42000000001281</v>
      </c>
      <c r="AQ28" s="1037">
        <f>SUM('24'!G139:G140)</f>
        <v>8.7100000000000364</v>
      </c>
      <c r="AR28" s="1037">
        <f>'24'!$G$136</f>
        <v>3.4000000000014552</v>
      </c>
      <c r="AS28" s="1037">
        <f>'24'!$G$137</f>
        <v>4.6599999999998545</v>
      </c>
      <c r="AT28" s="1037">
        <f>'24'!$G$138</f>
        <v>0</v>
      </c>
      <c r="AU28" s="1048">
        <f t="shared" si="1"/>
        <v>8.0600000000013097</v>
      </c>
      <c r="AW28" s="1087">
        <f t="shared" si="2"/>
        <v>-67.420000000012806</v>
      </c>
    </row>
    <row r="29" spans="1:49">
      <c r="A29" s="1046">
        <v>43886</v>
      </c>
      <c r="B29" s="261">
        <f>SUM('25'!G35,'25'!G49)</f>
        <v>-1035402</v>
      </c>
      <c r="C29" s="261">
        <f>SUM('25'!G37,'25'!G51)</f>
        <v>-188879</v>
      </c>
      <c r="D29" s="261">
        <f>SUM('25'!G38,'25'!G52)</f>
        <v>-598611</v>
      </c>
      <c r="E29" s="261">
        <f>SUM('25'!G39,'25'!G53)</f>
        <v>-524043</v>
      </c>
      <c r="F29" s="261">
        <f>SUM('25'!G41,'25'!G42,'25'!G55,'25'!G56)</f>
        <v>-953862</v>
      </c>
      <c r="G29" s="261">
        <f>SUM('25'!G43,'25'!G57)</f>
        <v>-891872</v>
      </c>
      <c r="H29" s="1047">
        <f>'25'!G50</f>
        <v>-432426</v>
      </c>
      <c r="I29" s="1047">
        <f>'25'!G36</f>
        <v>-311995</v>
      </c>
      <c r="J29" s="1047">
        <f>'25'!G72</f>
        <v>-852740</v>
      </c>
      <c r="K29" s="1047">
        <f>'25'!$G$73</f>
        <v>-885790</v>
      </c>
      <c r="L29" s="1047">
        <f>'25'!$G$74</f>
        <v>-1214</v>
      </c>
      <c r="M29" s="1047">
        <f>'25'!$G$75</f>
        <v>-7505</v>
      </c>
      <c r="N29" s="1047">
        <f>'25'!$G$76</f>
        <v>-3451</v>
      </c>
      <c r="O29" s="1047">
        <f>'25'!$G$77</f>
        <v>-699854</v>
      </c>
      <c r="P29" s="1037">
        <f>'25'!$G$78</f>
        <v>-662799</v>
      </c>
      <c r="Q29" s="1037">
        <f>'25'!$G$79</f>
        <v>-819907</v>
      </c>
      <c r="R29" s="1037">
        <f>'25'!$G$80</f>
        <v>-503279</v>
      </c>
      <c r="S29" s="1037">
        <f>'25'!$G$81</f>
        <v>-628605</v>
      </c>
      <c r="T29" s="1037">
        <f>'25'!$G$82</f>
        <v>-106732</v>
      </c>
      <c r="U29" s="1037">
        <f>'25'!$G$58</f>
        <v>-40284</v>
      </c>
      <c r="V29" s="1037">
        <f>'25'!$G$83</f>
        <v>-4914</v>
      </c>
      <c r="W29" s="1037">
        <f>'25'!G86</f>
        <v>-453391</v>
      </c>
      <c r="X29" s="1037">
        <f>'25'!G87</f>
        <v>-79939</v>
      </c>
      <c r="Y29" s="1037">
        <f>'25'!G88</f>
        <v>-150114</v>
      </c>
      <c r="Z29" s="1037">
        <f>'25'!G87+'25'!H90</f>
        <v>-83197</v>
      </c>
      <c r="AA29" s="1047">
        <f>'25'!$G$62</f>
        <v>-20419</v>
      </c>
      <c r="AB29" s="1047">
        <f>'25'!$G$63</f>
        <v>-2012</v>
      </c>
      <c r="AC29" s="1047">
        <f>'25'!$G$64</f>
        <v>-135907</v>
      </c>
      <c r="AD29" s="1047">
        <f>'25'!$G$65</f>
        <v>-141579</v>
      </c>
      <c r="AE29" s="1047">
        <f>'25'!$G$66</f>
        <v>-34324</v>
      </c>
      <c r="AF29" s="1047">
        <f>'25'!$G$67</f>
        <v>-224328</v>
      </c>
      <c r="AG29" s="1047">
        <f>'25'!$G$68</f>
        <v>-80766</v>
      </c>
      <c r="AH29" s="1047">
        <f>'25'!$G$69</f>
        <v>-72124</v>
      </c>
      <c r="AI29" s="1047">
        <f>'25'!$G$84</f>
        <v>-448965</v>
      </c>
      <c r="AJ29" s="1047">
        <f>'25'!$G$15</f>
        <v>-1640178</v>
      </c>
      <c r="AK29" s="1047">
        <f>'25'!$G$123</f>
        <v>-816987</v>
      </c>
      <c r="AL29" s="1047">
        <f>'25'!$G$124</f>
        <v>-73583</v>
      </c>
      <c r="AM29" s="1047">
        <f>'25'!$G$125</f>
        <v>-141548.57999999999</v>
      </c>
      <c r="AN29" s="1047">
        <f>'25'!$G$126</f>
        <v>-59823</v>
      </c>
      <c r="AO29" s="1047">
        <f>'25'!$G$127</f>
        <v>-8944</v>
      </c>
      <c r="AP29" s="1047">
        <f t="shared" si="0"/>
        <v>-539292.41999999993</v>
      </c>
      <c r="AQ29" s="1047">
        <f>SUM('25'!G139:G140)</f>
        <v>-5944.8899999999994</v>
      </c>
      <c r="AR29" s="1047">
        <f>'25'!$G$136</f>
        <v>-22422.25</v>
      </c>
      <c r="AS29" s="1047">
        <f>'25'!$G$137</f>
        <v>-25048.97</v>
      </c>
      <c r="AT29" s="1047">
        <f>'25'!$G$138</f>
        <v>-70238</v>
      </c>
      <c r="AU29" s="1044">
        <f t="shared" si="1"/>
        <v>-117709.22</v>
      </c>
      <c r="AW29" s="1052">
        <f t="shared" si="2"/>
        <v>-277694.58000000007</v>
      </c>
    </row>
    <row r="30" spans="1:49">
      <c r="A30" s="1046">
        <v>43887</v>
      </c>
      <c r="B30" s="261">
        <f>SUM('26'!G35,'26'!G49)</f>
        <v>0</v>
      </c>
      <c r="C30" s="261">
        <f>SUM('26'!G37,'26'!G51)</f>
        <v>0</v>
      </c>
      <c r="D30" s="261">
        <f>SUM('26'!G38,'26'!G52)</f>
        <v>0</v>
      </c>
      <c r="E30" s="261">
        <f>SUM('26'!G39,'26'!G53)</f>
        <v>0</v>
      </c>
      <c r="F30" s="261">
        <f>SUM('26'!G41,'26'!G42,'26'!G55,'26'!G56)</f>
        <v>0</v>
      </c>
      <c r="G30" s="261">
        <f>SUM('26'!G43,'26'!G57)</f>
        <v>0</v>
      </c>
      <c r="H30" s="1047">
        <f>'26'!G50</f>
        <v>0</v>
      </c>
      <c r="I30" s="1047">
        <f>'26'!G36</f>
        <v>0</v>
      </c>
      <c r="J30" s="1047">
        <f>'26'!G72</f>
        <v>0</v>
      </c>
      <c r="K30" s="1047">
        <f>'26'!$G$73</f>
        <v>0</v>
      </c>
      <c r="L30" s="1047">
        <f>'26'!$G$74</f>
        <v>0</v>
      </c>
      <c r="M30" s="1047">
        <f>'26'!$G$75</f>
        <v>0</v>
      </c>
      <c r="N30" s="1047">
        <f>'26'!$G$76</f>
        <v>0</v>
      </c>
      <c r="O30" s="1047">
        <f>'26'!$G$77</f>
        <v>0</v>
      </c>
      <c r="P30" s="1037">
        <f>'26'!$G$78</f>
        <v>0</v>
      </c>
      <c r="Q30" s="1037">
        <f>'26'!$G$79</f>
        <v>0</v>
      </c>
      <c r="R30" s="1037">
        <f>'26'!$G$80</f>
        <v>0</v>
      </c>
      <c r="S30" s="1037">
        <f>'26'!$G$81</f>
        <v>0</v>
      </c>
      <c r="T30" s="1037">
        <f>'26'!$G$82</f>
        <v>0</v>
      </c>
      <c r="U30" s="1037">
        <f>'26'!$G$58</f>
        <v>0</v>
      </c>
      <c r="V30" s="1037">
        <f>'26'!$G$83</f>
        <v>0</v>
      </c>
      <c r="W30" s="1037">
        <f>'26'!G86</f>
        <v>0</v>
      </c>
      <c r="X30" s="1037">
        <f>'26'!G87</f>
        <v>0</v>
      </c>
      <c r="Y30" s="1037">
        <f>'26'!G88</f>
        <v>0</v>
      </c>
      <c r="Z30" s="1037">
        <f>'26'!G87+'26'!H90</f>
        <v>0</v>
      </c>
      <c r="AA30" s="1047">
        <f>'26'!$G$62</f>
        <v>0</v>
      </c>
      <c r="AB30" s="1047">
        <f>'26'!$G$63</f>
        <v>0</v>
      </c>
      <c r="AC30" s="1047">
        <f>'26'!$G$64</f>
        <v>0</v>
      </c>
      <c r="AD30" s="1047">
        <f>'26'!$G$65</f>
        <v>0</v>
      </c>
      <c r="AE30" s="1047">
        <f>'26'!$G$66</f>
        <v>0</v>
      </c>
      <c r="AF30" s="1047">
        <f>'26'!$G$67</f>
        <v>0</v>
      </c>
      <c r="AG30" s="1047">
        <f>'26'!$G$68</f>
        <v>0</v>
      </c>
      <c r="AH30" s="1047">
        <f>'26'!$G$69</f>
        <v>0</v>
      </c>
      <c r="AI30" s="1047">
        <f>'26'!$G$84</f>
        <v>0</v>
      </c>
      <c r="AJ30" s="1047">
        <f>'26'!$G$15</f>
        <v>0</v>
      </c>
      <c r="AK30" s="1047">
        <f>'26'!$G$123</f>
        <v>0</v>
      </c>
      <c r="AL30" s="1047">
        <f>'26'!$G$124</f>
        <v>0</v>
      </c>
      <c r="AM30" s="1047">
        <f>'26'!$G$125</f>
        <v>0</v>
      </c>
      <c r="AN30" s="1047">
        <f>'26'!$G$126</f>
        <v>0</v>
      </c>
      <c r="AO30" s="1047">
        <f>'26'!$G$127</f>
        <v>0</v>
      </c>
      <c r="AP30" s="1047">
        <f t="shared" si="0"/>
        <v>0</v>
      </c>
      <c r="AQ30" s="1047">
        <f>SUM('26'!G139:G140)</f>
        <v>0</v>
      </c>
      <c r="AR30" s="1047">
        <f>'26'!$G$136</f>
        <v>0</v>
      </c>
      <c r="AS30" s="1047">
        <f>'26'!$G$137</f>
        <v>0</v>
      </c>
      <c r="AT30" s="1047">
        <f>'26'!$G$138</f>
        <v>0</v>
      </c>
      <c r="AU30" s="1044">
        <f t="shared" si="1"/>
        <v>0</v>
      </c>
      <c r="AW30" s="1052">
        <f t="shared" si="2"/>
        <v>0</v>
      </c>
    </row>
    <row r="31" spans="1:49">
      <c r="A31" s="1046">
        <v>43888</v>
      </c>
      <c r="B31" s="261">
        <f>SUM('27'!G35,'27'!G49)</f>
        <v>0</v>
      </c>
      <c r="C31" s="261">
        <f>SUM('27'!G37,'27'!G51)</f>
        <v>0</v>
      </c>
      <c r="D31" s="261">
        <f>SUM('27'!G38,'27'!G52)</f>
        <v>0</v>
      </c>
      <c r="E31" s="261">
        <f>SUM('27'!G39,'27'!G53)</f>
        <v>0</v>
      </c>
      <c r="F31" s="261">
        <f>SUM('27'!G41,'27'!G42,'27'!G55,'27'!G56)</f>
        <v>0</v>
      </c>
      <c r="G31" s="261">
        <f>SUM('27'!G43,'27'!G57)</f>
        <v>0</v>
      </c>
      <c r="H31" s="1047">
        <f>'27'!G50</f>
        <v>0</v>
      </c>
      <c r="I31" s="1047">
        <f>'27'!G36</f>
        <v>0</v>
      </c>
      <c r="J31" s="1047">
        <f>'27'!G72</f>
        <v>0</v>
      </c>
      <c r="K31" s="1047">
        <f>'27'!$G$73</f>
        <v>0</v>
      </c>
      <c r="L31" s="1047">
        <f>'27'!$G$74</f>
        <v>0</v>
      </c>
      <c r="M31" s="1047">
        <f>'27'!$G$75</f>
        <v>0</v>
      </c>
      <c r="N31" s="1047">
        <f>'27'!$G$76</f>
        <v>0</v>
      </c>
      <c r="O31" s="1047">
        <f>'27'!$G$77</f>
        <v>0</v>
      </c>
      <c r="P31" s="1037">
        <f>'27'!$G$78</f>
        <v>0</v>
      </c>
      <c r="Q31" s="1037">
        <f>'27'!$G$79</f>
        <v>0</v>
      </c>
      <c r="R31" s="1037">
        <f>'27'!$G$80</f>
        <v>0</v>
      </c>
      <c r="S31" s="1037">
        <f>'27'!$G$81</f>
        <v>0</v>
      </c>
      <c r="T31" s="1037">
        <f>'27'!$G$82</f>
        <v>0</v>
      </c>
      <c r="U31" s="1037">
        <f>'27'!$G$58</f>
        <v>0</v>
      </c>
      <c r="V31" s="1037">
        <f>'27'!$G$83</f>
        <v>0</v>
      </c>
      <c r="W31" s="1037">
        <f>'27'!G86</f>
        <v>0</v>
      </c>
      <c r="X31" s="1037">
        <f>'27'!G87</f>
        <v>0</v>
      </c>
      <c r="Y31" s="1037">
        <f>'27'!G88</f>
        <v>0</v>
      </c>
      <c r="Z31" s="1037">
        <f>'27'!G87+'27'!H90</f>
        <v>0</v>
      </c>
      <c r="AA31" s="1047">
        <f>'27'!$G$62</f>
        <v>0</v>
      </c>
      <c r="AB31" s="1047">
        <f>'27'!$G$63</f>
        <v>0</v>
      </c>
      <c r="AC31" s="1047">
        <f>'27'!$G$64</f>
        <v>0</v>
      </c>
      <c r="AD31" s="1047">
        <f>'27'!$G$65</f>
        <v>0</v>
      </c>
      <c r="AE31" s="1047">
        <f>'27'!$G$66</f>
        <v>0</v>
      </c>
      <c r="AF31" s="1047">
        <f>'27'!$G$67</f>
        <v>0</v>
      </c>
      <c r="AG31" s="1047">
        <f>'27'!$G$68</f>
        <v>0</v>
      </c>
      <c r="AH31" s="1047">
        <f>'27'!$G$69</f>
        <v>0</v>
      </c>
      <c r="AI31" s="1047">
        <f>'27'!$G$84</f>
        <v>0</v>
      </c>
      <c r="AJ31" s="1047">
        <f>'27'!$G$15</f>
        <v>0</v>
      </c>
      <c r="AK31" s="1047">
        <f>'27'!$G$123</f>
        <v>0</v>
      </c>
      <c r="AL31" s="1047">
        <f>'27'!$G$124</f>
        <v>0</v>
      </c>
      <c r="AM31" s="1047">
        <f>'27'!$G$125</f>
        <v>0</v>
      </c>
      <c r="AN31" s="1047">
        <f>'27'!$G$126</f>
        <v>0</v>
      </c>
      <c r="AO31" s="1047">
        <f>'27'!$G$127</f>
        <v>0</v>
      </c>
      <c r="AP31" s="1047">
        <f t="shared" si="0"/>
        <v>0</v>
      </c>
      <c r="AQ31" s="1047">
        <f>SUM('27'!G139:G140)</f>
        <v>0</v>
      </c>
      <c r="AR31" s="1047">
        <f>'27'!$G$136</f>
        <v>0</v>
      </c>
      <c r="AS31" s="1047">
        <f>'27'!$G$137</f>
        <v>0</v>
      </c>
      <c r="AT31" s="1047">
        <f>'27'!$G$138</f>
        <v>0</v>
      </c>
      <c r="AU31" s="1044">
        <f t="shared" si="1"/>
        <v>0</v>
      </c>
      <c r="AW31" s="1052">
        <f t="shared" si="2"/>
        <v>0</v>
      </c>
    </row>
    <row r="32" spans="1:49">
      <c r="A32" s="1046">
        <v>43889</v>
      </c>
      <c r="B32" s="261">
        <f>SUM('28'!G35,'28'!G49)</f>
        <v>0</v>
      </c>
      <c r="C32" s="261">
        <f>SUM('28'!G37,'28'!G51)</f>
        <v>0</v>
      </c>
      <c r="D32" s="261">
        <f>SUM('28'!G38,'28'!G52)</f>
        <v>0</v>
      </c>
      <c r="E32" s="261">
        <f>SUM('28'!G39,'28'!G53)</f>
        <v>0</v>
      </c>
      <c r="F32" s="261">
        <f>SUM('28'!G41,'28'!G42,'28'!G55,'28'!G56)</f>
        <v>0</v>
      </c>
      <c r="G32" s="261">
        <f>SUM('28'!G43,'28'!G57)</f>
        <v>0</v>
      </c>
      <c r="H32" s="1047">
        <f>'28'!G50</f>
        <v>0</v>
      </c>
      <c r="I32" s="1047">
        <f>'28'!G36</f>
        <v>0</v>
      </c>
      <c r="J32" s="1047">
        <f>'28'!G72</f>
        <v>0</v>
      </c>
      <c r="K32" s="1047">
        <f>'28'!$G$73</f>
        <v>0</v>
      </c>
      <c r="L32" s="1047">
        <f>'28'!$G$74</f>
        <v>0</v>
      </c>
      <c r="M32" s="1047">
        <f>'28'!$G$75</f>
        <v>0</v>
      </c>
      <c r="N32" s="1047">
        <f>'28'!$G$76</f>
        <v>0</v>
      </c>
      <c r="O32" s="1047">
        <f>'28'!$G$77</f>
        <v>0</v>
      </c>
      <c r="P32" s="1037">
        <f>'28'!$G$78</f>
        <v>0</v>
      </c>
      <c r="Q32" s="1037">
        <f>'28'!$G$79</f>
        <v>0</v>
      </c>
      <c r="R32" s="1037">
        <f>'28'!$G$80</f>
        <v>0</v>
      </c>
      <c r="S32" s="1037">
        <f>'28'!$G$81</f>
        <v>0</v>
      </c>
      <c r="T32" s="1037">
        <f>'28'!$G$82</f>
        <v>0</v>
      </c>
      <c r="U32" s="1037">
        <f>'28'!$G$58</f>
        <v>0</v>
      </c>
      <c r="V32" s="1037">
        <f>'28'!$G$83</f>
        <v>0</v>
      </c>
      <c r="W32" s="1037">
        <f>'28'!G86</f>
        <v>0</v>
      </c>
      <c r="X32" s="1037">
        <f>'28'!G87</f>
        <v>0</v>
      </c>
      <c r="Y32" s="1037">
        <f>'28'!G88</f>
        <v>0</v>
      </c>
      <c r="Z32" s="1037">
        <f>'28'!G87+'28'!H90</f>
        <v>0</v>
      </c>
      <c r="AA32" s="1047">
        <f>'28'!$G$62</f>
        <v>0</v>
      </c>
      <c r="AB32" s="1047">
        <f>'28'!$G$63</f>
        <v>0</v>
      </c>
      <c r="AC32" s="1047">
        <f>'28'!$G$64</f>
        <v>0</v>
      </c>
      <c r="AD32" s="1047">
        <f>'28'!$G$65</f>
        <v>0</v>
      </c>
      <c r="AE32" s="1047">
        <f>'28'!$G$66</f>
        <v>0</v>
      </c>
      <c r="AF32" s="1047">
        <f>'28'!$G$67</f>
        <v>0</v>
      </c>
      <c r="AG32" s="1047">
        <f>'28'!$G$68</f>
        <v>0</v>
      </c>
      <c r="AH32" s="1047">
        <f>'28'!$G$69</f>
        <v>0</v>
      </c>
      <c r="AI32" s="1047">
        <f>'28'!$G$84</f>
        <v>0</v>
      </c>
      <c r="AJ32" s="1047">
        <f>'28'!$G$15</f>
        <v>0</v>
      </c>
      <c r="AK32" s="1047">
        <f>'28'!$G$123</f>
        <v>0</v>
      </c>
      <c r="AL32" s="1047">
        <f>'28'!$G$124</f>
        <v>0</v>
      </c>
      <c r="AM32" s="1047">
        <f>'28'!$G$125</f>
        <v>0</v>
      </c>
      <c r="AN32" s="1047">
        <f>'28'!$G$126</f>
        <v>0</v>
      </c>
      <c r="AO32" s="1047">
        <f>'28'!$G$127</f>
        <v>0</v>
      </c>
      <c r="AP32" s="1047">
        <f t="shared" si="0"/>
        <v>0</v>
      </c>
      <c r="AQ32" s="1047">
        <f>SUM('28'!G139:G140)</f>
        <v>0</v>
      </c>
      <c r="AR32" s="1047">
        <f>'28'!$G$136</f>
        <v>0</v>
      </c>
      <c r="AS32" s="1047">
        <f>'28'!$G$137</f>
        <v>0</v>
      </c>
      <c r="AT32" s="1047">
        <f>'28'!$G$138</f>
        <v>0</v>
      </c>
      <c r="AU32" s="1044">
        <f t="shared" si="1"/>
        <v>0</v>
      </c>
      <c r="AW32" s="1052">
        <f t="shared" si="2"/>
        <v>0</v>
      </c>
    </row>
    <row r="33" spans="1:49">
      <c r="A33" s="1046">
        <v>43890</v>
      </c>
      <c r="B33" s="261">
        <f>SUM('29'!G35,'29'!G49)</f>
        <v>0</v>
      </c>
      <c r="C33" s="261">
        <f>SUM('29'!G37,'29'!G51)</f>
        <v>0</v>
      </c>
      <c r="D33" s="261">
        <f>SUM('29'!G38,'29'!G52)</f>
        <v>0</v>
      </c>
      <c r="E33" s="261">
        <f>SUM('29'!G39,'29'!G53)</f>
        <v>0</v>
      </c>
      <c r="F33" s="261">
        <f>SUM('29'!G41,'29'!G42,'29'!G55,'3'!G56)</f>
        <v>7.9199999999254942</v>
      </c>
      <c r="G33" s="261">
        <f>SUM('29'!G43,'29'!G57)</f>
        <v>0</v>
      </c>
      <c r="H33" s="1047">
        <f>'29'!G50</f>
        <v>0</v>
      </c>
      <c r="I33" s="1047">
        <f>'29'!G36</f>
        <v>0</v>
      </c>
      <c r="J33" s="1047">
        <f>'29'!G72</f>
        <v>0</v>
      </c>
      <c r="K33" s="1047">
        <f>'29'!$G$73</f>
        <v>0</v>
      </c>
      <c r="L33" s="1047">
        <f>'29'!$G$74</f>
        <v>0</v>
      </c>
      <c r="M33" s="1047">
        <f>'29'!$G$75</f>
        <v>0</v>
      </c>
      <c r="N33" s="1047">
        <f>'29'!$G$76</f>
        <v>0</v>
      </c>
      <c r="O33" s="1047">
        <f>'29'!$G$77</f>
        <v>0</v>
      </c>
      <c r="P33" s="1047">
        <f>'29'!$G$78</f>
        <v>0</v>
      </c>
      <c r="Q33" s="1047">
        <f>'29'!$G$79</f>
        <v>0</v>
      </c>
      <c r="R33" s="1047">
        <f>'29'!$G$80</f>
        <v>0</v>
      </c>
      <c r="S33" s="1047">
        <f>'29'!$G$81</f>
        <v>0</v>
      </c>
      <c r="T33" s="1047">
        <f>'29'!$G$82</f>
        <v>0</v>
      </c>
      <c r="U33" s="1047">
        <f>'29'!$G$58</f>
        <v>0</v>
      </c>
      <c r="V33" s="1047">
        <f>'29'!$G$83</f>
        <v>0</v>
      </c>
      <c r="W33" s="1047">
        <f>'29'!G86</f>
        <v>0</v>
      </c>
      <c r="X33" s="1047">
        <f>'29'!G87</f>
        <v>0</v>
      </c>
      <c r="Y33" s="1047">
        <f>'29'!G88</f>
        <v>0</v>
      </c>
      <c r="Z33" s="1047">
        <f>'29'!G87+'29'!H90</f>
        <v>0</v>
      </c>
      <c r="AA33" s="1047">
        <f>'29'!$G$62</f>
        <v>0</v>
      </c>
      <c r="AB33" s="1047">
        <f>'29'!$G$63</f>
        <v>0</v>
      </c>
      <c r="AC33" s="1047">
        <f>'29'!$G$64</f>
        <v>0</v>
      </c>
      <c r="AD33" s="1047">
        <f>'29'!$G$65</f>
        <v>0</v>
      </c>
      <c r="AE33" s="1047">
        <f>'29'!$G$66</f>
        <v>0</v>
      </c>
      <c r="AF33" s="1047">
        <f>'29'!$G$67</f>
        <v>0</v>
      </c>
      <c r="AG33" s="1047">
        <f>'29'!$G$68</f>
        <v>0</v>
      </c>
      <c r="AH33" s="1047">
        <f>'29'!$G$69</f>
        <v>0</v>
      </c>
      <c r="AI33" s="1047">
        <f>'29'!$G$84</f>
        <v>0</v>
      </c>
      <c r="AJ33" s="1047">
        <f>'29'!$G$15</f>
        <v>0</v>
      </c>
      <c r="AK33" s="1047">
        <f>'29'!$G$123</f>
        <v>0</v>
      </c>
      <c r="AL33" s="1047">
        <f>'29'!$G$124</f>
        <v>0</v>
      </c>
      <c r="AM33" s="1047">
        <f>'29'!$G$125</f>
        <v>0</v>
      </c>
      <c r="AN33" s="1047">
        <f>'29'!$G$126</f>
        <v>0</v>
      </c>
      <c r="AO33" s="1047">
        <f>'29'!$G$127</f>
        <v>0</v>
      </c>
      <c r="AP33" s="1047">
        <f t="shared" si="0"/>
        <v>0</v>
      </c>
      <c r="AQ33" s="1047">
        <f>SUM('29'!G139:G140)</f>
        <v>0</v>
      </c>
      <c r="AR33" s="1047">
        <f>'29'!$G$136</f>
        <v>0</v>
      </c>
      <c r="AS33" s="1047">
        <f>'29'!$G$137</f>
        <v>0</v>
      </c>
      <c r="AT33" s="1047">
        <f>'29'!$G$138</f>
        <v>0</v>
      </c>
      <c r="AU33" s="1044">
        <f t="shared" si="1"/>
        <v>0</v>
      </c>
      <c r="AW33" s="1052">
        <f t="shared" si="2"/>
        <v>0</v>
      </c>
    </row>
    <row r="34" spans="1:49" s="1049" customFormat="1">
      <c r="A34" s="1046">
        <v>43891</v>
      </c>
      <c r="B34" s="261">
        <f>SUM('30'!G49,'30'!G49)</f>
        <v>0</v>
      </c>
      <c r="C34" s="261">
        <f>SUM('30'!G51,'30'!G51)</f>
        <v>0</v>
      </c>
      <c r="D34" s="261">
        <f>SUM('30'!G52,'30'!G52)</f>
        <v>0</v>
      </c>
      <c r="E34" s="261">
        <f>SUM('30'!G53,'30'!G53)</f>
        <v>0</v>
      </c>
      <c r="F34" s="261">
        <f>SUM('30'!G41,'30'!G42,'30'!G55,'30'!G56)</f>
        <v>0</v>
      </c>
      <c r="G34" s="261">
        <f>SUM('30'!G57,'30'!G57)</f>
        <v>0</v>
      </c>
      <c r="H34" s="1037">
        <f>'30'!G50</f>
        <v>0</v>
      </c>
      <c r="I34" s="1037">
        <f>'30'!G36</f>
        <v>0</v>
      </c>
      <c r="J34" s="1037">
        <f>'30'!G72</f>
        <v>0</v>
      </c>
      <c r="K34" s="1037">
        <f>'30'!$G$73</f>
        <v>0</v>
      </c>
      <c r="L34" s="1037">
        <f>'30'!$G$74</f>
        <v>0</v>
      </c>
      <c r="M34" s="1037">
        <f>'30'!$G$75</f>
        <v>0</v>
      </c>
      <c r="N34" s="1037">
        <f>'30'!$G$76</f>
        <v>0</v>
      </c>
      <c r="O34" s="1037">
        <f>'30'!$G$77</f>
        <v>0</v>
      </c>
      <c r="P34" s="1037">
        <f>'30'!$G$78</f>
        <v>0</v>
      </c>
      <c r="Q34" s="1037">
        <f>'30'!$G$79</f>
        <v>0</v>
      </c>
      <c r="R34" s="1037">
        <f>'30'!$G$80</f>
        <v>0</v>
      </c>
      <c r="S34" s="1037">
        <f>'30'!$G$81</f>
        <v>0</v>
      </c>
      <c r="T34" s="1037">
        <f>'30'!$G$82</f>
        <v>0</v>
      </c>
      <c r="U34" s="1037">
        <f>'30'!$G$58</f>
        <v>0</v>
      </c>
      <c r="V34" s="1037">
        <f>'30'!$G$83</f>
        <v>0</v>
      </c>
      <c r="W34" s="1037">
        <f>'30'!G86</f>
        <v>0</v>
      </c>
      <c r="X34" s="1037">
        <f>'30'!G87</f>
        <v>0</v>
      </c>
      <c r="Y34" s="1037">
        <f>'30'!G88</f>
        <v>0</v>
      </c>
      <c r="Z34" s="1037">
        <f>'30'!G87+'30'!H90</f>
        <v>0</v>
      </c>
      <c r="AA34" s="1037">
        <f>'30'!$G$62</f>
        <v>0</v>
      </c>
      <c r="AB34" s="1037">
        <f>'30'!$G$63</f>
        <v>0</v>
      </c>
      <c r="AC34" s="1037">
        <f>'30'!$G$64</f>
        <v>0</v>
      </c>
      <c r="AD34" s="1037">
        <f>'30'!$G$65</f>
        <v>0</v>
      </c>
      <c r="AE34" s="1037">
        <f>'30'!$G$66</f>
        <v>0</v>
      </c>
      <c r="AF34" s="1037">
        <f>'30'!$G$67</f>
        <v>0</v>
      </c>
      <c r="AG34" s="1037">
        <f>'30'!$G$68</f>
        <v>0</v>
      </c>
      <c r="AH34" s="1037">
        <f>'30'!$G$69</f>
        <v>0</v>
      </c>
      <c r="AI34" s="1037">
        <f>'30'!$G$84</f>
        <v>0</v>
      </c>
      <c r="AJ34" s="1037">
        <f>'30'!$G$15</f>
        <v>0</v>
      </c>
      <c r="AK34" s="1037">
        <f>'30'!$G$123</f>
        <v>0</v>
      </c>
      <c r="AL34" s="1037">
        <f>'30'!$G$124</f>
        <v>0</v>
      </c>
      <c r="AM34" s="1037">
        <f>'30'!$G$125</f>
        <v>0</v>
      </c>
      <c r="AN34" s="1037">
        <f>'30'!$G$126</f>
        <v>0</v>
      </c>
      <c r="AO34" s="1037">
        <f>'30'!$G$127</f>
        <v>0</v>
      </c>
      <c r="AP34" s="1037">
        <f t="shared" si="0"/>
        <v>0</v>
      </c>
      <c r="AQ34" s="1037">
        <f>SUM('30'!G139:G140)</f>
        <v>0</v>
      </c>
      <c r="AR34" s="1037">
        <f>'30'!$G$136</f>
        <v>0</v>
      </c>
      <c r="AS34" s="1037">
        <f>'30'!$G$137</f>
        <v>0</v>
      </c>
      <c r="AT34" s="1037">
        <f>'30'!$G$138</f>
        <v>0</v>
      </c>
      <c r="AU34" s="1048">
        <f t="shared" si="1"/>
        <v>0</v>
      </c>
      <c r="AW34" s="1053">
        <f t="shared" si="2"/>
        <v>0</v>
      </c>
    </row>
    <row r="35" spans="1:49">
      <c r="A35" s="1046">
        <v>43892</v>
      </c>
      <c r="B35" s="261">
        <f>SUM('31'!G35,'31'!G49)</f>
        <v>0</v>
      </c>
      <c r="C35" s="261">
        <f>SUM('31'!G37,'31'!G51)</f>
        <v>0</v>
      </c>
      <c r="D35" s="261">
        <f>SUM('31'!G38,'31'!G52)</f>
        <v>0</v>
      </c>
      <c r="E35" s="261">
        <f>SUM('31'!G39,'31'!G53)</f>
        <v>0</v>
      </c>
      <c r="F35" s="261">
        <f>SUM('31'!G41,'31'!G42,'31'!G55,'31'!G56)</f>
        <v>0</v>
      </c>
      <c r="G35" s="261">
        <f>SUM('31'!G43,'31'!G57)</f>
        <v>0</v>
      </c>
      <c r="H35" s="1047">
        <f>'31'!G50</f>
        <v>0</v>
      </c>
      <c r="I35" s="1047">
        <f>'31'!G36</f>
        <v>0</v>
      </c>
      <c r="J35" s="1047">
        <f>'31'!G72</f>
        <v>0</v>
      </c>
      <c r="K35" s="1047">
        <f>'31'!$G$73</f>
        <v>0</v>
      </c>
      <c r="L35" s="1047">
        <f>'31'!$G$74</f>
        <v>0</v>
      </c>
      <c r="M35" s="1047">
        <f>'31'!$G$74</f>
        <v>0</v>
      </c>
      <c r="N35" s="1047">
        <f>'31'!$G$76</f>
        <v>0</v>
      </c>
      <c r="O35" s="1037">
        <f>'31'!$G$77</f>
        <v>0</v>
      </c>
      <c r="P35" s="1037">
        <f>'31'!$G$78</f>
        <v>0</v>
      </c>
      <c r="Q35" s="1037">
        <f>'31'!$G$79</f>
        <v>0</v>
      </c>
      <c r="R35" s="1037">
        <f>'31'!$G$80</f>
        <v>0</v>
      </c>
      <c r="S35" s="1037">
        <f>'31'!$G$81</f>
        <v>0</v>
      </c>
      <c r="T35" s="1037">
        <f>'31'!$G$82</f>
        <v>0</v>
      </c>
      <c r="U35" s="1037">
        <f>'31'!$G$58</f>
        <v>0</v>
      </c>
      <c r="V35" s="1037">
        <f>'31'!$G$83</f>
        <v>0</v>
      </c>
      <c r="W35" s="1037">
        <f>'31'!G86</f>
        <v>0</v>
      </c>
      <c r="X35" s="1037">
        <f>'31'!G88</f>
        <v>0</v>
      </c>
      <c r="Y35" s="1037">
        <f>'31'!G89</f>
        <v>0</v>
      </c>
      <c r="Z35" s="1037">
        <f>'31'!G87+'31'!H90</f>
        <v>0</v>
      </c>
      <c r="AA35" s="1047">
        <f>'31'!$G$62</f>
        <v>0</v>
      </c>
      <c r="AB35" s="1047">
        <f>'31'!$G$63</f>
        <v>0</v>
      </c>
      <c r="AC35" s="1047">
        <f>'31'!$G$64</f>
        <v>0</v>
      </c>
      <c r="AD35" s="1047">
        <f>'31'!$G$65</f>
        <v>0</v>
      </c>
      <c r="AE35" s="1047">
        <f>'31'!$G$66</f>
        <v>0</v>
      </c>
      <c r="AF35" s="1047">
        <f>'31'!$G$67</f>
        <v>0</v>
      </c>
      <c r="AG35" s="1047">
        <f>'31'!$G$68</f>
        <v>0</v>
      </c>
      <c r="AH35" s="1047">
        <f>'31'!$G$69</f>
        <v>0</v>
      </c>
      <c r="AI35" s="1047">
        <f>'31'!$G$84</f>
        <v>0</v>
      </c>
      <c r="AJ35" s="1047">
        <f>'31'!$G$15</f>
        <v>0</v>
      </c>
      <c r="AK35" s="1047">
        <f>'31'!$G$123</f>
        <v>0</v>
      </c>
      <c r="AL35" s="1047">
        <f>'31'!$G$124</f>
        <v>0</v>
      </c>
      <c r="AM35" s="1047">
        <f>'31'!$G$125</f>
        <v>0</v>
      </c>
      <c r="AN35" s="1047">
        <f>'31'!$G$126</f>
        <v>0</v>
      </c>
      <c r="AO35" s="1047">
        <f>'31'!$G$127</f>
        <v>0</v>
      </c>
      <c r="AP35" s="1047">
        <f t="shared" si="0"/>
        <v>0</v>
      </c>
      <c r="AQ35" s="1047">
        <f>SUM('31'!G139:G140)</f>
        <v>0</v>
      </c>
      <c r="AR35" s="1047">
        <f>'31'!$G$136</f>
        <v>0</v>
      </c>
      <c r="AS35" s="1047">
        <f>'31'!$G$137</f>
        <v>0</v>
      </c>
      <c r="AT35" s="1047">
        <f>'31'!$G$138</f>
        <v>0</v>
      </c>
      <c r="AU35" s="1044">
        <f t="shared" si="1"/>
        <v>0</v>
      </c>
      <c r="AW35" s="1052">
        <f t="shared" si="2"/>
        <v>0</v>
      </c>
    </row>
    <row r="36" spans="1:49">
      <c r="A36" s="1088"/>
      <c r="B36" s="34">
        <f t="shared" ref="B36:G36" si="3">SUM(B5:B35)</f>
        <v>-953819.72</v>
      </c>
      <c r="C36" s="34">
        <f t="shared" si="3"/>
        <v>-116945.84000000001</v>
      </c>
      <c r="D36" s="34">
        <f t="shared" si="3"/>
        <v>-551726.20000000007</v>
      </c>
      <c r="E36" s="34">
        <f t="shared" si="3"/>
        <v>-322461.62</v>
      </c>
      <c r="F36" s="34">
        <f t="shared" si="3"/>
        <v>-826640.02000000014</v>
      </c>
      <c r="G36" s="34">
        <f t="shared" si="3"/>
        <v>-833609.15999999992</v>
      </c>
      <c r="H36" s="1043"/>
      <c r="I36" s="1043"/>
      <c r="O36" s="1049"/>
      <c r="P36" s="1049"/>
      <c r="Q36" s="1049"/>
      <c r="R36" s="1049"/>
      <c r="S36" s="1049"/>
      <c r="T36" s="1049"/>
      <c r="U36" s="1049"/>
      <c r="V36" s="1049"/>
      <c r="W36" s="1049"/>
      <c r="X36" s="1049"/>
      <c r="Y36" s="1049"/>
      <c r="Z36" s="1049"/>
    </row>
    <row r="37" spans="1:49">
      <c r="A37" s="1089"/>
      <c r="B37" s="35">
        <f t="shared" ref="B37:G37" si="4">B19-B18</f>
        <v>-20.239999999990687</v>
      </c>
      <c r="C37" s="35">
        <f t="shared" si="4"/>
        <v>61.670000000012806</v>
      </c>
      <c r="D37" s="35">
        <f t="shared" si="4"/>
        <v>-122.0899999999674</v>
      </c>
      <c r="E37" s="35">
        <f t="shared" si="4"/>
        <v>129.21000000002095</v>
      </c>
      <c r="F37" s="35">
        <f t="shared" si="4"/>
        <v>686.45300000000134</v>
      </c>
      <c r="G37" s="35">
        <f t="shared" si="4"/>
        <v>24.550000000046566</v>
      </c>
      <c r="H37" s="35"/>
      <c r="I37" s="35"/>
      <c r="AK37" s="1091" t="s">
        <v>111</v>
      </c>
      <c r="AL37" s="1092">
        <v>191</v>
      </c>
      <c r="AM37" s="1092"/>
      <c r="AN37" s="1092"/>
    </row>
    <row r="38" spans="1:49">
      <c r="A38" s="1089"/>
      <c r="AK38" s="1092"/>
      <c r="AL38" s="1092">
        <v>88</v>
      </c>
      <c r="AM38" s="1092"/>
      <c r="AN38" s="1092"/>
    </row>
    <row r="39" spans="1:49">
      <c r="A39" s="1089"/>
      <c r="AK39" s="1092"/>
      <c r="AL39" s="1093">
        <f>SUM(AL37:AL38)</f>
        <v>279</v>
      </c>
      <c r="AM39" s="1094" t="s">
        <v>112</v>
      </c>
      <c r="AN39" s="1094">
        <v>335</v>
      </c>
    </row>
    <row r="40" spans="1:49">
      <c r="A40" s="1089"/>
      <c r="AK40" s="1092"/>
      <c r="AL40" s="1092"/>
      <c r="AM40" s="1092"/>
      <c r="AN40" s="1092"/>
    </row>
    <row r="41" spans="1:49">
      <c r="A41" s="1089"/>
      <c r="J41" s="1052"/>
      <c r="K41" s="1052"/>
      <c r="L41" s="1052"/>
      <c r="M41" s="1052"/>
      <c r="N41" s="1052"/>
      <c r="O41" s="1052"/>
      <c r="P41" s="1052"/>
      <c r="Q41" s="1052"/>
      <c r="R41" s="1052"/>
      <c r="S41" s="1052"/>
      <c r="T41" s="1052"/>
      <c r="U41" s="1052"/>
      <c r="V41" s="1052"/>
      <c r="W41" s="1052"/>
      <c r="X41" s="1052"/>
      <c r="Y41" s="1052"/>
      <c r="Z41" s="1052"/>
      <c r="AA41" s="1052"/>
      <c r="AB41" s="1052"/>
      <c r="AC41" s="1052"/>
      <c r="AD41" s="1052"/>
      <c r="AE41" s="1052"/>
      <c r="AF41" s="1052"/>
      <c r="AG41" s="1052"/>
      <c r="AH41" s="1052"/>
      <c r="AJ41" s="1052"/>
      <c r="AK41" s="1091" t="s">
        <v>113</v>
      </c>
      <c r="AL41" s="1093">
        <v>168</v>
      </c>
      <c r="AM41" s="1092"/>
      <c r="AN41" s="1092"/>
    </row>
    <row r="42" spans="1:49">
      <c r="A42" s="1089"/>
      <c r="AK42" s="1092"/>
      <c r="AL42" s="1092"/>
      <c r="AM42" s="1094" t="s">
        <v>114</v>
      </c>
      <c r="AN42" s="1092"/>
    </row>
    <row r="43" spans="1:49">
      <c r="A43" s="1089"/>
      <c r="AK43" s="1092" t="s">
        <v>115</v>
      </c>
      <c r="AL43" s="1092">
        <f>20*38.68</f>
        <v>773.6</v>
      </c>
      <c r="AM43" s="1092" t="s">
        <v>116</v>
      </c>
      <c r="AN43" s="1092"/>
    </row>
    <row r="44" spans="1:49">
      <c r="A44" s="1089"/>
    </row>
    <row r="45" spans="1:49">
      <c r="A45" s="1089"/>
    </row>
    <row r="46" spans="1:49">
      <c r="A46" s="1089"/>
    </row>
    <row r="47" spans="1:49">
      <c r="A47" s="1089"/>
    </row>
    <row r="48" spans="1:49">
      <c r="A48" s="1089"/>
    </row>
    <row r="49" spans="1:1">
      <c r="A49" s="1089"/>
    </row>
    <row r="50" spans="1:1">
      <c r="A50" s="1089"/>
    </row>
    <row r="51" spans="1:1">
      <c r="A51" s="1089"/>
    </row>
    <row r="52" spans="1:1">
      <c r="A52" s="1089"/>
    </row>
    <row r="53" spans="1:1">
      <c r="A53" s="1089"/>
    </row>
    <row r="54" spans="1:1">
      <c r="A54" s="1089"/>
    </row>
    <row r="55" spans="1:1">
      <c r="A55" s="1089"/>
    </row>
    <row r="56" spans="1:1">
      <c r="A56" s="1089"/>
    </row>
    <row r="57" spans="1:1">
      <c r="A57" s="1089"/>
    </row>
    <row r="58" spans="1:1">
      <c r="A58" s="1089"/>
    </row>
    <row r="59" spans="1:1">
      <c r="A59" s="1089"/>
    </row>
    <row r="60" spans="1:1">
      <c r="A60" s="1089"/>
    </row>
    <row r="61" spans="1:1">
      <c r="A61" s="1089"/>
    </row>
    <row r="62" spans="1:1">
      <c r="A62" s="1089"/>
    </row>
    <row r="63" spans="1:1">
      <c r="A63" s="1089"/>
    </row>
    <row r="64" spans="1:1">
      <c r="A64" s="1089"/>
    </row>
    <row r="65" spans="1:1">
      <c r="A65" s="1089"/>
    </row>
    <row r="66" spans="1:1">
      <c r="A66" s="1089"/>
    </row>
    <row r="67" spans="1:1">
      <c r="A67" s="1089"/>
    </row>
    <row r="68" spans="1:1">
      <c r="A68" s="1089"/>
    </row>
    <row r="69" spans="1:1">
      <c r="A69" s="1089"/>
    </row>
    <row r="70" spans="1:1">
      <c r="A70" s="1089"/>
    </row>
    <row r="71" spans="1:1">
      <c r="A71" s="1089"/>
    </row>
    <row r="72" spans="1:1">
      <c r="A72" s="1089"/>
    </row>
    <row r="73" spans="1:1">
      <c r="A73" s="1089"/>
    </row>
    <row r="74" spans="1:1">
      <c r="A74" s="1089"/>
    </row>
    <row r="75" spans="1:1">
      <c r="A75" s="1089"/>
    </row>
    <row r="76" spans="1:1">
      <c r="A76" s="1089"/>
    </row>
    <row r="77" spans="1:1">
      <c r="A77" s="1089"/>
    </row>
    <row r="78" spans="1:1">
      <c r="A78" s="1089"/>
    </row>
    <row r="79" spans="1:1">
      <c r="A79" s="1089"/>
    </row>
    <row r="80" spans="1:1">
      <c r="A80" s="1089"/>
    </row>
    <row r="81" spans="1:1">
      <c r="A81" s="1089"/>
    </row>
    <row r="82" spans="1:1">
      <c r="A82" s="1089"/>
    </row>
    <row r="83" spans="1:1">
      <c r="A83" s="1089"/>
    </row>
    <row r="84" spans="1:1">
      <c r="A84" s="1089"/>
    </row>
    <row r="85" spans="1:1">
      <c r="A85" s="1089"/>
    </row>
    <row r="86" spans="1:1">
      <c r="A86" s="1089"/>
    </row>
    <row r="87" spans="1:1">
      <c r="A87" s="1090"/>
    </row>
    <row r="88" spans="1:1">
      <c r="A88" s="1090"/>
    </row>
    <row r="89" spans="1:1">
      <c r="A89" s="1090"/>
    </row>
    <row r="90" spans="1:1">
      <c r="A90" s="1090"/>
    </row>
  </sheetData>
  <mergeCells count="6">
    <mergeCell ref="AR2:AU2"/>
    <mergeCell ref="AJ2:AP2"/>
    <mergeCell ref="J2:AI2"/>
    <mergeCell ref="B2:I2"/>
    <mergeCell ref="AJ3:AP3"/>
    <mergeCell ref="AQ3:AU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1" zoomScaleNormal="61" zoomScaleSheetLayoutView="61" zoomScalePageLayoutView="70" workbookViewId="0">
      <selection activeCell="A21" sqref="A21:C21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8" customWidth="1"/>
    <col min="5" max="5" width="30" style="761" customWidth="1"/>
    <col min="6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5" s="281" customFormat="1" ht="27">
      <c r="A2" s="576" t="s">
        <v>279</v>
      </c>
      <c r="B2" s="1038">
        <v>44256</v>
      </c>
      <c r="C2" s="1315" t="s">
        <v>69</v>
      </c>
      <c r="D2" s="612">
        <v>0.47</v>
      </c>
      <c r="E2" s="74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315" t="s">
        <v>120</v>
      </c>
      <c r="D3" s="613">
        <v>25</v>
      </c>
      <c r="E3" s="1432" t="s">
        <v>121</v>
      </c>
      <c r="F3" s="1433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315" t="s">
        <v>122</v>
      </c>
      <c r="D4" s="612">
        <v>0.8</v>
      </c>
      <c r="E4" s="463"/>
      <c r="F4" s="464"/>
      <c r="G4" s="464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26" t="s">
        <v>130</v>
      </c>
      <c r="B6" s="1427"/>
      <c r="C6" s="1428"/>
      <c r="D6" s="471"/>
      <c r="E6" s="495"/>
      <c r="F6" s="471"/>
      <c r="G6" s="471"/>
      <c r="H6" s="472"/>
      <c r="I6" s="472"/>
      <c r="J6" s="552"/>
      <c r="K6" s="427"/>
      <c r="L6" s="377"/>
    </row>
    <row r="7" spans="1:15" ht="30" thickBot="1">
      <c r="A7" s="579" t="s">
        <v>131</v>
      </c>
      <c r="B7" s="580"/>
      <c r="C7" s="580"/>
      <c r="D7" s="523" t="s">
        <v>132</v>
      </c>
      <c r="E7" s="460">
        <v>4445077</v>
      </c>
      <c r="F7" s="455">
        <v>4467474</v>
      </c>
      <c r="G7" s="473">
        <f>F7-E7</f>
        <v>22397</v>
      </c>
      <c r="H7" s="460">
        <f>G7</f>
        <v>22397</v>
      </c>
      <c r="I7" s="474">
        <v>12000</v>
      </c>
      <c r="J7" s="553">
        <f>H7/DAY(B2)</f>
        <v>22397</v>
      </c>
      <c r="K7" s="550"/>
      <c r="L7" s="377"/>
      <c r="N7" s="382"/>
      <c r="O7" s="382"/>
    </row>
    <row r="8" spans="1:15" ht="27.75" thickBot="1">
      <c r="A8" s="581" t="s">
        <v>133</v>
      </c>
      <c r="B8" s="582"/>
      <c r="C8" s="583"/>
      <c r="D8" s="618" t="s">
        <v>25</v>
      </c>
      <c r="E8" s="742">
        <v>4473156</v>
      </c>
      <c r="F8" s="475">
        <v>4495710</v>
      </c>
      <c r="G8" s="476">
        <f>F8-E8</f>
        <v>22554</v>
      </c>
      <c r="H8" s="460">
        <f>G8</f>
        <v>22554</v>
      </c>
      <c r="I8" s="477">
        <v>12000</v>
      </c>
      <c r="J8" s="553">
        <f>H8/DAY(B2)</f>
        <v>22554</v>
      </c>
      <c r="K8" s="550"/>
      <c r="L8" s="425"/>
      <c r="M8" s="440"/>
      <c r="N8" s="382"/>
      <c r="O8" s="382"/>
    </row>
    <row r="9" spans="1:15">
      <c r="A9" s="584" t="s">
        <v>134</v>
      </c>
      <c r="B9" s="585"/>
      <c r="C9" s="585"/>
      <c r="D9" s="523" t="s">
        <v>132</v>
      </c>
      <c r="E9" s="743">
        <v>86909.01</v>
      </c>
      <c r="F9" s="478">
        <v>101235.16</v>
      </c>
      <c r="G9" s="473">
        <f>F9-E9</f>
        <v>14326.150000000009</v>
      </c>
      <c r="H9" s="460">
        <f t="shared" ref="H9:H13" si="0">G9</f>
        <v>14326.150000000009</v>
      </c>
      <c r="I9" s="479">
        <f>I8-J8</f>
        <v>-10554</v>
      </c>
      <c r="J9" s="553">
        <f>H9/DAY(B2)</f>
        <v>14326.150000000009</v>
      </c>
      <c r="K9" s="428"/>
      <c r="L9" s="377"/>
      <c r="N9" s="382"/>
      <c r="O9" s="382"/>
    </row>
    <row r="10" spans="1:15">
      <c r="A10" s="579" t="s">
        <v>135</v>
      </c>
      <c r="B10" s="580"/>
      <c r="C10" s="580"/>
      <c r="D10" s="523" t="s">
        <v>132</v>
      </c>
      <c r="E10" s="743">
        <v>25695.56</v>
      </c>
      <c r="F10" s="478">
        <v>33103.08</v>
      </c>
      <c r="G10" s="473">
        <f t="shared" ref="G10:G11" si="1">F10-E10</f>
        <v>7407.52</v>
      </c>
      <c r="H10" s="460">
        <f t="shared" si="0"/>
        <v>7407.52</v>
      </c>
      <c r="I10" s="480"/>
      <c r="J10" s="553">
        <f>H10/DAY(B2)</f>
        <v>7407.52</v>
      </c>
      <c r="K10" s="428"/>
      <c r="L10" s="377"/>
      <c r="N10" s="382"/>
      <c r="O10" s="382"/>
    </row>
    <row r="11" spans="1:15">
      <c r="A11" s="579" t="s">
        <v>136</v>
      </c>
      <c r="B11" s="580"/>
      <c r="C11" s="580"/>
      <c r="D11" s="523" t="s">
        <v>132</v>
      </c>
      <c r="E11" s="460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>
      <c r="A12" s="579" t="s">
        <v>137</v>
      </c>
      <c r="B12" s="580"/>
      <c r="C12" s="580"/>
      <c r="D12" s="523" t="s">
        <v>132</v>
      </c>
      <c r="E12" s="743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>
      <c r="A13" s="586" t="s">
        <v>138</v>
      </c>
      <c r="B13" s="587"/>
      <c r="C13" s="587"/>
      <c r="D13" s="523"/>
      <c r="E13" s="460"/>
      <c r="F13" s="455"/>
      <c r="G13" s="481">
        <f>G9+G10+G11+G12</f>
        <v>21733.670000000009</v>
      </c>
      <c r="H13" s="460">
        <f t="shared" si="0"/>
        <v>21733.670000000009</v>
      </c>
      <c r="I13" s="482">
        <f>G7-G13</f>
        <v>663.32999999999083</v>
      </c>
      <c r="J13" s="553">
        <f>H13/DAY(B2)</f>
        <v>21733.670000000009</v>
      </c>
      <c r="K13" s="428"/>
      <c r="L13" s="377"/>
      <c r="N13" s="382"/>
      <c r="O13" s="382"/>
    </row>
    <row r="14" spans="1:15">
      <c r="A14" s="1429" t="s">
        <v>139</v>
      </c>
      <c r="B14" s="1430"/>
      <c r="C14" s="1431"/>
      <c r="D14" s="472"/>
      <c r="E14" s="744"/>
      <c r="F14" s="472"/>
      <c r="G14" s="483"/>
      <c r="H14" s="472"/>
      <c r="I14" s="472"/>
      <c r="J14" s="552"/>
      <c r="K14" s="429"/>
      <c r="L14" s="377"/>
      <c r="N14" s="382"/>
      <c r="O14" s="382"/>
    </row>
    <row r="15" spans="1:15">
      <c r="A15" s="1313" t="s">
        <v>140</v>
      </c>
      <c r="B15" s="590"/>
      <c r="C15" s="590"/>
      <c r="D15" s="523" t="s">
        <v>141</v>
      </c>
      <c r="E15" s="745">
        <v>1619878.61</v>
      </c>
      <c r="F15" s="484">
        <v>1620759.2420000001</v>
      </c>
      <c r="G15" s="785">
        <f>(F15-E15)</f>
        <v>880.63199999998324</v>
      </c>
      <c r="H15" s="460">
        <f>G15</f>
        <v>880.63199999998324</v>
      </c>
      <c r="I15" s="474">
        <v>800</v>
      </c>
      <c r="J15" s="553">
        <f>H15/DAY(B2)</f>
        <v>880.63199999998324</v>
      </c>
      <c r="K15" s="428"/>
      <c r="L15" s="377"/>
      <c r="N15" s="382"/>
      <c r="O15" s="726"/>
    </row>
    <row r="16" spans="1:15">
      <c r="A16" s="588"/>
      <c r="B16" s="589"/>
      <c r="C16" s="589"/>
      <c r="D16" s="524"/>
      <c r="E16" s="745"/>
      <c r="F16" s="485"/>
      <c r="G16" s="473"/>
      <c r="H16" s="486"/>
      <c r="I16" s="487">
        <f>I15-J15</f>
        <v>-80.631999999983236</v>
      </c>
      <c r="J16" s="554"/>
      <c r="K16" s="428"/>
      <c r="L16" s="377"/>
      <c r="N16" s="382"/>
      <c r="O16" s="382"/>
    </row>
    <row r="17" spans="1:15">
      <c r="A17" s="1429" t="s">
        <v>142</v>
      </c>
      <c r="B17" s="1430"/>
      <c r="C17" s="1431"/>
      <c r="D17" s="472"/>
      <c r="E17" s="744"/>
      <c r="F17" s="472"/>
      <c r="G17" s="488"/>
      <c r="H17" s="472"/>
      <c r="I17" s="472"/>
      <c r="J17" s="552"/>
      <c r="K17" s="428"/>
      <c r="L17" s="377"/>
      <c r="N17" s="382"/>
      <c r="O17" s="382"/>
    </row>
    <row r="18" spans="1:15" ht="27.75">
      <c r="A18" s="1411" t="s">
        <v>143</v>
      </c>
      <c r="B18" s="1412"/>
      <c r="C18" s="1413"/>
      <c r="D18" s="523" t="s">
        <v>144</v>
      </c>
      <c r="E18" s="743">
        <v>17</v>
      </c>
      <c r="F18" s="484">
        <v>18</v>
      </c>
      <c r="G18" s="481">
        <f>F18*10</f>
        <v>180</v>
      </c>
      <c r="H18" s="460">
        <f>G18</f>
        <v>180</v>
      </c>
      <c r="I18" s="474">
        <v>65</v>
      </c>
      <c r="J18" s="553">
        <f>H18/DAY(B2)</f>
        <v>180</v>
      </c>
      <c r="K18" s="428"/>
      <c r="L18" s="377"/>
      <c r="N18" s="382"/>
      <c r="O18" s="382"/>
    </row>
    <row r="19" spans="1:15" ht="27.75">
      <c r="A19" s="1411" t="s">
        <v>71</v>
      </c>
      <c r="B19" s="1412"/>
      <c r="C19" s="1413"/>
      <c r="D19" s="523" t="s">
        <v>144</v>
      </c>
      <c r="E19" s="743">
        <v>134468</v>
      </c>
      <c r="F19" s="484">
        <v>134516</v>
      </c>
      <c r="G19" s="473">
        <f t="shared" ref="G19" si="2">F19-E19</f>
        <v>48</v>
      </c>
      <c r="H19" s="460">
        <f t="shared" ref="H19" si="3">G19</f>
        <v>48</v>
      </c>
      <c r="I19" s="489"/>
      <c r="J19" s="553">
        <f>H19/DAY(B2)</f>
        <v>48</v>
      </c>
      <c r="K19" s="428"/>
      <c r="L19" s="377"/>
      <c r="N19" s="382"/>
      <c r="O19" s="382"/>
    </row>
    <row r="20" spans="1:15">
      <c r="A20" s="586" t="s">
        <v>145</v>
      </c>
      <c r="B20" s="587"/>
      <c r="C20" s="587"/>
      <c r="D20" s="490"/>
      <c r="E20" s="460"/>
      <c r="F20" s="490"/>
      <c r="G20" s="491">
        <f>G18+G19</f>
        <v>228</v>
      </c>
      <c r="H20" s="460">
        <f>G20</f>
        <v>228</v>
      </c>
      <c r="I20" s="492">
        <f>I18-J20</f>
        <v>-163</v>
      </c>
      <c r="J20" s="553">
        <f>H20/DAY(B2)</f>
        <v>228</v>
      </c>
      <c r="K20" s="428"/>
      <c r="L20" s="377"/>
      <c r="N20" s="382"/>
      <c r="O20" s="382"/>
    </row>
    <row r="21" spans="1:15">
      <c r="A21" s="1429" t="s">
        <v>146</v>
      </c>
      <c r="B21" s="1430"/>
      <c r="C21" s="1431"/>
      <c r="D21" s="472"/>
      <c r="E21" s="744"/>
      <c r="F21" s="472"/>
      <c r="G21" s="483"/>
      <c r="H21" s="472"/>
      <c r="I21" s="472"/>
      <c r="J21" s="552"/>
      <c r="K21" s="428"/>
      <c r="L21" s="377"/>
      <c r="N21" s="382"/>
      <c r="O21" s="382"/>
    </row>
    <row r="22" spans="1:15">
      <c r="A22" s="1313" t="s">
        <v>147</v>
      </c>
      <c r="B22" s="590"/>
      <c r="C22" s="590"/>
      <c r="D22" s="523" t="s">
        <v>148</v>
      </c>
      <c r="E22" s="743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>
      <c r="A23" s="1313" t="s">
        <v>149</v>
      </c>
      <c r="B23" s="590"/>
      <c r="C23" s="590"/>
      <c r="D23" s="523" t="s">
        <v>148</v>
      </c>
      <c r="E23" s="743">
        <v>1900</v>
      </c>
      <c r="F23" s="484">
        <v>1900</v>
      </c>
      <c r="G23" s="481">
        <f>(F23-E23)</f>
        <v>0</v>
      </c>
      <c r="H23" s="460">
        <f t="shared" ref="H23:H24" si="4">G23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>
      <c r="A24" s="591" t="s">
        <v>150</v>
      </c>
      <c r="B24" s="592"/>
      <c r="C24" s="592"/>
      <c r="D24" s="511" t="s">
        <v>148</v>
      </c>
      <c r="E24" s="746">
        <v>4970</v>
      </c>
      <c r="F24" s="493">
        <v>4250</v>
      </c>
      <c r="G24" s="481">
        <f>SUM(G22:G23)</f>
        <v>0</v>
      </c>
      <c r="H24" s="460">
        <f t="shared" si="4"/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>
      <c r="A25" s="1434" t="s">
        <v>151</v>
      </c>
      <c r="B25" s="1435"/>
      <c r="C25" s="1436"/>
      <c r="D25" s="471"/>
      <c r="E25" s="495"/>
      <c r="F25" s="471"/>
      <c r="G25" s="494"/>
      <c r="H25" s="495"/>
      <c r="I25" s="496"/>
      <c r="J25" s="555"/>
      <c r="K25" s="373"/>
      <c r="L25" s="443"/>
      <c r="N25" s="444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60"/>
      <c r="F26" s="497"/>
      <c r="G26" s="498"/>
      <c r="H26" s="460"/>
      <c r="I26" s="499"/>
      <c r="J26" s="553"/>
      <c r="K26" s="374"/>
      <c r="L26" s="443"/>
      <c r="N26" s="444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1">
        <f>G8</f>
        <v>22554</v>
      </c>
      <c r="F27" s="501">
        <v>9</v>
      </c>
      <c r="G27" s="502">
        <f>E27*F27</f>
        <v>202986</v>
      </c>
      <c r="H27" s="460">
        <f>G27</f>
        <v>202986</v>
      </c>
      <c r="I27" s="503"/>
      <c r="J27" s="553">
        <f>H27/DAY(B2)</f>
        <v>202986</v>
      </c>
      <c r="K27" s="373"/>
      <c r="L27" s="443"/>
      <c r="N27" s="444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1">
        <f>G15</f>
        <v>880.63199999998324</v>
      </c>
      <c r="F28" s="501">
        <v>48.88</v>
      </c>
      <c r="G28" s="502">
        <f>E28*F28</f>
        <v>43045.292159999182</v>
      </c>
      <c r="H28" s="460">
        <f>G28</f>
        <v>43045.292159999182</v>
      </c>
      <c r="I28" s="505"/>
      <c r="J28" s="553">
        <f>H28/DAY(B2)</f>
        <v>43045.292159999182</v>
      </c>
      <c r="K28" s="373"/>
      <c r="L28" s="443"/>
      <c r="N28" s="444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704">
        <f>G18</f>
        <v>180</v>
      </c>
      <c r="F30" s="501">
        <v>134</v>
      </c>
      <c r="G30" s="502">
        <f>E30*F30</f>
        <v>24120</v>
      </c>
      <c r="H30" s="460">
        <f>G30</f>
        <v>24120</v>
      </c>
      <c r="I30" s="505"/>
      <c r="J30" s="553">
        <f>H30/DAY(B2)</f>
        <v>24120</v>
      </c>
      <c r="K30" s="373"/>
      <c r="L30" s="443"/>
      <c r="N30" s="444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704">
        <f>G19</f>
        <v>48</v>
      </c>
      <c r="F31" s="501">
        <v>80</v>
      </c>
      <c r="G31" s="502">
        <f>E31*F31</f>
        <v>3840</v>
      </c>
      <c r="H31" s="460">
        <f>G31</f>
        <v>3840</v>
      </c>
      <c r="I31" s="505"/>
      <c r="J31" s="553">
        <f>H31/DAY(B2)</f>
        <v>3840</v>
      </c>
      <c r="K31" s="373"/>
      <c r="L31" s="443"/>
      <c r="N31" s="444"/>
      <c r="O31" s="382"/>
    </row>
    <row r="32" spans="1:15" s="442" customFormat="1" ht="27.75">
      <c r="A32" s="596" t="s">
        <v>161</v>
      </c>
      <c r="B32" s="597"/>
      <c r="C32" s="598"/>
      <c r="D32" s="507"/>
      <c r="E32" s="486"/>
      <c r="F32" s="507"/>
      <c r="G32" s="508">
        <f>G27+G28+G29+G30+G31</f>
        <v>273991.2921599992</v>
      </c>
      <c r="H32" s="460">
        <f t="shared" ref="H32" si="5">G32</f>
        <v>273991.2921599992</v>
      </c>
      <c r="I32" s="509"/>
      <c r="J32" s="553">
        <f>H32/DAY(B2)</f>
        <v>273991.2921599992</v>
      </c>
      <c r="K32" s="373"/>
      <c r="L32" s="443"/>
      <c r="N32" s="444"/>
      <c r="O32" s="382"/>
    </row>
    <row r="33" spans="1:15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382"/>
      <c r="O33" s="382"/>
    </row>
    <row r="34" spans="1:15">
      <c r="A34" s="599" t="s">
        <v>163</v>
      </c>
      <c r="B34" s="1318"/>
      <c r="C34" s="1318"/>
      <c r="D34" s="472"/>
      <c r="E34" s="495"/>
      <c r="F34" s="471"/>
      <c r="G34" s="472"/>
      <c r="H34" s="472"/>
      <c r="I34" s="472"/>
      <c r="J34" s="552"/>
      <c r="K34" s="428"/>
      <c r="L34" s="377"/>
      <c r="N34" s="382"/>
      <c r="O34" s="382"/>
    </row>
    <row r="35" spans="1:15">
      <c r="A35" s="579" t="s">
        <v>164</v>
      </c>
      <c r="B35" s="580"/>
      <c r="C35" s="580"/>
      <c r="D35" s="523" t="s">
        <v>132</v>
      </c>
      <c r="E35" s="747">
        <v>693087.59</v>
      </c>
      <c r="F35" s="510">
        <v>696280.71</v>
      </c>
      <c r="G35" s="473">
        <f>F35-E35</f>
        <v>3193.1199999999953</v>
      </c>
      <c r="H35" s="460">
        <f>G35</f>
        <v>3193.1199999999953</v>
      </c>
      <c r="I35" s="455"/>
      <c r="J35" s="553">
        <f>H35/DAY(B2)</f>
        <v>3193.1199999999953</v>
      </c>
      <c r="K35" s="428"/>
      <c r="L35" s="377"/>
      <c r="N35" s="382"/>
      <c r="O35" s="629"/>
    </row>
    <row r="36" spans="1:15">
      <c r="A36" s="579" t="s">
        <v>165</v>
      </c>
      <c r="B36" s="580"/>
      <c r="C36" s="580"/>
      <c r="D36" s="523" t="s">
        <v>132</v>
      </c>
      <c r="E36" s="747">
        <v>296445.57</v>
      </c>
      <c r="F36" s="510">
        <v>297204.81</v>
      </c>
      <c r="G36" s="473">
        <f t="shared" ref="G36:G46" si="6">F36-E36</f>
        <v>759.23999999999069</v>
      </c>
      <c r="H36" s="460">
        <f t="shared" ref="H36:H47" si="7">G36</f>
        <v>759.23999999999069</v>
      </c>
      <c r="I36" s="455"/>
      <c r="J36" s="553">
        <f>H36/DAY(B2)</f>
        <v>759.23999999999069</v>
      </c>
      <c r="K36" s="428"/>
      <c r="L36" s="377"/>
      <c r="N36" s="382"/>
      <c r="O36" s="629"/>
    </row>
    <row r="37" spans="1:15">
      <c r="A37" s="579" t="s">
        <v>166</v>
      </c>
      <c r="B37" s="580"/>
      <c r="C37" s="580"/>
      <c r="D37" s="523" t="s">
        <v>132</v>
      </c>
      <c r="E37" s="747">
        <v>32062.1</v>
      </c>
      <c r="F37" s="510">
        <v>33512.550000000003</v>
      </c>
      <c r="G37" s="473">
        <f t="shared" si="6"/>
        <v>1450.4500000000044</v>
      </c>
      <c r="H37" s="460">
        <f t="shared" si="7"/>
        <v>1450.4500000000044</v>
      </c>
      <c r="I37" s="455"/>
      <c r="J37" s="553">
        <f>H37/DAY(B2)</f>
        <v>1450.4500000000044</v>
      </c>
      <c r="K37" s="428"/>
      <c r="L37" s="377"/>
      <c r="N37" s="382"/>
      <c r="O37" s="382"/>
    </row>
    <row r="38" spans="1:15">
      <c r="A38" s="579" t="s">
        <v>167</v>
      </c>
      <c r="B38" s="580"/>
      <c r="C38" s="580"/>
      <c r="D38" s="523" t="s">
        <v>132</v>
      </c>
      <c r="E38" s="470">
        <v>43813.49</v>
      </c>
      <c r="F38" s="469">
        <v>45953.91</v>
      </c>
      <c r="G38" s="473">
        <f t="shared" si="6"/>
        <v>2140.4200000000055</v>
      </c>
      <c r="H38" s="460">
        <f t="shared" si="7"/>
        <v>2140.4200000000055</v>
      </c>
      <c r="I38" s="455"/>
      <c r="J38" s="553">
        <f>H38/DAY(B2)</f>
        <v>2140.4200000000055</v>
      </c>
      <c r="K38" s="428"/>
      <c r="L38" s="377"/>
      <c r="N38" s="382"/>
      <c r="O38" s="382"/>
    </row>
    <row r="39" spans="1:15">
      <c r="A39" s="579" t="s">
        <v>168</v>
      </c>
      <c r="B39" s="580"/>
      <c r="C39" s="580"/>
      <c r="D39" s="523" t="s">
        <v>132</v>
      </c>
      <c r="E39" s="747">
        <v>90675.39</v>
      </c>
      <c r="F39" s="510">
        <v>95004.19</v>
      </c>
      <c r="G39" s="473">
        <f t="shared" si="6"/>
        <v>4328.8000000000029</v>
      </c>
      <c r="H39" s="460">
        <f t="shared" si="7"/>
        <v>4328.8000000000029</v>
      </c>
      <c r="I39" s="455"/>
      <c r="J39" s="553">
        <f>H39/DAY(B2)</f>
        <v>4328.8000000000029</v>
      </c>
      <c r="K39" s="428"/>
      <c r="L39" s="377"/>
      <c r="N39" s="382"/>
      <c r="O39" s="382"/>
    </row>
    <row r="40" spans="1:15">
      <c r="A40" s="600" t="s">
        <v>169</v>
      </c>
      <c r="B40" s="601"/>
      <c r="C40" s="601"/>
      <c r="D40" s="523" t="s">
        <v>132</v>
      </c>
      <c r="E40" s="747">
        <v>0</v>
      </c>
      <c r="F40" s="510">
        <v>0</v>
      </c>
      <c r="G40" s="473">
        <f t="shared" si="6"/>
        <v>0</v>
      </c>
      <c r="H40" s="460">
        <f t="shared" si="7"/>
        <v>0</v>
      </c>
      <c r="I40" s="455"/>
      <c r="J40" s="553">
        <f>H40/DAY(B2)</f>
        <v>0</v>
      </c>
      <c r="K40" s="429"/>
      <c r="L40" s="377"/>
      <c r="N40" s="382"/>
      <c r="O40" s="382"/>
    </row>
    <row r="41" spans="1:15">
      <c r="A41" s="579" t="s">
        <v>170</v>
      </c>
      <c r="B41" s="580"/>
      <c r="C41" s="580"/>
      <c r="D41" s="523" t="s">
        <v>132</v>
      </c>
      <c r="E41" s="747">
        <v>63882.37</v>
      </c>
      <c r="F41" s="510">
        <v>63882.37</v>
      </c>
      <c r="G41" s="473">
        <f t="shared" si="6"/>
        <v>0</v>
      </c>
      <c r="H41" s="460">
        <f t="shared" si="7"/>
        <v>0</v>
      </c>
      <c r="I41" s="455"/>
      <c r="J41" s="553">
        <f>H41/DAY(B2)</f>
        <v>0</v>
      </c>
      <c r="K41" s="428"/>
      <c r="L41" s="377"/>
      <c r="N41" s="382"/>
      <c r="O41" s="726"/>
    </row>
    <row r="42" spans="1:15">
      <c r="A42" s="579" t="s">
        <v>171</v>
      </c>
      <c r="B42" s="580"/>
      <c r="C42" s="580"/>
      <c r="D42" s="523" t="s">
        <v>132</v>
      </c>
      <c r="E42" s="747">
        <v>59128.85</v>
      </c>
      <c r="F42" s="510">
        <v>59128.85</v>
      </c>
      <c r="G42" s="473">
        <f t="shared" si="6"/>
        <v>0</v>
      </c>
      <c r="H42" s="460">
        <f t="shared" si="7"/>
        <v>0</v>
      </c>
      <c r="I42" s="455"/>
      <c r="J42" s="553">
        <f>H42/DAY(B2)</f>
        <v>0</v>
      </c>
      <c r="K42" s="428"/>
      <c r="L42" s="377"/>
      <c r="N42" s="382"/>
      <c r="O42" s="382"/>
    </row>
    <row r="43" spans="1:15">
      <c r="A43" s="579" t="s">
        <v>172</v>
      </c>
      <c r="B43" s="580"/>
      <c r="C43" s="580"/>
      <c r="D43" s="523" t="s">
        <v>132</v>
      </c>
      <c r="E43" s="747">
        <v>825897.83</v>
      </c>
      <c r="F43" s="510">
        <v>828353.19</v>
      </c>
      <c r="G43" s="473">
        <f t="shared" si="6"/>
        <v>2455.359999999986</v>
      </c>
      <c r="H43" s="460">
        <f t="shared" si="7"/>
        <v>2455.359999999986</v>
      </c>
      <c r="I43" s="455"/>
      <c r="J43" s="553">
        <f>H43/DAY(B2)</f>
        <v>2455.359999999986</v>
      </c>
      <c r="K43" s="428"/>
      <c r="L43" s="377"/>
      <c r="N43" s="382"/>
      <c r="O43" s="382"/>
    </row>
    <row r="44" spans="1:15">
      <c r="A44" s="579" t="s">
        <v>173</v>
      </c>
      <c r="B44" s="580"/>
      <c r="C44" s="580"/>
      <c r="D44" s="523" t="s">
        <v>132</v>
      </c>
      <c r="E44" s="747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3">
        <f>H44/DAY(B2)</f>
        <v>0</v>
      </c>
      <c r="K44" s="428"/>
      <c r="L44" s="377"/>
      <c r="N44" s="382"/>
      <c r="O44" s="382"/>
    </row>
    <row r="45" spans="1:15">
      <c r="A45" s="579" t="s">
        <v>174</v>
      </c>
      <c r="B45" s="580"/>
      <c r="C45" s="580"/>
      <c r="D45" s="523" t="s">
        <v>132</v>
      </c>
      <c r="E45" s="747">
        <v>614</v>
      </c>
      <c r="F45" s="510">
        <v>614.48</v>
      </c>
      <c r="G45" s="473">
        <f t="shared" si="6"/>
        <v>0.48000000000001819</v>
      </c>
      <c r="H45" s="460">
        <f t="shared" si="7"/>
        <v>0.48000000000001819</v>
      </c>
      <c r="I45" s="455"/>
      <c r="J45" s="553">
        <f>H45/DAY(B2)</f>
        <v>0.48000000000001819</v>
      </c>
      <c r="K45" s="428"/>
      <c r="L45" s="377"/>
      <c r="N45" s="382"/>
      <c r="O45" s="382"/>
    </row>
    <row r="46" spans="1:15">
      <c r="A46" s="579" t="s">
        <v>175</v>
      </c>
      <c r="B46" s="580"/>
      <c r="C46" s="580"/>
      <c r="D46" s="523" t="s">
        <v>132</v>
      </c>
      <c r="E46" s="747">
        <v>187</v>
      </c>
      <c r="F46" s="510">
        <v>187.49</v>
      </c>
      <c r="G46" s="473">
        <f t="shared" si="6"/>
        <v>0.49000000000000909</v>
      </c>
      <c r="H46" s="460">
        <f t="shared" si="7"/>
        <v>0.49000000000000909</v>
      </c>
      <c r="I46" s="455"/>
      <c r="J46" s="553">
        <f>H46/DAY(B2)</f>
        <v>0.49000000000000909</v>
      </c>
      <c r="K46" s="428"/>
      <c r="L46" s="377"/>
      <c r="N46" s="382"/>
      <c r="O46" s="382"/>
    </row>
    <row r="47" spans="1:15">
      <c r="A47" s="586" t="s">
        <v>176</v>
      </c>
      <c r="B47" s="587"/>
      <c r="C47" s="587"/>
      <c r="D47" s="470"/>
      <c r="E47" s="470"/>
      <c r="F47" s="511"/>
      <c r="G47" s="481">
        <f>G35+G36+G37+G38+G39+G40+G41+G42+G43+G44+G45+G46</f>
        <v>14328.359999999984</v>
      </c>
      <c r="H47" s="460">
        <f t="shared" si="7"/>
        <v>14328.359999999984</v>
      </c>
      <c r="I47" s="455"/>
      <c r="J47" s="553">
        <f>H47/DAY(B2)</f>
        <v>14328.359999999984</v>
      </c>
      <c r="K47" s="428"/>
      <c r="L47" s="377"/>
      <c r="N47" s="382"/>
      <c r="O47" s="382"/>
    </row>
    <row r="48" spans="1:15">
      <c r="A48" s="599" t="s">
        <v>177</v>
      </c>
      <c r="B48" s="1318"/>
      <c r="C48" s="1318"/>
      <c r="D48" s="472"/>
      <c r="E48" s="495"/>
      <c r="F48" s="471"/>
      <c r="G48" s="472"/>
      <c r="H48" s="472"/>
      <c r="I48" s="472"/>
      <c r="J48" s="552"/>
      <c r="K48" s="428"/>
      <c r="L48" s="377"/>
      <c r="N48" s="382"/>
      <c r="O48" s="382"/>
    </row>
    <row r="49" spans="1:15">
      <c r="A49" s="579" t="s">
        <v>164</v>
      </c>
      <c r="B49" s="602"/>
      <c r="C49" s="602"/>
      <c r="D49" s="523" t="s">
        <v>132</v>
      </c>
      <c r="E49" s="747">
        <v>260732.13</v>
      </c>
      <c r="F49" s="510">
        <v>260732.13</v>
      </c>
      <c r="G49" s="473">
        <f t="shared" ref="G49:G58" si="8">F49-E49</f>
        <v>0</v>
      </c>
      <c r="H49" s="460">
        <f>G49</f>
        <v>0</v>
      </c>
      <c r="I49" s="455"/>
      <c r="J49" s="553">
        <f>H49/DAY(B2)</f>
        <v>0</v>
      </c>
      <c r="K49" s="428"/>
      <c r="L49" s="377"/>
      <c r="N49" s="382"/>
      <c r="O49" s="382"/>
    </row>
    <row r="50" spans="1:15">
      <c r="A50" s="579" t="s">
        <v>178</v>
      </c>
      <c r="B50" s="602"/>
      <c r="C50" s="602"/>
      <c r="D50" s="523" t="s">
        <v>132</v>
      </c>
      <c r="E50" s="747">
        <v>402463.03</v>
      </c>
      <c r="F50" s="510">
        <v>404098.95</v>
      </c>
      <c r="G50" s="473">
        <f t="shared" si="8"/>
        <v>1635.9199999999837</v>
      </c>
      <c r="H50" s="460">
        <f t="shared" ref="H50:H60" si="9">G50</f>
        <v>1635.9199999999837</v>
      </c>
      <c r="I50" s="455"/>
      <c r="J50" s="553">
        <f>H50/DAY(B2)</f>
        <v>1635.9199999999837</v>
      </c>
      <c r="K50" s="428"/>
      <c r="L50" s="377"/>
      <c r="N50" s="382"/>
      <c r="O50" s="382"/>
    </row>
    <row r="51" spans="1:15">
      <c r="A51" s="579" t="s">
        <v>166</v>
      </c>
      <c r="B51" s="602"/>
      <c r="C51" s="602"/>
      <c r="D51" s="523" t="s">
        <v>132</v>
      </c>
      <c r="E51" s="747">
        <v>120050.92</v>
      </c>
      <c r="F51" s="510">
        <v>120050.92</v>
      </c>
      <c r="G51" s="473">
        <f t="shared" si="8"/>
        <v>0</v>
      </c>
      <c r="H51" s="460">
        <f t="shared" si="9"/>
        <v>0</v>
      </c>
      <c r="I51" s="455"/>
      <c r="J51" s="553">
        <f>H51/DAY(B2)</f>
        <v>0</v>
      </c>
      <c r="K51" s="428"/>
      <c r="L51" s="377"/>
      <c r="N51" s="382"/>
      <c r="O51" s="382"/>
    </row>
    <row r="52" spans="1:15">
      <c r="A52" s="579" t="s">
        <v>179</v>
      </c>
      <c r="B52" s="602"/>
      <c r="C52" s="602"/>
      <c r="D52" s="523" t="s">
        <v>132</v>
      </c>
      <c r="E52" s="747">
        <v>507912.71</v>
      </c>
      <c r="F52" s="510">
        <v>507912.71</v>
      </c>
      <c r="G52" s="473">
        <f t="shared" si="8"/>
        <v>0</v>
      </c>
      <c r="H52" s="460">
        <f t="shared" si="9"/>
        <v>0</v>
      </c>
      <c r="I52" s="455"/>
      <c r="J52" s="553">
        <f>H52/DAY(B2)</f>
        <v>0</v>
      </c>
      <c r="K52" s="428"/>
      <c r="L52" s="377"/>
      <c r="N52" s="382"/>
      <c r="O52" s="726"/>
    </row>
    <row r="53" spans="1:15">
      <c r="A53" s="579" t="s">
        <v>168</v>
      </c>
      <c r="B53" s="602"/>
      <c r="C53" s="602"/>
      <c r="D53" s="523" t="s">
        <v>132</v>
      </c>
      <c r="E53" s="747">
        <v>331854.51</v>
      </c>
      <c r="F53" s="510">
        <v>331854.51</v>
      </c>
      <c r="G53" s="473">
        <f t="shared" si="8"/>
        <v>0</v>
      </c>
      <c r="H53" s="460">
        <f t="shared" si="9"/>
        <v>0</v>
      </c>
      <c r="I53" s="455"/>
      <c r="J53" s="553">
        <f>H53/DAY(B2)</f>
        <v>0</v>
      </c>
      <c r="K53" s="428"/>
      <c r="L53" s="377"/>
      <c r="N53" s="382"/>
      <c r="O53" s="382"/>
    </row>
    <row r="54" spans="1:15">
      <c r="A54" s="579" t="s">
        <v>180</v>
      </c>
      <c r="B54" s="602"/>
      <c r="C54" s="602"/>
      <c r="D54" s="523" t="s">
        <v>132</v>
      </c>
      <c r="E54" s="747">
        <v>8095.63</v>
      </c>
      <c r="F54" s="510">
        <v>8163.82</v>
      </c>
      <c r="G54" s="473">
        <f t="shared" si="8"/>
        <v>68.1899999999996</v>
      </c>
      <c r="H54" s="460">
        <f t="shared" si="9"/>
        <v>68.1899999999996</v>
      </c>
      <c r="I54" s="455"/>
      <c r="J54" s="553">
        <f>H54/DAY(B2)</f>
        <v>68.1899999999996</v>
      </c>
      <c r="K54" s="428"/>
      <c r="L54" s="377"/>
      <c r="N54" s="382"/>
      <c r="O54" s="382"/>
    </row>
    <row r="55" spans="1:15">
      <c r="A55" s="579" t="s">
        <v>181</v>
      </c>
      <c r="B55" s="602"/>
      <c r="C55" s="602"/>
      <c r="D55" s="523" t="s">
        <v>132</v>
      </c>
      <c r="E55" s="748">
        <v>117585.69</v>
      </c>
      <c r="F55" s="510">
        <v>122678.46</v>
      </c>
      <c r="G55" s="473">
        <f t="shared" si="8"/>
        <v>5092.7700000000041</v>
      </c>
      <c r="H55" s="460">
        <f t="shared" si="9"/>
        <v>5092.7700000000041</v>
      </c>
      <c r="I55" s="455"/>
      <c r="J55" s="553">
        <f>H55/DAY(B2)</f>
        <v>5092.7700000000041</v>
      </c>
      <c r="K55" s="428"/>
      <c r="L55" s="377"/>
      <c r="N55" s="382"/>
      <c r="O55" s="382"/>
    </row>
    <row r="56" spans="1:15">
      <c r="A56" s="579" t="s">
        <v>182</v>
      </c>
      <c r="B56" s="602"/>
      <c r="C56" s="602"/>
      <c r="D56" s="523" t="s">
        <v>183</v>
      </c>
      <c r="E56" s="748">
        <v>586051.03</v>
      </c>
      <c r="F56" s="510">
        <v>586707.91</v>
      </c>
      <c r="G56" s="473">
        <f t="shared" si="8"/>
        <v>656.88000000000466</v>
      </c>
      <c r="H56" s="460">
        <f t="shared" si="9"/>
        <v>656.88000000000466</v>
      </c>
      <c r="I56" s="455"/>
      <c r="J56" s="553">
        <f>H56/DAY(B2)</f>
        <v>656.88000000000466</v>
      </c>
      <c r="K56" s="427"/>
      <c r="L56" s="377"/>
      <c r="N56" s="382"/>
      <c r="O56" s="382"/>
    </row>
    <row r="57" spans="1:15">
      <c r="A57" s="579" t="s">
        <v>172</v>
      </c>
      <c r="B57" s="602"/>
      <c r="C57" s="602"/>
      <c r="D57" s="523" t="s">
        <v>132</v>
      </c>
      <c r="E57" s="747">
        <v>7711.33</v>
      </c>
      <c r="F57" s="510">
        <v>7711.33</v>
      </c>
      <c r="G57" s="473">
        <f t="shared" si="8"/>
        <v>0</v>
      </c>
      <c r="H57" s="460">
        <f t="shared" si="9"/>
        <v>0</v>
      </c>
      <c r="I57" s="455"/>
      <c r="J57" s="553">
        <f>H57/DAY(B2)</f>
        <v>0</v>
      </c>
      <c r="K57" s="428"/>
      <c r="L57" s="377"/>
      <c r="N57" s="382"/>
      <c r="O57" s="382"/>
    </row>
    <row r="58" spans="1:15">
      <c r="A58" s="579" t="s">
        <v>184</v>
      </c>
      <c r="B58" s="602"/>
      <c r="C58" s="602"/>
      <c r="D58" s="523" t="s">
        <v>132</v>
      </c>
      <c r="E58" s="1240">
        <v>35868.699999999997</v>
      </c>
      <c r="F58" s="510">
        <v>36099.440000000002</v>
      </c>
      <c r="G58" s="473">
        <f t="shared" si="8"/>
        <v>230.74000000000524</v>
      </c>
      <c r="H58" s="460">
        <f t="shared" si="9"/>
        <v>230.74000000000524</v>
      </c>
      <c r="I58" s="455"/>
      <c r="J58" s="553">
        <f>H58/DAY(B2)</f>
        <v>230.74000000000524</v>
      </c>
      <c r="K58" s="428"/>
      <c r="L58" s="377"/>
      <c r="N58" s="382"/>
      <c r="O58" s="382"/>
    </row>
    <row r="59" spans="1:15">
      <c r="A59" s="586" t="s">
        <v>176</v>
      </c>
      <c r="B59" s="587"/>
      <c r="C59" s="587"/>
      <c r="D59" s="511"/>
      <c r="E59" s="470"/>
      <c r="F59" s="511"/>
      <c r="G59" s="481">
        <f>G49+G50+G51+G52+G53+G54+G55+G56+G57+G58</f>
        <v>7684.4999999999973</v>
      </c>
      <c r="H59" s="460">
        <f t="shared" si="9"/>
        <v>7684.4999999999973</v>
      </c>
      <c r="I59" s="455">
        <f>G7-G60</f>
        <v>384.14000000001761</v>
      </c>
      <c r="J59" s="553">
        <f>H59/DAY(B2)</f>
        <v>7684.4999999999973</v>
      </c>
      <c r="K59" s="428"/>
      <c r="L59" s="377"/>
      <c r="N59" s="382"/>
      <c r="O59" s="382"/>
    </row>
    <row r="60" spans="1:15">
      <c r="A60" s="579"/>
      <c r="B60" s="580"/>
      <c r="C60" s="580"/>
      <c r="D60" s="511" t="s">
        <v>185</v>
      </c>
      <c r="E60" s="470"/>
      <c r="F60" s="511"/>
      <c r="G60" s="481">
        <f>G47+G59</f>
        <v>22012.859999999982</v>
      </c>
      <c r="H60" s="460">
        <f t="shared" si="9"/>
        <v>22012.859999999982</v>
      </c>
      <c r="I60" s="455">
        <f>G13-G60</f>
        <v>-279.18999999997322</v>
      </c>
      <c r="J60" s="553">
        <f>H60/DAY(B2)</f>
        <v>22012.859999999982</v>
      </c>
      <c r="K60" s="428"/>
      <c r="L60" s="377"/>
      <c r="N60" s="382"/>
      <c r="O60" s="382"/>
    </row>
    <row r="61" spans="1:15">
      <c r="A61" s="603" t="s">
        <v>186</v>
      </c>
      <c r="B61" s="453"/>
      <c r="C61" s="453"/>
      <c r="D61" s="513"/>
      <c r="E61" s="749"/>
      <c r="F61" s="512"/>
      <c r="G61" s="513"/>
      <c r="H61" s="513"/>
      <c r="I61" s="513"/>
      <c r="J61" s="556"/>
      <c r="K61" s="428"/>
      <c r="L61" s="377"/>
      <c r="N61" s="382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v>20419.187000000002</v>
      </c>
      <c r="F62" s="514">
        <v>20419.188999999998</v>
      </c>
      <c r="G62" s="473">
        <f t="shared" ref="G62:G69" si="10">F62-E62</f>
        <v>1.9999999967694748E-3</v>
      </c>
      <c r="H62" s="460">
        <f>G62</f>
        <v>1.9999999967694748E-3</v>
      </c>
      <c r="I62" s="515"/>
      <c r="J62" s="553">
        <f>H62/DAY(B2)</f>
        <v>1.9999999967694748E-3</v>
      </c>
      <c r="K62" s="428"/>
      <c r="L62" s="377"/>
      <c r="N62" s="382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v>1707.36</v>
      </c>
      <c r="F63" s="514">
        <v>1721.57</v>
      </c>
      <c r="G63" s="473">
        <f t="shared" si="10"/>
        <v>14.210000000000036</v>
      </c>
      <c r="H63" s="460">
        <f t="shared" ref="H63:H70" si="11">G63</f>
        <v>14.210000000000036</v>
      </c>
      <c r="I63" s="515"/>
      <c r="J63" s="553">
        <f>H63/DAY(B2)</f>
        <v>14.210000000000036</v>
      </c>
      <c r="K63" s="428"/>
      <c r="L63" s="377"/>
      <c r="N63" s="382"/>
      <c r="O63" s="382"/>
    </row>
    <row r="64" spans="1:15" ht="27.75">
      <c r="A64" s="1408" t="s">
        <v>99</v>
      </c>
      <c r="B64" s="1409"/>
      <c r="C64" s="1410"/>
      <c r="D64" s="523" t="s">
        <v>187</v>
      </c>
      <c r="E64" s="743">
        <v>123627.3</v>
      </c>
      <c r="F64" s="484">
        <v>124127.85</v>
      </c>
      <c r="G64" s="473">
        <f t="shared" si="10"/>
        <v>500.55000000000291</v>
      </c>
      <c r="H64" s="460">
        <f t="shared" si="11"/>
        <v>500.55000000000291</v>
      </c>
      <c r="I64" s="480"/>
      <c r="J64" s="553">
        <f>H64/DAY(B2)</f>
        <v>500.55000000000291</v>
      </c>
      <c r="K64" s="428"/>
      <c r="L64" s="377"/>
      <c r="N64" s="382"/>
      <c r="O64" s="382"/>
    </row>
    <row r="65" spans="1:15" ht="27.75">
      <c r="A65" s="1408" t="s">
        <v>100</v>
      </c>
      <c r="B65" s="1409"/>
      <c r="C65" s="1410"/>
      <c r="D65" s="523" t="s">
        <v>187</v>
      </c>
      <c r="E65" s="750">
        <v>132597.29999999999</v>
      </c>
      <c r="F65" s="484">
        <v>132996.35999999999</v>
      </c>
      <c r="G65" s="473">
        <f t="shared" si="10"/>
        <v>399.05999999999767</v>
      </c>
      <c r="H65" s="460">
        <f t="shared" si="11"/>
        <v>399.05999999999767</v>
      </c>
      <c r="I65" s="489"/>
      <c r="J65" s="553">
        <f>H65/DAY(B2)</f>
        <v>399.05999999999767</v>
      </c>
      <c r="K65" s="428"/>
      <c r="L65" s="377"/>
      <c r="N65" s="382"/>
      <c r="O65" s="382"/>
    </row>
    <row r="66" spans="1:15" ht="27.75">
      <c r="A66" s="1408" t="s">
        <v>101</v>
      </c>
      <c r="B66" s="1409"/>
      <c r="C66" s="1410"/>
      <c r="D66" s="523" t="s">
        <v>187</v>
      </c>
      <c r="E66" s="743">
        <v>25159.75</v>
      </c>
      <c r="F66" s="484">
        <v>25566.36</v>
      </c>
      <c r="G66" s="473">
        <f t="shared" si="10"/>
        <v>406.61000000000058</v>
      </c>
      <c r="H66" s="460">
        <f t="shared" si="11"/>
        <v>406.61000000000058</v>
      </c>
      <c r="I66" s="480"/>
      <c r="J66" s="553">
        <f>H66/DAY(B2)</f>
        <v>406.61000000000058</v>
      </c>
      <c r="K66" s="428"/>
      <c r="L66" s="377"/>
      <c r="N66" s="382"/>
      <c r="O66" s="382"/>
    </row>
    <row r="67" spans="1:15" ht="27.75">
      <c r="A67" s="1408" t="s">
        <v>102</v>
      </c>
      <c r="B67" s="1409"/>
      <c r="C67" s="1410"/>
      <c r="D67" s="523" t="s">
        <v>187</v>
      </c>
      <c r="E67" s="743">
        <v>207841.83</v>
      </c>
      <c r="F67" s="484">
        <v>208546.07</v>
      </c>
      <c r="G67" s="473">
        <f t="shared" si="10"/>
        <v>704.24000000001979</v>
      </c>
      <c r="H67" s="460">
        <f t="shared" si="11"/>
        <v>704.24000000001979</v>
      </c>
      <c r="I67" s="489"/>
      <c r="J67" s="553">
        <f>H67/DAY(B2)</f>
        <v>704.24000000001979</v>
      </c>
      <c r="K67" s="429"/>
      <c r="L67" s="377"/>
      <c r="N67" s="382"/>
      <c r="O67" s="382"/>
    </row>
    <row r="68" spans="1:15" ht="27.75">
      <c r="A68" s="1408" t="s">
        <v>103</v>
      </c>
      <c r="B68" s="1409"/>
      <c r="C68" s="1410"/>
      <c r="D68" s="523" t="s">
        <v>187</v>
      </c>
      <c r="E68" s="743">
        <v>72678.52</v>
      </c>
      <c r="F68" s="484">
        <v>73027.42</v>
      </c>
      <c r="G68" s="473">
        <f t="shared" si="10"/>
        <v>348.89999999999418</v>
      </c>
      <c r="H68" s="460">
        <f t="shared" si="11"/>
        <v>348.89999999999418</v>
      </c>
      <c r="I68" s="516"/>
      <c r="J68" s="553">
        <f>H68/DAY(B2)</f>
        <v>348.89999999999418</v>
      </c>
      <c r="K68" s="430"/>
      <c r="L68" s="377"/>
      <c r="N68" s="382"/>
      <c r="O68" s="382"/>
    </row>
    <row r="69" spans="1:15" ht="27.75">
      <c r="A69" s="1408" t="s">
        <v>104</v>
      </c>
      <c r="B69" s="1409"/>
      <c r="C69" s="1410"/>
      <c r="D69" s="523" t="s">
        <v>187</v>
      </c>
      <c r="E69" s="743">
        <v>64452.09</v>
      </c>
      <c r="F69" s="484">
        <v>64776.091</v>
      </c>
      <c r="G69" s="473">
        <f t="shared" si="10"/>
        <v>324.00100000000384</v>
      </c>
      <c r="H69" s="460">
        <f t="shared" si="11"/>
        <v>324.00100000000384</v>
      </c>
      <c r="I69" s="516"/>
      <c r="J69" s="553">
        <f>H69/DAY(B2)</f>
        <v>324.00100000000384</v>
      </c>
      <c r="K69" s="431"/>
      <c r="L69" s="377"/>
      <c r="N69" s="382"/>
      <c r="O69" s="382"/>
    </row>
    <row r="70" spans="1:15" ht="27.75">
      <c r="A70" s="1440" t="s">
        <v>189</v>
      </c>
      <c r="B70" s="1441"/>
      <c r="C70" s="1442"/>
      <c r="D70" s="523" t="s">
        <v>187</v>
      </c>
      <c r="E70" s="751"/>
      <c r="F70" s="518"/>
      <c r="G70" s="518"/>
      <c r="H70" s="460">
        <f t="shared" si="11"/>
        <v>0</v>
      </c>
      <c r="I70" s="518"/>
      <c r="J70" s="557">
        <f>H70/DAY(B2)</f>
        <v>0</v>
      </c>
      <c r="K70" s="431"/>
      <c r="L70" s="377"/>
      <c r="N70" s="382"/>
      <c r="O70" s="382"/>
    </row>
    <row r="71" spans="1:15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382"/>
      <c r="O71" s="382"/>
    </row>
    <row r="72" spans="1:15" ht="27.75">
      <c r="A72" s="1408" t="s">
        <v>191</v>
      </c>
      <c r="B72" s="1409"/>
      <c r="C72" s="1410"/>
      <c r="D72" s="523" t="s">
        <v>187</v>
      </c>
      <c r="E72" s="752">
        <v>850592</v>
      </c>
      <c r="F72" s="519">
        <v>850662</v>
      </c>
      <c r="G72" s="473">
        <f t="shared" ref="G72:G84" si="12">F72-E72</f>
        <v>70</v>
      </c>
      <c r="H72" s="460">
        <f>G72</f>
        <v>70</v>
      </c>
      <c r="I72" s="480"/>
      <c r="J72" s="553">
        <f>H72/DAY(B2)</f>
        <v>70</v>
      </c>
      <c r="K72" s="431"/>
      <c r="L72" s="377"/>
      <c r="N72" s="382"/>
      <c r="O72" s="382"/>
    </row>
    <row r="73" spans="1:15" ht="27.75">
      <c r="A73" s="1408" t="s">
        <v>192</v>
      </c>
      <c r="B73" s="1409"/>
      <c r="C73" s="1410"/>
      <c r="D73" s="523" t="s">
        <v>187</v>
      </c>
      <c r="E73" s="753">
        <v>885772</v>
      </c>
      <c r="F73" s="520">
        <v>885772</v>
      </c>
      <c r="G73" s="473">
        <f t="shared" si="12"/>
        <v>0</v>
      </c>
      <c r="H73" s="460">
        <f t="shared" ref="H73:H88" si="13">G73</f>
        <v>0</v>
      </c>
      <c r="I73" s="480"/>
      <c r="J73" s="553">
        <f>H73/DAY(B2)</f>
        <v>0</v>
      </c>
      <c r="K73" s="430"/>
      <c r="L73" s="377"/>
      <c r="N73" s="382"/>
      <c r="O73" s="382"/>
    </row>
    <row r="74" spans="1:15" ht="27.75">
      <c r="A74" s="1440" t="s">
        <v>193</v>
      </c>
      <c r="B74" s="1441"/>
      <c r="C74" s="1442"/>
      <c r="D74" s="523" t="s">
        <v>187</v>
      </c>
      <c r="E74" s="753">
        <v>586.16999999999996</v>
      </c>
      <c r="F74" s="521">
        <v>625.02</v>
      </c>
      <c r="G74" s="473">
        <f t="shared" si="12"/>
        <v>38.850000000000023</v>
      </c>
      <c r="H74" s="460">
        <f t="shared" si="13"/>
        <v>38.850000000000023</v>
      </c>
      <c r="I74" s="480"/>
      <c r="J74" s="553">
        <f>H74/DAY(B2)</f>
        <v>38.850000000000023</v>
      </c>
      <c r="K74" s="431"/>
      <c r="L74" s="377"/>
      <c r="N74" s="382"/>
      <c r="O74" s="382"/>
    </row>
    <row r="75" spans="1:15" ht="27.75">
      <c r="A75" s="1457" t="s">
        <v>194</v>
      </c>
      <c r="B75" s="1458"/>
      <c r="C75" s="1459"/>
      <c r="D75" s="523" t="s">
        <v>187</v>
      </c>
      <c r="E75" s="753">
        <v>3519.22</v>
      </c>
      <c r="F75" s="521">
        <v>3663.87</v>
      </c>
      <c r="G75" s="473">
        <f t="shared" si="12"/>
        <v>144.65000000000009</v>
      </c>
      <c r="H75" s="460">
        <f t="shared" si="13"/>
        <v>144.65000000000009</v>
      </c>
      <c r="I75" s="480"/>
      <c r="J75" s="553">
        <f>H75/DAY(B2)</f>
        <v>144.65000000000009</v>
      </c>
      <c r="K75" s="430"/>
      <c r="L75" s="377"/>
      <c r="N75" s="382"/>
      <c r="O75" s="382"/>
    </row>
    <row r="76" spans="1:15" ht="27.75">
      <c r="A76" s="1457" t="s">
        <v>195</v>
      </c>
      <c r="B76" s="1458"/>
      <c r="C76" s="1459"/>
      <c r="D76" s="523" t="s">
        <v>187</v>
      </c>
      <c r="E76" s="753">
        <v>1514.34</v>
      </c>
      <c r="F76" s="520">
        <v>1593.49</v>
      </c>
      <c r="G76" s="473">
        <f t="shared" si="12"/>
        <v>79.150000000000091</v>
      </c>
      <c r="H76" s="460">
        <f t="shared" si="13"/>
        <v>79.150000000000091</v>
      </c>
      <c r="I76" s="505"/>
      <c r="J76" s="553">
        <f>H76/DAY(B2)</f>
        <v>79.150000000000091</v>
      </c>
      <c r="K76" s="430"/>
      <c r="L76" s="377"/>
      <c r="N76" s="382"/>
      <c r="O76" s="382"/>
    </row>
    <row r="77" spans="1:15" ht="27.75">
      <c r="A77" s="1408" t="s">
        <v>196</v>
      </c>
      <c r="B77" s="1409"/>
      <c r="C77" s="1410"/>
      <c r="D77" s="523" t="s">
        <v>187</v>
      </c>
      <c r="E77" s="753">
        <v>698588</v>
      </c>
      <c r="F77" s="521">
        <v>698633</v>
      </c>
      <c r="G77" s="473">
        <f t="shared" si="12"/>
        <v>45</v>
      </c>
      <c r="H77" s="460">
        <f t="shared" si="13"/>
        <v>45</v>
      </c>
      <c r="I77" s="505"/>
      <c r="J77" s="553">
        <f>H77/DAY(B2)</f>
        <v>45</v>
      </c>
      <c r="K77" s="430"/>
      <c r="L77" s="377"/>
      <c r="N77" s="382"/>
      <c r="O77" s="382"/>
    </row>
    <row r="78" spans="1:15" ht="27.75">
      <c r="A78" s="1316" t="s">
        <v>197</v>
      </c>
      <c r="B78" s="1309"/>
      <c r="C78" s="1309"/>
      <c r="D78" s="523" t="s">
        <v>187</v>
      </c>
      <c r="E78" s="753">
        <v>652863</v>
      </c>
      <c r="F78" s="521">
        <v>653253</v>
      </c>
      <c r="G78" s="473">
        <f t="shared" si="12"/>
        <v>390</v>
      </c>
      <c r="H78" s="460">
        <f t="shared" si="13"/>
        <v>390</v>
      </c>
      <c r="I78" s="505"/>
      <c r="J78" s="553">
        <f>H78/DAY(B2)</f>
        <v>390</v>
      </c>
      <c r="K78" s="430"/>
      <c r="L78" s="377"/>
      <c r="N78" s="382"/>
      <c r="O78" s="382"/>
    </row>
    <row r="79" spans="1:15" ht="27.75">
      <c r="A79" s="1457" t="s">
        <v>92</v>
      </c>
      <c r="B79" s="1458"/>
      <c r="C79" s="1459"/>
      <c r="D79" s="524" t="s">
        <v>187</v>
      </c>
      <c r="E79" s="754">
        <v>815109</v>
      </c>
      <c r="F79" s="521">
        <v>815301</v>
      </c>
      <c r="G79" s="473">
        <f t="shared" si="12"/>
        <v>192</v>
      </c>
      <c r="H79" s="460">
        <f t="shared" si="13"/>
        <v>192</v>
      </c>
      <c r="I79" s="505"/>
      <c r="J79" s="553">
        <f>H79/DAY(B2)</f>
        <v>192</v>
      </c>
      <c r="K79" s="430"/>
      <c r="L79" s="377"/>
      <c r="N79" s="382"/>
      <c r="O79" s="382"/>
    </row>
    <row r="80" spans="1:15" ht="27.75">
      <c r="A80" s="1457" t="s">
        <v>198</v>
      </c>
      <c r="B80" s="1458"/>
      <c r="C80" s="1459"/>
      <c r="D80" s="524" t="s">
        <v>187</v>
      </c>
      <c r="E80" s="753">
        <v>494673.64</v>
      </c>
      <c r="F80" s="520">
        <v>495088.64000000001</v>
      </c>
      <c r="G80" s="473">
        <f t="shared" si="12"/>
        <v>415</v>
      </c>
      <c r="H80" s="460">
        <f t="shared" si="13"/>
        <v>415</v>
      </c>
      <c r="I80" s="505"/>
      <c r="J80" s="553">
        <f>H80/DAY(B2)</f>
        <v>415</v>
      </c>
      <c r="K80" s="430"/>
      <c r="L80" s="377"/>
      <c r="N80" s="382"/>
      <c r="O80" s="382"/>
    </row>
    <row r="81" spans="1:15" ht="27.75">
      <c r="A81" s="1457" t="s">
        <v>199</v>
      </c>
      <c r="B81" s="1458"/>
      <c r="C81" s="1459"/>
      <c r="D81" s="524" t="s">
        <v>187</v>
      </c>
      <c r="E81" s="753">
        <v>625943.84</v>
      </c>
      <c r="F81" s="520">
        <v>626056.4</v>
      </c>
      <c r="G81" s="473">
        <f t="shared" si="12"/>
        <v>112.56000000005588</v>
      </c>
      <c r="H81" s="460">
        <f t="shared" si="13"/>
        <v>112.56000000005588</v>
      </c>
      <c r="I81" s="505"/>
      <c r="J81" s="553">
        <f>H81/DAY(B2)</f>
        <v>112.56000000005588</v>
      </c>
      <c r="K81" s="430"/>
      <c r="L81" s="377"/>
      <c r="N81" s="382"/>
      <c r="O81" s="382"/>
    </row>
    <row r="82" spans="1:15" ht="27.75">
      <c r="A82" s="1457" t="s">
        <v>93</v>
      </c>
      <c r="B82" s="1458"/>
      <c r="C82" s="1459"/>
      <c r="D82" s="485" t="s">
        <v>132</v>
      </c>
      <c r="E82" s="750">
        <v>106202.48</v>
      </c>
      <c r="F82" s="522">
        <v>106220.65</v>
      </c>
      <c r="G82" s="473">
        <f t="shared" si="12"/>
        <v>18.169999999998254</v>
      </c>
      <c r="H82" s="460">
        <f t="shared" si="13"/>
        <v>18.169999999998254</v>
      </c>
      <c r="I82" s="486"/>
      <c r="J82" s="553">
        <f>H82/DAY(B2)</f>
        <v>18.169999999998254</v>
      </c>
      <c r="K82" s="430"/>
      <c r="L82" s="377"/>
      <c r="N82" s="382"/>
      <c r="O82" s="382"/>
    </row>
    <row r="83" spans="1:15" ht="27.75">
      <c r="A83" s="1457" t="s">
        <v>200</v>
      </c>
      <c r="B83" s="1458"/>
      <c r="C83" s="1459"/>
      <c r="D83" s="621" t="s">
        <v>132</v>
      </c>
      <c r="E83" s="470">
        <v>996449</v>
      </c>
      <c r="F83" s="511">
        <v>996969</v>
      </c>
      <c r="G83" s="473">
        <f t="shared" si="12"/>
        <v>520</v>
      </c>
      <c r="H83" s="460">
        <f t="shared" si="13"/>
        <v>520</v>
      </c>
      <c r="I83" s="481"/>
      <c r="J83" s="553">
        <f>H83/DAY(B2)</f>
        <v>520</v>
      </c>
      <c r="K83" s="429"/>
      <c r="L83" s="377"/>
      <c r="N83" s="382"/>
      <c r="O83" s="726"/>
    </row>
    <row r="84" spans="1:15">
      <c r="A84" s="1317" t="s">
        <v>201</v>
      </c>
      <c r="B84" s="572"/>
      <c r="C84" s="572"/>
      <c r="D84" s="478" t="s">
        <v>132</v>
      </c>
      <c r="E84" s="710">
        <v>430798</v>
      </c>
      <c r="F84" s="628">
        <v>431488</v>
      </c>
      <c r="G84" s="473">
        <f t="shared" si="12"/>
        <v>690</v>
      </c>
      <c r="H84" s="460">
        <f t="shared" si="13"/>
        <v>690</v>
      </c>
      <c r="I84" s="481"/>
      <c r="J84" s="553">
        <f>H84/DAY(B2)</f>
        <v>690</v>
      </c>
      <c r="K84" s="380"/>
      <c r="L84" s="377"/>
      <c r="N84" s="382"/>
      <c r="O84" s="382"/>
    </row>
    <row r="85" spans="1:15" s="379" customFormat="1">
      <c r="A85" s="606" t="s">
        <v>202</v>
      </c>
      <c r="B85" s="573"/>
      <c r="C85" s="573"/>
      <c r="D85" s="489"/>
      <c r="E85" s="460"/>
      <c r="F85" s="523"/>
      <c r="G85" s="460">
        <f xml:space="preserve"> SUM(G71:G84)</f>
        <v>2715.3800000000542</v>
      </c>
      <c r="H85" s="460">
        <f t="shared" si="13"/>
        <v>2715.3800000000542</v>
      </c>
      <c r="I85" s="481"/>
      <c r="J85" s="553">
        <f>H85/DAY(B2)</f>
        <v>2715.3800000000542</v>
      </c>
      <c r="K85" s="380"/>
      <c r="L85" s="378"/>
      <c r="N85" s="782"/>
      <c r="O85" s="726"/>
    </row>
    <row r="86" spans="1:15" s="740" customFormat="1">
      <c r="A86" s="735" t="s">
        <v>94</v>
      </c>
      <c r="B86" s="736"/>
      <c r="C86" s="736"/>
      <c r="D86" s="737" t="s">
        <v>183</v>
      </c>
      <c r="E86" s="755">
        <v>450368.53</v>
      </c>
      <c r="F86" s="652">
        <v>450506.84</v>
      </c>
      <c r="G86" s="710">
        <f t="shared" ref="G86:G90" si="14">F86-E86</f>
        <v>138.30999999999767</v>
      </c>
      <c r="H86" s="710">
        <f t="shared" si="13"/>
        <v>138.30999999999767</v>
      </c>
      <c r="I86" s="657"/>
      <c r="J86" s="712">
        <f>H86/DAY(B2)</f>
        <v>138.30999999999767</v>
      </c>
      <c r="K86" s="738"/>
      <c r="L86" s="739"/>
      <c r="N86" s="783"/>
      <c r="O86" s="382"/>
    </row>
    <row r="87" spans="1:15" s="740" customFormat="1">
      <c r="A87" s="735" t="s">
        <v>95</v>
      </c>
      <c r="B87" s="736"/>
      <c r="C87" s="736"/>
      <c r="D87" s="737" t="s">
        <v>183</v>
      </c>
      <c r="E87" s="755">
        <v>79207.7</v>
      </c>
      <c r="F87" s="652">
        <v>79246.899999999994</v>
      </c>
      <c r="G87" s="710">
        <f t="shared" si="14"/>
        <v>39.19999999999709</v>
      </c>
      <c r="H87" s="710">
        <f t="shared" si="13"/>
        <v>39.19999999999709</v>
      </c>
      <c r="I87" s="657"/>
      <c r="J87" s="712">
        <f>H87/DAY(B2)</f>
        <v>39.19999999999709</v>
      </c>
      <c r="K87" s="738"/>
      <c r="L87" s="739"/>
      <c r="N87" s="783"/>
      <c r="O87" s="382"/>
    </row>
    <row r="88" spans="1:15" s="740" customFormat="1">
      <c r="A88" s="735" t="s">
        <v>96</v>
      </c>
      <c r="B88" s="736"/>
      <c r="C88" s="736"/>
      <c r="D88" s="737" t="s">
        <v>183</v>
      </c>
      <c r="E88" s="755">
        <v>148264.60999999999</v>
      </c>
      <c r="F88" s="652">
        <v>148316.29</v>
      </c>
      <c r="G88" s="710">
        <f t="shared" si="14"/>
        <v>51.680000000022119</v>
      </c>
      <c r="H88" s="710">
        <f t="shared" si="13"/>
        <v>51.680000000022119</v>
      </c>
      <c r="I88" s="657"/>
      <c r="J88" s="712">
        <f>H88/DAY(B2)</f>
        <v>51.680000000022119</v>
      </c>
      <c r="K88" s="738"/>
      <c r="L88" s="739"/>
      <c r="N88" s="783"/>
      <c r="O88" s="382"/>
    </row>
    <row r="89" spans="1:15" s="740" customFormat="1">
      <c r="A89" s="735" t="s">
        <v>203</v>
      </c>
      <c r="B89" s="736"/>
      <c r="C89" s="736"/>
      <c r="D89" s="737" t="s">
        <v>183</v>
      </c>
      <c r="E89" s="755">
        <v>61675.1</v>
      </c>
      <c r="F89" s="652">
        <v>61732.800000000003</v>
      </c>
      <c r="G89" s="710">
        <f t="shared" si="14"/>
        <v>57.700000000004366</v>
      </c>
      <c r="H89" s="710">
        <f>G89</f>
        <v>57.700000000004366</v>
      </c>
      <c r="I89" s="657"/>
      <c r="J89" s="712">
        <f>H89/DAY(B2)</f>
        <v>57.700000000004366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755">
        <v>3162.9</v>
      </c>
      <c r="F90" s="652">
        <v>3168.3</v>
      </c>
      <c r="G90" s="710">
        <f t="shared" si="14"/>
        <v>5.4000000000000909</v>
      </c>
      <c r="H90" s="710">
        <f>G90</f>
        <v>5.4000000000000909</v>
      </c>
      <c r="I90" s="657"/>
      <c r="J90" s="712">
        <f>H90/DAY(B2)</f>
        <v>5.4000000000000909</v>
      </c>
      <c r="K90" s="738"/>
      <c r="L90" s="739"/>
      <c r="N90" s="783"/>
      <c r="O90" s="382"/>
    </row>
    <row r="91" spans="1:15" s="379" customFormat="1">
      <c r="A91" s="607" t="s">
        <v>205</v>
      </c>
      <c r="B91" s="1319"/>
      <c r="C91" s="1319"/>
      <c r="D91" s="472"/>
      <c r="E91" s="744"/>
      <c r="F91" s="472"/>
      <c r="G91" s="488"/>
      <c r="H91" s="472"/>
      <c r="I91" s="472"/>
      <c r="J91" s="552"/>
      <c r="K91" s="380"/>
      <c r="L91" s="378"/>
      <c r="N91" s="782"/>
      <c r="O91" s="382"/>
    </row>
    <row r="92" spans="1:15" ht="27.75">
      <c r="A92" s="1411" t="s">
        <v>206</v>
      </c>
      <c r="B92" s="1412"/>
      <c r="C92" s="1413"/>
      <c r="D92" s="523" t="s">
        <v>144</v>
      </c>
      <c r="E92" s="743">
        <v>239695</v>
      </c>
      <c r="F92" s="484">
        <v>239817</v>
      </c>
      <c r="G92" s="473">
        <f t="shared" ref="G92:G93" si="15">F92-E92</f>
        <v>122</v>
      </c>
      <c r="H92" s="460">
        <f t="shared" ref="H92" si="16">G92</f>
        <v>122</v>
      </c>
      <c r="I92" s="480"/>
      <c r="J92" s="553">
        <f>H92/DAY(B2)</f>
        <v>122</v>
      </c>
      <c r="K92" s="429"/>
      <c r="L92" s="377"/>
      <c r="N92" s="382"/>
      <c r="O92" s="382"/>
    </row>
    <row r="93" spans="1:15" ht="27.75">
      <c r="A93" s="1411" t="s">
        <v>207</v>
      </c>
      <c r="B93" s="1412"/>
      <c r="C93" s="1413"/>
      <c r="D93" s="523" t="s">
        <v>144</v>
      </c>
      <c r="E93" s="743">
        <v>175661</v>
      </c>
      <c r="F93" s="484">
        <v>175805</v>
      </c>
      <c r="G93" s="473">
        <f t="shared" si="15"/>
        <v>144</v>
      </c>
      <c r="H93" s="460">
        <f>G93</f>
        <v>144</v>
      </c>
      <c r="I93" s="480"/>
      <c r="J93" s="553">
        <f>H93/DAY(B2)</f>
        <v>144</v>
      </c>
      <c r="K93" s="380"/>
      <c r="L93" s="377"/>
      <c r="N93" s="382"/>
      <c r="O93" s="382"/>
    </row>
    <row r="94" spans="1:15">
      <c r="A94" s="1405" t="s">
        <v>208</v>
      </c>
      <c r="B94" s="1406"/>
      <c r="C94" s="1407"/>
      <c r="D94" s="523"/>
      <c r="E94" s="743"/>
      <c r="F94" s="484"/>
      <c r="G94" s="473">
        <f>G92+G93</f>
        <v>266</v>
      </c>
      <c r="H94" s="460"/>
      <c r="I94" s="480"/>
      <c r="J94" s="553"/>
      <c r="K94" s="380"/>
      <c r="L94" s="377"/>
      <c r="N94" s="382"/>
      <c r="O94" s="382"/>
    </row>
    <row r="95" spans="1:15" ht="27.75">
      <c r="A95" s="1411" t="s">
        <v>209</v>
      </c>
      <c r="B95" s="1412"/>
      <c r="C95" s="1413"/>
      <c r="D95" s="523" t="s">
        <v>144</v>
      </c>
      <c r="E95" s="743">
        <v>408156</v>
      </c>
      <c r="F95" s="484">
        <v>408232</v>
      </c>
      <c r="G95" s="473">
        <f t="shared" ref="G95:G100" si="17">F95-E95</f>
        <v>76</v>
      </c>
      <c r="H95" s="460">
        <f t="shared" ref="H95:H101" si="18">G95</f>
        <v>76</v>
      </c>
      <c r="I95" s="480"/>
      <c r="J95" s="553">
        <f>H95/DAY(B2)</f>
        <v>76</v>
      </c>
      <c r="K95" s="380"/>
      <c r="L95" s="377"/>
      <c r="N95" s="382"/>
      <c r="O95" s="382"/>
    </row>
    <row r="96" spans="1:15" ht="27.75">
      <c r="A96" s="1313" t="s">
        <v>210</v>
      </c>
      <c r="B96" s="1314"/>
      <c r="C96" s="1314"/>
      <c r="D96" s="523" t="s">
        <v>144</v>
      </c>
      <c r="E96" s="743">
        <v>101332</v>
      </c>
      <c r="F96" s="484">
        <v>101345</v>
      </c>
      <c r="G96" s="473">
        <f t="shared" si="17"/>
        <v>13</v>
      </c>
      <c r="H96" s="460">
        <f t="shared" si="18"/>
        <v>13</v>
      </c>
      <c r="I96" s="480"/>
      <c r="J96" s="553">
        <f>H96/DAY(B2)</f>
        <v>13</v>
      </c>
      <c r="K96" s="427"/>
      <c r="L96" s="377"/>
      <c r="N96" s="382"/>
      <c r="O96" s="382"/>
    </row>
    <row r="97" spans="1:15" ht="27.75">
      <c r="A97" s="1313" t="s">
        <v>211</v>
      </c>
      <c r="B97" s="1314"/>
      <c r="C97" s="1314"/>
      <c r="D97" s="523" t="s">
        <v>144</v>
      </c>
      <c r="E97" s="743">
        <v>96449</v>
      </c>
      <c r="F97" s="484">
        <v>96473</v>
      </c>
      <c r="G97" s="473">
        <f t="shared" si="17"/>
        <v>24</v>
      </c>
      <c r="H97" s="460">
        <f t="shared" si="18"/>
        <v>24</v>
      </c>
      <c r="I97" s="480"/>
      <c r="J97" s="553">
        <f>H97/DAY(B2)</f>
        <v>24</v>
      </c>
      <c r="K97" s="432"/>
      <c r="L97" s="377"/>
      <c r="N97" s="382"/>
      <c r="O97" s="382"/>
    </row>
    <row r="98" spans="1:15" ht="27.75">
      <c r="A98" s="1313" t="s">
        <v>212</v>
      </c>
      <c r="B98" s="1314"/>
      <c r="C98" s="1314"/>
      <c r="D98" s="523" t="s">
        <v>144</v>
      </c>
      <c r="E98" s="743">
        <v>147608</v>
      </c>
      <c r="F98" s="484">
        <v>147678</v>
      </c>
      <c r="G98" s="473">
        <f t="shared" si="17"/>
        <v>70</v>
      </c>
      <c r="H98" s="460">
        <f t="shared" si="18"/>
        <v>70</v>
      </c>
      <c r="I98" s="480"/>
      <c r="J98" s="553">
        <f>H98/DAY(B2)</f>
        <v>70</v>
      </c>
      <c r="K98" s="380"/>
      <c r="L98" s="377"/>
      <c r="N98" s="382"/>
      <c r="O98" s="382"/>
    </row>
    <row r="99" spans="1:15" ht="27.75">
      <c r="A99" s="1313" t="s">
        <v>213</v>
      </c>
      <c r="B99" s="1314"/>
      <c r="C99" s="1314"/>
      <c r="D99" s="523" t="s">
        <v>144</v>
      </c>
      <c r="E99" s="743">
        <v>6408</v>
      </c>
      <c r="F99" s="484">
        <v>6425</v>
      </c>
      <c r="G99" s="473">
        <f t="shared" si="17"/>
        <v>17</v>
      </c>
      <c r="H99" s="460">
        <f t="shared" si="18"/>
        <v>17</v>
      </c>
      <c r="I99" s="480"/>
      <c r="J99" s="553">
        <f>H99/DAY(B2)</f>
        <v>17</v>
      </c>
      <c r="K99" s="380"/>
      <c r="L99" s="377"/>
      <c r="N99" s="382"/>
      <c r="O99" s="382"/>
    </row>
    <row r="100" spans="1:15" ht="27.75">
      <c r="A100" s="1313" t="s">
        <v>214</v>
      </c>
      <c r="B100" s="1314"/>
      <c r="C100" s="1314"/>
      <c r="D100" s="523" t="s">
        <v>144</v>
      </c>
      <c r="E100" s="743">
        <v>4543</v>
      </c>
      <c r="F100" s="484">
        <v>4557</v>
      </c>
      <c r="G100" s="473">
        <f t="shared" si="17"/>
        <v>14</v>
      </c>
      <c r="H100" s="460">
        <f t="shared" si="18"/>
        <v>14</v>
      </c>
      <c r="I100" s="480" t="s">
        <v>215</v>
      </c>
      <c r="J100" s="553">
        <f>H100/DAY(B2)</f>
        <v>14</v>
      </c>
      <c r="K100" s="380"/>
      <c r="L100" s="377"/>
      <c r="N100" s="382"/>
      <c r="O100" s="382"/>
    </row>
    <row r="101" spans="1:15">
      <c r="A101" s="1405" t="s">
        <v>216</v>
      </c>
      <c r="B101" s="1406"/>
      <c r="C101" s="1407"/>
      <c r="D101" s="524"/>
      <c r="E101" s="486"/>
      <c r="F101" s="524"/>
      <c r="G101" s="525">
        <f>SUM(G95:G100)</f>
        <v>214</v>
      </c>
      <c r="H101" s="460">
        <f t="shared" si="18"/>
        <v>214</v>
      </c>
      <c r="I101" s="526"/>
      <c r="J101" s="553">
        <f>H101/DAY(B2)</f>
        <v>214</v>
      </c>
      <c r="K101" s="380"/>
      <c r="L101" s="377"/>
      <c r="N101" s="382"/>
      <c r="O101" s="382"/>
    </row>
    <row r="102" spans="1:15" s="442" customFormat="1" ht="27">
      <c r="A102" s="608" t="s">
        <v>217</v>
      </c>
      <c r="B102" s="609"/>
      <c r="C102" s="609"/>
      <c r="D102" s="622"/>
      <c r="E102" s="756"/>
      <c r="F102" s="528"/>
      <c r="G102" s="529"/>
      <c r="H102" s="530"/>
      <c r="I102" s="531"/>
      <c r="J102" s="558"/>
      <c r="N102" s="444"/>
      <c r="O102" s="382"/>
    </row>
    <row r="103" spans="1:15" s="442" customFormat="1" ht="27.75">
      <c r="A103" s="1414" t="s">
        <v>218</v>
      </c>
      <c r="B103" s="1415"/>
      <c r="C103" s="574"/>
      <c r="D103" s="623"/>
      <c r="E103" s="757"/>
      <c r="F103" s="532"/>
      <c r="G103" s="532"/>
      <c r="H103" s="533"/>
      <c r="I103" s="532"/>
      <c r="J103" s="559"/>
      <c r="N103" s="444"/>
      <c r="O103" s="382"/>
    </row>
    <row r="104" spans="1:15" s="442" customFormat="1" ht="27.75">
      <c r="A104" s="1416" t="s">
        <v>219</v>
      </c>
      <c r="B104" s="1417"/>
      <c r="C104" s="1311"/>
      <c r="D104" s="623" t="s">
        <v>144</v>
      </c>
      <c r="E104" s="757">
        <v>7128</v>
      </c>
      <c r="F104" s="532">
        <v>7128</v>
      </c>
      <c r="G104" s="532">
        <f>F104-E104</f>
        <v>0</v>
      </c>
      <c r="H104" s="533">
        <f>G104</f>
        <v>0</v>
      </c>
      <c r="I104" s="532"/>
      <c r="J104" s="559">
        <f>H104/DAY(B2)</f>
        <v>0</v>
      </c>
      <c r="N104" s="444"/>
      <c r="O104" s="382"/>
    </row>
    <row r="105" spans="1:15" s="442" customFormat="1" ht="27.75">
      <c r="A105" s="1416" t="s">
        <v>77</v>
      </c>
      <c r="B105" s="1417"/>
      <c r="C105" s="1311"/>
      <c r="D105" s="623" t="s">
        <v>144</v>
      </c>
      <c r="E105" s="665">
        <v>35407</v>
      </c>
      <c r="F105" s="534">
        <v>35416</v>
      </c>
      <c r="G105" s="532">
        <f t="shared" ref="G105:G106" si="19">F105-E105</f>
        <v>9</v>
      </c>
      <c r="H105" s="533">
        <f t="shared" ref="H105:H120" si="20">G105</f>
        <v>9</v>
      </c>
      <c r="I105" s="532"/>
      <c r="J105" s="559">
        <f>H105/DAY(B2)</f>
        <v>9</v>
      </c>
      <c r="N105" s="444"/>
      <c r="O105" s="382"/>
    </row>
    <row r="106" spans="1:15" s="442" customFormat="1" ht="27.75">
      <c r="A106" s="1416" t="s">
        <v>78</v>
      </c>
      <c r="B106" s="1418"/>
      <c r="C106" s="1417"/>
      <c r="D106" s="623" t="s">
        <v>144</v>
      </c>
      <c r="E106" s="665">
        <v>19247</v>
      </c>
      <c r="F106" s="532">
        <v>19252</v>
      </c>
      <c r="G106" s="532">
        <f t="shared" si="19"/>
        <v>5</v>
      </c>
      <c r="H106" s="533">
        <f t="shared" si="20"/>
        <v>5</v>
      </c>
      <c r="I106" s="532"/>
      <c r="J106" s="559">
        <f>G109/DAY(B2)</f>
        <v>82</v>
      </c>
      <c r="N106" s="444"/>
      <c r="O106" s="382"/>
    </row>
    <row r="107" spans="1:15" s="442" customFormat="1" ht="27.75">
      <c r="A107" s="1419" t="s">
        <v>202</v>
      </c>
      <c r="B107" s="1420"/>
      <c r="C107" s="1311"/>
      <c r="D107" s="623"/>
      <c r="E107" s="665"/>
      <c r="F107" s="532"/>
      <c r="G107" s="532">
        <f>SUM(G104:G106)</f>
        <v>14</v>
      </c>
      <c r="H107" s="533">
        <f t="shared" si="20"/>
        <v>14</v>
      </c>
      <c r="I107" s="532"/>
      <c r="J107" s="559">
        <f>H107/DAY(B2)</f>
        <v>14</v>
      </c>
      <c r="N107" s="444"/>
      <c r="O107" s="382"/>
    </row>
    <row r="108" spans="1:15" s="442" customFormat="1" ht="27.75">
      <c r="A108" s="1421" t="s">
        <v>79</v>
      </c>
      <c r="B108" s="1422"/>
      <c r="C108" s="1311"/>
      <c r="D108" s="623" t="s">
        <v>144</v>
      </c>
      <c r="E108" s="665"/>
      <c r="F108" s="532"/>
      <c r="G108" s="532"/>
      <c r="H108" s="533">
        <f t="shared" si="20"/>
        <v>0</v>
      </c>
      <c r="I108" s="532"/>
      <c r="J108" s="559"/>
      <c r="N108" s="444"/>
      <c r="O108" s="382"/>
    </row>
    <row r="109" spans="1:15" s="442" customFormat="1" ht="27.75">
      <c r="A109" s="1416" t="s">
        <v>220</v>
      </c>
      <c r="B109" s="1417"/>
      <c r="C109" s="1311"/>
      <c r="D109" s="623" t="s">
        <v>144</v>
      </c>
      <c r="E109" s="665">
        <v>56353</v>
      </c>
      <c r="F109" s="532">
        <v>56435</v>
      </c>
      <c r="G109" s="532">
        <f>F109-E109</f>
        <v>82</v>
      </c>
      <c r="H109" s="533">
        <f t="shared" si="20"/>
        <v>82</v>
      </c>
      <c r="I109" s="532"/>
      <c r="J109" s="559">
        <f>H109/DAY(B2)</f>
        <v>82</v>
      </c>
      <c r="N109" s="444"/>
      <c r="O109" s="382"/>
    </row>
    <row r="110" spans="1:15" s="442" customFormat="1" ht="27.75">
      <c r="A110" s="1416" t="s">
        <v>221</v>
      </c>
      <c r="B110" s="1417"/>
      <c r="C110" s="1311"/>
      <c r="D110" s="623" t="s">
        <v>144</v>
      </c>
      <c r="E110" s="665">
        <v>30527</v>
      </c>
      <c r="F110" s="532">
        <v>30593</v>
      </c>
      <c r="G110" s="532">
        <f>F110-E110</f>
        <v>66</v>
      </c>
      <c r="H110" s="533">
        <f t="shared" si="20"/>
        <v>66</v>
      </c>
      <c r="I110" s="532"/>
      <c r="J110" s="559">
        <f>H110/DAY(B2)</f>
        <v>66</v>
      </c>
      <c r="N110" s="444"/>
      <c r="O110" s="382"/>
    </row>
    <row r="111" spans="1:15" s="442" customFormat="1" ht="27.75">
      <c r="A111" s="1416" t="s">
        <v>222</v>
      </c>
      <c r="B111" s="1417"/>
      <c r="C111" s="1311"/>
      <c r="D111" s="623" t="s">
        <v>144</v>
      </c>
      <c r="E111" s="665">
        <v>3980</v>
      </c>
      <c r="F111" s="532">
        <v>3987</v>
      </c>
      <c r="G111" s="532">
        <f>F111-E111</f>
        <v>7</v>
      </c>
      <c r="H111" s="533">
        <f t="shared" si="20"/>
        <v>7</v>
      </c>
      <c r="I111" s="532"/>
      <c r="J111" s="559">
        <f>H111/DAY(B2)</f>
        <v>7</v>
      </c>
      <c r="N111" s="444"/>
      <c r="O111" s="382"/>
    </row>
    <row r="112" spans="1:15" s="442" customFormat="1" ht="27.75">
      <c r="A112" s="1448" t="s">
        <v>110</v>
      </c>
      <c r="B112" s="1449"/>
      <c r="C112" s="1311"/>
      <c r="D112" s="623"/>
      <c r="E112" s="665"/>
      <c r="F112" s="532"/>
      <c r="G112" s="532">
        <f>SUM(G109:G111)</f>
        <v>155</v>
      </c>
      <c r="H112" s="533">
        <f t="shared" si="20"/>
        <v>155</v>
      </c>
      <c r="I112" s="532"/>
      <c r="J112" s="559">
        <f>H112/DAY(B2)</f>
        <v>155</v>
      </c>
      <c r="N112" s="444"/>
      <c r="O112" s="382"/>
    </row>
    <row r="113" spans="1:15" s="442" customFormat="1" ht="27.75">
      <c r="A113" s="1421" t="s">
        <v>223</v>
      </c>
      <c r="B113" s="1422"/>
      <c r="C113" s="1311"/>
      <c r="D113" s="623"/>
      <c r="E113" s="665"/>
      <c r="F113" s="532"/>
      <c r="G113" s="532"/>
      <c r="H113" s="533">
        <f t="shared" si="20"/>
        <v>0</v>
      </c>
      <c r="I113" s="532"/>
      <c r="J113" s="559">
        <f>H113/DAY(B2)</f>
        <v>0</v>
      </c>
      <c r="N113" s="444"/>
      <c r="O113" s="382"/>
    </row>
    <row r="114" spans="1:15" s="442" customFormat="1" ht="27.75">
      <c r="A114" s="1416" t="s">
        <v>224</v>
      </c>
      <c r="B114" s="1417"/>
      <c r="C114" s="575"/>
      <c r="D114" s="623" t="s">
        <v>144</v>
      </c>
      <c r="E114" s="665">
        <v>10322</v>
      </c>
      <c r="F114" s="534">
        <v>10341</v>
      </c>
      <c r="G114" s="534">
        <f>F114-E114</f>
        <v>19</v>
      </c>
      <c r="H114" s="533">
        <f t="shared" si="20"/>
        <v>19</v>
      </c>
      <c r="I114" s="532"/>
      <c r="J114" s="559">
        <f>H114/DAY(B2)</f>
        <v>19</v>
      </c>
      <c r="N114" s="444"/>
      <c r="O114" s="382"/>
    </row>
    <row r="115" spans="1:15" s="442" customFormat="1" ht="27.75">
      <c r="A115" s="1416" t="s">
        <v>225</v>
      </c>
      <c r="B115" s="1417"/>
      <c r="C115" s="575"/>
      <c r="D115" s="623" t="s">
        <v>144</v>
      </c>
      <c r="E115" s="665">
        <v>7667</v>
      </c>
      <c r="F115" s="534">
        <v>7680</v>
      </c>
      <c r="G115" s="534">
        <f t="shared" ref="G115:G116" si="21">F115-E115</f>
        <v>13</v>
      </c>
      <c r="H115" s="533">
        <f t="shared" si="20"/>
        <v>13</v>
      </c>
      <c r="I115" s="532"/>
      <c r="J115" s="559">
        <f>H115/DAY(B2)</f>
        <v>13</v>
      </c>
      <c r="N115" s="444"/>
      <c r="O115" s="382"/>
    </row>
    <row r="116" spans="1:15" s="442" customFormat="1" ht="27.75">
      <c r="A116" s="1416" t="s">
        <v>226</v>
      </c>
      <c r="B116" s="1417"/>
      <c r="C116" s="575"/>
      <c r="D116" s="623" t="s">
        <v>144</v>
      </c>
      <c r="E116" s="665"/>
      <c r="F116" s="534"/>
      <c r="G116" s="534">
        <f t="shared" si="21"/>
        <v>0</v>
      </c>
      <c r="H116" s="533">
        <f t="shared" si="20"/>
        <v>0</v>
      </c>
      <c r="I116" s="532"/>
      <c r="J116" s="559">
        <f>H116/DAY(B2)</f>
        <v>0</v>
      </c>
      <c r="N116" s="444"/>
      <c r="O116" s="382"/>
    </row>
    <row r="117" spans="1:15" s="445" customFormat="1" ht="27.75">
      <c r="A117" s="1419" t="s">
        <v>202</v>
      </c>
      <c r="B117" s="1420"/>
      <c r="C117" s="575"/>
      <c r="D117" s="624"/>
      <c r="E117" s="665"/>
      <c r="F117" s="534"/>
      <c r="G117" s="534">
        <f>SUM(G114:G116)</f>
        <v>32</v>
      </c>
      <c r="H117" s="533">
        <f t="shared" si="20"/>
        <v>32</v>
      </c>
      <c r="I117" s="534"/>
      <c r="J117" s="559">
        <f>H117/DAY(B2)</f>
        <v>32</v>
      </c>
      <c r="N117" s="447"/>
      <c r="O117" s="382"/>
    </row>
    <row r="118" spans="1:15" s="446" customFormat="1" ht="27.75">
      <c r="A118" s="1450" t="s">
        <v>227</v>
      </c>
      <c r="B118" s="1451"/>
      <c r="C118" s="1310"/>
      <c r="D118" s="625" t="s">
        <v>144</v>
      </c>
      <c r="E118" s="665">
        <f>SUM(F19+F92)</f>
        <v>374333</v>
      </c>
      <c r="F118" s="536">
        <f>SUM(G19+G92)</f>
        <v>170</v>
      </c>
      <c r="G118" s="536">
        <f>SUM(G19+G92)</f>
        <v>170</v>
      </c>
      <c r="H118" s="533">
        <f t="shared" si="20"/>
        <v>170</v>
      </c>
      <c r="I118" s="535"/>
      <c r="J118" s="560">
        <f>H118/DAY(B2)</f>
        <v>170</v>
      </c>
      <c r="N118" s="784"/>
      <c r="O118" s="382"/>
    </row>
    <row r="119" spans="1:15" s="446" customFormat="1" ht="27.75">
      <c r="A119" s="1450" t="s">
        <v>228</v>
      </c>
      <c r="B119" s="1451"/>
      <c r="C119" s="1310"/>
      <c r="D119" s="625" t="s">
        <v>144</v>
      </c>
      <c r="E119" s="665">
        <f>SUM(F95,F96,F97,F99,F100)</f>
        <v>617032</v>
      </c>
      <c r="F119" s="536">
        <f>SUM(G95,G96,G97,G99,G100)</f>
        <v>144</v>
      </c>
      <c r="G119" s="536">
        <f>SUM(G95,G96,G97,G99,G100)</f>
        <v>144</v>
      </c>
      <c r="H119" s="533">
        <f t="shared" si="20"/>
        <v>144</v>
      </c>
      <c r="I119" s="535"/>
      <c r="J119" s="560">
        <f>H119/DAY(B2)</f>
        <v>144</v>
      </c>
      <c r="N119" s="784"/>
      <c r="O119" s="382"/>
    </row>
    <row r="120" spans="1:15" s="446" customFormat="1" ht="27.75">
      <c r="A120" s="1450" t="s">
        <v>229</v>
      </c>
      <c r="B120" s="1451"/>
      <c r="C120" s="1310"/>
      <c r="D120" s="625" t="s">
        <v>144</v>
      </c>
      <c r="E120" s="665">
        <f>SUM(F112)</f>
        <v>0</v>
      </c>
      <c r="F120" s="534">
        <f>SUM(G112)</f>
        <v>155</v>
      </c>
      <c r="G120" s="534">
        <f>SUM(G112)</f>
        <v>155</v>
      </c>
      <c r="H120" s="533">
        <f t="shared" si="20"/>
        <v>155</v>
      </c>
      <c r="I120" s="535"/>
      <c r="J120" s="560">
        <f>H120/DAY(B2)</f>
        <v>155</v>
      </c>
      <c r="N120" s="784"/>
      <c r="O120" s="382"/>
    </row>
    <row r="121" spans="1:15" s="442" customFormat="1" ht="27.75">
      <c r="A121" s="1452"/>
      <c r="B121" s="1453"/>
      <c r="C121" s="1311"/>
      <c r="D121" s="561"/>
      <c r="E121" s="758" t="s">
        <v>215</v>
      </c>
      <c r="F121" s="561" t="s">
        <v>215</v>
      </c>
      <c r="G121" s="561"/>
      <c r="H121" s="562"/>
      <c r="I121" s="561"/>
      <c r="J121" s="563"/>
      <c r="N121" s="444"/>
      <c r="O121" s="382"/>
    </row>
    <row r="122" spans="1:15">
      <c r="A122" s="1402" t="s">
        <v>230</v>
      </c>
      <c r="B122" s="1403"/>
      <c r="C122" s="1404"/>
      <c r="D122" s="472"/>
      <c r="E122" s="744"/>
      <c r="F122" s="472"/>
      <c r="G122" s="483"/>
      <c r="H122" s="483"/>
      <c r="I122" s="483"/>
      <c r="J122" s="564"/>
      <c r="K122" s="380"/>
      <c r="L122" s="377"/>
      <c r="N122" s="382"/>
      <c r="O122" s="382"/>
    </row>
    <row r="123" spans="1:15" ht="27.75">
      <c r="A123" s="1313" t="s">
        <v>231</v>
      </c>
      <c r="B123" s="1314"/>
      <c r="C123" s="1314"/>
      <c r="D123" s="523" t="s">
        <v>141</v>
      </c>
      <c r="E123" s="743">
        <v>811006.84</v>
      </c>
      <c r="F123" s="478">
        <v>811273.1</v>
      </c>
      <c r="G123" s="473">
        <f>F123-E123</f>
        <v>266.26000000000931</v>
      </c>
      <c r="H123" s="460">
        <f>G123</f>
        <v>266.26000000000931</v>
      </c>
      <c r="I123" s="526"/>
      <c r="J123" s="553">
        <f>H123/DAY(B2)</f>
        <v>266.26000000000931</v>
      </c>
      <c r="K123" s="380"/>
      <c r="L123" s="377"/>
      <c r="N123" s="382"/>
      <c r="O123" s="382"/>
    </row>
    <row r="124" spans="1:15" ht="27.75">
      <c r="A124" s="1313" t="s">
        <v>232</v>
      </c>
      <c r="B124" s="1314"/>
      <c r="C124" s="1314"/>
      <c r="D124" s="523" t="s">
        <v>141</v>
      </c>
      <c r="E124" s="759">
        <v>73583.399999999994</v>
      </c>
      <c r="F124" s="485">
        <v>73583.399999999994</v>
      </c>
      <c r="G124" s="473">
        <f t="shared" ref="G124:G127" si="22">F124-E124</f>
        <v>0</v>
      </c>
      <c r="H124" s="460">
        <f t="shared" ref="H124:H128" si="23">G124</f>
        <v>0</v>
      </c>
      <c r="I124" s="526"/>
      <c r="J124" s="553">
        <f>H124/DAY(B2)</f>
        <v>0</v>
      </c>
      <c r="K124" s="380"/>
      <c r="L124" s="377"/>
      <c r="N124" s="382"/>
      <c r="O124" s="382"/>
    </row>
    <row r="125" spans="1:15" ht="27.75">
      <c r="A125" s="1408" t="s">
        <v>233</v>
      </c>
      <c r="B125" s="1409"/>
      <c r="C125" s="1410"/>
      <c r="D125" s="523" t="s">
        <v>141</v>
      </c>
      <c r="E125" s="743">
        <v>139979.34</v>
      </c>
      <c r="F125" s="485">
        <v>140043.29</v>
      </c>
      <c r="G125" s="473">
        <f t="shared" si="22"/>
        <v>63.950000000011642</v>
      </c>
      <c r="H125" s="460">
        <f t="shared" si="23"/>
        <v>63.950000000011642</v>
      </c>
      <c r="I125" s="526"/>
      <c r="J125" s="553">
        <f>H125/DAY(B2)</f>
        <v>63.950000000011642</v>
      </c>
      <c r="K125" s="380"/>
      <c r="L125" s="377"/>
      <c r="N125" s="382"/>
      <c r="O125" s="382"/>
    </row>
    <row r="126" spans="1:15" ht="27.75">
      <c r="A126" s="610" t="s">
        <v>234</v>
      </c>
      <c r="B126" s="1314"/>
      <c r="C126" s="1314"/>
      <c r="D126" s="523" t="s">
        <v>141</v>
      </c>
      <c r="E126" s="759">
        <v>59306.9</v>
      </c>
      <c r="F126" s="485">
        <v>59332</v>
      </c>
      <c r="G126" s="473">
        <f t="shared" si="22"/>
        <v>25.099999999998545</v>
      </c>
      <c r="H126" s="460">
        <f t="shared" si="23"/>
        <v>25.099999999998545</v>
      </c>
      <c r="I126" s="526"/>
      <c r="J126" s="553">
        <f>H126/DAY(B2)</f>
        <v>25.099999999998545</v>
      </c>
      <c r="K126" s="380"/>
      <c r="L126" s="377"/>
      <c r="N126" s="382"/>
      <c r="O126" s="382"/>
    </row>
    <row r="127" spans="1:15" ht="27.75">
      <c r="A127" s="610" t="s">
        <v>235</v>
      </c>
      <c r="B127" s="1314"/>
      <c r="C127" s="1314"/>
      <c r="D127" s="523" t="s">
        <v>141</v>
      </c>
      <c r="E127" s="759">
        <v>8887.7999999999993</v>
      </c>
      <c r="F127" s="485">
        <v>8889.9</v>
      </c>
      <c r="G127" s="473">
        <f t="shared" si="22"/>
        <v>2.1000000000003638</v>
      </c>
      <c r="H127" s="460">
        <f t="shared" si="23"/>
        <v>2.1000000000003638</v>
      </c>
      <c r="I127" s="480"/>
      <c r="J127" s="553">
        <f>H127/DAY(B2)</f>
        <v>2.1000000000003638</v>
      </c>
      <c r="K127" s="380"/>
      <c r="L127" s="377"/>
      <c r="N127" s="382"/>
      <c r="O127" s="382"/>
    </row>
    <row r="128" spans="1:15" s="281" customFormat="1" ht="27.75">
      <c r="A128" s="610" t="s">
        <v>236</v>
      </c>
      <c r="B128" s="1314"/>
      <c r="C128" s="1314"/>
      <c r="D128" s="523"/>
      <c r="E128" s="743"/>
      <c r="F128" s="478"/>
      <c r="G128" s="473">
        <f>G15-SUM(G123:G127)</f>
        <v>523.22199999996337</v>
      </c>
      <c r="H128" s="460">
        <f t="shared" si="23"/>
        <v>523.22199999996337</v>
      </c>
      <c r="I128" s="480"/>
      <c r="J128" s="553">
        <f>H128/DAY(B2)</f>
        <v>523.22199999996337</v>
      </c>
      <c r="K128" s="364"/>
      <c r="L128" s="292"/>
      <c r="N128" s="365"/>
      <c r="O128" s="382"/>
    </row>
    <row r="129" spans="1:15">
      <c r="A129" s="611" t="s">
        <v>237</v>
      </c>
      <c r="B129" s="458"/>
      <c r="C129" s="458"/>
      <c r="D129" s="471"/>
      <c r="E129" s="495"/>
      <c r="F129" s="471"/>
      <c r="G129" s="541"/>
      <c r="H129" s="541"/>
      <c r="I129" s="541"/>
      <c r="J129" s="565"/>
      <c r="N129" s="382"/>
      <c r="O129" s="382"/>
    </row>
    <row r="130" spans="1:15" ht="27.75">
      <c r="A130" s="1313" t="s">
        <v>238</v>
      </c>
      <c r="B130" s="1314"/>
      <c r="C130" s="1314"/>
      <c r="D130" s="523" t="s">
        <v>239</v>
      </c>
      <c r="E130" s="743">
        <v>0</v>
      </c>
      <c r="F130" s="484">
        <v>0</v>
      </c>
      <c r="G130" s="473">
        <f t="shared" ref="G130:G140" si="24">F130-E130</f>
        <v>0</v>
      </c>
      <c r="H130" s="460">
        <f>G130</f>
        <v>0</v>
      </c>
      <c r="I130" s="480"/>
      <c r="J130" s="553">
        <f>H130/DAY(B2)</f>
        <v>0</v>
      </c>
      <c r="N130" s="382"/>
      <c r="O130" s="382"/>
    </row>
    <row r="131" spans="1:15" ht="27.75">
      <c r="A131" s="1313" t="s">
        <v>240</v>
      </c>
      <c r="B131" s="1314"/>
      <c r="C131" s="1314"/>
      <c r="D131" s="523" t="s">
        <v>239</v>
      </c>
      <c r="E131" s="743">
        <v>0</v>
      </c>
      <c r="F131" s="484">
        <v>0</v>
      </c>
      <c r="G131" s="473">
        <f t="shared" si="24"/>
        <v>0</v>
      </c>
      <c r="H131" s="460">
        <f t="shared" ref="H131:H140" si="25">G131</f>
        <v>0</v>
      </c>
      <c r="I131" s="480"/>
      <c r="J131" s="553">
        <f>H131/DAY(B2)</f>
        <v>0</v>
      </c>
      <c r="N131" s="382"/>
      <c r="O131" s="382"/>
    </row>
    <row r="132" spans="1:15" ht="27.75">
      <c r="A132" s="1313" t="s">
        <v>241</v>
      </c>
      <c r="B132" s="1314"/>
      <c r="C132" s="1314"/>
      <c r="D132" s="523" t="s">
        <v>239</v>
      </c>
      <c r="E132" s="759">
        <v>38829</v>
      </c>
      <c r="F132" s="542">
        <v>38829</v>
      </c>
      <c r="G132" s="473">
        <f t="shared" si="24"/>
        <v>0</v>
      </c>
      <c r="H132" s="460">
        <f t="shared" si="25"/>
        <v>0</v>
      </c>
      <c r="I132" s="480"/>
      <c r="J132" s="553">
        <f>H132/DAY(B2)</f>
        <v>0</v>
      </c>
      <c r="N132" s="382"/>
      <c r="O132" s="382"/>
    </row>
    <row r="133" spans="1:15" s="781" customFormat="1" ht="27.75">
      <c r="A133" s="798" t="s">
        <v>242</v>
      </c>
      <c r="B133" s="1245"/>
      <c r="C133" s="1245"/>
      <c r="D133" s="524" t="s">
        <v>239</v>
      </c>
      <c r="E133" s="759">
        <v>300</v>
      </c>
      <c r="F133" s="522">
        <v>300</v>
      </c>
      <c r="G133" s="473">
        <f t="shared" si="24"/>
        <v>0</v>
      </c>
      <c r="H133" s="486">
        <f t="shared" si="25"/>
        <v>0</v>
      </c>
      <c r="I133" s="1246"/>
      <c r="J133" s="554">
        <f>H133/DAY(B2)</f>
        <v>0</v>
      </c>
      <c r="N133" s="726"/>
      <c r="O133" s="382"/>
    </row>
    <row r="134" spans="1:15" ht="27.75">
      <c r="A134" s="1313" t="s">
        <v>243</v>
      </c>
      <c r="B134" s="1314"/>
      <c r="C134" s="1314"/>
      <c r="D134" s="523" t="s">
        <v>239</v>
      </c>
      <c r="E134" s="759">
        <v>40367.14</v>
      </c>
      <c r="F134" s="542">
        <v>40391.14</v>
      </c>
      <c r="G134" s="473">
        <f t="shared" si="24"/>
        <v>24</v>
      </c>
      <c r="H134" s="460">
        <f t="shared" si="25"/>
        <v>24</v>
      </c>
      <c r="I134" s="480"/>
      <c r="J134" s="553">
        <f>H134/DAY(B2)</f>
        <v>24</v>
      </c>
      <c r="N134" s="382"/>
      <c r="O134" s="382"/>
    </row>
    <row r="135" spans="1:15" ht="27.75">
      <c r="A135" s="1313" t="s">
        <v>244</v>
      </c>
      <c r="B135" s="1314"/>
      <c r="C135" s="1314"/>
      <c r="D135" s="523" t="s">
        <v>239</v>
      </c>
      <c r="E135" s="750">
        <v>32571</v>
      </c>
      <c r="F135" s="542">
        <v>32574.44</v>
      </c>
      <c r="G135" s="473">
        <f t="shared" si="24"/>
        <v>3.4399999999986903</v>
      </c>
      <c r="H135" s="460">
        <f t="shared" si="25"/>
        <v>3.4399999999986903</v>
      </c>
      <c r="I135" s="480">
        <f>G132+G133+G134+G135</f>
        <v>27.43999999999869</v>
      </c>
      <c r="J135" s="553">
        <f>H135/DAY(B2)</f>
        <v>3.4399999999986903</v>
      </c>
      <c r="N135" s="382"/>
      <c r="O135" s="382"/>
    </row>
    <row r="136" spans="1:15" ht="27.75">
      <c r="A136" s="1313" t="s">
        <v>245</v>
      </c>
      <c r="B136" s="1314"/>
      <c r="C136" s="1314"/>
      <c r="D136" s="523" t="s">
        <v>239</v>
      </c>
      <c r="E136" s="750">
        <v>22222.21</v>
      </c>
      <c r="F136" s="542">
        <v>22230.98</v>
      </c>
      <c r="G136" s="473">
        <f t="shared" si="24"/>
        <v>8.7700000000004366</v>
      </c>
      <c r="H136" s="460">
        <f t="shared" si="25"/>
        <v>8.7700000000004366</v>
      </c>
      <c r="I136" s="480"/>
      <c r="J136" s="553">
        <f>H136/DAY(B2)</f>
        <v>8.7700000000004366</v>
      </c>
      <c r="N136" s="382"/>
      <c r="O136" s="382"/>
    </row>
    <row r="137" spans="1:15" ht="27.75">
      <c r="A137" s="1313" t="s">
        <v>246</v>
      </c>
      <c r="B137" s="1314"/>
      <c r="C137" s="1314"/>
      <c r="D137" s="523" t="s">
        <v>239</v>
      </c>
      <c r="E137" s="750">
        <v>25044.31</v>
      </c>
      <c r="F137" s="542">
        <v>25044.31</v>
      </c>
      <c r="G137" s="473">
        <f t="shared" si="24"/>
        <v>0</v>
      </c>
      <c r="H137" s="460">
        <f t="shared" si="25"/>
        <v>0</v>
      </c>
      <c r="I137" s="480"/>
      <c r="J137" s="553">
        <f>H137/DAY(B2)</f>
        <v>0</v>
      </c>
      <c r="N137" s="382"/>
      <c r="O137" s="382"/>
    </row>
    <row r="138" spans="1:15" ht="27.75">
      <c r="A138" s="1313" t="s">
        <v>247</v>
      </c>
      <c r="B138" s="1314"/>
      <c r="C138" s="1314"/>
      <c r="D138" s="523" t="s">
        <v>239</v>
      </c>
      <c r="E138" s="750">
        <v>70147.34</v>
      </c>
      <c r="F138" s="542">
        <v>70152.710000000006</v>
      </c>
      <c r="G138" s="473">
        <f t="shared" si="24"/>
        <v>5.3700000000098953</v>
      </c>
      <c r="H138" s="460">
        <f t="shared" si="25"/>
        <v>5.3700000000098953</v>
      </c>
      <c r="I138" s="480">
        <f>G136+G137+G138</f>
        <v>14.140000000010332</v>
      </c>
      <c r="J138" s="553">
        <f>H138/DAY(B2)</f>
        <v>5.3700000000098953</v>
      </c>
      <c r="N138" s="382"/>
      <c r="O138" s="382"/>
    </row>
    <row r="139" spans="1:15" ht="27.75">
      <c r="A139" s="1313" t="s">
        <v>248</v>
      </c>
      <c r="B139" s="1314"/>
      <c r="C139" s="1314"/>
      <c r="D139" s="523" t="s">
        <v>239</v>
      </c>
      <c r="E139" s="759">
        <v>1423.14</v>
      </c>
      <c r="F139" s="484">
        <v>1430.85</v>
      </c>
      <c r="G139" s="473">
        <f t="shared" si="24"/>
        <v>7.709999999999809</v>
      </c>
      <c r="H139" s="460">
        <f t="shared" si="25"/>
        <v>7.709999999999809</v>
      </c>
      <c r="I139" s="543"/>
      <c r="J139" s="553">
        <f>H139/DAY(B2)</f>
        <v>7.709999999999809</v>
      </c>
      <c r="N139" s="382"/>
      <c r="O139" s="382"/>
    </row>
    <row r="140" spans="1:15" ht="27.75">
      <c r="A140" s="1313" t="s">
        <v>249</v>
      </c>
      <c r="B140" s="1314"/>
      <c r="C140" s="1314"/>
      <c r="D140" s="523" t="s">
        <v>239</v>
      </c>
      <c r="E140" s="743">
        <v>4334</v>
      </c>
      <c r="F140" s="484">
        <v>4333.53</v>
      </c>
      <c r="G140" s="473">
        <f t="shared" si="24"/>
        <v>-0.47000000000025466</v>
      </c>
      <c r="H140" s="460">
        <f t="shared" si="25"/>
        <v>-0.47000000000025466</v>
      </c>
      <c r="I140" s="543">
        <f>G139+G140</f>
        <v>7.2399999999995543</v>
      </c>
      <c r="J140" s="553">
        <f>H140/DAY(B2)</f>
        <v>-0.47000000000025466</v>
      </c>
      <c r="N140" s="382"/>
      <c r="O140" s="382"/>
    </row>
    <row r="141" spans="1:15">
      <c r="A141" s="1446" t="s">
        <v>250</v>
      </c>
      <c r="B141" s="1447"/>
      <c r="C141" s="1319"/>
      <c r="D141" s="472"/>
      <c r="E141" s="744"/>
      <c r="F141" s="472"/>
      <c r="G141" s="483"/>
      <c r="H141" s="483"/>
      <c r="I141" s="483"/>
      <c r="J141" s="564"/>
      <c r="K141" s="380"/>
      <c r="L141" s="377"/>
      <c r="N141" s="382"/>
      <c r="O141" s="382"/>
    </row>
    <row r="142" spans="1:15" ht="27.75">
      <c r="A142" s="1411" t="s">
        <v>251</v>
      </c>
      <c r="B142" s="1412"/>
      <c r="C142" s="1413"/>
      <c r="D142" s="523" t="s">
        <v>132</v>
      </c>
      <c r="E142" s="460"/>
      <c r="F142" s="523"/>
      <c r="G142" s="460">
        <f>G35+G43+G49+G57</f>
        <v>5648.4799999999814</v>
      </c>
      <c r="H142" s="460">
        <f>G142</f>
        <v>5648.4799999999814</v>
      </c>
      <c r="I142" s="480"/>
      <c r="J142" s="553">
        <f>H142/DAY(B2)</f>
        <v>5648.4799999999814</v>
      </c>
      <c r="K142" s="380"/>
      <c r="L142" s="377"/>
      <c r="N142" s="382"/>
      <c r="O142" s="382"/>
    </row>
    <row r="143" spans="1:15" ht="27.75">
      <c r="A143" s="1411" t="s">
        <v>252</v>
      </c>
      <c r="B143" s="1412"/>
      <c r="C143" s="1413"/>
      <c r="D143" s="523" t="s">
        <v>24</v>
      </c>
      <c r="E143" s="470"/>
      <c r="F143" s="511"/>
      <c r="G143" s="544">
        <f>G142/G7</f>
        <v>0.2521980622404778</v>
      </c>
      <c r="H143" s="460">
        <f t="shared" ref="H143:H153" si="26">G143</f>
        <v>0.2521980622404778</v>
      </c>
      <c r="I143" s="545"/>
      <c r="J143" s="553">
        <f>H143/DAY(B2)</f>
        <v>0.2521980622404778</v>
      </c>
      <c r="K143" s="380"/>
      <c r="L143" s="377"/>
      <c r="N143" s="382"/>
      <c r="O143" s="382"/>
    </row>
    <row r="144" spans="1:15" ht="27.75">
      <c r="A144" s="1411" t="s">
        <v>253</v>
      </c>
      <c r="B144" s="1412"/>
      <c r="C144" s="1413"/>
      <c r="D144" s="523" t="s">
        <v>132</v>
      </c>
      <c r="E144" s="460"/>
      <c r="F144" s="455"/>
      <c r="G144" s="460">
        <f>G41+G42+G55+G56</f>
        <v>5749.6500000000087</v>
      </c>
      <c r="H144" s="460">
        <f t="shared" si="26"/>
        <v>5749.6500000000087</v>
      </c>
      <c r="I144" s="480"/>
      <c r="J144" s="553">
        <f>H144/DAY(B2)</f>
        <v>5749.6500000000087</v>
      </c>
      <c r="K144" s="380"/>
      <c r="L144" s="377"/>
      <c r="N144" s="382"/>
      <c r="O144" s="382"/>
    </row>
    <row r="145" spans="1:15" ht="27.75">
      <c r="A145" s="1411" t="s">
        <v>254</v>
      </c>
      <c r="B145" s="1412"/>
      <c r="C145" s="1413"/>
      <c r="D145" s="523" t="s">
        <v>24</v>
      </c>
      <c r="E145" s="460"/>
      <c r="F145" s="455"/>
      <c r="G145" s="544">
        <f>G144/G7</f>
        <v>0.25671518506942931</v>
      </c>
      <c r="H145" s="460">
        <f t="shared" si="26"/>
        <v>0.25671518506942931</v>
      </c>
      <c r="I145" s="545"/>
      <c r="J145" s="553">
        <f>H145/DAY(B2)</f>
        <v>0.25671518506942931</v>
      </c>
      <c r="K145" s="380"/>
      <c r="L145" s="377"/>
      <c r="N145" s="382"/>
      <c r="O145" s="382"/>
    </row>
    <row r="146" spans="1:15" ht="27.75">
      <c r="A146" s="1411" t="s">
        <v>255</v>
      </c>
      <c r="B146" s="1412"/>
      <c r="C146" s="1413"/>
      <c r="D146" s="523" t="s">
        <v>132</v>
      </c>
      <c r="E146" s="460"/>
      <c r="F146" s="455"/>
      <c r="G146" s="460">
        <f>G39+G53</f>
        <v>4328.8000000000029</v>
      </c>
      <c r="H146" s="460">
        <f t="shared" si="26"/>
        <v>4328.8000000000029</v>
      </c>
      <c r="I146" s="546"/>
      <c r="J146" s="553">
        <f>H146/DAY(B2)</f>
        <v>4328.8000000000029</v>
      </c>
      <c r="K146" s="380"/>
      <c r="L146" s="377"/>
      <c r="N146" s="382"/>
      <c r="O146" s="382"/>
    </row>
    <row r="147" spans="1:15" ht="27.75">
      <c r="A147" s="1411" t="s">
        <v>256</v>
      </c>
      <c r="B147" s="1412"/>
      <c r="C147" s="1413"/>
      <c r="D147" s="523" t="s">
        <v>24</v>
      </c>
      <c r="E147" s="460"/>
      <c r="F147" s="455"/>
      <c r="G147" s="544">
        <f>G146/G7</f>
        <v>0.19327588516319164</v>
      </c>
      <c r="H147" s="460">
        <f t="shared" si="26"/>
        <v>0.19327588516319164</v>
      </c>
      <c r="I147" s="546"/>
      <c r="J147" s="553">
        <f>H147/DAY(B2)</f>
        <v>0.19327588516319164</v>
      </c>
      <c r="N147" s="382"/>
      <c r="O147" s="382"/>
    </row>
    <row r="148" spans="1:15" ht="27.75">
      <c r="A148" s="1411" t="s">
        <v>257</v>
      </c>
      <c r="B148" s="1412"/>
      <c r="C148" s="1413"/>
      <c r="D148" s="523" t="s">
        <v>183</v>
      </c>
      <c r="E148" s="460"/>
      <c r="F148" s="455"/>
      <c r="G148" s="460">
        <f>G38+G52</f>
        <v>2140.4200000000055</v>
      </c>
      <c r="H148" s="460">
        <f t="shared" si="26"/>
        <v>2140.4200000000055</v>
      </c>
      <c r="I148" s="480"/>
      <c r="J148" s="553">
        <f>H148/DAY(B2)</f>
        <v>2140.4200000000055</v>
      </c>
      <c r="K148" s="381"/>
      <c r="N148" s="382"/>
      <c r="O148" s="382"/>
    </row>
    <row r="149" spans="1:15" ht="27.75">
      <c r="A149" s="1411" t="s">
        <v>258</v>
      </c>
      <c r="B149" s="1412"/>
      <c r="C149" s="1413"/>
      <c r="D149" s="523" t="s">
        <v>24</v>
      </c>
      <c r="E149" s="460"/>
      <c r="F149" s="455"/>
      <c r="G149" s="544">
        <f>G148/G7</f>
        <v>9.5567263472786781E-2</v>
      </c>
      <c r="H149" s="460">
        <f t="shared" si="26"/>
        <v>9.5567263472786781E-2</v>
      </c>
      <c r="I149" s="546"/>
      <c r="J149" s="553">
        <f>H149/DAY(B2)</f>
        <v>9.5567263472786781E-2</v>
      </c>
      <c r="N149" s="382"/>
      <c r="O149" s="382"/>
    </row>
    <row r="150" spans="1:15" ht="27.75">
      <c r="A150" s="1411" t="s">
        <v>259</v>
      </c>
      <c r="B150" s="1412"/>
      <c r="C150" s="1413"/>
      <c r="D150" s="523" t="s">
        <v>183</v>
      </c>
      <c r="E150" s="460"/>
      <c r="F150" s="455"/>
      <c r="G150" s="460">
        <f>G36+G50</f>
        <v>2395.1599999999744</v>
      </c>
      <c r="H150" s="460">
        <f t="shared" si="26"/>
        <v>2395.1599999999744</v>
      </c>
      <c r="I150" s="546"/>
      <c r="J150" s="553">
        <f>H150/DAY(B2)</f>
        <v>2395.1599999999744</v>
      </c>
      <c r="N150" s="382"/>
      <c r="O150" s="382"/>
    </row>
    <row r="151" spans="1:15" ht="27.75">
      <c r="A151" s="1411" t="s">
        <v>260</v>
      </c>
      <c r="B151" s="1412"/>
      <c r="C151" s="1413"/>
      <c r="D151" s="523" t="s">
        <v>24</v>
      </c>
      <c r="E151" s="460"/>
      <c r="F151" s="455"/>
      <c r="G151" s="544">
        <f>G150/G7</f>
        <v>0.10694110818413066</v>
      </c>
      <c r="H151" s="460">
        <f t="shared" si="26"/>
        <v>0.10694110818413066</v>
      </c>
      <c r="I151" s="480"/>
      <c r="J151" s="553">
        <f>H151/DAY(B2)</f>
        <v>0.10694110818413066</v>
      </c>
      <c r="N151" s="382"/>
      <c r="O151" s="382"/>
    </row>
    <row r="152" spans="1:15" ht="27.75">
      <c r="A152" s="1411" t="s">
        <v>261</v>
      </c>
      <c r="B152" s="1412"/>
      <c r="C152" s="1413"/>
      <c r="D152" s="523" t="s">
        <v>183</v>
      </c>
      <c r="E152" s="460"/>
      <c r="F152" s="455"/>
      <c r="G152" s="460">
        <f>G37+G51</f>
        <v>1450.4500000000044</v>
      </c>
      <c r="H152" s="460">
        <f t="shared" si="26"/>
        <v>1450.4500000000044</v>
      </c>
      <c r="I152" s="480"/>
      <c r="J152" s="553">
        <f>H152/DAY(B2)</f>
        <v>1450.4500000000044</v>
      </c>
      <c r="N152" s="382"/>
      <c r="O152" s="382"/>
    </row>
    <row r="153" spans="1:15" ht="28.5" thickBot="1">
      <c r="A153" s="1443" t="s">
        <v>262</v>
      </c>
      <c r="B153" s="1444"/>
      <c r="C153" s="1445"/>
      <c r="D153" s="626" t="s">
        <v>24</v>
      </c>
      <c r="E153" s="568"/>
      <c r="F153" s="566"/>
      <c r="G153" s="567">
        <f>G152/G7</f>
        <v>6.4760905478412484E-2</v>
      </c>
      <c r="H153" s="460">
        <f t="shared" si="26"/>
        <v>6.4760905478412484E-2</v>
      </c>
      <c r="I153" s="569"/>
      <c r="J153" s="570">
        <f>H153/DAY(B2)</f>
        <v>6.4760905478412484E-2</v>
      </c>
      <c r="N153" s="382"/>
      <c r="O153" s="382"/>
    </row>
    <row r="154" spans="1:15">
      <c r="A154" s="466"/>
      <c r="B154" s="456"/>
      <c r="C154" s="456"/>
      <c r="D154" s="547"/>
      <c r="E154" s="760"/>
      <c r="F154" s="547"/>
      <c r="G154" s="547"/>
      <c r="H154" s="548"/>
      <c r="I154" s="547"/>
      <c r="J154" s="549"/>
      <c r="O154" s="382"/>
    </row>
    <row r="160" spans="1:15">
      <c r="A160" s="790" t="s">
        <v>263</v>
      </c>
      <c r="B160" s="791"/>
      <c r="C160" s="791"/>
      <c r="D160" s="511" t="s">
        <v>187</v>
      </c>
      <c r="E160" s="663">
        <v>30795.64</v>
      </c>
      <c r="F160" s="663">
        <v>30881.599999999999</v>
      </c>
      <c r="G160" s="473">
        <f t="shared" ref="G160:G171" si="27">F160-E160</f>
        <v>85.959999999999127</v>
      </c>
    </row>
    <row r="161" spans="1:7">
      <c r="A161" s="790" t="s">
        <v>264</v>
      </c>
      <c r="B161" s="791"/>
      <c r="C161" s="791"/>
      <c r="D161" s="511" t="s">
        <v>187</v>
      </c>
      <c r="E161" s="663">
        <v>55098.17</v>
      </c>
      <c r="F161" s="663">
        <v>55548.51</v>
      </c>
      <c r="G161" s="473">
        <f t="shared" si="27"/>
        <v>450.34000000000378</v>
      </c>
    </row>
    <row r="162" spans="1:7">
      <c r="A162" s="790" t="s">
        <v>265</v>
      </c>
      <c r="B162" s="791"/>
      <c r="C162" s="791"/>
      <c r="D162" s="511" t="s">
        <v>187</v>
      </c>
      <c r="E162" s="663">
        <v>20562.32</v>
      </c>
      <c r="F162" s="663">
        <v>20843.25</v>
      </c>
      <c r="G162" s="473">
        <f t="shared" si="27"/>
        <v>280.93000000000029</v>
      </c>
    </row>
    <row r="163" spans="1:7">
      <c r="A163" s="790" t="s">
        <v>266</v>
      </c>
      <c r="B163" s="791"/>
      <c r="C163" s="791"/>
      <c r="D163" s="511" t="s">
        <v>187</v>
      </c>
      <c r="E163" s="663">
        <v>5427.51</v>
      </c>
      <c r="F163" s="663">
        <v>5449.61</v>
      </c>
      <c r="G163" s="473">
        <f t="shared" si="27"/>
        <v>22.099999999999454</v>
      </c>
    </row>
    <row r="164" spans="1:7">
      <c r="A164" s="792" t="s">
        <v>98</v>
      </c>
      <c r="B164" s="605"/>
      <c r="C164" s="605"/>
      <c r="D164" s="511" t="s">
        <v>187</v>
      </c>
      <c r="E164" s="514">
        <f>E62</f>
        <v>20419.187000000002</v>
      </c>
      <c r="F164" s="514">
        <v>20419</v>
      </c>
      <c r="G164" s="473">
        <f>F164-E164</f>
        <v>-0.18700000000171713</v>
      </c>
    </row>
    <row r="165" spans="1:7">
      <c r="A165" s="792" t="s">
        <v>188</v>
      </c>
      <c r="B165" s="605"/>
      <c r="C165" s="605"/>
      <c r="D165" s="511" t="s">
        <v>187</v>
      </c>
      <c r="E165" s="514">
        <f t="shared" ref="E165:F171" si="28">E63</f>
        <v>1707.36</v>
      </c>
      <c r="F165" s="514">
        <f t="shared" si="28"/>
        <v>1721.57</v>
      </c>
      <c r="G165" s="473">
        <f t="shared" si="27"/>
        <v>14.210000000000036</v>
      </c>
    </row>
    <row r="166" spans="1:7" ht="27.75">
      <c r="A166" s="1460" t="s">
        <v>99</v>
      </c>
      <c r="B166" s="1460"/>
      <c r="C166" s="1460"/>
      <c r="D166" s="523" t="s">
        <v>187</v>
      </c>
      <c r="E166" s="514">
        <f t="shared" si="28"/>
        <v>123627.3</v>
      </c>
      <c r="F166" s="514">
        <f t="shared" si="28"/>
        <v>124127.85</v>
      </c>
      <c r="G166" s="473">
        <f t="shared" si="27"/>
        <v>500.55000000000291</v>
      </c>
    </row>
    <row r="167" spans="1:7" ht="27.75">
      <c r="A167" s="1460" t="s">
        <v>100</v>
      </c>
      <c r="B167" s="1460"/>
      <c r="C167" s="1460"/>
      <c r="D167" s="523" t="s">
        <v>187</v>
      </c>
      <c r="E167" s="514">
        <f t="shared" si="28"/>
        <v>132597.29999999999</v>
      </c>
      <c r="F167" s="514">
        <f t="shared" si="28"/>
        <v>132996.35999999999</v>
      </c>
      <c r="G167" s="473">
        <f t="shared" si="27"/>
        <v>399.05999999999767</v>
      </c>
    </row>
    <row r="168" spans="1:7" ht="27.75">
      <c r="A168" s="1460" t="s">
        <v>101</v>
      </c>
      <c r="B168" s="1460"/>
      <c r="C168" s="1460"/>
      <c r="D168" s="523" t="s">
        <v>187</v>
      </c>
      <c r="E168" s="514">
        <f t="shared" si="28"/>
        <v>25159.75</v>
      </c>
      <c r="F168" s="514">
        <f t="shared" si="28"/>
        <v>25566.36</v>
      </c>
      <c r="G168" s="473">
        <f t="shared" si="27"/>
        <v>406.61000000000058</v>
      </c>
    </row>
    <row r="169" spans="1:7" ht="27.75">
      <c r="A169" s="1460" t="s">
        <v>102</v>
      </c>
      <c r="B169" s="1460"/>
      <c r="C169" s="1460"/>
      <c r="D169" s="523" t="s">
        <v>187</v>
      </c>
      <c r="E169" s="514">
        <f t="shared" si="28"/>
        <v>207841.83</v>
      </c>
      <c r="F169" s="514">
        <f t="shared" si="28"/>
        <v>208546.07</v>
      </c>
      <c r="G169" s="473">
        <f t="shared" si="27"/>
        <v>704.24000000001979</v>
      </c>
    </row>
    <row r="170" spans="1:7" ht="27.75">
      <c r="A170" s="1460" t="s">
        <v>103</v>
      </c>
      <c r="B170" s="1460"/>
      <c r="C170" s="1460"/>
      <c r="D170" s="523" t="s">
        <v>187</v>
      </c>
      <c r="E170" s="514">
        <f t="shared" si="28"/>
        <v>72678.52</v>
      </c>
      <c r="F170" s="514">
        <f t="shared" si="28"/>
        <v>73027.42</v>
      </c>
      <c r="G170" s="473">
        <f t="shared" si="27"/>
        <v>348.89999999999418</v>
      </c>
    </row>
    <row r="171" spans="1:7" ht="27.75">
      <c r="A171" s="1460" t="s">
        <v>104</v>
      </c>
      <c r="B171" s="1460"/>
      <c r="C171" s="1460"/>
      <c r="D171" s="523" t="s">
        <v>187</v>
      </c>
      <c r="E171" s="514">
        <f t="shared" si="28"/>
        <v>64452.09</v>
      </c>
      <c r="F171" s="514">
        <f t="shared" si="28"/>
        <v>64776.091</v>
      </c>
      <c r="G171" s="473">
        <f t="shared" si="27"/>
        <v>324.00100000000384</v>
      </c>
    </row>
    <row r="172" spans="1:7">
      <c r="G172" s="540">
        <f>SUM(G160:G171)</f>
        <v>3536.71400000002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activeCell="A70" sqref="A70:C70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5" s="281" customFormat="1" ht="27">
      <c r="A2" s="576" t="s">
        <v>279</v>
      </c>
      <c r="B2" s="1038">
        <v>44230</v>
      </c>
      <c r="C2" s="1315" t="s">
        <v>69</v>
      </c>
      <c r="D2" s="612">
        <v>0.48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315" t="s">
        <v>120</v>
      </c>
      <c r="D3" s="613">
        <v>27</v>
      </c>
      <c r="E3" s="1432" t="s">
        <v>121</v>
      </c>
      <c r="F3" s="1433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315" t="s">
        <v>122</v>
      </c>
      <c r="D4" s="612">
        <v>0.75</v>
      </c>
      <c r="E4" s="464"/>
      <c r="F4" s="464"/>
      <c r="G4" s="464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30" thickBot="1">
      <c r="A7" s="579" t="s">
        <v>131</v>
      </c>
      <c r="B7" s="580"/>
      <c r="C7" s="580"/>
      <c r="D7" s="523" t="s">
        <v>132</v>
      </c>
      <c r="E7" s="455">
        <f>'[4]1'!F7</f>
        <v>4467474</v>
      </c>
      <c r="F7" s="455">
        <v>4489853</v>
      </c>
      <c r="G7" s="473">
        <f>F7-E7</f>
        <v>22379</v>
      </c>
      <c r="H7" s="460">
        <f>G7+'[4]1'!H7</f>
        <v>44776</v>
      </c>
      <c r="I7" s="474">
        <f>'[4]1'!I7</f>
        <v>12000</v>
      </c>
      <c r="J7" s="553">
        <f>H7/DAY(B2)</f>
        <v>14925.333333333334</v>
      </c>
      <c r="K7" s="550"/>
      <c r="L7" s="377"/>
      <c r="O7" s="382"/>
    </row>
    <row r="8" spans="1:15" ht="27.75" thickBot="1">
      <c r="A8" s="581" t="s">
        <v>133</v>
      </c>
      <c r="B8" s="582"/>
      <c r="C8" s="583"/>
      <c r="D8" s="618" t="s">
        <v>25</v>
      </c>
      <c r="E8" s="475">
        <f>'[4]1'!F8</f>
        <v>4495710</v>
      </c>
      <c r="F8" s="475">
        <v>4518306</v>
      </c>
      <c r="G8" s="476">
        <f>F8-E8</f>
        <v>22596</v>
      </c>
      <c r="H8" s="460">
        <f>G8+'[4]1'!H8</f>
        <v>45150</v>
      </c>
      <c r="I8" s="477">
        <v>12000</v>
      </c>
      <c r="J8" s="553">
        <f>H8/DAY(B2)</f>
        <v>15050</v>
      </c>
      <c r="K8" s="550"/>
      <c r="L8" s="425"/>
      <c r="M8" s="440"/>
      <c r="O8" s="382"/>
    </row>
    <row r="9" spans="1:15">
      <c r="A9" s="584" t="s">
        <v>134</v>
      </c>
      <c r="B9" s="585"/>
      <c r="C9" s="585"/>
      <c r="D9" s="523" t="s">
        <v>132</v>
      </c>
      <c r="E9" s="478">
        <f>'[4]1'!F9</f>
        <v>101235.16</v>
      </c>
      <c r="F9" s="478">
        <v>115804.21</v>
      </c>
      <c r="G9" s="473">
        <f t="shared" ref="G9:G11" si="0">F9-E9</f>
        <v>14569.050000000003</v>
      </c>
      <c r="H9" s="460">
        <f>G9+'[4]1'!H9</f>
        <v>28895.200000000012</v>
      </c>
      <c r="I9" s="479">
        <f>I8-J8</f>
        <v>-3050</v>
      </c>
      <c r="J9" s="553">
        <f>H9/DAY(B2)</f>
        <v>9631.7333333333372</v>
      </c>
      <c r="K9" s="428"/>
      <c r="L9" s="377"/>
      <c r="O9" s="382"/>
    </row>
    <row r="10" spans="1:15">
      <c r="A10" s="579" t="s">
        <v>135</v>
      </c>
      <c r="B10" s="580"/>
      <c r="C10" s="580"/>
      <c r="D10" s="523" t="s">
        <v>132</v>
      </c>
      <c r="E10" s="478">
        <f>'[4]1'!F10</f>
        <v>33103.08</v>
      </c>
      <c r="F10" s="478">
        <v>40262.76</v>
      </c>
      <c r="G10" s="473">
        <f t="shared" si="0"/>
        <v>7159.68</v>
      </c>
      <c r="H10" s="460">
        <f>G10+'[4]1'!H10</f>
        <v>14567.2</v>
      </c>
      <c r="I10" s="480"/>
      <c r="J10" s="553">
        <f>H10/DAY(B2)</f>
        <v>4855.7333333333336</v>
      </c>
      <c r="K10" s="428"/>
      <c r="L10" s="377"/>
      <c r="O10" s="382"/>
    </row>
    <row r="11" spans="1:15">
      <c r="A11" s="579" t="s">
        <v>136</v>
      </c>
      <c r="B11" s="580"/>
      <c r="C11" s="580"/>
      <c r="D11" s="523" t="s">
        <v>132</v>
      </c>
      <c r="E11" s="455">
        <f>'[4]1'!F11</f>
        <v>37000</v>
      </c>
      <c r="F11" s="455">
        <v>37000</v>
      </c>
      <c r="G11" s="473">
        <f t="shared" si="0"/>
        <v>0</v>
      </c>
      <c r="H11" s="460">
        <f>G11+'[4]1'!H11</f>
        <v>0</v>
      </c>
      <c r="I11" s="480"/>
      <c r="J11" s="553">
        <f>H11/DAY(B2)</f>
        <v>0</v>
      </c>
      <c r="K11" s="428"/>
      <c r="L11" s="377"/>
      <c r="O11" s="382"/>
    </row>
    <row r="12" spans="1:15">
      <c r="A12" s="579" t="s">
        <v>137</v>
      </c>
      <c r="B12" s="580"/>
      <c r="C12" s="580"/>
      <c r="D12" s="523" t="s">
        <v>132</v>
      </c>
      <c r="E12" s="478">
        <f>'[4]1'!F12</f>
        <v>40010</v>
      </c>
      <c r="F12" s="478">
        <v>40010</v>
      </c>
      <c r="G12" s="473">
        <v>0</v>
      </c>
      <c r="H12" s="460">
        <f>G12+'[4]1'!H12</f>
        <v>0</v>
      </c>
      <c r="I12" s="480"/>
      <c r="J12" s="553">
        <f>H12/DAY(B2)</f>
        <v>0</v>
      </c>
      <c r="K12" s="428"/>
      <c r="L12" s="377"/>
      <c r="O12" s="382"/>
    </row>
    <row r="13" spans="1:15">
      <c r="A13" s="586" t="s">
        <v>138</v>
      </c>
      <c r="B13" s="587"/>
      <c r="C13" s="587"/>
      <c r="D13" s="523"/>
      <c r="E13" s="455"/>
      <c r="F13" s="455"/>
      <c r="G13" s="481">
        <f>G9+G10+G11+G12</f>
        <v>21728.730000000003</v>
      </c>
      <c r="H13" s="460">
        <f>G13+'[4]1'!H13</f>
        <v>43462.400000000009</v>
      </c>
      <c r="I13" s="482">
        <f>G7-G13</f>
        <v>650.2699999999968</v>
      </c>
      <c r="J13" s="553">
        <f>H13/DAY(B2)</f>
        <v>14487.466666666669</v>
      </c>
      <c r="K13" s="428"/>
      <c r="L13" s="377"/>
      <c r="O13" s="382"/>
    </row>
    <row r="14" spans="1:15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O14" s="382"/>
    </row>
    <row r="15" spans="1:15">
      <c r="A15" s="1313" t="s">
        <v>140</v>
      </c>
      <c r="B15" s="590"/>
      <c r="C15" s="590"/>
      <c r="D15" s="523" t="s">
        <v>141</v>
      </c>
      <c r="E15" s="484">
        <f>'[4]1'!F15</f>
        <v>1620759.2420000001</v>
      </c>
      <c r="F15" s="656">
        <v>1621752.42</v>
      </c>
      <c r="G15" s="785">
        <f>(F15-E15)</f>
        <v>993.17799999983981</v>
      </c>
      <c r="H15" s="460">
        <f>G15+'[4]1'!H15</f>
        <v>1873.809999999823</v>
      </c>
      <c r="I15" s="474">
        <v>800</v>
      </c>
      <c r="J15" s="553">
        <f>H15/DAY(B2)</f>
        <v>624.60333333327435</v>
      </c>
      <c r="K15" s="428"/>
      <c r="L15" s="377"/>
      <c r="O15" s="382"/>
    </row>
    <row r="16" spans="1:15">
      <c r="A16" s="588"/>
      <c r="B16" s="589"/>
      <c r="C16" s="589"/>
      <c r="D16" s="524"/>
      <c r="E16" s="485"/>
      <c r="F16" s="485"/>
      <c r="G16" s="473"/>
      <c r="H16" s="486"/>
      <c r="I16" s="487">
        <f>I15-J15</f>
        <v>175.39666666672565</v>
      </c>
      <c r="J16" s="554"/>
      <c r="K16" s="428"/>
      <c r="L16" s="377"/>
      <c r="O16" s="382">
        <f>G15-150</f>
        <v>843.17799999983981</v>
      </c>
    </row>
    <row r="17" spans="1:15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O17" s="382"/>
    </row>
    <row r="18" spans="1:15" ht="27.75">
      <c r="A18" s="1411" t="s">
        <v>143</v>
      </c>
      <c r="B18" s="1412"/>
      <c r="C18" s="1413"/>
      <c r="D18" s="523" t="s">
        <v>144</v>
      </c>
      <c r="E18" s="484">
        <f>'[4]1'!F18</f>
        <v>18</v>
      </c>
      <c r="F18" s="478">
        <v>14</v>
      </c>
      <c r="G18" s="481">
        <f>F18*10</f>
        <v>140</v>
      </c>
      <c r="H18" s="460">
        <f>G18+'[4]1'!H18</f>
        <v>320</v>
      </c>
      <c r="I18" s="474">
        <f>'[4]1'!I18</f>
        <v>65</v>
      </c>
      <c r="J18" s="553">
        <f>H18/DAY(B2)</f>
        <v>106.66666666666667</v>
      </c>
      <c r="K18" s="428"/>
      <c r="L18" s="377"/>
      <c r="O18" s="382"/>
    </row>
    <row r="19" spans="1:15" ht="27.75">
      <c r="A19" s="1411" t="s">
        <v>71</v>
      </c>
      <c r="B19" s="1412"/>
      <c r="C19" s="1413"/>
      <c r="D19" s="523" t="s">
        <v>144</v>
      </c>
      <c r="E19" s="484">
        <f>'[4]1'!F19</f>
        <v>134516</v>
      </c>
      <c r="F19" s="478">
        <v>134568</v>
      </c>
      <c r="G19" s="473">
        <f>F19-E19</f>
        <v>52</v>
      </c>
      <c r="H19" s="460">
        <f>G19+'[4]1'!H19</f>
        <v>100</v>
      </c>
      <c r="I19" s="489"/>
      <c r="J19" s="553">
        <f>H19/DAY(B2)</f>
        <v>33.333333333333336</v>
      </c>
      <c r="K19" s="428"/>
      <c r="L19" s="377"/>
      <c r="O19" s="382"/>
    </row>
    <row r="20" spans="1:15">
      <c r="A20" s="586" t="s">
        <v>145</v>
      </c>
      <c r="B20" s="587"/>
      <c r="C20" s="587"/>
      <c r="D20" s="490"/>
      <c r="E20" s="490"/>
      <c r="F20" s="523"/>
      <c r="G20" s="1041">
        <f>G18+G19</f>
        <v>192</v>
      </c>
      <c r="H20" s="460">
        <f>G20+'[4]1'!H20</f>
        <v>420</v>
      </c>
      <c r="I20" s="492">
        <f>I18-J20</f>
        <v>-75</v>
      </c>
      <c r="J20" s="553">
        <f>H20/DAY(B2)</f>
        <v>140</v>
      </c>
      <c r="K20" s="428"/>
      <c r="L20" s="377"/>
      <c r="O20" s="382"/>
    </row>
    <row r="21" spans="1:15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O21" s="382"/>
    </row>
    <row r="22" spans="1:15">
      <c r="A22" s="1313" t="s">
        <v>147</v>
      </c>
      <c r="B22" s="590"/>
      <c r="C22" s="590"/>
      <c r="D22" s="523" t="s">
        <v>148</v>
      </c>
      <c r="E22" s="484">
        <f>'[4]1'!F22</f>
        <v>2970</v>
      </c>
      <c r="F22" s="478">
        <v>2970</v>
      </c>
      <c r="G22" s="481">
        <f t="shared" ref="G22" si="1">(F22-E22)</f>
        <v>0</v>
      </c>
      <c r="H22" s="460">
        <f>G22+'[4]1'!H22</f>
        <v>0</v>
      </c>
      <c r="I22" s="480"/>
      <c r="J22" s="553">
        <f>H22/DAY(B2)</f>
        <v>0</v>
      </c>
      <c r="K22" s="428"/>
      <c r="L22" s="377"/>
      <c r="O22" s="382"/>
    </row>
    <row r="23" spans="1:15">
      <c r="A23" s="1313" t="s">
        <v>149</v>
      </c>
      <c r="B23" s="590"/>
      <c r="C23" s="590"/>
      <c r="D23" s="523" t="s">
        <v>148</v>
      </c>
      <c r="E23" s="484">
        <f>'[4]1'!F23</f>
        <v>1900</v>
      </c>
      <c r="F23" s="478">
        <v>1900</v>
      </c>
      <c r="G23" s="481">
        <v>0</v>
      </c>
      <c r="H23" s="460">
        <f>G23+'[4]1'!H23</f>
        <v>0</v>
      </c>
      <c r="I23" s="480"/>
      <c r="J23" s="553">
        <f>H23/DAY(B2)</f>
        <v>0</v>
      </c>
      <c r="K23" s="428"/>
      <c r="L23" s="377"/>
      <c r="O23" s="382"/>
    </row>
    <row r="24" spans="1:15">
      <c r="A24" s="591" t="s">
        <v>150</v>
      </c>
      <c r="B24" s="592"/>
      <c r="C24" s="592"/>
      <c r="D24" s="511" t="s">
        <v>148</v>
      </c>
      <c r="E24" s="484">
        <f>'[4]1'!F24</f>
        <v>4250</v>
      </c>
      <c r="F24" s="485">
        <v>4250</v>
      </c>
      <c r="G24" s="481">
        <v>0</v>
      </c>
      <c r="H24" s="460">
        <f>G24</f>
        <v>0</v>
      </c>
      <c r="I24" s="480"/>
      <c r="J24" s="553">
        <f>H24/DAY(B2)</f>
        <v>0</v>
      </c>
      <c r="K24" s="428"/>
      <c r="L24" s="377"/>
      <c r="O24" s="382"/>
    </row>
    <row r="25" spans="1:15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1">
        <f>G8</f>
        <v>22596</v>
      </c>
      <c r="F27" s="501">
        <v>9</v>
      </c>
      <c r="G27" s="502">
        <f>E27*F27</f>
        <v>203364</v>
      </c>
      <c r="H27" s="460">
        <f>G27+'[4]1'!H27</f>
        <v>406350</v>
      </c>
      <c r="I27" s="503"/>
      <c r="J27" s="553">
        <f>H27/DAY(B2)</f>
        <v>135450</v>
      </c>
      <c r="K27" s="373"/>
      <c r="L27" s="443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1">
        <f>G15</f>
        <v>993.17799999983981</v>
      </c>
      <c r="F28" s="501">
        <v>48.88</v>
      </c>
      <c r="G28" s="502">
        <f>E28*F28</f>
        <v>48546.54063999217</v>
      </c>
      <c r="H28" s="460">
        <f>G28+'[4]1'!H28</f>
        <v>91591.83279999136</v>
      </c>
      <c r="I28" s="505"/>
      <c r="J28" s="553">
        <f>H28/DAY(B2)</f>
        <v>30530.610933330452</v>
      </c>
      <c r="K28" s="373"/>
      <c r="L28" s="443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G29+'[4]1'!H29</f>
        <v>0</v>
      </c>
      <c r="I29" s="505"/>
      <c r="J29" s="553">
        <f>H29/DAY(B2)</f>
        <v>0</v>
      </c>
      <c r="K29" s="373"/>
      <c r="L29" s="443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1">
        <f>G19</f>
        <v>52</v>
      </c>
      <c r="F30" s="501">
        <v>134</v>
      </c>
      <c r="G30" s="502">
        <f>E30*F30</f>
        <v>6968</v>
      </c>
      <c r="H30" s="460">
        <f>G30+'[4]1'!H30</f>
        <v>31088</v>
      </c>
      <c r="I30" s="505"/>
      <c r="J30" s="553">
        <f>H30/DAY(B2)</f>
        <v>10362.666666666666</v>
      </c>
      <c r="K30" s="373"/>
      <c r="L30" s="443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1">
        <f>G18</f>
        <v>140</v>
      </c>
      <c r="F31" s="501">
        <v>80</v>
      </c>
      <c r="G31" s="502">
        <f>E31*F31</f>
        <v>11200</v>
      </c>
      <c r="H31" s="460">
        <f>G31+'[4]1'!H31</f>
        <v>15040</v>
      </c>
      <c r="I31" s="505"/>
      <c r="J31" s="553">
        <f>H31/DAY(B2)</f>
        <v>5013.333333333333</v>
      </c>
      <c r="K31" s="373"/>
      <c r="L31" s="443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270078.54063999216</v>
      </c>
      <c r="H32" s="460">
        <f>G32+'[4]1'!H32</f>
        <v>544069.83279999136</v>
      </c>
      <c r="I32" s="509"/>
      <c r="J32" s="553">
        <f>H32/DAY(B2)</f>
        <v>181356.61093333046</v>
      </c>
      <c r="K32" s="373"/>
      <c r="L32" s="443"/>
      <c r="O32" s="382"/>
    </row>
    <row r="33" spans="1:15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O33" s="382"/>
    </row>
    <row r="34" spans="1:15">
      <c r="A34" s="599" t="s">
        <v>163</v>
      </c>
      <c r="B34" s="1318"/>
      <c r="C34" s="1318"/>
      <c r="D34" s="472"/>
      <c r="E34" s="471"/>
      <c r="F34" s="471"/>
      <c r="G34" s="472"/>
      <c r="H34" s="472"/>
      <c r="I34" s="472"/>
      <c r="J34" s="552"/>
      <c r="K34" s="428"/>
      <c r="L34" s="377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'[4]1'!F35</f>
        <v>696280.71</v>
      </c>
      <c r="F35" s="510">
        <v>699784.47</v>
      </c>
      <c r="G35" s="473">
        <f t="shared" ref="G35:G46" si="2">F35-E35</f>
        <v>3503.7600000000093</v>
      </c>
      <c r="H35" s="460">
        <f>G35+'[4]1'!H35</f>
        <v>6696.8800000000047</v>
      </c>
      <c r="I35" s="455"/>
      <c r="J35" s="553">
        <f>H35/DAY(B2)</f>
        <v>2232.2933333333349</v>
      </c>
      <c r="K35" s="428"/>
      <c r="L35" s="377"/>
      <c r="O35" s="382"/>
    </row>
    <row r="36" spans="1:15">
      <c r="A36" s="579" t="s">
        <v>165</v>
      </c>
      <c r="B36" s="580"/>
      <c r="C36" s="580"/>
      <c r="D36" s="523" t="s">
        <v>132</v>
      </c>
      <c r="E36" s="510">
        <f>'[4]1'!F36</f>
        <v>297204.81</v>
      </c>
      <c r="F36" s="510">
        <v>297874.09000000003</v>
      </c>
      <c r="G36" s="473">
        <f t="shared" si="2"/>
        <v>669.28000000002794</v>
      </c>
      <c r="H36" s="460">
        <f>G36+'[4]1'!H36</f>
        <v>1428.5200000000186</v>
      </c>
      <c r="I36" s="455"/>
      <c r="J36" s="553">
        <f>H36/DAY(B2)</f>
        <v>476.17333333333954</v>
      </c>
      <c r="K36" s="428"/>
      <c r="L36" s="377"/>
      <c r="O36" s="629"/>
    </row>
    <row r="37" spans="1:15">
      <c r="A37" s="579" t="s">
        <v>166</v>
      </c>
      <c r="B37" s="580"/>
      <c r="C37" s="580"/>
      <c r="D37" s="523" t="s">
        <v>132</v>
      </c>
      <c r="E37" s="510">
        <f>'[4]1'!F37</f>
        <v>33512.550000000003</v>
      </c>
      <c r="F37" s="510">
        <v>34969.39</v>
      </c>
      <c r="G37" s="473">
        <f t="shared" si="2"/>
        <v>1456.8399999999965</v>
      </c>
      <c r="H37" s="460">
        <f>G37+'[4]1'!H37</f>
        <v>2907.2900000000009</v>
      </c>
      <c r="I37" s="455"/>
      <c r="J37" s="553">
        <f>H37/DAY(B2)</f>
        <v>969.09666666666692</v>
      </c>
      <c r="K37" s="428"/>
      <c r="L37" s="377"/>
      <c r="O37" s="630"/>
    </row>
    <row r="38" spans="1:15">
      <c r="A38" s="579" t="s">
        <v>167</v>
      </c>
      <c r="B38" s="580"/>
      <c r="C38" s="580"/>
      <c r="D38" s="523" t="s">
        <v>132</v>
      </c>
      <c r="E38" s="469">
        <f>'[4]1'!F38</f>
        <v>45953.91</v>
      </c>
      <c r="F38" s="469">
        <v>48043.42</v>
      </c>
      <c r="G38" s="473">
        <f t="shared" si="2"/>
        <v>2089.5099999999948</v>
      </c>
      <c r="H38" s="460">
        <f>G38+'[4]1'!H38</f>
        <v>4229.93</v>
      </c>
      <c r="I38" s="455"/>
      <c r="J38" s="553">
        <f>H38/DAY(B2)</f>
        <v>1409.9766666666667</v>
      </c>
      <c r="K38" s="428"/>
      <c r="L38" s="377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'[4]1'!F39</f>
        <v>95004.19</v>
      </c>
      <c r="F39" s="510">
        <v>99373.119999999995</v>
      </c>
      <c r="G39" s="473">
        <f t="shared" si="2"/>
        <v>4368.929999999993</v>
      </c>
      <c r="H39" s="460">
        <f>G39+'[4]1'!H39</f>
        <v>8697.7299999999959</v>
      </c>
      <c r="I39" s="455"/>
      <c r="J39" s="553">
        <f>H39/DAY(B2)</f>
        <v>2899.243333333332</v>
      </c>
      <c r="K39" s="428"/>
      <c r="L39" s="377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f>'[4]1'!F40</f>
        <v>0</v>
      </c>
      <c r="F40" s="510">
        <v>0</v>
      </c>
      <c r="G40" s="473">
        <f t="shared" si="2"/>
        <v>0</v>
      </c>
      <c r="H40" s="460">
        <f>G40+'[4]1'!H40</f>
        <v>0</v>
      </c>
      <c r="I40" s="455"/>
      <c r="J40" s="553">
        <f>H40/DAY(B2)</f>
        <v>0</v>
      </c>
      <c r="K40" s="429"/>
      <c r="L40" s="377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'[4]1'!F41</f>
        <v>63882.37</v>
      </c>
      <c r="F41" s="510">
        <v>63882.37</v>
      </c>
      <c r="G41" s="473">
        <f t="shared" si="2"/>
        <v>0</v>
      </c>
      <c r="H41" s="460">
        <f>G41+'[4]1'!H41</f>
        <v>0</v>
      </c>
      <c r="I41" s="455"/>
      <c r="J41" s="553">
        <f>H41/DAY(B2)</f>
        <v>0</v>
      </c>
      <c r="K41" s="428"/>
      <c r="L41" s="377"/>
      <c r="O41" s="382"/>
    </row>
    <row r="42" spans="1:15">
      <c r="A42" s="579" t="s">
        <v>171</v>
      </c>
      <c r="B42" s="580"/>
      <c r="C42" s="580"/>
      <c r="D42" s="523" t="s">
        <v>132</v>
      </c>
      <c r="E42" s="510">
        <f>'[4]1'!F42</f>
        <v>59128.85</v>
      </c>
      <c r="F42" s="510">
        <v>59128.851000000002</v>
      </c>
      <c r="G42" s="473">
        <f t="shared" si="2"/>
        <v>1.0000000038417056E-3</v>
      </c>
      <c r="H42" s="460">
        <f>G42+'[4]1'!H42</f>
        <v>1.0000000038417056E-3</v>
      </c>
      <c r="I42" s="455"/>
      <c r="J42" s="553">
        <f>H42/DAY(B2)</f>
        <v>3.3333333461390186E-4</v>
      </c>
      <c r="K42" s="428"/>
      <c r="L42" s="377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'[4]1'!F43</f>
        <v>828353.19</v>
      </c>
      <c r="F43" s="510">
        <v>830838.71</v>
      </c>
      <c r="G43" s="473">
        <f t="shared" si="2"/>
        <v>2485.5200000000186</v>
      </c>
      <c r="H43" s="460">
        <f>G43+'[4]1'!H43</f>
        <v>4940.8800000000047</v>
      </c>
      <c r="I43" s="455"/>
      <c r="J43" s="553">
        <f>H43/DAY(B2)</f>
        <v>1646.9600000000016</v>
      </c>
      <c r="K43" s="428"/>
      <c r="L43" s="377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'[4]1'!F44</f>
        <v>0</v>
      </c>
      <c r="F44" s="510">
        <v>0</v>
      </c>
      <c r="G44" s="473">
        <f t="shared" si="2"/>
        <v>0</v>
      </c>
      <c r="H44" s="460">
        <f>G44+'[4]1'!H44</f>
        <v>0</v>
      </c>
      <c r="I44" s="455"/>
      <c r="J44" s="553">
        <f>H44/DAY(B2)</f>
        <v>0</v>
      </c>
      <c r="K44" s="428"/>
      <c r="L44" s="377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'[4]1'!F45</f>
        <v>614.48</v>
      </c>
      <c r="F45" s="510">
        <v>614</v>
      </c>
      <c r="G45" s="473">
        <f t="shared" si="2"/>
        <v>-0.48000000000001819</v>
      </c>
      <c r="H45" s="460">
        <f>G45+'[4]1'!H45</f>
        <v>0</v>
      </c>
      <c r="I45" s="455"/>
      <c r="J45" s="553">
        <f>H45/DAY(B2)</f>
        <v>0</v>
      </c>
      <c r="K45" s="428"/>
      <c r="L45" s="377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'[4]1'!F46</f>
        <v>187.49</v>
      </c>
      <c r="F46" s="510">
        <v>187</v>
      </c>
      <c r="G46" s="473">
        <f t="shared" si="2"/>
        <v>-0.49000000000000909</v>
      </c>
      <c r="H46" s="460">
        <f>G46+'[4]1'!H46</f>
        <v>0</v>
      </c>
      <c r="I46" s="455"/>
      <c r="J46" s="553">
        <f>H46/DAY(B2)</f>
        <v>0</v>
      </c>
      <c r="K46" s="428"/>
      <c r="L46" s="377"/>
      <c r="O46" s="382"/>
    </row>
    <row r="47" spans="1:1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14572.871000000045</v>
      </c>
      <c r="H47" s="460">
        <f>G47+'[4]1'!H47</f>
        <v>28901.231000000029</v>
      </c>
      <c r="I47" s="455"/>
      <c r="J47" s="553">
        <f>H47/DAY(B2)</f>
        <v>9633.7436666666763</v>
      </c>
      <c r="K47" s="428"/>
      <c r="L47" s="377"/>
      <c r="N47" s="382"/>
      <c r="O47" s="382"/>
    </row>
    <row r="48" spans="1:15">
      <c r="A48" s="599" t="s">
        <v>177</v>
      </c>
      <c r="B48" s="1318"/>
      <c r="C48" s="1318"/>
      <c r="D48" s="472"/>
      <c r="E48" s="471"/>
      <c r="F48" s="471"/>
      <c r="G48" s="472"/>
      <c r="H48" s="472"/>
      <c r="I48" s="472"/>
      <c r="J48" s="552"/>
      <c r="K48" s="428"/>
      <c r="L48" s="377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'[4]1'!F49</f>
        <v>260732.13</v>
      </c>
      <c r="F49" s="510">
        <v>260732.13</v>
      </c>
      <c r="G49" s="473">
        <f t="shared" ref="G49:G58" si="3">F49-E49</f>
        <v>0</v>
      </c>
      <c r="H49" s="460">
        <f>G49+'[4]1'!H49</f>
        <v>0</v>
      </c>
      <c r="I49" s="455"/>
      <c r="J49" s="553">
        <f>H49/DAY(B2)</f>
        <v>0</v>
      </c>
      <c r="K49" s="428"/>
      <c r="L49" s="377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'[4]1'!F50</f>
        <v>404098.95</v>
      </c>
      <c r="F50" s="510">
        <v>405699.31</v>
      </c>
      <c r="G50" s="473">
        <f t="shared" si="3"/>
        <v>1600.359999999986</v>
      </c>
      <c r="H50" s="460">
        <f>G50+'[4]1'!H50</f>
        <v>3236.2799999999697</v>
      </c>
      <c r="I50" s="455"/>
      <c r="J50" s="553">
        <f>H50/DAY(B2)</f>
        <v>1078.75999999999</v>
      </c>
      <c r="K50" s="428"/>
      <c r="L50" s="377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'[4]1'!F51</f>
        <v>120050.92</v>
      </c>
      <c r="F51" s="510">
        <v>120050.92</v>
      </c>
      <c r="G51" s="473">
        <f t="shared" si="3"/>
        <v>0</v>
      </c>
      <c r="H51" s="460">
        <f>G51+'[4]1'!H51</f>
        <v>0</v>
      </c>
      <c r="I51" s="455"/>
      <c r="J51" s="553">
        <f>H51/DAY(B2)</f>
        <v>0</v>
      </c>
      <c r="K51" s="428"/>
      <c r="L51" s="377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'[4]1'!F52</f>
        <v>507912.71</v>
      </c>
      <c r="F52" s="510">
        <v>507912.71</v>
      </c>
      <c r="G52" s="473">
        <f t="shared" si="3"/>
        <v>0</v>
      </c>
      <c r="H52" s="460">
        <f>G52+'[4]1'!H52</f>
        <v>0</v>
      </c>
      <c r="I52" s="455"/>
      <c r="J52" s="553">
        <f>H52/DAY(B2)</f>
        <v>0</v>
      </c>
      <c r="K52" s="428"/>
      <c r="L52" s="377"/>
      <c r="O52" s="382"/>
    </row>
    <row r="53" spans="1:15">
      <c r="A53" s="579" t="s">
        <v>168</v>
      </c>
      <c r="B53" s="602"/>
      <c r="C53" s="602"/>
      <c r="D53" s="523" t="s">
        <v>132</v>
      </c>
      <c r="E53" s="510">
        <f>'[4]1'!F53</f>
        <v>331854.51</v>
      </c>
      <c r="F53" s="510">
        <v>331854.51</v>
      </c>
      <c r="G53" s="473">
        <f t="shared" si="3"/>
        <v>0</v>
      </c>
      <c r="H53" s="460">
        <f>G53+'[4]1'!H53</f>
        <v>0</v>
      </c>
      <c r="I53" s="455"/>
      <c r="J53" s="553">
        <f>H53/DAY(B2)</f>
        <v>0</v>
      </c>
      <c r="K53" s="428"/>
      <c r="L53" s="377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'[4]1'!F54</f>
        <v>8163.82</v>
      </c>
      <c r="F54" s="510">
        <v>8200.0300000000007</v>
      </c>
      <c r="G54" s="473">
        <f t="shared" si="3"/>
        <v>36.210000000000946</v>
      </c>
      <c r="H54" s="460">
        <f>G54+'[4]1'!H54</f>
        <v>104.40000000000055</v>
      </c>
      <c r="I54" s="455"/>
      <c r="J54" s="553">
        <f>H54/DAY(B2)</f>
        <v>34.800000000000182</v>
      </c>
      <c r="K54" s="428"/>
      <c r="L54" s="377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'[4]1'!F55</f>
        <v>122678.46</v>
      </c>
      <c r="F55" s="1040">
        <v>126470</v>
      </c>
      <c r="G55" s="473">
        <f t="shared" si="3"/>
        <v>3791.5399999999936</v>
      </c>
      <c r="H55" s="460">
        <f>G55+'[4]1'!H55</f>
        <v>8884.3099999999977</v>
      </c>
      <c r="I55" s="455"/>
      <c r="J55" s="553">
        <f>H55/DAY(B2)</f>
        <v>2961.436666666666</v>
      </c>
      <c r="K55" s="428"/>
      <c r="L55" s="377"/>
      <c r="O55" s="382"/>
    </row>
    <row r="56" spans="1:15">
      <c r="A56" s="579" t="s">
        <v>182</v>
      </c>
      <c r="B56" s="602"/>
      <c r="C56" s="602"/>
      <c r="D56" s="523" t="s">
        <v>183</v>
      </c>
      <c r="E56" s="510">
        <f>'[4]1'!F56</f>
        <v>586707.91</v>
      </c>
      <c r="F56" s="1040">
        <v>588549.03</v>
      </c>
      <c r="G56" s="473">
        <f t="shared" si="3"/>
        <v>1841.1199999999953</v>
      </c>
      <c r="H56" s="460">
        <f>G56+'[4]1'!H56</f>
        <v>2498</v>
      </c>
      <c r="I56" s="455"/>
      <c r="J56" s="553">
        <f>H56/DAY(B2)</f>
        <v>832.66666666666663</v>
      </c>
      <c r="K56" s="427"/>
      <c r="L56" s="377"/>
      <c r="O56" s="382"/>
    </row>
    <row r="57" spans="1:15">
      <c r="A57" s="579" t="s">
        <v>172</v>
      </c>
      <c r="B57" s="602"/>
      <c r="C57" s="602"/>
      <c r="D57" s="523" t="s">
        <v>132</v>
      </c>
      <c r="E57" s="510">
        <f>'[4]1'!F57</f>
        <v>7711.33</v>
      </c>
      <c r="F57" s="510">
        <v>7711.33</v>
      </c>
      <c r="G57" s="473">
        <f t="shared" si="3"/>
        <v>0</v>
      </c>
      <c r="H57" s="460">
        <f>G57+'[4]1'!H57</f>
        <v>0</v>
      </c>
      <c r="I57" s="455"/>
      <c r="J57" s="553">
        <f>H57/DAY(B2)</f>
        <v>0</v>
      </c>
      <c r="K57" s="428"/>
      <c r="L57" s="377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'[4]1'!F58</f>
        <v>36099.440000000002</v>
      </c>
      <c r="F58" s="658">
        <v>36312.120000000003</v>
      </c>
      <c r="G58" s="473">
        <f t="shared" si="3"/>
        <v>212.68000000000029</v>
      </c>
      <c r="H58" s="460">
        <f>G58+'[4]1'!H58</f>
        <v>443.42000000000553</v>
      </c>
      <c r="I58" s="455"/>
      <c r="J58" s="553">
        <f>H58/DAY(B2)</f>
        <v>147.80666666666852</v>
      </c>
      <c r="K58" s="428"/>
      <c r="L58" s="377"/>
      <c r="O58" s="382"/>
    </row>
    <row r="59" spans="1:1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7481.9099999999762</v>
      </c>
      <c r="H59" s="460">
        <f>G59+'[4]1'!H59</f>
        <v>15166.409999999974</v>
      </c>
      <c r="I59" s="455">
        <f>G7-G60</f>
        <v>324.21899999997913</v>
      </c>
      <c r="J59" s="553">
        <f>H59/DAY(B2)</f>
        <v>5055.4699999999912</v>
      </c>
      <c r="K59" s="428"/>
      <c r="L59" s="377"/>
      <c r="O59" s="382"/>
    </row>
    <row r="60" spans="1:15">
      <c r="A60" s="579"/>
      <c r="B60" s="580"/>
      <c r="C60" s="580"/>
      <c r="D60" s="511" t="s">
        <v>185</v>
      </c>
      <c r="E60" s="511"/>
      <c r="F60" s="511"/>
      <c r="G60" s="481">
        <f>G47+G59</f>
        <v>22054.781000000021</v>
      </c>
      <c r="H60" s="460">
        <f>G60+'[4]1'!H60</f>
        <v>44067.641000000003</v>
      </c>
      <c r="I60" s="455">
        <f>G13-G60</f>
        <v>-326.05100000001767</v>
      </c>
      <c r="J60" s="553">
        <f>H60/DAY(B2)</f>
        <v>14689.213666666668</v>
      </c>
      <c r="K60" s="428"/>
      <c r="L60" s="377"/>
      <c r="O60" s="382"/>
    </row>
    <row r="61" spans="1:1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'[4]1'!F62</f>
        <v>20419.188999999998</v>
      </c>
      <c r="F62" s="514">
        <v>20419.188999999998</v>
      </c>
      <c r="G62" s="473">
        <f t="shared" ref="G62:G69" si="4">F62-E62</f>
        <v>0</v>
      </c>
      <c r="H62" s="460">
        <f>G62+'[4]1'!H62</f>
        <v>1.9999999967694748E-3</v>
      </c>
      <c r="I62" s="515"/>
      <c r="J62" s="553">
        <f>H62/DAY(B2)</f>
        <v>6.666666655898249E-4</v>
      </c>
      <c r="K62" s="428"/>
      <c r="L62" s="377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'[4]1'!F63</f>
        <v>1721.57</v>
      </c>
      <c r="F63" s="514">
        <v>1733.45</v>
      </c>
      <c r="G63" s="473">
        <f t="shared" si="4"/>
        <v>11.880000000000109</v>
      </c>
      <c r="H63" s="460">
        <f>G63+'[4]1'!H63</f>
        <v>26.090000000000146</v>
      </c>
      <c r="I63" s="515"/>
      <c r="J63" s="553">
        <f>H63/DAY(B2)</f>
        <v>8.6966666666667152</v>
      </c>
      <c r="K63" s="428"/>
      <c r="L63" s="377"/>
      <c r="O63" s="382"/>
    </row>
    <row r="64" spans="1:15" ht="27.75">
      <c r="A64" s="1408" t="s">
        <v>99</v>
      </c>
      <c r="B64" s="1409"/>
      <c r="C64" s="1410"/>
      <c r="D64" s="523" t="s">
        <v>187</v>
      </c>
      <c r="E64" s="484">
        <f>'[4]1'!F64</f>
        <v>124127.85</v>
      </c>
      <c r="F64" s="478">
        <v>124657.34</v>
      </c>
      <c r="G64" s="473">
        <f t="shared" si="4"/>
        <v>529.48999999999069</v>
      </c>
      <c r="H64" s="460">
        <f>G64+'[4]1'!H64</f>
        <v>1030.0399999999936</v>
      </c>
      <c r="I64" s="480"/>
      <c r="J64" s="553">
        <f>H64/DAY(B2)</f>
        <v>343.34666666666453</v>
      </c>
      <c r="K64" s="428"/>
      <c r="L64" s="377"/>
      <c r="O64" s="382"/>
    </row>
    <row r="65" spans="1:15" ht="27.75">
      <c r="A65" s="1408" t="s">
        <v>100</v>
      </c>
      <c r="B65" s="1409"/>
      <c r="C65" s="1410"/>
      <c r="D65" s="523" t="s">
        <v>187</v>
      </c>
      <c r="E65" s="484">
        <f>'[4]1'!F65</f>
        <v>132996.35999999999</v>
      </c>
      <c r="F65" s="656">
        <v>133392.66</v>
      </c>
      <c r="G65" s="473">
        <f t="shared" si="4"/>
        <v>396.30000000001746</v>
      </c>
      <c r="H65" s="460">
        <f>G65+'[4]1'!H65</f>
        <v>795.36000000001513</v>
      </c>
      <c r="I65" s="489"/>
      <c r="J65" s="553">
        <f>H65/DAY(B2)</f>
        <v>265.12000000000506</v>
      </c>
      <c r="K65" s="428"/>
      <c r="L65" s="377"/>
      <c r="O65" s="382"/>
    </row>
    <row r="66" spans="1:15" ht="27.75">
      <c r="A66" s="1408" t="s">
        <v>101</v>
      </c>
      <c r="B66" s="1409"/>
      <c r="C66" s="1410"/>
      <c r="D66" s="523" t="s">
        <v>187</v>
      </c>
      <c r="E66" s="484">
        <f>'[4]1'!F66</f>
        <v>25566.36</v>
      </c>
      <c r="F66" s="478">
        <v>25980.5</v>
      </c>
      <c r="G66" s="473">
        <f t="shared" si="4"/>
        <v>414.13999999999942</v>
      </c>
      <c r="H66" s="460">
        <f>G66+'[4]1'!H66</f>
        <v>820.75</v>
      </c>
      <c r="I66" s="480"/>
      <c r="J66" s="553">
        <f>H66/DAY(B2)</f>
        <v>273.58333333333331</v>
      </c>
      <c r="K66" s="428"/>
      <c r="L66" s="377"/>
      <c r="O66" s="382"/>
    </row>
    <row r="67" spans="1:15" ht="27.75">
      <c r="A67" s="1408" t="s">
        <v>102</v>
      </c>
      <c r="B67" s="1409"/>
      <c r="C67" s="1410"/>
      <c r="D67" s="523" t="s">
        <v>187</v>
      </c>
      <c r="E67" s="484">
        <f>'[4]1'!F67</f>
        <v>208546.07</v>
      </c>
      <c r="F67" s="478">
        <v>209249</v>
      </c>
      <c r="G67" s="473">
        <f t="shared" si="4"/>
        <v>702.92999999999302</v>
      </c>
      <c r="H67" s="460">
        <f>G67+'[4]1'!H67</f>
        <v>1407.1700000000128</v>
      </c>
      <c r="I67" s="489"/>
      <c r="J67" s="553">
        <f>H67/DAY(B2)</f>
        <v>469.05666666667094</v>
      </c>
      <c r="K67" s="429"/>
      <c r="L67" s="377"/>
      <c r="O67" s="382"/>
    </row>
    <row r="68" spans="1:15" ht="27.75">
      <c r="A68" s="1408" t="s">
        <v>103</v>
      </c>
      <c r="B68" s="1409"/>
      <c r="C68" s="1410"/>
      <c r="D68" s="523" t="s">
        <v>187</v>
      </c>
      <c r="E68" s="484">
        <f>'[4]1'!F68</f>
        <v>73027.42</v>
      </c>
      <c r="F68" s="478">
        <v>73391.91</v>
      </c>
      <c r="G68" s="473">
        <f t="shared" si="4"/>
        <v>364.49000000000524</v>
      </c>
      <c r="H68" s="460">
        <f>G68+'[4]1'!H68</f>
        <v>713.38999999999942</v>
      </c>
      <c r="I68" s="516"/>
      <c r="J68" s="553">
        <f>H68/DAY(B2)</f>
        <v>237.79666666666648</v>
      </c>
      <c r="K68" s="430"/>
      <c r="L68" s="377"/>
      <c r="O68" s="382"/>
    </row>
    <row r="69" spans="1:15" ht="27.75">
      <c r="A69" s="1408" t="s">
        <v>104</v>
      </c>
      <c r="B69" s="1409"/>
      <c r="C69" s="1410"/>
      <c r="D69" s="523" t="s">
        <v>187</v>
      </c>
      <c r="E69" s="484">
        <f>'[4]1'!F69</f>
        <v>64776.091</v>
      </c>
      <c r="F69" s="478">
        <v>65103.12</v>
      </c>
      <c r="G69" s="473">
        <f t="shared" si="4"/>
        <v>327.02900000000227</v>
      </c>
      <c r="H69" s="460">
        <f>G69+'[4]1'!H69</f>
        <v>651.03000000000611</v>
      </c>
      <c r="I69" s="516"/>
      <c r="J69" s="553">
        <f>H69/DAY(B2)</f>
        <v>217.01000000000204</v>
      </c>
      <c r="K69" s="431"/>
      <c r="L69" s="377"/>
      <c r="O69" s="382"/>
    </row>
    <row r="70" spans="1:15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O70" s="382"/>
    </row>
    <row r="71" spans="1:15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O71" s="382"/>
    </row>
    <row r="72" spans="1:15" ht="27.75">
      <c r="A72" s="1408" t="s">
        <v>191</v>
      </c>
      <c r="B72" s="1409"/>
      <c r="C72" s="1410"/>
      <c r="D72" s="523" t="s">
        <v>187</v>
      </c>
      <c r="E72" s="519">
        <f>'[4]1'!F72</f>
        <v>850662</v>
      </c>
      <c r="F72" s="659">
        <v>850735</v>
      </c>
      <c r="G72" s="473">
        <f t="shared" ref="G72:G84" si="5">F72-E72</f>
        <v>73</v>
      </c>
      <c r="H72" s="460">
        <f>G72+'[4]1'!H72</f>
        <v>143</v>
      </c>
      <c r="I72" s="480"/>
      <c r="J72" s="553">
        <f>H72/DAY(B2)</f>
        <v>47.666666666666664</v>
      </c>
      <c r="K72" s="431"/>
      <c r="L72" s="377"/>
      <c r="O72" s="382"/>
    </row>
    <row r="73" spans="1:15" ht="27.75">
      <c r="A73" s="1408" t="s">
        <v>192</v>
      </c>
      <c r="B73" s="1409"/>
      <c r="C73" s="1410"/>
      <c r="D73" s="523" t="s">
        <v>187</v>
      </c>
      <c r="E73" s="520">
        <f>'[4]1'!F73</f>
        <v>885772</v>
      </c>
      <c r="F73" s="660">
        <v>885772</v>
      </c>
      <c r="G73" s="657">
        <f t="shared" si="5"/>
        <v>0</v>
      </c>
      <c r="H73" s="460">
        <f>G73+'[4]1'!H73</f>
        <v>0</v>
      </c>
      <c r="I73" s="480"/>
      <c r="J73" s="553">
        <f>H73/DAY(B2)</f>
        <v>0</v>
      </c>
      <c r="K73" s="430"/>
      <c r="L73" s="377"/>
      <c r="O73" s="382"/>
    </row>
    <row r="74" spans="1:15" ht="27.75">
      <c r="A74" s="1408" t="s">
        <v>193</v>
      </c>
      <c r="B74" s="1409"/>
      <c r="C74" s="1410"/>
      <c r="D74" s="523" t="s">
        <v>187</v>
      </c>
      <c r="E74" s="521">
        <f>'[4]1'!F74</f>
        <v>625.02</v>
      </c>
      <c r="F74" s="659">
        <v>656.16</v>
      </c>
      <c r="G74" s="473">
        <f t="shared" si="5"/>
        <v>31.139999999999986</v>
      </c>
      <c r="H74" s="460">
        <f>G74+'[4]1'!H74</f>
        <v>69.990000000000009</v>
      </c>
      <c r="I74" s="480"/>
      <c r="J74" s="553">
        <f>H74/DAY(B2)</f>
        <v>23.330000000000002</v>
      </c>
      <c r="K74" s="431"/>
      <c r="L74" s="377"/>
      <c r="O74" s="382"/>
    </row>
    <row r="75" spans="1:15" ht="27.75">
      <c r="A75" s="1457" t="s">
        <v>194</v>
      </c>
      <c r="B75" s="1458"/>
      <c r="C75" s="1459"/>
      <c r="D75" s="523" t="s">
        <v>187</v>
      </c>
      <c r="E75" s="521">
        <f>'[4]1'!F75</f>
        <v>3663.87</v>
      </c>
      <c r="F75" s="661">
        <v>3814.26</v>
      </c>
      <c r="G75" s="473">
        <f t="shared" si="5"/>
        <v>150.39000000000033</v>
      </c>
      <c r="H75" s="460">
        <f>G75+'[4]1'!H75</f>
        <v>295.04000000000042</v>
      </c>
      <c r="I75" s="480"/>
      <c r="J75" s="553">
        <f>H75/DAY(B2)</f>
        <v>98.346666666666806</v>
      </c>
      <c r="K75" s="430"/>
      <c r="L75" s="377"/>
      <c r="O75" s="382"/>
    </row>
    <row r="76" spans="1:15" ht="27.75">
      <c r="A76" s="1457" t="s">
        <v>195</v>
      </c>
      <c r="B76" s="1458"/>
      <c r="C76" s="1459"/>
      <c r="D76" s="523" t="s">
        <v>187</v>
      </c>
      <c r="E76" s="520">
        <f>'[4]1'!F76</f>
        <v>1593.49</v>
      </c>
      <c r="F76" s="660">
        <v>1674.12</v>
      </c>
      <c r="G76" s="473">
        <f t="shared" si="5"/>
        <v>80.629999999999882</v>
      </c>
      <c r="H76" s="460">
        <f>G76+'[4]1'!H76</f>
        <v>159.77999999999997</v>
      </c>
      <c r="I76" s="505"/>
      <c r="J76" s="553">
        <f>H76/DAY(B2)</f>
        <v>53.259999999999991</v>
      </c>
      <c r="K76" s="430"/>
      <c r="L76" s="377"/>
      <c r="O76" s="382"/>
    </row>
    <row r="77" spans="1:15" ht="27.75">
      <c r="A77" s="1408" t="s">
        <v>196</v>
      </c>
      <c r="B77" s="1409"/>
      <c r="C77" s="1410"/>
      <c r="D77" s="523" t="s">
        <v>187</v>
      </c>
      <c r="E77" s="520">
        <f>'[4]1'!F77</f>
        <v>698633</v>
      </c>
      <c r="F77" s="660">
        <v>698678</v>
      </c>
      <c r="G77" s="657">
        <f t="shared" si="5"/>
        <v>45</v>
      </c>
      <c r="H77" s="460">
        <f>G77+'[4]1'!H77</f>
        <v>90</v>
      </c>
      <c r="I77" s="505"/>
      <c r="J77" s="553">
        <f>H77/DAY(B2)</f>
        <v>30</v>
      </c>
      <c r="K77" s="430"/>
      <c r="L77" s="377"/>
      <c r="O77" s="382"/>
    </row>
    <row r="78" spans="1:15" ht="27.75">
      <c r="A78" s="1316" t="s">
        <v>197</v>
      </c>
      <c r="B78" s="1309"/>
      <c r="C78" s="1309"/>
      <c r="D78" s="523" t="s">
        <v>187</v>
      </c>
      <c r="E78" s="521">
        <f>'[4]1'!F78</f>
        <v>653253</v>
      </c>
      <c r="F78" s="661">
        <v>653630</v>
      </c>
      <c r="G78" s="473">
        <f t="shared" si="5"/>
        <v>377</v>
      </c>
      <c r="H78" s="460">
        <f>G78+'[4]1'!H78</f>
        <v>767</v>
      </c>
      <c r="I78" s="505"/>
      <c r="J78" s="553">
        <f>H78/DAY(B2)</f>
        <v>255.66666666666666</v>
      </c>
      <c r="K78" s="430"/>
      <c r="L78" s="377"/>
      <c r="O78" s="382"/>
    </row>
    <row r="79" spans="1:15" ht="27.75">
      <c r="A79" s="1457" t="s">
        <v>92</v>
      </c>
      <c r="B79" s="1458"/>
      <c r="C79" s="1459"/>
      <c r="D79" s="524" t="s">
        <v>187</v>
      </c>
      <c r="E79" s="521">
        <f>'[4]1'!F79</f>
        <v>815301</v>
      </c>
      <c r="F79" s="661">
        <v>815599</v>
      </c>
      <c r="G79" s="473">
        <f t="shared" si="5"/>
        <v>298</v>
      </c>
      <c r="H79" s="460">
        <f>G79+'[4]1'!H79</f>
        <v>490</v>
      </c>
      <c r="I79" s="505"/>
      <c r="J79" s="553">
        <f>H79/DAY(B2)</f>
        <v>163.33333333333334</v>
      </c>
      <c r="K79" s="430"/>
      <c r="L79" s="377"/>
      <c r="O79" s="382"/>
    </row>
    <row r="80" spans="1:15" ht="27.75">
      <c r="A80" s="1457" t="s">
        <v>198</v>
      </c>
      <c r="B80" s="1458"/>
      <c r="C80" s="1459"/>
      <c r="D80" s="524" t="s">
        <v>187</v>
      </c>
      <c r="E80" s="520">
        <f>'[4]1'!F80</f>
        <v>495088.64000000001</v>
      </c>
      <c r="F80" s="660">
        <v>495488.36</v>
      </c>
      <c r="G80" s="473">
        <f t="shared" si="5"/>
        <v>399.71999999997206</v>
      </c>
      <c r="H80" s="460">
        <f>G80+'[4]1'!H80</f>
        <v>814.71999999997206</v>
      </c>
      <c r="I80" s="505"/>
      <c r="J80" s="553">
        <f>H80/DAY(B2)</f>
        <v>271.573333333324</v>
      </c>
      <c r="K80" s="430"/>
      <c r="L80" s="377"/>
      <c r="O80" s="382"/>
    </row>
    <row r="81" spans="1:15" ht="27.75">
      <c r="A81" s="1457" t="s">
        <v>199</v>
      </c>
      <c r="B81" s="1458"/>
      <c r="C81" s="1459"/>
      <c r="D81" s="524" t="s">
        <v>187</v>
      </c>
      <c r="E81" s="520">
        <f>'[4]1'!F81</f>
        <v>626056.4</v>
      </c>
      <c r="F81" s="660">
        <v>626157.64</v>
      </c>
      <c r="G81" s="473">
        <f t="shared" si="5"/>
        <v>101.23999999999069</v>
      </c>
      <c r="H81" s="460">
        <f>G81+'[4]1'!H81</f>
        <v>213.80000000004657</v>
      </c>
      <c r="I81" s="505"/>
      <c r="J81" s="553">
        <f>H81/DAY(B2)</f>
        <v>71.266666666682184</v>
      </c>
      <c r="K81" s="430"/>
      <c r="L81" s="377"/>
      <c r="O81" s="382"/>
    </row>
    <row r="82" spans="1:15" ht="27.75">
      <c r="A82" s="1457" t="s">
        <v>93</v>
      </c>
      <c r="B82" s="1458"/>
      <c r="C82" s="1459"/>
      <c r="D82" s="485" t="s">
        <v>132</v>
      </c>
      <c r="E82" s="520">
        <f>'[4]1'!F82</f>
        <v>106220.65</v>
      </c>
      <c r="F82" s="656">
        <v>106242.13</v>
      </c>
      <c r="G82" s="473">
        <f t="shared" si="5"/>
        <v>21.480000000010477</v>
      </c>
      <c r="H82" s="460">
        <f>G82+'[4]1'!H82</f>
        <v>39.650000000008731</v>
      </c>
      <c r="I82" s="486"/>
      <c r="J82" s="553">
        <f>H82/DAY(B2)</f>
        <v>13.216666666669576</v>
      </c>
      <c r="K82" s="430"/>
      <c r="L82" s="377"/>
      <c r="O82" s="382"/>
    </row>
    <row r="83" spans="1:15" ht="27.75">
      <c r="A83" s="1457" t="s">
        <v>200</v>
      </c>
      <c r="B83" s="1458"/>
      <c r="C83" s="1459"/>
      <c r="D83" s="621" t="s">
        <v>132</v>
      </c>
      <c r="E83" s="511">
        <f>'[4]1'!F83</f>
        <v>996969</v>
      </c>
      <c r="F83" s="511">
        <v>997516</v>
      </c>
      <c r="G83" s="473">
        <f t="shared" si="5"/>
        <v>547</v>
      </c>
      <c r="H83" s="460">
        <f>G83+'[4]1'!H83</f>
        <v>1067</v>
      </c>
      <c r="I83" s="481"/>
      <c r="J83" s="553">
        <f>H83/DAY(B2)</f>
        <v>355.66666666666669</v>
      </c>
      <c r="K83" s="429"/>
      <c r="L83" s="377"/>
      <c r="O83" s="382"/>
    </row>
    <row r="84" spans="1:15">
      <c r="A84" s="1317" t="s">
        <v>201</v>
      </c>
      <c r="B84" s="572"/>
      <c r="C84" s="572"/>
      <c r="D84" s="478" t="s">
        <v>132</v>
      </c>
      <c r="E84" s="628">
        <f>'[4]1'!F84</f>
        <v>431488</v>
      </c>
      <c r="F84" s="628">
        <v>432215</v>
      </c>
      <c r="G84" s="473">
        <f t="shared" si="5"/>
        <v>727</v>
      </c>
      <c r="H84" s="460">
        <f>G84+'[4]1'!H84</f>
        <v>1417</v>
      </c>
      <c r="I84" s="481"/>
      <c r="J84" s="553">
        <f>H84/DAY(B2)</f>
        <v>472.33333333333331</v>
      </c>
      <c r="K84" s="380"/>
      <c r="L84" s="377"/>
      <c r="O84" s="382"/>
    </row>
    <row r="85" spans="1:15" s="379" customFormat="1">
      <c r="A85" s="606" t="s">
        <v>202</v>
      </c>
      <c r="B85" s="573"/>
      <c r="C85" s="573"/>
      <c r="D85" s="489"/>
      <c r="E85" s="628">
        <f>'[4]1'!F85</f>
        <v>0</v>
      </c>
      <c r="F85" s="523"/>
      <c r="G85" s="460">
        <f xml:space="preserve"> SUM(G71:G84)</f>
        <v>2851.5999999999735</v>
      </c>
      <c r="H85" s="460">
        <f>G85+'[4]1'!H84</f>
        <v>3541.5999999999735</v>
      </c>
      <c r="I85" s="481"/>
      <c r="J85" s="553">
        <f>H85/DAY(B2)</f>
        <v>1180.5333333333244</v>
      </c>
      <c r="K85" s="380"/>
      <c r="L85" s="378"/>
      <c r="O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'[4]1'!F86</f>
        <v>450506.84</v>
      </c>
      <c r="F86" s="652">
        <v>450647.2</v>
      </c>
      <c r="G86" s="710">
        <f t="shared" ref="G86:G90" si="6">F86-E86</f>
        <v>140.35999999998603</v>
      </c>
      <c r="H86" s="460">
        <f>G86+'[4]1'!H86</f>
        <v>278.6699999999837</v>
      </c>
      <c r="I86" s="657"/>
      <c r="J86" s="712">
        <f>H86/DAY(B2)</f>
        <v>92.889999999994572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'[4]1'!F87</f>
        <v>79246.899999999994</v>
      </c>
      <c r="F87" s="652">
        <v>79285.100000000006</v>
      </c>
      <c r="G87" s="710">
        <f t="shared" si="6"/>
        <v>38.200000000011642</v>
      </c>
      <c r="H87" s="460">
        <f>G87+'[4]1'!H87</f>
        <v>77.400000000008731</v>
      </c>
      <c r="I87" s="657"/>
      <c r="J87" s="712">
        <f>H87/DAY(B2)</f>
        <v>25.80000000000291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'[4]1'!F88</f>
        <v>148316.29</v>
      </c>
      <c r="F88" s="652">
        <v>148388.41</v>
      </c>
      <c r="G88" s="710">
        <f t="shared" si="6"/>
        <v>72.119999999995343</v>
      </c>
      <c r="H88" s="460">
        <f>G88+'[4]1'!H88</f>
        <v>123.80000000001746</v>
      </c>
      <c r="I88" s="657"/>
      <c r="J88" s="712">
        <f>H88/DAY(B2)</f>
        <v>41.266666666672485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'[4]1'!F89</f>
        <v>61732.800000000003</v>
      </c>
      <c r="F89" s="652">
        <v>61817.8</v>
      </c>
      <c r="G89" s="710">
        <f t="shared" si="6"/>
        <v>85</v>
      </c>
      <c r="H89" s="460">
        <f>G89+'[4]1'!H89</f>
        <v>142.70000000000437</v>
      </c>
      <c r="I89" s="657"/>
      <c r="J89" s="712">
        <f>H89/DAY(B2)</f>
        <v>47.566666666668119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'[4]1'!F90</f>
        <v>3168.3</v>
      </c>
      <c r="F90" s="652">
        <v>3173.2</v>
      </c>
      <c r="G90" s="710">
        <f t="shared" si="6"/>
        <v>4.8999999999996362</v>
      </c>
      <c r="H90" s="460">
        <f>G90+'[4]1'!H90</f>
        <v>10.299999999999727</v>
      </c>
      <c r="I90" s="657"/>
      <c r="J90" s="712">
        <f>H90/DAY(B2)</f>
        <v>3.4333333333332425</v>
      </c>
      <c r="K90" s="738"/>
      <c r="L90" s="739"/>
      <c r="N90" s="783"/>
      <c r="O90" s="382"/>
    </row>
    <row r="91" spans="1:15" s="379" customFormat="1">
      <c r="A91" s="607" t="s">
        <v>205</v>
      </c>
      <c r="B91" s="1319"/>
      <c r="C91" s="1319"/>
      <c r="D91" s="472"/>
      <c r="E91" s="472"/>
      <c r="F91" s="472"/>
      <c r="G91" s="488"/>
      <c r="H91" s="472"/>
      <c r="I91" s="472"/>
      <c r="J91" s="552"/>
      <c r="K91" s="380"/>
      <c r="L91" s="378"/>
      <c r="O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'[4]1'!F92</f>
        <v>239817</v>
      </c>
      <c r="F92" s="478">
        <v>239912</v>
      </c>
      <c r="G92" s="473">
        <f t="shared" ref="G92:G93" si="7">F92-E92</f>
        <v>95</v>
      </c>
      <c r="H92" s="460">
        <f>G92+'[4]1'!H92</f>
        <v>217</v>
      </c>
      <c r="I92" s="480"/>
      <c r="J92" s="553">
        <f>H92/DAY(B2)</f>
        <v>72.333333333333329</v>
      </c>
      <c r="K92" s="429"/>
      <c r="L92" s="377"/>
      <c r="O92" s="382"/>
    </row>
    <row r="93" spans="1:15" ht="27.75">
      <c r="A93" s="1411" t="s">
        <v>207</v>
      </c>
      <c r="B93" s="1412"/>
      <c r="C93" s="1413"/>
      <c r="D93" s="523" t="s">
        <v>144</v>
      </c>
      <c r="E93" s="484">
        <f>'[4]1'!F93</f>
        <v>175805</v>
      </c>
      <c r="F93" s="478">
        <v>175994</v>
      </c>
      <c r="G93" s="473">
        <f t="shared" si="7"/>
        <v>189</v>
      </c>
      <c r="H93" s="460">
        <f>G93+'[4]1'!H93</f>
        <v>333</v>
      </c>
      <c r="I93" s="480"/>
      <c r="J93" s="553">
        <f>H93/DAY(B2)</f>
        <v>111</v>
      </c>
      <c r="K93" s="380"/>
      <c r="L93" s="377"/>
      <c r="O93" s="382"/>
    </row>
    <row r="94" spans="1:15">
      <c r="A94" s="1405" t="s">
        <v>208</v>
      </c>
      <c r="B94" s="1406"/>
      <c r="C94" s="1407"/>
      <c r="D94" s="523"/>
      <c r="E94" s="484"/>
      <c r="F94" s="478"/>
      <c r="G94" s="473">
        <f>G92+G93</f>
        <v>284</v>
      </c>
      <c r="H94" s="460">
        <f>G94+'[4]1'!H94</f>
        <v>284</v>
      </c>
      <c r="I94" s="480"/>
      <c r="J94" s="553">
        <f>H94/DAY(B2)</f>
        <v>94.666666666666671</v>
      </c>
      <c r="K94" s="380"/>
      <c r="L94" s="377"/>
      <c r="O94" s="382"/>
    </row>
    <row r="95" spans="1:15" ht="27.75">
      <c r="A95" s="1411" t="s">
        <v>209</v>
      </c>
      <c r="B95" s="1412"/>
      <c r="C95" s="1413"/>
      <c r="D95" s="523" t="s">
        <v>144</v>
      </c>
      <c r="E95" s="484">
        <f>'[4]1'!F95</f>
        <v>408232</v>
      </c>
      <c r="F95" s="478">
        <v>408317</v>
      </c>
      <c r="G95" s="473">
        <f t="shared" ref="G95:G100" si="8">F95-E95</f>
        <v>85</v>
      </c>
      <c r="H95" s="460">
        <f>G95+'[4]1'!H95</f>
        <v>161</v>
      </c>
      <c r="I95" s="480"/>
      <c r="J95" s="553">
        <f>H95/DAY(B2)</f>
        <v>53.666666666666664</v>
      </c>
      <c r="K95" s="380"/>
      <c r="L95" s="377"/>
      <c r="O95" s="382"/>
    </row>
    <row r="96" spans="1:15" ht="27.75">
      <c r="A96" s="1313" t="s">
        <v>210</v>
      </c>
      <c r="B96" s="1314"/>
      <c r="C96" s="1314"/>
      <c r="D96" s="523" t="s">
        <v>144</v>
      </c>
      <c r="E96" s="484">
        <f>'[4]1'!F96</f>
        <v>101345</v>
      </c>
      <c r="F96" s="478">
        <v>101363</v>
      </c>
      <c r="G96" s="473">
        <f t="shared" si="8"/>
        <v>18</v>
      </c>
      <c r="H96" s="460">
        <f>G96+'[4]1'!H96</f>
        <v>31</v>
      </c>
      <c r="I96" s="480"/>
      <c r="J96" s="553">
        <f>H96/DAY(B2)</f>
        <v>10.333333333333334</v>
      </c>
      <c r="K96" s="427"/>
      <c r="L96" s="377"/>
      <c r="O96" s="382"/>
    </row>
    <row r="97" spans="1:15" ht="27.75">
      <c r="A97" s="1313" t="s">
        <v>211</v>
      </c>
      <c r="B97" s="1314"/>
      <c r="C97" s="1314"/>
      <c r="D97" s="523" t="s">
        <v>144</v>
      </c>
      <c r="E97" s="484">
        <f>'[4]1'!F97</f>
        <v>96473</v>
      </c>
      <c r="F97" s="478">
        <v>96492</v>
      </c>
      <c r="G97" s="473">
        <f t="shared" si="8"/>
        <v>19</v>
      </c>
      <c r="H97" s="460">
        <f>G97+'[4]1'!H97</f>
        <v>43</v>
      </c>
      <c r="I97" s="480"/>
      <c r="J97" s="553">
        <f>H97/DAY(B2)</f>
        <v>14.333333333333334</v>
      </c>
      <c r="K97" s="432"/>
      <c r="L97" s="377"/>
      <c r="O97" s="382"/>
    </row>
    <row r="98" spans="1:15" ht="27.75">
      <c r="A98" s="1313" t="s">
        <v>212</v>
      </c>
      <c r="B98" s="1314"/>
      <c r="C98" s="1314"/>
      <c r="D98" s="523" t="s">
        <v>144</v>
      </c>
      <c r="E98" s="484">
        <f>'[4]1'!F98</f>
        <v>147678</v>
      </c>
      <c r="F98" s="478">
        <v>147779</v>
      </c>
      <c r="G98" s="473">
        <f t="shared" si="8"/>
        <v>101</v>
      </c>
      <c r="H98" s="460">
        <f>G98+'[4]1'!H98</f>
        <v>171</v>
      </c>
      <c r="I98" s="480"/>
      <c r="J98" s="553">
        <f>H98/DAY(B2)</f>
        <v>57</v>
      </c>
      <c r="K98" s="380"/>
      <c r="L98" s="377"/>
      <c r="O98" s="382"/>
    </row>
    <row r="99" spans="1:15" ht="27.75">
      <c r="A99" s="1313" t="s">
        <v>213</v>
      </c>
      <c r="B99" s="1314"/>
      <c r="C99" s="1314"/>
      <c r="D99" s="523" t="s">
        <v>144</v>
      </c>
      <c r="E99" s="484">
        <f>'[4]1'!F99</f>
        <v>6425</v>
      </c>
      <c r="F99" s="478">
        <v>6444</v>
      </c>
      <c r="G99" s="473">
        <f t="shared" si="8"/>
        <v>19</v>
      </c>
      <c r="H99" s="460">
        <f>G99+'[4]1'!H99</f>
        <v>36</v>
      </c>
      <c r="I99" s="480"/>
      <c r="J99" s="553">
        <f>H99/DAY(B2)</f>
        <v>12</v>
      </c>
      <c r="K99" s="380"/>
      <c r="L99" s="377"/>
      <c r="O99" s="382"/>
    </row>
    <row r="100" spans="1:15" ht="27.75">
      <c r="A100" s="1313" t="s">
        <v>214</v>
      </c>
      <c r="B100" s="1314"/>
      <c r="C100" s="1314"/>
      <c r="D100" s="523" t="s">
        <v>144</v>
      </c>
      <c r="E100" s="484">
        <f>'[4]1'!F100</f>
        <v>4557</v>
      </c>
      <c r="F100" s="478">
        <v>4574</v>
      </c>
      <c r="G100" s="473">
        <f t="shared" si="8"/>
        <v>17</v>
      </c>
      <c r="H100" s="460">
        <f>G100+'[4]1'!H100</f>
        <v>31</v>
      </c>
      <c r="I100" s="480"/>
      <c r="J100" s="553">
        <f>H100/DAY(B2)</f>
        <v>10.333333333333334</v>
      </c>
      <c r="K100" s="380"/>
      <c r="L100" s="377"/>
      <c r="O100" s="382"/>
    </row>
    <row r="101" spans="1:15">
      <c r="A101" s="1405" t="s">
        <v>216</v>
      </c>
      <c r="B101" s="1406"/>
      <c r="C101" s="1407"/>
      <c r="D101" s="524"/>
      <c r="E101" s="524"/>
      <c r="F101" s="524"/>
      <c r="G101" s="525">
        <f>SUM(G95:G100)</f>
        <v>259</v>
      </c>
      <c r="H101" s="460">
        <f>G101+'[4]1'!H101</f>
        <v>473</v>
      </c>
      <c r="I101" s="526"/>
      <c r="J101" s="553">
        <f>H101/DAY(B2)</f>
        <v>157.66666666666666</v>
      </c>
      <c r="K101" s="380"/>
      <c r="L101" s="377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O102" s="382"/>
    </row>
    <row r="103" spans="1:15" s="442" customFormat="1" ht="27.75">
      <c r="A103" s="1414" t="s">
        <v>218</v>
      </c>
      <c r="B103" s="1415"/>
      <c r="C103" s="574"/>
      <c r="D103" s="623"/>
      <c r="E103" s="532"/>
      <c r="F103" s="663"/>
      <c r="G103" s="532"/>
      <c r="H103" s="533"/>
      <c r="I103" s="532"/>
      <c r="J103" s="559"/>
      <c r="O103" s="382"/>
    </row>
    <row r="104" spans="1:15" s="442" customFormat="1" ht="27.75">
      <c r="A104" s="1416" t="s">
        <v>219</v>
      </c>
      <c r="B104" s="1417"/>
      <c r="C104" s="1311"/>
      <c r="D104" s="623" t="s">
        <v>144</v>
      </c>
      <c r="E104" s="532">
        <f>'[4]1'!F104</f>
        <v>7128</v>
      </c>
      <c r="F104" s="663">
        <v>7128</v>
      </c>
      <c r="G104" s="532">
        <f>F104-E104</f>
        <v>0</v>
      </c>
      <c r="H104" s="460">
        <f>G104+'[4]1'!H104</f>
        <v>0</v>
      </c>
      <c r="I104" s="532"/>
      <c r="J104" s="559">
        <f>H104/DAY(B2)</f>
        <v>0</v>
      </c>
      <c r="O104" s="382"/>
    </row>
    <row r="105" spans="1:15" s="442" customFormat="1" ht="27.75">
      <c r="A105" s="1416" t="s">
        <v>77</v>
      </c>
      <c r="B105" s="1417"/>
      <c r="C105" s="1311"/>
      <c r="D105" s="623" t="s">
        <v>144</v>
      </c>
      <c r="E105" s="534">
        <f>'[4]1'!F105</f>
        <v>35416</v>
      </c>
      <c r="F105" s="664">
        <v>35425</v>
      </c>
      <c r="G105" s="532">
        <f t="shared" ref="G105:G106" si="9">F105-E105</f>
        <v>9</v>
      </c>
      <c r="H105" s="460">
        <f>G105+'[4]1'!H105</f>
        <v>18</v>
      </c>
      <c r="I105" s="532"/>
      <c r="J105" s="559">
        <f>H105/DAY(B2)</f>
        <v>6</v>
      </c>
      <c r="O105" s="382"/>
    </row>
    <row r="106" spans="1:15" s="442" customFormat="1" ht="27.75">
      <c r="A106" s="1416" t="s">
        <v>78</v>
      </c>
      <c r="B106" s="1418"/>
      <c r="C106" s="1417"/>
      <c r="D106" s="623" t="s">
        <v>144</v>
      </c>
      <c r="E106" s="532">
        <f>'[4]1'!F106</f>
        <v>19252</v>
      </c>
      <c r="F106" s="663">
        <v>19257</v>
      </c>
      <c r="G106" s="532">
        <f t="shared" si="9"/>
        <v>5</v>
      </c>
      <c r="H106" s="460">
        <f>G106+'[4]1'!H106</f>
        <v>10</v>
      </c>
      <c r="I106" s="532"/>
      <c r="J106" s="559">
        <f>H106/DAY(B2)</f>
        <v>3.3333333333333335</v>
      </c>
      <c r="O106" s="382"/>
    </row>
    <row r="107" spans="1:15" s="442" customFormat="1" ht="27.75">
      <c r="A107" s="1419" t="s">
        <v>202</v>
      </c>
      <c r="B107" s="1420"/>
      <c r="C107" s="1311"/>
      <c r="D107" s="623"/>
      <c r="E107" s="532"/>
      <c r="F107" s="663"/>
      <c r="G107" s="532">
        <f>SUM(G104:G106)</f>
        <v>14</v>
      </c>
      <c r="H107" s="460">
        <f>G107+'[4]1'!H107</f>
        <v>28</v>
      </c>
      <c r="I107" s="532"/>
      <c r="J107" s="559">
        <f>H107/DAY(B2)</f>
        <v>9.3333333333333339</v>
      </c>
      <c r="O107" s="382"/>
    </row>
    <row r="108" spans="1:15" s="442" customFormat="1" ht="27.75">
      <c r="A108" s="1421" t="s">
        <v>79</v>
      </c>
      <c r="B108" s="1422"/>
      <c r="C108" s="1311"/>
      <c r="D108" s="623" t="s">
        <v>144</v>
      </c>
      <c r="E108" s="532"/>
      <c r="F108" s="663"/>
      <c r="G108" s="532"/>
      <c r="H108" s="460">
        <f>G108+'[4]1'!H108</f>
        <v>0</v>
      </c>
      <c r="I108" s="532"/>
      <c r="J108" s="559"/>
      <c r="O108" s="382"/>
    </row>
    <row r="109" spans="1:15" s="442" customFormat="1" ht="27.75">
      <c r="A109" s="1416" t="s">
        <v>220</v>
      </c>
      <c r="B109" s="1417"/>
      <c r="C109" s="1311"/>
      <c r="D109" s="623" t="s">
        <v>144</v>
      </c>
      <c r="E109" s="532">
        <f>'[4]1'!F109</f>
        <v>56435</v>
      </c>
      <c r="F109" s="663">
        <v>56516</v>
      </c>
      <c r="G109" s="532">
        <f>F109-E109</f>
        <v>81</v>
      </c>
      <c r="H109" s="460">
        <f>G109+'[4]1'!H109</f>
        <v>163</v>
      </c>
      <c r="I109" s="532"/>
      <c r="J109" s="559">
        <f>H109/DAY(B2)</f>
        <v>54.333333333333336</v>
      </c>
      <c r="O109" s="382"/>
    </row>
    <row r="110" spans="1:15" s="442" customFormat="1" ht="27.75">
      <c r="A110" s="1416" t="s">
        <v>221</v>
      </c>
      <c r="B110" s="1417"/>
      <c r="C110" s="1311"/>
      <c r="D110" s="623" t="s">
        <v>144</v>
      </c>
      <c r="E110" s="532">
        <f>'[4]1'!F110</f>
        <v>30593</v>
      </c>
      <c r="F110" s="663">
        <v>30690</v>
      </c>
      <c r="G110" s="532">
        <f t="shared" ref="G110:G111" si="10">F110-E110</f>
        <v>97</v>
      </c>
      <c r="H110" s="460">
        <f>G110+'[4]1'!H110</f>
        <v>163</v>
      </c>
      <c r="I110" s="532"/>
      <c r="J110" s="559">
        <f>H110/DAY(B2)</f>
        <v>54.333333333333336</v>
      </c>
      <c r="O110" s="382"/>
    </row>
    <row r="111" spans="1:15" s="442" customFormat="1" ht="27.75">
      <c r="A111" s="1416" t="s">
        <v>222</v>
      </c>
      <c r="B111" s="1417"/>
      <c r="C111" s="1311"/>
      <c r="D111" s="623" t="s">
        <v>144</v>
      </c>
      <c r="E111" s="532">
        <f>'[4]1'!F111</f>
        <v>3987</v>
      </c>
      <c r="F111" s="663">
        <v>3987</v>
      </c>
      <c r="G111" s="532">
        <f t="shared" si="10"/>
        <v>0</v>
      </c>
      <c r="H111" s="460">
        <f>G111+'[4]1'!H111</f>
        <v>7</v>
      </c>
      <c r="I111" s="532"/>
      <c r="J111" s="559">
        <f>H111/DAY(B2)</f>
        <v>2.3333333333333335</v>
      </c>
      <c r="O111" s="382"/>
    </row>
    <row r="112" spans="1:15" s="442" customFormat="1" ht="27.75">
      <c r="A112" s="1448" t="s">
        <v>110</v>
      </c>
      <c r="B112" s="1449"/>
      <c r="C112" s="1311"/>
      <c r="D112" s="623"/>
      <c r="E112" s="532"/>
      <c r="F112" s="663"/>
      <c r="G112" s="532">
        <f>SUM(G109:G111)</f>
        <v>178</v>
      </c>
      <c r="H112" s="460">
        <f>G112+'[4]1'!H112</f>
        <v>333</v>
      </c>
      <c r="I112" s="532"/>
      <c r="J112" s="559">
        <f>H112/DAY(B2)</f>
        <v>111</v>
      </c>
      <c r="O112" s="382"/>
    </row>
    <row r="113" spans="1:15" s="442" customFormat="1" ht="27.75">
      <c r="A113" s="1421" t="s">
        <v>223</v>
      </c>
      <c r="B113" s="1422"/>
      <c r="C113" s="1311"/>
      <c r="D113" s="623"/>
      <c r="E113" s="532"/>
      <c r="F113" s="663"/>
      <c r="G113" s="532"/>
      <c r="H113" s="460">
        <f>G113+'[4]1'!H113</f>
        <v>0</v>
      </c>
      <c r="I113" s="532"/>
      <c r="J113" s="559">
        <f>H113/DAY(B2)</f>
        <v>0</v>
      </c>
      <c r="O113" s="382"/>
    </row>
    <row r="114" spans="1:15" s="442" customFormat="1" ht="27.75">
      <c r="A114" s="1416" t="s">
        <v>224</v>
      </c>
      <c r="B114" s="1417"/>
      <c r="C114" s="575"/>
      <c r="D114" s="623" t="s">
        <v>144</v>
      </c>
      <c r="E114" s="534">
        <f>'[4]1'!F114</f>
        <v>10341</v>
      </c>
      <c r="F114" s="664">
        <v>10363</v>
      </c>
      <c r="G114" s="534">
        <f>F114-E114</f>
        <v>22</v>
      </c>
      <c r="H114" s="460">
        <f>G114+'[4]1'!H114</f>
        <v>41</v>
      </c>
      <c r="I114" s="532"/>
      <c r="J114" s="559">
        <f>H114/DAY(B2)</f>
        <v>13.666666666666666</v>
      </c>
      <c r="O114" s="382"/>
    </row>
    <row r="115" spans="1:15" s="442" customFormat="1" ht="27.75">
      <c r="A115" s="1416" t="s">
        <v>225</v>
      </c>
      <c r="B115" s="1417"/>
      <c r="C115" s="575"/>
      <c r="D115" s="623" t="s">
        <v>144</v>
      </c>
      <c r="E115" s="534">
        <f>'[4]1'!F115</f>
        <v>7680</v>
      </c>
      <c r="F115" s="664">
        <v>7690</v>
      </c>
      <c r="G115" s="534">
        <f t="shared" ref="G115:G116" si="11">F115-E115</f>
        <v>10</v>
      </c>
      <c r="H115" s="460">
        <f>G115+'[4]1'!H115</f>
        <v>23</v>
      </c>
      <c r="I115" s="532"/>
      <c r="J115" s="559">
        <f>H115/DAY(B2)</f>
        <v>7.666666666666667</v>
      </c>
      <c r="O115" s="382"/>
    </row>
    <row r="116" spans="1:15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1"/>
        <v>0</v>
      </c>
      <c r="H116" s="460">
        <f>G116+'[4]1'!H116</f>
        <v>0</v>
      </c>
      <c r="I116" s="532"/>
      <c r="J116" s="559">
        <f>H116/DAY(B2)</f>
        <v>0</v>
      </c>
      <c r="O116" s="382"/>
    </row>
    <row r="117" spans="1:15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32</v>
      </c>
      <c r="H117" s="460">
        <f>G117+'[4]1'!H117</f>
        <v>64</v>
      </c>
      <c r="I117" s="534"/>
      <c r="J117" s="559">
        <f>H117/DAY(B2)</f>
        <v>21.333333333333332</v>
      </c>
      <c r="O117" s="382"/>
    </row>
    <row r="118" spans="1:15" s="446" customFormat="1" ht="27.75">
      <c r="A118" s="1450" t="s">
        <v>227</v>
      </c>
      <c r="B118" s="1451"/>
      <c r="C118" s="1310"/>
      <c r="D118" s="625" t="s">
        <v>144</v>
      </c>
      <c r="E118" s="536"/>
      <c r="F118" s="665">
        <f>SUM(G19+G92)</f>
        <v>147</v>
      </c>
      <c r="G118" s="536">
        <f>SUM(G19+G92)</f>
        <v>147</v>
      </c>
      <c r="H118" s="460">
        <f>G118+'[4]1'!H118</f>
        <v>317</v>
      </c>
      <c r="I118" s="535"/>
      <c r="J118" s="560">
        <f>H118/DAY(B2)</f>
        <v>105.66666666666667</v>
      </c>
      <c r="O118" s="382"/>
    </row>
    <row r="119" spans="1:15" s="446" customFormat="1" ht="27.75">
      <c r="A119" s="1450" t="s">
        <v>228</v>
      </c>
      <c r="B119" s="1451"/>
      <c r="C119" s="1310"/>
      <c r="D119" s="625" t="s">
        <v>144</v>
      </c>
      <c r="E119" s="536"/>
      <c r="F119" s="665">
        <f>SUM(G95,G96,G97,G99,G100)</f>
        <v>158</v>
      </c>
      <c r="G119" s="536">
        <f>SUM(G95,G96,G97,G99,G100)</f>
        <v>158</v>
      </c>
      <c r="H119" s="460">
        <f>G119+'[4]1'!H119</f>
        <v>302</v>
      </c>
      <c r="I119" s="535"/>
      <c r="J119" s="560">
        <f>H119/DAY(B2)</f>
        <v>100.66666666666667</v>
      </c>
      <c r="O119" s="382"/>
    </row>
    <row r="120" spans="1:15" s="446" customFormat="1" ht="27.75">
      <c r="A120" s="1450" t="s">
        <v>229</v>
      </c>
      <c r="B120" s="1451"/>
      <c r="C120" s="1310"/>
      <c r="D120" s="625" t="s">
        <v>144</v>
      </c>
      <c r="E120" s="534"/>
      <c r="F120" s="664">
        <f>SUM(G112)</f>
        <v>178</v>
      </c>
      <c r="G120" s="534">
        <f>SUM(G112)</f>
        <v>178</v>
      </c>
      <c r="H120" s="460">
        <f>G120+'[4]1'!H120</f>
        <v>333</v>
      </c>
      <c r="I120" s="535"/>
      <c r="J120" s="560">
        <f>H120/DAY(B2)</f>
        <v>111</v>
      </c>
      <c r="O120" s="382"/>
    </row>
    <row r="121" spans="1:15" s="442" customFormat="1" ht="27.75">
      <c r="A121" s="1452"/>
      <c r="B121" s="1453"/>
      <c r="C121" s="1311"/>
      <c r="D121" s="561"/>
      <c r="E121" s="561"/>
      <c r="F121" s="666" t="s">
        <v>215</v>
      </c>
      <c r="G121" s="561"/>
      <c r="H121" s="562"/>
      <c r="I121" s="561"/>
      <c r="J121" s="563"/>
      <c r="O121" s="382"/>
    </row>
    <row r="122" spans="1:15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O122" s="382"/>
    </row>
    <row r="123" spans="1:15" ht="27.75">
      <c r="A123" s="1313" t="s">
        <v>231</v>
      </c>
      <c r="B123" s="1314"/>
      <c r="C123" s="1314"/>
      <c r="D123" s="523" t="s">
        <v>141</v>
      </c>
      <c r="E123" s="478">
        <f>'[4]1'!F123</f>
        <v>811273.1</v>
      </c>
      <c r="F123" s="478">
        <v>811551.39</v>
      </c>
      <c r="G123" s="473">
        <f t="shared" ref="G123:G127" si="12">F123-E123</f>
        <v>278.29000000003725</v>
      </c>
      <c r="H123" s="460">
        <f>G123+'[4]1'!H123</f>
        <v>544.55000000004657</v>
      </c>
      <c r="I123" s="526"/>
      <c r="J123" s="553">
        <f>H123/DAY(B2)</f>
        <v>181.5166666666822</v>
      </c>
      <c r="K123" s="380"/>
      <c r="L123" s="377"/>
      <c r="O123" s="382"/>
    </row>
    <row r="124" spans="1:15" ht="27.75">
      <c r="A124" s="1313" t="s">
        <v>232</v>
      </c>
      <c r="B124" s="1314"/>
      <c r="C124" s="1314"/>
      <c r="D124" s="523" t="s">
        <v>141</v>
      </c>
      <c r="E124" s="627">
        <f>'[4]1'!F124</f>
        <v>73583.399999999994</v>
      </c>
      <c r="F124" s="627">
        <v>73583.399999999994</v>
      </c>
      <c r="G124" s="473">
        <f t="shared" si="12"/>
        <v>0</v>
      </c>
      <c r="H124" s="460">
        <f>G124+'[4]1'!H124</f>
        <v>0</v>
      </c>
      <c r="I124" s="526"/>
      <c r="J124" s="553">
        <f>H124/DAY(B2)</f>
        <v>0</v>
      </c>
      <c r="K124" s="380"/>
      <c r="L124" s="377"/>
      <c r="O124" s="382"/>
    </row>
    <row r="125" spans="1:15" ht="27.75">
      <c r="A125" s="1408" t="s">
        <v>233</v>
      </c>
      <c r="B125" s="1409"/>
      <c r="C125" s="1410"/>
      <c r="D125" s="523" t="s">
        <v>141</v>
      </c>
      <c r="E125" s="478">
        <f>'[4]1'!F125</f>
        <v>140043.29</v>
      </c>
      <c r="F125" s="478">
        <v>140124.99</v>
      </c>
      <c r="G125" s="473">
        <f t="shared" si="12"/>
        <v>81.699999999982538</v>
      </c>
      <c r="H125" s="460">
        <f>G125+'[4]1'!H125</f>
        <v>145.64999999999418</v>
      </c>
      <c r="I125" s="526"/>
      <c r="J125" s="553">
        <f>H125/DAY(B2)</f>
        <v>48.549999999998057</v>
      </c>
      <c r="K125" s="380"/>
      <c r="L125" s="377"/>
      <c r="O125" s="382"/>
    </row>
    <row r="126" spans="1:15" ht="27.75">
      <c r="A126" s="610" t="s">
        <v>234</v>
      </c>
      <c r="B126" s="1314"/>
      <c r="C126" s="1314"/>
      <c r="D126" s="523" t="s">
        <v>141</v>
      </c>
      <c r="E126" s="627">
        <f>'[4]1'!F126</f>
        <v>59332</v>
      </c>
      <c r="F126" s="627">
        <v>59358.9</v>
      </c>
      <c r="G126" s="473">
        <f t="shared" si="12"/>
        <v>26.900000000001455</v>
      </c>
      <c r="H126" s="460">
        <f>G126+'[4]1'!H126</f>
        <v>52</v>
      </c>
      <c r="I126" s="526"/>
      <c r="J126" s="553">
        <f>H126/DAY(B2)</f>
        <v>17.333333333333332</v>
      </c>
      <c r="K126" s="380"/>
      <c r="L126" s="377"/>
      <c r="O126" s="382"/>
    </row>
    <row r="127" spans="1:15" ht="27.75">
      <c r="A127" s="610" t="s">
        <v>235</v>
      </c>
      <c r="B127" s="1314"/>
      <c r="C127" s="1314"/>
      <c r="D127" s="523" t="s">
        <v>141</v>
      </c>
      <c r="E127" s="627">
        <f>'[4]1'!F127</f>
        <v>8889.9</v>
      </c>
      <c r="F127" s="627">
        <v>8890.4</v>
      </c>
      <c r="G127" s="473">
        <f t="shared" si="12"/>
        <v>0.5</v>
      </c>
      <c r="H127" s="460">
        <f>G127+'[4]1'!H127</f>
        <v>2.6000000000003638</v>
      </c>
      <c r="I127" s="480"/>
      <c r="J127" s="553">
        <f>H127/DAY(B2)</f>
        <v>0.86666666666678793</v>
      </c>
      <c r="K127" s="380"/>
      <c r="L127" s="377"/>
      <c r="O127" s="382"/>
    </row>
    <row r="128" spans="1:15" s="281" customFormat="1" ht="27.75">
      <c r="A128" s="610" t="s">
        <v>236</v>
      </c>
      <c r="B128" s="1314"/>
      <c r="C128" s="1314"/>
      <c r="D128" s="523"/>
      <c r="E128" s="478"/>
      <c r="F128" s="478"/>
      <c r="G128" s="473">
        <f>G15-SUM(G123:G127)</f>
        <v>605.78799999981857</v>
      </c>
      <c r="H128" s="460">
        <f>G128+'[4]1'!H128</f>
        <v>1129.0099999997819</v>
      </c>
      <c r="I128" s="480"/>
      <c r="J128" s="553">
        <f>H128/DAY(B2)</f>
        <v>376.336666666594</v>
      </c>
      <c r="K128" s="364"/>
      <c r="L128" s="292"/>
      <c r="O128" s="382"/>
    </row>
    <row r="129" spans="1:15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O129" s="382"/>
    </row>
    <row r="130" spans="1:15" ht="27.75">
      <c r="A130" s="1313" t="s">
        <v>238</v>
      </c>
      <c r="B130" s="1314"/>
      <c r="C130" s="1314"/>
      <c r="D130" s="523" t="s">
        <v>239</v>
      </c>
      <c r="E130" s="484">
        <f>'[4]1'!F130</f>
        <v>0</v>
      </c>
      <c r="F130" s="478">
        <v>0</v>
      </c>
      <c r="G130" s="473">
        <f t="shared" ref="G130:G140" si="13">F130-E130</f>
        <v>0</v>
      </c>
      <c r="H130" s="460">
        <f>G130+'[4]1'!H130</f>
        <v>0</v>
      </c>
      <c r="I130" s="480"/>
      <c r="J130" s="553">
        <f>H130/DAY(B2)</f>
        <v>0</v>
      </c>
      <c r="O130" s="382"/>
    </row>
    <row r="131" spans="1:15" ht="27.75">
      <c r="A131" s="1313" t="s">
        <v>240</v>
      </c>
      <c r="B131" s="1314"/>
      <c r="C131" s="1314"/>
      <c r="D131" s="523" t="s">
        <v>239</v>
      </c>
      <c r="E131" s="484">
        <f>'[4]1'!F131</f>
        <v>0</v>
      </c>
      <c r="F131" s="478">
        <v>0</v>
      </c>
      <c r="G131" s="473">
        <f t="shared" si="13"/>
        <v>0</v>
      </c>
      <c r="H131" s="460">
        <f>G131+'[4]1'!H131</f>
        <v>0</v>
      </c>
      <c r="I131" s="480"/>
      <c r="J131" s="553">
        <f>H131/DAY(B2)</f>
        <v>0</v>
      </c>
      <c r="O131" s="382"/>
    </row>
    <row r="132" spans="1:15" ht="27.75">
      <c r="A132" s="1313" t="s">
        <v>241</v>
      </c>
      <c r="B132" s="1314"/>
      <c r="C132" s="1314"/>
      <c r="D132" s="523" t="s">
        <v>239</v>
      </c>
      <c r="E132" s="542">
        <f>'[4]1'!F132</f>
        <v>38829</v>
      </c>
      <c r="F132" s="656">
        <v>38829</v>
      </c>
      <c r="G132" s="473">
        <f t="shared" si="13"/>
        <v>0</v>
      </c>
      <c r="H132" s="460">
        <f>G132+'[4]1'!H132</f>
        <v>0</v>
      </c>
      <c r="I132" s="480"/>
      <c r="J132" s="553">
        <f>H132/DAY(B2)</f>
        <v>0</v>
      </c>
      <c r="O132" s="382"/>
    </row>
    <row r="133" spans="1:15" ht="27.75">
      <c r="A133" s="1313" t="s">
        <v>242</v>
      </c>
      <c r="B133" s="1314"/>
      <c r="C133" s="1314"/>
      <c r="D133" s="523" t="s">
        <v>239</v>
      </c>
      <c r="E133" s="542">
        <f>'[4]1'!F133</f>
        <v>300</v>
      </c>
      <c r="F133" s="656">
        <v>300</v>
      </c>
      <c r="G133" s="473">
        <f t="shared" si="13"/>
        <v>0</v>
      </c>
      <c r="H133" s="460">
        <f>G133+'[4]1'!H133</f>
        <v>0</v>
      </c>
      <c r="I133" s="480">
        <f>G132+G133+G134+G135</f>
        <v>26.650000000001455</v>
      </c>
      <c r="J133" s="553">
        <f>H133/DAY(B2)</f>
        <v>0</v>
      </c>
      <c r="O133" s="382"/>
    </row>
    <row r="134" spans="1:15" ht="27.75">
      <c r="A134" s="1313" t="s">
        <v>243</v>
      </c>
      <c r="B134" s="1314"/>
      <c r="C134" s="1314"/>
      <c r="D134" s="523" t="s">
        <v>239</v>
      </c>
      <c r="E134" s="542">
        <f>'[4]1'!F134</f>
        <v>40391.14</v>
      </c>
      <c r="F134" s="656">
        <v>40410.14</v>
      </c>
      <c r="G134" s="473">
        <f t="shared" si="13"/>
        <v>19</v>
      </c>
      <c r="H134" s="460">
        <f>G134+'[4]1'!H134</f>
        <v>43</v>
      </c>
      <c r="I134" s="480"/>
      <c r="J134" s="553">
        <f>H134/DAY(B2)</f>
        <v>14.333333333333334</v>
      </c>
      <c r="O134" s="382"/>
    </row>
    <row r="135" spans="1:15" ht="27.75">
      <c r="A135" s="1313" t="s">
        <v>244</v>
      </c>
      <c r="B135" s="1314"/>
      <c r="C135" s="1314"/>
      <c r="D135" s="523" t="s">
        <v>239</v>
      </c>
      <c r="E135" s="542">
        <f>'[4]1'!F135</f>
        <v>32574.44</v>
      </c>
      <c r="F135" s="656">
        <v>32582.09</v>
      </c>
      <c r="G135" s="473">
        <f t="shared" si="13"/>
        <v>7.6500000000014552</v>
      </c>
      <c r="H135" s="460">
        <f>G135+'[4]1'!H135</f>
        <v>11.090000000000146</v>
      </c>
      <c r="I135" s="480"/>
      <c r="J135" s="553">
        <f>H135/DAY(B2)</f>
        <v>3.6966666666667152</v>
      </c>
      <c r="O135" s="382"/>
    </row>
    <row r="136" spans="1:15" ht="27.75">
      <c r="A136" s="1313" t="s">
        <v>245</v>
      </c>
      <c r="B136" s="1314"/>
      <c r="C136" s="1314"/>
      <c r="D136" s="523" t="s">
        <v>239</v>
      </c>
      <c r="E136" s="542">
        <f>'[4]1'!F136</f>
        <v>22230.98</v>
      </c>
      <c r="F136" s="656">
        <v>22239.82</v>
      </c>
      <c r="G136" s="473">
        <f t="shared" si="13"/>
        <v>8.8400000000001455</v>
      </c>
      <c r="H136" s="460">
        <f>G136+'[4]1'!H136</f>
        <v>17.610000000000582</v>
      </c>
      <c r="I136" s="480"/>
      <c r="J136" s="553">
        <f>H136/DAY(B2)</f>
        <v>5.8700000000001937</v>
      </c>
      <c r="O136" s="382"/>
    </row>
    <row r="137" spans="1:15" ht="27.75">
      <c r="A137" s="1313" t="s">
        <v>246</v>
      </c>
      <c r="B137" s="1314"/>
      <c r="C137" s="1314"/>
      <c r="D137" s="523" t="s">
        <v>239</v>
      </c>
      <c r="E137" s="542">
        <f>'[4]1'!F137</f>
        <v>25044.31</v>
      </c>
      <c r="F137" s="656">
        <v>25044.31</v>
      </c>
      <c r="G137" s="473">
        <f t="shared" si="13"/>
        <v>0</v>
      </c>
      <c r="H137" s="460">
        <f>G137+'[4]1'!H137</f>
        <v>0</v>
      </c>
      <c r="I137" s="480"/>
      <c r="J137" s="553">
        <f>H137/DAY(B2)</f>
        <v>0</v>
      </c>
      <c r="O137" s="382"/>
    </row>
    <row r="138" spans="1:15" ht="27.75">
      <c r="A138" s="1313" t="s">
        <v>247</v>
      </c>
      <c r="B138" s="1314"/>
      <c r="C138" s="1314"/>
      <c r="D138" s="523" t="s">
        <v>239</v>
      </c>
      <c r="E138" s="542">
        <f>'[4]1'!F138</f>
        <v>70152.710000000006</v>
      </c>
      <c r="F138" s="656">
        <v>70159.350000000006</v>
      </c>
      <c r="G138" s="473">
        <f t="shared" si="13"/>
        <v>6.6399999999994179</v>
      </c>
      <c r="H138" s="460">
        <f>G138+'[4]1'!H138</f>
        <v>12.010000000009313</v>
      </c>
      <c r="I138" s="480">
        <f>G136+G137+G138</f>
        <v>15.479999999999563</v>
      </c>
      <c r="J138" s="553">
        <f>H138/DAY(B2)</f>
        <v>4.003333333336438</v>
      </c>
      <c r="O138" s="382"/>
    </row>
    <row r="139" spans="1:15" ht="27.75">
      <c r="A139" s="1313" t="s">
        <v>248</v>
      </c>
      <c r="B139" s="1314"/>
      <c r="C139" s="1314"/>
      <c r="D139" s="523" t="s">
        <v>239</v>
      </c>
      <c r="E139" s="484">
        <f>'[4]1'!F139</f>
        <v>1430.85</v>
      </c>
      <c r="F139" s="478">
        <v>1438.91</v>
      </c>
      <c r="G139" s="473">
        <f t="shared" si="13"/>
        <v>8.0600000000001728</v>
      </c>
      <c r="H139" s="460">
        <f>G139+'[4]1'!H139</f>
        <v>15.769999999999982</v>
      </c>
      <c r="I139" s="543"/>
      <c r="J139" s="553">
        <f>H139/DAY(B2)</f>
        <v>5.2566666666666606</v>
      </c>
      <c r="O139" s="382"/>
    </row>
    <row r="140" spans="1:15" ht="27.75">
      <c r="A140" s="1313" t="s">
        <v>249</v>
      </c>
      <c r="B140" s="1314"/>
      <c r="C140" s="1314"/>
      <c r="D140" s="523" t="s">
        <v>239</v>
      </c>
      <c r="E140" s="484">
        <f>'[4]1'!F140</f>
        <v>4333.53</v>
      </c>
      <c r="F140" s="478">
        <v>4334</v>
      </c>
      <c r="G140" s="473">
        <f t="shared" si="13"/>
        <v>0.47000000000025466</v>
      </c>
      <c r="H140" s="460">
        <f>G140+'[4]1'!H140</f>
        <v>0</v>
      </c>
      <c r="I140" s="543">
        <f>G139+G140</f>
        <v>8.5300000000004275</v>
      </c>
      <c r="J140" s="553">
        <f>H140/DAY(B2)</f>
        <v>0</v>
      </c>
      <c r="O140" s="382"/>
    </row>
    <row r="141" spans="1:15">
      <c r="A141" s="1446" t="s">
        <v>250</v>
      </c>
      <c r="B141" s="1447"/>
      <c r="C141" s="1319"/>
      <c r="D141" s="472"/>
      <c r="E141" s="472"/>
      <c r="F141" s="472"/>
      <c r="G141" s="483"/>
      <c r="H141" s="483"/>
      <c r="I141" s="483"/>
      <c r="J141" s="564"/>
      <c r="K141" s="380"/>
      <c r="L141" s="377"/>
      <c r="O141" s="382"/>
    </row>
    <row r="142" spans="1:15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5989.2800000000279</v>
      </c>
      <c r="H142" s="460">
        <f>G142+'[4]1'!H142</f>
        <v>11637.760000000009</v>
      </c>
      <c r="I142" s="480"/>
      <c r="J142" s="553">
        <f>H142/DAY(B2)</f>
        <v>3879.2533333333363</v>
      </c>
      <c r="K142" s="380"/>
      <c r="L142" s="377"/>
      <c r="O142" s="382"/>
    </row>
    <row r="143" spans="1:15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0.26762947406050441</v>
      </c>
      <c r="H143" s="460">
        <f>G143+'[4]1'!H153</f>
        <v>0.33239037953891692</v>
      </c>
      <c r="I143" s="545"/>
      <c r="J143" s="553">
        <f>H143/DAY(B2)</f>
        <v>0.11079679317963897</v>
      </c>
      <c r="K143" s="380"/>
      <c r="L143" s="377"/>
      <c r="O143" s="382"/>
    </row>
    <row r="144" spans="1:15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5632.6609999999928</v>
      </c>
      <c r="H144" s="460">
        <f>G144+'[4]1'!H144</f>
        <v>11382.311000000002</v>
      </c>
      <c r="I144" s="480"/>
      <c r="J144" s="553">
        <f>H144/DAY(B2)</f>
        <v>3794.1036666666673</v>
      </c>
      <c r="K144" s="380"/>
      <c r="L144" s="377"/>
      <c r="O144" s="382"/>
    </row>
    <row r="145" spans="1:15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0.25169404352294528</v>
      </c>
      <c r="H145" s="460">
        <f>G145+'[4]1'!H145</f>
        <v>0.50840922859237458</v>
      </c>
      <c r="I145" s="545"/>
      <c r="J145" s="553">
        <f>H145/DAY(B2)</f>
        <v>0.16946974286412486</v>
      </c>
      <c r="K145" s="380"/>
      <c r="L145" s="377"/>
      <c r="O145" s="382"/>
    </row>
    <row r="146" spans="1:15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4368.929999999993</v>
      </c>
      <c r="H146" s="460">
        <f>G146+'[4]1'!H146</f>
        <v>8697.7299999999959</v>
      </c>
      <c r="I146" s="546"/>
      <c r="J146" s="553">
        <f>H146/DAY(B2)</f>
        <v>2899.243333333332</v>
      </c>
      <c r="K146" s="380"/>
      <c r="L146" s="377"/>
      <c r="O146" s="382"/>
    </row>
    <row r="147" spans="1:15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0.19522454086420274</v>
      </c>
      <c r="H147" s="460">
        <f>G147+'[4]1'!H147</f>
        <v>0.38850042602739437</v>
      </c>
      <c r="I147" s="546"/>
      <c r="J147" s="553">
        <f>H147/DAY(B2)</f>
        <v>0.12950014200913146</v>
      </c>
      <c r="O147" s="382"/>
    </row>
    <row r="148" spans="1:15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2089.5099999999948</v>
      </c>
      <c r="H148" s="460">
        <f>G148+'[4]1'!H148</f>
        <v>4229.93</v>
      </c>
      <c r="I148" s="480"/>
      <c r="J148" s="553">
        <f>H148/DAY(B2)</f>
        <v>1409.9766666666667</v>
      </c>
      <c r="K148" s="381"/>
      <c r="O148" s="382"/>
    </row>
    <row r="149" spans="1:15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9.336923008177285E-2</v>
      </c>
      <c r="H149" s="460">
        <f>G149+'[4]1'!H149</f>
        <v>0.18893649355455963</v>
      </c>
      <c r="I149" s="546"/>
      <c r="J149" s="553">
        <f>H149/DAY(B2)</f>
        <v>6.2978831184853215E-2</v>
      </c>
      <c r="O149" s="382"/>
    </row>
    <row r="150" spans="1:15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2269.640000000014</v>
      </c>
      <c r="H150" s="460">
        <f>G150+'[4]1'!H150</f>
        <v>4664.7999999999884</v>
      </c>
      <c r="I150" s="546"/>
      <c r="J150" s="553">
        <f>H150/DAY(B2)</f>
        <v>1554.9333333333295</v>
      </c>
      <c r="O150" s="382"/>
    </row>
    <row r="151" spans="1:15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0.10141829393628017</v>
      </c>
      <c r="H151" s="460">
        <f>G151+'[4]1'!H151</f>
        <v>0.20835940212041082</v>
      </c>
      <c r="I151" s="480"/>
      <c r="J151" s="553">
        <f>H151/DAY(B2)</f>
        <v>6.9453134040136935E-2</v>
      </c>
      <c r="O151" s="382"/>
    </row>
    <row r="152" spans="1:15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1456.8399999999965</v>
      </c>
      <c r="H152" s="460">
        <f>G152+'[4]1'!H152</f>
        <v>2907.2900000000009</v>
      </c>
      <c r="I152" s="480"/>
      <c r="J152" s="553">
        <f>H152/DAY(B2)</f>
        <v>969.09666666666692</v>
      </c>
      <c r="O152" s="382"/>
    </row>
    <row r="153" spans="1:15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6.5098529871754615E-2</v>
      </c>
      <c r="H153" s="460">
        <f>G153+'[4]1'!H153</f>
        <v>0.12985943535016709</v>
      </c>
      <c r="I153" s="569"/>
      <c r="J153" s="570">
        <f>H153/DAY(B2)</f>
        <v>4.3286478450055697E-2</v>
      </c>
      <c r="O153" s="382"/>
    </row>
    <row r="154" spans="1:1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O154" s="382"/>
    </row>
    <row r="157" spans="1:15" ht="29.25" customHeight="1">
      <c r="A157" s="1461" t="s">
        <v>267</v>
      </c>
      <c r="B157" s="1462"/>
      <c r="C157" s="1462"/>
      <c r="D157" s="1462"/>
      <c r="E157" s="1462"/>
      <c r="F157" s="1462"/>
      <c r="G157" s="1463"/>
    </row>
    <row r="158" spans="1:15">
      <c r="A158" s="790"/>
      <c r="B158" s="791"/>
      <c r="C158" s="791"/>
      <c r="D158" s="511"/>
      <c r="E158" s="455"/>
      <c r="F158" s="663"/>
      <c r="G158" s="473"/>
    </row>
    <row r="159" spans="1:15">
      <c r="A159" s="790"/>
      <c r="B159" s="791"/>
      <c r="C159" s="791"/>
      <c r="D159" s="511"/>
      <c r="E159" s="455"/>
      <c r="F159" s="663"/>
      <c r="G159" s="473"/>
    </row>
    <row r="160" spans="1:15">
      <c r="A160" s="790" t="s">
        <v>263</v>
      </c>
      <c r="B160" s="791"/>
      <c r="C160" s="791"/>
      <c r="D160" s="511" t="s">
        <v>187</v>
      </c>
      <c r="E160" s="663">
        <f>'[4]1'!F160</f>
        <v>30881.599999999999</v>
      </c>
      <c r="F160" s="663">
        <v>30967.47</v>
      </c>
      <c r="G160" s="473">
        <f t="shared" ref="G160:G171" si="14">F160-E160</f>
        <v>85.870000000002619</v>
      </c>
    </row>
    <row r="161" spans="1:7">
      <c r="A161" s="790" t="s">
        <v>264</v>
      </c>
      <c r="B161" s="791"/>
      <c r="C161" s="791"/>
      <c r="D161" s="511" t="s">
        <v>187</v>
      </c>
      <c r="E161" s="663">
        <f>'[4]1'!F161</f>
        <v>55548.51</v>
      </c>
      <c r="F161" s="663">
        <v>56020.03</v>
      </c>
      <c r="G161" s="473">
        <f t="shared" si="14"/>
        <v>471.5199999999968</v>
      </c>
    </row>
    <row r="162" spans="1:7">
      <c r="A162" s="790" t="s">
        <v>265</v>
      </c>
      <c r="B162" s="791"/>
      <c r="C162" s="791"/>
      <c r="D162" s="511" t="s">
        <v>187</v>
      </c>
      <c r="E162" s="663">
        <f>'[4]1'!F162</f>
        <v>20843.25</v>
      </c>
      <c r="F162" s="663">
        <v>21130</v>
      </c>
      <c r="G162" s="473">
        <f t="shared" si="14"/>
        <v>286.75</v>
      </c>
    </row>
    <row r="163" spans="1:7">
      <c r="A163" s="790" t="s">
        <v>266</v>
      </c>
      <c r="B163" s="791"/>
      <c r="C163" s="791"/>
      <c r="D163" s="511" t="s">
        <v>187</v>
      </c>
      <c r="E163" s="663">
        <f>'[4]1'!F163</f>
        <v>5449.61</v>
      </c>
      <c r="F163" s="663">
        <v>5461.85</v>
      </c>
      <c r="G163" s="473">
        <f t="shared" si="14"/>
        <v>12.240000000000691</v>
      </c>
    </row>
    <row r="164" spans="1:7">
      <c r="A164" s="792" t="s">
        <v>98</v>
      </c>
      <c r="B164" s="605"/>
      <c r="C164" s="605"/>
      <c r="D164" s="511" t="s">
        <v>187</v>
      </c>
      <c r="E164" s="663">
        <f>'[4]1'!F164</f>
        <v>20419</v>
      </c>
      <c r="F164" s="514">
        <f>F62</f>
        <v>20419.188999999998</v>
      </c>
      <c r="G164" s="473">
        <f t="shared" si="14"/>
        <v>0.1889999999984866</v>
      </c>
    </row>
    <row r="165" spans="1:7">
      <c r="A165" s="792" t="s">
        <v>188</v>
      </c>
      <c r="B165" s="605"/>
      <c r="C165" s="605"/>
      <c r="D165" s="511" t="s">
        <v>187</v>
      </c>
      <c r="E165" s="663">
        <f>'[4]1'!F165</f>
        <v>1721.57</v>
      </c>
      <c r="F165" s="514">
        <f t="shared" ref="F165:F171" si="15">F63</f>
        <v>1733.45</v>
      </c>
      <c r="G165" s="473">
        <f t="shared" si="14"/>
        <v>11.880000000000109</v>
      </c>
    </row>
    <row r="166" spans="1:7" ht="27.75">
      <c r="A166" s="1460" t="s">
        <v>99</v>
      </c>
      <c r="B166" s="1460"/>
      <c r="C166" s="1460"/>
      <c r="D166" s="523" t="s">
        <v>187</v>
      </c>
      <c r="E166" s="663">
        <f>'[4]1'!F166</f>
        <v>124127.85</v>
      </c>
      <c r="F166" s="514">
        <f t="shared" si="15"/>
        <v>124657.34</v>
      </c>
      <c r="G166" s="473">
        <f t="shared" si="14"/>
        <v>529.48999999999069</v>
      </c>
    </row>
    <row r="167" spans="1:7" ht="27.75">
      <c r="A167" s="1460" t="s">
        <v>100</v>
      </c>
      <c r="B167" s="1460"/>
      <c r="C167" s="1460"/>
      <c r="D167" s="523" t="s">
        <v>187</v>
      </c>
      <c r="E167" s="663">
        <f>'[4]1'!F167</f>
        <v>132996.35999999999</v>
      </c>
      <c r="F167" s="514">
        <f t="shared" si="15"/>
        <v>133392.66</v>
      </c>
      <c r="G167" s="473">
        <f t="shared" si="14"/>
        <v>396.30000000001746</v>
      </c>
    </row>
    <row r="168" spans="1:7" ht="27.75">
      <c r="A168" s="1460" t="s">
        <v>101</v>
      </c>
      <c r="B168" s="1460"/>
      <c r="C168" s="1460"/>
      <c r="D168" s="523" t="s">
        <v>187</v>
      </c>
      <c r="E168" s="663">
        <f>'[4]1'!F168</f>
        <v>25566.36</v>
      </c>
      <c r="F168" s="514">
        <f t="shared" si="15"/>
        <v>25980.5</v>
      </c>
      <c r="G168" s="473">
        <f t="shared" si="14"/>
        <v>414.13999999999942</v>
      </c>
    </row>
    <row r="169" spans="1:7" ht="27.75">
      <c r="A169" s="1460" t="s">
        <v>102</v>
      </c>
      <c r="B169" s="1460"/>
      <c r="C169" s="1460"/>
      <c r="D169" s="523" t="s">
        <v>187</v>
      </c>
      <c r="E169" s="663">
        <f>'[4]1'!F169</f>
        <v>208546.07</v>
      </c>
      <c r="F169" s="514">
        <f t="shared" si="15"/>
        <v>209249</v>
      </c>
      <c r="G169" s="473">
        <f t="shared" si="14"/>
        <v>702.92999999999302</v>
      </c>
    </row>
    <row r="170" spans="1:7" ht="27.75">
      <c r="A170" s="1460" t="s">
        <v>103</v>
      </c>
      <c r="B170" s="1460"/>
      <c r="C170" s="1460"/>
      <c r="D170" s="523" t="s">
        <v>187</v>
      </c>
      <c r="E170" s="663">
        <f>'[4]1'!F170</f>
        <v>73027.42</v>
      </c>
      <c r="F170" s="514">
        <f t="shared" si="15"/>
        <v>73391.91</v>
      </c>
      <c r="G170" s="473">
        <f t="shared" si="14"/>
        <v>364.49000000000524</v>
      </c>
    </row>
    <row r="171" spans="1:7" ht="27.75">
      <c r="A171" s="1460" t="s">
        <v>104</v>
      </c>
      <c r="B171" s="1460"/>
      <c r="C171" s="1460"/>
      <c r="D171" s="523" t="s">
        <v>187</v>
      </c>
      <c r="E171" s="663">
        <f>'[4]1'!F171</f>
        <v>64776.091</v>
      </c>
      <c r="F171" s="514">
        <f t="shared" si="15"/>
        <v>65103.12</v>
      </c>
      <c r="G171" s="473">
        <f t="shared" si="14"/>
        <v>327.02900000000227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workbookViewId="0">
      <selection activeCell="F55" sqref="F55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5" s="281" customFormat="1" ht="27">
      <c r="A2" s="576" t="s">
        <v>268</v>
      </c>
      <c r="B2" s="1038">
        <v>44258</v>
      </c>
      <c r="C2" s="1315" t="s">
        <v>69</v>
      </c>
      <c r="D2" s="612">
        <v>0.43519999999999998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315" t="s">
        <v>120</v>
      </c>
      <c r="D3" s="613">
        <v>27</v>
      </c>
      <c r="E3" s="1432" t="s">
        <v>121</v>
      </c>
      <c r="F3" s="1433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315" t="s">
        <v>122</v>
      </c>
      <c r="D4" s="612">
        <v>0.75</v>
      </c>
      <c r="E4" s="464"/>
      <c r="F4" s="464"/>
      <c r="G4" s="464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30" thickBot="1">
      <c r="A7" s="681" t="s">
        <v>131</v>
      </c>
      <c r="B7" s="682"/>
      <c r="C7" s="682"/>
      <c r="D7" s="639" t="s">
        <v>132</v>
      </c>
      <c r="E7" s="634">
        <f>'[4]2'!F7</f>
        <v>4489853</v>
      </c>
      <c r="F7" s="455">
        <v>4510962</v>
      </c>
      <c r="G7" s="694">
        <f>F7-E7</f>
        <v>21109</v>
      </c>
      <c r="H7" s="684">
        <f>G7+'[4]2'!H7</f>
        <v>65885</v>
      </c>
      <c r="I7" s="685">
        <f>'[4]1'!I7</f>
        <v>12000</v>
      </c>
      <c r="J7" s="686">
        <f>H7/DAY(B2)</f>
        <v>21961.666666666668</v>
      </c>
      <c r="K7" s="550"/>
      <c r="L7" s="377"/>
      <c r="O7" s="382"/>
    </row>
    <row r="8" spans="1:15" ht="27.75" thickBot="1">
      <c r="A8" s="687" t="s">
        <v>133</v>
      </c>
      <c r="B8" s="688"/>
      <c r="C8" s="689"/>
      <c r="D8" s="690" t="s">
        <v>25</v>
      </c>
      <c r="E8" s="635">
        <f>'[4]2'!F8</f>
        <v>4518306</v>
      </c>
      <c r="F8" s="475">
        <v>4539500</v>
      </c>
      <c r="G8" s="694">
        <f>F8-E8</f>
        <v>21194</v>
      </c>
      <c r="H8" s="684">
        <f>G8+'[4]2'!H8</f>
        <v>66344</v>
      </c>
      <c r="I8" s="691">
        <v>12000</v>
      </c>
      <c r="J8" s="686">
        <f>H8/DAY(B2)</f>
        <v>22114.666666666668</v>
      </c>
      <c r="K8" s="550"/>
      <c r="L8" s="425"/>
      <c r="M8" s="440"/>
      <c r="O8" s="382"/>
    </row>
    <row r="9" spans="1:15">
      <c r="A9" s="692" t="s">
        <v>134</v>
      </c>
      <c r="B9" s="693"/>
      <c r="C9" s="693"/>
      <c r="D9" s="639" t="s">
        <v>132</v>
      </c>
      <c r="E9" s="636">
        <f>'[4]2'!F9</f>
        <v>115804.21</v>
      </c>
      <c r="F9" s="478">
        <v>123403.31</v>
      </c>
      <c r="G9" s="707">
        <f t="shared" ref="G9:G12" si="0">F9-E9</f>
        <v>7599.0999999999913</v>
      </c>
      <c r="H9" s="684">
        <f>G9+'[4]2'!H9</f>
        <v>36494.300000000003</v>
      </c>
      <c r="I9" s="695">
        <f>I8-J8</f>
        <v>-10114.666666666668</v>
      </c>
      <c r="J9" s="686">
        <f>H9/DAY(B2)</f>
        <v>12164.766666666668</v>
      </c>
      <c r="K9" s="428"/>
      <c r="L9" s="377"/>
      <c r="O9" s="382"/>
    </row>
    <row r="10" spans="1:15">
      <c r="A10" s="681" t="s">
        <v>135</v>
      </c>
      <c r="B10" s="682"/>
      <c r="C10" s="682"/>
      <c r="D10" s="639" t="s">
        <v>132</v>
      </c>
      <c r="E10" s="636">
        <f>'[4]2'!F10</f>
        <v>40262.76</v>
      </c>
      <c r="F10" s="478">
        <v>53107.95</v>
      </c>
      <c r="G10" s="694">
        <f t="shared" si="0"/>
        <v>12845.189999999995</v>
      </c>
      <c r="H10" s="684">
        <f>G10+'[4]2'!H10</f>
        <v>27412.389999999996</v>
      </c>
      <c r="I10" s="696"/>
      <c r="J10" s="686">
        <f>H10/DAY(B2)</f>
        <v>9137.4633333333313</v>
      </c>
      <c r="K10" s="428"/>
      <c r="L10" s="377"/>
      <c r="O10" s="382"/>
    </row>
    <row r="11" spans="1:15">
      <c r="A11" s="681" t="s">
        <v>136</v>
      </c>
      <c r="B11" s="682"/>
      <c r="C11" s="682"/>
      <c r="D11" s="639" t="s">
        <v>132</v>
      </c>
      <c r="E11" s="634">
        <f>'[4]2'!F11</f>
        <v>37000</v>
      </c>
      <c r="F11" s="455">
        <v>37000</v>
      </c>
      <c r="G11" s="694">
        <f t="shared" si="0"/>
        <v>0</v>
      </c>
      <c r="H11" s="684">
        <f>G11+'[4]2'!H11</f>
        <v>0</v>
      </c>
      <c r="I11" s="696"/>
      <c r="J11" s="686">
        <f>H11/DAY(B2)</f>
        <v>0</v>
      </c>
      <c r="K11" s="428"/>
      <c r="L11" s="377"/>
      <c r="O11" s="382"/>
    </row>
    <row r="12" spans="1:15">
      <c r="A12" s="681" t="s">
        <v>137</v>
      </c>
      <c r="B12" s="682"/>
      <c r="C12" s="682"/>
      <c r="D12" s="639" t="s">
        <v>132</v>
      </c>
      <c r="E12" s="636">
        <f>'[4]2'!F12</f>
        <v>40010</v>
      </c>
      <c r="F12" s="478">
        <v>40010</v>
      </c>
      <c r="G12" s="694">
        <f t="shared" si="0"/>
        <v>0</v>
      </c>
      <c r="H12" s="684">
        <f>G12+'[4]2'!H12</f>
        <v>0</v>
      </c>
      <c r="I12" s="696"/>
      <c r="J12" s="686">
        <f>H12/DAY(B2)</f>
        <v>0</v>
      </c>
      <c r="K12" s="428"/>
      <c r="L12" s="377"/>
      <c r="O12" s="382"/>
    </row>
    <row r="13" spans="1:15">
      <c r="A13" s="697" t="s">
        <v>138</v>
      </c>
      <c r="B13" s="698"/>
      <c r="C13" s="698"/>
      <c r="D13" s="639"/>
      <c r="E13" s="634"/>
      <c r="F13" s="455"/>
      <c r="G13" s="699">
        <f>G9+G10+G11+G12</f>
        <v>20444.289999999986</v>
      </c>
      <c r="H13" s="684">
        <f>G13+'[4]2'!H13</f>
        <v>63906.689999999995</v>
      </c>
      <c r="I13" s="700">
        <f>G7-G13</f>
        <v>664.71000000001368</v>
      </c>
      <c r="J13" s="686">
        <f>H13/DAY(B2)</f>
        <v>21302.23</v>
      </c>
      <c r="K13" s="428"/>
      <c r="L13" s="377"/>
      <c r="O13" s="382"/>
    </row>
    <row r="14" spans="1:15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O14" s="382"/>
    </row>
    <row r="15" spans="1:15">
      <c r="A15" s="798" t="s">
        <v>140</v>
      </c>
      <c r="B15" s="793"/>
      <c r="C15" s="793"/>
      <c r="D15" s="524" t="s">
        <v>141</v>
      </c>
      <c r="E15" s="485">
        <f>'[4]2'!F15</f>
        <v>1621752.42</v>
      </c>
      <c r="F15" s="485">
        <v>1622582.83</v>
      </c>
      <c r="G15" s="785">
        <f>F15-E15</f>
        <v>830.41000000014901</v>
      </c>
      <c r="H15" s="486">
        <f>G15+'[4]2'!H15</f>
        <v>2704.2199999999721</v>
      </c>
      <c r="I15" s="474">
        <v>800</v>
      </c>
      <c r="J15" s="554">
        <f>H15/DAY(B2)</f>
        <v>901.40666666665732</v>
      </c>
      <c r="K15" s="428"/>
      <c r="L15" s="377"/>
      <c r="O15" s="382"/>
    </row>
    <row r="16" spans="1:15">
      <c r="A16" s="796"/>
      <c r="B16" s="797"/>
      <c r="C16" s="797"/>
      <c r="D16" s="794"/>
      <c r="E16" s="795"/>
      <c r="F16" s="485"/>
      <c r="G16" s="1042"/>
      <c r="H16" s="486"/>
      <c r="I16" s="487">
        <f>I15-J15</f>
        <v>-101.40666666665732</v>
      </c>
      <c r="J16" s="554"/>
      <c r="K16" s="428"/>
      <c r="L16" s="377"/>
      <c r="O16" s="382"/>
    </row>
    <row r="17" spans="1:15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O17" s="382"/>
    </row>
    <row r="18" spans="1:15" ht="27.75">
      <c r="A18" s="1464" t="s">
        <v>143</v>
      </c>
      <c r="B18" s="1465"/>
      <c r="C18" s="1466"/>
      <c r="D18" s="639" t="s">
        <v>144</v>
      </c>
      <c r="E18" s="636">
        <f>'[4]2'!F18</f>
        <v>14</v>
      </c>
      <c r="F18" s="478">
        <v>14</v>
      </c>
      <c r="G18" s="699">
        <f>F18*10</f>
        <v>140</v>
      </c>
      <c r="H18" s="684">
        <f>G18+'[4]2'!H18</f>
        <v>460</v>
      </c>
      <c r="I18" s="685">
        <f>'[4]1'!I18</f>
        <v>65</v>
      </c>
      <c r="J18" s="686">
        <f>H18/DAY(B2)</f>
        <v>153.33333333333334</v>
      </c>
      <c r="K18" s="428"/>
      <c r="L18" s="377"/>
      <c r="O18" s="382"/>
    </row>
    <row r="19" spans="1:15" ht="27.75">
      <c r="A19" s="1464" t="s">
        <v>71</v>
      </c>
      <c r="B19" s="1465"/>
      <c r="C19" s="1466"/>
      <c r="D19" s="639" t="s">
        <v>144</v>
      </c>
      <c r="E19" s="636">
        <f>'[4]2'!F19</f>
        <v>134568</v>
      </c>
      <c r="F19" s="478">
        <v>134620</v>
      </c>
      <c r="G19" s="694">
        <f t="shared" ref="G19" si="1">F19-E19</f>
        <v>52</v>
      </c>
      <c r="H19" s="684">
        <f>G19+'[4]2'!H19</f>
        <v>152</v>
      </c>
      <c r="I19" s="701"/>
      <c r="J19" s="686">
        <f>H19/DAY(B2)</f>
        <v>50.666666666666664</v>
      </c>
      <c r="K19" s="428"/>
      <c r="L19" s="377"/>
      <c r="O19" s="382"/>
    </row>
    <row r="20" spans="1:15">
      <c r="A20" s="697" t="s">
        <v>145</v>
      </c>
      <c r="B20" s="698"/>
      <c r="C20" s="698"/>
      <c r="D20" s="639"/>
      <c r="E20" s="639"/>
      <c r="F20" s="523"/>
      <c r="G20" s="1041">
        <f>G18+G19</f>
        <v>192</v>
      </c>
      <c r="H20" s="684">
        <f>G20+'[4]2'!H20</f>
        <v>612</v>
      </c>
      <c r="I20" s="703">
        <f>I18-J20</f>
        <v>-139</v>
      </c>
      <c r="J20" s="686">
        <f>H20/DAY(B2)</f>
        <v>204</v>
      </c>
      <c r="K20" s="428"/>
      <c r="L20" s="377"/>
      <c r="O20" s="382"/>
    </row>
    <row r="21" spans="1:15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O21" s="382"/>
    </row>
    <row r="22" spans="1:15">
      <c r="A22" s="1313" t="s">
        <v>147</v>
      </c>
      <c r="B22" s="590"/>
      <c r="C22" s="590"/>
      <c r="D22" s="523" t="s">
        <v>148</v>
      </c>
      <c r="E22" s="636">
        <f>'[4]2'!F22</f>
        <v>2970</v>
      </c>
      <c r="F22" s="478">
        <v>2970</v>
      </c>
      <c r="G22" s="481">
        <f t="shared" ref="G22" si="2">(F22-E22)</f>
        <v>0</v>
      </c>
      <c r="H22" s="460">
        <f>G22+'[4]2'!H22</f>
        <v>0</v>
      </c>
      <c r="I22" s="480"/>
      <c r="J22" s="553">
        <f>H22/DAY(B2)</f>
        <v>0</v>
      </c>
      <c r="K22" s="428"/>
      <c r="L22" s="377"/>
      <c r="O22" s="382"/>
    </row>
    <row r="23" spans="1:15">
      <c r="A23" s="1313" t="s">
        <v>149</v>
      </c>
      <c r="B23" s="590"/>
      <c r="C23" s="590"/>
      <c r="D23" s="523" t="s">
        <v>148</v>
      </c>
      <c r="E23" s="636">
        <f>'[4]2'!F23</f>
        <v>1900</v>
      </c>
      <c r="F23" s="478">
        <v>1900</v>
      </c>
      <c r="G23" s="481">
        <v>0</v>
      </c>
      <c r="H23" s="460">
        <f>G23+'[4]2'!H23</f>
        <v>0</v>
      </c>
      <c r="I23" s="480"/>
      <c r="J23" s="553">
        <f>H23/DAY(B2)</f>
        <v>0</v>
      </c>
      <c r="K23" s="428"/>
      <c r="L23" s="377"/>
      <c r="O23" s="382"/>
    </row>
    <row r="24" spans="1:15">
      <c r="A24" s="591" t="s">
        <v>150</v>
      </c>
      <c r="B24" s="592"/>
      <c r="C24" s="592"/>
      <c r="D24" s="511" t="s">
        <v>148</v>
      </c>
      <c r="E24" s="636">
        <f>'[4]2'!F24</f>
        <v>4250</v>
      </c>
      <c r="F24" s="485">
        <v>4250</v>
      </c>
      <c r="G24" s="481">
        <v>0</v>
      </c>
      <c r="H24" s="460">
        <f>G24</f>
        <v>0</v>
      </c>
      <c r="I24" s="480"/>
      <c r="J24" s="553">
        <f>H24/DAY(B2)</f>
        <v>0</v>
      </c>
      <c r="K24" s="428"/>
      <c r="L24" s="377"/>
      <c r="O24" s="382"/>
    </row>
    <row r="25" spans="1:15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704">
        <f>G8</f>
        <v>21194</v>
      </c>
      <c r="F27" s="501">
        <v>9</v>
      </c>
      <c r="G27" s="502">
        <f>E27*F27</f>
        <v>190746</v>
      </c>
      <c r="H27" s="460">
        <f>G27+'[4]2'!H27</f>
        <v>597096</v>
      </c>
      <c r="I27" s="503"/>
      <c r="J27" s="553">
        <f>H27/DAY(B2)</f>
        <v>199032</v>
      </c>
      <c r="K27" s="373"/>
      <c r="L27" s="443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704">
        <f>G15</f>
        <v>830.41000000014901</v>
      </c>
      <c r="F28" s="501">
        <v>48.88</v>
      </c>
      <c r="G28" s="502">
        <f>E28*F28</f>
        <v>40590.440800007287</v>
      </c>
      <c r="H28" s="460">
        <f>G28+'[4]2'!H28</f>
        <v>132182.27359999865</v>
      </c>
      <c r="I28" s="505"/>
      <c r="J28" s="553">
        <f>H28/DAY(B2)</f>
        <v>44060.757866666216</v>
      </c>
      <c r="K28" s="373"/>
      <c r="L28" s="443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G29+'[4]2'!H29</f>
        <v>0</v>
      </c>
      <c r="I29" s="505"/>
      <c r="J29" s="553">
        <f>H29/DAY(B2)</f>
        <v>0</v>
      </c>
      <c r="K29" s="373"/>
      <c r="L29" s="443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704">
        <f>G19</f>
        <v>52</v>
      </c>
      <c r="F30" s="501">
        <v>134</v>
      </c>
      <c r="G30" s="502">
        <f>E30*F30</f>
        <v>6968</v>
      </c>
      <c r="H30" s="460">
        <f>G30+'[4]2'!H30</f>
        <v>38056</v>
      </c>
      <c r="I30" s="505"/>
      <c r="J30" s="553">
        <f>H30/DAY(B2)</f>
        <v>12685.333333333334</v>
      </c>
      <c r="K30" s="373"/>
      <c r="L30" s="443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704">
        <f>G18</f>
        <v>140</v>
      </c>
      <c r="F31" s="501">
        <v>80</v>
      </c>
      <c r="G31" s="502">
        <f>E31*F31</f>
        <v>11200</v>
      </c>
      <c r="H31" s="460">
        <f>G31+'[4]2'!H31</f>
        <v>26240</v>
      </c>
      <c r="I31" s="505"/>
      <c r="J31" s="553">
        <f>H31/DAY(B2)</f>
        <v>8746.6666666666661</v>
      </c>
      <c r="K31" s="373"/>
      <c r="L31" s="443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249504.44080000729</v>
      </c>
      <c r="H32" s="460">
        <f>G32+'[4]2'!H32</f>
        <v>793574.27359999868</v>
      </c>
      <c r="I32" s="509"/>
      <c r="J32" s="553">
        <f>H32/DAY(B2)</f>
        <v>264524.75786666624</v>
      </c>
      <c r="K32" s="373"/>
      <c r="L32" s="443"/>
      <c r="O32" s="382"/>
    </row>
    <row r="33" spans="1:15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O33" s="382"/>
    </row>
    <row r="34" spans="1:15">
      <c r="A34" s="599" t="s">
        <v>163</v>
      </c>
      <c r="B34" s="1318"/>
      <c r="C34" s="1318"/>
      <c r="D34" s="472"/>
      <c r="E34" s="471"/>
      <c r="F34" s="471"/>
      <c r="G34" s="472"/>
      <c r="H34" s="472"/>
      <c r="I34" s="472"/>
      <c r="J34" s="552"/>
      <c r="K34" s="428"/>
      <c r="L34" s="377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'[4]2'!F35</f>
        <v>699784.47</v>
      </c>
      <c r="F35" s="510">
        <v>703211.35</v>
      </c>
      <c r="G35" s="473">
        <f t="shared" ref="G35:G46" si="3">F35-E35</f>
        <v>3426.8800000000047</v>
      </c>
      <c r="H35" s="460">
        <f>G35+'[4]2'!H35</f>
        <v>10123.760000000009</v>
      </c>
      <c r="I35" s="455"/>
      <c r="J35" s="553">
        <f>H35/DAY(B2)</f>
        <v>3374.5866666666698</v>
      </c>
      <c r="K35" s="428"/>
      <c r="L35" s="377"/>
      <c r="O35" s="382"/>
    </row>
    <row r="36" spans="1:15">
      <c r="A36" s="579" t="s">
        <v>165</v>
      </c>
      <c r="B36" s="580"/>
      <c r="C36" s="580"/>
      <c r="D36" s="523" t="s">
        <v>132</v>
      </c>
      <c r="E36" s="510">
        <f>'[4]2'!F36</f>
        <v>297874.09000000003</v>
      </c>
      <c r="F36" s="510">
        <v>298500.51</v>
      </c>
      <c r="G36" s="473">
        <f t="shared" si="3"/>
        <v>626.4199999999837</v>
      </c>
      <c r="H36" s="460">
        <f>G36+'[4]2'!H36</f>
        <v>2054.9400000000023</v>
      </c>
      <c r="I36" s="455"/>
      <c r="J36" s="553">
        <f>H36/DAY(B2)</f>
        <v>684.98000000000081</v>
      </c>
      <c r="K36" s="428"/>
      <c r="L36" s="377"/>
      <c r="O36" s="629"/>
    </row>
    <row r="37" spans="1:15">
      <c r="A37" s="579" t="s">
        <v>166</v>
      </c>
      <c r="B37" s="580"/>
      <c r="C37" s="580"/>
      <c r="D37" s="523" t="s">
        <v>132</v>
      </c>
      <c r="E37" s="510">
        <f>'[4]2'!F37</f>
        <v>34969.39</v>
      </c>
      <c r="F37" s="510">
        <v>35167.18</v>
      </c>
      <c r="G37" s="473">
        <f t="shared" si="3"/>
        <v>197.79000000000087</v>
      </c>
      <c r="H37" s="460">
        <f>G37+'[4]2'!H37</f>
        <v>3105.0800000000017</v>
      </c>
      <c r="I37" s="455"/>
      <c r="J37" s="553">
        <f>H37/DAY(B2)</f>
        <v>1035.0266666666673</v>
      </c>
      <c r="K37" s="428"/>
      <c r="L37" s="377"/>
      <c r="O37" s="630"/>
    </row>
    <row r="38" spans="1:15">
      <c r="A38" s="579" t="s">
        <v>167</v>
      </c>
      <c r="B38" s="580"/>
      <c r="C38" s="580"/>
      <c r="D38" s="523" t="s">
        <v>132</v>
      </c>
      <c r="E38" s="469">
        <f>'[4]2'!F38</f>
        <v>48043.42</v>
      </c>
      <c r="F38" s="469">
        <v>48333.51</v>
      </c>
      <c r="G38" s="473">
        <f t="shared" si="3"/>
        <v>290.09000000000378</v>
      </c>
      <c r="H38" s="460">
        <f>G38+'[4]2'!H38</f>
        <v>4520.0200000000041</v>
      </c>
      <c r="I38" s="455"/>
      <c r="J38" s="553">
        <f>H38/DAY(B2)</f>
        <v>1506.6733333333348</v>
      </c>
      <c r="K38" s="428"/>
      <c r="L38" s="377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'[4]2'!F39</f>
        <v>99373.119999999995</v>
      </c>
      <c r="F39" s="510">
        <v>100068.28</v>
      </c>
      <c r="G39" s="473">
        <f t="shared" si="3"/>
        <v>695.16000000000349</v>
      </c>
      <c r="H39" s="460">
        <f>G39+'[4]2'!H39</f>
        <v>9392.89</v>
      </c>
      <c r="I39" s="455"/>
      <c r="J39" s="553">
        <f>H39/DAY(B2)</f>
        <v>3130.9633333333331</v>
      </c>
      <c r="K39" s="428"/>
      <c r="L39" s="377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v>0.17</v>
      </c>
      <c r="F40" s="510">
        <v>0.17</v>
      </c>
      <c r="G40" s="473">
        <f t="shared" si="3"/>
        <v>0</v>
      </c>
      <c r="H40" s="460">
        <f>G40+'[4]2'!H40</f>
        <v>0</v>
      </c>
      <c r="I40" s="455"/>
      <c r="J40" s="553">
        <f>H40/DAY(B2)</f>
        <v>0</v>
      </c>
      <c r="K40" s="429"/>
      <c r="L40" s="377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'[4]2'!F41</f>
        <v>63882.37</v>
      </c>
      <c r="F41" s="510">
        <v>63882.37</v>
      </c>
      <c r="G41" s="473">
        <f t="shared" si="3"/>
        <v>0</v>
      </c>
      <c r="H41" s="460">
        <f>G41+'[4]2'!H41</f>
        <v>0</v>
      </c>
      <c r="I41" s="455"/>
      <c r="J41" s="553">
        <f>H41/DAY(B2)</f>
        <v>0</v>
      </c>
      <c r="K41" s="428"/>
      <c r="L41" s="377"/>
      <c r="O41" s="382"/>
    </row>
    <row r="42" spans="1:15">
      <c r="A42" s="579" t="s">
        <v>171</v>
      </c>
      <c r="B42" s="580"/>
      <c r="C42" s="580"/>
      <c r="D42" s="523" t="s">
        <v>132</v>
      </c>
      <c r="E42" s="510">
        <f>'[4]2'!F42</f>
        <v>59128.851000000002</v>
      </c>
      <c r="F42" s="510">
        <v>59128.85</v>
      </c>
      <c r="G42" s="473">
        <f>F42-E42</f>
        <v>-1.0000000038417056E-3</v>
      </c>
      <c r="H42" s="460">
        <f>G42+'[4]2'!H42</f>
        <v>0</v>
      </c>
      <c r="I42" s="455"/>
      <c r="J42" s="553">
        <f>H42/DAY(B2)</f>
        <v>0</v>
      </c>
      <c r="K42" s="428"/>
      <c r="L42" s="377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'[4]2'!F43</f>
        <v>830838.71</v>
      </c>
      <c r="F43" s="510">
        <v>833302.53</v>
      </c>
      <c r="G43" s="473">
        <f t="shared" si="3"/>
        <v>2463.8200000000652</v>
      </c>
      <c r="H43" s="460">
        <f>G43+'[4]2'!H43</f>
        <v>7404.7000000000698</v>
      </c>
      <c r="I43" s="455"/>
      <c r="J43" s="553">
        <f>H43/DAY(B2)</f>
        <v>2468.2333333333568</v>
      </c>
      <c r="K43" s="428"/>
      <c r="L43" s="377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'[4]2'!F44</f>
        <v>0</v>
      </c>
      <c r="F44" s="510">
        <v>0</v>
      </c>
      <c r="G44" s="473">
        <f t="shared" si="3"/>
        <v>0</v>
      </c>
      <c r="H44" s="460">
        <f>G44+'[4]2'!H44</f>
        <v>0</v>
      </c>
      <c r="I44" s="455"/>
      <c r="J44" s="553">
        <f>H44/DAY(B2)</f>
        <v>0</v>
      </c>
      <c r="K44" s="428"/>
      <c r="L44" s="377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'[4]2'!F45</f>
        <v>614</v>
      </c>
      <c r="F45" s="510">
        <v>614</v>
      </c>
      <c r="G45" s="473">
        <f t="shared" si="3"/>
        <v>0</v>
      </c>
      <c r="H45" s="460">
        <f>G45+'[4]2'!H45</f>
        <v>0</v>
      </c>
      <c r="I45" s="455"/>
      <c r="J45" s="553">
        <f>H45/DAY(B2)</f>
        <v>0</v>
      </c>
      <c r="K45" s="428"/>
      <c r="L45" s="377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'[4]2'!F46</f>
        <v>187</v>
      </c>
      <c r="F46" s="510">
        <v>187</v>
      </c>
      <c r="G46" s="473">
        <f t="shared" si="3"/>
        <v>0</v>
      </c>
      <c r="H46" s="460">
        <f>G46+'[4]2'!H46</f>
        <v>0</v>
      </c>
      <c r="I46" s="455"/>
      <c r="J46" s="553">
        <f>H46/DAY(B2)</f>
        <v>0</v>
      </c>
      <c r="K46" s="428"/>
      <c r="L46" s="377"/>
      <c r="O46" s="382"/>
    </row>
    <row r="47" spans="1:1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7700.1590000000579</v>
      </c>
      <c r="H47" s="460">
        <f>G47+'[4]2'!H47</f>
        <v>36601.390000000087</v>
      </c>
      <c r="I47" s="455"/>
      <c r="J47" s="553">
        <f>H47/DAY(B2)</f>
        <v>12200.463333333362</v>
      </c>
      <c r="K47" s="428"/>
      <c r="L47" s="377"/>
      <c r="N47" s="382"/>
      <c r="O47" s="382"/>
    </row>
    <row r="48" spans="1:15">
      <c r="A48" s="599" t="s">
        <v>177</v>
      </c>
      <c r="B48" s="1318"/>
      <c r="C48" s="1318"/>
      <c r="D48" s="472"/>
      <c r="E48" s="471"/>
      <c r="F48" s="471"/>
      <c r="G48" s="472"/>
      <c r="H48" s="472"/>
      <c r="I48" s="472"/>
      <c r="J48" s="552"/>
      <c r="K48" s="428"/>
      <c r="L48" s="377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'[4]2'!F49</f>
        <v>260732.13</v>
      </c>
      <c r="F49" s="510">
        <v>260732.13</v>
      </c>
      <c r="G49" s="473">
        <f t="shared" ref="G49:G58" si="4">F49-E49</f>
        <v>0</v>
      </c>
      <c r="H49" s="460">
        <f>G49+'[4]2'!H49</f>
        <v>0</v>
      </c>
      <c r="I49" s="455"/>
      <c r="J49" s="553">
        <f>H49/DAY(B2)</f>
        <v>0</v>
      </c>
      <c r="K49" s="428"/>
      <c r="L49" s="377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'[4]2'!F50</f>
        <v>405699.31</v>
      </c>
      <c r="F50" s="510">
        <v>406764.67</v>
      </c>
      <c r="G50" s="473">
        <f t="shared" si="4"/>
        <v>1065.359999999986</v>
      </c>
      <c r="H50" s="460">
        <f>G50+'[4]2'!H50</f>
        <v>4301.6399999999558</v>
      </c>
      <c r="I50" s="455"/>
      <c r="J50" s="553">
        <f>H50/DAY(B2)</f>
        <v>1433.8799999999853</v>
      </c>
      <c r="K50" s="428"/>
      <c r="L50" s="377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'[4]2'!F51</f>
        <v>120050.92</v>
      </c>
      <c r="F51" s="510">
        <v>121322.62</v>
      </c>
      <c r="G51" s="473">
        <f t="shared" si="4"/>
        <v>1271.6999999999971</v>
      </c>
      <c r="H51" s="460">
        <f>G51+'[4]2'!H51</f>
        <v>1271.6999999999971</v>
      </c>
      <c r="I51" s="455"/>
      <c r="J51" s="553">
        <f>H51/DAY(B2)</f>
        <v>423.89999999999901</v>
      </c>
      <c r="K51" s="428"/>
      <c r="L51" s="377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'[4]2'!F52</f>
        <v>507912.71</v>
      </c>
      <c r="F52" s="510">
        <v>509794.67</v>
      </c>
      <c r="G52" s="473">
        <f>F52-E52</f>
        <v>1881.9599999999627</v>
      </c>
      <c r="H52" s="460">
        <f>G52+'[4]2'!H52</f>
        <v>1881.9599999999627</v>
      </c>
      <c r="I52" s="455"/>
      <c r="J52" s="553">
        <f>H52/DAY(B2)</f>
        <v>627.31999999998754</v>
      </c>
      <c r="K52" s="428"/>
      <c r="L52" s="377"/>
      <c r="O52" s="382"/>
    </row>
    <row r="53" spans="1:15">
      <c r="A53" s="579" t="s">
        <v>168</v>
      </c>
      <c r="B53" s="602"/>
      <c r="C53" s="602"/>
      <c r="D53" s="523" t="s">
        <v>132</v>
      </c>
      <c r="E53" s="510">
        <f>'[4]2'!F53</f>
        <v>331854.51</v>
      </c>
      <c r="F53" s="510">
        <v>335515.77</v>
      </c>
      <c r="G53" s="473">
        <f t="shared" si="4"/>
        <v>3661.2600000000093</v>
      </c>
      <c r="H53" s="460">
        <f>G53+'[4]2'!H53</f>
        <v>3661.2600000000093</v>
      </c>
      <c r="I53" s="455"/>
      <c r="J53" s="553">
        <f>H53/DAY(B2)</f>
        <v>1220.420000000003</v>
      </c>
      <c r="K53" s="428"/>
      <c r="L53" s="377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'[4]2'!F54</f>
        <v>8200.0300000000007</v>
      </c>
      <c r="F54" s="658">
        <v>8200</v>
      </c>
      <c r="G54" s="473">
        <f t="shared" si="4"/>
        <v>-3.0000000000654836E-2</v>
      </c>
      <c r="H54" s="460">
        <f>G54+'[4]2'!H54</f>
        <v>104.36999999999989</v>
      </c>
      <c r="I54" s="455"/>
      <c r="J54" s="553">
        <f>H54/DAY(B2)</f>
        <v>34.789999999999964</v>
      </c>
      <c r="K54" s="428"/>
      <c r="L54" s="377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'[4]2'!F55</f>
        <v>126470</v>
      </c>
      <c r="F55" s="658">
        <v>131386.60999999999</v>
      </c>
      <c r="G55" s="473">
        <f t="shared" si="4"/>
        <v>4916.609999999986</v>
      </c>
      <c r="H55" s="460">
        <f>G55+'[4]2'!H55</f>
        <v>13800.919999999984</v>
      </c>
      <c r="I55" s="455"/>
      <c r="J55" s="553">
        <f>H55/DAY(B2)</f>
        <v>4600.3066666666609</v>
      </c>
      <c r="K55" s="428"/>
      <c r="L55" s="377"/>
      <c r="O55" s="382"/>
    </row>
    <row r="56" spans="1:15">
      <c r="A56" s="579" t="s">
        <v>182</v>
      </c>
      <c r="B56" s="602"/>
      <c r="C56" s="602"/>
      <c r="D56" s="523" t="s">
        <v>183</v>
      </c>
      <c r="E56" s="510">
        <f>'[4]2'!F56</f>
        <v>588549.03</v>
      </c>
      <c r="F56" s="658">
        <v>588556.94999999995</v>
      </c>
      <c r="G56" s="473">
        <f t="shared" si="4"/>
        <v>7.9199999999254942</v>
      </c>
      <c r="H56" s="460">
        <f>G56+'[4]2'!H56</f>
        <v>2505.9199999999255</v>
      </c>
      <c r="I56" s="455"/>
      <c r="J56" s="553">
        <f>H56/DAY(B2)</f>
        <v>835.30666666664183</v>
      </c>
      <c r="K56" s="427"/>
      <c r="L56" s="377"/>
      <c r="O56" s="382"/>
    </row>
    <row r="57" spans="1:15">
      <c r="A57" s="579" t="s">
        <v>172</v>
      </c>
      <c r="B57" s="602"/>
      <c r="C57" s="602"/>
      <c r="D57" s="523" t="s">
        <v>132</v>
      </c>
      <c r="E57" s="510">
        <f>'[4]2'!F57</f>
        <v>7711.33</v>
      </c>
      <c r="F57" s="658">
        <v>7711.33</v>
      </c>
      <c r="G57" s="473">
        <f t="shared" si="4"/>
        <v>0</v>
      </c>
      <c r="H57" s="460">
        <f>G57+'[4]2'!H57</f>
        <v>0</v>
      </c>
      <c r="I57" s="455"/>
      <c r="J57" s="553">
        <f>H57/DAY(B2)</f>
        <v>0</v>
      </c>
      <c r="K57" s="428"/>
      <c r="L57" s="377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'[4]2'!F58</f>
        <v>36312.120000000003</v>
      </c>
      <c r="F58" s="658">
        <v>36500.910000000003</v>
      </c>
      <c r="G58" s="473">
        <f t="shared" si="4"/>
        <v>188.79000000000087</v>
      </c>
      <c r="H58" s="460">
        <f>G58+'[4]2'!H58</f>
        <v>632.2100000000064</v>
      </c>
      <c r="I58" s="455"/>
      <c r="J58" s="553">
        <f>H58/DAY(B2)</f>
        <v>210.73666666666881</v>
      </c>
      <c r="K58" s="428"/>
      <c r="L58" s="377"/>
      <c r="O58" s="382"/>
    </row>
    <row r="59" spans="1:1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12993.569999999867</v>
      </c>
      <c r="H59" s="460">
        <f>G59+'[4]2'!H59</f>
        <v>28159.979999999843</v>
      </c>
      <c r="I59" s="455">
        <f>G7-G60</f>
        <v>415.2710000000734</v>
      </c>
      <c r="J59" s="553">
        <f>H59/DAY(B2)</f>
        <v>9386.6599999999471</v>
      </c>
      <c r="K59" s="428"/>
      <c r="L59" s="377"/>
      <c r="O59" s="382"/>
    </row>
    <row r="60" spans="1:15">
      <c r="A60" s="579"/>
      <c r="B60" s="580"/>
      <c r="C60" s="580"/>
      <c r="D60" s="511" t="s">
        <v>185</v>
      </c>
      <c r="E60" s="511"/>
      <c r="F60" s="511"/>
      <c r="G60" s="481">
        <f>G47+G59</f>
        <v>20693.728999999927</v>
      </c>
      <c r="H60" s="460">
        <f>G60+'[4]2'!H60</f>
        <v>64761.36999999993</v>
      </c>
      <c r="I60" s="455">
        <f>G13-G60</f>
        <v>-249.43899999994028</v>
      </c>
      <c r="J60" s="553">
        <f>H60/DAY(B2)</f>
        <v>21587.123333333311</v>
      </c>
      <c r="K60" s="428"/>
      <c r="L60" s="377"/>
      <c r="O60" s="382"/>
    </row>
    <row r="61" spans="1:1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'[4]2'!F62</f>
        <v>20419.188999999998</v>
      </c>
      <c r="F62" s="514">
        <v>20419.188999999998</v>
      </c>
      <c r="G62" s="473">
        <f t="shared" ref="G62:G69" si="5">F62-E62</f>
        <v>0</v>
      </c>
      <c r="H62" s="460">
        <f>G62+'[4]2'!H62</f>
        <v>1.9999999967694748E-3</v>
      </c>
      <c r="I62" s="515"/>
      <c r="J62" s="553">
        <f>H62/DAY(B2)</f>
        <v>6.666666655898249E-4</v>
      </c>
      <c r="K62" s="428"/>
      <c r="L62" s="377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'[4]2'!F63</f>
        <v>1733.45</v>
      </c>
      <c r="F63" s="514">
        <v>1745.37</v>
      </c>
      <c r="G63" s="473">
        <f t="shared" si="5"/>
        <v>11.919999999999845</v>
      </c>
      <c r="H63" s="460">
        <f>G63+'[4]2'!H63</f>
        <v>38.009999999999991</v>
      </c>
      <c r="I63" s="515"/>
      <c r="J63" s="553">
        <f>H63/DAY(B2)</f>
        <v>12.669999999999996</v>
      </c>
      <c r="K63" s="428"/>
      <c r="L63" s="377"/>
      <c r="O63" s="382"/>
    </row>
    <row r="64" spans="1:15" ht="27.75">
      <c r="A64" s="1408" t="s">
        <v>99</v>
      </c>
      <c r="B64" s="1409"/>
      <c r="C64" s="1410"/>
      <c r="D64" s="523" t="s">
        <v>187</v>
      </c>
      <c r="E64" s="484">
        <f>'[4]2'!F64</f>
        <v>124657.34</v>
      </c>
      <c r="F64" s="478">
        <v>125180.16</v>
      </c>
      <c r="G64" s="473">
        <f t="shared" si="5"/>
        <v>522.82000000000698</v>
      </c>
      <c r="H64" s="460">
        <f>G64+'[4]2'!H64</f>
        <v>1552.8600000000006</v>
      </c>
      <c r="I64" s="480"/>
      <c r="J64" s="553">
        <f>H64/DAY(B2)</f>
        <v>517.62000000000023</v>
      </c>
      <c r="K64" s="428"/>
      <c r="L64" s="377"/>
      <c r="O64" s="382"/>
    </row>
    <row r="65" spans="1:15" ht="27.75">
      <c r="A65" s="1408" t="s">
        <v>100</v>
      </c>
      <c r="B65" s="1409"/>
      <c r="C65" s="1410"/>
      <c r="D65" s="523" t="s">
        <v>187</v>
      </c>
      <c r="E65" s="484">
        <f>'[4]2'!F65</f>
        <v>133392.66</v>
      </c>
      <c r="F65" s="656">
        <v>133770.84</v>
      </c>
      <c r="G65" s="473">
        <f t="shared" si="5"/>
        <v>378.17999999999302</v>
      </c>
      <c r="H65" s="460">
        <f>G65+'[4]2'!H65</f>
        <v>1173.5400000000081</v>
      </c>
      <c r="I65" s="489"/>
      <c r="J65" s="553">
        <f>H65/DAY(B2)</f>
        <v>391.18000000000274</v>
      </c>
      <c r="K65" s="428"/>
      <c r="L65" s="377"/>
      <c r="O65" s="382"/>
    </row>
    <row r="66" spans="1:15" ht="27.75">
      <c r="A66" s="1408" t="s">
        <v>101</v>
      </c>
      <c r="B66" s="1409"/>
      <c r="C66" s="1410"/>
      <c r="D66" s="523" t="s">
        <v>187</v>
      </c>
      <c r="E66" s="484">
        <f>'[4]2'!F66</f>
        <v>25980.5</v>
      </c>
      <c r="F66" s="478">
        <v>26413.93</v>
      </c>
      <c r="G66" s="473">
        <f t="shared" si="5"/>
        <v>433.43000000000029</v>
      </c>
      <c r="H66" s="460">
        <f>G66+'[4]2'!H66</f>
        <v>1254.1800000000003</v>
      </c>
      <c r="I66" s="480"/>
      <c r="J66" s="553">
        <f>H66/DAY(B2)</f>
        <v>418.06000000000012</v>
      </c>
      <c r="K66" s="428"/>
      <c r="L66" s="377"/>
      <c r="O66" s="382"/>
    </row>
    <row r="67" spans="1:15" ht="27.75">
      <c r="A67" s="1408" t="s">
        <v>102</v>
      </c>
      <c r="B67" s="1409"/>
      <c r="C67" s="1410"/>
      <c r="D67" s="523" t="s">
        <v>187</v>
      </c>
      <c r="E67" s="484">
        <f>'[4]2'!F67</f>
        <v>209249</v>
      </c>
      <c r="F67" s="478">
        <v>209908.33</v>
      </c>
      <c r="G67" s="473">
        <f t="shared" si="5"/>
        <v>659.32999999998719</v>
      </c>
      <c r="H67" s="460">
        <f>G67+'[4]2'!H67</f>
        <v>2066.5</v>
      </c>
      <c r="I67" s="489"/>
      <c r="J67" s="553">
        <f>H67/DAY(B2)</f>
        <v>688.83333333333337</v>
      </c>
      <c r="K67" s="429"/>
      <c r="L67" s="377"/>
      <c r="O67" s="382"/>
    </row>
    <row r="68" spans="1:15" ht="27.75">
      <c r="A68" s="1408" t="s">
        <v>103</v>
      </c>
      <c r="B68" s="1409"/>
      <c r="C68" s="1410"/>
      <c r="D68" s="523" t="s">
        <v>187</v>
      </c>
      <c r="E68" s="484">
        <f>'[4]2'!F68</f>
        <v>73391.91</v>
      </c>
      <c r="F68" s="478">
        <v>73751.149999999994</v>
      </c>
      <c r="G68" s="473">
        <f t="shared" si="5"/>
        <v>359.23999999999069</v>
      </c>
      <c r="H68" s="460">
        <f>G68+'[4]2'!H68</f>
        <v>1072.6299999999901</v>
      </c>
      <c r="I68" s="516"/>
      <c r="J68" s="553">
        <f>H68/DAY(B2)</f>
        <v>357.54333333333005</v>
      </c>
      <c r="K68" s="430"/>
      <c r="L68" s="377"/>
      <c r="O68" s="382"/>
    </row>
    <row r="69" spans="1:15" ht="27.75">
      <c r="A69" s="1408" t="s">
        <v>104</v>
      </c>
      <c r="B69" s="1409"/>
      <c r="C69" s="1410"/>
      <c r="D69" s="523" t="s">
        <v>187</v>
      </c>
      <c r="E69" s="484">
        <f>'[4]2'!F69</f>
        <v>65103.12</v>
      </c>
      <c r="F69" s="478">
        <v>65425.09</v>
      </c>
      <c r="G69" s="473">
        <f t="shared" si="5"/>
        <v>321.96999999999389</v>
      </c>
      <c r="H69" s="460">
        <f>G69+'[4]2'!H69</f>
        <v>973</v>
      </c>
      <c r="I69" s="516"/>
      <c r="J69" s="553">
        <f>H69/DAY(B2)</f>
        <v>324.33333333333331</v>
      </c>
      <c r="K69" s="431"/>
      <c r="L69" s="377"/>
      <c r="O69" s="382"/>
    </row>
    <row r="70" spans="1:15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O70" s="382"/>
    </row>
    <row r="71" spans="1:15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O71" s="382"/>
    </row>
    <row r="72" spans="1:15" ht="27.75">
      <c r="A72" s="1408" t="s">
        <v>191</v>
      </c>
      <c r="B72" s="1409"/>
      <c r="C72" s="1410"/>
      <c r="D72" s="523" t="s">
        <v>187</v>
      </c>
      <c r="E72" s="519">
        <f>'[4]2'!F72</f>
        <v>850735</v>
      </c>
      <c r="F72" s="659">
        <v>850833</v>
      </c>
      <c r="G72" s="473">
        <f t="shared" ref="G72:G84" si="6">F72-E72</f>
        <v>98</v>
      </c>
      <c r="H72" s="460">
        <f>G72+'[4]2'!H72</f>
        <v>241</v>
      </c>
      <c r="I72" s="480"/>
      <c r="J72" s="553">
        <f>H72/DAY(B2)</f>
        <v>80.333333333333329</v>
      </c>
      <c r="K72" s="431"/>
      <c r="L72" s="377"/>
      <c r="O72" s="382"/>
    </row>
    <row r="73" spans="1:15" ht="27.75">
      <c r="A73" s="1408" t="s">
        <v>192</v>
      </c>
      <c r="B73" s="1409"/>
      <c r="C73" s="1410"/>
      <c r="D73" s="523" t="s">
        <v>187</v>
      </c>
      <c r="E73" s="520">
        <f>'[4]2'!F73</f>
        <v>885772</v>
      </c>
      <c r="F73" s="660">
        <v>885772</v>
      </c>
      <c r="G73" s="657">
        <f t="shared" si="6"/>
        <v>0</v>
      </c>
      <c r="H73" s="460">
        <f>G73+'[4]2'!H73</f>
        <v>0</v>
      </c>
      <c r="I73" s="480"/>
      <c r="J73" s="553">
        <f>H73/DAY(B2)</f>
        <v>0</v>
      </c>
      <c r="K73" s="430"/>
      <c r="L73" s="377"/>
      <c r="O73" s="382"/>
    </row>
    <row r="74" spans="1:15" ht="27.75">
      <c r="A74" s="1408" t="s">
        <v>193</v>
      </c>
      <c r="B74" s="1409"/>
      <c r="C74" s="1410"/>
      <c r="D74" s="523" t="s">
        <v>187</v>
      </c>
      <c r="E74" s="521">
        <f>'[4]2'!F74</f>
        <v>656.16</v>
      </c>
      <c r="F74" s="661">
        <v>683.56</v>
      </c>
      <c r="G74" s="473">
        <f t="shared" si="6"/>
        <v>27.399999999999977</v>
      </c>
      <c r="H74" s="460">
        <f>G74+'[4]2'!H74</f>
        <v>97.389999999999986</v>
      </c>
      <c r="I74" s="480"/>
      <c r="J74" s="553">
        <f>H74/DAY(B2)</f>
        <v>32.463333333333331</v>
      </c>
      <c r="K74" s="431"/>
      <c r="L74" s="377"/>
      <c r="O74" s="382"/>
    </row>
    <row r="75" spans="1:15" ht="27.75">
      <c r="A75" s="1457" t="s">
        <v>194</v>
      </c>
      <c r="B75" s="1458"/>
      <c r="C75" s="1459"/>
      <c r="D75" s="523" t="s">
        <v>187</v>
      </c>
      <c r="E75" s="521">
        <f>'[4]2'!F75</f>
        <v>3814.26</v>
      </c>
      <c r="F75" s="661">
        <v>3968.34</v>
      </c>
      <c r="G75" s="473">
        <f t="shared" si="6"/>
        <v>154.07999999999993</v>
      </c>
      <c r="H75" s="460">
        <f>G75+'[4]2'!H75</f>
        <v>449.12000000000035</v>
      </c>
      <c r="I75" s="480"/>
      <c r="J75" s="553">
        <f>H75/DAY(B2)</f>
        <v>149.70666666666679</v>
      </c>
      <c r="K75" s="430"/>
      <c r="L75" s="377"/>
      <c r="O75" s="382"/>
    </row>
    <row r="76" spans="1:15" ht="27.75">
      <c r="A76" s="1457" t="s">
        <v>195</v>
      </c>
      <c r="B76" s="1458"/>
      <c r="C76" s="1459"/>
      <c r="D76" s="523" t="s">
        <v>187</v>
      </c>
      <c r="E76" s="520">
        <f>'[4]2'!F76</f>
        <v>1674.12</v>
      </c>
      <c r="F76" s="660">
        <v>1757.3</v>
      </c>
      <c r="G76" s="473">
        <f t="shared" si="6"/>
        <v>83.180000000000064</v>
      </c>
      <c r="H76" s="460">
        <f>G76+'[4]2'!H76</f>
        <v>242.96000000000004</v>
      </c>
      <c r="I76" s="505"/>
      <c r="J76" s="553">
        <f>H76/DAY(B2)</f>
        <v>80.986666666666679</v>
      </c>
      <c r="K76" s="430"/>
      <c r="L76" s="377"/>
      <c r="O76" s="382"/>
    </row>
    <row r="77" spans="1:15" ht="27.75">
      <c r="A77" s="1408" t="s">
        <v>196</v>
      </c>
      <c r="B77" s="1409"/>
      <c r="C77" s="1410"/>
      <c r="D77" s="523" t="s">
        <v>187</v>
      </c>
      <c r="E77" s="520">
        <f>'[4]2'!F77</f>
        <v>698678</v>
      </c>
      <c r="F77" s="660">
        <v>698725</v>
      </c>
      <c r="G77" s="657">
        <f t="shared" si="6"/>
        <v>47</v>
      </c>
      <c r="H77" s="460">
        <f>G77+'[4]2'!H77</f>
        <v>137</v>
      </c>
      <c r="I77" s="505"/>
      <c r="J77" s="553">
        <f>H77/DAY(B2)</f>
        <v>45.666666666666664</v>
      </c>
      <c r="K77" s="430"/>
      <c r="L77" s="377"/>
      <c r="O77" s="382"/>
    </row>
    <row r="78" spans="1:15" ht="27.75">
      <c r="A78" s="1316" t="s">
        <v>197</v>
      </c>
      <c r="B78" s="1309"/>
      <c r="C78" s="1309"/>
      <c r="D78" s="523" t="s">
        <v>187</v>
      </c>
      <c r="E78" s="521">
        <f>'[4]2'!F78</f>
        <v>653630</v>
      </c>
      <c r="F78" s="661">
        <v>653959</v>
      </c>
      <c r="G78" s="473">
        <f t="shared" si="6"/>
        <v>329</v>
      </c>
      <c r="H78" s="460">
        <f>G78+'[4]2'!H78</f>
        <v>1096</v>
      </c>
      <c r="I78" s="505"/>
      <c r="J78" s="553">
        <f>H78/DAY(B2)</f>
        <v>365.33333333333331</v>
      </c>
      <c r="K78" s="430"/>
      <c r="L78" s="377"/>
      <c r="O78" s="382"/>
    </row>
    <row r="79" spans="1:15" ht="27.75">
      <c r="A79" s="1457" t="s">
        <v>92</v>
      </c>
      <c r="B79" s="1458"/>
      <c r="C79" s="1459"/>
      <c r="D79" s="524" t="s">
        <v>187</v>
      </c>
      <c r="E79" s="521">
        <f>'[4]2'!F79</f>
        <v>815599</v>
      </c>
      <c r="F79" s="661">
        <v>815715</v>
      </c>
      <c r="G79" s="473">
        <f t="shared" si="6"/>
        <v>116</v>
      </c>
      <c r="H79" s="460">
        <f>G79+'[4]2'!H79</f>
        <v>606</v>
      </c>
      <c r="I79" s="505"/>
      <c r="J79" s="553">
        <f>H79/DAY(B2)</f>
        <v>202</v>
      </c>
      <c r="K79" s="430"/>
      <c r="L79" s="377"/>
      <c r="O79" s="382"/>
    </row>
    <row r="80" spans="1:15" ht="27.75">
      <c r="A80" s="1457" t="s">
        <v>198</v>
      </c>
      <c r="B80" s="1458"/>
      <c r="C80" s="1459"/>
      <c r="D80" s="524" t="s">
        <v>187</v>
      </c>
      <c r="E80" s="520">
        <f>'[4]2'!F80</f>
        <v>495488.36</v>
      </c>
      <c r="F80" s="660">
        <v>495836</v>
      </c>
      <c r="G80" s="473">
        <f t="shared" si="6"/>
        <v>347.64000000001397</v>
      </c>
      <c r="H80" s="460">
        <f>G80+'[4]2'!H80</f>
        <v>1162.359999999986</v>
      </c>
      <c r="I80" s="505"/>
      <c r="J80" s="553">
        <f>H80/DAY(B2)</f>
        <v>387.45333333332866</v>
      </c>
      <c r="K80" s="430"/>
      <c r="L80" s="377"/>
      <c r="O80" s="382"/>
    </row>
    <row r="81" spans="1:15" ht="27.75">
      <c r="A81" s="1457" t="s">
        <v>199</v>
      </c>
      <c r="B81" s="1458"/>
      <c r="C81" s="1459"/>
      <c r="D81" s="524" t="s">
        <v>187</v>
      </c>
      <c r="E81" s="520">
        <f>'[4]2'!F81</f>
        <v>626157.64</v>
      </c>
      <c r="F81" s="660">
        <v>626258</v>
      </c>
      <c r="G81" s="473">
        <f t="shared" si="6"/>
        <v>100.35999999998603</v>
      </c>
      <c r="H81" s="460">
        <f>G81+'[4]2'!H81</f>
        <v>314.1600000000326</v>
      </c>
      <c r="I81" s="505"/>
      <c r="J81" s="553">
        <f>H81/DAY(B2)</f>
        <v>104.72000000001087</v>
      </c>
      <c r="K81" s="430"/>
      <c r="L81" s="377"/>
      <c r="O81" s="382"/>
    </row>
    <row r="82" spans="1:15" ht="27.75">
      <c r="A82" s="1457" t="s">
        <v>93</v>
      </c>
      <c r="B82" s="1458"/>
      <c r="C82" s="1459"/>
      <c r="D82" s="485" t="s">
        <v>132</v>
      </c>
      <c r="E82" s="522">
        <f>'[4]2'!F82</f>
        <v>106242.13</v>
      </c>
      <c r="F82" s="656">
        <v>106261</v>
      </c>
      <c r="G82" s="473">
        <f t="shared" si="6"/>
        <v>18.869999999995343</v>
      </c>
      <c r="H82" s="460">
        <f>G82+'[4]2'!H82</f>
        <v>58.520000000004075</v>
      </c>
      <c r="I82" s="486"/>
      <c r="J82" s="553">
        <f>H82/DAY(B2)</f>
        <v>19.506666666668025</v>
      </c>
      <c r="K82" s="430"/>
      <c r="L82" s="377"/>
      <c r="O82" s="382"/>
    </row>
    <row r="83" spans="1:15" ht="27.75">
      <c r="A83" s="1457" t="s">
        <v>200</v>
      </c>
      <c r="B83" s="1458"/>
      <c r="C83" s="1459"/>
      <c r="D83" s="621" t="s">
        <v>132</v>
      </c>
      <c r="E83" s="511">
        <f>'[4]2'!F83</f>
        <v>997516</v>
      </c>
      <c r="F83" s="511">
        <v>998039</v>
      </c>
      <c r="G83" s="473">
        <f t="shared" si="6"/>
        <v>523</v>
      </c>
      <c r="H83" s="460">
        <f>G83+'[4]2'!H83</f>
        <v>1590</v>
      </c>
      <c r="I83" s="481"/>
      <c r="J83" s="553">
        <f>H83/DAY(B2)</f>
        <v>530</v>
      </c>
      <c r="K83" s="429"/>
      <c r="L83" s="377"/>
      <c r="O83" s="382"/>
    </row>
    <row r="84" spans="1:15">
      <c r="A84" s="1317" t="s">
        <v>201</v>
      </c>
      <c r="B84" s="572"/>
      <c r="C84" s="572"/>
      <c r="D84" s="478" t="s">
        <v>132</v>
      </c>
      <c r="E84" s="628">
        <f>'[4]2'!F84</f>
        <v>432215</v>
      </c>
      <c r="F84" s="628">
        <v>432768</v>
      </c>
      <c r="G84" s="473">
        <f t="shared" si="6"/>
        <v>553</v>
      </c>
      <c r="H84" s="460">
        <f>G84+'[4]2'!H84</f>
        <v>1970</v>
      </c>
      <c r="I84" s="481"/>
      <c r="J84" s="553">
        <f>H84/DAY(B2)</f>
        <v>656.66666666666663</v>
      </c>
      <c r="K84" s="380"/>
      <c r="L84" s="377"/>
      <c r="O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2397.5299999999952</v>
      </c>
      <c r="H85" s="460">
        <f>G85+'[4]2'!H85</f>
        <v>5939.1299999999683</v>
      </c>
      <c r="I85" s="481"/>
      <c r="J85" s="553">
        <f>H85/DAY(B2)</f>
        <v>1979.7099999999893</v>
      </c>
      <c r="K85" s="380"/>
      <c r="L85" s="378"/>
      <c r="O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'[4]2'!F86</f>
        <v>450647.2</v>
      </c>
      <c r="F86" s="652">
        <v>450765</v>
      </c>
      <c r="G86" s="710">
        <f t="shared" ref="G86:G90" si="7">F86-E86</f>
        <v>117.79999999998836</v>
      </c>
      <c r="H86" s="460">
        <f>G86+'[4]2'!H86</f>
        <v>396.46999999997206</v>
      </c>
      <c r="I86" s="657"/>
      <c r="J86" s="712">
        <f>H86/DAY(B2)</f>
        <v>132.15666666665734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'[4]2'!F87</f>
        <v>79285.100000000006</v>
      </c>
      <c r="F87" s="652">
        <v>79323.199999999997</v>
      </c>
      <c r="G87" s="710">
        <f t="shared" si="7"/>
        <v>38.099999999991269</v>
      </c>
      <c r="H87" s="460">
        <f>G87+'[4]2'!H87</f>
        <v>115.5</v>
      </c>
      <c r="I87" s="657"/>
      <c r="J87" s="712">
        <f>H87/DAY(B2)</f>
        <v>38.5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'[4]2'!F88</f>
        <v>148388.41</v>
      </c>
      <c r="F88" s="652">
        <v>148414.26</v>
      </c>
      <c r="G88" s="710">
        <f t="shared" si="7"/>
        <v>25.850000000005821</v>
      </c>
      <c r="H88" s="460">
        <f>G88+'[4]2'!H88</f>
        <v>149.65000000002328</v>
      </c>
      <c r="I88" s="657"/>
      <c r="J88" s="712">
        <f>H88/DAY(B2)</f>
        <v>49.883333333341092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'[4]2'!F89</f>
        <v>61817.8</v>
      </c>
      <c r="F89" s="652">
        <v>61900.4</v>
      </c>
      <c r="G89" s="710">
        <f t="shared" si="7"/>
        <v>82.599999999998545</v>
      </c>
      <c r="H89" s="460">
        <f>G89+'[4]2'!H89</f>
        <v>225.30000000000291</v>
      </c>
      <c r="I89" s="657"/>
      <c r="J89" s="712">
        <f>H89/DAY(B2)</f>
        <v>75.100000000000975</v>
      </c>
      <c r="K89" s="738" t="e">
        <f t="shared" ref="K89:K90" si="8">I89/DAY(C3)</f>
        <v>#VALUE!</v>
      </c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'[4]2'!F90</f>
        <v>3173.2</v>
      </c>
      <c r="F90" s="652">
        <v>3178.6</v>
      </c>
      <c r="G90" s="710">
        <f t="shared" si="7"/>
        <v>5.4000000000000909</v>
      </c>
      <c r="H90" s="460">
        <f>G90+'[4]2'!H90</f>
        <v>15.699999999999818</v>
      </c>
      <c r="I90" s="657"/>
      <c r="J90" s="712">
        <f>H90/DAY(B2)</f>
        <v>5.233333333333273</v>
      </c>
      <c r="K90" s="738" t="e">
        <f t="shared" si="8"/>
        <v>#VALUE!</v>
      </c>
      <c r="L90" s="739"/>
      <c r="N90" s="783"/>
      <c r="O90" s="382"/>
    </row>
    <row r="91" spans="1:15" s="379" customFormat="1">
      <c r="A91" s="607" t="s">
        <v>205</v>
      </c>
      <c r="B91" s="1319"/>
      <c r="C91" s="1319"/>
      <c r="D91" s="472"/>
      <c r="E91" s="472"/>
      <c r="F91" s="472"/>
      <c r="G91" s="488"/>
      <c r="H91" s="472"/>
      <c r="I91" s="472"/>
      <c r="J91" s="552"/>
      <c r="K91" s="380"/>
      <c r="L91" s="378"/>
      <c r="O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'[4]2'!F92</f>
        <v>239912</v>
      </c>
      <c r="F92" s="478">
        <v>239994</v>
      </c>
      <c r="G92" s="473">
        <f t="shared" ref="G92:G93" si="9">F92-E92</f>
        <v>82</v>
      </c>
      <c r="H92" s="460">
        <f>G92+'[4]2'!H92</f>
        <v>299</v>
      </c>
      <c r="I92" s="480"/>
      <c r="J92" s="553">
        <f>H92/DAY(B2)</f>
        <v>99.666666666666671</v>
      </c>
      <c r="K92" s="429"/>
      <c r="L92" s="377"/>
      <c r="O92" s="382"/>
    </row>
    <row r="93" spans="1:15" ht="27.75">
      <c r="A93" s="1411" t="s">
        <v>207</v>
      </c>
      <c r="B93" s="1412"/>
      <c r="C93" s="1413"/>
      <c r="D93" s="523" t="s">
        <v>144</v>
      </c>
      <c r="E93" s="484">
        <f>'[4]2'!F93</f>
        <v>175994</v>
      </c>
      <c r="F93" s="478">
        <v>176158</v>
      </c>
      <c r="G93" s="473">
        <f t="shared" si="9"/>
        <v>164</v>
      </c>
      <c r="H93" s="460">
        <f>G93+'[4]2'!H93</f>
        <v>497</v>
      </c>
      <c r="I93" s="480"/>
      <c r="J93" s="553">
        <f>H93/DAY(B2)</f>
        <v>165.66666666666666</v>
      </c>
      <c r="K93" s="380"/>
      <c r="L93" s="377"/>
      <c r="O93" s="382"/>
    </row>
    <row r="94" spans="1:15">
      <c r="A94" s="1405" t="s">
        <v>208</v>
      </c>
      <c r="B94" s="1406"/>
      <c r="C94" s="1407"/>
      <c r="D94" s="523"/>
      <c r="E94" s="484"/>
      <c r="F94" s="478"/>
      <c r="G94" s="473">
        <f>G92+G93</f>
        <v>246</v>
      </c>
      <c r="H94" s="460">
        <f>G94+'[4]2'!H94</f>
        <v>530</v>
      </c>
      <c r="I94" s="480"/>
      <c r="J94" s="553">
        <f>H94/DAY(B2)</f>
        <v>176.66666666666666</v>
      </c>
      <c r="K94" s="380"/>
      <c r="L94" s="377"/>
      <c r="O94" s="382"/>
    </row>
    <row r="95" spans="1:15" ht="27.75">
      <c r="A95" s="1411" t="s">
        <v>209</v>
      </c>
      <c r="B95" s="1412"/>
      <c r="C95" s="1413"/>
      <c r="D95" s="523" t="s">
        <v>144</v>
      </c>
      <c r="E95" s="484">
        <f>'[4]2'!F95</f>
        <v>408317</v>
      </c>
      <c r="F95" s="478">
        <v>408393</v>
      </c>
      <c r="G95" s="473">
        <f t="shared" ref="G95:G100" si="10">F95-E95</f>
        <v>76</v>
      </c>
      <c r="H95" s="460">
        <f>G95+'[4]2'!H95</f>
        <v>237</v>
      </c>
      <c r="I95" s="480"/>
      <c r="J95" s="553">
        <f>H95/DAY(B2)</f>
        <v>79</v>
      </c>
      <c r="K95" s="380"/>
      <c r="L95" s="377"/>
      <c r="O95" s="382"/>
    </row>
    <row r="96" spans="1:15" ht="27.75">
      <c r="A96" s="1313" t="s">
        <v>210</v>
      </c>
      <c r="B96" s="1314"/>
      <c r="C96" s="1314"/>
      <c r="D96" s="523" t="s">
        <v>144</v>
      </c>
      <c r="E96" s="484">
        <f>'[4]2'!F96</f>
        <v>101363</v>
      </c>
      <c r="F96" s="478">
        <v>101380</v>
      </c>
      <c r="G96" s="473">
        <f t="shared" si="10"/>
        <v>17</v>
      </c>
      <c r="H96" s="460">
        <f>G96+'[4]2'!H96</f>
        <v>48</v>
      </c>
      <c r="I96" s="480"/>
      <c r="J96" s="553">
        <f>H96/DAY(B2)</f>
        <v>16</v>
      </c>
      <c r="K96" s="427"/>
      <c r="L96" s="377"/>
      <c r="O96" s="382"/>
    </row>
    <row r="97" spans="1:15" ht="27.75">
      <c r="A97" s="1313" t="s">
        <v>211</v>
      </c>
      <c r="B97" s="1314"/>
      <c r="C97" s="1314"/>
      <c r="D97" s="523" t="s">
        <v>144</v>
      </c>
      <c r="E97" s="484">
        <f>'[4]2'!F97</f>
        <v>96492</v>
      </c>
      <c r="F97" s="478">
        <v>96508</v>
      </c>
      <c r="G97" s="473">
        <f t="shared" si="10"/>
        <v>16</v>
      </c>
      <c r="H97" s="460">
        <f>G97+'[4]2'!H97</f>
        <v>59</v>
      </c>
      <c r="I97" s="480"/>
      <c r="J97" s="553">
        <f>H97/DAY(B2)</f>
        <v>19.666666666666668</v>
      </c>
      <c r="K97" s="432"/>
      <c r="L97" s="377"/>
      <c r="O97" s="382"/>
    </row>
    <row r="98" spans="1:15" ht="27.75">
      <c r="A98" s="1313" t="s">
        <v>212</v>
      </c>
      <c r="B98" s="1314"/>
      <c r="C98" s="1314"/>
      <c r="D98" s="523" t="s">
        <v>144</v>
      </c>
      <c r="E98" s="484">
        <f>'[4]2'!F98</f>
        <v>147779</v>
      </c>
      <c r="F98" s="478">
        <v>147866</v>
      </c>
      <c r="G98" s="473">
        <f t="shared" si="10"/>
        <v>87</v>
      </c>
      <c r="H98" s="460">
        <f>G98+'[4]2'!H98</f>
        <v>258</v>
      </c>
      <c r="I98" s="480"/>
      <c r="J98" s="553">
        <f>H98/DAY(B2)</f>
        <v>86</v>
      </c>
      <c r="K98" s="380"/>
      <c r="L98" s="377"/>
      <c r="O98" s="382"/>
    </row>
    <row r="99" spans="1:15" ht="27.75">
      <c r="A99" s="1313" t="s">
        <v>213</v>
      </c>
      <c r="B99" s="1314"/>
      <c r="C99" s="1314"/>
      <c r="D99" s="523" t="s">
        <v>144</v>
      </c>
      <c r="E99" s="484">
        <f>'[4]2'!F99</f>
        <v>6444</v>
      </c>
      <c r="F99" s="478">
        <v>6457</v>
      </c>
      <c r="G99" s="473">
        <f t="shared" si="10"/>
        <v>13</v>
      </c>
      <c r="H99" s="460">
        <f>G99+'[4]2'!H99</f>
        <v>49</v>
      </c>
      <c r="I99" s="480"/>
      <c r="J99" s="553">
        <f>H99/DAY(B2)</f>
        <v>16.333333333333332</v>
      </c>
      <c r="K99" s="380"/>
      <c r="L99" s="377"/>
      <c r="O99" s="382"/>
    </row>
    <row r="100" spans="1:15" ht="27.75">
      <c r="A100" s="1313" t="s">
        <v>214</v>
      </c>
      <c r="B100" s="1314"/>
      <c r="C100" s="1314"/>
      <c r="D100" s="523" t="s">
        <v>144</v>
      </c>
      <c r="E100" s="484">
        <f>'[4]2'!F100</f>
        <v>4574</v>
      </c>
      <c r="F100" s="478">
        <v>4587</v>
      </c>
      <c r="G100" s="473">
        <f t="shared" si="10"/>
        <v>13</v>
      </c>
      <c r="H100" s="460">
        <f>G100+'[4]2'!H100</f>
        <v>44</v>
      </c>
      <c r="I100" s="480"/>
      <c r="J100" s="553">
        <f>H100/DAY(B2)</f>
        <v>14.666666666666666</v>
      </c>
      <c r="K100" s="380"/>
      <c r="L100" s="377"/>
      <c r="O100" s="382"/>
    </row>
    <row r="101" spans="1:15">
      <c r="A101" s="1405" t="s">
        <v>216</v>
      </c>
      <c r="B101" s="1406"/>
      <c r="C101" s="1407"/>
      <c r="D101" s="524"/>
      <c r="E101" s="524"/>
      <c r="F101" s="524"/>
      <c r="G101" s="525">
        <f>SUM(G95:G100)</f>
        <v>222</v>
      </c>
      <c r="H101" s="460">
        <f>G101+'[4]2'!H101</f>
        <v>695</v>
      </c>
      <c r="I101" s="526"/>
      <c r="J101" s="553">
        <f>H101/DAY(B2)</f>
        <v>231.66666666666666</v>
      </c>
      <c r="K101" s="380"/>
      <c r="L101" s="377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O102" s="382"/>
    </row>
    <row r="103" spans="1:15" s="442" customFormat="1" ht="27.75">
      <c r="A103" s="1414" t="s">
        <v>218</v>
      </c>
      <c r="B103" s="1415"/>
      <c r="C103" s="574"/>
      <c r="D103" s="623"/>
      <c r="E103" s="532"/>
      <c r="F103" s="663"/>
      <c r="G103" s="532"/>
      <c r="H103" s="533"/>
      <c r="I103" s="532"/>
      <c r="J103" s="559"/>
      <c r="O103" s="382"/>
    </row>
    <row r="104" spans="1:15" s="442" customFormat="1" ht="27.75">
      <c r="A104" s="1452" t="s">
        <v>219</v>
      </c>
      <c r="B104" s="1453"/>
      <c r="C104" s="1311"/>
      <c r="D104" s="623" t="s">
        <v>144</v>
      </c>
      <c r="E104" s="532">
        <f>'[4]2'!F104</f>
        <v>7128</v>
      </c>
      <c r="F104" s="663">
        <v>7128</v>
      </c>
      <c r="G104" s="532">
        <f>F104-E104</f>
        <v>0</v>
      </c>
      <c r="H104" s="460">
        <f>G104+'[4]2'!H104</f>
        <v>0</v>
      </c>
      <c r="I104" s="532"/>
      <c r="J104" s="559">
        <f>H108/DAY(B2)</f>
        <v>0</v>
      </c>
      <c r="O104" s="382"/>
    </row>
    <row r="105" spans="1:15" s="442" customFormat="1" ht="27.75">
      <c r="A105" s="1452" t="s">
        <v>77</v>
      </c>
      <c r="B105" s="1453"/>
      <c r="C105" s="1311"/>
      <c r="D105" s="623" t="s">
        <v>144</v>
      </c>
      <c r="E105" s="534">
        <f>'[4]2'!F105</f>
        <v>35425</v>
      </c>
      <c r="F105" s="664">
        <v>35434</v>
      </c>
      <c r="G105" s="532">
        <f t="shared" ref="G105:G106" si="11">F105-E105</f>
        <v>9</v>
      </c>
      <c r="H105" s="460">
        <f>G105+'[4]2'!H105</f>
        <v>27</v>
      </c>
      <c r="I105" s="532"/>
      <c r="J105" s="559">
        <f>H105/DAY(B2)</f>
        <v>9</v>
      </c>
      <c r="O105" s="382"/>
    </row>
    <row r="106" spans="1:15" s="442" customFormat="1" ht="27.75">
      <c r="A106" s="1452" t="s">
        <v>78</v>
      </c>
      <c r="B106" s="1469"/>
      <c r="C106" s="1453"/>
      <c r="D106" s="623" t="s">
        <v>144</v>
      </c>
      <c r="E106" s="532">
        <f>'[4]2'!F106</f>
        <v>19257</v>
      </c>
      <c r="F106" s="663">
        <v>19263</v>
      </c>
      <c r="G106" s="532">
        <f t="shared" si="11"/>
        <v>6</v>
      </c>
      <c r="H106" s="460">
        <f>G106+'[4]2'!H106</f>
        <v>16</v>
      </c>
      <c r="I106" s="532"/>
      <c r="J106" s="559">
        <f>H106/DAY(B2)</f>
        <v>5.333333333333333</v>
      </c>
      <c r="O106" s="382"/>
    </row>
    <row r="107" spans="1:15" s="442" customFormat="1" ht="27.75">
      <c r="A107" s="1448" t="s">
        <v>202</v>
      </c>
      <c r="B107" s="1449"/>
      <c r="C107" s="1311"/>
      <c r="D107" s="623"/>
      <c r="E107" s="532"/>
      <c r="F107" s="663" t="s">
        <v>269</v>
      </c>
      <c r="G107" s="532">
        <f>SUM(G104:G106)</f>
        <v>15</v>
      </c>
      <c r="H107" s="460">
        <f>G107+'[4]2'!H107</f>
        <v>43</v>
      </c>
      <c r="I107" s="532"/>
      <c r="J107" s="559">
        <f>H107/DAY(B2)</f>
        <v>14.333333333333334</v>
      </c>
      <c r="O107" s="382"/>
    </row>
    <row r="108" spans="1:15" s="442" customFormat="1" ht="27.75">
      <c r="A108" s="1467" t="s">
        <v>79</v>
      </c>
      <c r="B108" s="1468"/>
      <c r="C108" s="1311"/>
      <c r="D108" s="623" t="s">
        <v>144</v>
      </c>
      <c r="E108" s="532"/>
      <c r="F108" s="663"/>
      <c r="G108" s="532"/>
      <c r="H108" s="460">
        <f>G104+'[4]2'!H104</f>
        <v>0</v>
      </c>
      <c r="I108" s="532"/>
      <c r="J108" s="559"/>
      <c r="O108" s="382"/>
    </row>
    <row r="109" spans="1:15" s="442" customFormat="1" ht="27.75">
      <c r="A109" s="1452" t="s">
        <v>220</v>
      </c>
      <c r="B109" s="1453"/>
      <c r="C109" s="1311"/>
      <c r="D109" s="623" t="s">
        <v>144</v>
      </c>
      <c r="E109" s="532">
        <f>'[4]2'!F109</f>
        <v>56516</v>
      </c>
      <c r="F109" s="663">
        <v>56606</v>
      </c>
      <c r="G109" s="532">
        <f>F109-E109</f>
        <v>90</v>
      </c>
      <c r="H109" s="460">
        <f>G109+'[4]2'!H109</f>
        <v>253</v>
      </c>
      <c r="I109" s="532"/>
      <c r="J109" s="559">
        <f>H109/DAY(B2)</f>
        <v>84.333333333333329</v>
      </c>
      <c r="O109" s="382"/>
    </row>
    <row r="110" spans="1:15" s="442" customFormat="1" ht="27.75">
      <c r="A110" s="1452" t="s">
        <v>221</v>
      </c>
      <c r="B110" s="1453"/>
      <c r="C110" s="1311"/>
      <c r="D110" s="623" t="s">
        <v>144</v>
      </c>
      <c r="E110" s="532">
        <f>'[4]2'!F110</f>
        <v>30690</v>
      </c>
      <c r="F110" s="663">
        <v>30795</v>
      </c>
      <c r="G110" s="532">
        <f t="shared" ref="G110:G111" si="12">F110-E110</f>
        <v>105</v>
      </c>
      <c r="H110" s="460">
        <f>G110+'[4]2'!H110</f>
        <v>268</v>
      </c>
      <c r="I110" s="532"/>
      <c r="J110" s="559">
        <f>H110/DAY(B2)</f>
        <v>89.333333333333329</v>
      </c>
      <c r="O110" s="382"/>
    </row>
    <row r="111" spans="1:15" s="442" customFormat="1" ht="27.75">
      <c r="A111" s="1452" t="s">
        <v>222</v>
      </c>
      <c r="B111" s="1453"/>
      <c r="C111" s="1311"/>
      <c r="D111" s="623" t="s">
        <v>144</v>
      </c>
      <c r="E111" s="532">
        <f>'[4]2'!F111</f>
        <v>3987</v>
      </c>
      <c r="F111" s="663">
        <v>4012</v>
      </c>
      <c r="G111" s="532">
        <f t="shared" si="12"/>
        <v>25</v>
      </c>
      <c r="H111" s="460">
        <f>G111+'[4]2'!H111</f>
        <v>32</v>
      </c>
      <c r="I111" s="532"/>
      <c r="J111" s="559">
        <f>H111/DAY(B2)</f>
        <v>10.666666666666666</v>
      </c>
      <c r="O111" s="382"/>
    </row>
    <row r="112" spans="1:15" s="442" customFormat="1" ht="27.75">
      <c r="A112" s="1448" t="s">
        <v>110</v>
      </c>
      <c r="B112" s="1449"/>
      <c r="C112" s="1311"/>
      <c r="D112" s="623"/>
      <c r="E112" s="532"/>
      <c r="F112" s="663"/>
      <c r="G112" s="532">
        <f>SUM(G109:G111)</f>
        <v>220</v>
      </c>
      <c r="H112" s="460">
        <f>G112+'[4]2'!H112</f>
        <v>553</v>
      </c>
      <c r="I112" s="532"/>
      <c r="J112" s="559">
        <f>H112/DAY(B2)</f>
        <v>184.33333333333334</v>
      </c>
      <c r="O112" s="382"/>
    </row>
    <row r="113" spans="1:15" s="442" customFormat="1" ht="27.75">
      <c r="A113" s="1467" t="s">
        <v>223</v>
      </c>
      <c r="B113" s="1468"/>
      <c r="C113" s="1311"/>
      <c r="D113" s="623"/>
      <c r="E113" s="532"/>
      <c r="F113" s="663"/>
      <c r="G113" s="532"/>
      <c r="H113" s="460">
        <f>G113+'[4]2'!H113</f>
        <v>0</v>
      </c>
      <c r="I113" s="532"/>
      <c r="J113" s="559">
        <f>H113/DAY(B2)</f>
        <v>0</v>
      </c>
      <c r="O113" s="382"/>
    </row>
    <row r="114" spans="1:15" s="442" customFormat="1" ht="27.75">
      <c r="A114" s="1452" t="s">
        <v>224</v>
      </c>
      <c r="B114" s="1453"/>
      <c r="C114" s="1310"/>
      <c r="D114" s="623" t="s">
        <v>144</v>
      </c>
      <c r="E114" s="534">
        <f>'[4]2'!F114</f>
        <v>10363</v>
      </c>
      <c r="F114" s="664">
        <v>10379</v>
      </c>
      <c r="G114" s="534">
        <f>F114-E114</f>
        <v>16</v>
      </c>
      <c r="H114" s="460">
        <f>G114+'[4]2'!H114</f>
        <v>57</v>
      </c>
      <c r="I114" s="532"/>
      <c r="J114" s="559">
        <f>H114/DAY(B2)</f>
        <v>19</v>
      </c>
      <c r="O114" s="382"/>
    </row>
    <row r="115" spans="1:15" s="442" customFormat="1" ht="27.75">
      <c r="A115" s="1452" t="s">
        <v>225</v>
      </c>
      <c r="B115" s="1453"/>
      <c r="C115" s="1310"/>
      <c r="D115" s="623" t="s">
        <v>144</v>
      </c>
      <c r="E115" s="534">
        <f>'[4]2'!F115</f>
        <v>7690</v>
      </c>
      <c r="F115" s="664">
        <v>7703</v>
      </c>
      <c r="G115" s="534">
        <f t="shared" ref="G115:G116" si="13">F115-E115</f>
        <v>13</v>
      </c>
      <c r="H115" s="460">
        <f>G115+'[4]2'!H115</f>
        <v>36</v>
      </c>
      <c r="I115" s="532"/>
      <c r="J115" s="559">
        <f>H115/DAY(B2)</f>
        <v>12</v>
      </c>
      <c r="O115" s="382"/>
    </row>
    <row r="116" spans="1:15" s="442" customFormat="1" ht="27.75">
      <c r="A116" s="1452" t="s">
        <v>226</v>
      </c>
      <c r="B116" s="1453"/>
      <c r="C116" s="1310"/>
      <c r="D116" s="623" t="s">
        <v>144</v>
      </c>
      <c r="E116" s="534"/>
      <c r="F116" s="664"/>
      <c r="G116" s="534">
        <f t="shared" si="13"/>
        <v>0</v>
      </c>
      <c r="H116" s="460">
        <f>G116+'[4]2'!H116</f>
        <v>0</v>
      </c>
      <c r="I116" s="532"/>
      <c r="J116" s="559">
        <f>H116/DAY(B2)</f>
        <v>0</v>
      </c>
      <c r="O116" s="382"/>
    </row>
    <row r="117" spans="1:15" s="445" customFormat="1" ht="27.75">
      <c r="A117" s="1448" t="s">
        <v>202</v>
      </c>
      <c r="B117" s="1449"/>
      <c r="C117" s="1310"/>
      <c r="D117" s="786"/>
      <c r="E117" s="534"/>
      <c r="F117" s="664"/>
      <c r="G117" s="534">
        <f>SUM(G114:G116)</f>
        <v>29</v>
      </c>
      <c r="H117" s="460">
        <f>G117+'[4]2'!H117</f>
        <v>93</v>
      </c>
      <c r="I117" s="534"/>
      <c r="J117" s="559">
        <f>H117/DAY(B2)</f>
        <v>31</v>
      </c>
      <c r="O117" s="382"/>
    </row>
    <row r="118" spans="1:15" s="445" customFormat="1" ht="27.75">
      <c r="A118" s="1450" t="s">
        <v>227</v>
      </c>
      <c r="B118" s="1451"/>
      <c r="C118" s="1310"/>
      <c r="D118" s="625" t="s">
        <v>144</v>
      </c>
      <c r="E118" s="536"/>
      <c r="F118" s="665">
        <f>SUM(G19+G92)</f>
        <v>134</v>
      </c>
      <c r="G118" s="536">
        <f>SUM(G19+G92)</f>
        <v>134</v>
      </c>
      <c r="H118" s="460">
        <f>G118+'[4]2'!H118</f>
        <v>451</v>
      </c>
      <c r="I118" s="535"/>
      <c r="J118" s="560">
        <f>H118/DAY(B2)</f>
        <v>150.33333333333334</v>
      </c>
      <c r="O118" s="382"/>
    </row>
    <row r="119" spans="1:15" s="445" customFormat="1" ht="27.75">
      <c r="A119" s="1450" t="s">
        <v>228</v>
      </c>
      <c r="B119" s="1451"/>
      <c r="C119" s="1310"/>
      <c r="D119" s="625" t="s">
        <v>144</v>
      </c>
      <c r="E119" s="536"/>
      <c r="F119" s="665">
        <f>SUM(G95,G96,G97,G99,G100)</f>
        <v>135</v>
      </c>
      <c r="G119" s="536">
        <f>SUM(G95,G96,G97,G99,G100)</f>
        <v>135</v>
      </c>
      <c r="H119" s="460">
        <f>G119+'[4]2'!H119</f>
        <v>437</v>
      </c>
      <c r="I119" s="535"/>
      <c r="J119" s="560">
        <f>H119/DAY(B2)</f>
        <v>145.66666666666666</v>
      </c>
      <c r="O119" s="382"/>
    </row>
    <row r="120" spans="1:15" s="445" customFormat="1" ht="27.75">
      <c r="A120" s="1450" t="s">
        <v>229</v>
      </c>
      <c r="B120" s="1451"/>
      <c r="C120" s="1310"/>
      <c r="D120" s="625" t="s">
        <v>144</v>
      </c>
      <c r="E120" s="534"/>
      <c r="F120" s="664">
        <f>SUM(G112)</f>
        <v>220</v>
      </c>
      <c r="G120" s="534">
        <f>SUM(G112)</f>
        <v>220</v>
      </c>
      <c r="H120" s="460">
        <f>G120+'[4]2'!H120</f>
        <v>553</v>
      </c>
      <c r="I120" s="535"/>
      <c r="J120" s="560">
        <f>H120/DAY(B2)</f>
        <v>184.33333333333334</v>
      </c>
      <c r="O120" s="382"/>
    </row>
    <row r="121" spans="1:15" s="442" customFormat="1" ht="27.75">
      <c r="A121" s="1452"/>
      <c r="B121" s="1453"/>
      <c r="C121" s="1311"/>
      <c r="D121" s="561"/>
      <c r="E121" s="561"/>
      <c r="F121" s="666" t="s">
        <v>215</v>
      </c>
      <c r="G121" s="561"/>
      <c r="H121" s="562"/>
      <c r="I121" s="561"/>
      <c r="J121" s="563"/>
      <c r="O121" s="382"/>
    </row>
    <row r="122" spans="1:15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O122" s="382"/>
    </row>
    <row r="123" spans="1:15" ht="27.75">
      <c r="A123" s="1313" t="s">
        <v>231</v>
      </c>
      <c r="B123" s="1314"/>
      <c r="C123" s="1314"/>
      <c r="D123" s="523" t="s">
        <v>141</v>
      </c>
      <c r="E123" s="478">
        <f>'[4]2'!F123</f>
        <v>811551.39</v>
      </c>
      <c r="F123" s="478">
        <v>811797.04</v>
      </c>
      <c r="G123" s="473">
        <f t="shared" ref="G123:G127" si="14">F123-E123</f>
        <v>245.65000000002328</v>
      </c>
      <c r="H123" s="460">
        <f>G123+'[4]2'!H123</f>
        <v>790.20000000006985</v>
      </c>
      <c r="I123" s="526"/>
      <c r="J123" s="553">
        <f>H123/DAY(B2)</f>
        <v>263.40000000002328</v>
      </c>
      <c r="K123" s="380"/>
      <c r="L123" s="377"/>
      <c r="O123" s="382"/>
    </row>
    <row r="124" spans="1:15" ht="27.75">
      <c r="A124" s="1313" t="s">
        <v>232</v>
      </c>
      <c r="B124" s="1314"/>
      <c r="C124" s="1314"/>
      <c r="D124" s="523" t="s">
        <v>141</v>
      </c>
      <c r="E124" s="627">
        <f>'[4]2'!F124</f>
        <v>73583.399999999994</v>
      </c>
      <c r="F124" s="627">
        <v>73583.399999999994</v>
      </c>
      <c r="G124" s="473">
        <f t="shared" si="14"/>
        <v>0</v>
      </c>
      <c r="H124" s="460">
        <f>G124+'[4]2'!H124</f>
        <v>0</v>
      </c>
      <c r="I124" s="526"/>
      <c r="J124" s="553">
        <f>H124/DAY(B2)</f>
        <v>0</v>
      </c>
      <c r="K124" s="380"/>
      <c r="L124" s="377"/>
      <c r="O124" s="382"/>
    </row>
    <row r="125" spans="1:15" ht="27.75">
      <c r="A125" s="1408" t="s">
        <v>233</v>
      </c>
      <c r="B125" s="1409"/>
      <c r="C125" s="1410"/>
      <c r="D125" s="523" t="s">
        <v>141</v>
      </c>
      <c r="E125" s="478">
        <f>'[4]2'!F125</f>
        <v>140124.99</v>
      </c>
      <c r="F125" s="478">
        <v>140188.65</v>
      </c>
      <c r="G125" s="473">
        <f t="shared" si="14"/>
        <v>63.660000000003492</v>
      </c>
      <c r="H125" s="460">
        <f>G125+'[4]2'!H125</f>
        <v>209.30999999999767</v>
      </c>
      <c r="I125" s="526"/>
      <c r="J125" s="553">
        <f>H125/DAY(B2)</f>
        <v>69.769999999999229</v>
      </c>
      <c r="K125" s="380"/>
      <c r="L125" s="377"/>
      <c r="O125" s="382"/>
    </row>
    <row r="126" spans="1:15" ht="27.75">
      <c r="A126" s="610" t="s">
        <v>234</v>
      </c>
      <c r="B126" s="1314"/>
      <c r="C126" s="1314"/>
      <c r="D126" s="523" t="s">
        <v>141</v>
      </c>
      <c r="E126" s="627">
        <f>'[4]2'!F126</f>
        <v>59358.9</v>
      </c>
      <c r="F126" s="627">
        <v>59377.599999999999</v>
      </c>
      <c r="G126" s="473">
        <f t="shared" si="14"/>
        <v>18.69999999999709</v>
      </c>
      <c r="H126" s="460">
        <f>G126+'[4]2'!H126</f>
        <v>70.69999999999709</v>
      </c>
      <c r="I126" s="526"/>
      <c r="J126" s="553">
        <f>H126/DAY(B2)</f>
        <v>23.566666666665697</v>
      </c>
      <c r="K126" s="380"/>
      <c r="L126" s="377"/>
      <c r="O126" s="382"/>
    </row>
    <row r="127" spans="1:15" ht="27.75">
      <c r="A127" s="610" t="s">
        <v>235</v>
      </c>
      <c r="B127" s="1314"/>
      <c r="C127" s="1314"/>
      <c r="D127" s="523" t="s">
        <v>141</v>
      </c>
      <c r="E127" s="627">
        <f>'[4]2'!F127</f>
        <v>8890.4</v>
      </c>
      <c r="F127" s="627">
        <v>8894.1</v>
      </c>
      <c r="G127" s="473">
        <f t="shared" si="14"/>
        <v>3.7000000000007276</v>
      </c>
      <c r="H127" s="460">
        <f>G127+'[4]2'!H127</f>
        <v>6.3000000000010914</v>
      </c>
      <c r="I127" s="480"/>
      <c r="J127" s="553">
        <f>H127/DAY(B2)</f>
        <v>2.1000000000003638</v>
      </c>
      <c r="K127" s="380"/>
      <c r="L127" s="377"/>
      <c r="O127" s="382"/>
    </row>
    <row r="128" spans="1:15" s="281" customFormat="1" ht="27.75">
      <c r="A128" s="610" t="s">
        <v>236</v>
      </c>
      <c r="B128" s="1314"/>
      <c r="C128" s="1314"/>
      <c r="D128" s="523"/>
      <c r="E128" s="478"/>
      <c r="F128" s="478"/>
      <c r="G128" s="473">
        <f>G15-SUM(G123:G127)</f>
        <v>498.70000000012442</v>
      </c>
      <c r="H128" s="460">
        <f>G128+'[4]2'!H128</f>
        <v>1627.7099999999064</v>
      </c>
      <c r="I128" s="480"/>
      <c r="J128" s="553">
        <f>H128/DAY(B2)</f>
        <v>542.56999999996879</v>
      </c>
      <c r="K128" s="364"/>
      <c r="L128" s="292"/>
      <c r="O128" s="382"/>
    </row>
    <row r="129" spans="1:15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O129" s="382"/>
    </row>
    <row r="130" spans="1:15" ht="27.75">
      <c r="A130" s="1313" t="s">
        <v>238</v>
      </c>
      <c r="B130" s="1314"/>
      <c r="C130" s="1314"/>
      <c r="D130" s="523" t="s">
        <v>239</v>
      </c>
      <c r="E130" s="484">
        <f>'[4]2'!F130</f>
        <v>0</v>
      </c>
      <c r="F130" s="478">
        <v>0</v>
      </c>
      <c r="G130" s="473">
        <f t="shared" ref="G130:G140" si="15">F130-E130</f>
        <v>0</v>
      </c>
      <c r="H130" s="460">
        <f>G130+'[4]2'!H130</f>
        <v>0</v>
      </c>
      <c r="I130" s="480"/>
      <c r="J130" s="553">
        <f>H130/DAY(B2)</f>
        <v>0</v>
      </c>
      <c r="O130" s="382"/>
    </row>
    <row r="131" spans="1:15" ht="27.75">
      <c r="A131" s="1313" t="s">
        <v>240</v>
      </c>
      <c r="B131" s="1314"/>
      <c r="C131" s="1314"/>
      <c r="D131" s="523" t="s">
        <v>239</v>
      </c>
      <c r="E131" s="484">
        <f>'[4]2'!F131</f>
        <v>0</v>
      </c>
      <c r="F131" s="478">
        <v>0</v>
      </c>
      <c r="G131" s="473">
        <f t="shared" si="15"/>
        <v>0</v>
      </c>
      <c r="H131" s="460">
        <f>G131+'[4]2'!H131</f>
        <v>0</v>
      </c>
      <c r="I131" s="480"/>
      <c r="J131" s="553">
        <f>H131/DAY(B2)</f>
        <v>0</v>
      </c>
      <c r="O131" s="382"/>
    </row>
    <row r="132" spans="1:15" ht="27.75">
      <c r="A132" s="1313" t="s">
        <v>241</v>
      </c>
      <c r="B132" s="1314"/>
      <c r="C132" s="1314"/>
      <c r="D132" s="523" t="s">
        <v>239</v>
      </c>
      <c r="E132" s="542">
        <f>'[4]2'!F132</f>
        <v>38829</v>
      </c>
      <c r="F132" s="656">
        <v>38829</v>
      </c>
      <c r="G132" s="473">
        <f t="shared" si="15"/>
        <v>0</v>
      </c>
      <c r="H132" s="460">
        <f>G132+'[4]2'!H132</f>
        <v>0</v>
      </c>
      <c r="I132" s="480"/>
      <c r="J132" s="553">
        <f>H132/DAY(B2)</f>
        <v>0</v>
      </c>
      <c r="O132" s="382"/>
    </row>
    <row r="133" spans="1:15" ht="27.75">
      <c r="A133" s="1313" t="s">
        <v>242</v>
      </c>
      <c r="B133" s="1314"/>
      <c r="C133" s="1314"/>
      <c r="D133" s="523" t="s">
        <v>239</v>
      </c>
      <c r="E133" s="706">
        <f>'[4]2'!F133</f>
        <v>300</v>
      </c>
      <c r="F133" s="627">
        <v>299.52</v>
      </c>
      <c r="G133" s="473">
        <f t="shared" si="15"/>
        <v>-0.48000000000001819</v>
      </c>
      <c r="H133" s="460">
        <f>G133+'[4]2'!H133</f>
        <v>-0.48000000000001819</v>
      </c>
      <c r="I133" s="480"/>
      <c r="J133" s="553">
        <f>H133/DAY(B2)</f>
        <v>-0.16000000000000605</v>
      </c>
      <c r="O133" s="382"/>
    </row>
    <row r="134" spans="1:15" ht="27.75">
      <c r="A134" s="1313" t="s">
        <v>243</v>
      </c>
      <c r="B134" s="1314"/>
      <c r="C134" s="1314"/>
      <c r="D134" s="523" t="s">
        <v>239</v>
      </c>
      <c r="E134" s="706">
        <f>'[4]2'!F134</f>
        <v>40410.14</v>
      </c>
      <c r="F134" s="627">
        <v>40434.199999999997</v>
      </c>
      <c r="G134" s="473">
        <f t="shared" si="15"/>
        <v>24.059999999997672</v>
      </c>
      <c r="H134" s="460">
        <f>G134+'[4]2'!H134</f>
        <v>67.059999999997672</v>
      </c>
      <c r="I134" s="480"/>
      <c r="J134" s="553">
        <f>H134/DAY(B2)</f>
        <v>22.353333333332557</v>
      </c>
      <c r="O134" s="382"/>
    </row>
    <row r="135" spans="1:15" ht="27.75">
      <c r="A135" s="1313" t="s">
        <v>244</v>
      </c>
      <c r="B135" s="1314"/>
      <c r="C135" s="1314"/>
      <c r="D135" s="523" t="s">
        <v>239</v>
      </c>
      <c r="E135" s="706">
        <f>'[4]2'!F135</f>
        <v>32582.09</v>
      </c>
      <c r="F135" s="627">
        <v>32582.09</v>
      </c>
      <c r="G135" s="473">
        <f t="shared" si="15"/>
        <v>0</v>
      </c>
      <c r="H135" s="460">
        <f>G135+'[4]2'!H135</f>
        <v>11.090000000000146</v>
      </c>
      <c r="I135" s="480">
        <f t="shared" ref="I135" si="16">G132+G133+G134+G135</f>
        <v>23.579999999997654</v>
      </c>
      <c r="J135" s="553">
        <f>H135/DAY(B2)</f>
        <v>3.6966666666667152</v>
      </c>
      <c r="O135" s="382"/>
    </row>
    <row r="136" spans="1:15" ht="27.75">
      <c r="A136" s="1313" t="s">
        <v>245</v>
      </c>
      <c r="B136" s="1314"/>
      <c r="C136" s="1314"/>
      <c r="D136" s="523" t="s">
        <v>239</v>
      </c>
      <c r="E136" s="542">
        <f>'[4]2'!F136</f>
        <v>22239.82</v>
      </c>
      <c r="F136" s="656">
        <v>22248.35</v>
      </c>
      <c r="G136" s="473">
        <f t="shared" si="15"/>
        <v>8.5299999999988358</v>
      </c>
      <c r="H136" s="460">
        <f>G136+'[4]2'!H136</f>
        <v>26.139999999999418</v>
      </c>
      <c r="I136" s="480"/>
      <c r="J136" s="553">
        <f>H136/DAY(B2)</f>
        <v>8.7133333333331393</v>
      </c>
      <c r="O136" s="382"/>
    </row>
    <row r="137" spans="1:15" ht="27.75">
      <c r="A137" s="1313" t="s">
        <v>246</v>
      </c>
      <c r="B137" s="1314"/>
      <c r="C137" s="1314"/>
      <c r="D137" s="523" t="s">
        <v>239</v>
      </c>
      <c r="E137" s="542">
        <f>'[4]2'!F137</f>
        <v>25044.31</v>
      </c>
      <c r="F137" s="656">
        <v>25044.31</v>
      </c>
      <c r="G137" s="473">
        <f t="shared" si="15"/>
        <v>0</v>
      </c>
      <c r="H137" s="460">
        <f>G137+'[4]2'!H137</f>
        <v>0</v>
      </c>
      <c r="I137" s="480"/>
      <c r="J137" s="553">
        <f>H137/DAY(B2)</f>
        <v>0</v>
      </c>
      <c r="O137" s="382"/>
    </row>
    <row r="138" spans="1:15" ht="27.75">
      <c r="A138" s="1313" t="s">
        <v>247</v>
      </c>
      <c r="B138" s="1314"/>
      <c r="C138" s="1314"/>
      <c r="D138" s="523" t="s">
        <v>239</v>
      </c>
      <c r="E138" s="542">
        <f>'[4]2'!F138</f>
        <v>70159.350000000006</v>
      </c>
      <c r="F138" s="656">
        <v>70164.81</v>
      </c>
      <c r="G138" s="473">
        <f t="shared" si="15"/>
        <v>5.4599999999918509</v>
      </c>
      <c r="H138" s="460">
        <f>G138+'[4]2'!H138</f>
        <v>17.470000000001164</v>
      </c>
      <c r="I138" s="480">
        <f>G136+G137+G138</f>
        <v>13.989999999990687</v>
      </c>
      <c r="J138" s="553">
        <f>H138/DAY(B2)</f>
        <v>5.8233333333337214</v>
      </c>
      <c r="O138" s="382"/>
    </row>
    <row r="139" spans="1:15" ht="27.75">
      <c r="A139" s="1313" t="s">
        <v>248</v>
      </c>
      <c r="B139" s="1314"/>
      <c r="C139" s="1314"/>
      <c r="D139" s="523" t="s">
        <v>239</v>
      </c>
      <c r="E139" s="706">
        <f>'[4]2'!F139</f>
        <v>1438.91</v>
      </c>
      <c r="F139" s="627">
        <v>1445.97</v>
      </c>
      <c r="G139" s="473">
        <f t="shared" si="15"/>
        <v>7.0599999999999454</v>
      </c>
      <c r="H139" s="460">
        <f>G139+'[4]2'!H139</f>
        <v>22.829999999999927</v>
      </c>
      <c r="I139" s="543"/>
      <c r="J139" s="553">
        <f>H139/DAY(B2)</f>
        <v>7.6099999999999755</v>
      </c>
      <c r="O139" s="382"/>
    </row>
    <row r="140" spans="1:15" ht="27.75">
      <c r="A140" s="1313" t="s">
        <v>249</v>
      </c>
      <c r="B140" s="1314"/>
      <c r="C140" s="1314"/>
      <c r="D140" s="523" t="s">
        <v>239</v>
      </c>
      <c r="E140" s="484">
        <f>'[4]2'!F140</f>
        <v>4334</v>
      </c>
      <c r="F140" s="478">
        <v>4334</v>
      </c>
      <c r="G140" s="473">
        <f t="shared" si="15"/>
        <v>0</v>
      </c>
      <c r="H140" s="460">
        <f>G140+'[4]2'!H140</f>
        <v>0</v>
      </c>
      <c r="I140" s="543">
        <f>G140+G177</f>
        <v>0</v>
      </c>
      <c r="J140" s="553">
        <f>H140/DAY(B2)</f>
        <v>0</v>
      </c>
      <c r="O140" s="382"/>
    </row>
    <row r="141" spans="1:15">
      <c r="A141" s="1446" t="s">
        <v>250</v>
      </c>
      <c r="B141" s="1447"/>
      <c r="C141" s="1319"/>
      <c r="D141" s="472"/>
      <c r="E141" s="472"/>
      <c r="F141" s="472"/>
      <c r="G141" s="483"/>
      <c r="H141" s="483"/>
      <c r="I141" s="483"/>
      <c r="J141" s="564"/>
      <c r="K141" s="380"/>
      <c r="L141" s="377"/>
      <c r="O141" s="382"/>
    </row>
    <row r="142" spans="1:15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5890.7000000000698</v>
      </c>
      <c r="H142" s="460">
        <f>G142+'[4]2'!H142</f>
        <v>17528.460000000079</v>
      </c>
      <c r="I142" s="480"/>
      <c r="J142" s="553">
        <f>H142/DAY(B2)</f>
        <v>5842.8200000000261</v>
      </c>
      <c r="K142" s="380"/>
      <c r="L142" s="377"/>
      <c r="O142" s="382"/>
    </row>
    <row r="143" spans="1:15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0.27906106400114028</v>
      </c>
      <c r="H143" s="460">
        <f>G143+'[4]2'!H143</f>
        <v>0.6114514435400572</v>
      </c>
      <c r="I143" s="545"/>
      <c r="J143" s="553">
        <f>H143/DAY(B2)</f>
        <v>0.20381714784668573</v>
      </c>
      <c r="K143" s="380"/>
      <c r="L143" s="377"/>
      <c r="O143" s="382"/>
    </row>
    <row r="144" spans="1:15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4924.5289999999077</v>
      </c>
      <c r="H144" s="460">
        <f>G144+'[4]2'!H144</f>
        <v>16306.839999999909</v>
      </c>
      <c r="I144" s="480"/>
      <c r="J144" s="553">
        <f>H144/DAY(B2)</f>
        <v>5435.6133333333028</v>
      </c>
      <c r="K144" s="380"/>
      <c r="L144" s="377"/>
      <c r="O144" s="382"/>
    </row>
    <row r="145" spans="1:15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0.23329049220711107</v>
      </c>
      <c r="H145" s="460">
        <f>G145+'[4]2'!H145</f>
        <v>0.74169972079948565</v>
      </c>
      <c r="I145" s="545"/>
      <c r="J145" s="553">
        <f>H145/DAY(B2)</f>
        <v>0.24723324026649521</v>
      </c>
      <c r="K145" s="380"/>
      <c r="L145" s="377"/>
      <c r="O145" s="382"/>
    </row>
    <row r="146" spans="1:15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4356.4200000000128</v>
      </c>
      <c r="H146" s="460">
        <f>G146+'[4]2'!H146</f>
        <v>13054.150000000009</v>
      </c>
      <c r="I146" s="546"/>
      <c r="J146" s="553">
        <f>H146/DAY(B2)</f>
        <v>4351.3833333333359</v>
      </c>
      <c r="K146" s="380"/>
      <c r="L146" s="377"/>
      <c r="O146" s="382"/>
    </row>
    <row r="147" spans="1:15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0.20637737457956382</v>
      </c>
      <c r="H147" s="460">
        <f>G147+'[4]2'!H147</f>
        <v>0.59487780060695816</v>
      </c>
      <c r="I147" s="546"/>
      <c r="J147" s="553">
        <f>H147/DAY(B2)</f>
        <v>0.1982926002023194</v>
      </c>
      <c r="O147" s="382"/>
    </row>
    <row r="148" spans="1:15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2172.0499999999665</v>
      </c>
      <c r="H148" s="460">
        <f>G148+'[4]2'!H148</f>
        <v>6401.9799999999668</v>
      </c>
      <c r="I148" s="480"/>
      <c r="J148" s="553">
        <f>H148/DAY(B2)</f>
        <v>2133.9933333333224</v>
      </c>
      <c r="K148" s="381"/>
      <c r="O148" s="382"/>
    </row>
    <row r="149" spans="1:15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0.10289686863423025</v>
      </c>
      <c r="H149" s="460">
        <f>G149+'[4]2'!H149</f>
        <v>0.29183336218878986</v>
      </c>
      <c r="I149" s="546"/>
      <c r="J149" s="553">
        <f>H149/DAY(B2)</f>
        <v>9.7277787396263291E-2</v>
      </c>
      <c r="O149" s="382"/>
    </row>
    <row r="150" spans="1:15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1691.7799999999697</v>
      </c>
      <c r="H150" s="460">
        <f>G150+'[4]2'!H150</f>
        <v>6356.5799999999581</v>
      </c>
      <c r="I150" s="546"/>
      <c r="J150" s="553">
        <f>H150/DAY(B2)</f>
        <v>2118.859999999986</v>
      </c>
      <c r="O150" s="382"/>
    </row>
    <row r="151" spans="1:15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8.0144961864606082E-2</v>
      </c>
      <c r="H151" s="460">
        <f>G151+'[4]2'!H151</f>
        <v>0.28850436398501689</v>
      </c>
      <c r="I151" s="480"/>
      <c r="J151" s="553">
        <f>H151/DAY(B2)</f>
        <v>9.6168121328338962E-2</v>
      </c>
      <c r="O151" s="382"/>
    </row>
    <row r="152" spans="1:15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1469.489999999998</v>
      </c>
      <c r="H152" s="460">
        <f>G152+'[4]2'!H152</f>
        <v>4376.7799999999988</v>
      </c>
      <c r="I152" s="480"/>
      <c r="J152" s="553">
        <f>H152/DAY(B2)</f>
        <v>1458.9266666666663</v>
      </c>
      <c r="O152" s="382"/>
    </row>
    <row r="153" spans="1:15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6.9614382490880575E-2</v>
      </c>
      <c r="H153" s="460">
        <f>G153+'[4]2'!H153</f>
        <v>0.19947381784104767</v>
      </c>
      <c r="I153" s="569"/>
      <c r="J153" s="570">
        <f>H153/DAY(B2)</f>
        <v>6.6491272613682553E-2</v>
      </c>
      <c r="O153" s="382"/>
    </row>
    <row r="154" spans="1:15">
      <c r="O154" s="382"/>
    </row>
    <row r="157" spans="1:15" ht="27.7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5">
      <c r="A158" s="790"/>
      <c r="B158" s="791"/>
      <c r="C158" s="791"/>
      <c r="D158" s="511"/>
      <c r="E158" s="455"/>
      <c r="F158" s="663"/>
      <c r="G158" s="473"/>
    </row>
    <row r="159" spans="1:15">
      <c r="A159" s="790"/>
      <c r="B159" s="791"/>
      <c r="C159" s="791"/>
      <c r="D159" s="511"/>
      <c r="E159" s="455"/>
      <c r="F159" s="663"/>
      <c r="G159" s="473"/>
    </row>
    <row r="160" spans="1:15">
      <c r="A160" s="790" t="s">
        <v>263</v>
      </c>
      <c r="B160" s="791"/>
      <c r="C160" s="791"/>
      <c r="D160" s="511" t="s">
        <v>187</v>
      </c>
      <c r="E160" s="663">
        <f>'[4]1'!F160</f>
        <v>30881.599999999999</v>
      </c>
      <c r="F160" s="663">
        <v>31052.720000000001</v>
      </c>
      <c r="G160" s="473">
        <f t="shared" ref="G160:G171" si="17">F160-E160</f>
        <v>171.12000000000262</v>
      </c>
    </row>
    <row r="161" spans="1:7">
      <c r="A161" s="790" t="s">
        <v>264</v>
      </c>
      <c r="B161" s="791"/>
      <c r="C161" s="791"/>
      <c r="D161" s="511" t="s">
        <v>187</v>
      </c>
      <c r="E161" s="663">
        <f>'[4]1'!F161</f>
        <v>55548.51</v>
      </c>
      <c r="F161" s="663">
        <v>56464.34</v>
      </c>
      <c r="G161" s="473">
        <f t="shared" si="17"/>
        <v>915.82999999999447</v>
      </c>
    </row>
    <row r="162" spans="1:7">
      <c r="A162" s="790" t="s">
        <v>265</v>
      </c>
      <c r="B162" s="791"/>
      <c r="C162" s="791"/>
      <c r="D162" s="511" t="s">
        <v>187</v>
      </c>
      <c r="E162" s="663">
        <f>'[4]1'!F162</f>
        <v>20843.25</v>
      </c>
      <c r="F162" s="663">
        <v>21416</v>
      </c>
      <c r="G162" s="473">
        <f t="shared" si="17"/>
        <v>572.75</v>
      </c>
    </row>
    <row r="163" spans="1:7">
      <c r="A163" s="790" t="s">
        <v>266</v>
      </c>
      <c r="B163" s="791"/>
      <c r="C163" s="791"/>
      <c r="D163" s="511" t="s">
        <v>187</v>
      </c>
      <c r="E163" s="663">
        <f>'[4]1'!F163</f>
        <v>5449.61</v>
      </c>
      <c r="F163" s="663">
        <v>5473.49</v>
      </c>
      <c r="G163" s="473">
        <f t="shared" si="17"/>
        <v>23.880000000000109</v>
      </c>
    </row>
    <row r="164" spans="1:7">
      <c r="A164" s="792" t="s">
        <v>98</v>
      </c>
      <c r="B164" s="605"/>
      <c r="C164" s="605"/>
      <c r="D164" s="511" t="s">
        <v>187</v>
      </c>
      <c r="E164" s="663">
        <f>'[4]1'!F164</f>
        <v>20419</v>
      </c>
      <c r="F164" s="514">
        <f>F62</f>
        <v>20419.188999999998</v>
      </c>
      <c r="G164" s="473">
        <f t="shared" si="17"/>
        <v>0.1889999999984866</v>
      </c>
    </row>
    <row r="165" spans="1:7">
      <c r="A165" s="792" t="s">
        <v>188</v>
      </c>
      <c r="B165" s="605"/>
      <c r="C165" s="605"/>
      <c r="D165" s="511" t="s">
        <v>187</v>
      </c>
      <c r="E165" s="663">
        <f>'[4]1'!F165</f>
        <v>1721.57</v>
      </c>
      <c r="F165" s="514">
        <v>1745.37</v>
      </c>
      <c r="G165" s="473">
        <f t="shared" si="17"/>
        <v>23.799999999999955</v>
      </c>
    </row>
    <row r="166" spans="1:7" ht="21.75" customHeight="1">
      <c r="A166" s="1460" t="s">
        <v>99</v>
      </c>
      <c r="B166" s="1460"/>
      <c r="C166" s="1460"/>
      <c r="D166" s="523" t="s">
        <v>187</v>
      </c>
      <c r="E166" s="663">
        <f>'[4]1'!F166</f>
        <v>124127.85</v>
      </c>
      <c r="F166" s="514">
        <v>125180.16</v>
      </c>
      <c r="G166" s="473">
        <f t="shared" si="17"/>
        <v>1052.3099999999977</v>
      </c>
    </row>
    <row r="167" spans="1:7" ht="21.75" customHeight="1">
      <c r="A167" s="1460" t="s">
        <v>100</v>
      </c>
      <c r="B167" s="1460"/>
      <c r="C167" s="1460"/>
      <c r="D167" s="523" t="s">
        <v>187</v>
      </c>
      <c r="E167" s="663">
        <f>'[4]1'!F167</f>
        <v>132996.35999999999</v>
      </c>
      <c r="F167" s="514">
        <f t="shared" ref="F167:F171" si="18">F65</f>
        <v>133770.84</v>
      </c>
      <c r="G167" s="473">
        <f t="shared" si="17"/>
        <v>774.48000000001048</v>
      </c>
    </row>
    <row r="168" spans="1:7" ht="21.75" customHeight="1">
      <c r="A168" s="1460" t="s">
        <v>101</v>
      </c>
      <c r="B168" s="1460"/>
      <c r="C168" s="1460"/>
      <c r="D168" s="523" t="s">
        <v>187</v>
      </c>
      <c r="E168" s="663">
        <f>'[4]1'!F168</f>
        <v>25566.36</v>
      </c>
      <c r="F168" s="514">
        <f t="shared" si="18"/>
        <v>26413.93</v>
      </c>
      <c r="G168" s="473">
        <f t="shared" si="17"/>
        <v>847.56999999999971</v>
      </c>
    </row>
    <row r="169" spans="1:7" ht="27.75" customHeight="1">
      <c r="A169" s="1460" t="s">
        <v>102</v>
      </c>
      <c r="B169" s="1460"/>
      <c r="C169" s="1460"/>
      <c r="D169" s="523" t="s">
        <v>187</v>
      </c>
      <c r="E169" s="663">
        <f>'[4]1'!F169</f>
        <v>208546.07</v>
      </c>
      <c r="F169" s="514">
        <f t="shared" si="18"/>
        <v>209908.33</v>
      </c>
      <c r="G169" s="473">
        <f t="shared" si="17"/>
        <v>1362.2599999999802</v>
      </c>
    </row>
    <row r="170" spans="1:7" ht="24" customHeight="1">
      <c r="A170" s="1460" t="s">
        <v>103</v>
      </c>
      <c r="B170" s="1460"/>
      <c r="C170" s="1460"/>
      <c r="D170" s="523" t="s">
        <v>187</v>
      </c>
      <c r="E170" s="663">
        <f>'[4]1'!F170</f>
        <v>73027.42</v>
      </c>
      <c r="F170" s="514">
        <f t="shared" si="18"/>
        <v>73751.149999999994</v>
      </c>
      <c r="G170" s="473">
        <f t="shared" si="17"/>
        <v>723.72999999999593</v>
      </c>
    </row>
    <row r="171" spans="1:7" ht="22.5" customHeight="1">
      <c r="A171" s="1460" t="s">
        <v>104</v>
      </c>
      <c r="B171" s="1460"/>
      <c r="C171" s="1460"/>
      <c r="D171" s="523" t="s">
        <v>187</v>
      </c>
      <c r="E171" s="663">
        <f>'[4]1'!F171</f>
        <v>64776.091</v>
      </c>
      <c r="F171" s="514">
        <f t="shared" si="18"/>
        <v>65425.09</v>
      </c>
      <c r="G171" s="473">
        <f t="shared" si="17"/>
        <v>648.99899999999616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activeCell="F55" sqref="F55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4" s="281" customFormat="1" ht="27">
      <c r="A2" s="576" t="s">
        <v>352</v>
      </c>
      <c r="B2" s="1038">
        <v>44259</v>
      </c>
      <c r="C2" s="1315" t="s">
        <v>69</v>
      </c>
      <c r="D2" s="612">
        <v>0.45</v>
      </c>
      <c r="E2" s="461"/>
      <c r="F2" s="63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4" s="281" customFormat="1" ht="27">
      <c r="A3" s="571"/>
      <c r="B3" s="615"/>
      <c r="C3" s="1315" t="s">
        <v>120</v>
      </c>
      <c r="D3" s="613">
        <v>28</v>
      </c>
      <c r="E3" s="1432" t="s">
        <v>121</v>
      </c>
      <c r="F3" s="1433"/>
      <c r="G3" s="462"/>
      <c r="H3" s="463"/>
      <c r="I3" s="463"/>
      <c r="J3" s="616"/>
      <c r="K3" s="371"/>
      <c r="L3" s="292"/>
    </row>
    <row r="4" spans="1:14" s="281" customFormat="1" ht="27">
      <c r="A4" s="577"/>
      <c r="B4" s="617"/>
      <c r="C4" s="1315" t="s">
        <v>122</v>
      </c>
      <c r="D4" s="612">
        <v>0.78</v>
      </c>
      <c r="E4" s="464"/>
      <c r="F4" s="632"/>
      <c r="G4" s="464"/>
      <c r="H4" s="464"/>
      <c r="I4" s="465"/>
      <c r="J4" s="616"/>
      <c r="K4" s="372"/>
      <c r="L4" s="292"/>
    </row>
    <row r="5" spans="1:14">
      <c r="A5" s="578" t="s">
        <v>123</v>
      </c>
      <c r="B5" s="459"/>
      <c r="C5" s="459"/>
      <c r="D5" s="511" t="s">
        <v>124</v>
      </c>
      <c r="E5" s="467" t="s">
        <v>125</v>
      </c>
      <c r="F5" s="633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4">
      <c r="A6" s="1426" t="s">
        <v>130</v>
      </c>
      <c r="B6" s="1427"/>
      <c r="C6" s="1428"/>
      <c r="D6" s="471"/>
      <c r="E6" s="471"/>
      <c r="F6" s="494"/>
      <c r="G6" s="471"/>
      <c r="H6" s="472"/>
      <c r="I6" s="472"/>
      <c r="J6" s="552"/>
      <c r="K6" s="427"/>
      <c r="L6" s="377"/>
    </row>
    <row r="7" spans="1:14" ht="30" thickBot="1">
      <c r="A7" s="681" t="s">
        <v>131</v>
      </c>
      <c r="B7" s="682"/>
      <c r="C7" s="682"/>
      <c r="D7" s="639" t="s">
        <v>132</v>
      </c>
      <c r="E7" s="634">
        <f>'[4]3'!F7</f>
        <v>4510962</v>
      </c>
      <c r="F7" s="634">
        <v>4530754</v>
      </c>
      <c r="G7" s="694">
        <f>F7-E7</f>
        <v>19792</v>
      </c>
      <c r="H7" s="684">
        <f>G7+'[4]3'!H7</f>
        <v>85677</v>
      </c>
      <c r="I7" s="685">
        <f>'[4]1'!I7</f>
        <v>12000</v>
      </c>
      <c r="J7" s="686">
        <f>H7/DAY(B2)</f>
        <v>21419.25</v>
      </c>
      <c r="K7" s="550"/>
      <c r="L7" s="377"/>
      <c r="N7" s="382"/>
    </row>
    <row r="8" spans="1:14" ht="27.75" thickBot="1">
      <c r="A8" s="687" t="s">
        <v>133</v>
      </c>
      <c r="B8" s="688"/>
      <c r="C8" s="689"/>
      <c r="D8" s="690" t="s">
        <v>25</v>
      </c>
      <c r="E8" s="634">
        <f>'[4]3'!F8</f>
        <v>4539500</v>
      </c>
      <c r="F8" s="635">
        <v>4559427</v>
      </c>
      <c r="G8" s="1056">
        <f>F8-E8</f>
        <v>19927</v>
      </c>
      <c r="H8" s="684">
        <f>G8+'[4]3'!H8</f>
        <v>86271</v>
      </c>
      <c r="I8" s="691">
        <v>12000</v>
      </c>
      <c r="J8" s="686">
        <f>H8/DAY(B2)</f>
        <v>21567.75</v>
      </c>
      <c r="K8" s="550"/>
      <c r="L8" s="425"/>
      <c r="M8" s="440"/>
      <c r="N8" s="708">
        <f>G7/G8</f>
        <v>0.99322527224368951</v>
      </c>
    </row>
    <row r="9" spans="1:14">
      <c r="A9" s="692" t="s">
        <v>134</v>
      </c>
      <c r="B9" s="693"/>
      <c r="C9" s="693"/>
      <c r="D9" s="639" t="s">
        <v>132</v>
      </c>
      <c r="E9" s="634">
        <f>'[4]3'!F9</f>
        <v>123403.31</v>
      </c>
      <c r="F9" s="636">
        <v>124354</v>
      </c>
      <c r="G9" s="707">
        <f t="shared" ref="G9:G12" si="0">F9-E9</f>
        <v>950.69000000000233</v>
      </c>
      <c r="H9" s="684">
        <f>G9+'[4]3'!H9</f>
        <v>37444.990000000005</v>
      </c>
      <c r="I9" s="695">
        <f>I8-J8</f>
        <v>-9567.75</v>
      </c>
      <c r="J9" s="686">
        <f>H9/DAY(B2)</f>
        <v>9361.2475000000013</v>
      </c>
      <c r="K9" s="428"/>
      <c r="L9" s="377"/>
      <c r="N9" s="382"/>
    </row>
    <row r="10" spans="1:14">
      <c r="A10" s="681" t="s">
        <v>135</v>
      </c>
      <c r="B10" s="682"/>
      <c r="C10" s="682"/>
      <c r="D10" s="639" t="s">
        <v>132</v>
      </c>
      <c r="E10" s="634">
        <f>'[4]3'!F10</f>
        <v>53107.95</v>
      </c>
      <c r="F10" s="636">
        <v>71239</v>
      </c>
      <c r="G10" s="694">
        <f t="shared" si="0"/>
        <v>18131.050000000003</v>
      </c>
      <c r="H10" s="684">
        <f>G10+'[4]3'!H10</f>
        <v>45543.44</v>
      </c>
      <c r="I10" s="696"/>
      <c r="J10" s="686">
        <f>H10/DAY(B2)</f>
        <v>11385.86</v>
      </c>
      <c r="K10" s="428"/>
      <c r="L10" s="377"/>
      <c r="N10" s="382"/>
    </row>
    <row r="11" spans="1:14">
      <c r="A11" s="681" t="s">
        <v>136</v>
      </c>
      <c r="B11" s="682"/>
      <c r="C11" s="682"/>
      <c r="D11" s="639" t="s">
        <v>132</v>
      </c>
      <c r="E11" s="634">
        <f>'[4]3'!F11</f>
        <v>37000</v>
      </c>
      <c r="F11" s="634">
        <v>37000</v>
      </c>
      <c r="G11" s="694">
        <f t="shared" si="0"/>
        <v>0</v>
      </c>
      <c r="H11" s="684">
        <f>G11+'[4]3'!H11</f>
        <v>0</v>
      </c>
      <c r="I11" s="696"/>
      <c r="J11" s="686">
        <f>H11/DAY(B2)</f>
        <v>0</v>
      </c>
      <c r="K11" s="428"/>
      <c r="L11" s="377"/>
      <c r="N11" s="382"/>
    </row>
    <row r="12" spans="1:14">
      <c r="A12" s="681" t="s">
        <v>137</v>
      </c>
      <c r="B12" s="682"/>
      <c r="C12" s="682"/>
      <c r="D12" s="639" t="s">
        <v>132</v>
      </c>
      <c r="E12" s="634">
        <f>'[4]3'!F12</f>
        <v>40010</v>
      </c>
      <c r="F12" s="636">
        <v>40010</v>
      </c>
      <c r="G12" s="694">
        <f t="shared" si="0"/>
        <v>0</v>
      </c>
      <c r="H12" s="684">
        <f>G12+'[4]3'!H12</f>
        <v>0</v>
      </c>
      <c r="I12" s="696"/>
      <c r="J12" s="686">
        <f>H12/DAY(B2)</f>
        <v>0</v>
      </c>
      <c r="K12" s="428"/>
      <c r="L12" s="377"/>
      <c r="N12" s="382"/>
    </row>
    <row r="13" spans="1:14">
      <c r="A13" s="697" t="s">
        <v>138</v>
      </c>
      <c r="B13" s="698"/>
      <c r="C13" s="698"/>
      <c r="D13" s="639"/>
      <c r="E13" s="634"/>
      <c r="F13" s="634"/>
      <c r="G13" s="699">
        <f>G9+G10+G11+G12</f>
        <v>19081.740000000005</v>
      </c>
      <c r="H13" s="684">
        <f>G13+'[4]3'!H13</f>
        <v>82988.429999999993</v>
      </c>
      <c r="I13" s="700">
        <f>G7-G13</f>
        <v>710.25999999999476</v>
      </c>
      <c r="J13" s="686">
        <f>H13/DAY(B2)</f>
        <v>20747.107499999998</v>
      </c>
      <c r="K13" s="428"/>
      <c r="L13" s="377"/>
      <c r="N13" s="382"/>
    </row>
    <row r="14" spans="1:14">
      <c r="A14" s="1429" t="s">
        <v>139</v>
      </c>
      <c r="B14" s="1430"/>
      <c r="C14" s="1431"/>
      <c r="D14" s="472"/>
      <c r="E14" s="472"/>
      <c r="F14" s="483"/>
      <c r="G14" s="483"/>
      <c r="H14" s="472"/>
      <c r="I14" s="472"/>
      <c r="J14" s="552"/>
      <c r="K14" s="429"/>
      <c r="L14" s="377"/>
      <c r="N14" s="382"/>
    </row>
    <row r="15" spans="1:14">
      <c r="A15" s="798" t="s">
        <v>140</v>
      </c>
      <c r="B15" s="793"/>
      <c r="C15" s="793"/>
      <c r="D15" s="524" t="s">
        <v>141</v>
      </c>
      <c r="E15" s="485">
        <f>'[4]3'!F15</f>
        <v>1622582.83</v>
      </c>
      <c r="F15" s="627">
        <v>1623467</v>
      </c>
      <c r="G15" s="779">
        <f>(F15-E15)</f>
        <v>884.16999999992549</v>
      </c>
      <c r="H15" s="486">
        <f>G15+'[4]3'!H15</f>
        <v>3588.3899999998976</v>
      </c>
      <c r="I15" s="474">
        <v>800</v>
      </c>
      <c r="J15" s="554">
        <f>H15/DAY(B2)</f>
        <v>897.09749999997439</v>
      </c>
      <c r="K15" s="428"/>
      <c r="L15" s="377"/>
      <c r="N15" s="382"/>
    </row>
    <row r="16" spans="1:14">
      <c r="A16" s="796"/>
      <c r="B16" s="797"/>
      <c r="C16" s="797"/>
      <c r="D16" s="524"/>
      <c r="E16" s="485"/>
      <c r="F16" s="485"/>
      <c r="G16" s="473"/>
      <c r="H16" s="486"/>
      <c r="I16" s="487">
        <f>I15-J15</f>
        <v>-97.097499999974389</v>
      </c>
      <c r="J16" s="554"/>
      <c r="K16" s="428"/>
      <c r="L16" s="377"/>
      <c r="N16" s="382"/>
    </row>
    <row r="17" spans="1:14">
      <c r="A17" s="1429" t="s">
        <v>142</v>
      </c>
      <c r="B17" s="1430"/>
      <c r="C17" s="1431"/>
      <c r="D17" s="472"/>
      <c r="E17" s="472"/>
      <c r="F17" s="483"/>
      <c r="G17" s="488" t="s">
        <v>215</v>
      </c>
      <c r="H17" s="472"/>
      <c r="I17" s="472"/>
      <c r="J17" s="552"/>
      <c r="K17" s="428"/>
      <c r="L17" s="377"/>
      <c r="N17" s="382"/>
    </row>
    <row r="18" spans="1:14" ht="27.75">
      <c r="A18" s="1464" t="s">
        <v>143</v>
      </c>
      <c r="B18" s="1465"/>
      <c r="C18" s="1466"/>
      <c r="D18" s="639" t="s">
        <v>144</v>
      </c>
      <c r="E18" s="636">
        <f>'[4]3'!F18</f>
        <v>14</v>
      </c>
      <c r="F18" s="636">
        <v>14</v>
      </c>
      <c r="G18" s="699">
        <f>F18*10</f>
        <v>140</v>
      </c>
      <c r="H18" s="684">
        <f>G18+'[4]3'!H18</f>
        <v>600</v>
      </c>
      <c r="I18" s="685">
        <f>'[4]1'!I18</f>
        <v>65</v>
      </c>
      <c r="J18" s="686">
        <f>H18/DAY(B2)</f>
        <v>150</v>
      </c>
      <c r="K18" s="428"/>
      <c r="L18" s="377"/>
      <c r="N18" s="382"/>
    </row>
    <row r="19" spans="1:14" ht="27.75">
      <c r="A19" s="1464" t="s">
        <v>71</v>
      </c>
      <c r="B19" s="1465"/>
      <c r="C19" s="1466"/>
      <c r="D19" s="639" t="s">
        <v>144</v>
      </c>
      <c r="E19" s="636">
        <f>'[4]3'!F19</f>
        <v>134620</v>
      </c>
      <c r="F19" s="636">
        <v>134672</v>
      </c>
      <c r="G19" s="694">
        <f t="shared" ref="G19" si="1">F19-E19</f>
        <v>52</v>
      </c>
      <c r="H19" s="684">
        <f>G19+'[4]3'!H19</f>
        <v>204</v>
      </c>
      <c r="I19" s="701"/>
      <c r="J19" s="686">
        <f>H19/DAY(B2)</f>
        <v>51</v>
      </c>
      <c r="K19" s="428"/>
      <c r="L19" s="377"/>
      <c r="N19" s="382"/>
    </row>
    <row r="20" spans="1:14">
      <c r="A20" s="697" t="s">
        <v>145</v>
      </c>
      <c r="B20" s="698"/>
      <c r="C20" s="698"/>
      <c r="D20" s="639"/>
      <c r="E20" s="639"/>
      <c r="F20" s="639"/>
      <c r="G20" s="1055">
        <f>G18+G19</f>
        <v>192</v>
      </c>
      <c r="H20" s="684">
        <f>G20+'[4]3'!H20</f>
        <v>804</v>
      </c>
      <c r="I20" s="703">
        <f>I18-J20</f>
        <v>-136</v>
      </c>
      <c r="J20" s="686">
        <f>H20/DAY(B2)</f>
        <v>201</v>
      </c>
      <c r="K20" s="428"/>
      <c r="L20" s="377"/>
      <c r="N20" s="382"/>
    </row>
    <row r="21" spans="1:14">
      <c r="A21" s="1429" t="s">
        <v>146</v>
      </c>
      <c r="B21" s="1430"/>
      <c r="C21" s="1431"/>
      <c r="D21" s="472"/>
      <c r="E21" s="472"/>
      <c r="F21" s="483"/>
      <c r="G21" s="483"/>
      <c r="H21" s="472"/>
      <c r="I21" s="472"/>
      <c r="J21" s="552"/>
      <c r="K21" s="428"/>
      <c r="L21" s="377"/>
      <c r="N21" s="382"/>
    </row>
    <row r="22" spans="1:14">
      <c r="A22" s="1313" t="s">
        <v>147</v>
      </c>
      <c r="B22" s="590"/>
      <c r="C22" s="590"/>
      <c r="D22" s="523" t="s">
        <v>148</v>
      </c>
      <c r="E22" s="484">
        <f>'[4]3'!F22</f>
        <v>2970</v>
      </c>
      <c r="F22" s="636">
        <v>2970</v>
      </c>
      <c r="G22" s="694">
        <f t="shared" ref="G22" si="2">F22-E22</f>
        <v>0</v>
      </c>
      <c r="H22" s="460">
        <f>G22+'[4]3'!H22</f>
        <v>0</v>
      </c>
      <c r="I22" s="480"/>
      <c r="J22" s="553">
        <f>H22/DAY(B2)</f>
        <v>0</v>
      </c>
      <c r="K22" s="428"/>
      <c r="L22" s="377"/>
      <c r="M22" s="376" t="s">
        <v>270</v>
      </c>
      <c r="N22" s="382"/>
    </row>
    <row r="23" spans="1:14">
      <c r="A23" s="1313" t="s">
        <v>149</v>
      </c>
      <c r="B23" s="590"/>
      <c r="C23" s="590"/>
      <c r="D23" s="523" t="s">
        <v>148</v>
      </c>
      <c r="E23" s="484">
        <f>'[4]3'!F23</f>
        <v>1900</v>
      </c>
      <c r="F23" s="636">
        <v>1900</v>
      </c>
      <c r="G23" s="694">
        <v>0</v>
      </c>
      <c r="H23" s="460">
        <f>G23+'[4]3'!H23</f>
        <v>0</v>
      </c>
      <c r="I23" s="480"/>
      <c r="J23" s="553">
        <f>H23/DAY(B2)</f>
        <v>0</v>
      </c>
      <c r="K23" s="428"/>
      <c r="L23" s="377"/>
      <c r="N23" s="382"/>
    </row>
    <row r="24" spans="1:14">
      <c r="A24" s="591" t="s">
        <v>150</v>
      </c>
      <c r="B24" s="592"/>
      <c r="C24" s="592"/>
      <c r="D24" s="511" t="s">
        <v>148</v>
      </c>
      <c r="E24" s="493">
        <f>'[4]3'!F24</f>
        <v>4250</v>
      </c>
      <c r="F24" s="638">
        <v>4250</v>
      </c>
      <c r="G24" s="694">
        <v>0</v>
      </c>
      <c r="H24" s="460">
        <f>G24+'[4]3'!H24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>
      <c r="A25" s="1434" t="s">
        <v>151</v>
      </c>
      <c r="B25" s="1435"/>
      <c r="C25" s="1436"/>
      <c r="D25" s="471"/>
      <c r="E25" s="471"/>
      <c r="F25" s="494"/>
      <c r="G25" s="494"/>
      <c r="H25" s="495"/>
      <c r="I25" s="496"/>
      <c r="J25" s="555"/>
      <c r="K25" s="373"/>
      <c r="L25" s="443"/>
      <c r="N25" s="382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634"/>
      <c r="G26" s="498"/>
      <c r="H26" s="460"/>
      <c r="I26" s="499"/>
      <c r="J26" s="553"/>
      <c r="K26" s="374"/>
      <c r="L26" s="443"/>
      <c r="N26" s="382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19927</v>
      </c>
      <c r="F27" s="501">
        <v>9</v>
      </c>
      <c r="G27" s="502">
        <f>E27*F27</f>
        <v>179343</v>
      </c>
      <c r="H27" s="460">
        <f>G27+'[4]3'!H27</f>
        <v>776439</v>
      </c>
      <c r="I27" s="503"/>
      <c r="J27" s="553">
        <f>H27/DAY(B2)</f>
        <v>194109.75</v>
      </c>
      <c r="K27" s="373"/>
      <c r="L27" s="443"/>
      <c r="N27" s="382"/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884.16999999992549</v>
      </c>
      <c r="F28" s="501">
        <v>48.88</v>
      </c>
      <c r="G28" s="502">
        <f>E28*F28</f>
        <v>43218.229599996361</v>
      </c>
      <c r="H28" s="460">
        <f>G28+'[4]3'!H28</f>
        <v>175400.503199995</v>
      </c>
      <c r="I28" s="505"/>
      <c r="J28" s="553">
        <f>H28/DAY(B2)</f>
        <v>43850.12579999875</v>
      </c>
      <c r="K28" s="373"/>
      <c r="L28" s="443"/>
      <c r="N28" s="382"/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640">
        <v>69</v>
      </c>
      <c r="G29" s="502">
        <f>E29*F29</f>
        <v>0</v>
      </c>
      <c r="H29" s="460">
        <f>G29+'[4]3'!H29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52</v>
      </c>
      <c r="F30" s="640">
        <v>134</v>
      </c>
      <c r="G30" s="502">
        <f>E30*F30</f>
        <v>6968</v>
      </c>
      <c r="H30" s="460">
        <f>G30+'[4]3'!H30</f>
        <v>45024</v>
      </c>
      <c r="I30" s="505"/>
      <c r="J30" s="553">
        <f>H30/DAY(B2)</f>
        <v>11256</v>
      </c>
      <c r="K30" s="373"/>
      <c r="L30" s="443"/>
      <c r="N30" s="382"/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140</v>
      </c>
      <c r="F31" s="640">
        <v>80</v>
      </c>
      <c r="G31" s="502">
        <f>E31*F31</f>
        <v>11200</v>
      </c>
      <c r="H31" s="460">
        <f>G31+'[4]3'!H31</f>
        <v>37440</v>
      </c>
      <c r="I31" s="505"/>
      <c r="J31" s="553">
        <f>H31/DAY(B2)</f>
        <v>9360</v>
      </c>
      <c r="K31" s="373"/>
      <c r="L31" s="443"/>
      <c r="N31" s="382"/>
    </row>
    <row r="32" spans="1:14" s="442" customFormat="1" ht="27.75">
      <c r="A32" s="596" t="s">
        <v>161</v>
      </c>
      <c r="B32" s="597"/>
      <c r="C32" s="598"/>
      <c r="D32" s="507"/>
      <c r="E32" s="507"/>
      <c r="F32" s="641"/>
      <c r="G32" s="508">
        <f>G27+G28+G29+G30+G31</f>
        <v>240729.22959999635</v>
      </c>
      <c r="H32" s="460">
        <f>G32+'[4]3'!H32</f>
        <v>1034303.503199995</v>
      </c>
      <c r="I32" s="509"/>
      <c r="J32" s="553">
        <f>H32/DAY(B2)</f>
        <v>258575.87579999876</v>
      </c>
      <c r="K32" s="373"/>
      <c r="L32" s="443"/>
      <c r="N32" s="382"/>
    </row>
    <row r="33" spans="1:14" ht="25.5" customHeight="1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382"/>
    </row>
    <row r="34" spans="1:14">
      <c r="A34" s="599" t="s">
        <v>163</v>
      </c>
      <c r="B34" s="1318"/>
      <c r="C34" s="1318"/>
      <c r="D34" s="472"/>
      <c r="E34" s="471"/>
      <c r="F34" s="494"/>
      <c r="G34" s="472"/>
      <c r="H34" s="472"/>
      <c r="I34" s="472"/>
      <c r="J34" s="552"/>
      <c r="K34" s="428"/>
      <c r="L34" s="377"/>
      <c r="N34" s="382"/>
    </row>
    <row r="35" spans="1:14">
      <c r="A35" s="579" t="s">
        <v>164</v>
      </c>
      <c r="B35" s="580"/>
      <c r="C35" s="580"/>
      <c r="D35" s="523" t="s">
        <v>132</v>
      </c>
      <c r="E35" s="510">
        <f>'[4]3'!F35</f>
        <v>703211.35</v>
      </c>
      <c r="F35" s="642">
        <v>706472</v>
      </c>
      <c r="G35" s="473">
        <f t="shared" ref="G35:G46" si="3">F35-E35</f>
        <v>3260.6500000000233</v>
      </c>
      <c r="H35" s="460">
        <f>G35+'[4]3'!H35</f>
        <v>13384.410000000033</v>
      </c>
      <c r="I35" s="455"/>
      <c r="J35" s="553">
        <f>H35/DAY(B2)</f>
        <v>3346.1025000000081</v>
      </c>
      <c r="K35" s="428"/>
      <c r="L35" s="377"/>
      <c r="N35" s="382"/>
    </row>
    <row r="36" spans="1:14">
      <c r="A36" s="579" t="s">
        <v>165</v>
      </c>
      <c r="B36" s="580"/>
      <c r="C36" s="580"/>
      <c r="D36" s="523" t="s">
        <v>132</v>
      </c>
      <c r="E36" s="510">
        <f>'[4]3'!F36</f>
        <v>298500.51</v>
      </c>
      <c r="F36" s="642">
        <v>299123</v>
      </c>
      <c r="G36" s="473">
        <f t="shared" si="3"/>
        <v>622.48999999999069</v>
      </c>
      <c r="H36" s="460">
        <f>G36+'[4]3'!H36</f>
        <v>2677.429999999993</v>
      </c>
      <c r="I36" s="455"/>
      <c r="J36" s="553">
        <f>H36/DAY(B2)</f>
        <v>669.35749999999825</v>
      </c>
      <c r="K36" s="428"/>
      <c r="L36" s="377"/>
      <c r="N36" s="629"/>
    </row>
    <row r="37" spans="1:14">
      <c r="A37" s="579" t="s">
        <v>166</v>
      </c>
      <c r="B37" s="580"/>
      <c r="C37" s="580"/>
      <c r="D37" s="523" t="s">
        <v>132</v>
      </c>
      <c r="E37" s="510">
        <v>0</v>
      </c>
      <c r="F37" s="642">
        <v>0</v>
      </c>
      <c r="G37" s="473">
        <f t="shared" si="3"/>
        <v>0</v>
      </c>
      <c r="H37" s="460">
        <f>G37+'[4]3'!H37</f>
        <v>3105.0800000000017</v>
      </c>
      <c r="I37" s="455"/>
      <c r="J37" s="553">
        <f>H37/DAY(B2)</f>
        <v>776.27000000000044</v>
      </c>
      <c r="K37" s="428"/>
      <c r="L37" s="377"/>
      <c r="N37" s="630"/>
    </row>
    <row r="38" spans="1:14">
      <c r="A38" s="579" t="s">
        <v>167</v>
      </c>
      <c r="B38" s="580"/>
      <c r="C38" s="580"/>
      <c r="D38" s="523" t="s">
        <v>132</v>
      </c>
      <c r="E38" s="469">
        <f>'[4]3'!F38</f>
        <v>48333.51</v>
      </c>
      <c r="F38" s="643">
        <v>48334</v>
      </c>
      <c r="G38" s="473">
        <f t="shared" si="3"/>
        <v>0.48999999999796273</v>
      </c>
      <c r="H38" s="460">
        <f>G38+'[4]3'!H38</f>
        <v>4520.510000000002</v>
      </c>
      <c r="I38" s="455"/>
      <c r="J38" s="553">
        <f>H38/DAY(B2)</f>
        <v>1130.1275000000005</v>
      </c>
      <c r="K38" s="428"/>
      <c r="L38" s="377"/>
      <c r="N38" s="382"/>
    </row>
    <row r="39" spans="1:14">
      <c r="A39" s="579" t="s">
        <v>168</v>
      </c>
      <c r="B39" s="580"/>
      <c r="C39" s="580"/>
      <c r="D39" s="523" t="s">
        <v>132</v>
      </c>
      <c r="E39" s="510">
        <v>0</v>
      </c>
      <c r="F39" s="642">
        <v>0</v>
      </c>
      <c r="G39" s="473">
        <f t="shared" si="3"/>
        <v>0</v>
      </c>
      <c r="H39" s="460">
        <f>G39+'[4]3'!H39</f>
        <v>9392.89</v>
      </c>
      <c r="I39" s="455"/>
      <c r="J39" s="553">
        <f>H39/DAY(B2)</f>
        <v>2348.2224999999999</v>
      </c>
      <c r="K39" s="428"/>
      <c r="L39" s="377"/>
      <c r="N39" s="382"/>
    </row>
    <row r="40" spans="1:14">
      <c r="A40" s="600" t="s">
        <v>169</v>
      </c>
      <c r="B40" s="601"/>
      <c r="C40" s="601"/>
      <c r="D40" s="523" t="s">
        <v>132</v>
      </c>
      <c r="E40" s="510">
        <f>'[4]3'!F40</f>
        <v>0.17</v>
      </c>
      <c r="F40" s="642">
        <v>0.17</v>
      </c>
      <c r="G40" s="473">
        <f t="shared" si="3"/>
        <v>0</v>
      </c>
      <c r="H40" s="460">
        <f>G40+'[4]3'!H40</f>
        <v>0</v>
      </c>
      <c r="I40" s="455"/>
      <c r="J40" s="553">
        <f>H40/DAY(B2)</f>
        <v>0</v>
      </c>
      <c r="K40" s="429"/>
      <c r="L40" s="377"/>
      <c r="N40" s="382"/>
    </row>
    <row r="41" spans="1:14">
      <c r="A41" s="579" t="s">
        <v>170</v>
      </c>
      <c r="B41" s="580"/>
      <c r="C41" s="580"/>
      <c r="D41" s="523" t="s">
        <v>132</v>
      </c>
      <c r="E41" s="510">
        <f>'[4]3'!F41</f>
        <v>63882.37</v>
      </c>
      <c r="F41" s="642">
        <v>63882</v>
      </c>
      <c r="G41" s="473">
        <f t="shared" si="3"/>
        <v>-0.37000000000261934</v>
      </c>
      <c r="H41" s="460">
        <f>G41+'[4]3'!H41</f>
        <v>-0.37000000000261934</v>
      </c>
      <c r="I41" s="455"/>
      <c r="J41" s="553">
        <f>H41/DAY(B2)</f>
        <v>-9.2500000000654836E-2</v>
      </c>
      <c r="K41" s="428"/>
      <c r="L41" s="377"/>
      <c r="N41" s="382"/>
    </row>
    <row r="42" spans="1:14">
      <c r="A42" s="579" t="s">
        <v>171</v>
      </c>
      <c r="B42" s="580"/>
      <c r="C42" s="580"/>
      <c r="D42" s="523" t="s">
        <v>132</v>
      </c>
      <c r="E42" s="510">
        <f>'[4]3'!F42</f>
        <v>59128.85</v>
      </c>
      <c r="F42" s="642">
        <v>59129</v>
      </c>
      <c r="G42" s="473">
        <f t="shared" si="3"/>
        <v>0.15000000000145519</v>
      </c>
      <c r="H42" s="460">
        <f>G42+'[4]3'!H42</f>
        <v>0.15000000000145519</v>
      </c>
      <c r="I42" s="455"/>
      <c r="J42" s="553">
        <f>H42/DAY(B2)</f>
        <v>3.7500000000363798E-2</v>
      </c>
      <c r="K42" s="428"/>
      <c r="L42" s="377"/>
      <c r="N42" s="382"/>
    </row>
    <row r="43" spans="1:14">
      <c r="A43" s="579" t="s">
        <v>172</v>
      </c>
      <c r="B43" s="580"/>
      <c r="C43" s="580"/>
      <c r="D43" s="523" t="s">
        <v>132</v>
      </c>
      <c r="E43" s="510">
        <f>'[4]3'!F43</f>
        <v>833302.53</v>
      </c>
      <c r="F43" s="642">
        <v>835764</v>
      </c>
      <c r="G43" s="473">
        <f t="shared" si="3"/>
        <v>2461.4699999999721</v>
      </c>
      <c r="H43" s="460">
        <f>G43+'[4]3'!H43</f>
        <v>9866.1700000000419</v>
      </c>
      <c r="I43" s="455"/>
      <c r="J43" s="553">
        <f>H43/DAY(B2)</f>
        <v>2466.5425000000105</v>
      </c>
      <c r="K43" s="428"/>
      <c r="L43" s="377"/>
      <c r="N43" s="382"/>
    </row>
    <row r="44" spans="1:14">
      <c r="A44" s="579" t="s">
        <v>173</v>
      </c>
      <c r="B44" s="580"/>
      <c r="C44" s="580"/>
      <c r="D44" s="523" t="s">
        <v>132</v>
      </c>
      <c r="E44" s="510">
        <f>'[4]3'!F44</f>
        <v>0</v>
      </c>
      <c r="F44" s="642">
        <v>0</v>
      </c>
      <c r="G44" s="473">
        <f t="shared" si="3"/>
        <v>0</v>
      </c>
      <c r="H44" s="460">
        <f>G44+'[4]3'!H44</f>
        <v>0</v>
      </c>
      <c r="I44" s="455"/>
      <c r="J44" s="553">
        <f>H44/DAY(B2)</f>
        <v>0</v>
      </c>
      <c r="K44" s="428"/>
      <c r="L44" s="377"/>
      <c r="N44" s="382"/>
    </row>
    <row r="45" spans="1:14">
      <c r="A45" s="579" t="s">
        <v>174</v>
      </c>
      <c r="B45" s="580"/>
      <c r="C45" s="580"/>
      <c r="D45" s="523" t="s">
        <v>132</v>
      </c>
      <c r="E45" s="510">
        <f>'[4]3'!F45</f>
        <v>614</v>
      </c>
      <c r="F45" s="642">
        <v>614</v>
      </c>
      <c r="G45" s="473">
        <f t="shared" si="3"/>
        <v>0</v>
      </c>
      <c r="H45" s="460">
        <f>G45+'[4]3'!H45</f>
        <v>0</v>
      </c>
      <c r="I45" s="455"/>
      <c r="J45" s="553">
        <f>H45/DAY(B2)</f>
        <v>0</v>
      </c>
      <c r="K45" s="428"/>
      <c r="L45" s="377"/>
      <c r="N45" s="382"/>
    </row>
    <row r="46" spans="1:14">
      <c r="A46" s="579" t="s">
        <v>175</v>
      </c>
      <c r="B46" s="580"/>
      <c r="C46" s="580"/>
      <c r="D46" s="523" t="s">
        <v>132</v>
      </c>
      <c r="E46" s="510">
        <f>'[4]3'!F46</f>
        <v>187</v>
      </c>
      <c r="F46" s="642">
        <v>187</v>
      </c>
      <c r="G46" s="473">
        <f t="shared" si="3"/>
        <v>0</v>
      </c>
      <c r="H46" s="460">
        <f>G46+'[4]3'!H46</f>
        <v>0</v>
      </c>
      <c r="I46" s="455"/>
      <c r="J46" s="553">
        <f>H46/DAY(B2)</f>
        <v>0</v>
      </c>
      <c r="K46" s="428"/>
      <c r="L46" s="377"/>
      <c r="N46" s="382"/>
    </row>
    <row r="47" spans="1:14">
      <c r="A47" s="586" t="s">
        <v>176</v>
      </c>
      <c r="B47" s="587"/>
      <c r="C47" s="587"/>
      <c r="D47" s="470"/>
      <c r="E47" s="511"/>
      <c r="F47" s="644"/>
      <c r="G47" s="481">
        <f>G35+G36+G37+G38+G39+G40+G41+G42+G43+G44+G45+G46</f>
        <v>6344.8799999999828</v>
      </c>
      <c r="H47" s="460">
        <f>G47+'[4]3'!H47</f>
        <v>42946.27000000007</v>
      </c>
      <c r="I47" s="455"/>
      <c r="J47" s="553">
        <f>H47/DAY(B2)</f>
        <v>10736.567500000017</v>
      </c>
      <c r="K47" s="428"/>
      <c r="L47" s="377"/>
      <c r="N47" s="382"/>
    </row>
    <row r="48" spans="1:14">
      <c r="A48" s="599" t="s">
        <v>177</v>
      </c>
      <c r="B48" s="1318"/>
      <c r="C48" s="1318"/>
      <c r="D48" s="472"/>
      <c r="E48" s="471"/>
      <c r="F48" s="494"/>
      <c r="G48" s="472"/>
      <c r="H48" s="472"/>
      <c r="I48" s="472"/>
      <c r="J48" s="552"/>
      <c r="K48" s="428"/>
      <c r="L48" s="377"/>
      <c r="N48" s="382"/>
    </row>
    <row r="49" spans="1:14">
      <c r="A49" s="579" t="s">
        <v>164</v>
      </c>
      <c r="B49" s="602"/>
      <c r="C49" s="602"/>
      <c r="D49" s="523" t="s">
        <v>132</v>
      </c>
      <c r="E49" s="510">
        <f>'[4]3'!F49</f>
        <v>260732.13</v>
      </c>
      <c r="F49" s="642">
        <v>260732</v>
      </c>
      <c r="G49" s="473">
        <f t="shared" ref="G49:G58" si="4">F49-E49</f>
        <v>-0.13000000000465661</v>
      </c>
      <c r="H49" s="460">
        <f>G49+'[4]3'!H49</f>
        <v>-0.13000000000465661</v>
      </c>
      <c r="I49" s="455"/>
      <c r="J49" s="553">
        <f>H49/DAY(B2)</f>
        <v>-3.2500000001164153E-2</v>
      </c>
      <c r="K49" s="428"/>
      <c r="L49" s="377"/>
      <c r="N49" s="382"/>
    </row>
    <row r="50" spans="1:14">
      <c r="A50" s="579" t="s">
        <v>178</v>
      </c>
      <c r="B50" s="602"/>
      <c r="C50" s="602"/>
      <c r="D50" s="523" t="s">
        <v>132</v>
      </c>
      <c r="E50" s="510">
        <f>'[4]3'!F50</f>
        <v>406764.67</v>
      </c>
      <c r="F50" s="642">
        <v>407794</v>
      </c>
      <c r="G50" s="473">
        <f t="shared" si="4"/>
        <v>1029.3300000000163</v>
      </c>
      <c r="H50" s="460">
        <f>G50+'[4]3'!H50</f>
        <v>5330.9699999999721</v>
      </c>
      <c r="I50" s="455"/>
      <c r="J50" s="553">
        <f>H50/DAY(B2)</f>
        <v>1332.742499999993</v>
      </c>
      <c r="K50" s="428"/>
      <c r="L50" s="377"/>
      <c r="N50" s="382"/>
    </row>
    <row r="51" spans="1:14">
      <c r="A51" s="579" t="s">
        <v>166</v>
      </c>
      <c r="B51" s="602"/>
      <c r="C51" s="602"/>
      <c r="D51" s="523" t="s">
        <v>132</v>
      </c>
      <c r="E51" s="510">
        <f>'[4]3'!F51</f>
        <v>121322.62</v>
      </c>
      <c r="F51" s="642">
        <v>122811</v>
      </c>
      <c r="G51" s="473">
        <f t="shared" si="4"/>
        <v>1488.3800000000047</v>
      </c>
      <c r="H51" s="460">
        <f>G51+'[4]3'!H51</f>
        <v>2760.0800000000017</v>
      </c>
      <c r="I51" s="455"/>
      <c r="J51" s="553">
        <f>H51/DAY(B2)</f>
        <v>690.02000000000044</v>
      </c>
      <c r="K51" s="428"/>
      <c r="L51" s="377"/>
      <c r="N51" s="382"/>
    </row>
    <row r="52" spans="1:14">
      <c r="A52" s="579" t="s">
        <v>179</v>
      </c>
      <c r="B52" s="602"/>
      <c r="C52" s="602"/>
      <c r="D52" s="523" t="s">
        <v>132</v>
      </c>
      <c r="E52" s="510">
        <f>'[4]3'!F52</f>
        <v>509794.67</v>
      </c>
      <c r="F52" s="642">
        <v>511805</v>
      </c>
      <c r="G52" s="473">
        <f t="shared" si="4"/>
        <v>2010.3300000000163</v>
      </c>
      <c r="H52" s="460">
        <f>G52+'[4]3'!H52</f>
        <v>3892.289999999979</v>
      </c>
      <c r="I52" s="455"/>
      <c r="J52" s="553">
        <f>H52/DAY(B2)</f>
        <v>973.07249999999476</v>
      </c>
      <c r="K52" s="428"/>
      <c r="L52" s="377"/>
      <c r="N52" s="382"/>
    </row>
    <row r="53" spans="1:14">
      <c r="A53" s="579" t="s">
        <v>168</v>
      </c>
      <c r="B53" s="602"/>
      <c r="C53" s="602"/>
      <c r="D53" s="523" t="s">
        <v>132</v>
      </c>
      <c r="E53" s="510">
        <f>'[4]3'!F53</f>
        <v>335515.77</v>
      </c>
      <c r="F53" s="642">
        <v>339679</v>
      </c>
      <c r="G53" s="473">
        <f t="shared" si="4"/>
        <v>4163.2299999999814</v>
      </c>
      <c r="H53" s="460">
        <f>G53+'[4]3'!H53</f>
        <v>7824.4899999999907</v>
      </c>
      <c r="I53" s="455"/>
      <c r="J53" s="553">
        <f>H53/DAY(B2)</f>
        <v>1956.1224999999977</v>
      </c>
      <c r="K53" s="428"/>
      <c r="L53" s="377"/>
      <c r="N53" s="382"/>
    </row>
    <row r="54" spans="1:14">
      <c r="A54" s="579" t="s">
        <v>180</v>
      </c>
      <c r="B54" s="602"/>
      <c r="C54" s="602"/>
      <c r="D54" s="523" t="s">
        <v>132</v>
      </c>
      <c r="E54" s="510">
        <v>8200</v>
      </c>
      <c r="F54" s="642">
        <v>8200</v>
      </c>
      <c r="G54" s="473">
        <f t="shared" si="4"/>
        <v>0</v>
      </c>
      <c r="H54" s="460">
        <f>G54+'[4]3'!H54</f>
        <v>104.40000000000055</v>
      </c>
      <c r="I54" s="455"/>
      <c r="J54" s="553">
        <f>H54/DAY(B2)</f>
        <v>26.100000000000136</v>
      </c>
      <c r="K54" s="428"/>
      <c r="L54" s="377"/>
      <c r="N54" s="382"/>
    </row>
    <row r="55" spans="1:14">
      <c r="A55" s="579" t="s">
        <v>181</v>
      </c>
      <c r="B55" s="602"/>
      <c r="C55" s="602"/>
      <c r="D55" s="523" t="s">
        <v>132</v>
      </c>
      <c r="E55" s="510">
        <f>'[4]3'!F55</f>
        <v>131386.60999999999</v>
      </c>
      <c r="F55" s="645">
        <v>135614</v>
      </c>
      <c r="G55" s="473">
        <f t="shared" si="4"/>
        <v>4227.390000000014</v>
      </c>
      <c r="H55" s="460">
        <f>G55+'[4]3'!H55</f>
        <v>18028.309999999998</v>
      </c>
      <c r="I55" s="455"/>
      <c r="J55" s="553">
        <f>H55/DAY(B2)</f>
        <v>4507.0774999999994</v>
      </c>
      <c r="K55" s="428"/>
      <c r="L55" s="377"/>
      <c r="N55" s="382"/>
    </row>
    <row r="56" spans="1:14">
      <c r="A56" s="579" t="s">
        <v>182</v>
      </c>
      <c r="B56" s="602"/>
      <c r="C56" s="602"/>
      <c r="D56" s="523" t="s">
        <v>183</v>
      </c>
      <c r="E56" s="510">
        <f>'[4]3'!F56</f>
        <v>588556.94999999995</v>
      </c>
      <c r="F56" s="645">
        <v>588557</v>
      </c>
      <c r="G56" s="473">
        <f t="shared" si="4"/>
        <v>5.0000000046566129E-2</v>
      </c>
      <c r="H56" s="460">
        <f>G56+'[4]3'!H56</f>
        <v>2505.9699999999721</v>
      </c>
      <c r="I56" s="455"/>
      <c r="J56" s="553">
        <f>H56/DAY(B2)</f>
        <v>626.49249999999302</v>
      </c>
      <c r="K56" s="427"/>
      <c r="L56" s="377"/>
      <c r="N56" s="382"/>
    </row>
    <row r="57" spans="1:14">
      <c r="A57" s="579" t="s">
        <v>172</v>
      </c>
      <c r="B57" s="602"/>
      <c r="C57" s="602"/>
      <c r="D57" s="523" t="s">
        <v>132</v>
      </c>
      <c r="E57" s="510">
        <f>'[4]3'!F57</f>
        <v>7711.33</v>
      </c>
      <c r="F57" s="645">
        <v>7711</v>
      </c>
      <c r="G57" s="473">
        <f t="shared" si="4"/>
        <v>-0.32999999999992724</v>
      </c>
      <c r="H57" s="460">
        <f>G57+'[4]3'!H57</f>
        <v>-0.32999999999992724</v>
      </c>
      <c r="I57" s="455"/>
      <c r="J57" s="553">
        <f>H57/DAY(B2)</f>
        <v>-8.249999999998181E-2</v>
      </c>
      <c r="K57" s="428"/>
      <c r="L57" s="377"/>
      <c r="N57" s="382"/>
    </row>
    <row r="58" spans="1:14">
      <c r="A58" s="579" t="s">
        <v>184</v>
      </c>
      <c r="B58" s="602"/>
      <c r="C58" s="602"/>
      <c r="D58" s="523" t="s">
        <v>132</v>
      </c>
      <c r="E58" s="510">
        <f>'[4]3'!F58</f>
        <v>36500.910000000003</v>
      </c>
      <c r="F58" s="645">
        <v>36665</v>
      </c>
      <c r="G58" s="473">
        <f t="shared" si="4"/>
        <v>164.08999999999651</v>
      </c>
      <c r="H58" s="460">
        <f>G58+'[4]3'!H58</f>
        <v>796.30000000000291</v>
      </c>
      <c r="I58" s="455"/>
      <c r="J58" s="553">
        <f>H58/DAY(B2)</f>
        <v>199.07500000000073</v>
      </c>
      <c r="K58" s="428"/>
      <c r="L58" s="377"/>
      <c r="N58" s="382"/>
    </row>
    <row r="59" spans="1:14">
      <c r="A59" s="586" t="s">
        <v>176</v>
      </c>
      <c r="B59" s="587"/>
      <c r="C59" s="587"/>
      <c r="D59" s="511"/>
      <c r="E59" s="511"/>
      <c r="F59" s="644"/>
      <c r="G59" s="481">
        <f>G49+G50+G51+G52+G53+G54+G55+G56+G57+G58</f>
        <v>13082.340000000071</v>
      </c>
      <c r="H59" s="460">
        <f>G59+'[4]3'!H59</f>
        <v>41242.349999999911</v>
      </c>
      <c r="I59" s="455">
        <f>G7-G60</f>
        <v>364.7799999999479</v>
      </c>
      <c r="J59" s="553">
        <f>H59/DAY(B2)</f>
        <v>10310.587499999978</v>
      </c>
      <c r="K59" s="428"/>
      <c r="L59" s="377"/>
      <c r="N59" s="382"/>
    </row>
    <row r="60" spans="1:14">
      <c r="A60" s="579"/>
      <c r="B60" s="580"/>
      <c r="C60" s="580"/>
      <c r="D60" s="511" t="s">
        <v>185</v>
      </c>
      <c r="E60" s="511"/>
      <c r="F60" s="644"/>
      <c r="G60" s="481">
        <f>G47+G59</f>
        <v>19427.220000000052</v>
      </c>
      <c r="H60" s="460">
        <f>G60+'[4]3'!H60</f>
        <v>84188.619999999981</v>
      </c>
      <c r="I60" s="455">
        <f>G13-G60</f>
        <v>-345.48000000004686</v>
      </c>
      <c r="J60" s="553">
        <f>H60/DAY(B2)</f>
        <v>21047.154999999995</v>
      </c>
      <c r="K60" s="428"/>
      <c r="L60" s="377"/>
      <c r="N60" s="382"/>
    </row>
    <row r="61" spans="1:14">
      <c r="A61" s="603" t="s">
        <v>186</v>
      </c>
      <c r="B61" s="453"/>
      <c r="C61" s="453"/>
      <c r="D61" s="513"/>
      <c r="E61" s="512"/>
      <c r="F61" s="646"/>
      <c r="G61" s="513"/>
      <c r="H61" s="513"/>
      <c r="I61" s="513"/>
      <c r="J61" s="556"/>
      <c r="K61" s="428"/>
      <c r="L61" s="377"/>
      <c r="N61" s="382"/>
    </row>
    <row r="62" spans="1:14">
      <c r="A62" s="604" t="s">
        <v>98</v>
      </c>
      <c r="B62" s="605"/>
      <c r="C62" s="605"/>
      <c r="D62" s="511" t="s">
        <v>187</v>
      </c>
      <c r="E62" s="514">
        <f>'[4]3'!F62</f>
        <v>20419.188999999998</v>
      </c>
      <c r="F62" s="647">
        <v>20419.187999999998</v>
      </c>
      <c r="G62" s="473">
        <f t="shared" ref="G62:G69" si="5">F62-E62</f>
        <v>-1.0000000002037268E-3</v>
      </c>
      <c r="H62" s="460">
        <f>G62+'[4]3'!H62</f>
        <v>9.9999999656574801E-4</v>
      </c>
      <c r="I62" s="515"/>
      <c r="J62" s="553">
        <f>H62/DAY(B2)</f>
        <v>2.49999999141437E-4</v>
      </c>
      <c r="K62" s="428"/>
      <c r="L62" s="377"/>
      <c r="N62" s="382"/>
    </row>
    <row r="63" spans="1:14">
      <c r="A63" s="604" t="s">
        <v>188</v>
      </c>
      <c r="B63" s="605"/>
      <c r="C63" s="605"/>
      <c r="D63" s="511" t="s">
        <v>187</v>
      </c>
      <c r="E63" s="514">
        <f>'[4]3'!F63</f>
        <v>1745.37</v>
      </c>
      <c r="F63" s="647">
        <v>1760</v>
      </c>
      <c r="G63" s="473">
        <f t="shared" si="5"/>
        <v>14.630000000000109</v>
      </c>
      <c r="H63" s="460">
        <f>G63+'[4]3'!H63</f>
        <v>52.6400000000001</v>
      </c>
      <c r="I63" s="515"/>
      <c r="J63" s="553">
        <f>H63/DAY(B2)</f>
        <v>13.160000000000025</v>
      </c>
      <c r="K63" s="428"/>
      <c r="L63" s="377"/>
      <c r="N63" s="382"/>
    </row>
    <row r="64" spans="1:14" ht="27.75">
      <c r="A64" s="1408" t="s">
        <v>99</v>
      </c>
      <c r="B64" s="1409"/>
      <c r="C64" s="1410"/>
      <c r="D64" s="523" t="s">
        <v>187</v>
      </c>
      <c r="E64" s="484">
        <f>'[4]3'!F64</f>
        <v>125180.16</v>
      </c>
      <c r="F64" s="636">
        <v>125668</v>
      </c>
      <c r="G64" s="473">
        <f t="shared" si="5"/>
        <v>487.83999999999651</v>
      </c>
      <c r="H64" s="460">
        <f>G64+'[4]3'!H64</f>
        <v>2040.6999999999971</v>
      </c>
      <c r="I64" s="480"/>
      <c r="J64" s="553">
        <f>H64/DAY(B2)</f>
        <v>510.17499999999927</v>
      </c>
      <c r="K64" s="428"/>
      <c r="L64" s="377"/>
      <c r="N64" s="382"/>
    </row>
    <row r="65" spans="1:14" ht="27.75">
      <c r="A65" s="1408" t="s">
        <v>100</v>
      </c>
      <c r="B65" s="1409"/>
      <c r="C65" s="1410"/>
      <c r="D65" s="523" t="s">
        <v>187</v>
      </c>
      <c r="E65" s="484">
        <f>'[4]3'!F65</f>
        <v>133770.84</v>
      </c>
      <c r="F65" s="637">
        <v>134126</v>
      </c>
      <c r="G65" s="473">
        <f t="shared" si="5"/>
        <v>355.16000000000349</v>
      </c>
      <c r="H65" s="460">
        <f>G65+'[4]3'!H65</f>
        <v>1528.7000000000116</v>
      </c>
      <c r="I65" s="489"/>
      <c r="J65" s="553">
        <f>H65/DAY(B2)</f>
        <v>382.17500000000291</v>
      </c>
      <c r="K65" s="428"/>
      <c r="L65" s="377"/>
      <c r="N65" s="382"/>
    </row>
    <row r="66" spans="1:14" ht="27.75">
      <c r="A66" s="1408" t="s">
        <v>101</v>
      </c>
      <c r="B66" s="1409"/>
      <c r="C66" s="1410"/>
      <c r="D66" s="523" t="s">
        <v>187</v>
      </c>
      <c r="E66" s="484">
        <f>'[4]3'!F66</f>
        <v>26413.93</v>
      </c>
      <c r="F66" s="636">
        <v>26815</v>
      </c>
      <c r="G66" s="473">
        <f t="shared" si="5"/>
        <v>401.06999999999971</v>
      </c>
      <c r="H66" s="460">
        <f>G66+'[4]3'!H66</f>
        <v>1655.25</v>
      </c>
      <c r="I66" s="480"/>
      <c r="J66" s="553">
        <f>H66/DAY(B2)</f>
        <v>413.8125</v>
      </c>
      <c r="K66" s="428"/>
      <c r="L66" s="377"/>
      <c r="N66" s="382"/>
    </row>
    <row r="67" spans="1:14" ht="27.75">
      <c r="A67" s="1408" t="s">
        <v>102</v>
      </c>
      <c r="B67" s="1409"/>
      <c r="C67" s="1410"/>
      <c r="D67" s="523" t="s">
        <v>187</v>
      </c>
      <c r="E67" s="484">
        <f>'[4]3'!F67</f>
        <v>209908.33</v>
      </c>
      <c r="F67" s="636">
        <v>210580</v>
      </c>
      <c r="G67" s="473">
        <f t="shared" si="5"/>
        <v>671.67000000001281</v>
      </c>
      <c r="H67" s="460">
        <f>G67+'[4]3'!H67</f>
        <v>2738.1700000000128</v>
      </c>
      <c r="I67" s="489"/>
      <c r="J67" s="553">
        <f>H67/DAY(B2)</f>
        <v>684.5425000000032</v>
      </c>
      <c r="K67" s="429"/>
      <c r="L67" s="377"/>
      <c r="N67" s="382"/>
    </row>
    <row r="68" spans="1:14" ht="27.75">
      <c r="A68" s="1408" t="s">
        <v>103</v>
      </c>
      <c r="B68" s="1409"/>
      <c r="C68" s="1410"/>
      <c r="D68" s="523" t="s">
        <v>187</v>
      </c>
      <c r="E68" s="484">
        <f>'[4]3'!F68</f>
        <v>73751.149999999994</v>
      </c>
      <c r="F68" s="636">
        <v>74083</v>
      </c>
      <c r="G68" s="473">
        <f t="shared" si="5"/>
        <v>331.85000000000582</v>
      </c>
      <c r="H68" s="460">
        <f>G68+'[4]3'!H68</f>
        <v>1404.4799999999959</v>
      </c>
      <c r="I68" s="516"/>
      <c r="J68" s="553">
        <f>H68/DAY(B2)</f>
        <v>351.11999999999898</v>
      </c>
      <c r="K68" s="430"/>
      <c r="L68" s="377"/>
      <c r="N68" s="382"/>
    </row>
    <row r="69" spans="1:14" ht="27.75">
      <c r="A69" s="1408" t="s">
        <v>104</v>
      </c>
      <c r="B69" s="1409"/>
      <c r="C69" s="1410"/>
      <c r="D69" s="523" t="s">
        <v>187</v>
      </c>
      <c r="E69" s="484">
        <f>'[4]3'!F69</f>
        <v>65425.09</v>
      </c>
      <c r="F69" s="636">
        <v>65740</v>
      </c>
      <c r="G69" s="473">
        <f t="shared" si="5"/>
        <v>314.91000000000349</v>
      </c>
      <c r="H69" s="460">
        <f>G69+'[4]3'!H69</f>
        <v>1287.9100000000035</v>
      </c>
      <c r="I69" s="516"/>
      <c r="J69" s="553">
        <f>H69/DAY(B2)</f>
        <v>321.97750000000087</v>
      </c>
      <c r="K69" s="431"/>
      <c r="L69" s="377"/>
      <c r="N69" s="382"/>
    </row>
    <row r="70" spans="1:14" ht="27.75">
      <c r="A70" s="1440" t="s">
        <v>189</v>
      </c>
      <c r="B70" s="1441"/>
      <c r="C70" s="1442"/>
      <c r="D70" s="523" t="s">
        <v>187</v>
      </c>
      <c r="E70" s="518"/>
      <c r="F70" s="648"/>
      <c r="G70" s="518"/>
      <c r="H70" s="460">
        <f>G70+'[4]3'!H70</f>
        <v>0</v>
      </c>
      <c r="I70" s="518"/>
      <c r="J70" s="557">
        <f>H70/DAY(B2)</f>
        <v>0</v>
      </c>
      <c r="K70" s="431"/>
      <c r="L70" s="377"/>
      <c r="N70" s="382"/>
    </row>
    <row r="71" spans="1:14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382"/>
    </row>
    <row r="72" spans="1:14" ht="27.75">
      <c r="A72" s="1408" t="s">
        <v>191</v>
      </c>
      <c r="B72" s="1409"/>
      <c r="C72" s="1410"/>
      <c r="D72" s="523" t="s">
        <v>187</v>
      </c>
      <c r="E72" s="519">
        <f>'[4]3'!F72</f>
        <v>850833</v>
      </c>
      <c r="F72" s="649">
        <v>850923</v>
      </c>
      <c r="G72" s="473">
        <f t="shared" ref="G72:G84" si="6">F72-E72</f>
        <v>90</v>
      </c>
      <c r="H72" s="460">
        <f>G72+'[4]3'!H72</f>
        <v>331</v>
      </c>
      <c r="I72" s="480"/>
      <c r="J72" s="553">
        <f>H72/DAY(B2)</f>
        <v>82.75</v>
      </c>
      <c r="K72" s="431"/>
      <c r="L72" s="377"/>
      <c r="N72" s="382"/>
    </row>
    <row r="73" spans="1:14" ht="27.75">
      <c r="A73" s="1408" t="s">
        <v>192</v>
      </c>
      <c r="B73" s="1409"/>
      <c r="C73" s="1410"/>
      <c r="D73" s="523" t="s">
        <v>187</v>
      </c>
      <c r="E73" s="520">
        <f>'[4]3'!F73</f>
        <v>885772</v>
      </c>
      <c r="F73" s="650">
        <v>885773</v>
      </c>
      <c r="G73" s="657">
        <f t="shared" si="6"/>
        <v>1</v>
      </c>
      <c r="H73" s="460">
        <f>G73+'[4]3'!H73</f>
        <v>1</v>
      </c>
      <c r="I73" s="480"/>
      <c r="J73" s="553">
        <f>H73/DAY(B2)</f>
        <v>0.25</v>
      </c>
      <c r="K73" s="430"/>
      <c r="L73" s="377"/>
      <c r="N73" s="382"/>
    </row>
    <row r="74" spans="1:14" ht="27.75">
      <c r="A74" s="1408" t="s">
        <v>193</v>
      </c>
      <c r="B74" s="1409"/>
      <c r="C74" s="1410"/>
      <c r="D74" s="523" t="s">
        <v>187</v>
      </c>
      <c r="E74" s="521">
        <f>'[4]3'!F74</f>
        <v>683.56</v>
      </c>
      <c r="F74" s="651">
        <v>701</v>
      </c>
      <c r="G74" s="473">
        <f>F74-E74</f>
        <v>17.440000000000055</v>
      </c>
      <c r="H74" s="460">
        <f>G74+'[4]3'!H74</f>
        <v>114.83000000000004</v>
      </c>
      <c r="I74" s="480"/>
      <c r="J74" s="553">
        <f>H74/DAY(B2)</f>
        <v>28.70750000000001</v>
      </c>
      <c r="K74" s="431"/>
      <c r="L74" s="377"/>
      <c r="N74" s="382"/>
    </row>
    <row r="75" spans="1:14" ht="27.75">
      <c r="A75" s="1457" t="s">
        <v>194</v>
      </c>
      <c r="B75" s="1458"/>
      <c r="C75" s="1459"/>
      <c r="D75" s="523" t="s">
        <v>187</v>
      </c>
      <c r="E75" s="521">
        <f>'[4]3'!F75</f>
        <v>3968.34</v>
      </c>
      <c r="F75" s="651">
        <v>4121</v>
      </c>
      <c r="G75" s="473">
        <f t="shared" si="6"/>
        <v>152.65999999999985</v>
      </c>
      <c r="H75" s="460">
        <f>G75+'[4]3'!H75</f>
        <v>601.7800000000002</v>
      </c>
      <c r="I75" s="480"/>
      <c r="J75" s="553">
        <f>H75/DAY(B2)</f>
        <v>150.44500000000005</v>
      </c>
      <c r="K75" s="430"/>
      <c r="L75" s="377"/>
      <c r="N75" s="382"/>
    </row>
    <row r="76" spans="1:14" ht="27.75">
      <c r="A76" s="1457" t="s">
        <v>195</v>
      </c>
      <c r="B76" s="1458"/>
      <c r="C76" s="1459"/>
      <c r="D76" s="523" t="s">
        <v>187</v>
      </c>
      <c r="E76" s="520">
        <f>'[4]3'!F76</f>
        <v>1757.3</v>
      </c>
      <c r="F76" s="650">
        <v>1842</v>
      </c>
      <c r="G76" s="473">
        <f t="shared" si="6"/>
        <v>84.700000000000045</v>
      </c>
      <c r="H76" s="460">
        <f>G76+'[4]3'!H76</f>
        <v>327.66000000000008</v>
      </c>
      <c r="I76" s="505"/>
      <c r="J76" s="553">
        <f>H76/DAY(B2)</f>
        <v>81.91500000000002</v>
      </c>
      <c r="K76" s="430"/>
      <c r="L76" s="377"/>
      <c r="N76" s="382"/>
    </row>
    <row r="77" spans="1:14" ht="27.75">
      <c r="A77" s="1408" t="s">
        <v>196</v>
      </c>
      <c r="B77" s="1409"/>
      <c r="C77" s="1410"/>
      <c r="D77" s="523" t="s">
        <v>187</v>
      </c>
      <c r="E77" s="520">
        <f>'[4]3'!F77</f>
        <v>698725</v>
      </c>
      <c r="F77" s="650">
        <v>698775</v>
      </c>
      <c r="G77" s="657">
        <f t="shared" si="6"/>
        <v>50</v>
      </c>
      <c r="H77" s="460">
        <f>G77+'[4]3'!H77</f>
        <v>187</v>
      </c>
      <c r="I77" s="505"/>
      <c r="J77" s="553">
        <f>H77/DAY(B2)</f>
        <v>46.75</v>
      </c>
      <c r="K77" s="430"/>
      <c r="L77" s="377"/>
      <c r="N77" s="382"/>
    </row>
    <row r="78" spans="1:14" ht="27.75">
      <c r="A78" s="1316" t="s">
        <v>197</v>
      </c>
      <c r="B78" s="1309"/>
      <c r="C78" s="1309"/>
      <c r="D78" s="523" t="s">
        <v>187</v>
      </c>
      <c r="E78" s="521">
        <f>'[4]3'!F78</f>
        <v>653959</v>
      </c>
      <c r="F78" s="651">
        <v>654347</v>
      </c>
      <c r="G78" s="473">
        <f t="shared" si="6"/>
        <v>388</v>
      </c>
      <c r="H78" s="460">
        <f>G78+'[4]3'!H78</f>
        <v>1484</v>
      </c>
      <c r="I78" s="505"/>
      <c r="J78" s="553">
        <f>H78/DAY(B2)</f>
        <v>371</v>
      </c>
      <c r="K78" s="430"/>
      <c r="L78" s="377"/>
      <c r="N78" s="382"/>
    </row>
    <row r="79" spans="1:14" ht="27.75">
      <c r="A79" s="1457" t="s">
        <v>92</v>
      </c>
      <c r="B79" s="1458"/>
      <c r="C79" s="1459"/>
      <c r="D79" s="524" t="s">
        <v>187</v>
      </c>
      <c r="E79" s="521">
        <f>'[4]3'!F79</f>
        <v>815715</v>
      </c>
      <c r="F79" s="1320">
        <v>815965</v>
      </c>
      <c r="G79" s="473">
        <f t="shared" si="6"/>
        <v>250</v>
      </c>
      <c r="H79" s="460">
        <f>G79+'[4]3'!H79</f>
        <v>856</v>
      </c>
      <c r="I79" s="505"/>
      <c r="J79" s="553">
        <f>H79/DAY(B2)</f>
        <v>214</v>
      </c>
      <c r="K79" s="430"/>
      <c r="L79" s="377"/>
      <c r="N79" s="382"/>
    </row>
    <row r="80" spans="1:14" ht="27.75">
      <c r="A80" s="1457" t="s">
        <v>198</v>
      </c>
      <c r="B80" s="1458"/>
      <c r="C80" s="1459"/>
      <c r="D80" s="524" t="s">
        <v>187</v>
      </c>
      <c r="E80" s="520">
        <f>'[4]3'!F80</f>
        <v>495836</v>
      </c>
      <c r="F80" s="650">
        <v>496186</v>
      </c>
      <c r="G80" s="473">
        <f t="shared" si="6"/>
        <v>350</v>
      </c>
      <c r="H80" s="460">
        <f>G80+'[4]3'!H80</f>
        <v>1512.359999999986</v>
      </c>
      <c r="I80" s="505"/>
      <c r="J80" s="553">
        <f>H80/DAY(B2)</f>
        <v>378.08999999999651</v>
      </c>
      <c r="K80" s="430"/>
      <c r="L80" s="377"/>
      <c r="N80" s="382"/>
    </row>
    <row r="81" spans="1:15" ht="27.75">
      <c r="A81" s="1457" t="s">
        <v>199</v>
      </c>
      <c r="B81" s="1458"/>
      <c r="C81" s="1459"/>
      <c r="D81" s="524" t="s">
        <v>187</v>
      </c>
      <c r="E81" s="520">
        <f>'[4]3'!F81</f>
        <v>626258</v>
      </c>
      <c r="F81" s="650">
        <v>626378</v>
      </c>
      <c r="G81" s="473">
        <f t="shared" si="6"/>
        <v>120</v>
      </c>
      <c r="H81" s="460">
        <f>G81+'[4]3'!H81</f>
        <v>434.1600000000326</v>
      </c>
      <c r="I81" s="505"/>
      <c r="J81" s="553">
        <f>H81/DAY(B2)</f>
        <v>108.54000000000815</v>
      </c>
      <c r="K81" s="430"/>
      <c r="L81" s="377"/>
      <c r="N81" s="382"/>
    </row>
    <row r="82" spans="1:15" ht="27.75">
      <c r="A82" s="1457" t="s">
        <v>93</v>
      </c>
      <c r="B82" s="1458"/>
      <c r="C82" s="1459"/>
      <c r="D82" s="485" t="s">
        <v>132</v>
      </c>
      <c r="E82" s="522">
        <f>'[4]3'!F82</f>
        <v>106261</v>
      </c>
      <c r="F82" s="637">
        <v>106283</v>
      </c>
      <c r="G82" s="473">
        <f t="shared" si="6"/>
        <v>22</v>
      </c>
      <c r="H82" s="460">
        <f>G82+'[4]3'!H82</f>
        <v>80.520000000004075</v>
      </c>
      <c r="I82" s="486"/>
      <c r="J82" s="553">
        <f>H82/DAY(B2)</f>
        <v>20.130000000001019</v>
      </c>
      <c r="K82" s="430"/>
      <c r="L82" s="377"/>
      <c r="N82" s="382"/>
    </row>
    <row r="83" spans="1:15" ht="27.75">
      <c r="A83" s="1457" t="s">
        <v>200</v>
      </c>
      <c r="B83" s="1458"/>
      <c r="C83" s="1459"/>
      <c r="D83" s="621" t="s">
        <v>132</v>
      </c>
      <c r="E83" s="511">
        <f>'[4]3'!F83</f>
        <v>998039</v>
      </c>
      <c r="F83" s="1321">
        <v>998532</v>
      </c>
      <c r="G83" s="473">
        <f t="shared" si="6"/>
        <v>493</v>
      </c>
      <c r="H83" s="460">
        <f>G83+'[4]3'!H83</f>
        <v>2083</v>
      </c>
      <c r="I83" s="481"/>
      <c r="J83" s="553">
        <f>H83/DAY(B2)</f>
        <v>520.75</v>
      </c>
      <c r="K83" s="429"/>
      <c r="L83" s="377"/>
      <c r="N83" s="382"/>
    </row>
    <row r="84" spans="1:15">
      <c r="A84" s="1317" t="s">
        <v>201</v>
      </c>
      <c r="B84" s="572"/>
      <c r="C84" s="572"/>
      <c r="D84" s="478" t="s">
        <v>132</v>
      </c>
      <c r="E84" s="628">
        <f>'[4]3'!F84</f>
        <v>432768</v>
      </c>
      <c r="F84" s="652">
        <v>433468</v>
      </c>
      <c r="G84" s="473">
        <f t="shared" si="6"/>
        <v>700</v>
      </c>
      <c r="H84" s="460">
        <f>G84+'[4]3'!H84</f>
        <v>2670</v>
      </c>
      <c r="I84" s="481"/>
      <c r="J84" s="553">
        <f>H84/DAY(B2)</f>
        <v>667.5</v>
      </c>
      <c r="K84" s="380"/>
      <c r="L84" s="377"/>
      <c r="N84" s="382"/>
    </row>
    <row r="85" spans="1:15" s="379" customFormat="1">
      <c r="A85" s="606" t="s">
        <v>202</v>
      </c>
      <c r="B85" s="573"/>
      <c r="C85" s="573"/>
      <c r="D85" s="489"/>
      <c r="E85" s="523"/>
      <c r="F85" s="639"/>
      <c r="G85" s="460">
        <f xml:space="preserve"> SUM(G71:G84)</f>
        <v>2718.8</v>
      </c>
      <c r="H85" s="460">
        <f>G85+'[4]3'!H85</f>
        <v>8657.9299999999675</v>
      </c>
      <c r="I85" s="481"/>
      <c r="J85" s="553">
        <f>H85/DAY(B2)</f>
        <v>2164.4824999999919</v>
      </c>
      <c r="K85" s="380"/>
      <c r="L85" s="378"/>
      <c r="N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'[4]3'!F86</f>
        <v>450765</v>
      </c>
      <c r="F86" s="652">
        <v>450871</v>
      </c>
      <c r="G86" s="710">
        <f t="shared" ref="G86:G87" si="7">F86-E86</f>
        <v>106</v>
      </c>
      <c r="H86" s="460">
        <f>G86+'[4]3'!H86</f>
        <v>502.46999999997206</v>
      </c>
      <c r="I86" s="657"/>
      <c r="J86" s="712">
        <f>H86/DAY(B2)</f>
        <v>125.61749999999302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'[4]3'!F87</f>
        <v>79323.199999999997</v>
      </c>
      <c r="F87" s="652">
        <v>79360.399999999994</v>
      </c>
      <c r="G87" s="710">
        <f t="shared" si="7"/>
        <v>37.19999999999709</v>
      </c>
      <c r="H87" s="460">
        <f>G87+'[4]3'!H87</f>
        <v>152.69999999999709</v>
      </c>
      <c r="I87" s="657"/>
      <c r="J87" s="712">
        <f>H87/DAY(B2)</f>
        <v>38.174999999999272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'[4]3'!F88</f>
        <v>148414.26</v>
      </c>
      <c r="F88" s="652">
        <v>148522</v>
      </c>
      <c r="G88" s="710">
        <f>F88-E88</f>
        <v>107.73999999999069</v>
      </c>
      <c r="H88" s="460">
        <f>G88+'[4]3'!H88</f>
        <v>257.39000000001397</v>
      </c>
      <c r="I88" s="657"/>
      <c r="J88" s="712">
        <f>H88/DAY(B2)</f>
        <v>64.347500000003492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'[4]3'!F89</f>
        <v>61900.4</v>
      </c>
      <c r="F89" s="652">
        <v>61962</v>
      </c>
      <c r="G89" s="710">
        <f>F89-E89</f>
        <v>61.599999999998545</v>
      </c>
      <c r="H89" s="460">
        <f>G89+'[4]3'!H89</f>
        <v>286.90000000000146</v>
      </c>
      <c r="I89" s="657"/>
      <c r="J89" s="712">
        <f>H89/DAY(B2)</f>
        <v>71.725000000000364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'[4]3'!F90</f>
        <v>3178.6</v>
      </c>
      <c r="F90" s="652">
        <v>3184</v>
      </c>
      <c r="G90" s="710">
        <f t="shared" ref="G90" si="8">F90-E90</f>
        <v>5.4000000000000909</v>
      </c>
      <c r="H90" s="460">
        <f>G90+'[4]3'!H90</f>
        <v>21.099999999999909</v>
      </c>
      <c r="I90" s="657"/>
      <c r="J90" s="712">
        <f>H90/DAY(B2)</f>
        <v>5.2749999999999773</v>
      </c>
      <c r="K90" s="738"/>
      <c r="L90" s="739"/>
      <c r="N90" s="783"/>
      <c r="O90" s="382"/>
    </row>
    <row r="91" spans="1:15" s="379" customFormat="1">
      <c r="A91" s="607" t="s">
        <v>205</v>
      </c>
      <c r="B91" s="1319"/>
      <c r="C91" s="1319"/>
      <c r="D91" s="472"/>
      <c r="E91" s="472"/>
      <c r="F91" s="483"/>
      <c r="G91" s="488"/>
      <c r="H91" s="472"/>
      <c r="I91" s="472"/>
      <c r="J91" s="552"/>
      <c r="K91" s="380"/>
      <c r="L91" s="378"/>
      <c r="N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'[4]3'!F92</f>
        <v>239994</v>
      </c>
      <c r="F92" s="636">
        <v>240093</v>
      </c>
      <c r="G92" s="473">
        <f t="shared" ref="G92:G93" si="9">F92-E92</f>
        <v>99</v>
      </c>
      <c r="H92" s="460">
        <f>G92+'[4]3'!H92</f>
        <v>398</v>
      </c>
      <c r="I92" s="480"/>
      <c r="J92" s="553">
        <f>H92/DAY(B2)</f>
        <v>99.5</v>
      </c>
      <c r="K92" s="429"/>
      <c r="L92" s="377"/>
      <c r="N92" s="382"/>
    </row>
    <row r="93" spans="1:15" ht="27.75">
      <c r="A93" s="1411" t="s">
        <v>207</v>
      </c>
      <c r="B93" s="1412"/>
      <c r="C93" s="1413"/>
      <c r="D93" s="523" t="s">
        <v>144</v>
      </c>
      <c r="E93" s="484">
        <f>'[4]3'!F93</f>
        <v>176158</v>
      </c>
      <c r="F93" s="636">
        <v>176317</v>
      </c>
      <c r="G93" s="473">
        <f t="shared" si="9"/>
        <v>159</v>
      </c>
      <c r="H93" s="460">
        <f>G93+'[4]3'!H93</f>
        <v>656</v>
      </c>
      <c r="I93" s="480"/>
      <c r="J93" s="553">
        <f>H93/DAY(B2)</f>
        <v>164</v>
      </c>
      <c r="K93" s="380"/>
      <c r="L93" s="377"/>
      <c r="N93" s="382"/>
    </row>
    <row r="94" spans="1:15">
      <c r="A94" s="1405" t="s">
        <v>208</v>
      </c>
      <c r="B94" s="1406"/>
      <c r="C94" s="1407"/>
      <c r="D94" s="523"/>
      <c r="E94" s="484"/>
      <c r="F94" s="636"/>
      <c r="G94" s="473">
        <f>G92+G93</f>
        <v>258</v>
      </c>
      <c r="H94" s="460">
        <f>G94+'[4]3'!H94</f>
        <v>788</v>
      </c>
      <c r="I94" s="480"/>
      <c r="J94" s="553">
        <f>H94/DAY(B2)</f>
        <v>197</v>
      </c>
      <c r="K94" s="380"/>
      <c r="L94" s="377"/>
      <c r="N94" s="382"/>
    </row>
    <row r="95" spans="1:15" ht="27.75">
      <c r="A95" s="1411" t="s">
        <v>209</v>
      </c>
      <c r="B95" s="1412"/>
      <c r="C95" s="1413"/>
      <c r="D95" s="523" t="s">
        <v>144</v>
      </c>
      <c r="E95" s="484">
        <f>'[4]3'!F95</f>
        <v>408393</v>
      </c>
      <c r="F95" s="636">
        <v>408491</v>
      </c>
      <c r="G95" s="473">
        <f t="shared" ref="G95:G100" si="10">F95-E95</f>
        <v>98</v>
      </c>
      <c r="H95" s="460">
        <f>G95+'[4]3'!H95</f>
        <v>335</v>
      </c>
      <c r="I95" s="480"/>
      <c r="J95" s="553">
        <f>H95/DAY(B2)</f>
        <v>83.75</v>
      </c>
      <c r="K95" s="380"/>
      <c r="L95" s="377"/>
      <c r="N95" s="382"/>
    </row>
    <row r="96" spans="1:15" ht="27.75">
      <c r="A96" s="1313" t="s">
        <v>210</v>
      </c>
      <c r="B96" s="1314"/>
      <c r="C96" s="1314"/>
      <c r="D96" s="523" t="s">
        <v>144</v>
      </c>
      <c r="E96" s="484">
        <f>'[4]3'!F96</f>
        <v>101380</v>
      </c>
      <c r="F96" s="636">
        <v>101390</v>
      </c>
      <c r="G96" s="473">
        <f t="shared" si="10"/>
        <v>10</v>
      </c>
      <c r="H96" s="460">
        <f>G96+'[4]3'!H96</f>
        <v>58</v>
      </c>
      <c r="I96" s="480"/>
      <c r="J96" s="553">
        <f>H96/DAY(B2)</f>
        <v>14.5</v>
      </c>
      <c r="K96" s="427"/>
      <c r="L96" s="377"/>
      <c r="N96" s="382"/>
    </row>
    <row r="97" spans="1:14" ht="27.75">
      <c r="A97" s="1313" t="s">
        <v>211</v>
      </c>
      <c r="B97" s="1314"/>
      <c r="C97" s="1314"/>
      <c r="D97" s="523" t="s">
        <v>144</v>
      </c>
      <c r="E97" s="484">
        <f>'[4]3'!F97</f>
        <v>96508</v>
      </c>
      <c r="F97" s="636">
        <v>96524</v>
      </c>
      <c r="G97" s="473">
        <f t="shared" si="10"/>
        <v>16</v>
      </c>
      <c r="H97" s="460">
        <f>G97+'[4]3'!H97</f>
        <v>75</v>
      </c>
      <c r="I97" s="480"/>
      <c r="J97" s="553">
        <f>H97/DAY(B2)</f>
        <v>18.75</v>
      </c>
      <c r="K97" s="432"/>
      <c r="L97" s="377"/>
      <c r="N97" s="382"/>
    </row>
    <row r="98" spans="1:14" ht="27.75">
      <c r="A98" s="1313" t="s">
        <v>212</v>
      </c>
      <c r="B98" s="1314"/>
      <c r="C98" s="1314"/>
      <c r="D98" s="523" t="s">
        <v>144</v>
      </c>
      <c r="E98" s="484">
        <f>'[4]3'!F98</f>
        <v>147866</v>
      </c>
      <c r="F98" s="636">
        <v>147915</v>
      </c>
      <c r="G98" s="473">
        <f t="shared" si="10"/>
        <v>49</v>
      </c>
      <c r="H98" s="460">
        <f>G98+'[4]3'!H98</f>
        <v>307</v>
      </c>
      <c r="I98" s="480"/>
      <c r="J98" s="553">
        <f>H98/DAY(B2)</f>
        <v>76.75</v>
      </c>
      <c r="K98" s="380"/>
      <c r="L98" s="377"/>
      <c r="N98" s="382"/>
    </row>
    <row r="99" spans="1:14" ht="27.75">
      <c r="A99" s="1313" t="s">
        <v>213</v>
      </c>
      <c r="B99" s="1314"/>
      <c r="C99" s="1314"/>
      <c r="D99" s="523" t="s">
        <v>144</v>
      </c>
      <c r="E99" s="484">
        <f>'[4]3'!F99</f>
        <v>6457</v>
      </c>
      <c r="F99" s="636">
        <v>6461</v>
      </c>
      <c r="G99" s="473">
        <f t="shared" si="10"/>
        <v>4</v>
      </c>
      <c r="H99" s="460">
        <f>G99+'[4]3'!H99</f>
        <v>53</v>
      </c>
      <c r="I99" s="480"/>
      <c r="J99" s="553">
        <f>H99/DAY(B2)</f>
        <v>13.25</v>
      </c>
      <c r="K99" s="380"/>
      <c r="L99" s="377"/>
      <c r="N99" s="382"/>
    </row>
    <row r="100" spans="1:14" ht="27.75">
      <c r="A100" s="1313" t="s">
        <v>214</v>
      </c>
      <c r="B100" s="1314"/>
      <c r="C100" s="1314"/>
      <c r="D100" s="523" t="s">
        <v>144</v>
      </c>
      <c r="E100" s="484">
        <f>'[4]3'!F100</f>
        <v>4587</v>
      </c>
      <c r="F100" s="636">
        <v>4598</v>
      </c>
      <c r="G100" s="473">
        <f t="shared" si="10"/>
        <v>11</v>
      </c>
      <c r="H100" s="460">
        <f>G100+'[4]3'!H100</f>
        <v>55</v>
      </c>
      <c r="I100" s="480"/>
      <c r="J100" s="553">
        <f>H100/DAY(B2)</f>
        <v>13.75</v>
      </c>
      <c r="K100" s="380"/>
      <c r="L100" s="377"/>
      <c r="N100" s="382"/>
    </row>
    <row r="101" spans="1:14">
      <c r="A101" s="1405" t="s">
        <v>216</v>
      </c>
      <c r="B101" s="1406"/>
      <c r="C101" s="1407"/>
      <c r="D101" s="524"/>
      <c r="E101" s="524"/>
      <c r="F101" s="641"/>
      <c r="G101" s="525">
        <f>SUM(G95:G100)</f>
        <v>188</v>
      </c>
      <c r="H101" s="460">
        <f>G101+'[4]3'!H101</f>
        <v>883</v>
      </c>
      <c r="I101" s="526"/>
      <c r="J101" s="553">
        <f>H101/DAY(B2)</f>
        <v>220.75</v>
      </c>
      <c r="K101" s="380"/>
      <c r="L101" s="377"/>
      <c r="N101" s="382"/>
    </row>
    <row r="102" spans="1:14" s="442" customFormat="1" ht="27">
      <c r="A102" s="608" t="s">
        <v>217</v>
      </c>
      <c r="B102" s="609"/>
      <c r="C102" s="609"/>
      <c r="D102" s="622"/>
      <c r="E102" s="528"/>
      <c r="F102" s="653"/>
      <c r="G102" s="529"/>
      <c r="H102" s="530"/>
      <c r="I102" s="531"/>
      <c r="J102" s="558"/>
      <c r="N102" s="382"/>
    </row>
    <row r="103" spans="1:14" s="442" customFormat="1" ht="27.75">
      <c r="A103" s="1414" t="s">
        <v>218</v>
      </c>
      <c r="B103" s="1415"/>
      <c r="C103" s="574"/>
      <c r="D103" s="623"/>
      <c r="E103" s="532"/>
      <c r="F103" s="532"/>
      <c r="G103" s="532"/>
      <c r="H103" s="533"/>
      <c r="I103" s="532"/>
      <c r="J103" s="559"/>
      <c r="N103" s="382"/>
    </row>
    <row r="104" spans="1:14" s="442" customFormat="1" ht="27.75">
      <c r="A104" s="1416" t="s">
        <v>219</v>
      </c>
      <c r="B104" s="1417"/>
      <c r="C104" s="1312"/>
      <c r="D104" s="623" t="s">
        <v>144</v>
      </c>
      <c r="E104" s="532">
        <f>'[4]3'!F104</f>
        <v>7128</v>
      </c>
      <c r="F104" s="532">
        <v>7131</v>
      </c>
      <c r="G104" s="532">
        <f>F104-E104</f>
        <v>3</v>
      </c>
      <c r="H104" s="460">
        <f>G104+'[4]3'!H108</f>
        <v>3</v>
      </c>
      <c r="I104" s="532"/>
      <c r="J104" s="559">
        <f>H104/DAY(B2)</f>
        <v>0.75</v>
      </c>
      <c r="N104" s="382"/>
    </row>
    <row r="105" spans="1:14" s="442" customFormat="1" ht="27.75">
      <c r="A105" s="1416" t="s">
        <v>77</v>
      </c>
      <c r="B105" s="1417"/>
      <c r="C105" s="1312"/>
      <c r="D105" s="623" t="s">
        <v>144</v>
      </c>
      <c r="E105" s="534">
        <f>'[4]3'!F105</f>
        <v>35434</v>
      </c>
      <c r="F105" s="534">
        <v>35443</v>
      </c>
      <c r="G105" s="532">
        <f t="shared" ref="G105:G106" si="11">F105-E105</f>
        <v>9</v>
      </c>
      <c r="H105" s="460">
        <f>G105+'[4]3'!H105</f>
        <v>36</v>
      </c>
      <c r="I105" s="532"/>
      <c r="J105" s="559">
        <f>H105/DAY(B2)</f>
        <v>9</v>
      </c>
      <c r="N105" s="382"/>
    </row>
    <row r="106" spans="1:14" s="442" customFormat="1" ht="27.75">
      <c r="A106" s="1416" t="s">
        <v>78</v>
      </c>
      <c r="B106" s="1418"/>
      <c r="C106" s="1417"/>
      <c r="D106" s="623" t="s">
        <v>144</v>
      </c>
      <c r="E106" s="532">
        <f>'[4]3'!F106</f>
        <v>19263</v>
      </c>
      <c r="F106" s="1054">
        <v>19269</v>
      </c>
      <c r="G106" s="532">
        <f t="shared" si="11"/>
        <v>6</v>
      </c>
      <c r="H106" s="460">
        <f>G106+'[4]3'!H106</f>
        <v>22</v>
      </c>
      <c r="I106" s="532"/>
      <c r="J106" s="559">
        <f>H106/DAY(B2)</f>
        <v>5.5</v>
      </c>
      <c r="N106" s="382"/>
    </row>
    <row r="107" spans="1:14" s="442" customFormat="1" ht="27.75">
      <c r="A107" s="1419" t="s">
        <v>202</v>
      </c>
      <c r="B107" s="1420"/>
      <c r="C107" s="1312"/>
      <c r="D107" s="623"/>
      <c r="E107" s="532"/>
      <c r="F107" s="532"/>
      <c r="G107" s="532">
        <f>SUM(G104:G106)</f>
        <v>18</v>
      </c>
      <c r="H107" s="460">
        <f>G107+'[4]3'!H107</f>
        <v>61</v>
      </c>
      <c r="I107" s="532"/>
      <c r="J107" s="559">
        <f>H107/DAY(B2)</f>
        <v>15.25</v>
      </c>
      <c r="N107" s="382"/>
    </row>
    <row r="108" spans="1:14" s="442" customFormat="1" ht="27.75">
      <c r="A108" s="1421" t="s">
        <v>79</v>
      </c>
      <c r="B108" s="1422"/>
      <c r="C108" s="1312"/>
      <c r="D108" s="623" t="s">
        <v>144</v>
      </c>
      <c r="E108" s="532"/>
      <c r="F108" s="532"/>
      <c r="G108" s="532"/>
      <c r="H108" s="460" t="e">
        <f>G108+'[4]3'!#REF!</f>
        <v>#REF!</v>
      </c>
      <c r="I108" s="532"/>
      <c r="J108" s="559"/>
      <c r="N108" s="382"/>
    </row>
    <row r="109" spans="1:14" s="442" customFormat="1" ht="27.75">
      <c r="A109" s="1416" t="s">
        <v>220</v>
      </c>
      <c r="B109" s="1417"/>
      <c r="C109" s="1312"/>
      <c r="D109" s="623" t="s">
        <v>144</v>
      </c>
      <c r="E109" s="532">
        <f>'[4]3'!F109</f>
        <v>56606</v>
      </c>
      <c r="F109" s="532">
        <v>56688</v>
      </c>
      <c r="G109" s="532">
        <f>F109-E109</f>
        <v>82</v>
      </c>
      <c r="H109" s="460">
        <f>G109+'[4]3'!H109</f>
        <v>335</v>
      </c>
      <c r="I109" s="532"/>
      <c r="J109" s="559">
        <f>H109/DAY(B2)</f>
        <v>83.75</v>
      </c>
      <c r="N109" s="382"/>
    </row>
    <row r="110" spans="1:14" s="442" customFormat="1" ht="27.75">
      <c r="A110" s="1416" t="s">
        <v>221</v>
      </c>
      <c r="B110" s="1417"/>
      <c r="C110" s="1312"/>
      <c r="D110" s="623" t="s">
        <v>144</v>
      </c>
      <c r="E110" s="532">
        <f>'[4]3'!F110</f>
        <v>30795</v>
      </c>
      <c r="F110" s="532">
        <v>30834</v>
      </c>
      <c r="G110" s="532">
        <f t="shared" ref="G110:G111" si="12">F110-E110</f>
        <v>39</v>
      </c>
      <c r="H110" s="460">
        <f>G110+'[4]3'!H110</f>
        <v>307</v>
      </c>
      <c r="I110" s="532"/>
      <c r="J110" s="559">
        <f>H110/DAY(B2)</f>
        <v>76.75</v>
      </c>
      <c r="N110" s="382"/>
    </row>
    <row r="111" spans="1:14" s="442" customFormat="1" ht="27.75">
      <c r="A111" s="1416" t="s">
        <v>222</v>
      </c>
      <c r="B111" s="1417"/>
      <c r="C111" s="1312"/>
      <c r="D111" s="623" t="s">
        <v>144</v>
      </c>
      <c r="E111" s="532">
        <f>'[4]3'!F111</f>
        <v>4012</v>
      </c>
      <c r="F111" s="532">
        <v>4012</v>
      </c>
      <c r="G111" s="532">
        <f t="shared" si="12"/>
        <v>0</v>
      </c>
      <c r="H111" s="460">
        <f>G111+'[4]3'!H111</f>
        <v>32</v>
      </c>
      <c r="I111" s="532"/>
      <c r="J111" s="559">
        <f>H111/DAY(B2)</f>
        <v>8</v>
      </c>
      <c r="N111" s="382"/>
    </row>
    <row r="112" spans="1:14" s="442" customFormat="1" ht="27.75">
      <c r="A112" s="1419" t="s">
        <v>110</v>
      </c>
      <c r="B112" s="1420"/>
      <c r="C112" s="1312"/>
      <c r="D112" s="623"/>
      <c r="E112" s="532"/>
      <c r="F112" s="532"/>
      <c r="G112" s="532">
        <f>SUM(G109:G111)</f>
        <v>121</v>
      </c>
      <c r="H112" s="460">
        <f>G112+'[4]3'!H112</f>
        <v>674</v>
      </c>
      <c r="I112" s="532"/>
      <c r="J112" s="559">
        <f>H112/DAY(B2)</f>
        <v>168.5</v>
      </c>
      <c r="N112" s="382"/>
    </row>
    <row r="113" spans="1:14" s="442" customFormat="1" ht="27.75">
      <c r="A113" s="1421" t="s">
        <v>223</v>
      </c>
      <c r="B113" s="1422"/>
      <c r="C113" s="1312"/>
      <c r="D113" s="623"/>
      <c r="E113" s="532"/>
      <c r="F113" s="532"/>
      <c r="G113" s="532"/>
      <c r="H113" s="460">
        <f>G113+'[4]3'!H113</f>
        <v>0</v>
      </c>
      <c r="I113" s="532"/>
      <c r="J113" s="559">
        <f>H113/DAY(B2)</f>
        <v>0</v>
      </c>
      <c r="N113" s="382"/>
    </row>
    <row r="114" spans="1:14" s="442" customFormat="1" ht="27.75">
      <c r="A114" s="1416" t="s">
        <v>224</v>
      </c>
      <c r="B114" s="1417"/>
      <c r="C114" s="575"/>
      <c r="D114" s="623" t="s">
        <v>144</v>
      </c>
      <c r="E114" s="534">
        <f>'[4]3'!F114</f>
        <v>10379</v>
      </c>
      <c r="F114" s="534">
        <v>10387</v>
      </c>
      <c r="G114" s="534">
        <f>F114-E114</f>
        <v>8</v>
      </c>
      <c r="H114" s="460">
        <f>G114+'[4]3'!H114</f>
        <v>65</v>
      </c>
      <c r="I114" s="532"/>
      <c r="J114" s="559">
        <f>H114/DAY(B2)</f>
        <v>16.25</v>
      </c>
      <c r="N114" s="382"/>
    </row>
    <row r="115" spans="1:14" s="442" customFormat="1" ht="27.75">
      <c r="A115" s="1416" t="s">
        <v>225</v>
      </c>
      <c r="B115" s="1417"/>
      <c r="C115" s="575"/>
      <c r="D115" s="623" t="s">
        <v>144</v>
      </c>
      <c r="E115" s="534">
        <f>'[4]3'!F115</f>
        <v>7703</v>
      </c>
      <c r="F115" s="534">
        <v>7714</v>
      </c>
      <c r="G115" s="534">
        <f t="shared" ref="G115:G116" si="13">F115-E115</f>
        <v>11</v>
      </c>
      <c r="H115" s="460">
        <f>G115+'[4]3'!H115</f>
        <v>47</v>
      </c>
      <c r="I115" s="532"/>
      <c r="J115" s="559">
        <f>H115/DAY(B2)</f>
        <v>11.75</v>
      </c>
      <c r="N115" s="382"/>
    </row>
    <row r="116" spans="1:14" s="442" customFormat="1" ht="27.75">
      <c r="A116" s="1416" t="s">
        <v>226</v>
      </c>
      <c r="B116" s="1417"/>
      <c r="C116" s="575"/>
      <c r="D116" s="623" t="s">
        <v>144</v>
      </c>
      <c r="E116" s="534"/>
      <c r="F116" s="534"/>
      <c r="G116" s="534">
        <f t="shared" si="13"/>
        <v>0</v>
      </c>
      <c r="H116" s="460">
        <f>G116+'[4]3'!H116</f>
        <v>0</v>
      </c>
      <c r="I116" s="532"/>
      <c r="J116" s="559">
        <f>H116/DAY(B2)</f>
        <v>0</v>
      </c>
      <c r="N116" s="382"/>
    </row>
    <row r="117" spans="1:14" s="445" customFormat="1" ht="27.75">
      <c r="A117" s="1419" t="s">
        <v>202</v>
      </c>
      <c r="B117" s="1420"/>
      <c r="C117" s="575"/>
      <c r="D117" s="624"/>
      <c r="E117" s="534"/>
      <c r="F117" s="534"/>
      <c r="G117" s="534">
        <f>SUM(G114:G116)</f>
        <v>19</v>
      </c>
      <c r="H117" s="460">
        <f>G117+'[4]3'!H117</f>
        <v>112</v>
      </c>
      <c r="I117" s="534"/>
      <c r="J117" s="559">
        <f>H117/DAY(B2)</f>
        <v>28</v>
      </c>
      <c r="N117" s="382"/>
    </row>
    <row r="118" spans="1:14" s="446" customFormat="1" ht="27.75">
      <c r="A118" s="1450" t="s">
        <v>227</v>
      </c>
      <c r="B118" s="1451"/>
      <c r="C118" s="1310"/>
      <c r="D118" s="625" t="s">
        <v>144</v>
      </c>
      <c r="E118" s="536"/>
      <c r="F118" s="536">
        <f>SUM(G19+G92)</f>
        <v>151</v>
      </c>
      <c r="G118" s="536">
        <f>SUM(G19+G92)</f>
        <v>151</v>
      </c>
      <c r="H118" s="460">
        <f>G118+'[4]3'!H118</f>
        <v>602</v>
      </c>
      <c r="I118" s="535"/>
      <c r="J118" s="560">
        <f>H118/DAY(B2)</f>
        <v>150.5</v>
      </c>
      <c r="N118" s="382"/>
    </row>
    <row r="119" spans="1:14" s="446" customFormat="1" ht="27.75">
      <c r="A119" s="1450" t="s">
        <v>228</v>
      </c>
      <c r="B119" s="1451"/>
      <c r="C119" s="1310"/>
      <c r="D119" s="625" t="s">
        <v>144</v>
      </c>
      <c r="E119" s="536"/>
      <c r="F119" s="536">
        <f>SUM(G95,G96,G97,G99,G100)</f>
        <v>139</v>
      </c>
      <c r="G119" s="536">
        <f>SUM(G95,G96,G97,G99,G100)</f>
        <v>139</v>
      </c>
      <c r="H119" s="460">
        <f>G119+'[4]3'!H119</f>
        <v>576</v>
      </c>
      <c r="I119" s="535"/>
      <c r="J119" s="560">
        <f>H119/DAY(B2)</f>
        <v>144</v>
      </c>
      <c r="N119" s="382"/>
    </row>
    <row r="120" spans="1:14" s="446" customFormat="1" ht="27.75">
      <c r="A120" s="1450" t="s">
        <v>229</v>
      </c>
      <c r="B120" s="1451"/>
      <c r="C120" s="1310"/>
      <c r="D120" s="625" t="s">
        <v>144</v>
      </c>
      <c r="E120" s="534"/>
      <c r="F120" s="534">
        <f>SUM(G112)</f>
        <v>121</v>
      </c>
      <c r="G120" s="534">
        <f>SUM(G112)</f>
        <v>121</v>
      </c>
      <c r="H120" s="460">
        <f>G120+'[4]3'!H120</f>
        <v>674</v>
      </c>
      <c r="I120" s="535"/>
      <c r="J120" s="560">
        <f>H120/DAY(B2)</f>
        <v>168.5</v>
      </c>
      <c r="N120" s="382"/>
    </row>
    <row r="121" spans="1:14" s="442" customFormat="1" ht="27.75">
      <c r="A121" s="1452"/>
      <c r="B121" s="1453"/>
      <c r="C121" s="1311"/>
      <c r="D121" s="561"/>
      <c r="E121" s="561"/>
      <c r="F121" s="561" t="s">
        <v>215</v>
      </c>
      <c r="G121" s="561"/>
      <c r="H121" s="562"/>
      <c r="I121" s="561"/>
      <c r="J121" s="563"/>
      <c r="N121" s="382"/>
    </row>
    <row r="122" spans="1:14">
      <c r="A122" s="1402" t="s">
        <v>230</v>
      </c>
      <c r="B122" s="1403"/>
      <c r="C122" s="1404"/>
      <c r="D122" s="472"/>
      <c r="E122" s="472"/>
      <c r="F122" s="483"/>
      <c r="G122" s="483"/>
      <c r="H122" s="483"/>
      <c r="I122" s="483"/>
      <c r="J122" s="564"/>
      <c r="K122" s="380"/>
      <c r="L122" s="377"/>
      <c r="N122" s="382"/>
    </row>
    <row r="123" spans="1:14" ht="27.75">
      <c r="A123" s="1313" t="s">
        <v>231</v>
      </c>
      <c r="B123" s="1314"/>
      <c r="C123" s="1314"/>
      <c r="D123" s="523" t="s">
        <v>141</v>
      </c>
      <c r="E123" s="478">
        <f>'[4]3'!F123</f>
        <v>811797.04</v>
      </c>
      <c r="F123" s="636">
        <v>812042</v>
      </c>
      <c r="G123" s="473">
        <f t="shared" ref="G123:G127" si="14">F123-E123</f>
        <v>244.95999999996275</v>
      </c>
      <c r="H123" s="460">
        <f>G123+'[4]3'!H123</f>
        <v>1035.1600000000326</v>
      </c>
      <c r="I123" s="526"/>
      <c r="J123" s="553">
        <f>H123/DAY(B2)</f>
        <v>258.79000000000815</v>
      </c>
      <c r="K123" s="380"/>
      <c r="L123" s="377"/>
      <c r="N123" s="382"/>
    </row>
    <row r="124" spans="1:14" ht="27.75">
      <c r="A124" s="1313" t="s">
        <v>232</v>
      </c>
      <c r="B124" s="1314"/>
      <c r="C124" s="1314"/>
      <c r="D124" s="523" t="s">
        <v>141</v>
      </c>
      <c r="E124" s="627">
        <f>'[4]3'!F124</f>
        <v>73583.399999999994</v>
      </c>
      <c r="F124" s="654">
        <v>73583</v>
      </c>
      <c r="G124" s="473">
        <f t="shared" si="14"/>
        <v>-0.39999999999417923</v>
      </c>
      <c r="H124" s="460">
        <f>G124+'[4]3'!H124</f>
        <v>-0.39999999999417923</v>
      </c>
      <c r="I124" s="526"/>
      <c r="J124" s="553">
        <f>H124/DAY(B2)</f>
        <v>-9.9999999998544808E-2</v>
      </c>
      <c r="K124" s="380"/>
      <c r="L124" s="377"/>
      <c r="N124" s="382"/>
    </row>
    <row r="125" spans="1:14" ht="27.75">
      <c r="A125" s="1408" t="s">
        <v>233</v>
      </c>
      <c r="B125" s="1409"/>
      <c r="C125" s="1410"/>
      <c r="D125" s="523" t="s">
        <v>141</v>
      </c>
      <c r="E125" s="478">
        <f>'[4]3'!F125</f>
        <v>140188.65</v>
      </c>
      <c r="F125" s="636">
        <v>140260</v>
      </c>
      <c r="G125" s="473">
        <f t="shared" si="14"/>
        <v>71.350000000005821</v>
      </c>
      <c r="H125" s="460">
        <f>G125+'[4]3'!H125</f>
        <v>280.66000000000349</v>
      </c>
      <c r="I125" s="526"/>
      <c r="J125" s="553">
        <f>H125/DAY(B2)</f>
        <v>70.165000000000873</v>
      </c>
      <c r="K125" s="380"/>
      <c r="L125" s="377"/>
      <c r="N125" s="382"/>
    </row>
    <row r="126" spans="1:14" ht="27.75">
      <c r="A126" s="610" t="s">
        <v>234</v>
      </c>
      <c r="B126" s="1314"/>
      <c r="C126" s="1314"/>
      <c r="D126" s="523" t="s">
        <v>141</v>
      </c>
      <c r="E126" s="627">
        <f>'[4]3'!F126</f>
        <v>59377.599999999999</v>
      </c>
      <c r="F126" s="654">
        <v>59407</v>
      </c>
      <c r="G126" s="473">
        <f t="shared" si="14"/>
        <v>29.400000000001455</v>
      </c>
      <c r="H126" s="460">
        <f>G126+'[4]3'!H126</f>
        <v>100.09999999999854</v>
      </c>
      <c r="I126" s="526"/>
      <c r="J126" s="553">
        <f>H126/DAY(B2)</f>
        <v>25.024999999999636</v>
      </c>
      <c r="K126" s="380"/>
      <c r="L126" s="377"/>
      <c r="N126" s="382"/>
    </row>
    <row r="127" spans="1:14" ht="27.75">
      <c r="A127" s="610" t="s">
        <v>235</v>
      </c>
      <c r="B127" s="1314"/>
      <c r="C127" s="1314"/>
      <c r="D127" s="523" t="s">
        <v>141</v>
      </c>
      <c r="E127" s="627">
        <f>'[4]3'!F127</f>
        <v>8894.1</v>
      </c>
      <c r="F127" s="654">
        <v>8896</v>
      </c>
      <c r="G127" s="473">
        <f t="shared" si="14"/>
        <v>1.8999999999996362</v>
      </c>
      <c r="H127" s="460">
        <f>G127+'[4]3'!H127</f>
        <v>8.2000000000007276</v>
      </c>
      <c r="I127" s="480"/>
      <c r="J127" s="553">
        <f>H127/DAY(B2)</f>
        <v>2.0500000000001819</v>
      </c>
      <c r="K127" s="380"/>
      <c r="L127" s="377"/>
      <c r="N127" s="382"/>
    </row>
    <row r="128" spans="1:14" s="281" customFormat="1" ht="27.75">
      <c r="A128" s="610" t="s">
        <v>236</v>
      </c>
      <c r="B128" s="1314"/>
      <c r="C128" s="1314"/>
      <c r="D128" s="523"/>
      <c r="E128" s="478"/>
      <c r="F128" s="636"/>
      <c r="G128" s="473">
        <f>G15-SUM(G123:G127)</f>
        <v>536.95999999995001</v>
      </c>
      <c r="H128" s="460">
        <f>G128+'[4]3'!H128</f>
        <v>2164.6699999998564</v>
      </c>
      <c r="I128" s="480"/>
      <c r="J128" s="553">
        <f>H128/DAY(B2)</f>
        <v>541.16749999996409</v>
      </c>
      <c r="K128" s="364"/>
      <c r="L128" s="292"/>
      <c r="N128" s="382"/>
    </row>
    <row r="129" spans="1:14">
      <c r="A129" s="611" t="s">
        <v>237</v>
      </c>
      <c r="B129" s="458"/>
      <c r="C129" s="458"/>
      <c r="D129" s="471"/>
      <c r="E129" s="471"/>
      <c r="F129" s="494"/>
      <c r="G129" s="541"/>
      <c r="H129" s="541"/>
      <c r="I129" s="541"/>
      <c r="J129" s="565"/>
      <c r="N129" s="382"/>
    </row>
    <row r="130" spans="1:14" ht="27.75">
      <c r="A130" s="1313" t="s">
        <v>238</v>
      </c>
      <c r="B130" s="1314"/>
      <c r="C130" s="1314"/>
      <c r="D130" s="523" t="s">
        <v>239</v>
      </c>
      <c r="E130" s="484">
        <f>'[4]3'!F130</f>
        <v>0</v>
      </c>
      <c r="F130" s="636">
        <v>0</v>
      </c>
      <c r="G130" s="473">
        <f t="shared" ref="G130:G140" si="15">F130-E130</f>
        <v>0</v>
      </c>
      <c r="H130" s="460">
        <f>G130+'[4]3'!H130</f>
        <v>0</v>
      </c>
      <c r="I130" s="480"/>
      <c r="J130" s="553">
        <f>H130/DAY(B2)</f>
        <v>0</v>
      </c>
      <c r="N130" s="382"/>
    </row>
    <row r="131" spans="1:14" ht="27.75">
      <c r="A131" s="1313" t="s">
        <v>240</v>
      </c>
      <c r="B131" s="1314"/>
      <c r="C131" s="1314"/>
      <c r="D131" s="523" t="s">
        <v>239</v>
      </c>
      <c r="E131" s="484">
        <f>'[4]3'!F131</f>
        <v>0</v>
      </c>
      <c r="F131" s="636">
        <v>0</v>
      </c>
      <c r="G131" s="473">
        <f t="shared" si="15"/>
        <v>0</v>
      </c>
      <c r="H131" s="460">
        <f>G131+'[4]3'!H131</f>
        <v>0</v>
      </c>
      <c r="I131" s="480"/>
      <c r="J131" s="553">
        <f>H131/DAY(B2)</f>
        <v>0</v>
      </c>
      <c r="N131" s="382"/>
    </row>
    <row r="132" spans="1:14" ht="27.75">
      <c r="A132" s="1313" t="s">
        <v>241</v>
      </c>
      <c r="B132" s="1314"/>
      <c r="C132" s="1314"/>
      <c r="D132" s="523" t="s">
        <v>239</v>
      </c>
      <c r="E132" s="484">
        <f>'[4]3'!F132</f>
        <v>38829</v>
      </c>
      <c r="F132" s="637">
        <v>38829</v>
      </c>
      <c r="G132" s="473">
        <f t="shared" si="15"/>
        <v>0</v>
      </c>
      <c r="H132" s="460">
        <f>G132+'[4]3'!H132</f>
        <v>0</v>
      </c>
      <c r="I132" s="480"/>
      <c r="J132" s="553">
        <f>H132/DAY(B2)</f>
        <v>0</v>
      </c>
      <c r="N132" s="382"/>
    </row>
    <row r="133" spans="1:14" ht="27.75">
      <c r="A133" s="1313" t="s">
        <v>242</v>
      </c>
      <c r="B133" s="1314"/>
      <c r="C133" s="1314"/>
      <c r="D133" s="523" t="s">
        <v>239</v>
      </c>
      <c r="E133" s="484">
        <f>'[4]3'!F133</f>
        <v>299.52</v>
      </c>
      <c r="F133" s="654">
        <v>300</v>
      </c>
      <c r="G133" s="473">
        <f t="shared" si="15"/>
        <v>0.48000000000001819</v>
      </c>
      <c r="H133" s="460">
        <f>G133+'[4]3'!H133</f>
        <v>0</v>
      </c>
      <c r="I133" s="480">
        <f>G132+G133+G134+G135</f>
        <v>24.190000000002783</v>
      </c>
      <c r="J133" s="553">
        <f>H133/DAY(B2)</f>
        <v>0</v>
      </c>
      <c r="N133" s="382"/>
    </row>
    <row r="134" spans="1:14" ht="27.75">
      <c r="A134" s="1313" t="s">
        <v>243</v>
      </c>
      <c r="B134" s="1314"/>
      <c r="C134" s="1314"/>
      <c r="D134" s="523" t="s">
        <v>239</v>
      </c>
      <c r="E134" s="484">
        <f>'[4]3'!F134</f>
        <v>40434.199999999997</v>
      </c>
      <c r="F134" s="654">
        <v>40458</v>
      </c>
      <c r="G134" s="473">
        <f t="shared" si="15"/>
        <v>23.80000000000291</v>
      </c>
      <c r="H134" s="460">
        <f>G134+'[4]3'!H134</f>
        <v>90.860000000000582</v>
      </c>
      <c r="I134" s="480"/>
      <c r="J134" s="553">
        <f>H134/DAY(B2)</f>
        <v>22.715000000000146</v>
      </c>
      <c r="N134" s="382"/>
    </row>
    <row r="135" spans="1:14" ht="27.75">
      <c r="A135" s="1313" t="s">
        <v>244</v>
      </c>
      <c r="B135" s="1314"/>
      <c r="C135" s="1314"/>
      <c r="D135" s="523" t="s">
        <v>239</v>
      </c>
      <c r="E135" s="484">
        <f>'[4]3'!F135</f>
        <v>32582.09</v>
      </c>
      <c r="F135" s="654">
        <v>32582</v>
      </c>
      <c r="G135" s="473">
        <f t="shared" si="15"/>
        <v>-9.0000000000145519E-2</v>
      </c>
      <c r="H135" s="460">
        <f>G135+'[4]3'!H135</f>
        <v>11</v>
      </c>
      <c r="I135" s="480"/>
      <c r="J135" s="553">
        <f>H135/DAY(B2)</f>
        <v>2.75</v>
      </c>
      <c r="N135" s="382"/>
    </row>
    <row r="136" spans="1:14" ht="27.75">
      <c r="A136" s="1313" t="s">
        <v>245</v>
      </c>
      <c r="B136" s="1314"/>
      <c r="C136" s="1314"/>
      <c r="D136" s="523" t="s">
        <v>239</v>
      </c>
      <c r="E136" s="484">
        <f>'[4]3'!F136</f>
        <v>22248.35</v>
      </c>
      <c r="F136" s="637">
        <v>22256.43</v>
      </c>
      <c r="G136" s="473">
        <f t="shared" si="15"/>
        <v>8.0800000000017462</v>
      </c>
      <c r="H136" s="460">
        <f>G136+'[4]3'!H136</f>
        <v>34.220000000001164</v>
      </c>
      <c r="I136" s="480">
        <f>G136+G137+G138</f>
        <v>11.270000000004075</v>
      </c>
      <c r="J136" s="553">
        <f>H136/DAY(B2)</f>
        <v>8.555000000000291</v>
      </c>
      <c r="N136" s="382"/>
    </row>
    <row r="137" spans="1:14" ht="27.75">
      <c r="A137" s="1313" t="s">
        <v>246</v>
      </c>
      <c r="B137" s="1314"/>
      <c r="C137" s="1314"/>
      <c r="D137" s="523" t="s">
        <v>239</v>
      </c>
      <c r="E137" s="484">
        <f>'[4]3'!F137</f>
        <v>25044.31</v>
      </c>
      <c r="F137" s="637">
        <v>25044.31</v>
      </c>
      <c r="G137" s="473">
        <f t="shared" si="15"/>
        <v>0</v>
      </c>
      <c r="H137" s="460">
        <f>G137+'[4]3'!H137</f>
        <v>0</v>
      </c>
      <c r="I137" s="480"/>
      <c r="J137" s="553">
        <f>H137/DAY(B2)</f>
        <v>0</v>
      </c>
      <c r="N137" s="382"/>
    </row>
    <row r="138" spans="1:14" ht="27.75">
      <c r="A138" s="1313" t="s">
        <v>247</v>
      </c>
      <c r="B138" s="1314"/>
      <c r="C138" s="1314"/>
      <c r="D138" s="523" t="s">
        <v>239</v>
      </c>
      <c r="E138" s="484">
        <f>'[4]3'!F138</f>
        <v>70164.81</v>
      </c>
      <c r="F138" s="637">
        <v>70168</v>
      </c>
      <c r="G138" s="473">
        <f t="shared" si="15"/>
        <v>3.1900000000023283</v>
      </c>
      <c r="H138" s="460">
        <f>G138+'[4]3'!H138</f>
        <v>20.660000000003492</v>
      </c>
      <c r="I138" s="480"/>
      <c r="J138" s="553">
        <f>H138/DAY(B2)</f>
        <v>5.1650000000008731</v>
      </c>
      <c r="N138" s="382"/>
    </row>
    <row r="139" spans="1:14" ht="27.75">
      <c r="A139" s="1313" t="s">
        <v>248</v>
      </c>
      <c r="B139" s="1314"/>
      <c r="C139" s="1314"/>
      <c r="D139" s="523" t="s">
        <v>239</v>
      </c>
      <c r="E139" s="484">
        <f>'[4]3'!F139</f>
        <v>1445.97</v>
      </c>
      <c r="F139" s="654">
        <v>1453</v>
      </c>
      <c r="G139" s="473">
        <f t="shared" si="15"/>
        <v>7.0299999999999727</v>
      </c>
      <c r="H139" s="460">
        <f>G139+'[4]3'!H139</f>
        <v>29.8599999999999</v>
      </c>
      <c r="I139" s="543">
        <f>G139+G140</f>
        <v>7.0299999999999727</v>
      </c>
      <c r="J139" s="553">
        <f>H139/DAY(B2)</f>
        <v>7.464999999999975</v>
      </c>
      <c r="N139" s="382"/>
    </row>
    <row r="140" spans="1:14" ht="27.75">
      <c r="A140" s="1313" t="s">
        <v>249</v>
      </c>
      <c r="B140" s="1314"/>
      <c r="C140" s="1314"/>
      <c r="D140" s="523" t="s">
        <v>239</v>
      </c>
      <c r="E140" s="484">
        <f>'[4]3'!F140</f>
        <v>4334</v>
      </c>
      <c r="F140" s="636">
        <v>4334</v>
      </c>
      <c r="G140" s="473">
        <f t="shared" si="15"/>
        <v>0</v>
      </c>
      <c r="H140" s="460">
        <f>G140+'[4]3'!H140</f>
        <v>0</v>
      </c>
      <c r="I140" s="543"/>
      <c r="J140" s="553">
        <f>H140/DAY(B2)</f>
        <v>0</v>
      </c>
      <c r="N140" s="382"/>
    </row>
    <row r="141" spans="1:14">
      <c r="A141" s="1446" t="s">
        <v>250</v>
      </c>
      <c r="B141" s="1447"/>
      <c r="C141" s="1319"/>
      <c r="D141" s="472"/>
      <c r="E141" s="472"/>
      <c r="F141" s="483"/>
      <c r="G141" s="483"/>
      <c r="H141" s="483"/>
      <c r="I141" s="483"/>
      <c r="J141" s="564"/>
      <c r="K141" s="380"/>
      <c r="L141" s="377"/>
      <c r="N141" s="382"/>
    </row>
    <row r="142" spans="1:14" ht="27.75">
      <c r="A142" s="1411" t="s">
        <v>251</v>
      </c>
      <c r="B142" s="1412"/>
      <c r="C142" s="1413"/>
      <c r="D142" s="523" t="s">
        <v>132</v>
      </c>
      <c r="E142" s="523"/>
      <c r="F142" s="639"/>
      <c r="G142" s="460">
        <f>G35+G43+G49+G57</f>
        <v>5721.6599999999908</v>
      </c>
      <c r="H142" s="460">
        <f>G142+'[4]3'!H142</f>
        <v>23250.120000000068</v>
      </c>
      <c r="I142" s="480"/>
      <c r="J142" s="553">
        <f>H142/DAY(B2)</f>
        <v>5812.530000000017</v>
      </c>
      <c r="K142" s="380"/>
      <c r="L142" s="377"/>
      <c r="N142" s="382"/>
    </row>
    <row r="143" spans="1:14" ht="27.75">
      <c r="A143" s="1411" t="s">
        <v>252</v>
      </c>
      <c r="B143" s="1412"/>
      <c r="C143" s="1413"/>
      <c r="D143" s="523" t="s">
        <v>24</v>
      </c>
      <c r="E143" s="511"/>
      <c r="F143" s="644"/>
      <c r="G143" s="544">
        <f>G142/G7</f>
        <v>0.28908953112368585</v>
      </c>
      <c r="H143" s="460">
        <f>G143+'[4]3'!H143</f>
        <v>0.90054097466374305</v>
      </c>
      <c r="I143" s="545"/>
      <c r="J143" s="553">
        <f>H143/DAY(B2)</f>
        <v>0.22513524366593576</v>
      </c>
      <c r="K143" s="380"/>
      <c r="L143" s="377"/>
      <c r="N143" s="382"/>
    </row>
    <row r="144" spans="1:14" ht="27.75">
      <c r="A144" s="1411" t="s">
        <v>253</v>
      </c>
      <c r="B144" s="1412"/>
      <c r="C144" s="1413"/>
      <c r="D144" s="523" t="s">
        <v>132</v>
      </c>
      <c r="E144" s="455"/>
      <c r="F144" s="634"/>
      <c r="G144" s="460">
        <f>G41+G42+G55+G56</f>
        <v>4227.2200000000594</v>
      </c>
      <c r="H144" s="460">
        <f>G144+'[4]3'!H144</f>
        <v>20534.059999999969</v>
      </c>
      <c r="I144" s="480"/>
      <c r="J144" s="553">
        <f>H144/DAY(B2)</f>
        <v>5133.5149999999921</v>
      </c>
      <c r="K144" s="380"/>
      <c r="L144" s="377"/>
      <c r="N144" s="382"/>
    </row>
    <row r="145" spans="1:14" ht="27.75">
      <c r="A145" s="1411" t="s">
        <v>254</v>
      </c>
      <c r="B145" s="1412"/>
      <c r="C145" s="1413"/>
      <c r="D145" s="523" t="s">
        <v>24</v>
      </c>
      <c r="E145" s="455"/>
      <c r="F145" s="634"/>
      <c r="G145" s="544">
        <f>G144/G7</f>
        <v>0.21358225545675319</v>
      </c>
      <c r="H145" s="460">
        <f>G145+'[4]3'!H145</f>
        <v>0.95528197625623879</v>
      </c>
      <c r="I145" s="545"/>
      <c r="J145" s="553">
        <f>H145/DAY(B2)</f>
        <v>0.2388204940640597</v>
      </c>
      <c r="K145" s="380"/>
      <c r="L145" s="377"/>
      <c r="N145" s="382"/>
    </row>
    <row r="146" spans="1:14" ht="27.75">
      <c r="A146" s="1411" t="s">
        <v>255</v>
      </c>
      <c r="B146" s="1412"/>
      <c r="C146" s="1413"/>
      <c r="D146" s="523" t="s">
        <v>132</v>
      </c>
      <c r="E146" s="455"/>
      <c r="F146" s="634"/>
      <c r="G146" s="460">
        <f>G39+G53</f>
        <v>4163.2299999999814</v>
      </c>
      <c r="H146" s="460">
        <f>G146+'[4]3'!H146</f>
        <v>17217.37999999999</v>
      </c>
      <c r="I146" s="546"/>
      <c r="J146" s="553">
        <f>H146/DAY(B2)</f>
        <v>4304.3449999999975</v>
      </c>
      <c r="K146" s="380"/>
      <c r="L146" s="377"/>
      <c r="N146" s="382"/>
    </row>
    <row r="147" spans="1:14" ht="27.75">
      <c r="A147" s="1411" t="s">
        <v>256</v>
      </c>
      <c r="B147" s="1412"/>
      <c r="C147" s="1413"/>
      <c r="D147" s="523" t="s">
        <v>24</v>
      </c>
      <c r="E147" s="455"/>
      <c r="F147" s="634"/>
      <c r="G147" s="544">
        <f>G146/G7</f>
        <v>0.21034913096200392</v>
      </c>
      <c r="H147" s="460">
        <f>G147+'[4]3'!H147</f>
        <v>0.80522693156896208</v>
      </c>
      <c r="I147" s="546"/>
      <c r="J147" s="553">
        <f>H147/DAY(B2)</f>
        <v>0.20130673289224052</v>
      </c>
      <c r="N147" s="382"/>
    </row>
    <row r="148" spans="1:14" ht="27.75">
      <c r="A148" s="1411" t="s">
        <v>257</v>
      </c>
      <c r="B148" s="1412"/>
      <c r="C148" s="1413"/>
      <c r="D148" s="523" t="s">
        <v>183</v>
      </c>
      <c r="E148" s="455"/>
      <c r="F148" s="634"/>
      <c r="G148" s="460">
        <f>G38+G52</f>
        <v>2010.8200000000143</v>
      </c>
      <c r="H148" s="460">
        <f>G148+'[4]3'!H148</f>
        <v>8412.7999999999811</v>
      </c>
      <c r="I148" s="480"/>
      <c r="J148" s="553">
        <f>H148/DAY(B2)</f>
        <v>2103.1999999999953</v>
      </c>
      <c r="K148" s="381"/>
      <c r="N148" s="382"/>
    </row>
    <row r="149" spans="1:14" ht="27.75">
      <c r="A149" s="1411" t="s">
        <v>258</v>
      </c>
      <c r="B149" s="1412"/>
      <c r="C149" s="1413"/>
      <c r="D149" s="523" t="s">
        <v>24</v>
      </c>
      <c r="E149" s="455"/>
      <c r="F149" s="634"/>
      <c r="G149" s="544">
        <f>G148/G7</f>
        <v>0.10159761519806054</v>
      </c>
      <c r="H149" s="460">
        <f>G149+'[4]3'!H149</f>
        <v>0.3934309773868504</v>
      </c>
      <c r="I149" s="546"/>
      <c r="J149" s="553">
        <f>H149/DAY(B2)</f>
        <v>9.83577443467126E-2</v>
      </c>
      <c r="N149" s="382"/>
    </row>
    <row r="150" spans="1:14" ht="27.75">
      <c r="A150" s="1411" t="s">
        <v>259</v>
      </c>
      <c r="B150" s="1412"/>
      <c r="C150" s="1413"/>
      <c r="D150" s="523" t="s">
        <v>183</v>
      </c>
      <c r="E150" s="455"/>
      <c r="F150" s="634"/>
      <c r="G150" s="460">
        <f>G36+G50</f>
        <v>1651.820000000007</v>
      </c>
      <c r="H150" s="460">
        <f>G150+'[4]3'!H150</f>
        <v>8008.3999999999651</v>
      </c>
      <c r="I150" s="546"/>
      <c r="J150" s="553">
        <f>H150/DAY(B2)</f>
        <v>2002.0999999999913</v>
      </c>
      <c r="N150" s="382"/>
    </row>
    <row r="151" spans="1:14" ht="27.75">
      <c r="A151" s="1411" t="s">
        <v>260</v>
      </c>
      <c r="B151" s="1412"/>
      <c r="C151" s="1413"/>
      <c r="D151" s="523" t="s">
        <v>24</v>
      </c>
      <c r="E151" s="455"/>
      <c r="F151" s="634"/>
      <c r="G151" s="544">
        <f>G150/G7</f>
        <v>8.3458973322554919E-2</v>
      </c>
      <c r="H151" s="460">
        <f>G151+'[4]3'!H151</f>
        <v>0.37196333730757181</v>
      </c>
      <c r="I151" s="480"/>
      <c r="J151" s="553">
        <f>H151/DAY(B2)</f>
        <v>9.2990834326892952E-2</v>
      </c>
      <c r="N151" s="382"/>
    </row>
    <row r="152" spans="1:14" ht="27.75">
      <c r="A152" s="1411" t="s">
        <v>261</v>
      </c>
      <c r="B152" s="1412"/>
      <c r="C152" s="1413"/>
      <c r="D152" s="523" t="s">
        <v>183</v>
      </c>
      <c r="E152" s="455"/>
      <c r="F152" s="634"/>
      <c r="G152" s="460">
        <f>G37+G51</f>
        <v>1488.3800000000047</v>
      </c>
      <c r="H152" s="460">
        <f>G152+'[4]3'!H152</f>
        <v>5865.1600000000035</v>
      </c>
      <c r="I152" s="480"/>
      <c r="J152" s="553">
        <f>H152/DAY(B2)</f>
        <v>1466.2900000000009</v>
      </c>
      <c r="N152" s="382"/>
    </row>
    <row r="153" spans="1:14" ht="28.5" thickBot="1">
      <c r="A153" s="1443" t="s">
        <v>262</v>
      </c>
      <c r="B153" s="1444"/>
      <c r="C153" s="1445"/>
      <c r="D153" s="626" t="s">
        <v>24</v>
      </c>
      <c r="E153" s="566"/>
      <c r="F153" s="655"/>
      <c r="G153" s="567">
        <f>G152/G7</f>
        <v>7.5201091350040661E-2</v>
      </c>
      <c r="H153" s="460">
        <f>G153+'[4]3'!H153</f>
        <v>0.27467490919108833</v>
      </c>
      <c r="I153" s="569"/>
      <c r="J153" s="570">
        <f>H153/DAY(B2)</f>
        <v>6.8668727297772084E-2</v>
      </c>
      <c r="N153" s="382"/>
    </row>
    <row r="154" spans="1:14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  <c r="N154" s="382"/>
    </row>
    <row r="157" spans="1:14" ht="27.7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663">
        <v>31052.720000000001</v>
      </c>
      <c r="F160" s="663">
        <v>31136</v>
      </c>
      <c r="G160" s="473">
        <f t="shared" ref="G160:G171" si="16">F160-E160</f>
        <v>83.279999999998836</v>
      </c>
    </row>
    <row r="161" spans="1:7">
      <c r="A161" s="790" t="s">
        <v>264</v>
      </c>
      <c r="B161" s="791"/>
      <c r="C161" s="791"/>
      <c r="D161" s="511" t="s">
        <v>187</v>
      </c>
      <c r="E161" s="663">
        <v>56464.34</v>
      </c>
      <c r="F161" s="663">
        <v>56888</v>
      </c>
      <c r="G161" s="473">
        <f t="shared" si="16"/>
        <v>423.66000000000349</v>
      </c>
    </row>
    <row r="162" spans="1:7">
      <c r="A162" s="790" t="s">
        <v>265</v>
      </c>
      <c r="B162" s="791"/>
      <c r="C162" s="791"/>
      <c r="D162" s="511" t="s">
        <v>187</v>
      </c>
      <c r="E162" s="663">
        <v>21416</v>
      </c>
      <c r="F162" s="663">
        <v>21692</v>
      </c>
      <c r="G162" s="473">
        <f t="shared" si="16"/>
        <v>276</v>
      </c>
    </row>
    <row r="163" spans="1:7">
      <c r="A163" s="790" t="s">
        <v>266</v>
      </c>
      <c r="B163" s="791"/>
      <c r="C163" s="791"/>
      <c r="D163" s="511" t="s">
        <v>187</v>
      </c>
      <c r="E163" s="663">
        <v>5473.49</v>
      </c>
      <c r="F163" s="663">
        <v>5483</v>
      </c>
      <c r="G163" s="473">
        <f t="shared" si="16"/>
        <v>9.5100000000002183</v>
      </c>
    </row>
    <row r="164" spans="1:7">
      <c r="A164" s="792" t="s">
        <v>98</v>
      </c>
      <c r="B164" s="605"/>
      <c r="C164" s="605"/>
      <c r="D164" s="511" t="s">
        <v>187</v>
      </c>
      <c r="E164" s="514">
        <f>E62</f>
        <v>20419.188999999998</v>
      </c>
      <c r="F164" s="514">
        <f>F62</f>
        <v>20419.187999999998</v>
      </c>
      <c r="G164" s="473">
        <f t="shared" si="16"/>
        <v>-1.0000000002037268E-3</v>
      </c>
    </row>
    <row r="165" spans="1:7">
      <c r="A165" s="792" t="s">
        <v>188</v>
      </c>
      <c r="B165" s="605"/>
      <c r="C165" s="605"/>
      <c r="D165" s="511" t="s">
        <v>187</v>
      </c>
      <c r="E165" s="514">
        <v>1745.37</v>
      </c>
      <c r="F165" s="514">
        <f t="shared" ref="F165:F171" si="17">F63</f>
        <v>1760</v>
      </c>
      <c r="G165" s="473">
        <f t="shared" si="16"/>
        <v>14.630000000000109</v>
      </c>
    </row>
    <row r="166" spans="1:7" ht="25.5" customHeight="1">
      <c r="A166" s="1460" t="s">
        <v>99</v>
      </c>
      <c r="B166" s="1460"/>
      <c r="C166" s="1460"/>
      <c r="D166" s="523" t="s">
        <v>187</v>
      </c>
      <c r="E166" s="514">
        <v>125180.16</v>
      </c>
      <c r="F166" s="514">
        <f t="shared" si="17"/>
        <v>125668</v>
      </c>
      <c r="G166" s="473">
        <f t="shared" si="16"/>
        <v>487.83999999999651</v>
      </c>
    </row>
    <row r="167" spans="1:7" ht="24.75" customHeight="1">
      <c r="A167" s="1460" t="s">
        <v>100</v>
      </c>
      <c r="B167" s="1460"/>
      <c r="C167" s="1460"/>
      <c r="D167" s="523" t="s">
        <v>187</v>
      </c>
      <c r="E167" s="514">
        <f t="shared" ref="E167:E171" si="18">E65</f>
        <v>133770.84</v>
      </c>
      <c r="F167" s="514">
        <f t="shared" si="17"/>
        <v>134126</v>
      </c>
      <c r="G167" s="473">
        <f t="shared" si="16"/>
        <v>355.16000000000349</v>
      </c>
    </row>
    <row r="168" spans="1:7" ht="28.5" customHeight="1">
      <c r="A168" s="1460" t="s">
        <v>101</v>
      </c>
      <c r="B168" s="1460"/>
      <c r="C168" s="1460"/>
      <c r="D168" s="523" t="s">
        <v>187</v>
      </c>
      <c r="E168" s="514">
        <f t="shared" si="18"/>
        <v>26413.93</v>
      </c>
      <c r="F168" s="514">
        <f t="shared" si="17"/>
        <v>26815</v>
      </c>
      <c r="G168" s="473">
        <f t="shared" si="16"/>
        <v>401.06999999999971</v>
      </c>
    </row>
    <row r="169" spans="1:7" ht="24.75" customHeight="1">
      <c r="A169" s="1460" t="s">
        <v>102</v>
      </c>
      <c r="B169" s="1460"/>
      <c r="C169" s="1460"/>
      <c r="D169" s="523" t="s">
        <v>187</v>
      </c>
      <c r="E169" s="514">
        <f t="shared" si="18"/>
        <v>209908.33</v>
      </c>
      <c r="F169" s="514">
        <f t="shared" si="17"/>
        <v>210580</v>
      </c>
      <c r="G169" s="473">
        <f t="shared" si="16"/>
        <v>671.67000000001281</v>
      </c>
    </row>
    <row r="170" spans="1:7" ht="24" customHeight="1">
      <c r="A170" s="1460" t="s">
        <v>103</v>
      </c>
      <c r="B170" s="1460"/>
      <c r="C170" s="1460"/>
      <c r="D170" s="523" t="s">
        <v>187</v>
      </c>
      <c r="E170" s="514">
        <f t="shared" si="18"/>
        <v>73751.149999999994</v>
      </c>
      <c r="F170" s="514">
        <f t="shared" si="17"/>
        <v>74083</v>
      </c>
      <c r="G170" s="473">
        <f t="shared" si="16"/>
        <v>331.85000000000582</v>
      </c>
    </row>
    <row r="171" spans="1:7" ht="27.75">
      <c r="A171" s="1460" t="s">
        <v>104</v>
      </c>
      <c r="B171" s="1460"/>
      <c r="C171" s="1460"/>
      <c r="D171" s="523" t="s">
        <v>187</v>
      </c>
      <c r="E171" s="514">
        <f t="shared" si="18"/>
        <v>65425.09</v>
      </c>
      <c r="F171" s="514">
        <f t="shared" si="17"/>
        <v>65740</v>
      </c>
      <c r="G171" s="473">
        <f t="shared" si="16"/>
        <v>314.91000000000349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55" zoomScaleNormal="48" zoomScaleSheetLayoutView="55" workbookViewId="0">
      <selection activeCell="F13" sqref="F13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5" s="281" customFormat="1" ht="27">
      <c r="A2" s="576" t="s">
        <v>350</v>
      </c>
      <c r="B2" s="1038">
        <v>44260</v>
      </c>
      <c r="C2" s="1150" t="s">
        <v>69</v>
      </c>
      <c r="D2" s="612">
        <v>0.48</v>
      </c>
      <c r="E2" s="461"/>
      <c r="F2" s="63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150" t="s">
        <v>120</v>
      </c>
      <c r="D3" s="613">
        <v>28</v>
      </c>
      <c r="E3" s="1432" t="s">
        <v>121</v>
      </c>
      <c r="F3" s="1433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150" t="s">
        <v>122</v>
      </c>
      <c r="D4" s="612">
        <v>0.78</v>
      </c>
      <c r="E4" s="464"/>
      <c r="F4" s="632"/>
      <c r="G4" s="464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633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26" t="s">
        <v>130</v>
      </c>
      <c r="B6" s="1427"/>
      <c r="C6" s="1428"/>
      <c r="D6" s="471"/>
      <c r="E6" s="471"/>
      <c r="F6" s="494"/>
      <c r="G6" s="471"/>
      <c r="H6" s="472"/>
      <c r="I6" s="472"/>
      <c r="J6" s="552"/>
      <c r="K6" s="427"/>
      <c r="L6" s="377"/>
    </row>
    <row r="7" spans="1:15" ht="30" thickBot="1">
      <c r="A7" s="681" t="s">
        <v>131</v>
      </c>
      <c r="B7" s="682"/>
      <c r="C7" s="682"/>
      <c r="D7" s="639" t="s">
        <v>351</v>
      </c>
      <c r="E7" s="634">
        <f>'4'!F7</f>
        <v>4530754</v>
      </c>
      <c r="F7" s="1257">
        <v>4551145</v>
      </c>
      <c r="G7" s="1262">
        <f>F7-E7</f>
        <v>20391</v>
      </c>
      <c r="H7" s="684">
        <f>G7+'4'!H7</f>
        <v>106068</v>
      </c>
      <c r="I7" s="685">
        <f>'1'!I7</f>
        <v>12000</v>
      </c>
      <c r="J7" s="686">
        <f>H7/DAY(B2)</f>
        <v>21213.599999999999</v>
      </c>
      <c r="K7" s="550"/>
      <c r="L7" s="377"/>
      <c r="N7" s="382"/>
      <c r="O7" s="382"/>
    </row>
    <row r="8" spans="1:15" ht="27.75" thickBot="1">
      <c r="A8" s="687" t="s">
        <v>133</v>
      </c>
      <c r="B8" s="688"/>
      <c r="C8" s="689"/>
      <c r="D8" s="690" t="s">
        <v>25</v>
      </c>
      <c r="E8" s="634">
        <f>'4'!F8</f>
        <v>4559427</v>
      </c>
      <c r="F8" s="1258">
        <v>4579962</v>
      </c>
      <c r="G8" s="1262">
        <f t="shared" ref="G8:G9" si="0">F8-E8</f>
        <v>20535</v>
      </c>
      <c r="H8" s="684">
        <f>G8+'4'!H8</f>
        <v>106806</v>
      </c>
      <c r="I8" s="691">
        <v>12000</v>
      </c>
      <c r="J8" s="686">
        <f>H8/DAY(B2)</f>
        <v>21361.200000000001</v>
      </c>
      <c r="K8" s="550"/>
      <c r="L8" s="425"/>
      <c r="M8" s="440"/>
      <c r="N8" s="708"/>
      <c r="O8" s="382"/>
    </row>
    <row r="9" spans="1:15">
      <c r="A9" s="692" t="s">
        <v>134</v>
      </c>
      <c r="B9" s="693"/>
      <c r="C9" s="693"/>
      <c r="D9" s="639" t="s">
        <v>132</v>
      </c>
      <c r="E9" s="636">
        <f>'4'!F9</f>
        <v>124354</v>
      </c>
      <c r="F9" s="1254">
        <v>124353.81</v>
      </c>
      <c r="G9" s="1262">
        <f t="shared" si="0"/>
        <v>-0.19000000000232831</v>
      </c>
      <c r="H9" s="684">
        <f>G9+'4'!H9</f>
        <v>37444.800000000003</v>
      </c>
      <c r="I9" s="695">
        <f>I8-J8</f>
        <v>-9361.2000000000007</v>
      </c>
      <c r="J9" s="686">
        <f>H9/DAY(B2)</f>
        <v>7488.9600000000009</v>
      </c>
      <c r="K9" s="428"/>
      <c r="L9" s="377"/>
      <c r="N9" s="382"/>
      <c r="O9" s="382"/>
    </row>
    <row r="10" spans="1:15">
      <c r="A10" s="681" t="s">
        <v>135</v>
      </c>
      <c r="B10" s="682"/>
      <c r="C10" s="682"/>
      <c r="D10" s="639" t="s">
        <v>132</v>
      </c>
      <c r="E10" s="636">
        <f>'4'!F10</f>
        <v>71239</v>
      </c>
      <c r="F10" s="1254">
        <v>90883.22</v>
      </c>
      <c r="G10" s="1262">
        <f>F10-E10</f>
        <v>19644.22</v>
      </c>
      <c r="H10" s="684">
        <f>G10+'4'!H10</f>
        <v>65187.66</v>
      </c>
      <c r="I10" s="696"/>
      <c r="J10" s="686">
        <f>H10/DAY(B2)</f>
        <v>13037.532000000001</v>
      </c>
      <c r="K10" s="428"/>
      <c r="L10" s="377"/>
      <c r="N10" s="382">
        <v>108</v>
      </c>
      <c r="O10" s="382"/>
    </row>
    <row r="11" spans="1:15">
      <c r="A11" s="681" t="s">
        <v>136</v>
      </c>
      <c r="B11" s="682"/>
      <c r="C11" s="682"/>
      <c r="D11" s="639" t="s">
        <v>132</v>
      </c>
      <c r="E11" s="634">
        <f>'4'!F11</f>
        <v>37000</v>
      </c>
      <c r="F11" s="1257">
        <v>37000</v>
      </c>
      <c r="G11" s="1262">
        <f>F11-E11</f>
        <v>0</v>
      </c>
      <c r="H11" s="684">
        <f>G11+'4'!H11</f>
        <v>0</v>
      </c>
      <c r="I11" s="696"/>
      <c r="J11" s="686">
        <f>H11/DAY(B2)</f>
        <v>0</v>
      </c>
      <c r="K11" s="428"/>
      <c r="L11" s="377"/>
      <c r="N11" s="382">
        <v>28</v>
      </c>
      <c r="O11" s="382"/>
    </row>
    <row r="12" spans="1:15">
      <c r="A12" s="681" t="s">
        <v>137</v>
      </c>
      <c r="B12" s="682"/>
      <c r="C12" s="682"/>
      <c r="D12" s="639" t="s">
        <v>132</v>
      </c>
      <c r="E12" s="636">
        <f>'4'!F12</f>
        <v>40010</v>
      </c>
      <c r="F12" s="1254">
        <v>40010</v>
      </c>
      <c r="G12" s="1262">
        <f t="shared" ref="G12" si="1">F12-E12</f>
        <v>0</v>
      </c>
      <c r="H12" s="684">
        <f>G12+'4'!H12</f>
        <v>0</v>
      </c>
      <c r="I12" s="696"/>
      <c r="J12" s="686">
        <f>H12/DAY(B2)</f>
        <v>0</v>
      </c>
      <c r="K12" s="428"/>
      <c r="L12" s="377"/>
      <c r="N12" s="382">
        <v>342</v>
      </c>
      <c r="O12" s="382"/>
    </row>
    <row r="13" spans="1:15">
      <c r="A13" s="697" t="s">
        <v>138</v>
      </c>
      <c r="B13" s="698"/>
      <c r="C13" s="698"/>
      <c r="D13" s="639"/>
      <c r="E13" s="634"/>
      <c r="F13" s="1257"/>
      <c r="G13" s="1262">
        <f>G9+G10+G11+G12</f>
        <v>19644.03</v>
      </c>
      <c r="H13" s="684">
        <f>G13+'4'!H13</f>
        <v>102632.45999999999</v>
      </c>
      <c r="I13" s="700">
        <f>G7-G13</f>
        <v>746.97000000000116</v>
      </c>
      <c r="J13" s="686">
        <f>H13/DAY(B2)</f>
        <v>20526.491999999998</v>
      </c>
      <c r="K13" s="428"/>
      <c r="L13" s="377"/>
      <c r="N13" s="382">
        <v>349</v>
      </c>
      <c r="O13" s="382"/>
    </row>
    <row r="14" spans="1:15">
      <c r="A14" s="1429" t="s">
        <v>139</v>
      </c>
      <c r="B14" s="1430"/>
      <c r="C14" s="1431"/>
      <c r="D14" s="472"/>
      <c r="E14" s="472"/>
      <c r="F14" s="1102"/>
      <c r="G14" s="1265"/>
      <c r="H14" s="472"/>
      <c r="I14" s="472"/>
      <c r="J14" s="552"/>
      <c r="K14" s="429"/>
      <c r="L14" s="377"/>
      <c r="N14" s="382">
        <v>432</v>
      </c>
      <c r="O14" s="382"/>
    </row>
    <row r="15" spans="1:15">
      <c r="A15" s="1260" t="s">
        <v>140</v>
      </c>
      <c r="B15" s="793"/>
      <c r="C15" s="793"/>
      <c r="D15" s="794" t="s">
        <v>141</v>
      </c>
      <c r="E15" s="1261">
        <f>'4'!F15</f>
        <v>1623467</v>
      </c>
      <c r="F15" s="1261">
        <v>1624360.64</v>
      </c>
      <c r="G15" s="1262">
        <f t="shared" ref="G15" si="2">F15-E15</f>
        <v>893.63999999989755</v>
      </c>
      <c r="H15" s="1263">
        <f>G15+'4'!H15</f>
        <v>4482.0299999997951</v>
      </c>
      <c r="I15" s="1104">
        <v>800</v>
      </c>
      <c r="J15" s="1264">
        <f>H15/DAY(B2)</f>
        <v>896.40599999995902</v>
      </c>
      <c r="K15" s="428"/>
      <c r="L15" s="377"/>
      <c r="N15" s="382"/>
      <c r="O15" s="382"/>
    </row>
    <row r="16" spans="1:15">
      <c r="A16" s="796"/>
      <c r="B16" s="797"/>
      <c r="C16" s="797"/>
      <c r="D16" s="794"/>
      <c r="E16" s="1261"/>
      <c r="F16" s="1261"/>
      <c r="G16" s="1262"/>
      <c r="H16" s="1263"/>
      <c r="I16" s="1100">
        <f>I15-J15</f>
        <v>-96.405999999959022</v>
      </c>
      <c r="J16" s="1264"/>
      <c r="K16" s="428"/>
      <c r="L16" s="377"/>
      <c r="N16" s="382"/>
      <c r="O16" s="382"/>
    </row>
    <row r="17" spans="1:15">
      <c r="A17" s="1429" t="s">
        <v>142</v>
      </c>
      <c r="B17" s="1430"/>
      <c r="C17" s="1431"/>
      <c r="D17" s="472"/>
      <c r="E17" s="472"/>
      <c r="F17" s="1102"/>
      <c r="G17" s="1263"/>
      <c r="H17" s="472"/>
      <c r="I17" s="472"/>
      <c r="J17" s="552"/>
      <c r="K17" s="428"/>
      <c r="L17" s="377"/>
      <c r="N17" s="382"/>
      <c r="O17" s="382"/>
    </row>
    <row r="18" spans="1:15" ht="27.75">
      <c r="A18" s="1464" t="s">
        <v>143</v>
      </c>
      <c r="B18" s="1465"/>
      <c r="C18" s="1466"/>
      <c r="D18" s="639" t="s">
        <v>144</v>
      </c>
      <c r="E18" s="636">
        <v>14</v>
      </c>
      <c r="F18" s="1254">
        <v>14</v>
      </c>
      <c r="G18" s="1262">
        <f>F18*10</f>
        <v>140</v>
      </c>
      <c r="H18" s="684">
        <f>G18+'4'!H18</f>
        <v>740</v>
      </c>
      <c r="I18" s="685">
        <f>'1'!I18</f>
        <v>65</v>
      </c>
      <c r="J18" s="686">
        <f>H18/DAY(B2)</f>
        <v>148</v>
      </c>
      <c r="K18" s="428"/>
      <c r="L18" s="377"/>
      <c r="N18" s="382"/>
      <c r="O18" s="382"/>
    </row>
    <row r="19" spans="1:15" ht="27.75">
      <c r="A19" s="1464" t="s">
        <v>71</v>
      </c>
      <c r="B19" s="1465"/>
      <c r="C19" s="1466"/>
      <c r="D19" s="639" t="s">
        <v>144</v>
      </c>
      <c r="E19" s="636">
        <f>'4'!F19</f>
        <v>134672</v>
      </c>
      <c r="F19" s="1254">
        <v>134723</v>
      </c>
      <c r="G19" s="1262">
        <f t="shared" ref="G19" si="3">F19-E19</f>
        <v>51</v>
      </c>
      <c r="H19" s="684">
        <f>G19+'4'!H19</f>
        <v>255</v>
      </c>
      <c r="I19" s="701"/>
      <c r="J19" s="686">
        <f>H19/DAY(B2)</f>
        <v>51</v>
      </c>
      <c r="K19" s="428"/>
      <c r="L19" s="377"/>
      <c r="N19" s="382"/>
      <c r="O19" s="382"/>
    </row>
    <row r="20" spans="1:15">
      <c r="A20" s="697" t="s">
        <v>145</v>
      </c>
      <c r="B20" s="698"/>
      <c r="C20" s="698"/>
      <c r="D20" s="639"/>
      <c r="E20" s="639"/>
      <c r="F20" s="639"/>
      <c r="G20" s="1266">
        <f>G18+G19</f>
        <v>191</v>
      </c>
      <c r="H20" s="684">
        <f>G20+'4'!H20</f>
        <v>995</v>
      </c>
      <c r="I20" s="703">
        <f>I18-J20</f>
        <v>-134</v>
      </c>
      <c r="J20" s="686">
        <f>H20/DAY(B2)</f>
        <v>199</v>
      </c>
      <c r="K20" s="428"/>
      <c r="L20" s="377"/>
      <c r="N20" s="382"/>
      <c r="O20" s="382"/>
    </row>
    <row r="21" spans="1:15">
      <c r="A21" s="1429" t="s">
        <v>146</v>
      </c>
      <c r="B21" s="1430"/>
      <c r="C21" s="1431"/>
      <c r="D21" s="472"/>
      <c r="E21" s="472"/>
      <c r="F21" s="483"/>
      <c r="G21" s="483"/>
      <c r="H21" s="472"/>
      <c r="I21" s="472"/>
      <c r="J21" s="552"/>
      <c r="K21" s="428"/>
      <c r="L21" s="377"/>
      <c r="N21" s="382"/>
      <c r="O21" s="382"/>
    </row>
    <row r="22" spans="1:15">
      <c r="A22" s="1148" t="s">
        <v>147</v>
      </c>
      <c r="B22" s="590"/>
      <c r="C22" s="590"/>
      <c r="D22" s="523" t="s">
        <v>148</v>
      </c>
      <c r="E22" s="636">
        <v>2970</v>
      </c>
      <c r="F22" s="636">
        <v>2970</v>
      </c>
      <c r="G22" s="481">
        <f t="shared" ref="G22" si="4">(F22-E22)</f>
        <v>0</v>
      </c>
      <c r="H22" s="460">
        <f>G22+'4'!H22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>
      <c r="A23" s="1148" t="s">
        <v>149</v>
      </c>
      <c r="B23" s="590"/>
      <c r="C23" s="590"/>
      <c r="D23" s="523" t="s">
        <v>148</v>
      </c>
      <c r="E23" s="636">
        <v>2900</v>
      </c>
      <c r="F23" s="636">
        <v>2900</v>
      </c>
      <c r="G23" s="481">
        <v>0</v>
      </c>
      <c r="H23" s="460">
        <f>G23+'4'!H23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>
      <c r="A24" s="591" t="s">
        <v>150</v>
      </c>
      <c r="B24" s="592"/>
      <c r="C24" s="592"/>
      <c r="D24" s="511" t="s">
        <v>148</v>
      </c>
      <c r="E24" s="636">
        <v>4250</v>
      </c>
      <c r="F24" s="638">
        <v>4250</v>
      </c>
      <c r="G24" s="481">
        <v>0</v>
      </c>
      <c r="H24" s="460">
        <f>G24+'4'!H24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>
      <c r="A25" s="1434" t="s">
        <v>151</v>
      </c>
      <c r="B25" s="1435"/>
      <c r="C25" s="1436"/>
      <c r="D25" s="471"/>
      <c r="E25" s="471"/>
      <c r="F25" s="494"/>
      <c r="G25" s="494"/>
      <c r="H25" s="495"/>
      <c r="I25" s="496"/>
      <c r="J25" s="555"/>
      <c r="K25" s="373"/>
      <c r="L25" s="443"/>
      <c r="N25" s="382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634"/>
      <c r="G26" s="498"/>
      <c r="H26" s="460"/>
      <c r="I26" s="499"/>
      <c r="J26" s="553"/>
      <c r="K26" s="374"/>
      <c r="L26" s="443"/>
      <c r="N26" s="382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704">
        <f>G8</f>
        <v>20535</v>
      </c>
      <c r="F27" s="501">
        <v>9</v>
      </c>
      <c r="G27" s="502">
        <f>E27*F27</f>
        <v>184815</v>
      </c>
      <c r="H27" s="460">
        <f>G27+'4'!H27</f>
        <v>961254</v>
      </c>
      <c r="I27" s="503"/>
      <c r="J27" s="553">
        <f>H27/DAY(B2)</f>
        <v>192250.8</v>
      </c>
      <c r="K27" s="373"/>
      <c r="L27" s="443"/>
      <c r="N27" s="382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704">
        <f>G15</f>
        <v>893.63999999989755</v>
      </c>
      <c r="F28" s="501">
        <v>48.88</v>
      </c>
      <c r="G28" s="502">
        <f>E28*F28</f>
        <v>43681.123199994996</v>
      </c>
      <c r="H28" s="460">
        <f>G28+'4'!H28</f>
        <v>219081.62639999</v>
      </c>
      <c r="I28" s="505"/>
      <c r="J28" s="553">
        <f>H28/DAY(B2)</f>
        <v>43816.325279997996</v>
      </c>
      <c r="K28" s="373"/>
      <c r="L28" s="443"/>
      <c r="N28" s="382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640">
        <v>69</v>
      </c>
      <c r="G29" s="502">
        <f>E29*F29</f>
        <v>0</v>
      </c>
      <c r="H29" s="460">
        <f>G29+'4'!H29</f>
        <v>0</v>
      </c>
      <c r="I29" s="505"/>
      <c r="J29" s="553">
        <f>H29/DAY(B2)</f>
        <v>0</v>
      </c>
      <c r="K29" s="373"/>
      <c r="L29" s="443"/>
      <c r="N29" s="382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704">
        <f>G19</f>
        <v>51</v>
      </c>
      <c r="F30" s="640">
        <v>134</v>
      </c>
      <c r="G30" s="502">
        <f>E30*F30</f>
        <v>6834</v>
      </c>
      <c r="H30" s="460">
        <f>G30+'4'!H30</f>
        <v>51858</v>
      </c>
      <c r="I30" s="505"/>
      <c r="J30" s="553">
        <f>H30/DAY(B2)</f>
        <v>10371.6</v>
      </c>
      <c r="K30" s="373"/>
      <c r="L30" s="443"/>
      <c r="N30" s="382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704">
        <f>G18</f>
        <v>140</v>
      </c>
      <c r="F31" s="640">
        <v>80</v>
      </c>
      <c r="G31" s="502">
        <f>E31*F31</f>
        <v>11200</v>
      </c>
      <c r="H31" s="460">
        <f>G31+'4'!H31</f>
        <v>48640</v>
      </c>
      <c r="I31" s="505"/>
      <c r="J31" s="553">
        <f>H31/DAY(B2)</f>
        <v>9728</v>
      </c>
      <c r="K31" s="373"/>
      <c r="L31" s="443"/>
      <c r="N31" s="382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641"/>
      <c r="G32" s="508">
        <f>G27+G28+G29+G30+G31</f>
        <v>246530.123199995</v>
      </c>
      <c r="H32" s="460">
        <f>G32+'4'!H32</f>
        <v>1280833.6263999899</v>
      </c>
      <c r="I32" s="509"/>
      <c r="J32" s="553">
        <f>H32/DAY(B2)</f>
        <v>256166.72527999798</v>
      </c>
      <c r="K32" s="373"/>
      <c r="L32" s="443"/>
      <c r="N32" s="382"/>
      <c r="O32" s="382"/>
    </row>
    <row r="33" spans="1:15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382"/>
      <c r="O33" s="382"/>
    </row>
    <row r="34" spans="1:15">
      <c r="A34" s="599" t="s">
        <v>163</v>
      </c>
      <c r="B34" s="1153"/>
      <c r="C34" s="1153"/>
      <c r="D34" s="472"/>
      <c r="E34" s="471"/>
      <c r="F34" s="494"/>
      <c r="G34" s="472"/>
      <c r="H34" s="472"/>
      <c r="I34" s="472"/>
      <c r="J34" s="552"/>
      <c r="K34" s="428"/>
      <c r="L34" s="377"/>
      <c r="N34" s="382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'4'!F35</f>
        <v>706472</v>
      </c>
      <c r="F35" s="1247">
        <v>709840</v>
      </c>
      <c r="G35" s="473">
        <f t="shared" ref="G35:G46" si="5">F35-E35</f>
        <v>3368</v>
      </c>
      <c r="H35" s="460">
        <f>G35+'4'!H35</f>
        <v>16752.410000000033</v>
      </c>
      <c r="I35" s="455"/>
      <c r="J35" s="553">
        <f>H35/DAY(B2)</f>
        <v>3350.4820000000063</v>
      </c>
      <c r="K35" s="428"/>
      <c r="L35" s="377"/>
      <c r="N35" s="382"/>
      <c r="O35" s="382"/>
    </row>
    <row r="36" spans="1:15">
      <c r="A36" s="579" t="s">
        <v>165</v>
      </c>
      <c r="B36" s="580"/>
      <c r="C36" s="580"/>
      <c r="D36" s="523" t="s">
        <v>132</v>
      </c>
      <c r="E36" s="510">
        <f>'4'!F36</f>
        <v>299123</v>
      </c>
      <c r="F36" s="1247">
        <v>299700</v>
      </c>
      <c r="G36" s="473">
        <f t="shared" si="5"/>
        <v>577</v>
      </c>
      <c r="H36" s="460">
        <f>G36+'4'!H36</f>
        <v>3254.429999999993</v>
      </c>
      <c r="I36" s="455"/>
      <c r="J36" s="553">
        <f>H36/DAY(B2)</f>
        <v>650.8859999999986</v>
      </c>
      <c r="K36" s="428"/>
      <c r="L36" s="377"/>
      <c r="N36" s="629"/>
      <c r="O36" s="382"/>
    </row>
    <row r="37" spans="1:15">
      <c r="A37" s="579" t="s">
        <v>166</v>
      </c>
      <c r="B37" s="580"/>
      <c r="C37" s="580"/>
      <c r="D37" s="523" t="s">
        <v>132</v>
      </c>
      <c r="E37" s="510">
        <f>'4'!F37</f>
        <v>0</v>
      </c>
      <c r="F37" s="1247">
        <v>35167</v>
      </c>
      <c r="G37" s="473">
        <f t="shared" si="5"/>
        <v>35167</v>
      </c>
      <c r="H37" s="460">
        <f>G37+'4'!H37</f>
        <v>38272.080000000002</v>
      </c>
      <c r="I37" s="455"/>
      <c r="J37" s="553">
        <f>H37/DAY(B2)</f>
        <v>7654.4160000000002</v>
      </c>
      <c r="K37" s="428"/>
      <c r="L37" s="377"/>
      <c r="N37" s="630"/>
      <c r="O37" s="382"/>
    </row>
    <row r="38" spans="1:15">
      <c r="A38" s="579" t="s">
        <v>167</v>
      </c>
      <c r="B38" s="580"/>
      <c r="C38" s="580"/>
      <c r="D38" s="523" t="s">
        <v>132</v>
      </c>
      <c r="E38" s="469">
        <f>'4'!F38</f>
        <v>48334</v>
      </c>
      <c r="F38" s="1248">
        <v>48333</v>
      </c>
      <c r="G38" s="473">
        <f t="shared" si="5"/>
        <v>-1</v>
      </c>
      <c r="H38" s="460">
        <f>G38+'4'!H38</f>
        <v>4519.510000000002</v>
      </c>
      <c r="I38" s="455"/>
      <c r="J38" s="553">
        <f>H38/DAY(B2)</f>
        <v>903.90200000000038</v>
      </c>
      <c r="K38" s="428"/>
      <c r="L38" s="377"/>
      <c r="N38" s="382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'4'!F39</f>
        <v>0</v>
      </c>
      <c r="F39" s="1247">
        <v>100066</v>
      </c>
      <c r="G39" s="473">
        <f t="shared" si="5"/>
        <v>100066</v>
      </c>
      <c r="H39" s="460">
        <f>G39+'4'!H39</f>
        <v>109458.89</v>
      </c>
      <c r="I39" s="455"/>
      <c r="J39" s="553">
        <f>H39/DAY(B2)</f>
        <v>21891.777999999998</v>
      </c>
      <c r="K39" s="428"/>
      <c r="L39" s="377"/>
      <c r="N39" s="382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f>'4'!F40</f>
        <v>0.17</v>
      </c>
      <c r="F40" s="1247">
        <v>0.17</v>
      </c>
      <c r="G40" s="473">
        <f t="shared" si="5"/>
        <v>0</v>
      </c>
      <c r="H40" s="460">
        <f>G40+'4'!H40</f>
        <v>0</v>
      </c>
      <c r="I40" s="455"/>
      <c r="J40" s="553">
        <f>H40/DAY(B2)</f>
        <v>0</v>
      </c>
      <c r="K40" s="429"/>
      <c r="L40" s="377"/>
      <c r="N40" s="382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'4'!F41</f>
        <v>63882</v>
      </c>
      <c r="F41" s="1247">
        <v>63881.74</v>
      </c>
      <c r="G41" s="473">
        <f t="shared" si="5"/>
        <v>-0.26000000000203727</v>
      </c>
      <c r="H41" s="460">
        <f>G41+'4'!H41</f>
        <v>-0.63000000000465661</v>
      </c>
      <c r="I41" s="455"/>
      <c r="J41" s="553">
        <f>H41/DAY(B2)</f>
        <v>-0.12600000000093131</v>
      </c>
      <c r="K41" s="428"/>
      <c r="L41" s="377"/>
      <c r="N41" s="382"/>
      <c r="O41" s="382"/>
    </row>
    <row r="42" spans="1:15">
      <c r="A42" s="579" t="s">
        <v>171</v>
      </c>
      <c r="B42" s="580"/>
      <c r="C42" s="580"/>
      <c r="D42" s="523" t="s">
        <v>132</v>
      </c>
      <c r="E42" s="510">
        <f>'4'!F42</f>
        <v>59129</v>
      </c>
      <c r="F42" s="1247">
        <v>59128</v>
      </c>
      <c r="G42" s="473">
        <f t="shared" si="5"/>
        <v>-1</v>
      </c>
      <c r="H42" s="460">
        <f>G42+'4'!H42</f>
        <v>-0.84999999999854481</v>
      </c>
      <c r="I42" s="455"/>
      <c r="J42" s="553">
        <f>H42/DAY(B2)</f>
        <v>-0.16999999999970897</v>
      </c>
      <c r="K42" s="428"/>
      <c r="L42" s="377"/>
      <c r="N42" s="382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'4'!F43</f>
        <v>835764</v>
      </c>
      <c r="F43" s="1247">
        <v>838151</v>
      </c>
      <c r="G43" s="473">
        <f t="shared" si="5"/>
        <v>2387</v>
      </c>
      <c r="H43" s="460">
        <f>G43+'4'!H43</f>
        <v>12253.170000000042</v>
      </c>
      <c r="I43" s="455"/>
      <c r="J43" s="553">
        <f>H43/DAY(B2)</f>
        <v>2450.6340000000082</v>
      </c>
      <c r="K43" s="428"/>
      <c r="L43" s="377"/>
      <c r="N43" s="382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'4'!F44</f>
        <v>0</v>
      </c>
      <c r="F44" s="1247">
        <v>0</v>
      </c>
      <c r="G44" s="473">
        <f t="shared" si="5"/>
        <v>0</v>
      </c>
      <c r="H44" s="460">
        <f>G44+'4'!H44</f>
        <v>0</v>
      </c>
      <c r="I44" s="455"/>
      <c r="J44" s="553">
        <f>H44/DAY(B2)</f>
        <v>0</v>
      </c>
      <c r="K44" s="428"/>
      <c r="L44" s="377"/>
      <c r="N44" s="382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'4'!F45</f>
        <v>614</v>
      </c>
      <c r="F45" s="1247">
        <v>614</v>
      </c>
      <c r="G45" s="473">
        <f t="shared" si="5"/>
        <v>0</v>
      </c>
      <c r="H45" s="460">
        <f>G45+'4'!H45</f>
        <v>0</v>
      </c>
      <c r="I45" s="455"/>
      <c r="J45" s="553">
        <f>H45/DAY(B2)</f>
        <v>0</v>
      </c>
      <c r="K45" s="428"/>
      <c r="L45" s="377"/>
      <c r="N45" s="382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'4'!F46</f>
        <v>187</v>
      </c>
      <c r="F46" s="1247">
        <v>187</v>
      </c>
      <c r="G46" s="473">
        <f t="shared" si="5"/>
        <v>0</v>
      </c>
      <c r="H46" s="460">
        <f>G46+'4'!H46</f>
        <v>0</v>
      </c>
      <c r="I46" s="455"/>
      <c r="J46" s="553">
        <f>H46/DAY(B2)</f>
        <v>0</v>
      </c>
      <c r="K46" s="428"/>
      <c r="L46" s="377"/>
      <c r="N46" s="382"/>
      <c r="O46" s="382"/>
    </row>
    <row r="47" spans="1:15">
      <c r="A47" s="586" t="s">
        <v>176</v>
      </c>
      <c r="B47" s="587"/>
      <c r="C47" s="587"/>
      <c r="D47" s="470"/>
      <c r="E47" s="511"/>
      <c r="F47" s="1249"/>
      <c r="G47" s="481">
        <f>G35+G36+G37+G38+G39+G40+G41+G42+G43+G44+G45+G46</f>
        <v>141562.74</v>
      </c>
      <c r="H47" s="460">
        <f>G47+'4'!H47</f>
        <v>184509.01000000007</v>
      </c>
      <c r="I47" s="455"/>
      <c r="J47" s="553">
        <f>H47/DAY(B2)</f>
        <v>36901.802000000011</v>
      </c>
      <c r="K47" s="428"/>
      <c r="L47" s="377"/>
      <c r="N47" s="382"/>
      <c r="O47" s="382"/>
    </row>
    <row r="48" spans="1:15">
      <c r="A48" s="599" t="s">
        <v>177</v>
      </c>
      <c r="B48" s="1153"/>
      <c r="C48" s="1153"/>
      <c r="D48" s="472"/>
      <c r="E48" s="471"/>
      <c r="F48" s="1250"/>
      <c r="G48" s="472"/>
      <c r="H48" s="472"/>
      <c r="I48" s="472"/>
      <c r="J48" s="552"/>
      <c r="K48" s="428"/>
      <c r="L48" s="377"/>
      <c r="N48" s="382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'4'!F49</f>
        <v>260732</v>
      </c>
      <c r="F49" s="1247">
        <v>260732</v>
      </c>
      <c r="G49" s="473">
        <f t="shared" ref="G49:G58" si="6">F49-E49</f>
        <v>0</v>
      </c>
      <c r="H49" s="460">
        <f>G49+'4'!H49</f>
        <v>-0.13000000000465661</v>
      </c>
      <c r="I49" s="455"/>
      <c r="J49" s="553">
        <f>H49/DAY(B2)</f>
        <v>-2.6000000000931323E-2</v>
      </c>
      <c r="K49" s="428"/>
      <c r="L49" s="377"/>
      <c r="N49" s="382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'4'!F50</f>
        <v>407794</v>
      </c>
      <c r="F50" s="1247">
        <v>408805</v>
      </c>
      <c r="G50" s="473">
        <f t="shared" si="6"/>
        <v>1011</v>
      </c>
      <c r="H50" s="460">
        <f>G50+'4'!H50</f>
        <v>6341.9699999999721</v>
      </c>
      <c r="I50" s="455"/>
      <c r="J50" s="553">
        <f>H50/DAY(B2)</f>
        <v>1268.3939999999943</v>
      </c>
      <c r="K50" s="428"/>
      <c r="L50" s="377"/>
      <c r="N50" s="382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'4'!F51</f>
        <v>122811</v>
      </c>
      <c r="F51" s="1247">
        <v>124303</v>
      </c>
      <c r="G51" s="473">
        <f t="shared" si="6"/>
        <v>1492</v>
      </c>
      <c r="H51" s="460">
        <f>G51+'4'!H51</f>
        <v>4252.0800000000017</v>
      </c>
      <c r="I51" s="455"/>
      <c r="J51" s="553">
        <f>H51/DAY(B2)</f>
        <v>850.41600000000039</v>
      </c>
      <c r="K51" s="428"/>
      <c r="L51" s="377"/>
      <c r="N51" s="382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'4'!F52</f>
        <v>511805</v>
      </c>
      <c r="F52" s="1247">
        <v>513628</v>
      </c>
      <c r="G52" s="473">
        <f t="shared" si="6"/>
        <v>1823</v>
      </c>
      <c r="H52" s="460">
        <f>G52+'4'!H52</f>
        <v>5715.289999999979</v>
      </c>
      <c r="I52" s="455"/>
      <c r="J52" s="553">
        <f>H52/DAY(B2)</f>
        <v>1143.0579999999959</v>
      </c>
      <c r="K52" s="428"/>
      <c r="L52" s="377"/>
      <c r="N52" s="382"/>
      <c r="O52" s="382"/>
    </row>
    <row r="53" spans="1:15">
      <c r="A53" s="579" t="s">
        <v>168</v>
      </c>
      <c r="B53" s="602"/>
      <c r="C53" s="602"/>
      <c r="D53" s="523" t="s">
        <v>132</v>
      </c>
      <c r="E53" s="510">
        <f>'4'!F53</f>
        <v>339679</v>
      </c>
      <c r="F53" s="1247">
        <v>343944</v>
      </c>
      <c r="G53" s="473">
        <f t="shared" si="6"/>
        <v>4265</v>
      </c>
      <c r="H53" s="460">
        <f>G53+'4'!H53</f>
        <v>12089.489999999991</v>
      </c>
      <c r="I53" s="455"/>
      <c r="J53" s="553">
        <f>H53/DAY(B2)</f>
        <v>2417.8979999999983</v>
      </c>
      <c r="K53" s="428"/>
      <c r="L53" s="377"/>
      <c r="N53" s="382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'4'!F54</f>
        <v>8200</v>
      </c>
      <c r="F54" s="1247">
        <v>8200</v>
      </c>
      <c r="G54" s="473">
        <f t="shared" si="6"/>
        <v>0</v>
      </c>
      <c r="H54" s="460">
        <f>G54+'4'!H54</f>
        <v>104.40000000000055</v>
      </c>
      <c r="I54" s="455"/>
      <c r="J54" s="553">
        <f>H54/DAY(B2)</f>
        <v>20.880000000000109</v>
      </c>
      <c r="K54" s="428"/>
      <c r="L54" s="377"/>
      <c r="N54" s="382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'4'!F55</f>
        <v>135614</v>
      </c>
      <c r="F55" s="1259">
        <v>140538</v>
      </c>
      <c r="G55" s="473">
        <f t="shared" si="6"/>
        <v>4924</v>
      </c>
      <c r="H55" s="460">
        <f>G55+'4'!H55</f>
        <v>22952.309999999998</v>
      </c>
      <c r="I55" s="455"/>
      <c r="J55" s="553">
        <f>H55/DAY(B2)</f>
        <v>4590.4619999999995</v>
      </c>
      <c r="K55" s="428"/>
      <c r="L55" s="377"/>
      <c r="N55" s="382"/>
      <c r="O55" s="382"/>
    </row>
    <row r="56" spans="1:15">
      <c r="A56" s="579" t="s">
        <v>182</v>
      </c>
      <c r="B56" s="602"/>
      <c r="C56" s="602"/>
      <c r="D56" s="523" t="s">
        <v>183</v>
      </c>
      <c r="E56" s="510">
        <f>'4'!F56</f>
        <v>588557</v>
      </c>
      <c r="F56" s="1259">
        <v>588535</v>
      </c>
      <c r="G56" s="473">
        <f t="shared" si="6"/>
        <v>-22</v>
      </c>
      <c r="H56" s="460">
        <f>G56+'4'!H56</f>
        <v>2483.9699999999721</v>
      </c>
      <c r="I56" s="455"/>
      <c r="J56" s="553">
        <f>H56/DAY(B2)</f>
        <v>496.79399999999441</v>
      </c>
      <c r="K56" s="427"/>
      <c r="L56" s="377"/>
      <c r="N56" s="382"/>
      <c r="O56" s="382"/>
    </row>
    <row r="57" spans="1:15">
      <c r="A57" s="579" t="s">
        <v>172</v>
      </c>
      <c r="B57" s="602"/>
      <c r="C57" s="602"/>
      <c r="D57" s="523" t="s">
        <v>132</v>
      </c>
      <c r="E57" s="510">
        <f>'4'!F57</f>
        <v>7711</v>
      </c>
      <c r="F57" s="1247">
        <v>7711</v>
      </c>
      <c r="G57" s="473">
        <f t="shared" si="6"/>
        <v>0</v>
      </c>
      <c r="H57" s="460">
        <f>G57+'4'!H57</f>
        <v>-0.32999999999992724</v>
      </c>
      <c r="I57" s="455"/>
      <c r="J57" s="553">
        <f>H57/DAY(B2)</f>
        <v>-6.5999999999985445E-2</v>
      </c>
      <c r="K57" s="428"/>
      <c r="L57" s="377"/>
      <c r="N57" s="382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'4'!F58</f>
        <v>36665</v>
      </c>
      <c r="F58" s="1251">
        <v>36874</v>
      </c>
      <c r="G58" s="473">
        <f t="shared" si="6"/>
        <v>209</v>
      </c>
      <c r="H58" s="460">
        <f>G58+'4'!H58</f>
        <v>1005.3000000000029</v>
      </c>
      <c r="I58" s="455"/>
      <c r="J58" s="553">
        <f>H58/DAY(B2)</f>
        <v>201.06000000000057</v>
      </c>
      <c r="K58" s="428"/>
      <c r="L58" s="377"/>
      <c r="N58" s="382"/>
      <c r="O58" s="382"/>
    </row>
    <row r="59" spans="1:15">
      <c r="A59" s="586" t="s">
        <v>176</v>
      </c>
      <c r="B59" s="587"/>
      <c r="C59" s="587"/>
      <c r="D59" s="511"/>
      <c r="E59" s="511"/>
      <c r="F59" s="1249"/>
      <c r="G59" s="481">
        <f>G49+G50+G51+G52+G53+G54+G55+G56+G57+G58</f>
        <v>13702</v>
      </c>
      <c r="H59" s="460">
        <f>G59+'4'!H59</f>
        <v>54944.349999999911</v>
      </c>
      <c r="I59" s="455">
        <f>G7-G60</f>
        <v>-134873.74</v>
      </c>
      <c r="J59" s="553">
        <f>H59/DAY(B2)</f>
        <v>10988.869999999983</v>
      </c>
      <c r="K59" s="428"/>
      <c r="L59" s="377"/>
      <c r="N59" s="382"/>
      <c r="O59" s="382"/>
    </row>
    <row r="60" spans="1:15">
      <c r="A60" s="579"/>
      <c r="B60" s="580"/>
      <c r="C60" s="580"/>
      <c r="D60" s="511" t="s">
        <v>185</v>
      </c>
      <c r="E60" s="511"/>
      <c r="F60" s="1249"/>
      <c r="G60" s="481">
        <f>G47+G59</f>
        <v>155264.74</v>
      </c>
      <c r="H60" s="460">
        <f>G60+'4'!H60</f>
        <v>239453.36</v>
      </c>
      <c r="I60" s="455">
        <f>G13-G60</f>
        <v>-135620.71</v>
      </c>
      <c r="J60" s="553">
        <f>H60/DAY(B2)</f>
        <v>47890.671999999999</v>
      </c>
      <c r="K60" s="428"/>
      <c r="L60" s="377"/>
      <c r="N60" s="382"/>
      <c r="O60" s="382"/>
    </row>
    <row r="61" spans="1:15">
      <c r="A61" s="603" t="s">
        <v>186</v>
      </c>
      <c r="B61" s="453"/>
      <c r="C61" s="453"/>
      <c r="D61" s="513"/>
      <c r="E61" s="512"/>
      <c r="F61" s="1252"/>
      <c r="G61" s="513"/>
      <c r="H61" s="513"/>
      <c r="I61" s="513"/>
      <c r="J61" s="556"/>
      <c r="K61" s="428"/>
      <c r="L61" s="377"/>
      <c r="N61" s="382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'4'!F62</f>
        <v>20419.187999999998</v>
      </c>
      <c r="F62" s="1253">
        <v>20419</v>
      </c>
      <c r="G62" s="473">
        <f t="shared" ref="G62:G69" si="7">F62-E62</f>
        <v>-0.18799999999828287</v>
      </c>
      <c r="H62" s="460">
        <f>G62+'4'!H62</f>
        <v>-0.18700000000171713</v>
      </c>
      <c r="I62" s="515"/>
      <c r="J62" s="553">
        <f>H62/DAY(B2)</f>
        <v>-3.7400000000343422E-2</v>
      </c>
      <c r="K62" s="428"/>
      <c r="L62" s="377"/>
      <c r="N62" s="382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'4'!F63</f>
        <v>1760</v>
      </c>
      <c r="F63" s="1253">
        <v>1771</v>
      </c>
      <c r="G63" s="473">
        <f t="shared" si="7"/>
        <v>11</v>
      </c>
      <c r="H63" s="460">
        <f>G63+'4'!H63</f>
        <v>63.6400000000001</v>
      </c>
      <c r="I63" s="515"/>
      <c r="J63" s="553">
        <f>H63/DAY(B2)</f>
        <v>12.728000000000019</v>
      </c>
      <c r="K63" s="428"/>
      <c r="L63" s="377"/>
      <c r="N63" s="382"/>
      <c r="O63" s="382"/>
    </row>
    <row r="64" spans="1:15" ht="27.75">
      <c r="A64" s="1408" t="s">
        <v>99</v>
      </c>
      <c r="B64" s="1409"/>
      <c r="C64" s="1410"/>
      <c r="D64" s="523" t="s">
        <v>187</v>
      </c>
      <c r="E64" s="484">
        <f>'4'!F64</f>
        <v>125668</v>
      </c>
      <c r="F64" s="1254">
        <v>126210</v>
      </c>
      <c r="G64" s="473">
        <f t="shared" si="7"/>
        <v>542</v>
      </c>
      <c r="H64" s="460">
        <f>G64+'4'!H64</f>
        <v>2582.6999999999971</v>
      </c>
      <c r="I64" s="480"/>
      <c r="J64" s="553">
        <f>H64/DAY(B2)</f>
        <v>516.5399999999994</v>
      </c>
      <c r="K64" s="428"/>
      <c r="L64" s="377"/>
      <c r="N64" s="382"/>
      <c r="O64" s="382"/>
    </row>
    <row r="65" spans="1:15" ht="27.75">
      <c r="A65" s="1408" t="s">
        <v>100</v>
      </c>
      <c r="B65" s="1409"/>
      <c r="C65" s="1410"/>
      <c r="D65" s="523" t="s">
        <v>187</v>
      </c>
      <c r="E65" s="484">
        <f>'4'!F65</f>
        <v>134126</v>
      </c>
      <c r="F65" s="1255">
        <v>134499</v>
      </c>
      <c r="G65" s="473">
        <f t="shared" si="7"/>
        <v>373</v>
      </c>
      <c r="H65" s="460">
        <f>G65+'4'!H65</f>
        <v>1901.7000000000116</v>
      </c>
      <c r="I65" s="489"/>
      <c r="J65" s="553">
        <f>H65/DAY(B2)</f>
        <v>380.34000000000231</v>
      </c>
      <c r="K65" s="428"/>
      <c r="L65" s="377"/>
      <c r="N65" s="382"/>
      <c r="O65" s="382"/>
    </row>
    <row r="66" spans="1:15" ht="27.75">
      <c r="A66" s="1408" t="s">
        <v>101</v>
      </c>
      <c r="B66" s="1409"/>
      <c r="C66" s="1410"/>
      <c r="D66" s="523" t="s">
        <v>187</v>
      </c>
      <c r="E66" s="484">
        <f>'4'!F66</f>
        <v>26815</v>
      </c>
      <c r="F66" s="1254">
        <v>27210</v>
      </c>
      <c r="G66" s="473">
        <f t="shared" si="7"/>
        <v>395</v>
      </c>
      <c r="H66" s="460">
        <f>G66+'4'!H66</f>
        <v>2050.25</v>
      </c>
      <c r="I66" s="480"/>
      <c r="J66" s="553">
        <f>H66/DAY(B2)</f>
        <v>410.05</v>
      </c>
      <c r="K66" s="428"/>
      <c r="L66" s="377"/>
      <c r="N66" s="382"/>
      <c r="O66" s="382"/>
    </row>
    <row r="67" spans="1:15" ht="27.75">
      <c r="A67" s="1408" t="s">
        <v>102</v>
      </c>
      <c r="B67" s="1409"/>
      <c r="C67" s="1410"/>
      <c r="D67" s="523" t="s">
        <v>187</v>
      </c>
      <c r="E67" s="484">
        <f>'4'!F67</f>
        <v>210580</v>
      </c>
      <c r="F67" s="1254">
        <v>211254</v>
      </c>
      <c r="G67" s="473">
        <f t="shared" si="7"/>
        <v>674</v>
      </c>
      <c r="H67" s="460">
        <f>G67+'4'!H67</f>
        <v>3412.1700000000128</v>
      </c>
      <c r="I67" s="489"/>
      <c r="J67" s="553">
        <f>H67/DAY(B2)</f>
        <v>682.43400000000258</v>
      </c>
      <c r="K67" s="429"/>
      <c r="L67" s="377"/>
      <c r="N67" s="382"/>
      <c r="O67" s="382"/>
    </row>
    <row r="68" spans="1:15" ht="27.75">
      <c r="A68" s="1408" t="s">
        <v>103</v>
      </c>
      <c r="B68" s="1409"/>
      <c r="C68" s="1410"/>
      <c r="D68" s="523" t="s">
        <v>187</v>
      </c>
      <c r="E68" s="484">
        <f>'4'!F68</f>
        <v>74083</v>
      </c>
      <c r="F68" s="1254">
        <v>74412</v>
      </c>
      <c r="G68" s="473">
        <f t="shared" si="7"/>
        <v>329</v>
      </c>
      <c r="H68" s="460">
        <f>G68+'4'!H68</f>
        <v>1733.4799999999959</v>
      </c>
      <c r="I68" s="516"/>
      <c r="J68" s="553">
        <f>H68/DAY(B2)</f>
        <v>346.69599999999917</v>
      </c>
      <c r="K68" s="430"/>
      <c r="L68" s="377"/>
      <c r="N68" s="382"/>
      <c r="O68" s="382"/>
    </row>
    <row r="69" spans="1:15" ht="27.75">
      <c r="A69" s="1408" t="s">
        <v>104</v>
      </c>
      <c r="B69" s="1409"/>
      <c r="C69" s="1410"/>
      <c r="D69" s="523" t="s">
        <v>187</v>
      </c>
      <c r="E69" s="484">
        <f>'4'!F69</f>
        <v>65740</v>
      </c>
      <c r="F69" s="1254">
        <v>66061</v>
      </c>
      <c r="G69" s="473">
        <f t="shared" si="7"/>
        <v>321</v>
      </c>
      <c r="H69" s="460">
        <f>G69+'4'!H69</f>
        <v>1608.9100000000035</v>
      </c>
      <c r="I69" s="516"/>
      <c r="J69" s="553">
        <f>H69/DAY(B2)</f>
        <v>321.78200000000072</v>
      </c>
      <c r="K69" s="431"/>
      <c r="L69" s="377"/>
      <c r="N69" s="382"/>
      <c r="O69" s="382"/>
    </row>
    <row r="70" spans="1:15" ht="27.75">
      <c r="A70" s="1440" t="s">
        <v>189</v>
      </c>
      <c r="B70" s="1441"/>
      <c r="C70" s="1442"/>
      <c r="D70" s="523" t="s">
        <v>187</v>
      </c>
      <c r="E70" s="518"/>
      <c r="F70" s="1256"/>
      <c r="G70" s="518"/>
      <c r="H70" s="460"/>
      <c r="I70" s="518"/>
      <c r="J70" s="557"/>
      <c r="K70" s="431"/>
      <c r="L70" s="377"/>
      <c r="N70" s="382"/>
      <c r="O70" s="382"/>
    </row>
    <row r="71" spans="1:15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382"/>
      <c r="O71" s="382"/>
    </row>
    <row r="72" spans="1:15" ht="27.75">
      <c r="A72" s="1408" t="s">
        <v>191</v>
      </c>
      <c r="B72" s="1409"/>
      <c r="C72" s="1410"/>
      <c r="D72" s="523" t="s">
        <v>187</v>
      </c>
      <c r="E72" s="519">
        <f>'4'!F72</f>
        <v>850923</v>
      </c>
      <c r="F72" s="1267">
        <v>850998</v>
      </c>
      <c r="G72" s="473">
        <f t="shared" ref="G72:G84" si="8">F72-E72</f>
        <v>75</v>
      </c>
      <c r="H72" s="460">
        <f>G72+'4'!H72</f>
        <v>406</v>
      </c>
      <c r="I72" s="480"/>
      <c r="J72" s="553">
        <f>H72/DAY(B2)</f>
        <v>81.2</v>
      </c>
      <c r="K72" s="431"/>
      <c r="L72" s="377"/>
      <c r="N72" s="382"/>
      <c r="O72" s="382"/>
    </row>
    <row r="73" spans="1:15" ht="27.75">
      <c r="A73" s="1408" t="s">
        <v>192</v>
      </c>
      <c r="B73" s="1409"/>
      <c r="C73" s="1410"/>
      <c r="D73" s="523" t="s">
        <v>187</v>
      </c>
      <c r="E73" s="520">
        <f>'4'!F73</f>
        <v>885773</v>
      </c>
      <c r="F73" s="1268">
        <v>885773</v>
      </c>
      <c r="G73" s="657">
        <f t="shared" si="8"/>
        <v>0</v>
      </c>
      <c r="H73" s="460">
        <f>G73+'4'!H73</f>
        <v>1</v>
      </c>
      <c r="I73" s="480"/>
      <c r="J73" s="553">
        <f>H73/DAY(B2)</f>
        <v>0.2</v>
      </c>
      <c r="K73" s="430"/>
      <c r="L73" s="377"/>
      <c r="N73" s="382"/>
      <c r="O73" s="382"/>
    </row>
    <row r="74" spans="1:15" ht="27.75">
      <c r="A74" s="1408" t="s">
        <v>193</v>
      </c>
      <c r="B74" s="1409"/>
      <c r="C74" s="1410"/>
      <c r="D74" s="523" t="s">
        <v>187</v>
      </c>
      <c r="E74" s="521">
        <f>'4'!F74</f>
        <v>701</v>
      </c>
      <c r="F74" s="1267">
        <v>719</v>
      </c>
      <c r="G74" s="473">
        <f t="shared" si="8"/>
        <v>18</v>
      </c>
      <c r="H74" s="460">
        <f>G74+'4'!H74</f>
        <v>132.83000000000004</v>
      </c>
      <c r="I74" s="480"/>
      <c r="J74" s="553">
        <f>H74/DAY(B2)</f>
        <v>26.56600000000001</v>
      </c>
      <c r="K74" s="431"/>
      <c r="L74" s="377"/>
      <c r="N74" s="382"/>
      <c r="O74" s="382"/>
    </row>
    <row r="75" spans="1:15" ht="27.75">
      <c r="A75" s="1457" t="s">
        <v>194</v>
      </c>
      <c r="B75" s="1458"/>
      <c r="C75" s="1459"/>
      <c r="D75" s="523" t="s">
        <v>187</v>
      </c>
      <c r="E75" s="521">
        <f>'4'!F75</f>
        <v>4121</v>
      </c>
      <c r="F75" s="1269">
        <v>4281</v>
      </c>
      <c r="G75" s="473">
        <f t="shared" si="8"/>
        <v>160</v>
      </c>
      <c r="H75" s="460">
        <f>G75+'4'!H75</f>
        <v>761.7800000000002</v>
      </c>
      <c r="I75" s="480"/>
      <c r="J75" s="553">
        <f>H75/DAY(B2)</f>
        <v>152.35600000000005</v>
      </c>
      <c r="K75" s="430"/>
      <c r="L75" s="377"/>
      <c r="N75" s="382"/>
      <c r="O75" s="382"/>
    </row>
    <row r="76" spans="1:15" ht="27.75">
      <c r="A76" s="1457" t="s">
        <v>195</v>
      </c>
      <c r="B76" s="1458"/>
      <c r="C76" s="1459"/>
      <c r="D76" s="523" t="s">
        <v>187</v>
      </c>
      <c r="E76" s="520">
        <f>'4'!F76</f>
        <v>1842</v>
      </c>
      <c r="F76" s="1268">
        <v>1926</v>
      </c>
      <c r="G76" s="473">
        <f t="shared" si="8"/>
        <v>84</v>
      </c>
      <c r="H76" s="460">
        <f>G76+'4'!H76</f>
        <v>411.66000000000008</v>
      </c>
      <c r="I76" s="505"/>
      <c r="J76" s="553">
        <f>H76/DAY(B2)</f>
        <v>82.332000000000022</v>
      </c>
      <c r="K76" s="430"/>
      <c r="L76" s="377"/>
      <c r="N76" s="382"/>
      <c r="O76" s="382"/>
    </row>
    <row r="77" spans="1:15" ht="27.75">
      <c r="A77" s="1408" t="s">
        <v>196</v>
      </c>
      <c r="B77" s="1409"/>
      <c r="C77" s="1410"/>
      <c r="D77" s="523" t="s">
        <v>187</v>
      </c>
      <c r="E77" s="520">
        <f>'4'!F77</f>
        <v>698775</v>
      </c>
      <c r="F77" s="1268">
        <v>698832</v>
      </c>
      <c r="G77" s="657">
        <f t="shared" si="8"/>
        <v>57</v>
      </c>
      <c r="H77" s="460">
        <f>G77+'4'!H77</f>
        <v>244</v>
      </c>
      <c r="I77" s="505"/>
      <c r="J77" s="553">
        <f>H77/DAY(B2)</f>
        <v>48.8</v>
      </c>
      <c r="K77" s="430"/>
      <c r="L77" s="377"/>
      <c r="N77" s="382"/>
      <c r="O77" s="382"/>
    </row>
    <row r="78" spans="1:15" ht="27.75">
      <c r="A78" s="1151" t="s">
        <v>197</v>
      </c>
      <c r="B78" s="1124"/>
      <c r="C78" s="1124"/>
      <c r="D78" s="523" t="s">
        <v>187</v>
      </c>
      <c r="E78" s="521">
        <f>'4'!F78</f>
        <v>654347</v>
      </c>
      <c r="F78" s="1269">
        <v>654679</v>
      </c>
      <c r="G78" s="473">
        <f t="shared" si="8"/>
        <v>332</v>
      </c>
      <c r="H78" s="460">
        <f>G78+'4'!H78</f>
        <v>1816</v>
      </c>
      <c r="I78" s="505"/>
      <c r="J78" s="553">
        <f>H78/DAY(B2)</f>
        <v>363.2</v>
      </c>
      <c r="K78" s="430"/>
      <c r="L78" s="377"/>
      <c r="N78" s="382"/>
      <c r="O78" s="382"/>
    </row>
    <row r="79" spans="1:15" ht="27.75">
      <c r="A79" s="1457" t="s">
        <v>92</v>
      </c>
      <c r="B79" s="1458"/>
      <c r="C79" s="1459"/>
      <c r="D79" s="524" t="s">
        <v>187</v>
      </c>
      <c r="E79" s="521">
        <f>'4'!F79</f>
        <v>815965</v>
      </c>
      <c r="F79" s="1269">
        <v>816181</v>
      </c>
      <c r="G79" s="473">
        <f t="shared" si="8"/>
        <v>216</v>
      </c>
      <c r="H79" s="460">
        <f>G79+'4'!H79</f>
        <v>1072</v>
      </c>
      <c r="I79" s="505"/>
      <c r="J79" s="553">
        <f>H79/DAY(B2)</f>
        <v>214.4</v>
      </c>
      <c r="K79" s="430"/>
      <c r="L79" s="377"/>
      <c r="N79" s="382"/>
      <c r="O79" s="382"/>
    </row>
    <row r="80" spans="1:15" ht="27.75">
      <c r="A80" s="1457" t="s">
        <v>198</v>
      </c>
      <c r="B80" s="1458"/>
      <c r="C80" s="1459"/>
      <c r="D80" s="524" t="s">
        <v>187</v>
      </c>
      <c r="E80" s="520">
        <f>'4'!F80</f>
        <v>496186</v>
      </c>
      <c r="F80" s="1268">
        <v>496451</v>
      </c>
      <c r="G80" s="473">
        <f t="shared" si="8"/>
        <v>265</v>
      </c>
      <c r="H80" s="460">
        <f>G80+'4'!H80</f>
        <v>1777.359999999986</v>
      </c>
      <c r="I80" s="505"/>
      <c r="J80" s="553">
        <f>H80/DAY(B2)</f>
        <v>355.47199999999719</v>
      </c>
      <c r="K80" s="430"/>
      <c r="L80" s="377"/>
      <c r="N80" s="382"/>
      <c r="O80" s="382"/>
    </row>
    <row r="81" spans="1:15" ht="27.75">
      <c r="A81" s="1457" t="s">
        <v>199</v>
      </c>
      <c r="B81" s="1458"/>
      <c r="C81" s="1459"/>
      <c r="D81" s="524" t="s">
        <v>187</v>
      </c>
      <c r="E81" s="520">
        <f>'4'!F81</f>
        <v>626378</v>
      </c>
      <c r="F81" s="1268">
        <v>626189</v>
      </c>
      <c r="G81" s="473">
        <f t="shared" si="8"/>
        <v>-189</v>
      </c>
      <c r="H81" s="460">
        <f>G81+'4'!H81</f>
        <v>245.1600000000326</v>
      </c>
      <c r="I81" s="505"/>
      <c r="J81" s="553">
        <f>H81/DAY(B2)</f>
        <v>49.032000000006519</v>
      </c>
      <c r="K81" s="430"/>
      <c r="L81" s="377"/>
      <c r="N81" s="382"/>
      <c r="O81" s="382"/>
    </row>
    <row r="82" spans="1:15" ht="27.75">
      <c r="A82" s="1457" t="s">
        <v>93</v>
      </c>
      <c r="B82" s="1458"/>
      <c r="C82" s="1459"/>
      <c r="D82" s="485" t="s">
        <v>132</v>
      </c>
      <c r="E82" s="522">
        <f>'4'!F82</f>
        <v>106283</v>
      </c>
      <c r="F82" s="1255">
        <v>106304</v>
      </c>
      <c r="G82" s="473">
        <f t="shared" si="8"/>
        <v>21</v>
      </c>
      <c r="H82" s="460">
        <f>G82+'4'!H82</f>
        <v>101.52000000000407</v>
      </c>
      <c r="I82" s="486"/>
      <c r="J82" s="553">
        <f>H82/DAY(B2)</f>
        <v>20.304000000000816</v>
      </c>
      <c r="K82" s="430"/>
      <c r="L82" s="377"/>
      <c r="N82" s="382"/>
      <c r="O82" s="382"/>
    </row>
    <row r="83" spans="1:15" ht="27.75">
      <c r="A83" s="1457" t="s">
        <v>200</v>
      </c>
      <c r="B83" s="1458"/>
      <c r="C83" s="1459"/>
      <c r="D83" s="621" t="s">
        <v>132</v>
      </c>
      <c r="E83" s="511">
        <f>'4'!F83</f>
        <v>998532</v>
      </c>
      <c r="F83" s="1249">
        <v>998888</v>
      </c>
      <c r="G83" s="473">
        <f t="shared" si="8"/>
        <v>356</v>
      </c>
      <c r="H83" s="460">
        <f>G83+'4'!H83</f>
        <v>2439</v>
      </c>
      <c r="I83" s="481"/>
      <c r="J83" s="553">
        <f>H83/DAY(B2)</f>
        <v>487.8</v>
      </c>
      <c r="K83" s="429"/>
      <c r="L83" s="377"/>
      <c r="N83" s="382"/>
      <c r="O83" s="382"/>
    </row>
    <row r="84" spans="1:15">
      <c r="A84" s="1152" t="s">
        <v>201</v>
      </c>
      <c r="B84" s="572"/>
      <c r="C84" s="572"/>
      <c r="D84" s="478" t="s">
        <v>132</v>
      </c>
      <c r="E84" s="628">
        <f>'4'!F84</f>
        <v>433468</v>
      </c>
      <c r="F84" s="1270">
        <v>434422</v>
      </c>
      <c r="G84" s="473">
        <f t="shared" si="8"/>
        <v>954</v>
      </c>
      <c r="H84" s="460">
        <f>G84+'4'!H84</f>
        <v>3624</v>
      </c>
      <c r="I84" s="481"/>
      <c r="J84" s="553">
        <f>H84/DAY(B2)</f>
        <v>724.8</v>
      </c>
      <c r="K84" s="380"/>
      <c r="L84" s="377"/>
      <c r="N84" s="382"/>
      <c r="O84" s="382"/>
    </row>
    <row r="85" spans="1:15" s="379" customFormat="1">
      <c r="A85" s="606" t="s">
        <v>202</v>
      </c>
      <c r="B85" s="573"/>
      <c r="C85" s="573"/>
      <c r="D85" s="489"/>
      <c r="E85" s="628">
        <f>'4'!F85</f>
        <v>0</v>
      </c>
      <c r="F85" s="1105"/>
      <c r="G85" s="460">
        <f xml:space="preserve"> SUM(G71:G84)</f>
        <v>2349</v>
      </c>
      <c r="H85" s="460">
        <f>G85+'4'!H85</f>
        <v>11006.929999999968</v>
      </c>
      <c r="I85" s="481"/>
      <c r="J85" s="553">
        <f>H85/DAY(B2)</f>
        <v>2201.3859999999936</v>
      </c>
      <c r="K85" s="380"/>
      <c r="L85" s="378"/>
      <c r="N85" s="382"/>
      <c r="O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'4'!F86</f>
        <v>450871</v>
      </c>
      <c r="F86" s="1270">
        <v>451005</v>
      </c>
      <c r="G86" s="710">
        <f t="shared" ref="G86:G90" si="9">F86-E86</f>
        <v>134</v>
      </c>
      <c r="H86" s="460">
        <f>G86+'4'!H86</f>
        <v>636.46999999997206</v>
      </c>
      <c r="I86" s="657"/>
      <c r="J86" s="712">
        <f>H86/DAY(B2)</f>
        <v>127.29399999999441</v>
      </c>
      <c r="K86" s="738"/>
      <c r="L86" s="739"/>
      <c r="N86" s="783">
        <f>G86-173</f>
        <v>-39</v>
      </c>
      <c r="O86" s="382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'4'!F87</f>
        <v>79360.399999999994</v>
      </c>
      <c r="F87" s="1270">
        <v>79385</v>
      </c>
      <c r="G87" s="710">
        <f t="shared" si="9"/>
        <v>24.600000000005821</v>
      </c>
      <c r="H87" s="460">
        <f>G87+'4'!H87</f>
        <v>177.30000000000291</v>
      </c>
      <c r="I87" s="657"/>
      <c r="J87" s="712">
        <f>H87/DAY(B2)</f>
        <v>35.460000000000583</v>
      </c>
      <c r="K87" s="738"/>
      <c r="L87" s="739"/>
      <c r="N87" s="740">
        <v>108</v>
      </c>
      <c r="O87" s="382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'4'!F88</f>
        <v>148522</v>
      </c>
      <c r="F88" s="1270">
        <v>148591</v>
      </c>
      <c r="G88" s="710">
        <f t="shared" si="9"/>
        <v>69</v>
      </c>
      <c r="H88" s="460">
        <f>G88+'4'!H88</f>
        <v>326.39000000001397</v>
      </c>
      <c r="I88" s="657"/>
      <c r="J88" s="712">
        <f>H88/DAY(B2)</f>
        <v>65.278000000002791</v>
      </c>
      <c r="K88" s="738"/>
      <c r="L88" s="739"/>
      <c r="N88" s="740">
        <v>28</v>
      </c>
      <c r="O88" s="382"/>
    </row>
    <row r="89" spans="1:15" s="740" customFormat="1">
      <c r="A89" s="735" t="s">
        <v>203</v>
      </c>
      <c r="B89" s="736"/>
      <c r="C89" s="736"/>
      <c r="D89" s="737" t="s">
        <v>183</v>
      </c>
      <c r="E89" s="628">
        <f>'4'!F89</f>
        <v>61962</v>
      </c>
      <c r="F89" s="1270">
        <v>62037</v>
      </c>
      <c r="G89" s="710">
        <f t="shared" si="9"/>
        <v>75</v>
      </c>
      <c r="H89" s="460">
        <f>G89+'4'!H89</f>
        <v>361.90000000000146</v>
      </c>
      <c r="I89" s="657"/>
      <c r="J89" s="712">
        <f>H89/DAY(B2)</f>
        <v>72.380000000000294</v>
      </c>
      <c r="K89" s="738"/>
      <c r="L89" s="739"/>
      <c r="N89" s="783">
        <v>342</v>
      </c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'4'!F90</f>
        <v>3184</v>
      </c>
      <c r="F90" s="1270">
        <v>3186</v>
      </c>
      <c r="G90" s="710">
        <f t="shared" si="9"/>
        <v>2</v>
      </c>
      <c r="H90" s="460">
        <f>G90+'4'!H90</f>
        <v>23.099999999999909</v>
      </c>
      <c r="I90" s="657"/>
      <c r="J90" s="712">
        <f>H90/DAY(B2)</f>
        <v>4.6199999999999815</v>
      </c>
      <c r="K90" s="738"/>
      <c r="L90" s="739"/>
      <c r="N90" s="783">
        <v>349</v>
      </c>
      <c r="O90" s="382"/>
    </row>
    <row r="91" spans="1:15" s="379" customFormat="1">
      <c r="A91" s="607" t="s">
        <v>205</v>
      </c>
      <c r="B91" s="1154"/>
      <c r="C91" s="1154"/>
      <c r="D91" s="472"/>
      <c r="E91" s="472"/>
      <c r="F91" s="1102"/>
      <c r="G91" s="488"/>
      <c r="H91" s="472"/>
      <c r="I91" s="472"/>
      <c r="J91" s="552"/>
      <c r="K91" s="380"/>
      <c r="L91" s="378"/>
      <c r="N91" s="382"/>
      <c r="O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'4'!F92</f>
        <v>240093</v>
      </c>
      <c r="F92" s="1254">
        <v>240166</v>
      </c>
      <c r="G92" s="473">
        <f t="shared" ref="G92:G93" si="10">F92-E92</f>
        <v>73</v>
      </c>
      <c r="H92" s="460">
        <f>G92+'4'!H92</f>
        <v>471</v>
      </c>
      <c r="I92" s="480"/>
      <c r="J92" s="553">
        <f>H92/DAY(B2)</f>
        <v>94.2</v>
      </c>
      <c r="K92" s="429"/>
      <c r="L92" s="377"/>
      <c r="N92" s="382"/>
      <c r="O92" s="382"/>
    </row>
    <row r="93" spans="1:15" ht="27.75">
      <c r="A93" s="1411" t="s">
        <v>207</v>
      </c>
      <c r="B93" s="1412"/>
      <c r="C93" s="1413"/>
      <c r="D93" s="523" t="s">
        <v>144</v>
      </c>
      <c r="E93" s="484">
        <f>'4'!F93</f>
        <v>176317</v>
      </c>
      <c r="F93" s="1254">
        <v>176317</v>
      </c>
      <c r="G93" s="473">
        <f t="shared" si="10"/>
        <v>0</v>
      </c>
      <c r="H93" s="460">
        <f>G93+'4'!H93</f>
        <v>656</v>
      </c>
      <c r="I93" s="480"/>
      <c r="J93" s="553">
        <f>H93/DAY(B2)</f>
        <v>131.19999999999999</v>
      </c>
      <c r="K93" s="380"/>
      <c r="L93" s="377"/>
      <c r="N93" s="382"/>
      <c r="O93" s="382"/>
    </row>
    <row r="94" spans="1:15">
      <c r="A94" s="1405" t="s">
        <v>208</v>
      </c>
      <c r="B94" s="1406"/>
      <c r="C94" s="1407"/>
      <c r="D94" s="523"/>
      <c r="E94" s="484"/>
      <c r="F94" s="1254"/>
      <c r="G94" s="473">
        <f>G92+G93</f>
        <v>73</v>
      </c>
      <c r="H94" s="460">
        <f>G94+'4'!H94</f>
        <v>861</v>
      </c>
      <c r="I94" s="480"/>
      <c r="J94" s="553">
        <f>H94/DAY(B2)</f>
        <v>172.2</v>
      </c>
      <c r="K94" s="380"/>
      <c r="L94" s="377"/>
      <c r="N94" s="382"/>
      <c r="O94" s="382"/>
    </row>
    <row r="95" spans="1:15" ht="27.75">
      <c r="A95" s="1411" t="s">
        <v>209</v>
      </c>
      <c r="B95" s="1412"/>
      <c r="C95" s="1413"/>
      <c r="D95" s="523" t="s">
        <v>144</v>
      </c>
      <c r="E95" s="484">
        <f>'4'!F95</f>
        <v>408491</v>
      </c>
      <c r="F95" s="1254">
        <v>408574</v>
      </c>
      <c r="G95" s="473">
        <f t="shared" ref="G95:G100" si="11">F95-E95</f>
        <v>83</v>
      </c>
      <c r="H95" s="460">
        <f>G95+'4'!H95</f>
        <v>418</v>
      </c>
      <c r="I95" s="480"/>
      <c r="J95" s="553">
        <f>H95/DAY(B2)</f>
        <v>83.6</v>
      </c>
      <c r="K95" s="380"/>
      <c r="L95" s="377"/>
      <c r="N95" s="382"/>
      <c r="O95" s="382"/>
    </row>
    <row r="96" spans="1:15" ht="27.75">
      <c r="A96" s="1148" t="s">
        <v>210</v>
      </c>
      <c r="B96" s="1149"/>
      <c r="C96" s="1149"/>
      <c r="D96" s="523" t="s">
        <v>144</v>
      </c>
      <c r="E96" s="484">
        <f>'4'!F96</f>
        <v>101390</v>
      </c>
      <c r="F96" s="1254">
        <v>101401</v>
      </c>
      <c r="G96" s="473">
        <f t="shared" si="11"/>
        <v>11</v>
      </c>
      <c r="H96" s="460">
        <f>G96+'4'!H96</f>
        <v>69</v>
      </c>
      <c r="I96" s="480"/>
      <c r="J96" s="553">
        <f>H96/DAY(B2)</f>
        <v>13.8</v>
      </c>
      <c r="K96" s="427"/>
      <c r="L96" s="377"/>
      <c r="N96" s="382"/>
      <c r="O96" s="382"/>
    </row>
    <row r="97" spans="1:15" ht="27.75">
      <c r="A97" s="1148" t="s">
        <v>211</v>
      </c>
      <c r="B97" s="1149"/>
      <c r="C97" s="1149"/>
      <c r="D97" s="523" t="s">
        <v>144</v>
      </c>
      <c r="E97" s="484">
        <f>'4'!F97</f>
        <v>96524</v>
      </c>
      <c r="F97" s="1254">
        <v>96535</v>
      </c>
      <c r="G97" s="473">
        <f t="shared" si="11"/>
        <v>11</v>
      </c>
      <c r="H97" s="460">
        <f>G97+'4'!H97</f>
        <v>86</v>
      </c>
      <c r="I97" s="480"/>
      <c r="J97" s="553">
        <f>H97/DAY(B2)</f>
        <v>17.2</v>
      </c>
      <c r="K97" s="432"/>
      <c r="L97" s="377"/>
      <c r="N97" s="382"/>
      <c r="O97" s="382"/>
    </row>
    <row r="98" spans="1:15" ht="27.75">
      <c r="A98" s="1148" t="s">
        <v>212</v>
      </c>
      <c r="B98" s="1149"/>
      <c r="C98" s="1149"/>
      <c r="D98" s="523" t="s">
        <v>144</v>
      </c>
      <c r="E98" s="484">
        <f>'4'!F98</f>
        <v>147915</v>
      </c>
      <c r="F98" s="1254">
        <v>147934</v>
      </c>
      <c r="G98" s="473">
        <f t="shared" si="11"/>
        <v>19</v>
      </c>
      <c r="H98" s="460">
        <f>G98+'4'!H98</f>
        <v>326</v>
      </c>
      <c r="I98" s="480"/>
      <c r="J98" s="553">
        <f>H98/DAY(B2)</f>
        <v>65.2</v>
      </c>
      <c r="K98" s="380"/>
      <c r="L98" s="377"/>
      <c r="N98" s="709"/>
      <c r="O98" s="382"/>
    </row>
    <row r="99" spans="1:15" ht="27.75">
      <c r="A99" s="1148" t="s">
        <v>213</v>
      </c>
      <c r="B99" s="1149"/>
      <c r="C99" s="1149"/>
      <c r="D99" s="523" t="s">
        <v>144</v>
      </c>
      <c r="E99" s="484">
        <f>'4'!F99</f>
        <v>6461</v>
      </c>
      <c r="F99" s="1254">
        <v>6472</v>
      </c>
      <c r="G99" s="473">
        <f t="shared" si="11"/>
        <v>11</v>
      </c>
      <c r="H99" s="460">
        <f>G99+'4'!H99</f>
        <v>64</v>
      </c>
      <c r="I99" s="480"/>
      <c r="J99" s="553">
        <f>H99/DAY(B2)</f>
        <v>12.8</v>
      </c>
      <c r="K99" s="380"/>
      <c r="L99" s="377"/>
      <c r="N99" s="382"/>
      <c r="O99" s="382"/>
    </row>
    <row r="100" spans="1:15" ht="27.75">
      <c r="A100" s="1148" t="s">
        <v>214</v>
      </c>
      <c r="B100" s="1149"/>
      <c r="C100" s="1149"/>
      <c r="D100" s="523" t="s">
        <v>144</v>
      </c>
      <c r="E100" s="484">
        <f>'4'!F100</f>
        <v>4598</v>
      </c>
      <c r="F100" s="1254">
        <v>4586</v>
      </c>
      <c r="G100" s="473">
        <f t="shared" si="11"/>
        <v>-12</v>
      </c>
      <c r="H100" s="460">
        <f>G100+'4'!H100</f>
        <v>43</v>
      </c>
      <c r="I100" s="480"/>
      <c r="J100" s="553">
        <f>H100/DAY(B2)</f>
        <v>8.6</v>
      </c>
      <c r="K100" s="380"/>
      <c r="L100" s="377"/>
      <c r="N100" s="382"/>
      <c r="O100" s="382"/>
    </row>
    <row r="101" spans="1:15">
      <c r="A101" s="1405" t="s">
        <v>216</v>
      </c>
      <c r="B101" s="1406"/>
      <c r="C101" s="1407"/>
      <c r="D101" s="524"/>
      <c r="E101" s="524"/>
      <c r="F101" s="1265"/>
      <c r="G101" s="525">
        <f>SUM(G95:G100)</f>
        <v>123</v>
      </c>
      <c r="H101" s="460">
        <f>G101+'4'!H101</f>
        <v>1006</v>
      </c>
      <c r="I101" s="526"/>
      <c r="J101" s="553">
        <f>H101/DAY(B2)</f>
        <v>201.2</v>
      </c>
      <c r="K101" s="380"/>
      <c r="L101" s="377"/>
      <c r="N101" s="382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1271"/>
      <c r="G102" s="529"/>
      <c r="H102" s="530"/>
      <c r="I102" s="531"/>
      <c r="J102" s="558"/>
      <c r="N102" s="382"/>
      <c r="O102" s="382"/>
    </row>
    <row r="103" spans="1:15" s="442" customFormat="1" ht="27.75">
      <c r="A103" s="1414" t="s">
        <v>218</v>
      </c>
      <c r="B103" s="1415"/>
      <c r="C103" s="574"/>
      <c r="D103" s="623"/>
      <c r="E103" s="532"/>
      <c r="F103" s="1272"/>
      <c r="G103" s="532"/>
      <c r="H103" s="533"/>
      <c r="I103" s="532"/>
      <c r="J103" s="559"/>
      <c r="N103" s="382"/>
      <c r="O103" s="382"/>
    </row>
    <row r="104" spans="1:15" s="442" customFormat="1" ht="27.75">
      <c r="A104" s="1416" t="s">
        <v>219</v>
      </c>
      <c r="B104" s="1417"/>
      <c r="C104" s="1147"/>
      <c r="D104" s="623" t="s">
        <v>144</v>
      </c>
      <c r="E104" s="532">
        <f>'4'!E104</f>
        <v>7128</v>
      </c>
      <c r="F104" s="1272">
        <v>7131</v>
      </c>
      <c r="G104" s="532">
        <f>F104-E104</f>
        <v>3</v>
      </c>
      <c r="H104" s="460">
        <f>G104+'4'!H104</f>
        <v>6</v>
      </c>
      <c r="I104" s="532"/>
      <c r="J104" s="559">
        <f>H104/DAY(B2)</f>
        <v>1.2</v>
      </c>
      <c r="N104" s="382"/>
      <c r="O104" s="382"/>
    </row>
    <row r="105" spans="1:15" s="442" customFormat="1" ht="27.75">
      <c r="A105" s="1416" t="s">
        <v>77</v>
      </c>
      <c r="B105" s="1417"/>
      <c r="C105" s="1147"/>
      <c r="D105" s="623" t="s">
        <v>144</v>
      </c>
      <c r="E105" s="532">
        <f>'4'!E105</f>
        <v>35434</v>
      </c>
      <c r="F105" s="1278">
        <v>35443</v>
      </c>
      <c r="G105" s="532">
        <f t="shared" ref="G105:G106" si="12">F105-E105</f>
        <v>9</v>
      </c>
      <c r="H105" s="460">
        <f>G105+'4'!H105</f>
        <v>45</v>
      </c>
      <c r="I105" s="532"/>
      <c r="J105" s="559">
        <f>H105/DAY(B2)</f>
        <v>9</v>
      </c>
      <c r="N105" s="382"/>
      <c r="O105" s="382"/>
    </row>
    <row r="106" spans="1:15" s="442" customFormat="1" ht="27.75">
      <c r="A106" s="1416" t="s">
        <v>78</v>
      </c>
      <c r="B106" s="1418"/>
      <c r="C106" s="1417"/>
      <c r="D106" s="623" t="s">
        <v>144</v>
      </c>
      <c r="E106" s="532">
        <f>'4'!E106</f>
        <v>19263</v>
      </c>
      <c r="F106" s="1272">
        <v>19274</v>
      </c>
      <c r="G106" s="532">
        <f t="shared" si="12"/>
        <v>11</v>
      </c>
      <c r="H106" s="460">
        <f>G106+'4'!H106</f>
        <v>33</v>
      </c>
      <c r="I106" s="532"/>
      <c r="J106" s="559">
        <f>H106/DAY(B2)</f>
        <v>6.6</v>
      </c>
      <c r="N106" s="382"/>
      <c r="O106" s="382"/>
    </row>
    <row r="107" spans="1:15" s="442" customFormat="1" ht="27.75">
      <c r="A107" s="1419" t="s">
        <v>202</v>
      </c>
      <c r="B107" s="1420"/>
      <c r="C107" s="1147"/>
      <c r="D107" s="623"/>
      <c r="E107" s="532">
        <f>'4'!E107</f>
        <v>0</v>
      </c>
      <c r="F107" s="1272"/>
      <c r="G107" s="532">
        <f>SUM(G104:G106)</f>
        <v>23</v>
      </c>
      <c r="H107" s="460">
        <f>G107+'4'!H107</f>
        <v>84</v>
      </c>
      <c r="I107" s="532"/>
      <c r="J107" s="559">
        <f>H107/DAY(B2)</f>
        <v>16.8</v>
      </c>
      <c r="N107" s="382"/>
      <c r="O107" s="382"/>
    </row>
    <row r="108" spans="1:15" s="442" customFormat="1" ht="27.75">
      <c r="A108" s="1421" t="s">
        <v>79</v>
      </c>
      <c r="B108" s="1422"/>
      <c r="C108" s="1147"/>
      <c r="D108" s="623" t="s">
        <v>144</v>
      </c>
      <c r="E108" s="532">
        <f>'4'!E108</f>
        <v>0</v>
      </c>
      <c r="F108" s="1272"/>
      <c r="G108" s="532"/>
      <c r="H108" s="460" t="e">
        <f>G108+'4'!H108</f>
        <v>#REF!</v>
      </c>
      <c r="I108" s="532"/>
      <c r="J108" s="559"/>
      <c r="N108" s="382"/>
      <c r="O108" s="382"/>
    </row>
    <row r="109" spans="1:15" s="442" customFormat="1" ht="27.75">
      <c r="A109" s="1416" t="s">
        <v>220</v>
      </c>
      <c r="B109" s="1417"/>
      <c r="C109" s="1147"/>
      <c r="D109" s="623" t="s">
        <v>144</v>
      </c>
      <c r="E109" s="532">
        <f>'4'!E109</f>
        <v>56606</v>
      </c>
      <c r="F109" s="1272">
        <v>56778</v>
      </c>
      <c r="G109" s="532">
        <f>F109-E109</f>
        <v>172</v>
      </c>
      <c r="H109" s="460">
        <f>G109+'4'!H109</f>
        <v>507</v>
      </c>
      <c r="I109" s="532"/>
      <c r="J109" s="559">
        <f>H109/DAY(B2)</f>
        <v>101.4</v>
      </c>
      <c r="N109" s="382"/>
    </row>
    <row r="110" spans="1:15" s="442" customFormat="1" ht="27.75">
      <c r="A110" s="1416" t="s">
        <v>221</v>
      </c>
      <c r="B110" s="1417"/>
      <c r="C110" s="1147"/>
      <c r="D110" s="623" t="s">
        <v>144</v>
      </c>
      <c r="E110" s="532">
        <f>'4'!E110</f>
        <v>30795</v>
      </c>
      <c r="F110" s="1272">
        <v>30834</v>
      </c>
      <c r="G110" s="532">
        <f t="shared" ref="G110:G111" si="13">F110-E110</f>
        <v>39</v>
      </c>
      <c r="H110" s="460">
        <f>G110+'4'!H110</f>
        <v>346</v>
      </c>
      <c r="I110" s="532"/>
      <c r="J110" s="559">
        <f>H110/DAY(B2)</f>
        <v>69.2</v>
      </c>
      <c r="N110" s="382"/>
    </row>
    <row r="111" spans="1:15" s="442" customFormat="1" ht="27.75">
      <c r="A111" s="1416" t="s">
        <v>222</v>
      </c>
      <c r="B111" s="1417"/>
      <c r="C111" s="1147"/>
      <c r="D111" s="623" t="s">
        <v>144</v>
      </c>
      <c r="E111" s="532">
        <f>'4'!E111</f>
        <v>4012</v>
      </c>
      <c r="F111" s="1272">
        <v>4012</v>
      </c>
      <c r="G111" s="532">
        <f t="shared" si="13"/>
        <v>0</v>
      </c>
      <c r="H111" s="460">
        <f>G111+'4'!H111</f>
        <v>32</v>
      </c>
      <c r="I111" s="532"/>
      <c r="J111" s="559">
        <f>H111/DAY(B2)</f>
        <v>6.4</v>
      </c>
      <c r="N111" s="382"/>
    </row>
    <row r="112" spans="1:15" s="442" customFormat="1" ht="27.75">
      <c r="A112" s="1419" t="s">
        <v>110</v>
      </c>
      <c r="B112" s="1420"/>
      <c r="C112" s="1147"/>
      <c r="D112" s="623"/>
      <c r="E112" s="532">
        <f>'4'!E112</f>
        <v>0</v>
      </c>
      <c r="F112" s="1272"/>
      <c r="G112" s="532">
        <f>SUM(G109:G111)</f>
        <v>211</v>
      </c>
      <c r="H112" s="460">
        <f>G112+'4'!H112</f>
        <v>885</v>
      </c>
      <c r="I112" s="532"/>
      <c r="J112" s="559">
        <f>H112/DAY(B2)</f>
        <v>177</v>
      </c>
      <c r="N112" s="382"/>
    </row>
    <row r="113" spans="1:14" s="442" customFormat="1" ht="27.75">
      <c r="A113" s="1421" t="s">
        <v>223</v>
      </c>
      <c r="B113" s="1422"/>
      <c r="C113" s="1147"/>
      <c r="D113" s="623"/>
      <c r="E113" s="532">
        <f>'4'!E113</f>
        <v>0</v>
      </c>
      <c r="F113" s="1272"/>
      <c r="G113" s="532"/>
      <c r="H113" s="460">
        <f>G113+'4'!H113</f>
        <v>0</v>
      </c>
      <c r="I113" s="532"/>
      <c r="J113" s="559">
        <f>H113/DAY(B2)</f>
        <v>0</v>
      </c>
      <c r="N113" s="382"/>
    </row>
    <row r="114" spans="1:14" s="442" customFormat="1" ht="27.75">
      <c r="A114" s="1416" t="s">
        <v>224</v>
      </c>
      <c r="B114" s="1417"/>
      <c r="C114" s="575"/>
      <c r="D114" s="623" t="s">
        <v>144</v>
      </c>
      <c r="E114" s="532">
        <f>'4'!E114</f>
        <v>10379</v>
      </c>
      <c r="F114" s="1273">
        <v>10399</v>
      </c>
      <c r="G114" s="534">
        <f>F114-E114</f>
        <v>20</v>
      </c>
      <c r="H114" s="460">
        <f>G114+'4'!H114</f>
        <v>85</v>
      </c>
      <c r="I114" s="532"/>
      <c r="J114" s="559">
        <f>H114/DAY(B2)</f>
        <v>17</v>
      </c>
      <c r="N114" s="382"/>
    </row>
    <row r="115" spans="1:14" s="442" customFormat="1" ht="27.75">
      <c r="A115" s="1416" t="s">
        <v>225</v>
      </c>
      <c r="B115" s="1417"/>
      <c r="C115" s="575"/>
      <c r="D115" s="623" t="s">
        <v>144</v>
      </c>
      <c r="E115" s="532">
        <f>'4'!E115</f>
        <v>7703</v>
      </c>
      <c r="F115" s="1273">
        <v>7722</v>
      </c>
      <c r="G115" s="534">
        <f t="shared" ref="G115:G116" si="14">F115-E115</f>
        <v>19</v>
      </c>
      <c r="H115" s="460">
        <f>G115+'4'!H115</f>
        <v>66</v>
      </c>
      <c r="I115" s="532"/>
      <c r="J115" s="559">
        <f>H115/DAY(B2)</f>
        <v>13.2</v>
      </c>
      <c r="N115" s="382"/>
    </row>
    <row r="116" spans="1:14" s="442" customFormat="1" ht="27.75">
      <c r="A116" s="1416" t="s">
        <v>226</v>
      </c>
      <c r="B116" s="1417"/>
      <c r="C116" s="575"/>
      <c r="D116" s="623" t="s">
        <v>144</v>
      </c>
      <c r="E116" s="534"/>
      <c r="F116" s="1273"/>
      <c r="G116" s="534">
        <f t="shared" si="14"/>
        <v>0</v>
      </c>
      <c r="H116" s="460">
        <f>G116+'4'!H116</f>
        <v>0</v>
      </c>
      <c r="I116" s="532"/>
      <c r="J116" s="559">
        <f>H116/DAY(B2)</f>
        <v>0</v>
      </c>
      <c r="N116" s="382"/>
    </row>
    <row r="117" spans="1:14" s="445" customFormat="1" ht="27.75">
      <c r="A117" s="1419" t="s">
        <v>202</v>
      </c>
      <c r="B117" s="1420"/>
      <c r="C117" s="575"/>
      <c r="D117" s="624"/>
      <c r="E117" s="534"/>
      <c r="F117" s="1273"/>
      <c r="G117" s="534">
        <f>SUM(G114:G116)</f>
        <v>39</v>
      </c>
      <c r="H117" s="460">
        <f>G117+'4'!H117</f>
        <v>151</v>
      </c>
      <c r="I117" s="534"/>
      <c r="J117" s="559">
        <f>H117/DAY(B2)</f>
        <v>30.2</v>
      </c>
      <c r="N117" s="382"/>
    </row>
    <row r="118" spans="1:14" s="446" customFormat="1" ht="27.75">
      <c r="A118" s="1450" t="s">
        <v>227</v>
      </c>
      <c r="B118" s="1451"/>
      <c r="C118" s="1145"/>
      <c r="D118" s="625" t="s">
        <v>144</v>
      </c>
      <c r="E118" s="536"/>
      <c r="F118" s="1274">
        <f>SUM(G19+G92)</f>
        <v>124</v>
      </c>
      <c r="G118" s="536">
        <f>SUM(G19+G92)</f>
        <v>124</v>
      </c>
      <c r="H118" s="460">
        <f>G118+'4'!H118</f>
        <v>726</v>
      </c>
      <c r="I118" s="535"/>
      <c r="J118" s="560">
        <f>H118/DAY(B2)</f>
        <v>145.19999999999999</v>
      </c>
      <c r="N118" s="382"/>
    </row>
    <row r="119" spans="1:14" s="446" customFormat="1" ht="27.75">
      <c r="A119" s="1450" t="s">
        <v>228</v>
      </c>
      <c r="B119" s="1451"/>
      <c r="C119" s="1145"/>
      <c r="D119" s="625" t="s">
        <v>144</v>
      </c>
      <c r="E119" s="536"/>
      <c r="F119" s="1274">
        <f>SUM(G95,G96,G97,G99,G100)</f>
        <v>104</v>
      </c>
      <c r="G119" s="536">
        <f>SUM(G95,G96,G97,G99,G100)</f>
        <v>104</v>
      </c>
      <c r="H119" s="460">
        <f>G119+'4'!H119</f>
        <v>680</v>
      </c>
      <c r="I119" s="535"/>
      <c r="J119" s="560">
        <f>H119/DAY(B2)</f>
        <v>136</v>
      </c>
      <c r="N119" s="382"/>
    </row>
    <row r="120" spans="1:14" s="446" customFormat="1" ht="27.75">
      <c r="A120" s="1450" t="s">
        <v>229</v>
      </c>
      <c r="B120" s="1451"/>
      <c r="C120" s="1145"/>
      <c r="D120" s="625" t="s">
        <v>144</v>
      </c>
      <c r="E120" s="534"/>
      <c r="F120" s="1273">
        <f>SUM(G112)</f>
        <v>211</v>
      </c>
      <c r="G120" s="534">
        <f>SUM(G112)</f>
        <v>211</v>
      </c>
      <c r="H120" s="460">
        <f>G120+'4'!H120</f>
        <v>885</v>
      </c>
      <c r="I120" s="535"/>
      <c r="J120" s="560">
        <f>H120/DAY(B2)</f>
        <v>177</v>
      </c>
      <c r="N120" s="382"/>
    </row>
    <row r="121" spans="1:14" s="442" customFormat="1" ht="27.75">
      <c r="A121" s="1452"/>
      <c r="B121" s="1453"/>
      <c r="C121" s="1146"/>
      <c r="D121" s="561"/>
      <c r="E121" s="561"/>
      <c r="F121" s="1275" t="s">
        <v>215</v>
      </c>
      <c r="G121" s="561"/>
      <c r="H121" s="460">
        <f>G121+'4'!H121</f>
        <v>0</v>
      </c>
      <c r="I121" s="561"/>
      <c r="J121" s="563"/>
      <c r="N121" s="382"/>
    </row>
    <row r="122" spans="1:14">
      <c r="A122" s="1402" t="s">
        <v>230</v>
      </c>
      <c r="B122" s="1403"/>
      <c r="C122" s="1404"/>
      <c r="D122" s="472"/>
      <c r="E122" s="472"/>
      <c r="F122" s="1102"/>
      <c r="G122" s="483"/>
      <c r="H122" s="483"/>
      <c r="I122" s="483"/>
      <c r="J122" s="564"/>
      <c r="K122" s="380"/>
      <c r="L122" s="377"/>
      <c r="N122" s="382"/>
    </row>
    <row r="123" spans="1:14" ht="27.75">
      <c r="A123" s="1148" t="s">
        <v>231</v>
      </c>
      <c r="B123" s="1149"/>
      <c r="C123" s="1149"/>
      <c r="D123" s="523" t="s">
        <v>141</v>
      </c>
      <c r="E123" s="478">
        <f>'4'!F123</f>
        <v>812042</v>
      </c>
      <c r="F123" s="1254">
        <v>812287</v>
      </c>
      <c r="G123" s="473">
        <f t="shared" ref="G123:G127" si="15">F123-E123</f>
        <v>245</v>
      </c>
      <c r="H123" s="460">
        <f>G123+'4'!H123</f>
        <v>1280.1600000000326</v>
      </c>
      <c r="I123" s="526"/>
      <c r="J123" s="553">
        <f>H123/DAY(B2)</f>
        <v>256.03200000000652</v>
      </c>
      <c r="K123" s="380"/>
      <c r="L123" s="377"/>
      <c r="N123" s="382"/>
    </row>
    <row r="124" spans="1:14" ht="27.75">
      <c r="A124" s="1148" t="s">
        <v>232</v>
      </c>
      <c r="B124" s="1149"/>
      <c r="C124" s="1149"/>
      <c r="D124" s="523" t="s">
        <v>141</v>
      </c>
      <c r="E124" s="627">
        <f>'4'!F124</f>
        <v>73583</v>
      </c>
      <c r="F124" s="1276">
        <v>73583</v>
      </c>
      <c r="G124" s="473">
        <f t="shared" si="15"/>
        <v>0</v>
      </c>
      <c r="H124" s="460">
        <f>G124+'4'!H124</f>
        <v>-0.39999999999417923</v>
      </c>
      <c r="I124" s="526"/>
      <c r="J124" s="553">
        <f>H124/DAY(B2)</f>
        <v>-7.999999999883585E-2</v>
      </c>
      <c r="K124" s="380"/>
      <c r="L124" s="377"/>
      <c r="N124" s="382"/>
    </row>
    <row r="125" spans="1:14" ht="27.75">
      <c r="A125" s="1408" t="s">
        <v>233</v>
      </c>
      <c r="B125" s="1409"/>
      <c r="C125" s="1410"/>
      <c r="D125" s="523" t="s">
        <v>141</v>
      </c>
      <c r="E125" s="478">
        <f>'4'!F125</f>
        <v>140260</v>
      </c>
      <c r="F125" s="1254">
        <v>140321</v>
      </c>
      <c r="G125" s="473">
        <f t="shared" si="15"/>
        <v>61</v>
      </c>
      <c r="H125" s="460">
        <f>G125+'4'!H125</f>
        <v>341.66000000000349</v>
      </c>
      <c r="I125" s="526"/>
      <c r="J125" s="553">
        <f>H125/DAY(B2)</f>
        <v>68.332000000000704</v>
      </c>
      <c r="K125" s="380"/>
      <c r="L125" s="377"/>
      <c r="N125" s="382"/>
    </row>
    <row r="126" spans="1:14" ht="27.75">
      <c r="A126" s="610" t="s">
        <v>234</v>
      </c>
      <c r="B126" s="1149"/>
      <c r="C126" s="1149"/>
      <c r="D126" s="523" t="s">
        <v>141</v>
      </c>
      <c r="E126" s="627">
        <f>'4'!F126</f>
        <v>59407</v>
      </c>
      <c r="F126" s="1276">
        <v>59428</v>
      </c>
      <c r="G126" s="473">
        <f t="shared" si="15"/>
        <v>21</v>
      </c>
      <c r="H126" s="460">
        <f>G126+'4'!H126</f>
        <v>121.09999999999854</v>
      </c>
      <c r="I126" s="526"/>
      <c r="J126" s="553">
        <f>H126/DAY(B2)</f>
        <v>24.219999999999708</v>
      </c>
      <c r="K126" s="380"/>
      <c r="L126" s="377"/>
      <c r="N126" s="382"/>
    </row>
    <row r="127" spans="1:14" ht="27.75">
      <c r="A127" s="610" t="s">
        <v>235</v>
      </c>
      <c r="B127" s="1149"/>
      <c r="C127" s="1149"/>
      <c r="D127" s="523" t="s">
        <v>141</v>
      </c>
      <c r="E127" s="627">
        <f>'4'!F127</f>
        <v>8896</v>
      </c>
      <c r="F127" s="1276">
        <v>8898</v>
      </c>
      <c r="G127" s="473">
        <f t="shared" si="15"/>
        <v>2</v>
      </c>
      <c r="H127" s="460">
        <f>G127+'4'!H127</f>
        <v>10.200000000000728</v>
      </c>
      <c r="I127" s="480"/>
      <c r="J127" s="553">
        <f>H127/DAY(B2)</f>
        <v>2.0400000000001457</v>
      </c>
      <c r="K127" s="380"/>
      <c r="L127" s="377"/>
      <c r="N127" s="382"/>
    </row>
    <row r="128" spans="1:14" s="281" customFormat="1" ht="27.75">
      <c r="A128" s="610" t="s">
        <v>236</v>
      </c>
      <c r="B128" s="1149"/>
      <c r="C128" s="1149"/>
      <c r="D128" s="523"/>
      <c r="E128" s="478"/>
      <c r="F128" s="1254"/>
      <c r="G128" s="473">
        <f>G15-SUM(G123:G127)</f>
        <v>564.63999999989755</v>
      </c>
      <c r="H128" s="460">
        <f>G128+'4'!H128</f>
        <v>2729.3099999997539</v>
      </c>
      <c r="I128" s="480"/>
      <c r="J128" s="553">
        <f>H128/DAY(B2)</f>
        <v>545.86199999995074</v>
      </c>
      <c r="K128" s="364"/>
      <c r="L128" s="292"/>
      <c r="N128" s="382"/>
    </row>
    <row r="129" spans="1:14">
      <c r="A129" s="611" t="s">
        <v>237</v>
      </c>
      <c r="B129" s="458"/>
      <c r="C129" s="458"/>
      <c r="D129" s="471"/>
      <c r="E129" s="471"/>
      <c r="F129" s="1250"/>
      <c r="G129" s="541"/>
      <c r="H129" s="541"/>
      <c r="I129" s="541"/>
      <c r="J129" s="565"/>
      <c r="N129" s="382"/>
    </row>
    <row r="130" spans="1:14" ht="27.75">
      <c r="A130" s="1148" t="s">
        <v>238</v>
      </c>
      <c r="B130" s="1149"/>
      <c r="C130" s="1149"/>
      <c r="D130" s="523" t="s">
        <v>239</v>
      </c>
      <c r="E130" s="484">
        <f>'4'!F130</f>
        <v>0</v>
      </c>
      <c r="F130" s="1254">
        <v>0</v>
      </c>
      <c r="G130" s="473">
        <f t="shared" ref="G130:G140" si="16">F130-E130</f>
        <v>0</v>
      </c>
      <c r="H130" s="460">
        <f>G130+'4'!H130</f>
        <v>0</v>
      </c>
      <c r="I130" s="480"/>
      <c r="J130" s="553">
        <f>H130/DAY(B2)</f>
        <v>0</v>
      </c>
      <c r="N130" s="382"/>
    </row>
    <row r="131" spans="1:14" ht="27.75">
      <c r="A131" s="1148" t="s">
        <v>240</v>
      </c>
      <c r="B131" s="1149"/>
      <c r="C131" s="1149"/>
      <c r="D131" s="523" t="s">
        <v>239</v>
      </c>
      <c r="E131" s="484">
        <f>'4'!F131</f>
        <v>0</v>
      </c>
      <c r="F131" s="1254">
        <v>0</v>
      </c>
      <c r="G131" s="473">
        <f t="shared" si="16"/>
        <v>0</v>
      </c>
      <c r="H131" s="460">
        <f>G131+'4'!H131</f>
        <v>0</v>
      </c>
      <c r="I131" s="480"/>
      <c r="J131" s="553">
        <f>H131/DAY(B2)</f>
        <v>0</v>
      </c>
      <c r="N131" s="382"/>
    </row>
    <row r="132" spans="1:14" ht="27.75">
      <c r="A132" s="1148" t="s">
        <v>241</v>
      </c>
      <c r="B132" s="1149"/>
      <c r="C132" s="1149"/>
      <c r="D132" s="523" t="s">
        <v>239</v>
      </c>
      <c r="E132" s="542">
        <f>'4'!F132</f>
        <v>38829</v>
      </c>
      <c r="F132" s="1255">
        <v>39215</v>
      </c>
      <c r="G132" s="473">
        <f t="shared" si="16"/>
        <v>386</v>
      </c>
      <c r="H132" s="460">
        <f>G132+'4'!H132</f>
        <v>386</v>
      </c>
      <c r="I132" s="480"/>
      <c r="J132" s="553">
        <f>H132/DAY(B2)</f>
        <v>77.2</v>
      </c>
      <c r="N132" s="382"/>
    </row>
    <row r="133" spans="1:14" ht="27.75">
      <c r="A133" s="1148" t="s">
        <v>242</v>
      </c>
      <c r="B133" s="1149"/>
      <c r="C133" s="1149"/>
      <c r="D133" s="523" t="s">
        <v>239</v>
      </c>
      <c r="E133" s="706">
        <f>'4'!F133</f>
        <v>300</v>
      </c>
      <c r="F133" s="1276">
        <v>299</v>
      </c>
      <c r="G133" s="473">
        <f t="shared" si="16"/>
        <v>-1</v>
      </c>
      <c r="H133" s="460">
        <f>G133+'4'!H133</f>
        <v>-1</v>
      </c>
      <c r="I133" s="480">
        <f>G130+G131+G132+G133</f>
        <v>385</v>
      </c>
      <c r="J133" s="553">
        <f>H133/DAY(B2)</f>
        <v>-0.2</v>
      </c>
      <c r="N133" s="382"/>
    </row>
    <row r="134" spans="1:14" ht="27.75">
      <c r="A134" s="1148" t="s">
        <v>243</v>
      </c>
      <c r="B134" s="1149"/>
      <c r="C134" s="1149"/>
      <c r="D134" s="523" t="s">
        <v>239</v>
      </c>
      <c r="E134" s="706">
        <f>'4'!F134</f>
        <v>40458</v>
      </c>
      <c r="F134" s="1276">
        <v>40482</v>
      </c>
      <c r="G134" s="473">
        <f t="shared" si="16"/>
        <v>24</v>
      </c>
      <c r="H134" s="460">
        <f>G134+'4'!H134</f>
        <v>114.86000000000058</v>
      </c>
      <c r="I134" s="480"/>
      <c r="J134" s="553">
        <f>H134/DAY(B2)</f>
        <v>22.972000000000115</v>
      </c>
      <c r="N134" s="382"/>
    </row>
    <row r="135" spans="1:14" ht="27.75">
      <c r="A135" s="1148" t="s">
        <v>244</v>
      </c>
      <c r="B135" s="1149"/>
      <c r="C135" s="1149"/>
      <c r="D135" s="523" t="s">
        <v>239</v>
      </c>
      <c r="E135" s="706">
        <f>'4'!F135</f>
        <v>32582</v>
      </c>
      <c r="F135" s="1276">
        <v>32581.55</v>
      </c>
      <c r="G135" s="473">
        <f t="shared" si="16"/>
        <v>-0.4500000000007276</v>
      </c>
      <c r="H135" s="460">
        <f>G135+'4'!H135</f>
        <v>10.549999999999272</v>
      </c>
      <c r="I135" s="480"/>
      <c r="J135" s="553">
        <f>H135/DAY(B2)</f>
        <v>2.1099999999998547</v>
      </c>
      <c r="N135" s="382"/>
    </row>
    <row r="136" spans="1:14" ht="27.75">
      <c r="A136" s="1148" t="s">
        <v>245</v>
      </c>
      <c r="B136" s="1149"/>
      <c r="C136" s="1149"/>
      <c r="D136" s="523" t="s">
        <v>239</v>
      </c>
      <c r="E136" s="542">
        <f>'4'!F136</f>
        <v>22256.43</v>
      </c>
      <c r="F136" s="1255">
        <v>22265.68</v>
      </c>
      <c r="G136" s="473">
        <f t="shared" si="16"/>
        <v>9.25</v>
      </c>
      <c r="H136" s="460">
        <f>G136+'4'!H136</f>
        <v>43.470000000001164</v>
      </c>
      <c r="I136" s="480">
        <f>G136+G137+G138</f>
        <v>13.93999999999869</v>
      </c>
      <c r="J136" s="553">
        <f>H136/DAY(B2)</f>
        <v>8.6940000000002335</v>
      </c>
      <c r="N136" s="382"/>
    </row>
    <row r="137" spans="1:14" ht="27.75">
      <c r="A137" s="1148" t="s">
        <v>246</v>
      </c>
      <c r="B137" s="1149"/>
      <c r="C137" s="1149"/>
      <c r="D137" s="523" t="s">
        <v>239</v>
      </c>
      <c r="E137" s="542">
        <f>'4'!F137</f>
        <v>25044.31</v>
      </c>
      <c r="F137" s="1255">
        <v>25044</v>
      </c>
      <c r="G137" s="473">
        <f t="shared" si="16"/>
        <v>-0.31000000000130967</v>
      </c>
      <c r="H137" s="460">
        <f>G137+'4'!H137</f>
        <v>-0.31000000000130967</v>
      </c>
      <c r="I137" s="480"/>
      <c r="J137" s="553">
        <f>H137/DAY(B2)</f>
        <v>-6.2000000000261936E-2</v>
      </c>
      <c r="N137" s="382"/>
    </row>
    <row r="138" spans="1:14" ht="27.75">
      <c r="A138" s="1148" t="s">
        <v>247</v>
      </c>
      <c r="B138" s="1149"/>
      <c r="C138" s="1149"/>
      <c r="D138" s="523" t="s">
        <v>239</v>
      </c>
      <c r="E138" s="542">
        <f>'4'!F138</f>
        <v>70168</v>
      </c>
      <c r="F138" s="1255">
        <v>70173</v>
      </c>
      <c r="G138" s="473">
        <f t="shared" si="16"/>
        <v>5</v>
      </c>
      <c r="H138" s="460">
        <f>G138+'4'!H138</f>
        <v>25.660000000003492</v>
      </c>
      <c r="I138" s="480"/>
      <c r="J138" s="553">
        <f>H138/DAY(B2)</f>
        <v>5.1320000000006987</v>
      </c>
      <c r="N138" s="382"/>
    </row>
    <row r="139" spans="1:14" ht="27.75">
      <c r="A139" s="1148" t="s">
        <v>248</v>
      </c>
      <c r="B139" s="1149"/>
      <c r="C139" s="1149"/>
      <c r="D139" s="523" t="s">
        <v>239</v>
      </c>
      <c r="E139" s="706">
        <f>'4'!F139</f>
        <v>1453</v>
      </c>
      <c r="F139" s="1276">
        <v>1460</v>
      </c>
      <c r="G139" s="473">
        <f t="shared" si="16"/>
        <v>7</v>
      </c>
      <c r="H139" s="460">
        <f>G139+'4'!H139</f>
        <v>36.8599999999999</v>
      </c>
      <c r="I139" s="543">
        <f>G139+G140</f>
        <v>7</v>
      </c>
      <c r="J139" s="553">
        <f>H139/DAY(B2)</f>
        <v>7.3719999999999803</v>
      </c>
      <c r="N139" s="382"/>
    </row>
    <row r="140" spans="1:14" ht="27.75">
      <c r="A140" s="1148" t="s">
        <v>249</v>
      </c>
      <c r="B140" s="1149"/>
      <c r="C140" s="1149"/>
      <c r="D140" s="523" t="s">
        <v>239</v>
      </c>
      <c r="E140" s="484">
        <f>'4'!F140</f>
        <v>4334</v>
      </c>
      <c r="F140" s="1254">
        <v>4334</v>
      </c>
      <c r="G140" s="473">
        <f t="shared" si="16"/>
        <v>0</v>
      </c>
      <c r="H140" s="460">
        <f>G140+'4'!H140</f>
        <v>0</v>
      </c>
      <c r="I140" s="543"/>
      <c r="J140" s="553">
        <f>H140/DAY(B2)</f>
        <v>0</v>
      </c>
      <c r="N140" s="382"/>
    </row>
    <row r="141" spans="1:14">
      <c r="A141" s="1446" t="s">
        <v>250</v>
      </c>
      <c r="B141" s="1447"/>
      <c r="C141" s="1154"/>
      <c r="D141" s="472"/>
      <c r="E141" s="472"/>
      <c r="F141" s="1102"/>
      <c r="G141" s="483"/>
      <c r="H141" s="483"/>
      <c r="I141" s="483"/>
      <c r="J141" s="564"/>
      <c r="K141" s="380"/>
      <c r="L141" s="377"/>
      <c r="N141" s="382"/>
    </row>
    <row r="142" spans="1:14" ht="27.75">
      <c r="A142" s="1411" t="s">
        <v>251</v>
      </c>
      <c r="B142" s="1412"/>
      <c r="C142" s="1413"/>
      <c r="D142" s="523" t="s">
        <v>132</v>
      </c>
      <c r="E142" s="523"/>
      <c r="F142" s="1105"/>
      <c r="G142" s="460">
        <f>G35+G43+G49+G57</f>
        <v>5755</v>
      </c>
      <c r="H142" s="460">
        <f>G142+'4'!H142</f>
        <v>29005.120000000068</v>
      </c>
      <c r="I142" s="480"/>
      <c r="J142" s="553">
        <f>H142/DAY(B2)</f>
        <v>5801.024000000014</v>
      </c>
      <c r="K142" s="380"/>
      <c r="L142" s="377"/>
      <c r="N142" s="382"/>
    </row>
    <row r="143" spans="1:14" ht="27.75">
      <c r="A143" s="1411" t="s">
        <v>252</v>
      </c>
      <c r="B143" s="1412"/>
      <c r="C143" s="1413"/>
      <c r="D143" s="523" t="s">
        <v>24</v>
      </c>
      <c r="E143" s="511"/>
      <c r="F143" s="1249"/>
      <c r="G143" s="544">
        <f>G142/G7</f>
        <v>0.28223235741258396</v>
      </c>
      <c r="H143" s="460">
        <f>G143+'4'!H143</f>
        <v>1.182773332076327</v>
      </c>
      <c r="I143" s="545"/>
      <c r="J143" s="553">
        <f>H143/DAY(B2)</f>
        <v>0.2365546664152654</v>
      </c>
      <c r="K143" s="380"/>
      <c r="L143" s="377"/>
      <c r="N143" s="382"/>
    </row>
    <row r="144" spans="1:14" ht="27.75">
      <c r="A144" s="1411" t="s">
        <v>253</v>
      </c>
      <c r="B144" s="1412"/>
      <c r="C144" s="1413"/>
      <c r="D144" s="523" t="s">
        <v>132</v>
      </c>
      <c r="E144" s="455"/>
      <c r="F144" s="1257"/>
      <c r="G144" s="460">
        <f>G41+G42+G55+G56</f>
        <v>4900.739999999998</v>
      </c>
      <c r="H144" s="460">
        <f>G144+'4'!H144</f>
        <v>25434.799999999967</v>
      </c>
      <c r="I144" s="480"/>
      <c r="J144" s="553">
        <f>H144/DAY(B2)</f>
        <v>5086.9599999999937</v>
      </c>
      <c r="K144" s="380"/>
      <c r="L144" s="377"/>
      <c r="N144" s="382"/>
    </row>
    <row r="145" spans="1:14" ht="27.75">
      <c r="A145" s="1411" t="s">
        <v>254</v>
      </c>
      <c r="B145" s="1412"/>
      <c r="C145" s="1413"/>
      <c r="D145" s="523" t="s">
        <v>24</v>
      </c>
      <c r="E145" s="455"/>
      <c r="F145" s="1257"/>
      <c r="G145" s="544">
        <f>G144/G7</f>
        <v>0.24033838458143289</v>
      </c>
      <c r="H145" s="460">
        <f>G145+'4'!H145</f>
        <v>1.1956203608376716</v>
      </c>
      <c r="I145" s="545"/>
      <c r="J145" s="553">
        <f>H145/DAY(B2)</f>
        <v>0.23912407216753434</v>
      </c>
      <c r="K145" s="380"/>
      <c r="L145" s="377"/>
      <c r="N145" s="382"/>
    </row>
    <row r="146" spans="1:14" ht="27.75">
      <c r="A146" s="1411" t="s">
        <v>255</v>
      </c>
      <c r="B146" s="1412"/>
      <c r="C146" s="1413"/>
      <c r="D146" s="523" t="s">
        <v>132</v>
      </c>
      <c r="E146" s="455"/>
      <c r="F146" s="1257"/>
      <c r="G146" s="460">
        <f>G39+G53</f>
        <v>104331</v>
      </c>
      <c r="H146" s="460">
        <f>G146+'4'!H146</f>
        <v>121548.37999999999</v>
      </c>
      <c r="I146" s="546"/>
      <c r="J146" s="553">
        <f>H146/DAY(B2)</f>
        <v>24309.675999999999</v>
      </c>
      <c r="K146" s="380"/>
      <c r="L146" s="377"/>
      <c r="N146" s="382"/>
    </row>
    <row r="147" spans="1:14" ht="27.75">
      <c r="A147" s="1411" t="s">
        <v>256</v>
      </c>
      <c r="B147" s="1412"/>
      <c r="C147" s="1413"/>
      <c r="D147" s="523" t="s">
        <v>24</v>
      </c>
      <c r="E147" s="455"/>
      <c r="F147" s="1257"/>
      <c r="G147" s="544">
        <f>G146/G7</f>
        <v>5.1165219949977931</v>
      </c>
      <c r="H147" s="460">
        <f>G147+'4'!H147</f>
        <v>5.9217489265667549</v>
      </c>
      <c r="I147" s="546"/>
      <c r="J147" s="553">
        <f>H147/DAY(B2)</f>
        <v>1.1843497853133509</v>
      </c>
      <c r="N147" s="382"/>
    </row>
    <row r="148" spans="1:14" ht="27.75">
      <c r="A148" s="1411" t="s">
        <v>257</v>
      </c>
      <c r="B148" s="1412"/>
      <c r="C148" s="1413"/>
      <c r="D148" s="523" t="s">
        <v>183</v>
      </c>
      <c r="E148" s="455"/>
      <c r="F148" s="1257"/>
      <c r="G148" s="460">
        <f>G38+G52</f>
        <v>1822</v>
      </c>
      <c r="H148" s="460">
        <f>G148+'4'!H148</f>
        <v>10234.799999999981</v>
      </c>
      <c r="I148" s="480"/>
      <c r="J148" s="553">
        <f>H148/DAY(B2)</f>
        <v>2046.9599999999962</v>
      </c>
      <c r="K148" s="381"/>
      <c r="N148" s="382"/>
    </row>
    <row r="149" spans="1:14" ht="27.75">
      <c r="A149" s="1411" t="s">
        <v>258</v>
      </c>
      <c r="B149" s="1412"/>
      <c r="C149" s="1413"/>
      <c r="D149" s="523" t="s">
        <v>24</v>
      </c>
      <c r="E149" s="455"/>
      <c r="F149" s="1257"/>
      <c r="G149" s="544">
        <f>G148/G7</f>
        <v>8.9353145995782451E-2</v>
      </c>
      <c r="H149" s="460">
        <f>G149+'4'!H149</f>
        <v>0.48278412338263288</v>
      </c>
      <c r="I149" s="546"/>
      <c r="J149" s="553">
        <f>H149/DAY(B2)</f>
        <v>9.655682467652657E-2</v>
      </c>
      <c r="N149" s="382"/>
    </row>
    <row r="150" spans="1:14" ht="27.75">
      <c r="A150" s="1411" t="s">
        <v>259</v>
      </c>
      <c r="B150" s="1412"/>
      <c r="C150" s="1413"/>
      <c r="D150" s="523" t="s">
        <v>183</v>
      </c>
      <c r="E150" s="455"/>
      <c r="F150" s="1257"/>
      <c r="G150" s="460">
        <f>G36+G50</f>
        <v>1588</v>
      </c>
      <c r="H150" s="460">
        <f>G150+'4'!H150</f>
        <v>9596.3999999999651</v>
      </c>
      <c r="I150" s="546"/>
      <c r="J150" s="553">
        <f>H150/DAY(B2)</f>
        <v>1919.2799999999929</v>
      </c>
      <c r="N150" s="382"/>
    </row>
    <row r="151" spans="1:14" ht="27.75">
      <c r="A151" s="1411" t="s">
        <v>260</v>
      </c>
      <c r="B151" s="1412"/>
      <c r="C151" s="1413"/>
      <c r="D151" s="523" t="s">
        <v>24</v>
      </c>
      <c r="E151" s="455"/>
      <c r="F151" s="1257"/>
      <c r="G151" s="544">
        <f>G150/G7</f>
        <v>7.7877494973272524E-2</v>
      </c>
      <c r="H151" s="460">
        <f>G151+'4'!H151</f>
        <v>0.44984083228084432</v>
      </c>
      <c r="I151" s="480"/>
      <c r="J151" s="553">
        <f>H151/DAY(B2)</f>
        <v>8.9968166456168869E-2</v>
      </c>
      <c r="N151" s="382"/>
    </row>
    <row r="152" spans="1:14" ht="27.75">
      <c r="A152" s="1411" t="s">
        <v>261</v>
      </c>
      <c r="B152" s="1412"/>
      <c r="C152" s="1413"/>
      <c r="D152" s="523" t="s">
        <v>183</v>
      </c>
      <c r="E152" s="455"/>
      <c r="F152" s="1257"/>
      <c r="G152" s="460">
        <f>G37+G51</f>
        <v>36659</v>
      </c>
      <c r="H152" s="460">
        <f>G152+'4'!H152</f>
        <v>42524.160000000003</v>
      </c>
      <c r="I152" s="480"/>
      <c r="J152" s="553">
        <f>H152/DAY(B2)</f>
        <v>8504.8320000000003</v>
      </c>
      <c r="N152" s="382"/>
    </row>
    <row r="153" spans="1:14" ht="28.5" thickBot="1">
      <c r="A153" s="1443" t="s">
        <v>262</v>
      </c>
      <c r="B153" s="1444"/>
      <c r="C153" s="1445"/>
      <c r="D153" s="626" t="s">
        <v>24</v>
      </c>
      <c r="E153" s="566"/>
      <c r="F153" s="1277"/>
      <c r="G153" s="567">
        <f>G152/G7</f>
        <v>1.7978029522828698</v>
      </c>
      <c r="H153" s="460">
        <f>G153+'4'!H153</f>
        <v>2.0724778614739581</v>
      </c>
      <c r="I153" s="569"/>
      <c r="J153" s="570">
        <f>H153/DAY(B2)</f>
        <v>0.41449557229479161</v>
      </c>
      <c r="N153" s="382"/>
    </row>
    <row r="154" spans="1:14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  <c r="N154" s="382"/>
    </row>
    <row r="157" spans="1:14" ht="27.7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663">
        <v>28760</v>
      </c>
      <c r="F160" s="663">
        <v>31220</v>
      </c>
      <c r="G160" s="473">
        <f t="shared" ref="G160:G171" si="17">F160-E160</f>
        <v>2460</v>
      </c>
    </row>
    <row r="161" spans="1:7">
      <c r="A161" s="790" t="s">
        <v>264</v>
      </c>
      <c r="B161" s="791"/>
      <c r="C161" s="791"/>
      <c r="D161" s="511" t="s">
        <v>187</v>
      </c>
      <c r="E161" s="663">
        <v>44539</v>
      </c>
      <c r="F161" s="663">
        <v>57341</v>
      </c>
      <c r="G161" s="473">
        <f t="shared" si="17"/>
        <v>12802</v>
      </c>
    </row>
    <row r="162" spans="1:7">
      <c r="A162" s="790" t="s">
        <v>265</v>
      </c>
      <c r="B162" s="791"/>
      <c r="C162" s="791"/>
      <c r="D162" s="511" t="s">
        <v>187</v>
      </c>
      <c r="E162" s="663">
        <v>13657</v>
      </c>
      <c r="F162" s="663">
        <v>21975</v>
      </c>
      <c r="G162" s="473">
        <f t="shared" si="17"/>
        <v>8318</v>
      </c>
    </row>
    <row r="163" spans="1:7">
      <c r="A163" s="790" t="s">
        <v>266</v>
      </c>
      <c r="B163" s="791"/>
      <c r="C163" s="791"/>
      <c r="D163" s="511" t="s">
        <v>187</v>
      </c>
      <c r="E163" s="663">
        <v>5067</v>
      </c>
      <c r="F163" s="663">
        <v>5494</v>
      </c>
      <c r="G163" s="473">
        <f t="shared" si="17"/>
        <v>427</v>
      </c>
    </row>
    <row r="164" spans="1:7">
      <c r="A164" s="792" t="s">
        <v>98</v>
      </c>
      <c r="B164" s="605"/>
      <c r="C164" s="605"/>
      <c r="D164" s="511" t="s">
        <v>187</v>
      </c>
      <c r="E164" s="514">
        <f>E62</f>
        <v>20419.187999999998</v>
      </c>
      <c r="F164" s="514">
        <f>F62</f>
        <v>20419</v>
      </c>
      <c r="G164" s="473">
        <f t="shared" si="17"/>
        <v>-0.18799999999828287</v>
      </c>
    </row>
    <row r="165" spans="1:7">
      <c r="A165" s="792" t="s">
        <v>188</v>
      </c>
      <c r="B165" s="605"/>
      <c r="C165" s="605"/>
      <c r="D165" s="511" t="s">
        <v>187</v>
      </c>
      <c r="E165" s="514">
        <f t="shared" ref="E165" si="18">E63</f>
        <v>1760</v>
      </c>
      <c r="F165" s="514">
        <f t="shared" ref="F165:F171" si="19">F63</f>
        <v>1771</v>
      </c>
      <c r="G165" s="473">
        <f t="shared" si="17"/>
        <v>11</v>
      </c>
    </row>
    <row r="166" spans="1:7" ht="27.75">
      <c r="A166" s="1460" t="s">
        <v>99</v>
      </c>
      <c r="B166" s="1460"/>
      <c r="C166" s="1460"/>
      <c r="D166" s="523" t="s">
        <v>187</v>
      </c>
      <c r="E166" s="514">
        <f t="shared" ref="E166" si="20">E64</f>
        <v>125668</v>
      </c>
      <c r="F166" s="514">
        <f t="shared" si="19"/>
        <v>126210</v>
      </c>
      <c r="G166" s="473">
        <f t="shared" si="17"/>
        <v>542</v>
      </c>
    </row>
    <row r="167" spans="1:7" ht="27.75">
      <c r="A167" s="1460" t="s">
        <v>100</v>
      </c>
      <c r="B167" s="1460"/>
      <c r="C167" s="1460"/>
      <c r="D167" s="523" t="s">
        <v>187</v>
      </c>
      <c r="E167" s="514">
        <f t="shared" ref="E167" si="21">E65</f>
        <v>134126</v>
      </c>
      <c r="F167" s="514">
        <f t="shared" si="19"/>
        <v>134499</v>
      </c>
      <c r="G167" s="473">
        <f t="shared" si="17"/>
        <v>373</v>
      </c>
    </row>
    <row r="168" spans="1:7" ht="27.75">
      <c r="A168" s="1460" t="s">
        <v>101</v>
      </c>
      <c r="B168" s="1460"/>
      <c r="C168" s="1460"/>
      <c r="D168" s="523" t="s">
        <v>187</v>
      </c>
      <c r="E168" s="514">
        <f t="shared" ref="E168" si="22">E66</f>
        <v>26815</v>
      </c>
      <c r="F168" s="514">
        <f t="shared" si="19"/>
        <v>27210</v>
      </c>
      <c r="G168" s="473">
        <f t="shared" si="17"/>
        <v>395</v>
      </c>
    </row>
    <row r="169" spans="1:7" ht="27.75">
      <c r="A169" s="1460" t="s">
        <v>102</v>
      </c>
      <c r="B169" s="1460"/>
      <c r="C169" s="1460"/>
      <c r="D169" s="523" t="s">
        <v>187</v>
      </c>
      <c r="E169" s="514">
        <f t="shared" ref="E169" si="23">E67</f>
        <v>210580</v>
      </c>
      <c r="F169" s="514">
        <f t="shared" si="19"/>
        <v>211254</v>
      </c>
      <c r="G169" s="473">
        <f t="shared" si="17"/>
        <v>674</v>
      </c>
    </row>
    <row r="170" spans="1:7" ht="27.75">
      <c r="A170" s="1460" t="s">
        <v>103</v>
      </c>
      <c r="B170" s="1460"/>
      <c r="C170" s="1460"/>
      <c r="D170" s="523" t="s">
        <v>187</v>
      </c>
      <c r="E170" s="514">
        <f t="shared" ref="E170" si="24">E68</f>
        <v>74083</v>
      </c>
      <c r="F170" s="514">
        <f t="shared" si="19"/>
        <v>74412</v>
      </c>
      <c r="G170" s="473">
        <f t="shared" si="17"/>
        <v>329</v>
      </c>
    </row>
    <row r="171" spans="1:7" ht="27.75">
      <c r="A171" s="1460" t="s">
        <v>104</v>
      </c>
      <c r="B171" s="1460"/>
      <c r="C171" s="1460"/>
      <c r="D171" s="523" t="s">
        <v>187</v>
      </c>
      <c r="E171" s="514">
        <f t="shared" ref="E171" si="25">E69</f>
        <v>65740</v>
      </c>
      <c r="F171" s="514">
        <f t="shared" si="19"/>
        <v>66061</v>
      </c>
      <c r="G171" s="473">
        <f t="shared" si="17"/>
        <v>321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7" s="281" customFormat="1" ht="27">
      <c r="A2" s="576" t="s">
        <v>350</v>
      </c>
      <c r="B2" s="1038">
        <v>44261</v>
      </c>
      <c r="C2" s="1150" t="s">
        <v>69</v>
      </c>
      <c r="D2" s="612">
        <v>0.8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7" s="281" customFormat="1" ht="27">
      <c r="A3" s="571"/>
      <c r="B3" s="615"/>
      <c r="C3" s="1150" t="s">
        <v>120</v>
      </c>
      <c r="D3" s="613">
        <v>29</v>
      </c>
      <c r="E3" s="1432" t="s">
        <v>121</v>
      </c>
      <c r="F3" s="1433"/>
      <c r="G3" s="462"/>
      <c r="H3" s="463"/>
      <c r="I3" s="463"/>
      <c r="J3" s="616"/>
      <c r="K3" s="371"/>
      <c r="L3" s="292"/>
    </row>
    <row r="4" spans="1:17" s="281" customFormat="1" ht="27">
      <c r="A4" s="577"/>
      <c r="B4" s="617"/>
      <c r="C4" s="1150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</row>
    <row r="5" spans="1:17">
      <c r="A5" s="578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7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7" ht="30" thickBot="1">
      <c r="A7" s="681" t="s">
        <v>131</v>
      </c>
      <c r="B7" s="682"/>
      <c r="C7" s="682"/>
      <c r="D7" s="639" t="s">
        <v>132</v>
      </c>
      <c r="E7" s="634">
        <f>'5'!F7</f>
        <v>4551145</v>
      </c>
      <c r="F7" s="455">
        <v>4573016</v>
      </c>
      <c r="G7" s="694">
        <f>F7-E7</f>
        <v>21871</v>
      </c>
      <c r="H7" s="684">
        <f>G7+'5'!H7</f>
        <v>127939</v>
      </c>
      <c r="I7" s="685">
        <f>'1'!I7</f>
        <v>12000</v>
      </c>
      <c r="J7" s="686">
        <f>H7/DAY(B2)</f>
        <v>21323.166666666668</v>
      </c>
      <c r="K7" s="550"/>
      <c r="L7" s="377"/>
      <c r="N7" s="713"/>
    </row>
    <row r="8" spans="1:17" ht="27.75" thickBot="1">
      <c r="A8" s="687" t="s">
        <v>133</v>
      </c>
      <c r="B8" s="688"/>
      <c r="C8" s="689"/>
      <c r="D8" s="690" t="s">
        <v>25</v>
      </c>
      <c r="E8" s="634">
        <f>'5'!F8</f>
        <v>4579962</v>
      </c>
      <c r="F8" s="475">
        <v>4601933</v>
      </c>
      <c r="G8" s="694">
        <f t="shared" ref="G8:G12" si="0">F8-E8</f>
        <v>21971</v>
      </c>
      <c r="H8" s="684">
        <f>G8+'5'!H8</f>
        <v>128777</v>
      </c>
      <c r="I8" s="691">
        <v>12000</v>
      </c>
      <c r="J8" s="686">
        <f>H8/DAY(B2)</f>
        <v>21462.833333333332</v>
      </c>
      <c r="K8" s="550"/>
      <c r="L8" s="425"/>
      <c r="M8" s="440"/>
      <c r="N8" s="708"/>
      <c r="O8" s="382"/>
    </row>
    <row r="9" spans="1:17">
      <c r="A9" s="692" t="s">
        <v>134</v>
      </c>
      <c r="B9" s="693"/>
      <c r="C9" s="693"/>
      <c r="D9" s="639" t="s">
        <v>132</v>
      </c>
      <c r="E9" s="634">
        <f>'5'!F9</f>
        <v>124353.81</v>
      </c>
      <c r="F9" s="478">
        <v>124354</v>
      </c>
      <c r="G9" s="694">
        <f t="shared" si="0"/>
        <v>0.19000000000232831</v>
      </c>
      <c r="H9" s="684">
        <f>G9+'5'!H9</f>
        <v>37444.990000000005</v>
      </c>
      <c r="I9" s="695">
        <f>I8-J8</f>
        <v>-9462.8333333333321</v>
      </c>
      <c r="J9" s="686">
        <f>H9/DAY(B2)</f>
        <v>6240.8316666666678</v>
      </c>
      <c r="K9" s="428"/>
      <c r="L9" s="377"/>
      <c r="N9" s="382"/>
      <c r="O9" s="440"/>
    </row>
    <row r="10" spans="1:17">
      <c r="A10" s="681" t="s">
        <v>135</v>
      </c>
      <c r="B10" s="682"/>
      <c r="C10" s="682"/>
      <c r="D10" s="639" t="s">
        <v>132</v>
      </c>
      <c r="E10" s="634">
        <f>'5'!F10</f>
        <v>90883.22</v>
      </c>
      <c r="F10" s="478">
        <v>111959</v>
      </c>
      <c r="G10" s="694">
        <f t="shared" si="0"/>
        <v>21075.78</v>
      </c>
      <c r="H10" s="684">
        <f>G10+'5'!H10</f>
        <v>86263.44</v>
      </c>
      <c r="I10" s="696"/>
      <c r="J10" s="686">
        <f>H10/DAY(B2)</f>
        <v>14377.24</v>
      </c>
      <c r="K10" s="428"/>
      <c r="L10" s="377"/>
      <c r="N10" s="382"/>
      <c r="O10" s="440"/>
      <c r="Q10" s="440"/>
    </row>
    <row r="11" spans="1:17">
      <c r="A11" s="681" t="s">
        <v>136</v>
      </c>
      <c r="B11" s="682"/>
      <c r="C11" s="682"/>
      <c r="D11" s="639" t="s">
        <v>132</v>
      </c>
      <c r="E11" s="634">
        <v>37000</v>
      </c>
      <c r="F11" s="455">
        <v>37000</v>
      </c>
      <c r="G11" s="694">
        <f t="shared" si="0"/>
        <v>0</v>
      </c>
      <c r="H11" s="684">
        <f>G11+'5'!H11</f>
        <v>0</v>
      </c>
      <c r="I11" s="696"/>
      <c r="J11" s="686">
        <f>H11/DAY(B2)</f>
        <v>0</v>
      </c>
      <c r="K11" s="428"/>
      <c r="L11" s="377"/>
      <c r="N11" s="382"/>
      <c r="O11" s="440"/>
      <c r="Q11" s="440"/>
    </row>
    <row r="12" spans="1:17">
      <c r="A12" s="681" t="s">
        <v>137</v>
      </c>
      <c r="B12" s="682"/>
      <c r="C12" s="682"/>
      <c r="D12" s="639" t="s">
        <v>132</v>
      </c>
      <c r="E12" s="634">
        <v>40010</v>
      </c>
      <c r="F12" s="478">
        <v>40010</v>
      </c>
      <c r="G12" s="694">
        <f t="shared" si="0"/>
        <v>0</v>
      </c>
      <c r="H12" s="684">
        <f>G12+'5'!H12</f>
        <v>0</v>
      </c>
      <c r="I12" s="696"/>
      <c r="J12" s="686">
        <f>H12/DAY(B2)</f>
        <v>0</v>
      </c>
      <c r="K12" s="428"/>
      <c r="L12" s="377"/>
      <c r="N12" s="382"/>
      <c r="O12" s="440"/>
      <c r="Q12" s="440"/>
    </row>
    <row r="13" spans="1:17">
      <c r="A13" s="697" t="s">
        <v>138</v>
      </c>
      <c r="B13" s="698"/>
      <c r="C13" s="698"/>
      <c r="D13" s="639"/>
      <c r="E13" s="634"/>
      <c r="F13" s="455"/>
      <c r="G13" s="699">
        <f>G9+G10+G11+G12</f>
        <v>21075.97</v>
      </c>
      <c r="H13" s="684">
        <f>G13+'5'!H13</f>
        <v>123708.43</v>
      </c>
      <c r="I13" s="700">
        <f>G7-G13</f>
        <v>795.02999999999884</v>
      </c>
      <c r="J13" s="686">
        <f>H13/DAY(B2)</f>
        <v>20618.071666666667</v>
      </c>
      <c r="K13" s="428"/>
      <c r="L13" s="377"/>
      <c r="N13" s="382"/>
      <c r="O13" s="440"/>
      <c r="Q13" s="440"/>
    </row>
    <row r="14" spans="1:17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N14" s="382"/>
    </row>
    <row r="15" spans="1:17">
      <c r="A15" s="798" t="s">
        <v>140</v>
      </c>
      <c r="B15" s="793"/>
      <c r="C15" s="793"/>
      <c r="D15" s="524" t="s">
        <v>141</v>
      </c>
      <c r="E15" s="485">
        <f>'5'!F15</f>
        <v>1624360.64</v>
      </c>
      <c r="F15" s="485">
        <v>1625305</v>
      </c>
      <c r="G15" s="473">
        <f>(F15-E15)</f>
        <v>944.36000000010245</v>
      </c>
      <c r="H15" s="486">
        <f>G15+'5'!H15</f>
        <v>5426.3899999998976</v>
      </c>
      <c r="I15" s="474">
        <v>800</v>
      </c>
      <c r="J15" s="554">
        <f>H15/DAY(B2)</f>
        <v>904.39833333331626</v>
      </c>
      <c r="K15" s="428"/>
      <c r="L15" s="377"/>
      <c r="N15" s="382"/>
    </row>
    <row r="16" spans="1:17">
      <c r="A16" s="796"/>
      <c r="B16" s="797"/>
      <c r="C16" s="797"/>
      <c r="D16" s="794"/>
      <c r="E16" s="795"/>
      <c r="F16" s="485"/>
      <c r="G16" s="1042"/>
      <c r="H16" s="1059"/>
      <c r="I16" s="487">
        <f>I15-J15</f>
        <v>-104.39833333331626</v>
      </c>
      <c r="J16" s="1060"/>
      <c r="K16" s="428"/>
      <c r="L16" s="377"/>
      <c r="N16" s="382"/>
    </row>
    <row r="17" spans="1:14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>
      <c r="A18" s="1464" t="s">
        <v>143</v>
      </c>
      <c r="B18" s="1465"/>
      <c r="C18" s="1466"/>
      <c r="D18" s="641" t="s">
        <v>144</v>
      </c>
      <c r="E18" s="638">
        <f>'5'!F18</f>
        <v>14</v>
      </c>
      <c r="F18" s="485">
        <v>14</v>
      </c>
      <c r="G18" s="694">
        <f>F18*10</f>
        <v>140</v>
      </c>
      <c r="H18" s="684">
        <f>G18+'5'!H18</f>
        <v>880</v>
      </c>
      <c r="I18" s="685">
        <f>'1'!I18</f>
        <v>65</v>
      </c>
      <c r="J18" s="686">
        <f>H18/DAY(B2)</f>
        <v>146.66666666666666</v>
      </c>
      <c r="K18" s="428"/>
      <c r="L18" s="377"/>
      <c r="N18" s="382"/>
    </row>
    <row r="19" spans="1:14" ht="27.75">
      <c r="A19" s="1464" t="s">
        <v>71</v>
      </c>
      <c r="B19" s="1465"/>
      <c r="C19" s="1466"/>
      <c r="D19" s="639" t="s">
        <v>144</v>
      </c>
      <c r="E19" s="636">
        <f>'5'!F19</f>
        <v>134723</v>
      </c>
      <c r="F19" s="478">
        <v>134774</v>
      </c>
      <c r="G19" s="694">
        <f t="shared" ref="G19" si="1">F19-E19</f>
        <v>51</v>
      </c>
      <c r="H19" s="684">
        <f>G19+'5'!H19</f>
        <v>306</v>
      </c>
      <c r="I19" s="701"/>
      <c r="J19" s="686">
        <f>H19/DAY(B2)</f>
        <v>51</v>
      </c>
      <c r="K19" s="428"/>
      <c r="L19" s="377"/>
      <c r="N19" s="382"/>
    </row>
    <row r="20" spans="1:14">
      <c r="A20" s="697" t="s">
        <v>145</v>
      </c>
      <c r="B20" s="698"/>
      <c r="C20" s="698"/>
      <c r="D20" s="639"/>
      <c r="E20" s="639"/>
      <c r="F20" s="523"/>
      <c r="G20" s="702">
        <f>G18+G19</f>
        <v>191</v>
      </c>
      <c r="H20" s="684">
        <f>G20+'5'!H20</f>
        <v>1186</v>
      </c>
      <c r="I20" s="703">
        <f>I18-J20</f>
        <v>-132.66666666666666</v>
      </c>
      <c r="J20" s="686">
        <f>H20/DAY(B2)</f>
        <v>197.66666666666666</v>
      </c>
      <c r="K20" s="428"/>
      <c r="L20" s="377"/>
      <c r="N20" s="382"/>
    </row>
    <row r="21" spans="1:14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>
      <c r="A22" s="1148" t="s">
        <v>147</v>
      </c>
      <c r="B22" s="590"/>
      <c r="C22" s="590"/>
      <c r="D22" s="523" t="s">
        <v>148</v>
      </c>
      <c r="E22" s="636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3">
        <f>H22/DAY(B2)</f>
        <v>0</v>
      </c>
      <c r="K22" s="428"/>
      <c r="L22" s="377"/>
      <c r="N22" s="382"/>
    </row>
    <row r="23" spans="1:14">
      <c r="A23" s="1148" t="s">
        <v>149</v>
      </c>
      <c r="B23" s="590"/>
      <c r="C23" s="590"/>
      <c r="D23" s="523" t="s">
        <v>148</v>
      </c>
      <c r="E23" s="636">
        <f>'5'!F23</f>
        <v>2900</v>
      </c>
      <c r="F23" s="478">
        <v>2900</v>
      </c>
      <c r="G23" s="481">
        <v>0</v>
      </c>
      <c r="H23" s="460">
        <f>G23+'5'!H23</f>
        <v>0</v>
      </c>
      <c r="I23" s="480"/>
      <c r="J23" s="553">
        <f>H23/DAY(B2)</f>
        <v>0</v>
      </c>
      <c r="K23" s="428"/>
      <c r="L23" s="377"/>
      <c r="N23" s="382"/>
    </row>
    <row r="24" spans="1:14">
      <c r="A24" s="591" t="s">
        <v>150</v>
      </c>
      <c r="B24" s="592"/>
      <c r="C24" s="592"/>
      <c r="D24" s="511" t="s">
        <v>148</v>
      </c>
      <c r="E24" s="636">
        <f>'5'!F24</f>
        <v>4250</v>
      </c>
      <c r="F24" s="485">
        <v>4250</v>
      </c>
      <c r="G24" s="481">
        <v>0</v>
      </c>
      <c r="H24" s="460">
        <f>G24+'5'!H24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21971</v>
      </c>
      <c r="F27" s="501">
        <v>9</v>
      </c>
      <c r="G27" s="502">
        <f>E27*F27</f>
        <v>197739</v>
      </c>
      <c r="H27" s="460">
        <f>G27+'5'!H27</f>
        <v>1158993</v>
      </c>
      <c r="I27" s="503"/>
      <c r="J27" s="553">
        <f>H27/DAY(B2)</f>
        <v>193165.5</v>
      </c>
      <c r="K27" s="373"/>
      <c r="L27" s="443"/>
      <c r="N27" s="382"/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944.36000000010245</v>
      </c>
      <c r="F28" s="501">
        <v>48.88</v>
      </c>
      <c r="G28" s="502">
        <f t="shared" ref="G28:G31" si="3">E28*F28</f>
        <v>46160.316800005006</v>
      </c>
      <c r="H28" s="460">
        <f>G28+'5'!H28</f>
        <v>265241.94319999497</v>
      </c>
      <c r="I28" s="505"/>
      <c r="J28" s="553">
        <f>H28/DAY(B2)</f>
        <v>44206.990533332493</v>
      </c>
      <c r="K28" s="373"/>
      <c r="L28" s="443"/>
      <c r="N28" s="382"/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640">
        <v>69</v>
      </c>
      <c r="G29" s="502">
        <f t="shared" si="3"/>
        <v>0</v>
      </c>
      <c r="H29" s="460">
        <f>G29+'5'!H29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51</v>
      </c>
      <c r="F30" s="640">
        <v>134</v>
      </c>
      <c r="G30" s="502">
        <f t="shared" si="3"/>
        <v>6834</v>
      </c>
      <c r="H30" s="460">
        <f>G30+'5'!H30</f>
        <v>58692</v>
      </c>
      <c r="I30" s="505"/>
      <c r="J30" s="553">
        <f>H30/DAY(B2)</f>
        <v>9782</v>
      </c>
      <c r="K30" s="373"/>
      <c r="L30" s="443"/>
      <c r="N30" s="382"/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140</v>
      </c>
      <c r="F31" s="640">
        <v>80</v>
      </c>
      <c r="G31" s="502">
        <f t="shared" si="3"/>
        <v>11200</v>
      </c>
      <c r="H31" s="460">
        <f>G31+'5'!H31</f>
        <v>59840</v>
      </c>
      <c r="I31" s="505"/>
      <c r="J31" s="553">
        <f>H31/DAY(B2)</f>
        <v>9973.3333333333339</v>
      </c>
      <c r="K31" s="373"/>
      <c r="L31" s="443"/>
      <c r="N31" s="382"/>
    </row>
    <row r="32" spans="1:14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261933.31680000501</v>
      </c>
      <c r="H32" s="460">
        <f>G32+'5'!H32</f>
        <v>1542766.943199995</v>
      </c>
      <c r="I32" s="509"/>
      <c r="J32" s="553">
        <f>H32/DAY(B2)</f>
        <v>257127.82386666583</v>
      </c>
      <c r="K32" s="373"/>
      <c r="L32" s="443"/>
      <c r="N32" s="382"/>
    </row>
    <row r="33" spans="1:14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382"/>
    </row>
    <row r="34" spans="1:14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>
      <c r="A35" s="579" t="s">
        <v>164</v>
      </c>
      <c r="B35" s="580"/>
      <c r="C35" s="580"/>
      <c r="D35" s="523" t="s">
        <v>132</v>
      </c>
      <c r="E35" s="510">
        <f>'5'!F35</f>
        <v>709840</v>
      </c>
      <c r="F35" s="510">
        <v>713324</v>
      </c>
      <c r="G35" s="473">
        <f t="shared" ref="G35:G46" si="4">F35-E35</f>
        <v>3484</v>
      </c>
      <c r="H35" s="460">
        <f>G35+'5'!H35</f>
        <v>20236.410000000033</v>
      </c>
      <c r="I35" s="455"/>
      <c r="J35" s="553">
        <f>H35/DAY(B2)</f>
        <v>3372.7350000000056</v>
      </c>
      <c r="K35" s="428"/>
      <c r="L35" s="377"/>
      <c r="N35" s="382"/>
    </row>
    <row r="36" spans="1:14">
      <c r="A36" s="579" t="s">
        <v>165</v>
      </c>
      <c r="B36" s="580"/>
      <c r="C36" s="580"/>
      <c r="D36" s="523" t="s">
        <v>132</v>
      </c>
      <c r="E36" s="510">
        <f>'5'!F36</f>
        <v>299700</v>
      </c>
      <c r="F36" s="510">
        <v>300324</v>
      </c>
      <c r="G36" s="473">
        <f t="shared" si="4"/>
        <v>624</v>
      </c>
      <c r="H36" s="460">
        <f>G36+'5'!H36</f>
        <v>3878.429999999993</v>
      </c>
      <c r="I36" s="455"/>
      <c r="J36" s="553">
        <f>H36/DAY(B2)</f>
        <v>646.40499999999884</v>
      </c>
      <c r="K36" s="428"/>
      <c r="L36" s="377"/>
      <c r="N36" s="629"/>
    </row>
    <row r="37" spans="1:14">
      <c r="A37" s="579" t="s">
        <v>166</v>
      </c>
      <c r="B37" s="580"/>
      <c r="C37" s="580"/>
      <c r="D37" s="523" t="s">
        <v>132</v>
      </c>
      <c r="E37" s="510">
        <f>'5'!F37</f>
        <v>35167</v>
      </c>
      <c r="F37" s="510">
        <v>35167</v>
      </c>
      <c r="G37" s="473">
        <f t="shared" si="4"/>
        <v>0</v>
      </c>
      <c r="H37" s="460">
        <f>G37+'5'!H37</f>
        <v>38272.080000000002</v>
      </c>
      <c r="I37" s="455"/>
      <c r="J37" s="553">
        <f>H37/DAY(B2)</f>
        <v>6378.68</v>
      </c>
      <c r="K37" s="428"/>
      <c r="L37" s="377"/>
      <c r="N37" s="630"/>
    </row>
    <row r="38" spans="1:14">
      <c r="A38" s="579" t="s">
        <v>167</v>
      </c>
      <c r="B38" s="580"/>
      <c r="C38" s="580"/>
      <c r="D38" s="523" t="s">
        <v>132</v>
      </c>
      <c r="E38" s="469">
        <f>'5'!F38</f>
        <v>48333</v>
      </c>
      <c r="F38" s="469">
        <v>48333</v>
      </c>
      <c r="G38" s="473">
        <f t="shared" si="4"/>
        <v>0</v>
      </c>
      <c r="H38" s="460">
        <f>G38+'5'!H38</f>
        <v>4519.510000000002</v>
      </c>
      <c r="I38" s="455"/>
      <c r="J38" s="553">
        <f>H38/DAY(B2)</f>
        <v>753.25166666666701</v>
      </c>
      <c r="K38" s="428"/>
      <c r="L38" s="377"/>
      <c r="N38" s="382"/>
    </row>
    <row r="39" spans="1:14">
      <c r="A39" s="579" t="s">
        <v>168</v>
      </c>
      <c r="B39" s="580"/>
      <c r="C39" s="580"/>
      <c r="D39" s="523" t="s">
        <v>132</v>
      </c>
      <c r="E39" s="510">
        <f>'5'!F39</f>
        <v>100066</v>
      </c>
      <c r="F39" s="510">
        <v>100066</v>
      </c>
      <c r="G39" s="473">
        <f t="shared" si="4"/>
        <v>0</v>
      </c>
      <c r="H39" s="460">
        <f>G39+'5'!H39</f>
        <v>109458.89</v>
      </c>
      <c r="I39" s="455"/>
      <c r="J39" s="553">
        <f>H39/DAY(B2)</f>
        <v>18243.148333333334</v>
      </c>
      <c r="K39" s="428"/>
      <c r="L39" s="377"/>
      <c r="N39" s="382"/>
    </row>
    <row r="40" spans="1:14">
      <c r="A40" s="600" t="s">
        <v>169</v>
      </c>
      <c r="B40" s="601"/>
      <c r="C40" s="601"/>
      <c r="D40" s="523" t="s">
        <v>132</v>
      </c>
      <c r="E40" s="510">
        <f>'5'!F40</f>
        <v>0.17</v>
      </c>
      <c r="F40" s="510">
        <v>0.17</v>
      </c>
      <c r="G40" s="473">
        <f t="shared" si="4"/>
        <v>0</v>
      </c>
      <c r="H40" s="460">
        <f>G40+'5'!H40</f>
        <v>0</v>
      </c>
      <c r="I40" s="455"/>
      <c r="J40" s="553">
        <f>H40/DAY(B2)</f>
        <v>0</v>
      </c>
      <c r="K40" s="429"/>
      <c r="L40" s="377"/>
      <c r="N40" s="382"/>
    </row>
    <row r="41" spans="1:14">
      <c r="A41" s="579" t="s">
        <v>170</v>
      </c>
      <c r="B41" s="580"/>
      <c r="C41" s="580"/>
      <c r="D41" s="523" t="s">
        <v>132</v>
      </c>
      <c r="E41" s="510">
        <f>'5'!F41</f>
        <v>63881.74</v>
      </c>
      <c r="F41" s="510">
        <v>63881.74</v>
      </c>
      <c r="G41" s="473">
        <f>F41-E41</f>
        <v>0</v>
      </c>
      <c r="H41" s="460">
        <f>G41+'5'!H41</f>
        <v>-0.63000000000465661</v>
      </c>
      <c r="I41" s="455"/>
      <c r="J41" s="553">
        <f>H41/DAY(B2)</f>
        <v>-0.1050000000007761</v>
      </c>
      <c r="K41" s="428"/>
      <c r="L41" s="377"/>
      <c r="N41" s="382"/>
    </row>
    <row r="42" spans="1:14">
      <c r="A42" s="579" t="s">
        <v>171</v>
      </c>
      <c r="B42" s="580"/>
      <c r="C42" s="580"/>
      <c r="D42" s="523" t="s">
        <v>132</v>
      </c>
      <c r="E42" s="510">
        <f>'5'!F42</f>
        <v>59128</v>
      </c>
      <c r="F42" s="510">
        <v>59128</v>
      </c>
      <c r="G42" s="473">
        <f t="shared" si="4"/>
        <v>0</v>
      </c>
      <c r="H42" s="460">
        <f>G42+'5'!H42</f>
        <v>-0.84999999999854481</v>
      </c>
      <c r="I42" s="455"/>
      <c r="J42" s="553">
        <f>H42/DAY(B2)</f>
        <v>-0.14166666666642413</v>
      </c>
      <c r="K42" s="428"/>
      <c r="L42" s="377"/>
      <c r="N42" s="382"/>
    </row>
    <row r="43" spans="1:14">
      <c r="A43" s="579" t="s">
        <v>172</v>
      </c>
      <c r="B43" s="580"/>
      <c r="C43" s="580"/>
      <c r="D43" s="523" t="s">
        <v>132</v>
      </c>
      <c r="E43" s="510">
        <f>'5'!F43</f>
        <v>838151</v>
      </c>
      <c r="F43" s="510">
        <v>840588</v>
      </c>
      <c r="G43" s="473">
        <f t="shared" si="4"/>
        <v>2437</v>
      </c>
      <c r="H43" s="460">
        <f>G43+'5'!H43</f>
        <v>14690.170000000042</v>
      </c>
      <c r="I43" s="455"/>
      <c r="J43" s="553">
        <f>H43/DAY(B2)</f>
        <v>2448.3616666666735</v>
      </c>
      <c r="K43" s="428"/>
      <c r="L43" s="377"/>
      <c r="N43" s="382"/>
    </row>
    <row r="44" spans="1:14">
      <c r="A44" s="579" t="s">
        <v>173</v>
      </c>
      <c r="B44" s="580"/>
      <c r="C44" s="580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3">
        <f>H44/DAY(B2)</f>
        <v>0</v>
      </c>
      <c r="K44" s="428"/>
      <c r="L44" s="377"/>
      <c r="N44" s="382"/>
    </row>
    <row r="45" spans="1:14">
      <c r="A45" s="579" t="s">
        <v>174</v>
      </c>
      <c r="B45" s="580"/>
      <c r="C45" s="580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3">
        <f>H45/DAY(B2)</f>
        <v>0</v>
      </c>
      <c r="K45" s="428"/>
      <c r="L45" s="377"/>
      <c r="N45" s="382"/>
    </row>
    <row r="46" spans="1:14">
      <c r="A46" s="579" t="s">
        <v>175</v>
      </c>
      <c r="B46" s="580"/>
      <c r="C46" s="580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3">
        <f>H46/DAY(B2)</f>
        <v>0</v>
      </c>
      <c r="K46" s="428"/>
      <c r="L46" s="377"/>
      <c r="N46" s="382"/>
    </row>
    <row r="47" spans="1:14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6545</v>
      </c>
      <c r="H47" s="460">
        <f>G47+'5'!H47</f>
        <v>191054.01000000007</v>
      </c>
      <c r="I47" s="455"/>
      <c r="J47" s="553">
        <f>H47/DAY(B2)</f>
        <v>31842.33500000001</v>
      </c>
      <c r="K47" s="428"/>
      <c r="L47" s="377"/>
      <c r="N47" s="382"/>
    </row>
    <row r="48" spans="1:14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>
      <c r="A49" s="579" t="s">
        <v>164</v>
      </c>
      <c r="B49" s="602"/>
      <c r="C49" s="602"/>
      <c r="D49" s="523" t="s">
        <v>132</v>
      </c>
      <c r="E49" s="510">
        <f>'5'!F49</f>
        <v>260732</v>
      </c>
      <c r="F49" s="1040">
        <v>260732</v>
      </c>
      <c r="G49" s="473">
        <f t="shared" ref="G49:G58" si="5">F49-E49</f>
        <v>0</v>
      </c>
      <c r="H49" s="460">
        <f>G49+'5'!H49</f>
        <v>-0.13000000000465661</v>
      </c>
      <c r="I49" s="455"/>
      <c r="J49" s="553">
        <f>H49/DAY(B2)</f>
        <v>-2.1666666667442769E-2</v>
      </c>
      <c r="K49" s="428"/>
      <c r="L49" s="377"/>
      <c r="N49" s="382"/>
    </row>
    <row r="50" spans="1:14">
      <c r="A50" s="579" t="s">
        <v>178</v>
      </c>
      <c r="B50" s="602"/>
      <c r="C50" s="602"/>
      <c r="D50" s="523" t="s">
        <v>132</v>
      </c>
      <c r="E50" s="510">
        <f>'5'!F50</f>
        <v>408805</v>
      </c>
      <c r="F50" s="510">
        <v>409848</v>
      </c>
      <c r="G50" s="473">
        <f t="shared" si="5"/>
        <v>1043</v>
      </c>
      <c r="H50" s="460">
        <f>G50+'5'!H50</f>
        <v>7384.9699999999721</v>
      </c>
      <c r="I50" s="455"/>
      <c r="J50" s="553">
        <f>H50/DAY(B2)</f>
        <v>1230.8283333333286</v>
      </c>
      <c r="K50" s="428"/>
      <c r="L50" s="377"/>
      <c r="N50" s="382"/>
    </row>
    <row r="51" spans="1:14">
      <c r="A51" s="579" t="s">
        <v>166</v>
      </c>
      <c r="B51" s="602"/>
      <c r="C51" s="602"/>
      <c r="D51" s="523" t="s">
        <v>132</v>
      </c>
      <c r="E51" s="510">
        <f>'5'!F51</f>
        <v>124303</v>
      </c>
      <c r="F51" s="510">
        <v>125821</v>
      </c>
      <c r="G51" s="473">
        <f t="shared" si="5"/>
        <v>1518</v>
      </c>
      <c r="H51" s="460">
        <f>G51+'5'!H51</f>
        <v>5770.0800000000017</v>
      </c>
      <c r="I51" s="455"/>
      <c r="J51" s="553">
        <f>H51/DAY(B2)</f>
        <v>961.68000000000029</v>
      </c>
      <c r="K51" s="428"/>
      <c r="L51" s="377"/>
      <c r="N51" s="382"/>
    </row>
    <row r="52" spans="1:14">
      <c r="A52" s="579" t="s">
        <v>179</v>
      </c>
      <c r="B52" s="602"/>
      <c r="C52" s="602"/>
      <c r="D52" s="523" t="s">
        <v>132</v>
      </c>
      <c r="E52" s="510">
        <f>'5'!F52</f>
        <v>513628</v>
      </c>
      <c r="F52" s="510">
        <v>515751</v>
      </c>
      <c r="G52" s="473">
        <f t="shared" si="5"/>
        <v>2123</v>
      </c>
      <c r="H52" s="460">
        <f>G52+'5'!H52</f>
        <v>7838.289999999979</v>
      </c>
      <c r="I52" s="455"/>
      <c r="J52" s="553">
        <f>H52/DAY(B2)</f>
        <v>1306.3816666666632</v>
      </c>
      <c r="K52" s="428"/>
      <c r="L52" s="377"/>
      <c r="N52" s="382"/>
    </row>
    <row r="53" spans="1:14">
      <c r="A53" s="579" t="s">
        <v>168</v>
      </c>
      <c r="B53" s="602"/>
      <c r="C53" s="602"/>
      <c r="D53" s="523" t="s">
        <v>132</v>
      </c>
      <c r="E53" s="510">
        <f>'5'!F53</f>
        <v>343944</v>
      </c>
      <c r="F53" s="510">
        <v>348181</v>
      </c>
      <c r="G53" s="473">
        <f t="shared" si="5"/>
        <v>4237</v>
      </c>
      <c r="H53" s="460">
        <f>G53+'5'!H53</f>
        <v>16326.489999999991</v>
      </c>
      <c r="I53" s="455"/>
      <c r="J53" s="553">
        <f>H53/DAY(B2)</f>
        <v>2721.0816666666651</v>
      </c>
      <c r="K53" s="428"/>
      <c r="L53" s="377"/>
      <c r="N53" s="382"/>
    </row>
    <row r="54" spans="1:14">
      <c r="A54" s="579" t="s">
        <v>180</v>
      </c>
      <c r="B54" s="602"/>
      <c r="C54" s="602"/>
      <c r="D54" s="523" t="s">
        <v>132</v>
      </c>
      <c r="E54" s="510">
        <f>'5'!F54</f>
        <v>8200</v>
      </c>
      <c r="F54" s="510">
        <v>8200</v>
      </c>
      <c r="G54" s="473">
        <f t="shared" si="5"/>
        <v>0</v>
      </c>
      <c r="H54" s="460">
        <f>G54+'5'!H54</f>
        <v>104.40000000000055</v>
      </c>
      <c r="I54" s="455"/>
      <c r="J54" s="553">
        <f>H54/DAY(B2)</f>
        <v>17.400000000000091</v>
      </c>
      <c r="K54" s="428"/>
      <c r="L54" s="377"/>
      <c r="N54" s="382"/>
    </row>
    <row r="55" spans="1:14">
      <c r="A55" s="579" t="s">
        <v>181</v>
      </c>
      <c r="B55" s="602"/>
      <c r="C55" s="602"/>
      <c r="D55" s="523" t="s">
        <v>132</v>
      </c>
      <c r="E55" s="510">
        <f>'5'!F55</f>
        <v>140538</v>
      </c>
      <c r="F55" s="658">
        <v>146216</v>
      </c>
      <c r="G55" s="657">
        <f t="shared" si="5"/>
        <v>5678</v>
      </c>
      <c r="H55" s="710">
        <f>G55+'5'!H55</f>
        <v>28630.309999999998</v>
      </c>
      <c r="I55" s="711"/>
      <c r="J55" s="712">
        <f>H55/DAY(B2)</f>
        <v>4771.7183333333332</v>
      </c>
      <c r="K55" s="428"/>
      <c r="L55" s="377"/>
      <c r="N55" s="382"/>
    </row>
    <row r="56" spans="1:14">
      <c r="A56" s="579" t="s">
        <v>182</v>
      </c>
      <c r="B56" s="602"/>
      <c r="C56" s="602"/>
      <c r="D56" s="523" t="s">
        <v>183</v>
      </c>
      <c r="E56" s="510">
        <f>'5'!F56</f>
        <v>588535</v>
      </c>
      <c r="F56" s="1063">
        <v>588761</v>
      </c>
      <c r="G56" s="473">
        <f t="shared" si="5"/>
        <v>226</v>
      </c>
      <c r="H56" s="460">
        <f>G56+'5'!H56</f>
        <v>2709.9699999999721</v>
      </c>
      <c r="I56" s="455"/>
      <c r="J56" s="553">
        <f>H56/DAY(B2)</f>
        <v>451.66166666666203</v>
      </c>
      <c r="K56" s="427"/>
      <c r="L56" s="377"/>
      <c r="N56" s="382"/>
    </row>
    <row r="57" spans="1:14">
      <c r="A57" s="579" t="s">
        <v>172</v>
      </c>
      <c r="B57" s="602"/>
      <c r="C57" s="602"/>
      <c r="D57" s="523" t="s">
        <v>132</v>
      </c>
      <c r="E57" s="510">
        <f>'5'!F57</f>
        <v>7711</v>
      </c>
      <c r="F57" s="1040">
        <v>7711</v>
      </c>
      <c r="G57" s="473">
        <f t="shared" si="5"/>
        <v>0</v>
      </c>
      <c r="H57" s="460">
        <f>G57+'5'!H57</f>
        <v>-0.32999999999992724</v>
      </c>
      <c r="I57" s="455"/>
      <c r="J57" s="553">
        <f>H57/DAY(B2)</f>
        <v>-5.4999999999987871E-2</v>
      </c>
      <c r="K57" s="428"/>
      <c r="L57" s="377"/>
      <c r="N57" s="382"/>
    </row>
    <row r="58" spans="1:14">
      <c r="A58" s="579" t="s">
        <v>184</v>
      </c>
      <c r="B58" s="602"/>
      <c r="C58" s="602"/>
      <c r="D58" s="523" t="s">
        <v>132</v>
      </c>
      <c r="E58" s="510">
        <f>'5'!F58</f>
        <v>36874</v>
      </c>
      <c r="F58" s="658">
        <v>37068</v>
      </c>
      <c r="G58" s="473">
        <f t="shared" si="5"/>
        <v>194</v>
      </c>
      <c r="H58" s="460">
        <f>G58+'5'!H58</f>
        <v>1199.3000000000029</v>
      </c>
      <c r="I58" s="455"/>
      <c r="J58" s="553">
        <f>H58/DAY(B2)</f>
        <v>199.88333333333381</v>
      </c>
      <c r="K58" s="428"/>
      <c r="L58" s="377"/>
      <c r="N58" s="382"/>
    </row>
    <row r="59" spans="1:14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15019</v>
      </c>
      <c r="H59" s="460">
        <f>G59+'5'!H59</f>
        <v>69963.349999999919</v>
      </c>
      <c r="I59" s="455">
        <f>G7-G60</f>
        <v>307</v>
      </c>
      <c r="J59" s="553">
        <f>H59/DAY(B2)</f>
        <v>11660.55833333332</v>
      </c>
      <c r="K59" s="428"/>
      <c r="L59" s="377"/>
      <c r="N59" s="382"/>
    </row>
    <row r="60" spans="1:14">
      <c r="A60" s="579"/>
      <c r="B60" s="580"/>
      <c r="C60" s="580"/>
      <c r="D60" s="511" t="s">
        <v>185</v>
      </c>
      <c r="E60" s="511"/>
      <c r="F60" s="511"/>
      <c r="G60" s="481">
        <f>G47+G59</f>
        <v>21564</v>
      </c>
      <c r="H60" s="460">
        <f>G60+'5'!H60</f>
        <v>261017.36</v>
      </c>
      <c r="I60" s="455">
        <f>G13-G60</f>
        <v>-488.02999999999884</v>
      </c>
      <c r="J60" s="553">
        <f>H60/DAY(B2)</f>
        <v>43502.893333333333</v>
      </c>
      <c r="K60" s="428"/>
      <c r="L60" s="377"/>
      <c r="N60" s="382"/>
    </row>
    <row r="61" spans="1:14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>
      <c r="A62" s="604" t="s">
        <v>98</v>
      </c>
      <c r="B62" s="605"/>
      <c r="C62" s="605"/>
      <c r="D62" s="511" t="s">
        <v>187</v>
      </c>
      <c r="E62" s="514">
        <f>'5'!F62</f>
        <v>20419</v>
      </c>
      <c r="F62" s="514">
        <v>20419</v>
      </c>
      <c r="G62" s="473">
        <f t="shared" ref="G62:G69" si="6">F62-E62</f>
        <v>0</v>
      </c>
      <c r="H62" s="460">
        <f>G62+'5'!H62</f>
        <v>-0.18700000000171713</v>
      </c>
      <c r="I62" s="515"/>
      <c r="J62" s="553">
        <f>H62/DAY(B2)</f>
        <v>-3.1166666666952853E-2</v>
      </c>
      <c r="K62" s="428"/>
      <c r="L62" s="377"/>
      <c r="N62" s="382"/>
    </row>
    <row r="63" spans="1:14">
      <c r="A63" s="604" t="s">
        <v>188</v>
      </c>
      <c r="B63" s="605"/>
      <c r="C63" s="605"/>
      <c r="D63" s="511" t="s">
        <v>187</v>
      </c>
      <c r="E63" s="514">
        <f>'5'!F63</f>
        <v>1771</v>
      </c>
      <c r="F63" s="514">
        <v>1785</v>
      </c>
      <c r="G63" s="473">
        <f t="shared" si="6"/>
        <v>14</v>
      </c>
      <c r="H63" s="460">
        <f>G63+'5'!H63</f>
        <v>77.6400000000001</v>
      </c>
      <c r="I63" s="515"/>
      <c r="J63" s="553">
        <f>H63/DAY(B2)</f>
        <v>12.940000000000017</v>
      </c>
      <c r="K63" s="428"/>
      <c r="L63" s="377"/>
      <c r="N63" s="382"/>
    </row>
    <row r="64" spans="1:14" ht="27.75">
      <c r="A64" s="1408" t="s">
        <v>99</v>
      </c>
      <c r="B64" s="1409"/>
      <c r="C64" s="1410"/>
      <c r="D64" s="523" t="s">
        <v>187</v>
      </c>
      <c r="E64" s="484">
        <f>'5'!F64</f>
        <v>126210</v>
      </c>
      <c r="F64" s="478">
        <v>126712</v>
      </c>
      <c r="G64" s="473">
        <f t="shared" si="6"/>
        <v>502</v>
      </c>
      <c r="H64" s="460">
        <f>G64+'5'!H64</f>
        <v>3084.6999999999971</v>
      </c>
      <c r="I64" s="480"/>
      <c r="J64" s="553">
        <f>H64/DAY(B2)</f>
        <v>514.11666666666622</v>
      </c>
      <c r="K64" s="428"/>
      <c r="L64" s="377"/>
      <c r="N64" s="382"/>
    </row>
    <row r="65" spans="1:14" ht="27.75">
      <c r="A65" s="1408" t="s">
        <v>100</v>
      </c>
      <c r="B65" s="1409"/>
      <c r="C65" s="1410"/>
      <c r="D65" s="523" t="s">
        <v>187</v>
      </c>
      <c r="E65" s="484">
        <f>'5'!F65</f>
        <v>134499</v>
      </c>
      <c r="F65" s="656">
        <v>134863</v>
      </c>
      <c r="G65" s="473">
        <f t="shared" si="6"/>
        <v>364</v>
      </c>
      <c r="H65" s="460">
        <f>G65+'5'!H65</f>
        <v>2265.7000000000116</v>
      </c>
      <c r="I65" s="489"/>
      <c r="J65" s="553">
        <f>H65/DAY(B2)</f>
        <v>377.61666666666861</v>
      </c>
      <c r="K65" s="428"/>
      <c r="L65" s="377"/>
      <c r="N65" s="382"/>
    </row>
    <row r="66" spans="1:14" ht="27.75">
      <c r="A66" s="1408" t="s">
        <v>101</v>
      </c>
      <c r="B66" s="1409"/>
      <c r="C66" s="1410"/>
      <c r="D66" s="523" t="s">
        <v>187</v>
      </c>
      <c r="E66" s="484">
        <f>'5'!F66</f>
        <v>27210</v>
      </c>
      <c r="F66" s="478">
        <v>27597</v>
      </c>
      <c r="G66" s="473">
        <f t="shared" si="6"/>
        <v>387</v>
      </c>
      <c r="H66" s="460">
        <f>G66+'5'!H66</f>
        <v>2437.25</v>
      </c>
      <c r="I66" s="480"/>
      <c r="J66" s="553">
        <f>H66/DAY(B2)</f>
        <v>406.20833333333331</v>
      </c>
      <c r="K66" s="428"/>
      <c r="L66" s="377"/>
      <c r="N66" s="382"/>
    </row>
    <row r="67" spans="1:14" ht="27.75">
      <c r="A67" s="1408" t="s">
        <v>102</v>
      </c>
      <c r="B67" s="1409"/>
      <c r="C67" s="1410"/>
      <c r="D67" s="523" t="s">
        <v>187</v>
      </c>
      <c r="E67" s="484">
        <f>'5'!F67</f>
        <v>211254</v>
      </c>
      <c r="F67" s="478">
        <v>211959</v>
      </c>
      <c r="G67" s="473">
        <f t="shared" si="6"/>
        <v>705</v>
      </c>
      <c r="H67" s="460">
        <f>G67+'5'!H67</f>
        <v>4117.1700000000128</v>
      </c>
      <c r="I67" s="489"/>
      <c r="J67" s="553">
        <f>H67/DAY(B2)</f>
        <v>686.1950000000021</v>
      </c>
      <c r="K67" s="429"/>
      <c r="L67" s="377"/>
      <c r="N67" s="382"/>
    </row>
    <row r="68" spans="1:14" ht="27.75">
      <c r="A68" s="1408" t="s">
        <v>103</v>
      </c>
      <c r="B68" s="1409"/>
      <c r="C68" s="1410"/>
      <c r="D68" s="523" t="s">
        <v>187</v>
      </c>
      <c r="E68" s="484">
        <f>'5'!F68</f>
        <v>74412</v>
      </c>
      <c r="F68" s="478">
        <v>74747</v>
      </c>
      <c r="G68" s="473">
        <f t="shared" si="6"/>
        <v>335</v>
      </c>
      <c r="H68" s="460">
        <f>G68+'5'!H68</f>
        <v>2068.4799999999959</v>
      </c>
      <c r="I68" s="516"/>
      <c r="J68" s="553">
        <f>H68/DAY(B2)</f>
        <v>344.74666666666599</v>
      </c>
      <c r="K68" s="430"/>
      <c r="L68" s="377"/>
      <c r="N68" s="382"/>
    </row>
    <row r="69" spans="1:14" ht="27.75">
      <c r="A69" s="1408" t="s">
        <v>104</v>
      </c>
      <c r="B69" s="1409"/>
      <c r="C69" s="1410"/>
      <c r="D69" s="523" t="s">
        <v>187</v>
      </c>
      <c r="E69" s="484">
        <f>'5'!F69</f>
        <v>66061</v>
      </c>
      <c r="F69" s="478">
        <v>66393</v>
      </c>
      <c r="G69" s="473">
        <f t="shared" si="6"/>
        <v>332</v>
      </c>
      <c r="H69" s="460">
        <f>G69+'5'!H69</f>
        <v>1940.9100000000035</v>
      </c>
      <c r="I69" s="516"/>
      <c r="J69" s="553">
        <f>H69/DAY(B2)</f>
        <v>323.48500000000058</v>
      </c>
      <c r="K69" s="431"/>
      <c r="L69" s="377"/>
      <c r="N69" s="382"/>
    </row>
    <row r="70" spans="1:14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382"/>
    </row>
    <row r="71" spans="1:14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382"/>
    </row>
    <row r="72" spans="1:14" ht="27.75">
      <c r="A72" s="1408" t="s">
        <v>191</v>
      </c>
      <c r="B72" s="1409"/>
      <c r="C72" s="1410"/>
      <c r="D72" s="523" t="s">
        <v>187</v>
      </c>
      <c r="E72" s="519">
        <f>'5'!F72</f>
        <v>850998</v>
      </c>
      <c r="F72" s="659">
        <v>851073</v>
      </c>
      <c r="G72" s="473">
        <f t="shared" ref="G72:G84" si="7">F72-E72</f>
        <v>75</v>
      </c>
      <c r="H72" s="460">
        <f>G72+'5'!H72</f>
        <v>481</v>
      </c>
      <c r="I72" s="480"/>
      <c r="J72" s="553">
        <f>H72/DAY(B2)</f>
        <v>80.166666666666671</v>
      </c>
      <c r="K72" s="431"/>
      <c r="L72" s="377"/>
      <c r="N72" s="382"/>
    </row>
    <row r="73" spans="1:14" ht="27.75">
      <c r="A73" s="1408" t="s">
        <v>192</v>
      </c>
      <c r="B73" s="1409"/>
      <c r="C73" s="1410"/>
      <c r="D73" s="523" t="s">
        <v>187</v>
      </c>
      <c r="E73" s="520">
        <f>'5'!F73</f>
        <v>885773</v>
      </c>
      <c r="F73" s="660">
        <v>885774</v>
      </c>
      <c r="G73" s="657">
        <f t="shared" si="7"/>
        <v>1</v>
      </c>
      <c r="H73" s="460">
        <f>G73+'5'!H73</f>
        <v>2</v>
      </c>
      <c r="I73" s="480"/>
      <c r="J73" s="553">
        <f>H73/DAY(B2)</f>
        <v>0.33333333333333331</v>
      </c>
      <c r="K73" s="430"/>
      <c r="L73" s="377"/>
      <c r="N73" s="382"/>
    </row>
    <row r="74" spans="1:14" ht="27.75">
      <c r="A74" s="1408" t="s">
        <v>193</v>
      </c>
      <c r="B74" s="1409"/>
      <c r="C74" s="1410"/>
      <c r="D74" s="523" t="s">
        <v>187</v>
      </c>
      <c r="E74" s="521">
        <f>'5'!F74</f>
        <v>719</v>
      </c>
      <c r="F74" s="659">
        <v>752</v>
      </c>
      <c r="G74" s="473">
        <f t="shared" si="7"/>
        <v>33</v>
      </c>
      <c r="H74" s="460">
        <f>G74+'5'!H74</f>
        <v>165.83000000000004</v>
      </c>
      <c r="I74" s="480"/>
      <c r="J74" s="553">
        <f>H74/DAY(B2)</f>
        <v>27.638333333333339</v>
      </c>
      <c r="K74" s="431"/>
      <c r="L74" s="377"/>
      <c r="N74" s="382"/>
    </row>
    <row r="75" spans="1:14" ht="27.75">
      <c r="A75" s="1457" t="s">
        <v>194</v>
      </c>
      <c r="B75" s="1458"/>
      <c r="C75" s="1459"/>
      <c r="D75" s="523" t="s">
        <v>187</v>
      </c>
      <c r="E75" s="520">
        <f>'5'!F75</f>
        <v>4281</v>
      </c>
      <c r="F75" s="660">
        <v>4464</v>
      </c>
      <c r="G75" s="473">
        <f t="shared" si="7"/>
        <v>183</v>
      </c>
      <c r="H75" s="460">
        <f>G75+'5'!H75</f>
        <v>944.7800000000002</v>
      </c>
      <c r="I75" s="480"/>
      <c r="J75" s="553">
        <f>H75/DAY(B2)</f>
        <v>157.46333333333337</v>
      </c>
      <c r="K75" s="430"/>
      <c r="L75" s="377"/>
      <c r="N75" s="382"/>
    </row>
    <row r="76" spans="1:14" ht="27.75">
      <c r="A76" s="1457" t="s">
        <v>195</v>
      </c>
      <c r="B76" s="1458"/>
      <c r="C76" s="1459"/>
      <c r="D76" s="523" t="s">
        <v>187</v>
      </c>
      <c r="E76" s="520">
        <f>'5'!F76</f>
        <v>1926</v>
      </c>
      <c r="F76" s="660">
        <v>2014</v>
      </c>
      <c r="G76" s="473">
        <f t="shared" si="7"/>
        <v>88</v>
      </c>
      <c r="H76" s="460">
        <f>G76+'5'!H76</f>
        <v>499.66000000000008</v>
      </c>
      <c r="I76" s="505"/>
      <c r="J76" s="553">
        <f>H76/DAY(B2)</f>
        <v>83.276666666666685</v>
      </c>
      <c r="K76" s="430"/>
      <c r="L76" s="377"/>
      <c r="N76" s="382"/>
    </row>
    <row r="77" spans="1:14" ht="27.75">
      <c r="A77" s="1408" t="s">
        <v>196</v>
      </c>
      <c r="B77" s="1409"/>
      <c r="C77" s="1410"/>
      <c r="D77" s="523" t="s">
        <v>187</v>
      </c>
      <c r="E77" s="520">
        <f>'5'!F77</f>
        <v>698832</v>
      </c>
      <c r="F77" s="660">
        <v>698883</v>
      </c>
      <c r="G77" s="657">
        <f t="shared" si="7"/>
        <v>51</v>
      </c>
      <c r="H77" s="460">
        <f>G77+'5'!H77</f>
        <v>295</v>
      </c>
      <c r="I77" s="505"/>
      <c r="J77" s="553">
        <f>H77/DAY(B2)</f>
        <v>49.166666666666664</v>
      </c>
      <c r="K77" s="430"/>
      <c r="L77" s="377"/>
      <c r="N77" s="382"/>
    </row>
    <row r="78" spans="1:14" ht="27.75">
      <c r="A78" s="1151" t="s">
        <v>197</v>
      </c>
      <c r="B78" s="1124"/>
      <c r="C78" s="1124"/>
      <c r="D78" s="523" t="s">
        <v>187</v>
      </c>
      <c r="E78" s="521">
        <f>'5'!F78</f>
        <v>654679</v>
      </c>
      <c r="F78" s="661">
        <v>655094</v>
      </c>
      <c r="G78" s="473">
        <f t="shared" si="7"/>
        <v>415</v>
      </c>
      <c r="H78" s="460">
        <f>G78+'5'!H78</f>
        <v>2231</v>
      </c>
      <c r="I78" s="505"/>
      <c r="J78" s="553">
        <f>H78/DAY(B2)</f>
        <v>371.83333333333331</v>
      </c>
      <c r="K78" s="430"/>
      <c r="L78" s="377"/>
      <c r="N78" s="382"/>
    </row>
    <row r="79" spans="1:14" ht="27.75">
      <c r="A79" s="1457" t="s">
        <v>92</v>
      </c>
      <c r="B79" s="1458"/>
      <c r="C79" s="1459"/>
      <c r="D79" s="524" t="s">
        <v>187</v>
      </c>
      <c r="E79" s="521">
        <f>'5'!F79</f>
        <v>816181</v>
      </c>
      <c r="F79" s="661">
        <v>816416</v>
      </c>
      <c r="G79" s="473">
        <f t="shared" si="7"/>
        <v>235</v>
      </c>
      <c r="H79" s="460">
        <f>G79+'5'!H79</f>
        <v>1307</v>
      </c>
      <c r="I79" s="505"/>
      <c r="J79" s="553">
        <f>H79/DAY(B2)</f>
        <v>217.83333333333334</v>
      </c>
      <c r="K79" s="430"/>
      <c r="L79" s="377"/>
      <c r="N79" s="382"/>
    </row>
    <row r="80" spans="1:14" ht="27.75">
      <c r="A80" s="1457" t="s">
        <v>198</v>
      </c>
      <c r="B80" s="1458"/>
      <c r="C80" s="1459"/>
      <c r="D80" s="524" t="s">
        <v>187</v>
      </c>
      <c r="E80" s="520">
        <f>'5'!F80</f>
        <v>496451</v>
      </c>
      <c r="F80" s="660">
        <v>496863</v>
      </c>
      <c r="G80" s="473">
        <f t="shared" si="7"/>
        <v>412</v>
      </c>
      <c r="H80" s="460">
        <f>G80+'5'!H80</f>
        <v>2189.359999999986</v>
      </c>
      <c r="I80" s="505"/>
      <c r="J80" s="553">
        <f>H80/DAY(B2)</f>
        <v>364.89333333333099</v>
      </c>
      <c r="K80" s="430"/>
      <c r="L80" s="377"/>
      <c r="N80" s="382"/>
    </row>
    <row r="81" spans="1:15" ht="27.75">
      <c r="A81" s="1457" t="s">
        <v>199</v>
      </c>
      <c r="B81" s="1458"/>
      <c r="C81" s="1459"/>
      <c r="D81" s="524" t="s">
        <v>187</v>
      </c>
      <c r="E81" s="520">
        <f>'5'!F81</f>
        <v>626189</v>
      </c>
      <c r="F81" s="660">
        <v>626601</v>
      </c>
      <c r="G81" s="473">
        <f t="shared" si="7"/>
        <v>412</v>
      </c>
      <c r="H81" s="460">
        <f>G81+'5'!H81</f>
        <v>657.1600000000326</v>
      </c>
      <c r="I81" s="505"/>
      <c r="J81" s="553">
        <f>H81/DAY(B2)</f>
        <v>109.5266666666721</v>
      </c>
      <c r="K81" s="430"/>
      <c r="L81" s="377"/>
      <c r="N81" s="382"/>
    </row>
    <row r="82" spans="1:15" ht="27.75">
      <c r="A82" s="1457" t="s">
        <v>93</v>
      </c>
      <c r="B82" s="1458"/>
      <c r="C82" s="1459"/>
      <c r="D82" s="485" t="s">
        <v>132</v>
      </c>
      <c r="E82" s="522">
        <f>'5'!F82</f>
        <v>106304</v>
      </c>
      <c r="F82" s="656">
        <v>106327</v>
      </c>
      <c r="G82" s="473">
        <f t="shared" si="7"/>
        <v>23</v>
      </c>
      <c r="H82" s="460">
        <f>G82+'5'!H82</f>
        <v>124.52000000000407</v>
      </c>
      <c r="I82" s="486"/>
      <c r="J82" s="553">
        <f>H82/DAY(B2)</f>
        <v>20.753333333334012</v>
      </c>
      <c r="K82" s="430"/>
      <c r="L82" s="377"/>
      <c r="N82" s="382"/>
    </row>
    <row r="83" spans="1:15" ht="27.75">
      <c r="A83" s="1457" t="s">
        <v>200</v>
      </c>
      <c r="B83" s="1458"/>
      <c r="C83" s="1459"/>
      <c r="D83" s="621" t="s">
        <v>132</v>
      </c>
      <c r="E83" s="511">
        <f>'5'!F83</f>
        <v>998888</v>
      </c>
      <c r="F83" s="511">
        <v>999356</v>
      </c>
      <c r="G83" s="473">
        <f t="shared" si="7"/>
        <v>468</v>
      </c>
      <c r="H83" s="460">
        <f>G83+'5'!H83</f>
        <v>2907</v>
      </c>
      <c r="I83" s="481"/>
      <c r="J83" s="553">
        <f>H83/DAY(B2)</f>
        <v>484.5</v>
      </c>
      <c r="K83" s="429"/>
      <c r="L83" s="377"/>
      <c r="N83" s="382"/>
    </row>
    <row r="84" spans="1:15">
      <c r="A84" s="1152" t="s">
        <v>201</v>
      </c>
      <c r="B84" s="572"/>
      <c r="C84" s="572"/>
      <c r="D84" s="478" t="s">
        <v>132</v>
      </c>
      <c r="E84" s="628">
        <f>'5'!F84</f>
        <v>434422</v>
      </c>
      <c r="F84" s="628">
        <v>435066</v>
      </c>
      <c r="G84" s="473">
        <f t="shared" si="7"/>
        <v>644</v>
      </c>
      <c r="H84" s="460">
        <f>G84+'5'!H84</f>
        <v>4268</v>
      </c>
      <c r="I84" s="481"/>
      <c r="J84" s="553">
        <f>H84/DAY(B2)</f>
        <v>711.33333333333337</v>
      </c>
      <c r="K84" s="380"/>
      <c r="L84" s="377"/>
      <c r="N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3040</v>
      </c>
      <c r="H85" s="460">
        <f>G85+'5'!H85</f>
        <v>14046.929999999968</v>
      </c>
      <c r="I85" s="481"/>
      <c r="J85" s="553">
        <f>H85/DAY(B2)</f>
        <v>2341.1549999999947</v>
      </c>
      <c r="K85" s="380"/>
      <c r="L85" s="378"/>
      <c r="N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'5'!F86</f>
        <v>451005</v>
      </c>
      <c r="F86" s="652">
        <v>451093</v>
      </c>
      <c r="G86" s="710">
        <f t="shared" ref="G86:G90" si="8">F86-E86</f>
        <v>88</v>
      </c>
      <c r="H86" s="460">
        <f>G86+'5'!H86</f>
        <v>724.46999999997206</v>
      </c>
      <c r="I86" s="657"/>
      <c r="J86" s="712">
        <f>H86/DAY(B2)</f>
        <v>120.74499999999534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'5'!F87</f>
        <v>79385</v>
      </c>
      <c r="F87" s="652">
        <v>79414</v>
      </c>
      <c r="G87" s="710">
        <f t="shared" si="8"/>
        <v>29</v>
      </c>
      <c r="H87" s="460">
        <f>G87+'5'!H87</f>
        <v>206.30000000000291</v>
      </c>
      <c r="I87" s="657"/>
      <c r="J87" s="712">
        <f>H87/DAY(B2)</f>
        <v>34.383333333333816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'5'!F88</f>
        <v>148591</v>
      </c>
      <c r="F88" s="652">
        <v>148682</v>
      </c>
      <c r="G88" s="710">
        <f t="shared" si="8"/>
        <v>91</v>
      </c>
      <c r="H88" s="460">
        <f>G88+'5'!H88</f>
        <v>417.39000000001397</v>
      </c>
      <c r="I88" s="657"/>
      <c r="J88" s="712">
        <f>H88/DAY(B2)</f>
        <v>69.565000000002328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'5'!F89</f>
        <v>62037</v>
      </c>
      <c r="F89" s="652">
        <v>62135</v>
      </c>
      <c r="G89" s="710">
        <f t="shared" si="8"/>
        <v>98</v>
      </c>
      <c r="H89" s="460">
        <f>G89+'5'!H89</f>
        <v>459.90000000000146</v>
      </c>
      <c r="I89" s="657"/>
      <c r="J89" s="712">
        <f>H89/DAY(B2)</f>
        <v>76.650000000000247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'5'!F90</f>
        <v>3186</v>
      </c>
      <c r="F90" s="652">
        <v>3190</v>
      </c>
      <c r="G90" s="710">
        <f t="shared" si="8"/>
        <v>4</v>
      </c>
      <c r="H90" s="460">
        <f>G90+'5'!H90</f>
        <v>27.099999999999909</v>
      </c>
      <c r="I90" s="657"/>
      <c r="J90" s="712">
        <f>H90/DAY(B2)</f>
        <v>4.5166666666666515</v>
      </c>
      <c r="K90" s="738"/>
      <c r="L90" s="739"/>
      <c r="N90" s="783"/>
      <c r="O90" s="382"/>
    </row>
    <row r="91" spans="1:15" s="379" customFormat="1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'5'!F92</f>
        <v>240166</v>
      </c>
      <c r="F92" s="478">
        <v>240282</v>
      </c>
      <c r="G92" s="473">
        <f t="shared" ref="G92:G93" si="9">F92-E92</f>
        <v>116</v>
      </c>
      <c r="H92" s="460">
        <f>G92+'5'!H92</f>
        <v>587</v>
      </c>
      <c r="I92" s="480"/>
      <c r="J92" s="553">
        <f>H92/DAY(B2)</f>
        <v>97.833333333333329</v>
      </c>
      <c r="K92" s="429"/>
      <c r="L92" s="377"/>
      <c r="N92" s="382"/>
    </row>
    <row r="93" spans="1:15" ht="27.75">
      <c r="A93" s="1411" t="s">
        <v>207</v>
      </c>
      <c r="B93" s="1412"/>
      <c r="C93" s="1413"/>
      <c r="D93" s="523" t="s">
        <v>144</v>
      </c>
      <c r="E93" s="484">
        <f>'5'!F93</f>
        <v>176317</v>
      </c>
      <c r="F93" s="478">
        <v>176511</v>
      </c>
      <c r="G93" s="473">
        <f t="shared" si="9"/>
        <v>194</v>
      </c>
      <c r="H93" s="460">
        <f>G93+'5'!H93</f>
        <v>850</v>
      </c>
      <c r="I93" s="480"/>
      <c r="J93" s="553">
        <f>H93/DAY(B2)</f>
        <v>141.66666666666666</v>
      </c>
      <c r="K93" s="380"/>
      <c r="L93" s="377"/>
      <c r="N93" s="382"/>
    </row>
    <row r="94" spans="1:15">
      <c r="A94" s="1405" t="s">
        <v>208</v>
      </c>
      <c r="B94" s="1406"/>
      <c r="C94" s="1407"/>
      <c r="D94" s="523"/>
      <c r="E94" s="484">
        <f>'5'!F94</f>
        <v>0</v>
      </c>
      <c r="F94" s="478"/>
      <c r="G94" s="473">
        <f>G92+G93</f>
        <v>310</v>
      </c>
      <c r="H94" s="460">
        <f>G94+'5'!H94</f>
        <v>1171</v>
      </c>
      <c r="I94" s="480"/>
      <c r="J94" s="553">
        <f>H94/DAY(B2)</f>
        <v>195.16666666666666</v>
      </c>
      <c r="K94" s="380"/>
      <c r="L94" s="377"/>
      <c r="N94" s="382"/>
    </row>
    <row r="95" spans="1:15" ht="27.75">
      <c r="A95" s="1411" t="s">
        <v>209</v>
      </c>
      <c r="B95" s="1412"/>
      <c r="C95" s="1413"/>
      <c r="D95" s="523" t="s">
        <v>144</v>
      </c>
      <c r="E95" s="484">
        <f>'5'!F95</f>
        <v>408574</v>
      </c>
      <c r="F95" s="478">
        <v>408694</v>
      </c>
      <c r="G95" s="473">
        <f t="shared" ref="G95:G100" si="10">F95-E95</f>
        <v>120</v>
      </c>
      <c r="H95" s="460">
        <f>G95+'5'!H95</f>
        <v>538</v>
      </c>
      <c r="I95" s="480"/>
      <c r="J95" s="553">
        <f>H95/DAY(B2)</f>
        <v>89.666666666666671</v>
      </c>
      <c r="K95" s="380"/>
      <c r="L95" s="377"/>
      <c r="N95" s="382"/>
    </row>
    <row r="96" spans="1:15" ht="27.75">
      <c r="A96" s="1148" t="s">
        <v>210</v>
      </c>
      <c r="B96" s="1149"/>
      <c r="C96" s="1149"/>
      <c r="D96" s="523" t="s">
        <v>144</v>
      </c>
      <c r="E96" s="484">
        <f>'5'!F96</f>
        <v>101401</v>
      </c>
      <c r="F96" s="478">
        <v>101422</v>
      </c>
      <c r="G96" s="473">
        <f t="shared" si="10"/>
        <v>21</v>
      </c>
      <c r="H96" s="460">
        <f>G96+'5'!H96</f>
        <v>90</v>
      </c>
      <c r="I96" s="480"/>
      <c r="J96" s="553">
        <f>H96/DAY(B2)</f>
        <v>15</v>
      </c>
      <c r="K96" s="427"/>
      <c r="L96" s="377"/>
      <c r="N96" s="382"/>
    </row>
    <row r="97" spans="1:14" ht="27.75">
      <c r="A97" s="1148" t="s">
        <v>211</v>
      </c>
      <c r="B97" s="1149"/>
      <c r="C97" s="1149"/>
      <c r="D97" s="523" t="s">
        <v>144</v>
      </c>
      <c r="E97" s="484">
        <v>96535</v>
      </c>
      <c r="F97" s="478">
        <v>96560</v>
      </c>
      <c r="G97" s="473">
        <f t="shared" si="10"/>
        <v>25</v>
      </c>
      <c r="H97" s="460">
        <f>G97+'5'!H97</f>
        <v>111</v>
      </c>
      <c r="I97" s="480"/>
      <c r="J97" s="553">
        <f>H97/DAY(B2)</f>
        <v>18.5</v>
      </c>
      <c r="K97" s="432"/>
      <c r="L97" s="377"/>
      <c r="N97" s="382"/>
    </row>
    <row r="98" spans="1:14" ht="27.75">
      <c r="A98" s="1148" t="s">
        <v>212</v>
      </c>
      <c r="B98" s="1149"/>
      <c r="C98" s="1149"/>
      <c r="D98" s="523" t="s">
        <v>144</v>
      </c>
      <c r="E98" s="484">
        <f>'5'!F98</f>
        <v>147934</v>
      </c>
      <c r="F98" s="478">
        <v>147971</v>
      </c>
      <c r="G98" s="473">
        <f t="shared" si="10"/>
        <v>37</v>
      </c>
      <c r="H98" s="460">
        <f>G98+'5'!H98</f>
        <v>363</v>
      </c>
      <c r="I98" s="480"/>
      <c r="J98" s="553">
        <f>H98/DAY(B2)</f>
        <v>60.5</v>
      </c>
      <c r="K98" s="380"/>
      <c r="L98" s="377"/>
      <c r="N98" s="709"/>
    </row>
    <row r="99" spans="1:14" ht="27.75">
      <c r="A99" s="1148" t="s">
        <v>213</v>
      </c>
      <c r="B99" s="1149"/>
      <c r="C99" s="1149"/>
      <c r="D99" s="523" t="s">
        <v>144</v>
      </c>
      <c r="E99" s="484">
        <f>'5'!F99</f>
        <v>6472</v>
      </c>
      <c r="F99" s="478">
        <v>6480</v>
      </c>
      <c r="G99" s="473">
        <f t="shared" si="10"/>
        <v>8</v>
      </c>
      <c r="H99" s="460">
        <f>G99+'5'!H99</f>
        <v>72</v>
      </c>
      <c r="I99" s="480"/>
      <c r="J99" s="553">
        <f>H99/DAY(B2)</f>
        <v>12</v>
      </c>
      <c r="K99" s="380"/>
      <c r="L99" s="377"/>
      <c r="N99" s="382"/>
    </row>
    <row r="100" spans="1:14" ht="27.75">
      <c r="A100" s="1148" t="s">
        <v>214</v>
      </c>
      <c r="B100" s="1149"/>
      <c r="C100" s="1149"/>
      <c r="D100" s="523" t="s">
        <v>144</v>
      </c>
      <c r="E100" s="484">
        <f>'5'!F100</f>
        <v>4586</v>
      </c>
      <c r="F100" s="478">
        <v>4617</v>
      </c>
      <c r="G100" s="473">
        <f t="shared" si="10"/>
        <v>31</v>
      </c>
      <c r="H100" s="460">
        <f>G100+'5'!H100</f>
        <v>74</v>
      </c>
      <c r="I100" s="480"/>
      <c r="J100" s="553">
        <f>H100/DAY(B2)</f>
        <v>12.333333333333334</v>
      </c>
      <c r="K100" s="380"/>
      <c r="L100" s="377"/>
      <c r="N100" s="382"/>
    </row>
    <row r="101" spans="1:14">
      <c r="A101" s="1405" t="s">
        <v>216</v>
      </c>
      <c r="B101" s="1406"/>
      <c r="C101" s="1407"/>
      <c r="D101" s="524"/>
      <c r="E101" s="524"/>
      <c r="F101" s="524"/>
      <c r="G101" s="525">
        <f>SUM(G95:G100)</f>
        <v>242</v>
      </c>
      <c r="H101" s="460">
        <f>G101+'5'!H101</f>
        <v>1248</v>
      </c>
      <c r="I101" s="526"/>
      <c r="J101" s="553">
        <f>H101/DAY(B2)</f>
        <v>208</v>
      </c>
      <c r="K101" s="380"/>
      <c r="L101" s="377"/>
      <c r="N101" s="382"/>
    </row>
    <row r="102" spans="1:14" s="442" customFormat="1" ht="27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N102" s="382"/>
    </row>
    <row r="103" spans="1:14" s="442" customFormat="1" ht="27.75">
      <c r="A103" s="1414" t="s">
        <v>218</v>
      </c>
      <c r="B103" s="1415"/>
      <c r="C103" s="574"/>
      <c r="D103" s="623"/>
      <c r="E103" s="532"/>
      <c r="F103" s="663"/>
      <c r="G103" s="532"/>
      <c r="H103" s="533"/>
      <c r="I103" s="532"/>
      <c r="J103" s="559"/>
      <c r="N103" s="382"/>
    </row>
    <row r="104" spans="1:14" s="442" customFormat="1" ht="27.75">
      <c r="A104" s="1416" t="s">
        <v>219</v>
      </c>
      <c r="B104" s="1417"/>
      <c r="C104" s="1147"/>
      <c r="D104" s="623" t="s">
        <v>144</v>
      </c>
      <c r="E104" s="532">
        <f>'5'!F104</f>
        <v>7131</v>
      </c>
      <c r="F104" s="663">
        <v>7134</v>
      </c>
      <c r="G104" s="532">
        <f>F104-E104</f>
        <v>3</v>
      </c>
      <c r="H104" s="460">
        <f>G104+'5'!H104</f>
        <v>9</v>
      </c>
      <c r="I104" s="532"/>
      <c r="J104" s="559">
        <f>H104/DAY(B2)</f>
        <v>1.5</v>
      </c>
      <c r="N104" s="382"/>
    </row>
    <row r="105" spans="1:14" s="442" customFormat="1" ht="27.75">
      <c r="A105" s="1416" t="s">
        <v>77</v>
      </c>
      <c r="B105" s="1417"/>
      <c r="C105" s="1147"/>
      <c r="D105" s="623" t="s">
        <v>144</v>
      </c>
      <c r="E105" s="532">
        <f>'5'!F105</f>
        <v>35443</v>
      </c>
      <c r="F105" s="664">
        <v>35455</v>
      </c>
      <c r="G105" s="532">
        <f t="shared" ref="G105" si="11">F105-E105</f>
        <v>12</v>
      </c>
      <c r="H105" s="460">
        <f>G105+'5'!H105</f>
        <v>57</v>
      </c>
      <c r="I105" s="532"/>
      <c r="J105" s="559">
        <f>H105/DAY(B2)</f>
        <v>9.5</v>
      </c>
      <c r="N105" s="382"/>
    </row>
    <row r="106" spans="1:14" s="442" customFormat="1" ht="27.75">
      <c r="A106" s="1416" t="s">
        <v>78</v>
      </c>
      <c r="B106" s="1418"/>
      <c r="C106" s="1417"/>
      <c r="D106" s="623" t="s">
        <v>144</v>
      </c>
      <c r="E106" s="532">
        <f>'5'!F106</f>
        <v>19274</v>
      </c>
      <c r="F106" s="663">
        <v>19278</v>
      </c>
      <c r="G106" s="532">
        <f>F106-E106</f>
        <v>4</v>
      </c>
      <c r="H106" s="460">
        <f>G106+'5'!H106</f>
        <v>37</v>
      </c>
      <c r="I106" s="532"/>
      <c r="J106" s="559">
        <f>H106/DAY(B2)</f>
        <v>6.166666666666667</v>
      </c>
      <c r="N106" s="382"/>
    </row>
    <row r="107" spans="1:14" s="442" customFormat="1" ht="27.75">
      <c r="A107" s="1419" t="s">
        <v>202</v>
      </c>
      <c r="B107" s="1420"/>
      <c r="C107" s="1147"/>
      <c r="D107" s="623"/>
      <c r="E107" s="532"/>
      <c r="F107" s="663"/>
      <c r="G107" s="532">
        <f>SUM(G104:G106)</f>
        <v>19</v>
      </c>
      <c r="H107" s="460">
        <f>G107+'5'!H107</f>
        <v>103</v>
      </c>
      <c r="I107" s="532"/>
      <c r="J107" s="559">
        <f>H107/DAY(B2)</f>
        <v>17.166666666666668</v>
      </c>
      <c r="N107" s="382"/>
    </row>
    <row r="108" spans="1:14" s="442" customFormat="1" ht="27.75">
      <c r="A108" s="1421" t="s">
        <v>79</v>
      </c>
      <c r="B108" s="1422"/>
      <c r="C108" s="1147"/>
      <c r="D108" s="623" t="s">
        <v>144</v>
      </c>
      <c r="E108" s="532"/>
      <c r="F108" s="663"/>
      <c r="G108" s="532"/>
      <c r="H108" s="460" t="e">
        <f>G108+'5'!H108</f>
        <v>#REF!</v>
      </c>
      <c r="I108" s="532"/>
      <c r="J108" s="559"/>
      <c r="N108" s="382"/>
    </row>
    <row r="109" spans="1:14" s="442" customFormat="1" ht="27.75">
      <c r="A109" s="1416" t="s">
        <v>220</v>
      </c>
      <c r="B109" s="1417"/>
      <c r="C109" s="1147"/>
      <c r="D109" s="623" t="s">
        <v>144</v>
      </c>
      <c r="E109" s="532">
        <f>'5'!F109</f>
        <v>56778</v>
      </c>
      <c r="F109" s="663">
        <v>56854</v>
      </c>
      <c r="G109" s="532">
        <f>F109-E109</f>
        <v>76</v>
      </c>
      <c r="H109" s="460">
        <f>G109+'5'!H109</f>
        <v>583</v>
      </c>
      <c r="I109" s="532"/>
      <c r="J109" s="559">
        <f>H109/DAY(B2)</f>
        <v>97.166666666666671</v>
      </c>
      <c r="N109" s="382"/>
    </row>
    <row r="110" spans="1:14" s="442" customFormat="1" ht="27.75">
      <c r="A110" s="1416" t="s">
        <v>221</v>
      </c>
      <c r="B110" s="1417"/>
      <c r="C110" s="1147"/>
      <c r="D110" s="623" t="s">
        <v>144</v>
      </c>
      <c r="E110" s="532">
        <f>'5'!F110</f>
        <v>30834</v>
      </c>
      <c r="F110" s="663">
        <v>30899</v>
      </c>
      <c r="G110" s="532">
        <f>F110-E110</f>
        <v>65</v>
      </c>
      <c r="H110" s="460">
        <f>G110+'5'!H110</f>
        <v>411</v>
      </c>
      <c r="I110" s="532"/>
      <c r="J110" s="559">
        <f>H110/DAY(B2)</f>
        <v>68.5</v>
      </c>
      <c r="N110" s="382"/>
    </row>
    <row r="111" spans="1:14" s="442" customFormat="1" ht="27.75">
      <c r="A111" s="1416" t="s">
        <v>222</v>
      </c>
      <c r="B111" s="1417"/>
      <c r="C111" s="1147"/>
      <c r="D111" s="623" t="s">
        <v>144</v>
      </c>
      <c r="E111" s="532">
        <f>'5'!F111</f>
        <v>4012</v>
      </c>
      <c r="F111" s="663">
        <v>4029</v>
      </c>
      <c r="G111" s="532">
        <f t="shared" ref="G111" si="12">F111-E111</f>
        <v>17</v>
      </c>
      <c r="H111" s="460">
        <f>G111+'5'!H111</f>
        <v>49</v>
      </c>
      <c r="I111" s="532"/>
      <c r="J111" s="559">
        <f>H111/DAY(B2)</f>
        <v>8.1666666666666661</v>
      </c>
      <c r="N111" s="382"/>
    </row>
    <row r="112" spans="1:14" s="442" customFormat="1" ht="27.75">
      <c r="A112" s="1419" t="s">
        <v>110</v>
      </c>
      <c r="B112" s="1420"/>
      <c r="C112" s="1147"/>
      <c r="D112" s="623"/>
      <c r="E112" s="532"/>
      <c r="F112" s="663"/>
      <c r="G112" s="532">
        <f>SUM(G109:G111)</f>
        <v>158</v>
      </c>
      <c r="H112" s="460">
        <f>G112+'5'!H112</f>
        <v>1043</v>
      </c>
      <c r="I112" s="532"/>
      <c r="J112" s="559">
        <f>H112/DAY(B2)</f>
        <v>173.83333333333334</v>
      </c>
      <c r="N112" s="382"/>
    </row>
    <row r="113" spans="1:14" s="442" customFormat="1" ht="27.75">
      <c r="A113" s="1421" t="s">
        <v>223</v>
      </c>
      <c r="B113" s="1422"/>
      <c r="C113" s="1147"/>
      <c r="D113" s="623"/>
      <c r="E113" s="532"/>
      <c r="F113" s="663"/>
      <c r="G113" s="532"/>
      <c r="H113" s="460">
        <f>G113+'5'!H113</f>
        <v>0</v>
      </c>
      <c r="I113" s="532"/>
      <c r="J113" s="559">
        <f>H113/DAY(B2)</f>
        <v>0</v>
      </c>
      <c r="N113" s="382"/>
    </row>
    <row r="114" spans="1:14" s="442" customFormat="1" ht="27.75">
      <c r="A114" s="1416" t="s">
        <v>224</v>
      </c>
      <c r="B114" s="1417"/>
      <c r="C114" s="575"/>
      <c r="D114" s="623" t="s">
        <v>144</v>
      </c>
      <c r="E114" s="532">
        <f>'5'!F114</f>
        <v>10399</v>
      </c>
      <c r="F114" s="664">
        <v>10410</v>
      </c>
      <c r="G114" s="534">
        <f>F114-E114</f>
        <v>11</v>
      </c>
      <c r="H114" s="460">
        <f>G114+'5'!H114</f>
        <v>96</v>
      </c>
      <c r="I114" s="532"/>
      <c r="J114" s="559">
        <f>H114/DAY(B2)</f>
        <v>16</v>
      </c>
      <c r="N114" s="382"/>
    </row>
    <row r="115" spans="1:14" s="442" customFormat="1" ht="27.75">
      <c r="A115" s="1416" t="s">
        <v>225</v>
      </c>
      <c r="B115" s="1417"/>
      <c r="C115" s="575"/>
      <c r="D115" s="623" t="s">
        <v>144</v>
      </c>
      <c r="E115" s="532">
        <f>'5'!F115</f>
        <v>7722</v>
      </c>
      <c r="F115" s="664">
        <v>7729</v>
      </c>
      <c r="G115" s="534">
        <f t="shared" ref="G115:G116" si="13">F115-E115</f>
        <v>7</v>
      </c>
      <c r="H115" s="460">
        <f>G115+'5'!H115</f>
        <v>73</v>
      </c>
      <c r="I115" s="532"/>
      <c r="J115" s="559">
        <f>H115/DAY(B2)</f>
        <v>12.166666666666666</v>
      </c>
      <c r="N115" s="382"/>
    </row>
    <row r="116" spans="1:14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3"/>
        <v>0</v>
      </c>
      <c r="H116" s="460">
        <f>G116+'5'!H116</f>
        <v>0</v>
      </c>
      <c r="I116" s="532"/>
      <c r="J116" s="559">
        <f>H116/DAY(B2)</f>
        <v>0</v>
      </c>
      <c r="N116" s="382"/>
    </row>
    <row r="117" spans="1:14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18</v>
      </c>
      <c r="H117" s="460">
        <f>G117+'5'!H117</f>
        <v>169</v>
      </c>
      <c r="I117" s="534"/>
      <c r="J117" s="559">
        <f>H117/DAY(B2)</f>
        <v>28.166666666666668</v>
      </c>
      <c r="N117" s="382"/>
    </row>
    <row r="118" spans="1:14" s="446" customFormat="1" ht="27.75">
      <c r="A118" s="1450" t="s">
        <v>227</v>
      </c>
      <c r="B118" s="1451"/>
      <c r="C118" s="1145"/>
      <c r="D118" s="625" t="s">
        <v>144</v>
      </c>
      <c r="E118" s="536"/>
      <c r="F118" s="665">
        <f>SUM(G19+G92)</f>
        <v>167</v>
      </c>
      <c r="G118" s="536">
        <f>SUM(G19+G92)</f>
        <v>167</v>
      </c>
      <c r="H118" s="460">
        <f>G118+'5'!H118</f>
        <v>893</v>
      </c>
      <c r="I118" s="535"/>
      <c r="J118" s="560">
        <f>H118/DAY(B2)</f>
        <v>148.83333333333334</v>
      </c>
      <c r="N118" s="382"/>
    </row>
    <row r="119" spans="1:14" s="446" customFormat="1" ht="27.75">
      <c r="A119" s="1450" t="s">
        <v>228</v>
      </c>
      <c r="B119" s="1451"/>
      <c r="C119" s="1145"/>
      <c r="D119" s="625" t="s">
        <v>144</v>
      </c>
      <c r="E119" s="536"/>
      <c r="F119" s="665">
        <f>SUM(G95,G96,G97,G99,G100)</f>
        <v>205</v>
      </c>
      <c r="G119" s="536">
        <f>SUM(G95,G96,G97,G99,G100)</f>
        <v>205</v>
      </c>
      <c r="H119" s="460">
        <f>G119+'5'!H119</f>
        <v>885</v>
      </c>
      <c r="I119" s="535"/>
      <c r="J119" s="560">
        <f>H119/DAY(B2)</f>
        <v>147.5</v>
      </c>
      <c r="N119" s="382"/>
    </row>
    <row r="120" spans="1:14" s="446" customFormat="1" ht="27.75">
      <c r="A120" s="1450" t="s">
        <v>229</v>
      </c>
      <c r="B120" s="1451"/>
      <c r="C120" s="1145"/>
      <c r="D120" s="625" t="s">
        <v>144</v>
      </c>
      <c r="E120" s="534"/>
      <c r="F120" s="664">
        <f>SUM(G112)</f>
        <v>158</v>
      </c>
      <c r="G120" s="534">
        <f>SUM(G112)</f>
        <v>158</v>
      </c>
      <c r="H120" s="460">
        <f>G120+'5'!H120</f>
        <v>1043</v>
      </c>
      <c r="I120" s="535"/>
      <c r="J120" s="560">
        <f>H120/DAY(B2)</f>
        <v>173.83333333333334</v>
      </c>
      <c r="N120" s="382"/>
    </row>
    <row r="121" spans="1:14" s="442" customFormat="1" ht="27.75">
      <c r="A121" s="1452"/>
      <c r="B121" s="1453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>
      <c r="A123" s="1148" t="s">
        <v>231</v>
      </c>
      <c r="B123" s="1149"/>
      <c r="C123" s="1149"/>
      <c r="D123" s="523" t="s">
        <v>141</v>
      </c>
      <c r="E123" s="478">
        <f>'5'!F123</f>
        <v>812287</v>
      </c>
      <c r="F123" s="478">
        <v>812551</v>
      </c>
      <c r="G123" s="473">
        <f t="shared" ref="G123:G127" si="14">F123-E123</f>
        <v>264</v>
      </c>
      <c r="H123" s="460">
        <f>G123+'5'!H123</f>
        <v>1544.1600000000326</v>
      </c>
      <c r="I123" s="526"/>
      <c r="J123" s="553">
        <f>H123/DAY(B2)</f>
        <v>257.36000000000541</v>
      </c>
      <c r="K123" s="380"/>
      <c r="L123" s="377"/>
      <c r="N123" s="382"/>
    </row>
    <row r="124" spans="1:14" ht="27.75">
      <c r="A124" s="1148" t="s">
        <v>232</v>
      </c>
      <c r="B124" s="1149"/>
      <c r="C124" s="1149"/>
      <c r="D124" s="523" t="s">
        <v>141</v>
      </c>
      <c r="E124" s="627">
        <f>'5'!F124</f>
        <v>73583</v>
      </c>
      <c r="F124" s="627">
        <v>73583</v>
      </c>
      <c r="G124" s="473">
        <f t="shared" si="14"/>
        <v>0</v>
      </c>
      <c r="H124" s="460">
        <f>G124+'5'!H124</f>
        <v>-0.39999999999417923</v>
      </c>
      <c r="I124" s="526"/>
      <c r="J124" s="553">
        <f>H124/DAY(B2)</f>
        <v>-6.6666666665696539E-2</v>
      </c>
      <c r="K124" s="380"/>
      <c r="L124" s="377"/>
      <c r="N124" s="382"/>
    </row>
    <row r="125" spans="1:14" ht="27.75">
      <c r="A125" s="1408" t="s">
        <v>233</v>
      </c>
      <c r="B125" s="1409"/>
      <c r="C125" s="1410"/>
      <c r="D125" s="523" t="s">
        <v>141</v>
      </c>
      <c r="E125" s="478">
        <f>'5'!F125</f>
        <v>140321</v>
      </c>
      <c r="F125" s="478">
        <v>140392</v>
      </c>
      <c r="G125" s="473">
        <f t="shared" si="14"/>
        <v>71</v>
      </c>
      <c r="H125" s="460">
        <f>G125+'5'!H125</f>
        <v>412.66000000000349</v>
      </c>
      <c r="I125" s="526"/>
      <c r="J125" s="553">
        <f>H125/DAY(B2)</f>
        <v>68.776666666667253</v>
      </c>
      <c r="K125" s="380"/>
      <c r="L125" s="377"/>
      <c r="N125" s="382"/>
    </row>
    <row r="126" spans="1:14" ht="27.75">
      <c r="A126" s="610" t="s">
        <v>234</v>
      </c>
      <c r="B126" s="1149"/>
      <c r="C126" s="1149"/>
      <c r="D126" s="523" t="s">
        <v>141</v>
      </c>
      <c r="E126" s="627">
        <f>'5'!F126</f>
        <v>59428</v>
      </c>
      <c r="F126" s="627">
        <v>59460</v>
      </c>
      <c r="G126" s="473">
        <f t="shared" si="14"/>
        <v>32</v>
      </c>
      <c r="H126" s="460">
        <f>G126+'5'!H126</f>
        <v>153.09999999999854</v>
      </c>
      <c r="I126" s="526"/>
      <c r="J126" s="553">
        <f>H126/DAY(B2)</f>
        <v>25.516666666666424</v>
      </c>
      <c r="K126" s="380"/>
      <c r="L126" s="377"/>
      <c r="N126" s="382"/>
    </row>
    <row r="127" spans="1:14" ht="27.75">
      <c r="A127" s="610" t="s">
        <v>235</v>
      </c>
      <c r="B127" s="1149"/>
      <c r="C127" s="1149"/>
      <c r="D127" s="523" t="s">
        <v>141</v>
      </c>
      <c r="E127" s="627">
        <f>'5'!F127</f>
        <v>8898</v>
      </c>
      <c r="F127" s="627">
        <v>8901</v>
      </c>
      <c r="G127" s="473">
        <f t="shared" si="14"/>
        <v>3</v>
      </c>
      <c r="H127" s="460">
        <f>G127+'5'!H127</f>
        <v>13.200000000000728</v>
      </c>
      <c r="I127" s="480"/>
      <c r="J127" s="553">
        <f>H127/DAY(B2)</f>
        <v>2.2000000000001214</v>
      </c>
      <c r="K127" s="380"/>
      <c r="L127" s="377"/>
      <c r="N127" s="382"/>
    </row>
    <row r="128" spans="1:14" s="281" customFormat="1" ht="27.7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574.36000000010245</v>
      </c>
      <c r="H128" s="460">
        <f>G128+'5'!H128</f>
        <v>3303.6699999998564</v>
      </c>
      <c r="I128" s="480"/>
      <c r="J128" s="553">
        <f>H128/DAY(B2)</f>
        <v>550.61166666664269</v>
      </c>
      <c r="K128" s="364"/>
      <c r="L128" s="292"/>
      <c r="N128" s="382"/>
    </row>
    <row r="129" spans="1:1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>
      <c r="A130" s="1148" t="s">
        <v>238</v>
      </c>
      <c r="B130" s="1149"/>
      <c r="C130" s="1149"/>
      <c r="D130" s="523" t="s">
        <v>239</v>
      </c>
      <c r="E130" s="484">
        <f>'5'!F130</f>
        <v>0</v>
      </c>
      <c r="F130" s="478">
        <v>0</v>
      </c>
      <c r="G130" s="473">
        <f t="shared" ref="G130:G140" si="15">F130-E130</f>
        <v>0</v>
      </c>
      <c r="H130" s="460">
        <f>G130+'5'!H130</f>
        <v>0</v>
      </c>
      <c r="I130" s="480"/>
      <c r="J130" s="553">
        <f>H130/DAY(B2)</f>
        <v>0</v>
      </c>
      <c r="N130" s="382"/>
    </row>
    <row r="131" spans="1:14" ht="27.75">
      <c r="A131" s="1148" t="s">
        <v>240</v>
      </c>
      <c r="B131" s="1149"/>
      <c r="C131" s="1149"/>
      <c r="D131" s="523" t="s">
        <v>239</v>
      </c>
      <c r="E131" s="484">
        <f>'5'!F131</f>
        <v>0</v>
      </c>
      <c r="F131" s="478">
        <v>0</v>
      </c>
      <c r="G131" s="473">
        <f t="shared" si="15"/>
        <v>0</v>
      </c>
      <c r="H131" s="460">
        <f>G131+'5'!H131</f>
        <v>0</v>
      </c>
      <c r="I131" s="480"/>
      <c r="J131" s="553">
        <f>H131/DAY(B2)</f>
        <v>0</v>
      </c>
      <c r="N131" s="382"/>
    </row>
    <row r="132" spans="1:14" ht="27.75">
      <c r="A132" s="1148" t="s">
        <v>241</v>
      </c>
      <c r="B132" s="1149"/>
      <c r="C132" s="1149"/>
      <c r="D132" s="523" t="s">
        <v>239</v>
      </c>
      <c r="E132" s="706">
        <v>39215</v>
      </c>
      <c r="F132" s="627">
        <v>39215</v>
      </c>
      <c r="G132" s="473">
        <f t="shared" si="15"/>
        <v>0</v>
      </c>
      <c r="H132" s="460">
        <f>G132+'5'!H132</f>
        <v>386</v>
      </c>
      <c r="I132" s="480"/>
      <c r="J132" s="553">
        <f>H132/DAY(B2)</f>
        <v>64.333333333333329</v>
      </c>
      <c r="N132" s="382"/>
    </row>
    <row r="133" spans="1:14" ht="27.75">
      <c r="A133" s="1148" t="s">
        <v>242</v>
      </c>
      <c r="B133" s="1149"/>
      <c r="C133" s="1149"/>
      <c r="D133" s="523" t="s">
        <v>239</v>
      </c>
      <c r="E133" s="706">
        <f>'5'!F133</f>
        <v>299</v>
      </c>
      <c r="F133" s="627">
        <v>299</v>
      </c>
      <c r="G133" s="473">
        <f t="shared" si="15"/>
        <v>0</v>
      </c>
      <c r="H133" s="460">
        <f>G133+'5'!H133</f>
        <v>-1</v>
      </c>
      <c r="I133" s="480">
        <f>G132+G133+G134+G135</f>
        <v>25.010000000002037</v>
      </c>
      <c r="J133" s="553">
        <f>H133/DAY(B2)</f>
        <v>-0.16666666666666666</v>
      </c>
      <c r="N133" s="382"/>
    </row>
    <row r="134" spans="1:14" ht="27.75">
      <c r="A134" s="1148" t="s">
        <v>243</v>
      </c>
      <c r="B134" s="1149"/>
      <c r="C134" s="1149"/>
      <c r="D134" s="523" t="s">
        <v>239</v>
      </c>
      <c r="E134" s="706">
        <f>'5'!F134</f>
        <v>40482</v>
      </c>
      <c r="F134" s="627">
        <v>40506</v>
      </c>
      <c r="G134" s="473">
        <f t="shared" si="15"/>
        <v>24</v>
      </c>
      <c r="H134" s="460">
        <f>G134+'5'!H134</f>
        <v>138.86000000000058</v>
      </c>
      <c r="I134" s="480"/>
      <c r="J134" s="553">
        <f>H134/DAY(B2)</f>
        <v>23.14333333333343</v>
      </c>
      <c r="N134" s="382"/>
    </row>
    <row r="135" spans="1:14" ht="27.75">
      <c r="A135" s="1148" t="s">
        <v>244</v>
      </c>
      <c r="B135" s="1149"/>
      <c r="C135" s="1149"/>
      <c r="D135" s="523" t="s">
        <v>239</v>
      </c>
      <c r="E135" s="522">
        <f>'5'!F135</f>
        <v>32581.55</v>
      </c>
      <c r="F135" s="485">
        <v>32582.560000000001</v>
      </c>
      <c r="G135" s="473">
        <f t="shared" si="15"/>
        <v>1.0100000000020373</v>
      </c>
      <c r="H135" s="460">
        <f>G135+'5'!H135</f>
        <v>11.56000000000131</v>
      </c>
      <c r="I135" s="480"/>
      <c r="J135" s="553">
        <f>H135/DAY(B2)</f>
        <v>1.926666666666885</v>
      </c>
      <c r="N135" s="382"/>
    </row>
    <row r="136" spans="1:14" ht="27.75">
      <c r="A136" s="1148" t="s">
        <v>245</v>
      </c>
      <c r="B136" s="1149"/>
      <c r="C136" s="1149"/>
      <c r="D136" s="523" t="s">
        <v>239</v>
      </c>
      <c r="E136" s="542">
        <f>'5'!F136</f>
        <v>22265.68</v>
      </c>
      <c r="F136" s="656">
        <v>22274</v>
      </c>
      <c r="G136" s="473">
        <f t="shared" si="15"/>
        <v>8.319999999999709</v>
      </c>
      <c r="H136" s="460">
        <f>G136+'5'!H136</f>
        <v>51.790000000000873</v>
      </c>
      <c r="I136" s="480">
        <f>G136+G137+G138</f>
        <v>14.319999999999709</v>
      </c>
      <c r="J136" s="553">
        <f>H136/DAY(B2)</f>
        <v>8.6316666666668116</v>
      </c>
      <c r="N136" s="382"/>
    </row>
    <row r="137" spans="1:14" ht="27.75">
      <c r="A137" s="1148" t="s">
        <v>246</v>
      </c>
      <c r="B137" s="1149"/>
      <c r="C137" s="1149"/>
      <c r="D137" s="523" t="s">
        <v>239</v>
      </c>
      <c r="E137" s="542">
        <f>'5'!F137</f>
        <v>25044</v>
      </c>
      <c r="F137" s="656">
        <v>25044</v>
      </c>
      <c r="G137" s="473">
        <f t="shared" si="15"/>
        <v>0</v>
      </c>
      <c r="H137" s="460">
        <f>G137+'5'!H137</f>
        <v>-0.31000000000130967</v>
      </c>
      <c r="I137" s="480"/>
      <c r="J137" s="553">
        <f>H137/DAY(B2)</f>
        <v>-5.1666666666884943E-2</v>
      </c>
      <c r="N137" s="382"/>
    </row>
    <row r="138" spans="1:14" ht="27.75">
      <c r="A138" s="1148" t="s">
        <v>247</v>
      </c>
      <c r="B138" s="1149"/>
      <c r="C138" s="1149"/>
      <c r="D138" s="523" t="s">
        <v>239</v>
      </c>
      <c r="E138" s="542">
        <f>'5'!F138</f>
        <v>70173</v>
      </c>
      <c r="F138" s="656">
        <v>70179</v>
      </c>
      <c r="G138" s="473">
        <f t="shared" si="15"/>
        <v>6</v>
      </c>
      <c r="H138" s="460">
        <f>G138+'5'!H138</f>
        <v>31.660000000003492</v>
      </c>
      <c r="I138" s="480"/>
      <c r="J138" s="553">
        <f>H138/DAY(B2)</f>
        <v>5.276666666667249</v>
      </c>
      <c r="N138" s="382"/>
    </row>
    <row r="139" spans="1:14" ht="27.75">
      <c r="A139" s="1148" t="s">
        <v>248</v>
      </c>
      <c r="B139" s="1149"/>
      <c r="C139" s="1149"/>
      <c r="D139" s="523" t="s">
        <v>239</v>
      </c>
      <c r="E139" s="706">
        <f>'5'!F139</f>
        <v>1460</v>
      </c>
      <c r="F139" s="627">
        <v>1468</v>
      </c>
      <c r="G139" s="473">
        <f t="shared" si="15"/>
        <v>8</v>
      </c>
      <c r="H139" s="460">
        <f>G139+'5'!H139</f>
        <v>44.8599999999999</v>
      </c>
      <c r="I139" s="543">
        <f>G140+G1277</f>
        <v>0</v>
      </c>
      <c r="J139" s="553">
        <f>H139/DAY(B2)</f>
        <v>7.4766666666666497</v>
      </c>
      <c r="N139" s="382"/>
    </row>
    <row r="140" spans="1:14" ht="27.75">
      <c r="A140" s="1148" t="s">
        <v>249</v>
      </c>
      <c r="B140" s="1149"/>
      <c r="C140" s="1149"/>
      <c r="D140" s="523" t="s">
        <v>239</v>
      </c>
      <c r="E140" s="484">
        <f>'5'!F140</f>
        <v>4334</v>
      </c>
      <c r="F140" s="478">
        <v>4334</v>
      </c>
      <c r="G140" s="473">
        <f t="shared" si="15"/>
        <v>0</v>
      </c>
      <c r="H140" s="460">
        <f>G140+'5'!H140</f>
        <v>0</v>
      </c>
      <c r="I140" s="543"/>
      <c r="J140" s="553">
        <f>H140/DAY(B2)</f>
        <v>0</v>
      </c>
      <c r="N140" s="382"/>
    </row>
    <row r="141" spans="1:14">
      <c r="A141" s="1446" t="s">
        <v>250</v>
      </c>
      <c r="B141" s="1447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382"/>
    </row>
    <row r="142" spans="1:14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5921</v>
      </c>
      <c r="H142" s="460">
        <f>G142+'5'!H142</f>
        <v>34926.120000000068</v>
      </c>
      <c r="I142" s="480"/>
      <c r="J142" s="553">
        <f>H142/DAY(B2)</f>
        <v>5821.0200000000114</v>
      </c>
      <c r="K142" s="380"/>
      <c r="L142" s="377"/>
      <c r="N142" s="382"/>
    </row>
    <row r="143" spans="1:14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0.27072378949293585</v>
      </c>
      <c r="H143" s="460">
        <f>G143+'5'!H143</f>
        <v>1.4534971215692627</v>
      </c>
      <c r="I143" s="545"/>
      <c r="J143" s="553">
        <f>H143/DAY(B2)</f>
        <v>0.24224952026154378</v>
      </c>
      <c r="K143" s="380"/>
      <c r="L143" s="377"/>
      <c r="N143" s="382"/>
    </row>
    <row r="144" spans="1:14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5904</v>
      </c>
      <c r="H144" s="460">
        <f>G144+'5'!H144</f>
        <v>31338.799999999967</v>
      </c>
      <c r="I144" s="480"/>
      <c r="J144" s="553">
        <f>H144/DAY(B2)</f>
        <v>5223.1333333333278</v>
      </c>
      <c r="K144" s="380"/>
      <c r="L144" s="377"/>
      <c r="N144" s="382"/>
    </row>
    <row r="145" spans="1:14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0.26994650450368068</v>
      </c>
      <c r="H145" s="460">
        <f>G145+'5'!H145</f>
        <v>1.4655668653413523</v>
      </c>
      <c r="I145" s="545"/>
      <c r="J145" s="553">
        <f>H145/DAY(B2)</f>
        <v>0.24426114422355871</v>
      </c>
      <c r="K145" s="380"/>
      <c r="L145" s="377"/>
      <c r="N145" s="382"/>
    </row>
    <row r="146" spans="1:14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4237</v>
      </c>
      <c r="H146" s="460">
        <f>G146+'5'!H146</f>
        <v>125785.37999999999</v>
      </c>
      <c r="I146" s="546"/>
      <c r="J146" s="553">
        <f>H146/DAY(B2)</f>
        <v>20964.23</v>
      </c>
      <c r="K146" s="380"/>
      <c r="L146" s="377"/>
      <c r="N146" s="382"/>
    </row>
    <row r="147" spans="1:14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0.19372685291024644</v>
      </c>
      <c r="H147" s="460">
        <f>G147+'5'!H147</f>
        <v>6.1154757794770012</v>
      </c>
      <c r="I147" s="546"/>
      <c r="J147" s="553">
        <f>H147/DAY(B2)</f>
        <v>1.0192459632461668</v>
      </c>
      <c r="N147" s="382"/>
    </row>
    <row r="148" spans="1:14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2123</v>
      </c>
      <c r="H148" s="460">
        <f>G148+'5'!H148</f>
        <v>12357.799999999981</v>
      </c>
      <c r="I148" s="480"/>
      <c r="J148" s="553">
        <f>H148/DAY(B2)</f>
        <v>2059.63333333333</v>
      </c>
      <c r="K148" s="381"/>
      <c r="N148" s="382"/>
    </row>
    <row r="149" spans="1:14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9.7069178364043704E-2</v>
      </c>
      <c r="H149" s="460">
        <f>G149+'5'!H149</f>
        <v>0.5798533017466766</v>
      </c>
      <c r="I149" s="546"/>
      <c r="J149" s="553">
        <f>H149/DAY(B2)</f>
        <v>9.6642216957779428E-2</v>
      </c>
      <c r="N149" s="382"/>
    </row>
    <row r="150" spans="1:14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1667</v>
      </c>
      <c r="H150" s="460">
        <f>G150+'5'!H150</f>
        <v>11263.399999999965</v>
      </c>
      <c r="I150" s="546"/>
      <c r="J150" s="553">
        <f>H150/DAY(B2)</f>
        <v>1877.2333333333274</v>
      </c>
      <c r="N150" s="382"/>
    </row>
    <row r="151" spans="1:14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7.6219651593434232E-2</v>
      </c>
      <c r="H151" s="460">
        <f>G151+'5'!H151</f>
        <v>0.52606048387427851</v>
      </c>
      <c r="I151" s="480"/>
      <c r="J151" s="553">
        <f>H151/DAY(B2)</f>
        <v>8.7676747312379746E-2</v>
      </c>
      <c r="N151" s="382"/>
    </row>
    <row r="152" spans="1:14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1518</v>
      </c>
      <c r="H152" s="460">
        <f>G152+'5'!H152</f>
        <v>44042.16</v>
      </c>
      <c r="I152" s="480"/>
      <c r="J152" s="553">
        <f>H152/DAY(B2)</f>
        <v>7340.3600000000006</v>
      </c>
      <c r="N152" s="382"/>
    </row>
    <row r="153" spans="1:14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6.9406977275844731E-2</v>
      </c>
      <c r="H153" s="460">
        <f>G153+'5'!H153</f>
        <v>2.1418848387498026</v>
      </c>
      <c r="I153" s="569"/>
      <c r="J153" s="570">
        <f>H153/DAY(B2)</f>
        <v>0.35698080645830044</v>
      </c>
      <c r="N153" s="382"/>
    </row>
    <row r="154" spans="1:14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57" spans="1:14" ht="27.7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663">
        <v>31220</v>
      </c>
      <c r="F160" s="663">
        <v>31306</v>
      </c>
      <c r="G160" s="473">
        <f t="shared" ref="G160:G171" si="16">F160-E160</f>
        <v>86</v>
      </c>
    </row>
    <row r="161" spans="1:7">
      <c r="A161" s="790" t="s">
        <v>264</v>
      </c>
      <c r="B161" s="791"/>
      <c r="C161" s="791"/>
      <c r="D161" s="511" t="s">
        <v>187</v>
      </c>
      <c r="E161" s="663">
        <v>57341</v>
      </c>
      <c r="F161" s="663">
        <v>57798</v>
      </c>
      <c r="G161" s="473">
        <f t="shared" si="16"/>
        <v>457</v>
      </c>
    </row>
    <row r="162" spans="1:7">
      <c r="A162" s="790" t="s">
        <v>265</v>
      </c>
      <c r="B162" s="791"/>
      <c r="C162" s="791"/>
      <c r="D162" s="511" t="s">
        <v>187</v>
      </c>
      <c r="E162" s="663">
        <v>21975</v>
      </c>
      <c r="F162" s="663">
        <v>22255</v>
      </c>
      <c r="G162" s="473">
        <f t="shared" si="16"/>
        <v>280</v>
      </c>
    </row>
    <row r="163" spans="1:7">
      <c r="A163" s="790" t="s">
        <v>266</v>
      </c>
      <c r="B163" s="791"/>
      <c r="C163" s="791"/>
      <c r="D163" s="511" t="s">
        <v>187</v>
      </c>
      <c r="E163" s="663">
        <v>5494</v>
      </c>
      <c r="F163" s="663">
        <v>5506</v>
      </c>
      <c r="G163" s="473">
        <f t="shared" si="16"/>
        <v>12</v>
      </c>
    </row>
    <row r="164" spans="1:7">
      <c r="A164" s="792" t="s">
        <v>98</v>
      </c>
      <c r="B164" s="605"/>
      <c r="C164" s="605"/>
      <c r="D164" s="511" t="s">
        <v>187</v>
      </c>
      <c r="E164" s="514">
        <f>E62</f>
        <v>20419</v>
      </c>
      <c r="F164" s="514">
        <f>F62</f>
        <v>20419</v>
      </c>
      <c r="G164" s="473">
        <f t="shared" si="16"/>
        <v>0</v>
      </c>
    </row>
    <row r="165" spans="1:7">
      <c r="A165" s="792" t="s">
        <v>188</v>
      </c>
      <c r="B165" s="605"/>
      <c r="C165" s="605"/>
      <c r="D165" s="511" t="s">
        <v>187</v>
      </c>
      <c r="E165" s="514">
        <f t="shared" ref="E165:E171" si="17">E63</f>
        <v>1771</v>
      </c>
      <c r="F165" s="514">
        <f t="shared" ref="F165:F171" si="18">F63</f>
        <v>1785</v>
      </c>
      <c r="G165" s="473">
        <f t="shared" si="16"/>
        <v>14</v>
      </c>
    </row>
    <row r="166" spans="1:7" ht="27.75">
      <c r="A166" s="1460" t="s">
        <v>99</v>
      </c>
      <c r="B166" s="1460"/>
      <c r="C166" s="1460"/>
      <c r="D166" s="523" t="s">
        <v>187</v>
      </c>
      <c r="E166" s="514">
        <f t="shared" si="17"/>
        <v>126210</v>
      </c>
      <c r="F166" s="514">
        <f t="shared" si="18"/>
        <v>126712</v>
      </c>
      <c r="G166" s="473">
        <f t="shared" si="16"/>
        <v>502</v>
      </c>
    </row>
    <row r="167" spans="1:7" ht="27.75">
      <c r="A167" s="1460" t="s">
        <v>100</v>
      </c>
      <c r="B167" s="1460"/>
      <c r="C167" s="1460"/>
      <c r="D167" s="523" t="s">
        <v>187</v>
      </c>
      <c r="E167" s="514">
        <f t="shared" si="17"/>
        <v>134499</v>
      </c>
      <c r="F167" s="514">
        <f t="shared" si="18"/>
        <v>134863</v>
      </c>
      <c r="G167" s="473">
        <f t="shared" si="16"/>
        <v>364</v>
      </c>
    </row>
    <row r="168" spans="1:7" ht="27.75">
      <c r="A168" s="1460" t="s">
        <v>101</v>
      </c>
      <c r="B168" s="1460"/>
      <c r="C168" s="1460"/>
      <c r="D168" s="523" t="s">
        <v>187</v>
      </c>
      <c r="E168" s="514">
        <f t="shared" si="17"/>
        <v>27210</v>
      </c>
      <c r="F168" s="514">
        <f t="shared" si="18"/>
        <v>27597</v>
      </c>
      <c r="G168" s="473">
        <f t="shared" si="16"/>
        <v>387</v>
      </c>
    </row>
    <row r="169" spans="1:7" ht="27.75">
      <c r="A169" s="1460" t="s">
        <v>102</v>
      </c>
      <c r="B169" s="1460"/>
      <c r="C169" s="1460"/>
      <c r="D169" s="523" t="s">
        <v>187</v>
      </c>
      <c r="E169" s="514">
        <f t="shared" si="17"/>
        <v>211254</v>
      </c>
      <c r="F169" s="514">
        <f t="shared" si="18"/>
        <v>211959</v>
      </c>
      <c r="G169" s="473">
        <f t="shared" si="16"/>
        <v>705</v>
      </c>
    </row>
    <row r="170" spans="1:7" ht="27.75">
      <c r="A170" s="1460" t="s">
        <v>103</v>
      </c>
      <c r="B170" s="1460"/>
      <c r="C170" s="1460"/>
      <c r="D170" s="523" t="s">
        <v>187</v>
      </c>
      <c r="E170" s="514">
        <f t="shared" si="17"/>
        <v>74412</v>
      </c>
      <c r="F170" s="514">
        <f t="shared" si="18"/>
        <v>74747</v>
      </c>
      <c r="G170" s="473">
        <f t="shared" si="16"/>
        <v>335</v>
      </c>
    </row>
    <row r="171" spans="1:7" ht="27.75">
      <c r="A171" s="1460" t="s">
        <v>104</v>
      </c>
      <c r="B171" s="1460"/>
      <c r="C171" s="1460"/>
      <c r="D171" s="523" t="s">
        <v>187</v>
      </c>
      <c r="E171" s="514">
        <f t="shared" si="17"/>
        <v>66061</v>
      </c>
      <c r="F171" s="514">
        <f t="shared" si="18"/>
        <v>66393</v>
      </c>
      <c r="G171" s="473">
        <f t="shared" si="16"/>
        <v>332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activeCell="F28" sqref="F28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25.33203125" style="539" customWidth="1"/>
    <col min="9" max="9" width="20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6" s="281" customFormat="1" ht="27">
      <c r="A2" s="576" t="s">
        <v>320</v>
      </c>
      <c r="B2" s="1038">
        <v>44262</v>
      </c>
      <c r="C2" s="1150" t="s">
        <v>69</v>
      </c>
      <c r="D2" s="612">
        <v>0.51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6" s="281" customFormat="1" ht="27">
      <c r="A3" s="571"/>
      <c r="B3" s="615"/>
      <c r="C3" s="1150" t="s">
        <v>120</v>
      </c>
      <c r="D3" s="613">
        <v>29</v>
      </c>
      <c r="E3" s="1432" t="s">
        <v>121</v>
      </c>
      <c r="F3" s="1433"/>
      <c r="G3" s="462"/>
      <c r="H3" s="463"/>
      <c r="I3" s="463"/>
      <c r="J3" s="616"/>
      <c r="K3" s="371"/>
      <c r="L3" s="292"/>
    </row>
    <row r="4" spans="1:16" s="281" customFormat="1" ht="27">
      <c r="A4" s="577"/>
      <c r="B4" s="617"/>
      <c r="C4" s="1150" t="s">
        <v>122</v>
      </c>
      <c r="D4" s="612">
        <v>0.82</v>
      </c>
      <c r="E4" s="464"/>
      <c r="F4" s="464"/>
      <c r="G4" s="464"/>
      <c r="H4" s="464"/>
      <c r="I4" s="465"/>
      <c r="J4" s="616"/>
      <c r="K4" s="372"/>
      <c r="L4" s="292"/>
    </row>
    <row r="5" spans="1:16">
      <c r="A5" s="578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'6'!F7</f>
        <v>4573016</v>
      </c>
      <c r="F7" s="455">
        <v>4594627</v>
      </c>
      <c r="G7" s="694">
        <f t="shared" ref="G7:G12" si="0">F7-E7</f>
        <v>21611</v>
      </c>
      <c r="H7" s="684">
        <f>G7+'6'!H7</f>
        <v>149550</v>
      </c>
      <c r="I7" s="685">
        <f>'1'!I7</f>
        <v>12000</v>
      </c>
      <c r="J7" s="686">
        <f>H7/DAY(B2)</f>
        <v>21364.285714285714</v>
      </c>
      <c r="K7" s="550"/>
      <c r="L7" s="377"/>
      <c r="N7" s="713"/>
      <c r="P7" s="376" t="s">
        <v>215</v>
      </c>
    </row>
    <row r="8" spans="1:16" ht="27.75" thickBot="1">
      <c r="A8" s="687" t="s">
        <v>133</v>
      </c>
      <c r="B8" s="688"/>
      <c r="C8" s="689"/>
      <c r="D8" s="690" t="s">
        <v>25</v>
      </c>
      <c r="E8" s="634">
        <f>'6'!F8</f>
        <v>4601933</v>
      </c>
      <c r="F8" s="475">
        <v>4623614</v>
      </c>
      <c r="G8" s="694">
        <f t="shared" si="0"/>
        <v>21681</v>
      </c>
      <c r="H8" s="684">
        <f>G8+'6'!H8</f>
        <v>150458</v>
      </c>
      <c r="I8" s="691">
        <v>12000</v>
      </c>
      <c r="J8" s="686">
        <f>H8/DAY(B2)</f>
        <v>21494</v>
      </c>
      <c r="K8" s="550"/>
      <c r="L8" s="425"/>
      <c r="M8" s="440"/>
      <c r="N8" s="708"/>
    </row>
    <row r="9" spans="1:16">
      <c r="A9" s="692" t="s">
        <v>134</v>
      </c>
      <c r="B9" s="693"/>
      <c r="C9" s="693"/>
      <c r="D9" s="639" t="s">
        <v>132</v>
      </c>
      <c r="E9" s="636">
        <v>124354</v>
      </c>
      <c r="F9" s="478">
        <v>124354</v>
      </c>
      <c r="G9" s="694">
        <f t="shared" si="0"/>
        <v>0</v>
      </c>
      <c r="H9" s="684">
        <f>G9+'6'!H9</f>
        <v>37444.990000000005</v>
      </c>
      <c r="I9" s="695">
        <f>I8-J8</f>
        <v>-9494</v>
      </c>
      <c r="J9" s="686">
        <f>H9/DAY(B2)</f>
        <v>5349.2842857142869</v>
      </c>
      <c r="K9" s="428"/>
      <c r="L9" s="377"/>
      <c r="N9" s="382"/>
    </row>
    <row r="10" spans="1:16">
      <c r="A10" s="681" t="s">
        <v>135</v>
      </c>
      <c r="B10" s="682"/>
      <c r="C10" s="682"/>
      <c r="D10" s="639" t="s">
        <v>132</v>
      </c>
      <c r="E10" s="636">
        <f>'6'!F10</f>
        <v>111959</v>
      </c>
      <c r="F10" s="478">
        <v>132785</v>
      </c>
      <c r="G10" s="694">
        <f t="shared" si="0"/>
        <v>20826</v>
      </c>
      <c r="H10" s="684">
        <f>G10+'6'!H10</f>
        <v>107089.44</v>
      </c>
      <c r="I10" s="696"/>
      <c r="J10" s="686">
        <f>H10/DAY(B2)</f>
        <v>15298.491428571429</v>
      </c>
      <c r="K10" s="428"/>
      <c r="L10" s="377"/>
      <c r="N10" s="382"/>
    </row>
    <row r="11" spans="1:16">
      <c r="A11" s="681" t="s">
        <v>136</v>
      </c>
      <c r="B11" s="682"/>
      <c r="C11" s="682"/>
      <c r="D11" s="639" t="s">
        <v>132</v>
      </c>
      <c r="E11" s="634">
        <f>'6'!F11</f>
        <v>37000</v>
      </c>
      <c r="F11" s="455">
        <v>37000</v>
      </c>
      <c r="G11" s="694">
        <f t="shared" si="0"/>
        <v>0</v>
      </c>
      <c r="H11" s="684">
        <f>G11+'6'!H11</f>
        <v>0</v>
      </c>
      <c r="I11" s="696"/>
      <c r="J11" s="686">
        <f>H11/DAY(B2)</f>
        <v>0</v>
      </c>
      <c r="K11" s="428"/>
      <c r="L11" s="377"/>
      <c r="N11" s="382"/>
    </row>
    <row r="12" spans="1:16">
      <c r="A12" s="681" t="s">
        <v>137</v>
      </c>
      <c r="B12" s="682"/>
      <c r="C12" s="682"/>
      <c r="D12" s="639" t="s">
        <v>132</v>
      </c>
      <c r="E12" s="636">
        <f>'6'!F12</f>
        <v>40010</v>
      </c>
      <c r="F12" s="478">
        <v>40010</v>
      </c>
      <c r="G12" s="694">
        <f t="shared" si="0"/>
        <v>0</v>
      </c>
      <c r="H12" s="684">
        <f>G12+'6'!H12</f>
        <v>0</v>
      </c>
      <c r="I12" s="696"/>
      <c r="J12" s="686">
        <f>H12/DAY(B2)</f>
        <v>0</v>
      </c>
      <c r="K12" s="428"/>
      <c r="L12" s="377"/>
      <c r="N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20826</v>
      </c>
      <c r="H13" s="684">
        <f>G13+'6'!H13</f>
        <v>144534.43</v>
      </c>
      <c r="I13" s="700">
        <f>G7-G13</f>
        <v>785</v>
      </c>
      <c r="J13" s="686">
        <f>H13/DAY(B2)</f>
        <v>20647.775714285712</v>
      </c>
      <c r="K13" s="428"/>
      <c r="L13" s="377"/>
      <c r="N13" s="382"/>
    </row>
    <row r="14" spans="1:16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N14" s="382"/>
    </row>
    <row r="15" spans="1:16">
      <c r="A15" s="798" t="s">
        <v>140</v>
      </c>
      <c r="B15" s="799"/>
      <c r="C15" s="799"/>
      <c r="D15" s="524" t="s">
        <v>141</v>
      </c>
      <c r="E15" s="485">
        <f>'6'!F15</f>
        <v>1625305</v>
      </c>
      <c r="F15" s="485">
        <v>1626236</v>
      </c>
      <c r="G15" s="669">
        <f>(F15-E15)</f>
        <v>931</v>
      </c>
      <c r="H15" s="486">
        <f>G15+'6'!H15</f>
        <v>6357.3899999998976</v>
      </c>
      <c r="I15" s="1072">
        <v>800</v>
      </c>
      <c r="J15" s="554">
        <f>H15/DAY(B2)</f>
        <v>908.19857142855676</v>
      </c>
      <c r="K15" s="428"/>
      <c r="L15" s="377"/>
      <c r="N15" s="382"/>
    </row>
    <row r="16" spans="1:16">
      <c r="A16" s="588"/>
      <c r="B16" s="589"/>
      <c r="C16" s="589"/>
      <c r="D16" s="524"/>
      <c r="E16" s="485"/>
      <c r="F16" s="485"/>
      <c r="G16" s="473"/>
      <c r="H16" s="486"/>
      <c r="I16" s="482">
        <f>I15-J15</f>
        <v>-108.19857142855676</v>
      </c>
      <c r="J16" s="554"/>
      <c r="K16" s="428"/>
      <c r="L16" s="377"/>
      <c r="N16" s="382"/>
    </row>
    <row r="17" spans="1:14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>
      <c r="A18" s="1464" t="s">
        <v>143</v>
      </c>
      <c r="B18" s="1465"/>
      <c r="C18" s="1466"/>
      <c r="D18" s="639" t="s">
        <v>144</v>
      </c>
      <c r="E18" s="636">
        <f>'6'!F18</f>
        <v>14</v>
      </c>
      <c r="F18" s="478">
        <v>20</v>
      </c>
      <c r="G18" s="699">
        <f>F18*10</f>
        <v>200</v>
      </c>
      <c r="H18" s="684">
        <f>G18+'6'!H18</f>
        <v>1080</v>
      </c>
      <c r="I18" s="685">
        <f>'1'!I18</f>
        <v>65</v>
      </c>
      <c r="J18" s="686">
        <f>H18/DAY(B2)</f>
        <v>154.28571428571428</v>
      </c>
      <c r="K18" s="428"/>
      <c r="L18" s="377"/>
      <c r="N18" s="382"/>
    </row>
    <row r="19" spans="1:14" ht="27.75">
      <c r="A19" s="1464" t="s">
        <v>71</v>
      </c>
      <c r="B19" s="1465"/>
      <c r="C19" s="1466"/>
      <c r="D19" s="639" t="s">
        <v>144</v>
      </c>
      <c r="E19" s="636">
        <f>'6'!F19</f>
        <v>134774</v>
      </c>
      <c r="F19" s="478">
        <v>134825</v>
      </c>
      <c r="G19" s="694">
        <f t="shared" ref="G19" si="1">F19-E19</f>
        <v>51</v>
      </c>
      <c r="H19" s="684">
        <f>G19+'6'!H19</f>
        <v>357</v>
      </c>
      <c r="I19" s="701"/>
      <c r="J19" s="686">
        <f>H19/DAY(B2)</f>
        <v>51</v>
      </c>
      <c r="K19" s="428"/>
      <c r="L19" s="377"/>
      <c r="N19" s="382"/>
    </row>
    <row r="20" spans="1:14">
      <c r="A20" s="697" t="s">
        <v>145</v>
      </c>
      <c r="B20" s="698"/>
      <c r="C20" s="698"/>
      <c r="D20" s="639"/>
      <c r="E20" s="639"/>
      <c r="F20" s="523"/>
      <c r="G20" s="702">
        <f>G18+G19</f>
        <v>251</v>
      </c>
      <c r="H20" s="684">
        <f>G20+'6'!H20</f>
        <v>1437</v>
      </c>
      <c r="I20" s="703">
        <f>I18-J20</f>
        <v>-140.28571428571428</v>
      </c>
      <c r="J20" s="686">
        <f>H20/DAY(B2)</f>
        <v>205.28571428571428</v>
      </c>
      <c r="K20" s="428"/>
      <c r="L20" s="377"/>
      <c r="N20" s="382"/>
    </row>
    <row r="21" spans="1:14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>
      <c r="A22" s="1148" t="s">
        <v>147</v>
      </c>
      <c r="B22" s="590"/>
      <c r="C22" s="590"/>
      <c r="D22" s="523" t="s">
        <v>148</v>
      </c>
      <c r="E22" s="636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3">
        <f>H22/DAY(B2)</f>
        <v>0</v>
      </c>
      <c r="K22" s="428"/>
      <c r="L22" s="377"/>
      <c r="N22" s="382"/>
    </row>
    <row r="23" spans="1:14">
      <c r="A23" s="1148" t="s">
        <v>149</v>
      </c>
      <c r="B23" s="590"/>
      <c r="C23" s="590"/>
      <c r="D23" s="523" t="s">
        <v>148</v>
      </c>
      <c r="E23" s="636">
        <f>'6'!F23</f>
        <v>2900</v>
      </c>
      <c r="F23" s="478">
        <v>2900</v>
      </c>
      <c r="G23" s="481">
        <v>0</v>
      </c>
      <c r="H23" s="460">
        <f>G23+'6'!H23</f>
        <v>0</v>
      </c>
      <c r="I23" s="480"/>
      <c r="J23" s="553">
        <f>H23/DAY(B2)</f>
        <v>0</v>
      </c>
      <c r="K23" s="428"/>
      <c r="L23" s="377"/>
      <c r="N23" s="382"/>
    </row>
    <row r="24" spans="1:14">
      <c r="A24" s="591" t="s">
        <v>150</v>
      </c>
      <c r="B24" s="592"/>
      <c r="C24" s="592"/>
      <c r="D24" s="511" t="s">
        <v>148</v>
      </c>
      <c r="E24" s="636">
        <f>'6'!F24</f>
        <v>4250</v>
      </c>
      <c r="F24" s="485">
        <v>4250</v>
      </c>
      <c r="G24" s="481">
        <v>0</v>
      </c>
      <c r="H24" s="460">
        <f>G24+'6'!H24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21681</v>
      </c>
      <c r="F27" s="501">
        <v>9</v>
      </c>
      <c r="G27" s="502">
        <f>E27*F27</f>
        <v>195129</v>
      </c>
      <c r="H27" s="460">
        <f>G27+'6'!H27</f>
        <v>1354122</v>
      </c>
      <c r="I27" s="503"/>
      <c r="J27" s="553">
        <f>H27/DAY(B2)</f>
        <v>193446</v>
      </c>
      <c r="K27" s="373"/>
      <c r="L27" s="443"/>
      <c r="N27" s="382"/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931</v>
      </c>
      <c r="F28" s="501">
        <v>48.88</v>
      </c>
      <c r="G28" s="502">
        <f>E28*F28</f>
        <v>45507.28</v>
      </c>
      <c r="H28" s="460">
        <f>G28+'6'!H28</f>
        <v>310749.223199995</v>
      </c>
      <c r="I28" s="505"/>
      <c r="J28" s="553">
        <f>H28/DAY(B2)</f>
        <v>44392.746171427854</v>
      </c>
      <c r="K28" s="373"/>
      <c r="L28" s="443"/>
      <c r="N28" s="382"/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51</v>
      </c>
      <c r="F30" s="501">
        <v>134</v>
      </c>
      <c r="G30" s="502">
        <f>E30*F30</f>
        <v>6834</v>
      </c>
      <c r="H30" s="460">
        <f>G30+'6'!H30</f>
        <v>65526</v>
      </c>
      <c r="I30" s="505"/>
      <c r="J30" s="553">
        <f>H30/DAY(B2)</f>
        <v>9360.8571428571431</v>
      </c>
      <c r="K30" s="373"/>
      <c r="L30" s="443"/>
      <c r="N30" s="382"/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200</v>
      </c>
      <c r="F31" s="501">
        <v>80</v>
      </c>
      <c r="G31" s="502">
        <f>E31*F31</f>
        <v>16000</v>
      </c>
      <c r="H31" s="460">
        <f>G31+'6'!H31</f>
        <v>75840</v>
      </c>
      <c r="I31" s="505"/>
      <c r="J31" s="553">
        <f>H31/DAY(B2)</f>
        <v>10834.285714285714</v>
      </c>
      <c r="K31" s="373"/>
      <c r="L31" s="443"/>
      <c r="N31" s="382"/>
    </row>
    <row r="32" spans="1:14" s="442" customFormat="1" ht="27.75">
      <c r="A32" s="596" t="s">
        <v>161</v>
      </c>
      <c r="B32" s="597"/>
      <c r="C32" s="598"/>
      <c r="D32" s="507"/>
      <c r="E32" s="507"/>
      <c r="F32" s="524"/>
      <c r="G32" s="1061">
        <f>G27+G28+G29+G30+G31</f>
        <v>263470.28000000003</v>
      </c>
      <c r="H32" s="460">
        <f>G32+'6'!H32</f>
        <v>1806237.223199995</v>
      </c>
      <c r="I32" s="509"/>
      <c r="J32" s="553">
        <f>H32/DAY(B2)</f>
        <v>258033.8890285707</v>
      </c>
      <c r="K32" s="373"/>
      <c r="L32" s="443"/>
      <c r="N32" s="382"/>
    </row>
    <row r="33" spans="1:14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382"/>
    </row>
    <row r="34" spans="1:14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>
      <c r="A35" s="579" t="s">
        <v>164</v>
      </c>
      <c r="B35" s="580"/>
      <c r="C35" s="580"/>
      <c r="D35" s="523" t="s">
        <v>132</v>
      </c>
      <c r="E35" s="510">
        <f>'6'!F35</f>
        <v>713324</v>
      </c>
      <c r="F35" s="510">
        <v>716643</v>
      </c>
      <c r="G35" s="473">
        <f t="shared" ref="G35:G46" si="3">F35-E35</f>
        <v>3319</v>
      </c>
      <c r="H35" s="460">
        <f>G35+'6'!H35</f>
        <v>23555.410000000033</v>
      </c>
      <c r="I35" s="455"/>
      <c r="J35" s="553">
        <f>H35/DAY(B2)</f>
        <v>3365.0585714285762</v>
      </c>
      <c r="K35" s="428"/>
      <c r="L35" s="377"/>
      <c r="N35" s="382"/>
    </row>
    <row r="36" spans="1:14">
      <c r="A36" s="579" t="s">
        <v>165</v>
      </c>
      <c r="B36" s="580"/>
      <c r="C36" s="580"/>
      <c r="D36" s="523" t="s">
        <v>132</v>
      </c>
      <c r="E36" s="510">
        <f>'6'!F36</f>
        <v>300324</v>
      </c>
      <c r="F36" s="510">
        <v>300935</v>
      </c>
      <c r="G36" s="473">
        <f t="shared" si="3"/>
        <v>611</v>
      </c>
      <c r="H36" s="460">
        <f>G36+'6'!H36</f>
        <v>4489.429999999993</v>
      </c>
      <c r="I36" s="455"/>
      <c r="J36" s="553">
        <f>H36/DAY(B2)</f>
        <v>641.34714285714188</v>
      </c>
      <c r="K36" s="428"/>
      <c r="L36" s="377"/>
      <c r="N36" s="629"/>
    </row>
    <row r="37" spans="1:14">
      <c r="A37" s="579" t="s">
        <v>166</v>
      </c>
      <c r="B37" s="580"/>
      <c r="C37" s="580"/>
      <c r="D37" s="523" t="s">
        <v>132</v>
      </c>
      <c r="E37" s="510">
        <f>'6'!F37</f>
        <v>35167</v>
      </c>
      <c r="F37" s="510">
        <v>35167</v>
      </c>
      <c r="G37" s="473">
        <f t="shared" si="3"/>
        <v>0</v>
      </c>
      <c r="H37" s="460">
        <f>G37+'6'!H37</f>
        <v>38272.080000000002</v>
      </c>
      <c r="I37" s="455"/>
      <c r="J37" s="553">
        <f>H37/DAY(B2)</f>
        <v>5467.4400000000005</v>
      </c>
      <c r="K37" s="428"/>
      <c r="L37" s="377"/>
      <c r="N37" s="630"/>
    </row>
    <row r="38" spans="1:14">
      <c r="A38" s="579" t="s">
        <v>167</v>
      </c>
      <c r="B38" s="580"/>
      <c r="C38" s="580"/>
      <c r="D38" s="523" t="s">
        <v>132</v>
      </c>
      <c r="E38" s="510">
        <f>'6'!F38</f>
        <v>48333</v>
      </c>
      <c r="F38" s="469">
        <v>48333</v>
      </c>
      <c r="G38" s="473">
        <f t="shared" si="3"/>
        <v>0</v>
      </c>
      <c r="H38" s="460">
        <f>G38+'6'!H38</f>
        <v>4519.510000000002</v>
      </c>
      <c r="I38" s="455"/>
      <c r="J38" s="553">
        <f>H38/DAY(B2)</f>
        <v>645.64428571428596</v>
      </c>
      <c r="K38" s="428"/>
      <c r="L38" s="377"/>
      <c r="N38" s="382"/>
    </row>
    <row r="39" spans="1:14">
      <c r="A39" s="579" t="s">
        <v>168</v>
      </c>
      <c r="B39" s="580"/>
      <c r="C39" s="580"/>
      <c r="D39" s="523" t="s">
        <v>132</v>
      </c>
      <c r="E39" s="510">
        <f>'6'!F39</f>
        <v>100066</v>
      </c>
      <c r="F39" s="510">
        <v>100066</v>
      </c>
      <c r="G39" s="473">
        <f t="shared" si="3"/>
        <v>0</v>
      </c>
      <c r="H39" s="460">
        <f>G39+'6'!H39</f>
        <v>109458.89</v>
      </c>
      <c r="I39" s="455"/>
      <c r="J39" s="553">
        <f>H39/DAY(B2)</f>
        <v>15636.984285714285</v>
      </c>
      <c r="K39" s="428"/>
      <c r="L39" s="377"/>
      <c r="N39" s="382"/>
    </row>
    <row r="40" spans="1:14">
      <c r="A40" s="600" t="s">
        <v>169</v>
      </c>
      <c r="B40" s="601"/>
      <c r="C40" s="601"/>
      <c r="D40" s="523" t="s">
        <v>132</v>
      </c>
      <c r="E40" s="510">
        <f>'6'!F40</f>
        <v>0.17</v>
      </c>
      <c r="F40" s="510">
        <v>0.17</v>
      </c>
      <c r="G40" s="473">
        <f t="shared" si="3"/>
        <v>0</v>
      </c>
      <c r="H40" s="460">
        <f>G40+'6'!H40</f>
        <v>0</v>
      </c>
      <c r="I40" s="455"/>
      <c r="J40" s="553">
        <f>H40/DAY(B2)</f>
        <v>0</v>
      </c>
      <c r="K40" s="429"/>
      <c r="L40" s="377"/>
      <c r="N40" s="382"/>
    </row>
    <row r="41" spans="1:14">
      <c r="A41" s="579" t="s">
        <v>170</v>
      </c>
      <c r="B41" s="580"/>
      <c r="C41" s="580"/>
      <c r="D41" s="523" t="s">
        <v>132</v>
      </c>
      <c r="E41" s="510">
        <f>'6'!F41</f>
        <v>63881.74</v>
      </c>
      <c r="F41" s="510">
        <v>63881.74</v>
      </c>
      <c r="G41" s="473">
        <f t="shared" si="3"/>
        <v>0</v>
      </c>
      <c r="H41" s="460">
        <f>G41+'6'!H41</f>
        <v>-0.63000000000465661</v>
      </c>
      <c r="I41" s="455"/>
      <c r="J41" s="553">
        <f>H41/DAY(B2)</f>
        <v>-9.0000000000665228E-2</v>
      </c>
      <c r="K41" s="428"/>
      <c r="L41" s="377"/>
      <c r="N41" s="382"/>
    </row>
    <row r="42" spans="1:14">
      <c r="A42" s="588" t="s">
        <v>171</v>
      </c>
      <c r="B42" s="589"/>
      <c r="C42" s="589"/>
      <c r="D42" s="524" t="s">
        <v>132</v>
      </c>
      <c r="E42" s="510">
        <f>'6'!F42</f>
        <v>59128</v>
      </c>
      <c r="F42" s="1040">
        <v>59128</v>
      </c>
      <c r="G42" s="779">
        <f t="shared" si="3"/>
        <v>0</v>
      </c>
      <c r="H42" s="460">
        <f>G42+'6'!H42</f>
        <v>-0.84999999999854481</v>
      </c>
      <c r="I42" s="455"/>
      <c r="J42" s="553">
        <f>H42/DAY(B2)</f>
        <v>-0.12142857142836354</v>
      </c>
      <c r="K42" s="428"/>
      <c r="L42" s="377"/>
      <c r="N42" s="382"/>
    </row>
    <row r="43" spans="1:14">
      <c r="A43" s="579" t="s">
        <v>172</v>
      </c>
      <c r="B43" s="580"/>
      <c r="C43" s="580"/>
      <c r="D43" s="523" t="s">
        <v>132</v>
      </c>
      <c r="E43" s="510">
        <f>'6'!F43</f>
        <v>840588</v>
      </c>
      <c r="F43" s="510">
        <v>843005</v>
      </c>
      <c r="G43" s="473">
        <f t="shared" si="3"/>
        <v>2417</v>
      </c>
      <c r="H43" s="460">
        <f>G43+'6'!H43</f>
        <v>17107.170000000042</v>
      </c>
      <c r="I43" s="455"/>
      <c r="J43" s="553">
        <f>H43/DAY(B2)</f>
        <v>2443.8814285714348</v>
      </c>
      <c r="K43" s="428"/>
      <c r="L43" s="377"/>
      <c r="N43" s="382"/>
    </row>
    <row r="44" spans="1:14">
      <c r="A44" s="579" t="s">
        <v>173</v>
      </c>
      <c r="B44" s="580"/>
      <c r="C44" s="580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3">
        <f>H44/DAY(B2)</f>
        <v>0</v>
      </c>
      <c r="K44" s="428"/>
      <c r="L44" s="377"/>
      <c r="N44" s="382"/>
    </row>
    <row r="45" spans="1:14">
      <c r="A45" s="579" t="s">
        <v>174</v>
      </c>
      <c r="B45" s="580"/>
      <c r="C45" s="580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3">
        <f>H45/DAY(B2)</f>
        <v>0</v>
      </c>
      <c r="K45" s="428"/>
      <c r="L45" s="377"/>
      <c r="N45" s="382"/>
    </row>
    <row r="46" spans="1:14">
      <c r="A46" s="579" t="s">
        <v>175</v>
      </c>
      <c r="B46" s="580"/>
      <c r="C46" s="580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3">
        <f>H46/DAY(B2)</f>
        <v>0</v>
      </c>
      <c r="K46" s="428"/>
      <c r="L46" s="377"/>
      <c r="N46" s="382"/>
    </row>
    <row r="47" spans="1:14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6347</v>
      </c>
      <c r="H47" s="460">
        <f>G47+'6'!H47</f>
        <v>197401.01000000007</v>
      </c>
      <c r="I47" s="455"/>
      <c r="J47" s="553">
        <f>H47/DAY(B2)</f>
        <v>28200.144285714294</v>
      </c>
      <c r="K47" s="428"/>
      <c r="L47" s="377"/>
      <c r="N47" s="382"/>
    </row>
    <row r="48" spans="1:14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>
      <c r="A49" s="579" t="s">
        <v>164</v>
      </c>
      <c r="B49" s="602"/>
      <c r="C49" s="602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-0.13000000000465661</v>
      </c>
      <c r="I49" s="455"/>
      <c r="J49" s="553">
        <f>H49/DAY(B2)</f>
        <v>-1.85714285720938E-2</v>
      </c>
      <c r="K49" s="428"/>
      <c r="L49" s="377"/>
      <c r="N49" s="382"/>
    </row>
    <row r="50" spans="1:14">
      <c r="A50" s="579" t="s">
        <v>178</v>
      </c>
      <c r="B50" s="602"/>
      <c r="C50" s="602"/>
      <c r="D50" s="523" t="s">
        <v>132</v>
      </c>
      <c r="E50" s="510">
        <f>'6'!F50</f>
        <v>409848</v>
      </c>
      <c r="F50" s="510">
        <v>411078</v>
      </c>
      <c r="G50" s="473">
        <f t="shared" si="4"/>
        <v>1230</v>
      </c>
      <c r="H50" s="460">
        <f>G50+'6'!H50</f>
        <v>8614.9699999999721</v>
      </c>
      <c r="I50" s="455"/>
      <c r="J50" s="553">
        <f>H50/DAY(B2)</f>
        <v>1230.7099999999959</v>
      </c>
      <c r="K50" s="428"/>
      <c r="L50" s="377"/>
      <c r="N50" s="382"/>
    </row>
    <row r="51" spans="1:14">
      <c r="A51" s="579" t="s">
        <v>166</v>
      </c>
      <c r="B51" s="602"/>
      <c r="C51" s="602"/>
      <c r="D51" s="523" t="s">
        <v>132</v>
      </c>
      <c r="E51" s="510">
        <f>'6'!F51</f>
        <v>125821</v>
      </c>
      <c r="F51" s="510">
        <v>127321</v>
      </c>
      <c r="G51" s="473">
        <f t="shared" si="4"/>
        <v>1500</v>
      </c>
      <c r="H51" s="460">
        <f>G51+'6'!H51</f>
        <v>7270.0800000000017</v>
      </c>
      <c r="I51" s="455"/>
      <c r="J51" s="553">
        <f>H51/DAY(B2)</f>
        <v>1038.5828571428574</v>
      </c>
      <c r="K51" s="428"/>
      <c r="L51" s="377"/>
      <c r="N51" s="382"/>
    </row>
    <row r="52" spans="1:14">
      <c r="A52" s="579" t="s">
        <v>179</v>
      </c>
      <c r="B52" s="602"/>
      <c r="C52" s="602"/>
      <c r="D52" s="523" t="s">
        <v>132</v>
      </c>
      <c r="E52" s="510">
        <f>'6'!F52</f>
        <v>515751</v>
      </c>
      <c r="F52" s="510">
        <v>518082</v>
      </c>
      <c r="G52" s="473">
        <f t="shared" si="4"/>
        <v>2331</v>
      </c>
      <c r="H52" s="460">
        <f>G52+'6'!H52</f>
        <v>10169.289999999979</v>
      </c>
      <c r="I52" s="455"/>
      <c r="J52" s="553">
        <f>H52/DAY(B2)</f>
        <v>1452.7557142857113</v>
      </c>
      <c r="K52" s="428"/>
      <c r="L52" s="377"/>
      <c r="N52" s="382"/>
    </row>
    <row r="53" spans="1:14">
      <c r="A53" s="579" t="s">
        <v>168</v>
      </c>
      <c r="B53" s="602"/>
      <c r="C53" s="602"/>
      <c r="D53" s="523" t="s">
        <v>132</v>
      </c>
      <c r="E53" s="510">
        <f>'6'!F53</f>
        <v>348181</v>
      </c>
      <c r="F53" s="510">
        <v>352411</v>
      </c>
      <c r="G53" s="473">
        <f t="shared" si="4"/>
        <v>4230</v>
      </c>
      <c r="H53" s="460">
        <f>G53+'6'!H53</f>
        <v>20556.489999999991</v>
      </c>
      <c r="I53" s="455"/>
      <c r="J53" s="553">
        <f>H53/DAY(B2)</f>
        <v>2936.6414285714272</v>
      </c>
      <c r="K53" s="428"/>
      <c r="L53" s="377"/>
      <c r="N53" s="382"/>
    </row>
    <row r="54" spans="1:14">
      <c r="A54" s="579" t="s">
        <v>180</v>
      </c>
      <c r="B54" s="602"/>
      <c r="C54" s="602"/>
      <c r="D54" s="523" t="s">
        <v>132</v>
      </c>
      <c r="E54" s="510">
        <f>'6'!F54</f>
        <v>8200</v>
      </c>
      <c r="F54" s="510">
        <v>8200</v>
      </c>
      <c r="G54" s="473">
        <f t="shared" si="4"/>
        <v>0</v>
      </c>
      <c r="H54" s="460">
        <f>G54+'6'!H54</f>
        <v>104.40000000000055</v>
      </c>
      <c r="I54" s="455"/>
      <c r="J54" s="553">
        <f>H54/DAY(B2)</f>
        <v>14.914285714285793</v>
      </c>
      <c r="K54" s="428"/>
      <c r="L54" s="377"/>
      <c r="N54" s="382"/>
    </row>
    <row r="55" spans="1:14">
      <c r="A55" s="579" t="s">
        <v>181</v>
      </c>
      <c r="B55" s="602"/>
      <c r="C55" s="602"/>
      <c r="D55" s="523" t="s">
        <v>132</v>
      </c>
      <c r="E55" s="510">
        <f>'6'!F55</f>
        <v>146216</v>
      </c>
      <c r="F55" s="658">
        <v>151710</v>
      </c>
      <c r="G55" s="657">
        <f t="shared" si="4"/>
        <v>5494</v>
      </c>
      <c r="H55" s="710">
        <f>G55+'6'!H55</f>
        <v>34124.31</v>
      </c>
      <c r="I55" s="711"/>
      <c r="J55" s="712">
        <f>H55/DAY(B2)</f>
        <v>4874.9014285714284</v>
      </c>
      <c r="K55" s="428"/>
      <c r="L55" s="377"/>
      <c r="N55" s="382"/>
    </row>
    <row r="56" spans="1:14">
      <c r="A56" s="588" t="s">
        <v>182</v>
      </c>
      <c r="B56" s="1071"/>
      <c r="C56" s="1071"/>
      <c r="D56" s="524" t="s">
        <v>183</v>
      </c>
      <c r="E56" s="510">
        <f>'6'!F56</f>
        <v>588761</v>
      </c>
      <c r="F56" s="1040">
        <v>588761</v>
      </c>
      <c r="G56" s="779">
        <f t="shared" si="4"/>
        <v>0</v>
      </c>
      <c r="H56" s="460">
        <f>G56+'6'!H56</f>
        <v>2709.9699999999721</v>
      </c>
      <c r="I56" s="455"/>
      <c r="J56" s="553">
        <f>H56/DAY(B2)</f>
        <v>387.13857142856745</v>
      </c>
      <c r="K56" s="427"/>
      <c r="L56" s="377"/>
      <c r="N56" s="382"/>
    </row>
    <row r="57" spans="1:14">
      <c r="A57" s="579" t="s">
        <v>172</v>
      </c>
      <c r="B57" s="602"/>
      <c r="C57" s="602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-0.32999999999992724</v>
      </c>
      <c r="I57" s="455"/>
      <c r="J57" s="553">
        <f>H57/DAY(B2)</f>
        <v>-4.7142857142846752E-2</v>
      </c>
      <c r="K57" s="428"/>
      <c r="L57" s="377"/>
      <c r="N57" s="382"/>
    </row>
    <row r="58" spans="1:14">
      <c r="A58" s="579" t="s">
        <v>184</v>
      </c>
      <c r="B58" s="602"/>
      <c r="C58" s="602"/>
      <c r="D58" s="523" t="s">
        <v>132</v>
      </c>
      <c r="E58" s="510">
        <f>'6'!F58</f>
        <v>37068</v>
      </c>
      <c r="F58" s="658">
        <v>37259</v>
      </c>
      <c r="G58" s="473">
        <f t="shared" si="4"/>
        <v>191</v>
      </c>
      <c r="H58" s="460">
        <f>G58+'6'!H58</f>
        <v>1390.3000000000029</v>
      </c>
      <c r="I58" s="455"/>
      <c r="J58" s="553">
        <f>H58/DAY(B2)</f>
        <v>198.61428571428613</v>
      </c>
      <c r="K58" s="428"/>
      <c r="L58" s="377"/>
      <c r="N58" s="382"/>
    </row>
    <row r="59" spans="1:14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14976</v>
      </c>
      <c r="H59" s="460">
        <f>G59+'6'!H59</f>
        <v>84939.349999999919</v>
      </c>
      <c r="I59" s="455">
        <f>G7-G60</f>
        <v>288</v>
      </c>
      <c r="J59" s="553">
        <f>H59/DAY(B2)</f>
        <v>12134.192857142845</v>
      </c>
      <c r="K59" s="428"/>
      <c r="L59" s="377"/>
      <c r="N59" s="382"/>
    </row>
    <row r="60" spans="1:14">
      <c r="A60" s="579"/>
      <c r="B60" s="580"/>
      <c r="C60" s="580"/>
      <c r="D60" s="511" t="s">
        <v>185</v>
      </c>
      <c r="E60" s="511"/>
      <c r="F60" s="511"/>
      <c r="G60" s="481">
        <f>G47+G59</f>
        <v>21323</v>
      </c>
      <c r="H60" s="460">
        <f>G60+'6'!H60</f>
        <v>282340.36</v>
      </c>
      <c r="I60" s="455">
        <f>G13-G60</f>
        <v>-497</v>
      </c>
      <c r="J60" s="553">
        <f>H60/DAY(B2)</f>
        <v>40334.337142857141</v>
      </c>
      <c r="K60" s="428"/>
      <c r="L60" s="377"/>
      <c r="N60" s="382"/>
    </row>
    <row r="61" spans="1:14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>
      <c r="A62" s="604" t="s">
        <v>98</v>
      </c>
      <c r="B62" s="605"/>
      <c r="C62" s="605"/>
      <c r="D62" s="511" t="s">
        <v>187</v>
      </c>
      <c r="E62" s="514">
        <f>'6'!F62</f>
        <v>20419</v>
      </c>
      <c r="F62" s="514">
        <v>20419</v>
      </c>
      <c r="G62" s="473">
        <f t="shared" ref="G62:G69" si="5">F62-E62</f>
        <v>0</v>
      </c>
      <c r="H62" s="460">
        <f>G62+'6'!H62</f>
        <v>-0.18700000000171713</v>
      </c>
      <c r="I62" s="515"/>
      <c r="J62" s="553">
        <f>H62/DAY(B2)</f>
        <v>-2.6714285714531018E-2</v>
      </c>
      <c r="K62" s="428"/>
      <c r="L62" s="377"/>
      <c r="N62" s="382"/>
    </row>
    <row r="63" spans="1:14">
      <c r="A63" s="604" t="s">
        <v>188</v>
      </c>
      <c r="B63" s="605"/>
      <c r="C63" s="605"/>
      <c r="D63" s="511" t="s">
        <v>187</v>
      </c>
      <c r="E63" s="514">
        <f>'6'!F63</f>
        <v>1785</v>
      </c>
      <c r="F63" s="514">
        <v>1797</v>
      </c>
      <c r="G63" s="473">
        <f t="shared" si="5"/>
        <v>12</v>
      </c>
      <c r="H63" s="460">
        <f>G63+'6'!H63</f>
        <v>89.6400000000001</v>
      </c>
      <c r="I63" s="515"/>
      <c r="J63" s="553">
        <f>H63/DAY(B2)</f>
        <v>12.8057142857143</v>
      </c>
      <c r="K63" s="428"/>
      <c r="L63" s="377"/>
      <c r="N63" s="382"/>
    </row>
    <row r="64" spans="1:14" ht="27.75">
      <c r="A64" s="1408" t="s">
        <v>99</v>
      </c>
      <c r="B64" s="1409"/>
      <c r="C64" s="1410"/>
      <c r="D64" s="523" t="s">
        <v>187</v>
      </c>
      <c r="E64" s="484">
        <f>'6'!F64</f>
        <v>126712</v>
      </c>
      <c r="F64" s="478">
        <v>127265</v>
      </c>
      <c r="G64" s="473">
        <f t="shared" si="5"/>
        <v>553</v>
      </c>
      <c r="H64" s="460">
        <f>G64+'6'!H64</f>
        <v>3637.6999999999971</v>
      </c>
      <c r="I64" s="480"/>
      <c r="J64" s="553">
        <f>H64/DAY(B2)</f>
        <v>519.67142857142812</v>
      </c>
      <c r="K64" s="428"/>
      <c r="L64" s="377"/>
      <c r="N64" s="382"/>
    </row>
    <row r="65" spans="1:14" ht="27.75">
      <c r="A65" s="1408" t="s">
        <v>100</v>
      </c>
      <c r="B65" s="1409"/>
      <c r="C65" s="1410"/>
      <c r="D65" s="523" t="s">
        <v>187</v>
      </c>
      <c r="E65" s="484">
        <f>'6'!F65</f>
        <v>134863</v>
      </c>
      <c r="F65" s="656">
        <v>135234</v>
      </c>
      <c r="G65" s="473">
        <f t="shared" si="5"/>
        <v>371</v>
      </c>
      <c r="H65" s="460">
        <f>G65+'6'!H65</f>
        <v>2636.7000000000116</v>
      </c>
      <c r="I65" s="489"/>
      <c r="J65" s="553">
        <f>H65/DAY(B2)</f>
        <v>376.67142857143023</v>
      </c>
      <c r="K65" s="428"/>
      <c r="L65" s="377"/>
      <c r="N65" s="382"/>
    </row>
    <row r="66" spans="1:14" ht="27.75">
      <c r="A66" s="1408" t="s">
        <v>101</v>
      </c>
      <c r="B66" s="1409"/>
      <c r="C66" s="1410"/>
      <c r="D66" s="523" t="s">
        <v>187</v>
      </c>
      <c r="E66" s="484">
        <f>'6'!F66</f>
        <v>27597</v>
      </c>
      <c r="F66" s="478">
        <v>27966</v>
      </c>
      <c r="G66" s="473">
        <f t="shared" si="5"/>
        <v>369</v>
      </c>
      <c r="H66" s="460">
        <f>G66+'6'!H66</f>
        <v>2806.25</v>
      </c>
      <c r="I66" s="480"/>
      <c r="J66" s="553">
        <f>H66/DAY(B2)</f>
        <v>400.89285714285717</v>
      </c>
      <c r="K66" s="428"/>
      <c r="L66" s="377"/>
      <c r="N66" s="382"/>
    </row>
    <row r="67" spans="1:14" ht="27.75">
      <c r="A67" s="1408" t="s">
        <v>102</v>
      </c>
      <c r="B67" s="1409"/>
      <c r="C67" s="1410"/>
      <c r="D67" s="523" t="s">
        <v>187</v>
      </c>
      <c r="E67" s="484">
        <f>'6'!F67</f>
        <v>211959</v>
      </c>
      <c r="F67" s="478">
        <v>212624</v>
      </c>
      <c r="G67" s="473">
        <f t="shared" si="5"/>
        <v>665</v>
      </c>
      <c r="H67" s="460">
        <f>G67+'6'!H67</f>
        <v>4782.1700000000128</v>
      </c>
      <c r="I67" s="489"/>
      <c r="J67" s="553">
        <f>H67/DAY(B2)</f>
        <v>683.16714285714465</v>
      </c>
      <c r="K67" s="429"/>
      <c r="L67" s="377"/>
      <c r="N67" s="382"/>
    </row>
    <row r="68" spans="1:14" ht="27.75">
      <c r="A68" s="1408" t="s">
        <v>103</v>
      </c>
      <c r="B68" s="1409"/>
      <c r="C68" s="1410"/>
      <c r="D68" s="523" t="s">
        <v>187</v>
      </c>
      <c r="E68" s="484">
        <f>'6'!F68</f>
        <v>74747</v>
      </c>
      <c r="F68" s="478">
        <v>75071</v>
      </c>
      <c r="G68" s="473">
        <f t="shared" si="5"/>
        <v>324</v>
      </c>
      <c r="H68" s="460">
        <f>G68+'6'!H68</f>
        <v>2392.4799999999959</v>
      </c>
      <c r="I68" s="516"/>
      <c r="J68" s="553">
        <f>H68/DAY(B2)</f>
        <v>341.78285714285659</v>
      </c>
      <c r="K68" s="430"/>
      <c r="L68" s="377"/>
      <c r="N68" s="382"/>
    </row>
    <row r="69" spans="1:14" ht="27.75">
      <c r="A69" s="1408" t="s">
        <v>104</v>
      </c>
      <c r="B69" s="1409"/>
      <c r="C69" s="1410"/>
      <c r="D69" s="523" t="s">
        <v>187</v>
      </c>
      <c r="E69" s="484">
        <f>'6'!F69</f>
        <v>66393</v>
      </c>
      <c r="F69" s="478">
        <v>66722</v>
      </c>
      <c r="G69" s="473">
        <f t="shared" si="5"/>
        <v>329</v>
      </c>
      <c r="H69" s="460">
        <f>G69+'6'!H69</f>
        <v>2269.9100000000035</v>
      </c>
      <c r="I69" s="516"/>
      <c r="J69" s="553">
        <f>H69/DAY(B2)</f>
        <v>324.27285714285762</v>
      </c>
      <c r="K69" s="431"/>
      <c r="L69" s="377"/>
      <c r="N69" s="382"/>
    </row>
    <row r="70" spans="1:14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382"/>
    </row>
    <row r="71" spans="1:14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382"/>
    </row>
    <row r="72" spans="1:14" ht="27.75">
      <c r="A72" s="1408" t="s">
        <v>191</v>
      </c>
      <c r="B72" s="1409"/>
      <c r="C72" s="1410"/>
      <c r="D72" s="523" t="s">
        <v>187</v>
      </c>
      <c r="E72" s="519">
        <f>'6'!F72</f>
        <v>851073</v>
      </c>
      <c r="F72" s="659">
        <v>851145</v>
      </c>
      <c r="G72" s="473">
        <f t="shared" ref="G72:G84" si="6">F72-E72</f>
        <v>72</v>
      </c>
      <c r="H72" s="460">
        <f>G72+'6'!H72</f>
        <v>553</v>
      </c>
      <c r="I72" s="480"/>
      <c r="J72" s="553">
        <f>H72/DAY(B2)</f>
        <v>79</v>
      </c>
      <c r="K72" s="431"/>
      <c r="L72" s="377"/>
      <c r="N72" s="382"/>
    </row>
    <row r="73" spans="1:14" ht="27.75">
      <c r="A73" s="1408" t="s">
        <v>192</v>
      </c>
      <c r="B73" s="1409"/>
      <c r="C73" s="1410"/>
      <c r="D73" s="523" t="s">
        <v>187</v>
      </c>
      <c r="E73" s="519">
        <f>'6'!F73</f>
        <v>885774</v>
      </c>
      <c r="F73" s="660">
        <v>885774</v>
      </c>
      <c r="G73" s="657">
        <f t="shared" si="6"/>
        <v>0</v>
      </c>
      <c r="H73" s="460">
        <f>G73+'6'!H73</f>
        <v>2</v>
      </c>
      <c r="I73" s="480"/>
      <c r="J73" s="553">
        <f>H73/DAY(B2)</f>
        <v>0.2857142857142857</v>
      </c>
      <c r="K73" s="430"/>
      <c r="L73" s="377"/>
      <c r="N73" s="382"/>
    </row>
    <row r="74" spans="1:14" ht="27.75">
      <c r="A74" s="1408" t="s">
        <v>193</v>
      </c>
      <c r="B74" s="1409"/>
      <c r="C74" s="1410"/>
      <c r="D74" s="523" t="s">
        <v>187</v>
      </c>
      <c r="E74" s="519">
        <f>'6'!F74</f>
        <v>752</v>
      </c>
      <c r="F74" s="659">
        <v>798</v>
      </c>
      <c r="G74" s="473">
        <f t="shared" si="6"/>
        <v>46</v>
      </c>
      <c r="H74" s="460">
        <f>G74+'6'!H74</f>
        <v>211.83000000000004</v>
      </c>
      <c r="I74" s="480"/>
      <c r="J74" s="553">
        <f>H74/DAY(B2)</f>
        <v>30.261428571428578</v>
      </c>
      <c r="K74" s="431"/>
      <c r="L74" s="377"/>
      <c r="N74" s="382"/>
    </row>
    <row r="75" spans="1:14" ht="27.75">
      <c r="A75" s="1457" t="s">
        <v>194</v>
      </c>
      <c r="B75" s="1458"/>
      <c r="C75" s="1459"/>
      <c r="D75" s="523" t="s">
        <v>187</v>
      </c>
      <c r="E75" s="519">
        <f>'6'!F75</f>
        <v>4464</v>
      </c>
      <c r="F75" s="660">
        <v>4645</v>
      </c>
      <c r="G75" s="473">
        <f t="shared" si="6"/>
        <v>181</v>
      </c>
      <c r="H75" s="460">
        <f>G75+'6'!H75</f>
        <v>1125.7800000000002</v>
      </c>
      <c r="I75" s="480"/>
      <c r="J75" s="553">
        <f>H75/DAY(B2)</f>
        <v>160.82571428571433</v>
      </c>
      <c r="K75" s="430"/>
      <c r="L75" s="377"/>
      <c r="N75" s="382"/>
    </row>
    <row r="76" spans="1:14" ht="27.75">
      <c r="A76" s="1457" t="s">
        <v>195</v>
      </c>
      <c r="B76" s="1458"/>
      <c r="C76" s="1459"/>
      <c r="D76" s="523" t="s">
        <v>187</v>
      </c>
      <c r="E76" s="519">
        <f>'6'!F76</f>
        <v>2014</v>
      </c>
      <c r="F76" s="660">
        <v>2108</v>
      </c>
      <c r="G76" s="473">
        <f t="shared" si="6"/>
        <v>94</v>
      </c>
      <c r="H76" s="460">
        <f>G76+'6'!H76</f>
        <v>593.66000000000008</v>
      </c>
      <c r="I76" s="505"/>
      <c r="J76" s="553">
        <f>H76/DAY(B2)</f>
        <v>84.80857142857144</v>
      </c>
      <c r="K76" s="430"/>
      <c r="L76" s="377"/>
      <c r="N76" s="382"/>
    </row>
    <row r="77" spans="1:14" ht="27.75">
      <c r="A77" s="1408" t="s">
        <v>196</v>
      </c>
      <c r="B77" s="1409"/>
      <c r="C77" s="1410"/>
      <c r="D77" s="523" t="s">
        <v>187</v>
      </c>
      <c r="E77" s="519">
        <f>'6'!F77</f>
        <v>698883</v>
      </c>
      <c r="F77" s="660">
        <v>698935</v>
      </c>
      <c r="G77" s="657">
        <f t="shared" si="6"/>
        <v>52</v>
      </c>
      <c r="H77" s="460">
        <f>G77+'6'!H77</f>
        <v>347</v>
      </c>
      <c r="I77" s="505"/>
      <c r="J77" s="553">
        <f>H77/DAY(B2)</f>
        <v>49.571428571428569</v>
      </c>
      <c r="K77" s="430"/>
      <c r="L77" s="377"/>
      <c r="N77" s="382"/>
    </row>
    <row r="78" spans="1:14" ht="27.75">
      <c r="A78" s="1151" t="s">
        <v>197</v>
      </c>
      <c r="B78" s="1124"/>
      <c r="C78" s="1124"/>
      <c r="D78" s="523" t="s">
        <v>187</v>
      </c>
      <c r="E78" s="519">
        <f>'6'!F78</f>
        <v>655094</v>
      </c>
      <c r="F78" s="661">
        <v>655522</v>
      </c>
      <c r="G78" s="473">
        <f t="shared" si="6"/>
        <v>428</v>
      </c>
      <c r="H78" s="460">
        <f>G78+'6'!H78</f>
        <v>2659</v>
      </c>
      <c r="I78" s="505"/>
      <c r="J78" s="553">
        <f>H78/DAY(B2)</f>
        <v>379.85714285714283</v>
      </c>
      <c r="K78" s="430"/>
      <c r="L78" s="377"/>
      <c r="N78" s="382"/>
    </row>
    <row r="79" spans="1:14" ht="27.75">
      <c r="A79" s="1457" t="s">
        <v>92</v>
      </c>
      <c r="B79" s="1458"/>
      <c r="C79" s="1459"/>
      <c r="D79" s="524" t="s">
        <v>187</v>
      </c>
      <c r="E79" s="519">
        <f>'6'!F79</f>
        <v>816416</v>
      </c>
      <c r="F79" s="659">
        <v>816632</v>
      </c>
      <c r="G79" s="473">
        <f t="shared" si="6"/>
        <v>216</v>
      </c>
      <c r="H79" s="460">
        <f>G79+'6'!H79</f>
        <v>1523</v>
      </c>
      <c r="I79" s="505"/>
      <c r="J79" s="553">
        <f>H79/DAY(B2)</f>
        <v>217.57142857142858</v>
      </c>
      <c r="K79" s="430"/>
      <c r="L79" s="377"/>
      <c r="N79" s="382"/>
    </row>
    <row r="80" spans="1:14" ht="27.75">
      <c r="A80" s="1457" t="s">
        <v>198</v>
      </c>
      <c r="B80" s="1458"/>
      <c r="C80" s="1459"/>
      <c r="D80" s="524" t="s">
        <v>187</v>
      </c>
      <c r="E80" s="519">
        <f>'6'!F80</f>
        <v>496863</v>
      </c>
      <c r="F80" s="660">
        <v>497222</v>
      </c>
      <c r="G80" s="473">
        <f t="shared" si="6"/>
        <v>359</v>
      </c>
      <c r="H80" s="460">
        <f>G80+'6'!H80</f>
        <v>2548.359999999986</v>
      </c>
      <c r="I80" s="505"/>
      <c r="J80" s="553">
        <f>H80/DAY(B2)</f>
        <v>364.05142857142658</v>
      </c>
      <c r="K80" s="430"/>
      <c r="L80" s="377"/>
      <c r="N80" s="382"/>
    </row>
    <row r="81" spans="1:15" ht="27.75">
      <c r="A81" s="1457" t="s">
        <v>199</v>
      </c>
      <c r="B81" s="1458"/>
      <c r="C81" s="1459"/>
      <c r="D81" s="524" t="s">
        <v>187</v>
      </c>
      <c r="E81" s="519">
        <f>'6'!F81</f>
        <v>626601</v>
      </c>
      <c r="F81" s="660">
        <v>626724</v>
      </c>
      <c r="G81" s="473">
        <f t="shared" si="6"/>
        <v>123</v>
      </c>
      <c r="H81" s="460">
        <f>G81+'6'!H81</f>
        <v>780.1600000000326</v>
      </c>
      <c r="I81" s="505"/>
      <c r="J81" s="553">
        <f>H81/DAY(B2)</f>
        <v>111.45142857143323</v>
      </c>
      <c r="K81" s="430"/>
      <c r="L81" s="377"/>
      <c r="N81" s="382"/>
    </row>
    <row r="82" spans="1:15" ht="27.75">
      <c r="A82" s="1457" t="s">
        <v>93</v>
      </c>
      <c r="B82" s="1458"/>
      <c r="C82" s="1459"/>
      <c r="D82" s="485" t="s">
        <v>132</v>
      </c>
      <c r="E82" s="519">
        <f>'6'!F82</f>
        <v>106327</v>
      </c>
      <c r="F82" s="656">
        <v>106348</v>
      </c>
      <c r="G82" s="473">
        <f t="shared" si="6"/>
        <v>21</v>
      </c>
      <c r="H82" s="460">
        <f>G82+'6'!H82</f>
        <v>145.52000000000407</v>
      </c>
      <c r="I82" s="486"/>
      <c r="J82" s="553">
        <f>H82/DAY(B2)</f>
        <v>20.788571428572009</v>
      </c>
      <c r="K82" s="430"/>
      <c r="L82" s="377"/>
      <c r="N82" s="382"/>
    </row>
    <row r="83" spans="1:15" ht="27.75">
      <c r="A83" s="1457" t="s">
        <v>200</v>
      </c>
      <c r="B83" s="1458"/>
      <c r="C83" s="1459"/>
      <c r="D83" s="621" t="s">
        <v>132</v>
      </c>
      <c r="E83" s="519">
        <f>'6'!F83</f>
        <v>999356</v>
      </c>
      <c r="F83" s="621">
        <v>999852</v>
      </c>
      <c r="G83" s="473">
        <f t="shared" si="6"/>
        <v>496</v>
      </c>
      <c r="H83" s="460">
        <f>G83+'6'!H83</f>
        <v>3403</v>
      </c>
      <c r="I83" s="481"/>
      <c r="J83" s="553">
        <f>H83/DAY(B2)</f>
        <v>486.14285714285717</v>
      </c>
      <c r="K83" s="429"/>
      <c r="L83" s="377"/>
      <c r="N83" s="382"/>
    </row>
    <row r="84" spans="1:15">
      <c r="A84" s="1152" t="s">
        <v>201</v>
      </c>
      <c r="B84" s="572"/>
      <c r="C84" s="572"/>
      <c r="D84" s="478" t="s">
        <v>132</v>
      </c>
      <c r="E84" s="519">
        <f>'6'!F84</f>
        <v>435066</v>
      </c>
      <c r="F84" s="628">
        <v>435900</v>
      </c>
      <c r="G84" s="473">
        <f t="shared" si="6"/>
        <v>834</v>
      </c>
      <c r="H84" s="460">
        <f>G84+'6'!H84</f>
        <v>5102</v>
      </c>
      <c r="I84" s="481"/>
      <c r="J84" s="553">
        <f>H84/DAY(B2)</f>
        <v>728.85714285714289</v>
      </c>
      <c r="K84" s="380"/>
      <c r="L84" s="377"/>
      <c r="N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2922</v>
      </c>
      <c r="H85" s="460">
        <f>G85+'6'!H85</f>
        <v>16968.929999999968</v>
      </c>
      <c r="I85" s="481"/>
      <c r="J85" s="553">
        <f>H85/DAY(B2)</f>
        <v>2424.1328571428526</v>
      </c>
      <c r="K85" s="380"/>
      <c r="L85" s="378"/>
      <c r="N85" s="382"/>
    </row>
    <row r="86" spans="1:15" s="740" customFormat="1">
      <c r="A86" s="735" t="s">
        <v>94</v>
      </c>
      <c r="B86" s="736"/>
      <c r="C86" s="736"/>
      <c r="D86" s="656" t="s">
        <v>183</v>
      </c>
      <c r="E86" s="628">
        <f>'6'!F86</f>
        <v>451093</v>
      </c>
      <c r="F86" s="652">
        <v>451193</v>
      </c>
      <c r="G86" s="710">
        <f t="shared" ref="G86:G90" si="7">F86-E86</f>
        <v>100</v>
      </c>
      <c r="H86" s="710">
        <f t="shared" ref="H86:H88" si="8">G86</f>
        <v>100</v>
      </c>
      <c r="I86" s="657"/>
      <c r="J86" s="712">
        <f>H86/DAY(B2)</f>
        <v>14.285714285714286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656" t="s">
        <v>183</v>
      </c>
      <c r="E87" s="628">
        <f>'6'!F87</f>
        <v>79414</v>
      </c>
      <c r="F87" s="652">
        <v>79422</v>
      </c>
      <c r="G87" s="710">
        <f t="shared" si="7"/>
        <v>8</v>
      </c>
      <c r="H87" s="710">
        <f t="shared" si="8"/>
        <v>8</v>
      </c>
      <c r="I87" s="657"/>
      <c r="J87" s="712">
        <f>H87/DAY(B2)</f>
        <v>1.1428571428571428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656" t="s">
        <v>183</v>
      </c>
      <c r="E88" s="628">
        <f>'6'!F88</f>
        <v>148682</v>
      </c>
      <c r="F88" s="652">
        <v>148719</v>
      </c>
      <c r="G88" s="710">
        <f t="shared" si="7"/>
        <v>37</v>
      </c>
      <c r="H88" s="710">
        <f t="shared" si="8"/>
        <v>37</v>
      </c>
      <c r="I88" s="657"/>
      <c r="J88" s="712">
        <f>H88/DAY(B2)</f>
        <v>5.2857142857142856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656" t="s">
        <v>183</v>
      </c>
      <c r="E89" s="628">
        <f>'6'!F89</f>
        <v>62135</v>
      </c>
      <c r="F89" s="652">
        <v>62201</v>
      </c>
      <c r="G89" s="710">
        <f t="shared" si="7"/>
        <v>66</v>
      </c>
      <c r="H89" s="710">
        <f>G89</f>
        <v>66</v>
      </c>
      <c r="I89" s="657"/>
      <c r="J89" s="712">
        <f>H89/DAY(B2)</f>
        <v>9.4285714285714288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656" t="s">
        <v>183</v>
      </c>
      <c r="E90" s="628">
        <f>'6'!F90</f>
        <v>3190</v>
      </c>
      <c r="F90" s="652">
        <v>3193</v>
      </c>
      <c r="G90" s="710">
        <f t="shared" si="7"/>
        <v>3</v>
      </c>
      <c r="H90" s="710">
        <f>G90</f>
        <v>3</v>
      </c>
      <c r="I90" s="657"/>
      <c r="J90" s="712">
        <f>H90/DAY(B2)</f>
        <v>0.42857142857142855</v>
      </c>
      <c r="K90" s="738"/>
      <c r="L90" s="739"/>
      <c r="N90" s="783"/>
      <c r="O90" s="382"/>
    </row>
    <row r="91" spans="1:15" s="379" customFormat="1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'6'!F92</f>
        <v>240282</v>
      </c>
      <c r="F92" s="485">
        <v>240444</v>
      </c>
      <c r="G92" s="473">
        <f t="shared" ref="G92:G93" si="9">F92-E92</f>
        <v>162</v>
      </c>
      <c r="H92" s="460">
        <f>G92+'6'!H92</f>
        <v>749</v>
      </c>
      <c r="I92" s="480"/>
      <c r="J92" s="553">
        <f>H92/DAY(B2)</f>
        <v>107</v>
      </c>
      <c r="K92" s="429"/>
      <c r="L92" s="377"/>
      <c r="N92" s="382"/>
    </row>
    <row r="93" spans="1:15" ht="27.75">
      <c r="A93" s="1411" t="s">
        <v>207</v>
      </c>
      <c r="B93" s="1412"/>
      <c r="C93" s="1413"/>
      <c r="D93" s="523" t="s">
        <v>144</v>
      </c>
      <c r="E93" s="484">
        <f>'6'!F93</f>
        <v>176511</v>
      </c>
      <c r="F93" s="485">
        <v>176674</v>
      </c>
      <c r="G93" s="473">
        <f t="shared" si="9"/>
        <v>163</v>
      </c>
      <c r="H93" s="460">
        <f>G93+'6'!H93</f>
        <v>1013</v>
      </c>
      <c r="I93" s="480"/>
      <c r="J93" s="553">
        <f>H93/DAY(B2)</f>
        <v>144.71428571428572</v>
      </c>
      <c r="K93" s="380"/>
      <c r="L93" s="377"/>
      <c r="N93" s="382"/>
    </row>
    <row r="94" spans="1:15">
      <c r="A94" s="1405" t="s">
        <v>208</v>
      </c>
      <c r="B94" s="1406"/>
      <c r="C94" s="1407"/>
      <c r="D94" s="523"/>
      <c r="E94" s="484">
        <f>'6'!F94</f>
        <v>0</v>
      </c>
      <c r="F94" s="478"/>
      <c r="G94" s="473">
        <f>G92+G93</f>
        <v>325</v>
      </c>
      <c r="H94" s="460">
        <f>G94+'6'!H94</f>
        <v>1496</v>
      </c>
      <c r="I94" s="480"/>
      <c r="J94" s="553">
        <f>H94/DAY(B2)</f>
        <v>213.71428571428572</v>
      </c>
      <c r="K94" s="380"/>
      <c r="L94" s="377"/>
      <c r="N94" s="382"/>
    </row>
    <row r="95" spans="1:15" ht="27.75">
      <c r="A95" s="1411" t="s">
        <v>209</v>
      </c>
      <c r="B95" s="1412"/>
      <c r="C95" s="1413"/>
      <c r="D95" s="523" t="s">
        <v>144</v>
      </c>
      <c r="E95" s="484">
        <f>'6'!F95</f>
        <v>408694</v>
      </c>
      <c r="F95" s="478">
        <v>408813</v>
      </c>
      <c r="G95" s="473">
        <f t="shared" ref="G95:G100" si="10">F95-E95</f>
        <v>119</v>
      </c>
      <c r="H95" s="460">
        <f>G95+'6'!H95</f>
        <v>657</v>
      </c>
      <c r="I95" s="480"/>
      <c r="J95" s="553">
        <f>H95/DAY(B2)</f>
        <v>93.857142857142861</v>
      </c>
      <c r="K95" s="380"/>
      <c r="L95" s="377"/>
      <c r="N95" s="382"/>
    </row>
    <row r="96" spans="1:15" ht="27.75">
      <c r="A96" s="1148" t="s">
        <v>210</v>
      </c>
      <c r="B96" s="1149"/>
      <c r="C96" s="1149"/>
      <c r="D96" s="523" t="s">
        <v>144</v>
      </c>
      <c r="E96" s="484">
        <f>'6'!F96</f>
        <v>101422</v>
      </c>
      <c r="F96" s="478">
        <v>101454</v>
      </c>
      <c r="G96" s="473">
        <f t="shared" si="10"/>
        <v>32</v>
      </c>
      <c r="H96" s="460">
        <f>G96+'6'!H96</f>
        <v>122</v>
      </c>
      <c r="I96" s="480"/>
      <c r="J96" s="553">
        <f>H96/DAY(B2)</f>
        <v>17.428571428571427</v>
      </c>
      <c r="K96" s="427"/>
      <c r="L96" s="377"/>
      <c r="N96" s="382"/>
    </row>
    <row r="97" spans="1:14" ht="27.75">
      <c r="A97" s="1148" t="s">
        <v>211</v>
      </c>
      <c r="B97" s="1149"/>
      <c r="C97" s="1149"/>
      <c r="D97" s="523" t="s">
        <v>144</v>
      </c>
      <c r="E97" s="484">
        <f>'6'!F97</f>
        <v>96560</v>
      </c>
      <c r="F97" s="478">
        <v>96588</v>
      </c>
      <c r="G97" s="473">
        <f t="shared" si="10"/>
        <v>28</v>
      </c>
      <c r="H97" s="460">
        <f>G97+'6'!H97</f>
        <v>139</v>
      </c>
      <c r="I97" s="480"/>
      <c r="J97" s="553">
        <f>H97/DAY(B2)</f>
        <v>19.857142857142858</v>
      </c>
      <c r="K97" s="432"/>
      <c r="L97" s="377"/>
      <c r="N97" s="382"/>
    </row>
    <row r="98" spans="1:14" ht="27.75">
      <c r="A98" s="1148" t="s">
        <v>212</v>
      </c>
      <c r="B98" s="1149"/>
      <c r="C98" s="1149"/>
      <c r="D98" s="523" t="s">
        <v>144</v>
      </c>
      <c r="E98" s="484">
        <f>'6'!F98</f>
        <v>147971</v>
      </c>
      <c r="F98" s="478">
        <v>147999</v>
      </c>
      <c r="G98" s="473">
        <f t="shared" si="10"/>
        <v>28</v>
      </c>
      <c r="H98" s="460">
        <f>G98+'6'!H98</f>
        <v>391</v>
      </c>
      <c r="I98" s="480"/>
      <c r="J98" s="553">
        <f>H98/DAY(B2)</f>
        <v>55.857142857142854</v>
      </c>
      <c r="K98" s="380"/>
      <c r="L98" s="377"/>
      <c r="N98" s="709"/>
    </row>
    <row r="99" spans="1:14" ht="27.75">
      <c r="A99" s="1148" t="s">
        <v>213</v>
      </c>
      <c r="B99" s="1149"/>
      <c r="C99" s="1149"/>
      <c r="D99" s="523" t="s">
        <v>144</v>
      </c>
      <c r="E99" s="484">
        <f>'6'!F99</f>
        <v>6480</v>
      </c>
      <c r="F99" s="478">
        <v>6504</v>
      </c>
      <c r="G99" s="473">
        <f t="shared" si="10"/>
        <v>24</v>
      </c>
      <c r="H99" s="460">
        <f>G99+'6'!H99</f>
        <v>96</v>
      </c>
      <c r="I99" s="480"/>
      <c r="J99" s="553">
        <f>H99/DAY(B2)</f>
        <v>13.714285714285714</v>
      </c>
      <c r="K99" s="380"/>
      <c r="L99" s="377"/>
      <c r="N99" s="382"/>
    </row>
    <row r="100" spans="1:14" ht="27.75">
      <c r="A100" s="1148" t="s">
        <v>214</v>
      </c>
      <c r="B100" s="1149"/>
      <c r="C100" s="1149"/>
      <c r="D100" s="523" t="s">
        <v>144</v>
      </c>
      <c r="E100" s="484">
        <f>'6'!F100</f>
        <v>4617</v>
      </c>
      <c r="F100" s="478">
        <v>4625</v>
      </c>
      <c r="G100" s="473">
        <f t="shared" si="10"/>
        <v>8</v>
      </c>
      <c r="H100" s="460">
        <f>G100+'6'!H100</f>
        <v>82</v>
      </c>
      <c r="I100" s="480"/>
      <c r="J100" s="553">
        <f>H100/DAY(B2)</f>
        <v>11.714285714285714</v>
      </c>
      <c r="K100" s="380"/>
      <c r="L100" s="377"/>
      <c r="N100" s="382"/>
    </row>
    <row r="101" spans="1:14">
      <c r="A101" s="1405" t="s">
        <v>216</v>
      </c>
      <c r="B101" s="1406"/>
      <c r="C101" s="1407"/>
      <c r="D101" s="524"/>
      <c r="E101" s="524"/>
      <c r="F101" s="524"/>
      <c r="G101" s="525">
        <f>SUM(G95:G100)</f>
        <v>239</v>
      </c>
      <c r="H101" s="460">
        <f>G101+'6'!H101</f>
        <v>1487</v>
      </c>
      <c r="I101" s="526"/>
      <c r="J101" s="553">
        <f>H101/DAY(B2)</f>
        <v>212.42857142857142</v>
      </c>
      <c r="K101" s="380"/>
      <c r="L101" s="377"/>
      <c r="N101" s="382"/>
    </row>
    <row r="102" spans="1:14" s="442" customFormat="1" ht="27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N102" s="382"/>
    </row>
    <row r="103" spans="1:14" s="442" customFormat="1" ht="27.75">
      <c r="A103" s="1414" t="s">
        <v>218</v>
      </c>
      <c r="B103" s="1415"/>
      <c r="C103" s="574"/>
      <c r="D103" s="623"/>
      <c r="E103" s="532"/>
      <c r="F103" s="663"/>
      <c r="G103" s="532"/>
      <c r="H103" s="533"/>
      <c r="I103" s="532"/>
      <c r="J103" s="559"/>
      <c r="N103" s="382"/>
    </row>
    <row r="104" spans="1:14" s="442" customFormat="1" ht="27.75">
      <c r="A104" s="1416" t="s">
        <v>219</v>
      </c>
      <c r="B104" s="1417"/>
      <c r="C104" s="1147"/>
      <c r="D104" s="623" t="s">
        <v>144</v>
      </c>
      <c r="E104" s="532">
        <v>7134</v>
      </c>
      <c r="F104" s="663">
        <v>7139</v>
      </c>
      <c r="G104" s="532">
        <f>F104-E104</f>
        <v>5</v>
      </c>
      <c r="H104" s="460">
        <f>G104+'6'!H104</f>
        <v>14</v>
      </c>
      <c r="I104" s="532"/>
      <c r="J104" s="559">
        <f>H104/DAY(B2)</f>
        <v>2</v>
      </c>
      <c r="N104" s="382"/>
    </row>
    <row r="105" spans="1:14" s="442" customFormat="1" ht="27.75">
      <c r="A105" s="1416" t="s">
        <v>77</v>
      </c>
      <c r="B105" s="1417"/>
      <c r="C105" s="1147"/>
      <c r="D105" s="623" t="s">
        <v>144</v>
      </c>
      <c r="E105" s="532">
        <f>'6'!F105</f>
        <v>35455</v>
      </c>
      <c r="F105" s="664">
        <v>35464</v>
      </c>
      <c r="G105" s="532">
        <f t="shared" ref="G105:G106" si="11">F105-E105</f>
        <v>9</v>
      </c>
      <c r="H105" s="460">
        <f>G105+'6'!H105</f>
        <v>66</v>
      </c>
      <c r="I105" s="532"/>
      <c r="J105" s="559">
        <f>H105/DAY(B2)</f>
        <v>9.4285714285714288</v>
      </c>
      <c r="N105" s="382"/>
    </row>
    <row r="106" spans="1:14" s="442" customFormat="1" ht="27.75">
      <c r="A106" s="1416" t="s">
        <v>78</v>
      </c>
      <c r="B106" s="1418"/>
      <c r="C106" s="1417"/>
      <c r="D106" s="623" t="s">
        <v>144</v>
      </c>
      <c r="E106" s="532">
        <f>'6'!F106</f>
        <v>19278</v>
      </c>
      <c r="F106" s="664">
        <v>19284</v>
      </c>
      <c r="G106" s="532">
        <f t="shared" si="11"/>
        <v>6</v>
      </c>
      <c r="H106" s="460">
        <f>G106+'6'!H106</f>
        <v>43</v>
      </c>
      <c r="I106" s="532"/>
      <c r="J106" s="559">
        <f>H106/DAY(B2)</f>
        <v>6.1428571428571432</v>
      </c>
      <c r="N106" s="382"/>
    </row>
    <row r="107" spans="1:14" s="442" customFormat="1" ht="27.75">
      <c r="A107" s="1419" t="s">
        <v>202</v>
      </c>
      <c r="B107" s="1420"/>
      <c r="C107" s="1147"/>
      <c r="D107" s="623"/>
      <c r="E107" s="532"/>
      <c r="F107" s="664"/>
      <c r="G107" s="532">
        <f>SUM(G104:G106)</f>
        <v>20</v>
      </c>
      <c r="H107" s="460">
        <f>G107+'6'!H107</f>
        <v>123</v>
      </c>
      <c r="I107" s="532"/>
      <c r="J107" s="559">
        <f>H107/DAY(B2)</f>
        <v>17.571428571428573</v>
      </c>
      <c r="N107" s="382"/>
    </row>
    <row r="108" spans="1:14" s="442" customFormat="1" ht="27.75">
      <c r="A108" s="1421" t="s">
        <v>79</v>
      </c>
      <c r="B108" s="1422"/>
      <c r="C108" s="1147"/>
      <c r="D108" s="623" t="s">
        <v>144</v>
      </c>
      <c r="E108" s="532"/>
      <c r="F108" s="664"/>
      <c r="G108" s="532"/>
      <c r="H108" s="460" t="e">
        <f>G108+'6'!H108</f>
        <v>#REF!</v>
      </c>
      <c r="I108" s="532"/>
      <c r="J108" s="559"/>
      <c r="N108" s="382"/>
    </row>
    <row r="109" spans="1:14" s="442" customFormat="1" ht="27.75">
      <c r="A109" s="1416" t="s">
        <v>220</v>
      </c>
      <c r="B109" s="1417"/>
      <c r="C109" s="1147"/>
      <c r="D109" s="623" t="s">
        <v>144</v>
      </c>
      <c r="E109" s="532">
        <f>'6'!F109</f>
        <v>56854</v>
      </c>
      <c r="F109" s="664">
        <v>56937</v>
      </c>
      <c r="G109" s="532">
        <f>F109-E109</f>
        <v>83</v>
      </c>
      <c r="H109" s="460">
        <f>G109+'6'!H109</f>
        <v>666</v>
      </c>
      <c r="I109" s="532"/>
      <c r="J109" s="559">
        <f>H109/DAY(B2)</f>
        <v>95.142857142857139</v>
      </c>
      <c r="N109" s="382"/>
    </row>
    <row r="110" spans="1:14" s="442" customFormat="1" ht="27.75">
      <c r="A110" s="1416" t="s">
        <v>221</v>
      </c>
      <c r="B110" s="1417"/>
      <c r="C110" s="1147"/>
      <c r="D110" s="623" t="s">
        <v>144</v>
      </c>
      <c r="E110" s="532">
        <f>'6'!F110</f>
        <v>30899</v>
      </c>
      <c r="F110" s="664">
        <v>30923</v>
      </c>
      <c r="G110" s="532">
        <f t="shared" ref="G110:G111" si="12">F110-E110</f>
        <v>24</v>
      </c>
      <c r="H110" s="460">
        <f>G110+'6'!H110</f>
        <v>435</v>
      </c>
      <c r="I110" s="532"/>
      <c r="J110" s="559">
        <f>H110/DAY(B2)</f>
        <v>62.142857142857146</v>
      </c>
      <c r="N110" s="382"/>
    </row>
    <row r="111" spans="1:14" s="442" customFormat="1" ht="27.75">
      <c r="A111" s="1416" t="s">
        <v>222</v>
      </c>
      <c r="B111" s="1417"/>
      <c r="C111" s="1147"/>
      <c r="D111" s="623" t="s">
        <v>144</v>
      </c>
      <c r="E111" s="532">
        <f>'6'!F111</f>
        <v>4029</v>
      </c>
      <c r="F111" s="664">
        <v>4029</v>
      </c>
      <c r="G111" s="532">
        <f t="shared" si="12"/>
        <v>0</v>
      </c>
      <c r="H111" s="460">
        <f>G111+'6'!H111</f>
        <v>49</v>
      </c>
      <c r="I111" s="532"/>
      <c r="J111" s="559">
        <f>H111/DAY(B2)</f>
        <v>7</v>
      </c>
      <c r="N111" s="382"/>
    </row>
    <row r="112" spans="1:14" s="442" customFormat="1" ht="27.75">
      <c r="A112" s="1419" t="s">
        <v>110</v>
      </c>
      <c r="B112" s="1420"/>
      <c r="C112" s="1147"/>
      <c r="D112" s="623"/>
      <c r="E112" s="532"/>
      <c r="F112" s="664"/>
      <c r="G112" s="532">
        <f>SUM(G109:G111)</f>
        <v>107</v>
      </c>
      <c r="H112" s="460">
        <f>G112+'6'!H112</f>
        <v>1150</v>
      </c>
      <c r="I112" s="532"/>
      <c r="J112" s="559">
        <f>H112/DAY(B2)</f>
        <v>164.28571428571428</v>
      </c>
      <c r="N112" s="382"/>
    </row>
    <row r="113" spans="1:14" s="442" customFormat="1" ht="27.75">
      <c r="A113" s="1421" t="s">
        <v>223</v>
      </c>
      <c r="B113" s="1422"/>
      <c r="C113" s="1147"/>
      <c r="D113" s="623"/>
      <c r="E113" s="532"/>
      <c r="F113" s="664"/>
      <c r="G113" s="532"/>
      <c r="H113" s="460">
        <f>G113+'6'!H113</f>
        <v>0</v>
      </c>
      <c r="I113" s="532"/>
      <c r="J113" s="559">
        <f>H113/DAY(B2)</f>
        <v>0</v>
      </c>
      <c r="N113" s="382"/>
    </row>
    <row r="114" spans="1:14" s="442" customFormat="1" ht="27.75">
      <c r="A114" s="1416" t="s">
        <v>224</v>
      </c>
      <c r="B114" s="1417"/>
      <c r="C114" s="575"/>
      <c r="D114" s="623" t="s">
        <v>144</v>
      </c>
      <c r="E114" s="532">
        <f>'6'!F114</f>
        <v>10410</v>
      </c>
      <c r="F114" s="664">
        <v>10436</v>
      </c>
      <c r="G114" s="534">
        <f>F114-E114</f>
        <v>26</v>
      </c>
      <c r="H114" s="460">
        <f>G114+'6'!H114</f>
        <v>122</v>
      </c>
      <c r="I114" s="532"/>
      <c r="J114" s="559">
        <f>H114/DAY(B2)</f>
        <v>17.428571428571427</v>
      </c>
      <c r="N114" s="382"/>
    </row>
    <row r="115" spans="1:14" s="442" customFormat="1" ht="27.75">
      <c r="A115" s="1416" t="s">
        <v>225</v>
      </c>
      <c r="B115" s="1417"/>
      <c r="C115" s="575"/>
      <c r="D115" s="623" t="s">
        <v>144</v>
      </c>
      <c r="E115" s="532">
        <f>'6'!F115</f>
        <v>7729</v>
      </c>
      <c r="F115" s="664">
        <v>7735</v>
      </c>
      <c r="G115" s="534">
        <f t="shared" ref="G115:G116" si="13">F115-E115</f>
        <v>6</v>
      </c>
      <c r="H115" s="460">
        <f>G115+'6'!H115</f>
        <v>79</v>
      </c>
      <c r="I115" s="532"/>
      <c r="J115" s="559">
        <f>H115/DAY(B2)</f>
        <v>11.285714285714286</v>
      </c>
      <c r="N115" s="382"/>
    </row>
    <row r="116" spans="1:14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3"/>
        <v>0</v>
      </c>
      <c r="H116" s="460">
        <f>G116+'6'!H116</f>
        <v>0</v>
      </c>
      <c r="I116" s="532"/>
      <c r="J116" s="559">
        <f>H116/DAY(B2)</f>
        <v>0</v>
      </c>
      <c r="N116" s="382"/>
    </row>
    <row r="117" spans="1:14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32</v>
      </c>
      <c r="H117" s="460">
        <f>G117+'6'!H117</f>
        <v>201</v>
      </c>
      <c r="I117" s="534"/>
      <c r="J117" s="559">
        <f>H117/DAY(B2)</f>
        <v>28.714285714285715</v>
      </c>
      <c r="N117" s="382"/>
    </row>
    <row r="118" spans="1:14" s="446" customFormat="1" ht="27.75">
      <c r="A118" s="1450" t="s">
        <v>227</v>
      </c>
      <c r="B118" s="1451"/>
      <c r="C118" s="1145"/>
      <c r="D118" s="625" t="s">
        <v>144</v>
      </c>
      <c r="E118" s="536"/>
      <c r="F118" s="665">
        <f>SUM(G19+G92)</f>
        <v>213</v>
      </c>
      <c r="G118" s="536">
        <f>SUM(G19+G92)</f>
        <v>213</v>
      </c>
      <c r="H118" s="460">
        <f>G118+'6'!H118</f>
        <v>1106</v>
      </c>
      <c r="I118" s="535"/>
      <c r="J118" s="560">
        <f>H118/DAY(B2)</f>
        <v>158</v>
      </c>
      <c r="N118" s="382"/>
    </row>
    <row r="119" spans="1:14" s="446" customFormat="1" ht="27.75">
      <c r="A119" s="1450" t="s">
        <v>228</v>
      </c>
      <c r="B119" s="1451"/>
      <c r="C119" s="1145"/>
      <c r="D119" s="625" t="s">
        <v>144</v>
      </c>
      <c r="E119" s="536"/>
      <c r="F119" s="665">
        <f>SUM(G95,G96,G97,G99,G100)</f>
        <v>211</v>
      </c>
      <c r="G119" s="536">
        <f>SUM(G95,G96,G97,G99,G100)</f>
        <v>211</v>
      </c>
      <c r="H119" s="460">
        <f>G119+'6'!H119</f>
        <v>1096</v>
      </c>
      <c r="I119" s="535"/>
      <c r="J119" s="560">
        <f>H119/DAY(B2)</f>
        <v>156.57142857142858</v>
      </c>
      <c r="N119" s="382"/>
    </row>
    <row r="120" spans="1:14" s="446" customFormat="1" ht="27.75">
      <c r="A120" s="1450" t="s">
        <v>229</v>
      </c>
      <c r="B120" s="1451"/>
      <c r="C120" s="1145"/>
      <c r="D120" s="625" t="s">
        <v>144</v>
      </c>
      <c r="E120" s="534"/>
      <c r="F120" s="664">
        <f>SUM(G112)</f>
        <v>107</v>
      </c>
      <c r="G120" s="534">
        <f>SUM(G112)</f>
        <v>107</v>
      </c>
      <c r="H120" s="460">
        <f>G120+'6'!H120</f>
        <v>1150</v>
      </c>
      <c r="I120" s="535"/>
      <c r="J120" s="560">
        <f>H120/DAY(B2)</f>
        <v>164.28571428571428</v>
      </c>
      <c r="N120" s="382"/>
    </row>
    <row r="121" spans="1:14" s="442" customFormat="1" ht="27.75">
      <c r="A121" s="1452"/>
      <c r="B121" s="1453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>
      <c r="A123" s="1148" t="s">
        <v>231</v>
      </c>
      <c r="B123" s="1149"/>
      <c r="C123" s="1149"/>
      <c r="D123" s="523" t="s">
        <v>141</v>
      </c>
      <c r="E123" s="1064">
        <f>'6'!F123</f>
        <v>812551</v>
      </c>
      <c r="F123" s="1064">
        <v>812826</v>
      </c>
      <c r="G123" s="1065">
        <f t="shared" ref="G123:G127" si="14">F123-E123</f>
        <v>275</v>
      </c>
      <c r="H123" s="460">
        <f>G123+'6'!H123</f>
        <v>1819.1600000000326</v>
      </c>
      <c r="I123" s="526"/>
      <c r="J123" s="553">
        <f>H123/DAY(B2)</f>
        <v>259.88000000000466</v>
      </c>
      <c r="K123" s="380"/>
      <c r="L123" s="377"/>
      <c r="N123" s="382"/>
    </row>
    <row r="124" spans="1:14" ht="27.75">
      <c r="A124" s="1148" t="s">
        <v>232</v>
      </c>
      <c r="B124" s="1149"/>
      <c r="C124" s="1149"/>
      <c r="D124" s="523" t="s">
        <v>141</v>
      </c>
      <c r="E124" s="1064">
        <f>'6'!F124</f>
        <v>73583</v>
      </c>
      <c r="F124" s="485">
        <v>73583</v>
      </c>
      <c r="G124" s="473">
        <f t="shared" si="14"/>
        <v>0</v>
      </c>
      <c r="H124" s="460">
        <f>G124+'6'!H124</f>
        <v>-0.39999999999417923</v>
      </c>
      <c r="I124" s="526"/>
      <c r="J124" s="553">
        <f>H124/DAY(B2)</f>
        <v>-5.7142857142025605E-2</v>
      </c>
      <c r="K124" s="380"/>
      <c r="L124" s="377"/>
      <c r="N124" s="382"/>
    </row>
    <row r="125" spans="1:14" ht="27.75">
      <c r="A125" s="1408" t="s">
        <v>233</v>
      </c>
      <c r="B125" s="1409"/>
      <c r="C125" s="1410"/>
      <c r="D125" s="523" t="s">
        <v>141</v>
      </c>
      <c r="E125" s="1064">
        <f>'6'!F125</f>
        <v>140392</v>
      </c>
      <c r="F125" s="1070">
        <v>140464</v>
      </c>
      <c r="G125" s="1066">
        <f t="shared" si="14"/>
        <v>72</v>
      </c>
      <c r="H125" s="460">
        <f>G125+'6'!H125</f>
        <v>484.66000000000349</v>
      </c>
      <c r="I125" s="526"/>
      <c r="J125" s="553">
        <f>H125/DAY(B2)</f>
        <v>69.237142857143354</v>
      </c>
      <c r="K125" s="380"/>
      <c r="L125" s="377"/>
      <c r="N125" s="382"/>
    </row>
    <row r="126" spans="1:14" ht="27.75">
      <c r="A126" s="610" t="s">
        <v>234</v>
      </c>
      <c r="B126" s="1149"/>
      <c r="C126" s="1149"/>
      <c r="D126" s="523" t="s">
        <v>141</v>
      </c>
      <c r="E126" s="1064">
        <f>'6'!F126</f>
        <v>59460</v>
      </c>
      <c r="F126" s="485">
        <v>59498</v>
      </c>
      <c r="G126" s="473">
        <f t="shared" si="14"/>
        <v>38</v>
      </c>
      <c r="H126" s="460">
        <f>G126+'6'!H126</f>
        <v>191.09999999999854</v>
      </c>
      <c r="I126" s="526"/>
      <c r="J126" s="553">
        <f>H126/DAY(B2)</f>
        <v>27.299999999999791</v>
      </c>
      <c r="K126" s="380"/>
      <c r="L126" s="377"/>
      <c r="N126" s="382"/>
    </row>
    <row r="127" spans="1:14" ht="27.75">
      <c r="A127" s="610" t="s">
        <v>235</v>
      </c>
      <c r="B127" s="1149"/>
      <c r="C127" s="1149"/>
      <c r="D127" s="523" t="s">
        <v>141</v>
      </c>
      <c r="E127" s="1064">
        <f>'6'!F127</f>
        <v>8901</v>
      </c>
      <c r="F127" s="485">
        <v>8905</v>
      </c>
      <c r="G127" s="473">
        <f t="shared" si="14"/>
        <v>4</v>
      </c>
      <c r="H127" s="460">
        <f>G127+'6'!H127</f>
        <v>17.200000000000728</v>
      </c>
      <c r="I127" s="480"/>
      <c r="J127" s="553">
        <f>H127/DAY(B2)</f>
        <v>2.4571428571429612</v>
      </c>
      <c r="K127" s="380"/>
      <c r="L127" s="377"/>
      <c r="N127" s="382"/>
    </row>
    <row r="128" spans="1:14" s="281" customFormat="1" ht="27.75">
      <c r="A128" s="610" t="s">
        <v>236</v>
      </c>
      <c r="B128" s="1149"/>
      <c r="C128" s="1149"/>
      <c r="D128" s="523"/>
      <c r="E128" s="478"/>
      <c r="F128" s="478"/>
      <c r="G128" s="1062">
        <f>G15-SUM(G123:G127)</f>
        <v>542</v>
      </c>
      <c r="H128" s="460">
        <f>G128+'6'!H128</f>
        <v>3845.6699999998564</v>
      </c>
      <c r="I128" s="480"/>
      <c r="J128" s="553">
        <f>H128/DAY(B2)</f>
        <v>549.38142857140804</v>
      </c>
      <c r="K128" s="364"/>
      <c r="L128" s="292"/>
      <c r="N128" s="382"/>
    </row>
    <row r="129" spans="1:1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>
      <c r="A130" s="1148" t="s">
        <v>238</v>
      </c>
      <c r="B130" s="1149"/>
      <c r="C130" s="1149"/>
      <c r="D130" s="523" t="s">
        <v>239</v>
      </c>
      <c r="E130" s="484">
        <f>'6'!F130</f>
        <v>0</v>
      </c>
      <c r="F130" s="478">
        <v>0</v>
      </c>
      <c r="G130" s="473">
        <f t="shared" ref="G130:G140" si="15">F130-E130</f>
        <v>0</v>
      </c>
      <c r="H130" s="460">
        <f>G130+'6'!H130</f>
        <v>0</v>
      </c>
      <c r="I130" s="480"/>
      <c r="J130" s="553">
        <f>H130/DAY(B2)</f>
        <v>0</v>
      </c>
      <c r="N130" s="382"/>
    </row>
    <row r="131" spans="1:14" ht="27.75">
      <c r="A131" s="1148" t="s">
        <v>240</v>
      </c>
      <c r="B131" s="1149"/>
      <c r="C131" s="1149"/>
      <c r="D131" s="523" t="s">
        <v>239</v>
      </c>
      <c r="E131" s="484">
        <f>'6'!F131</f>
        <v>0</v>
      </c>
      <c r="F131" s="478">
        <v>0</v>
      </c>
      <c r="G131" s="473">
        <f t="shared" si="15"/>
        <v>0</v>
      </c>
      <c r="H131" s="460">
        <f>G131+'6'!H131</f>
        <v>0</v>
      </c>
      <c r="I131" s="480"/>
      <c r="J131" s="553">
        <f>H131/DAY(B2)</f>
        <v>0</v>
      </c>
      <c r="N131" s="382"/>
    </row>
    <row r="132" spans="1:14" ht="27.75">
      <c r="A132" s="1148" t="s">
        <v>241</v>
      </c>
      <c r="B132" s="1149"/>
      <c r="C132" s="1149"/>
      <c r="D132" s="523" t="s">
        <v>239</v>
      </c>
      <c r="E132" s="522">
        <f>'6'!F132</f>
        <v>39215</v>
      </c>
      <c r="F132" s="485">
        <v>39215</v>
      </c>
      <c r="G132" s="473">
        <f t="shared" si="15"/>
        <v>0</v>
      </c>
      <c r="H132" s="460">
        <f>G132+'6'!H132</f>
        <v>386</v>
      </c>
      <c r="I132" s="480"/>
      <c r="J132" s="553">
        <f>H132/DAY(B2)</f>
        <v>55.142857142857146</v>
      </c>
      <c r="N132" s="382"/>
    </row>
    <row r="133" spans="1:14" ht="27.75">
      <c r="A133" s="1148" t="s">
        <v>242</v>
      </c>
      <c r="B133" s="1149"/>
      <c r="C133" s="1149"/>
      <c r="D133" s="523" t="s">
        <v>239</v>
      </c>
      <c r="E133" s="706">
        <f>'6'!F133</f>
        <v>299</v>
      </c>
      <c r="F133" s="627">
        <v>299</v>
      </c>
      <c r="G133" s="779">
        <f t="shared" si="15"/>
        <v>0</v>
      </c>
      <c r="H133" s="460">
        <f>G133+'6'!H133</f>
        <v>-1</v>
      </c>
      <c r="I133" s="480">
        <f>G132+G133+G134+G135</f>
        <v>24</v>
      </c>
      <c r="J133" s="553">
        <f>H133/DAY(B2)</f>
        <v>-0.14285714285714285</v>
      </c>
      <c r="N133" s="382"/>
    </row>
    <row r="134" spans="1:14" ht="27.75">
      <c r="A134" s="1148" t="s">
        <v>243</v>
      </c>
      <c r="B134" s="1149"/>
      <c r="C134" s="1149"/>
      <c r="D134" s="523" t="s">
        <v>239</v>
      </c>
      <c r="E134" s="522">
        <f>'6'!F134</f>
        <v>40506</v>
      </c>
      <c r="F134" s="485">
        <v>40530</v>
      </c>
      <c r="G134" s="473">
        <f t="shared" si="15"/>
        <v>24</v>
      </c>
      <c r="H134" s="460">
        <f>G134+'6'!H134</f>
        <v>162.86000000000058</v>
      </c>
      <c r="I134" s="480"/>
      <c r="J134" s="553">
        <f>H134/DAY(B2)</f>
        <v>23.26571428571437</v>
      </c>
      <c r="N134" s="382"/>
    </row>
    <row r="135" spans="1:14" ht="27.75">
      <c r="A135" s="1148" t="s">
        <v>244</v>
      </c>
      <c r="B135" s="1149"/>
      <c r="C135" s="1149"/>
      <c r="D135" s="523" t="s">
        <v>239</v>
      </c>
      <c r="E135" s="706">
        <f>'6'!F135</f>
        <v>32582.560000000001</v>
      </c>
      <c r="F135" s="627">
        <v>32582.560000000001</v>
      </c>
      <c r="G135" s="779">
        <f t="shared" si="15"/>
        <v>0</v>
      </c>
      <c r="H135" s="460">
        <f>G135+'6'!H135</f>
        <v>11.56000000000131</v>
      </c>
      <c r="I135" s="480"/>
      <c r="J135" s="553">
        <f>H135/DAY(B2)</f>
        <v>1.6514285714287584</v>
      </c>
      <c r="N135" s="382"/>
    </row>
    <row r="136" spans="1:14" ht="27.75">
      <c r="A136" s="1148" t="s">
        <v>245</v>
      </c>
      <c r="B136" s="1149"/>
      <c r="C136" s="1149"/>
      <c r="D136" s="523" t="s">
        <v>239</v>
      </c>
      <c r="E136" s="542">
        <f>'6'!F136</f>
        <v>22274</v>
      </c>
      <c r="F136" s="656">
        <v>22283.919999999998</v>
      </c>
      <c r="G136" s="473">
        <f t="shared" si="15"/>
        <v>9.9199999999982538</v>
      </c>
      <c r="H136" s="460">
        <f>G136+'6'!H136</f>
        <v>61.709999999999127</v>
      </c>
      <c r="I136" s="480">
        <f>G136+G137+G138</f>
        <v>12.919999999998254</v>
      </c>
      <c r="J136" s="553">
        <f>H136/DAY(B2)</f>
        <v>8.8157142857141615</v>
      </c>
      <c r="N136" s="382"/>
    </row>
    <row r="137" spans="1:14" ht="27.75">
      <c r="A137" s="1148" t="s">
        <v>246</v>
      </c>
      <c r="B137" s="1149"/>
      <c r="C137" s="1149"/>
      <c r="D137" s="523" t="s">
        <v>239</v>
      </c>
      <c r="E137" s="542">
        <f>'6'!F137</f>
        <v>25044</v>
      </c>
      <c r="F137" s="656">
        <v>25044</v>
      </c>
      <c r="G137" s="473">
        <f t="shared" si="15"/>
        <v>0</v>
      </c>
      <c r="H137" s="460">
        <f>G137+'6'!H137</f>
        <v>-0.31000000000130967</v>
      </c>
      <c r="I137" s="480"/>
      <c r="J137" s="553">
        <f>H137/DAY(B2)</f>
        <v>-4.4285714285901383E-2</v>
      </c>
      <c r="N137" s="382"/>
    </row>
    <row r="138" spans="1:14" ht="27.75">
      <c r="A138" s="1148" t="s">
        <v>247</v>
      </c>
      <c r="B138" s="1149"/>
      <c r="C138" s="1149"/>
      <c r="D138" s="523" t="s">
        <v>239</v>
      </c>
      <c r="E138" s="1068">
        <f>'6'!F138</f>
        <v>70179</v>
      </c>
      <c r="F138" s="1069">
        <v>70182</v>
      </c>
      <c r="G138" s="1062">
        <f t="shared" si="15"/>
        <v>3</v>
      </c>
      <c r="H138" s="460">
        <f>G138+'6'!H138</f>
        <v>34.660000000003492</v>
      </c>
      <c r="I138" s="480"/>
      <c r="J138" s="553">
        <f>H138/DAY(B2)</f>
        <v>4.9514285714290702</v>
      </c>
      <c r="N138" s="382"/>
    </row>
    <row r="139" spans="1:14" ht="27.75">
      <c r="A139" s="1148" t="s">
        <v>248</v>
      </c>
      <c r="B139" s="1149"/>
      <c r="C139" s="1149"/>
      <c r="D139" s="523" t="s">
        <v>239</v>
      </c>
      <c r="E139" s="522">
        <f>'6'!F139</f>
        <v>1468</v>
      </c>
      <c r="F139" s="485">
        <v>1476</v>
      </c>
      <c r="G139" s="473">
        <f t="shared" si="15"/>
        <v>8</v>
      </c>
      <c r="H139" s="460">
        <f>G139+'6'!H139</f>
        <v>52.8599999999999</v>
      </c>
      <c r="I139" s="543">
        <f>G139+G140</f>
        <v>8</v>
      </c>
      <c r="J139" s="553">
        <f>H139/DAY(B2)</f>
        <v>7.5514285714285574</v>
      </c>
      <c r="N139" s="382"/>
    </row>
    <row r="140" spans="1:14" ht="27.75">
      <c r="A140" s="1148" t="s">
        <v>249</v>
      </c>
      <c r="B140" s="1149"/>
      <c r="C140" s="1149"/>
      <c r="D140" s="523" t="s">
        <v>239</v>
      </c>
      <c r="E140" s="1067">
        <f>'6'!F140</f>
        <v>4334</v>
      </c>
      <c r="F140" s="1064">
        <v>4334</v>
      </c>
      <c r="G140" s="1065">
        <f t="shared" si="15"/>
        <v>0</v>
      </c>
      <c r="H140" s="460">
        <f>G140+'6'!H140</f>
        <v>0</v>
      </c>
      <c r="I140" s="543"/>
      <c r="J140" s="553">
        <f>H140/DAY(B2)</f>
        <v>0</v>
      </c>
      <c r="N140" s="382"/>
    </row>
    <row r="141" spans="1:14">
      <c r="A141" s="1446" t="s">
        <v>250</v>
      </c>
      <c r="B141" s="1447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382"/>
    </row>
    <row r="142" spans="1:14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5736</v>
      </c>
      <c r="H142" s="460">
        <f>G142+'6'!H142</f>
        <v>40662.120000000068</v>
      </c>
      <c r="I142" s="480"/>
      <c r="J142" s="553">
        <f>H142/DAY(B2)</f>
        <v>5808.8742857142952</v>
      </c>
      <c r="K142" s="380"/>
      <c r="L142" s="377"/>
      <c r="N142" s="382"/>
    </row>
    <row r="143" spans="1:14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0.26542038776548982</v>
      </c>
      <c r="H143" s="460">
        <f>G143+'6'!H143</f>
        <v>1.7189175093347524</v>
      </c>
      <c r="I143" s="545"/>
      <c r="J143" s="553">
        <f>H143/DAY(B2)</f>
        <v>0.24555964419067891</v>
      </c>
      <c r="K143" s="380"/>
      <c r="L143" s="377"/>
      <c r="N143" s="382"/>
    </row>
    <row r="144" spans="1:14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5494</v>
      </c>
      <c r="H144" s="460">
        <f>G144+'6'!H144</f>
        <v>36832.799999999967</v>
      </c>
      <c r="I144" s="480"/>
      <c r="J144" s="553">
        <f>H144/DAY(B2)</f>
        <v>5261.8285714285666</v>
      </c>
      <c r="K144" s="380"/>
      <c r="L144" s="377"/>
      <c r="N144" s="382"/>
    </row>
    <row r="145" spans="1:14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0.2542223867474897</v>
      </c>
      <c r="H145" s="460">
        <f>G145+'6'!H145</f>
        <v>1.719789252088842</v>
      </c>
      <c r="I145" s="545"/>
      <c r="J145" s="553">
        <f>H145/DAY(B2)</f>
        <v>0.24568417886983457</v>
      </c>
      <c r="K145" s="380"/>
      <c r="L145" s="377"/>
      <c r="N145" s="382"/>
    </row>
    <row r="146" spans="1:14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4230</v>
      </c>
      <c r="H146" s="460">
        <f>G146+'6'!H146</f>
        <v>130015.37999999999</v>
      </c>
      <c r="I146" s="546"/>
      <c r="J146" s="553">
        <f>H146/DAY(B2)</f>
        <v>18573.625714285714</v>
      </c>
      <c r="K146" s="380"/>
      <c r="L146" s="377"/>
      <c r="N146" s="382"/>
    </row>
    <row r="147" spans="1:14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0.19573365415760494</v>
      </c>
      <c r="H147" s="460">
        <f>G147+'6'!H147</f>
        <v>6.3112094336346063</v>
      </c>
      <c r="I147" s="546"/>
      <c r="J147" s="553">
        <f>H147/DAY(B2)</f>
        <v>0.90160134766208666</v>
      </c>
      <c r="N147" s="382"/>
    </row>
    <row r="148" spans="1:14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2331</v>
      </c>
      <c r="H148" s="460">
        <f>G148+'6'!H148</f>
        <v>14688.799999999981</v>
      </c>
      <c r="I148" s="480"/>
      <c r="J148" s="553">
        <f>H148/DAY(B2)</f>
        <v>2098.3999999999974</v>
      </c>
      <c r="K148" s="381"/>
      <c r="N148" s="382"/>
    </row>
    <row r="149" spans="1:14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0.10786173707833974</v>
      </c>
      <c r="H149" s="460">
        <f>G149+'6'!H149</f>
        <v>0.68771503882501639</v>
      </c>
      <c r="I149" s="546"/>
      <c r="J149" s="553">
        <f>H149/DAY(B2)</f>
        <v>9.8245005546430911E-2</v>
      </c>
      <c r="N149" s="382"/>
    </row>
    <row r="150" spans="1:14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1841</v>
      </c>
      <c r="H150" s="460">
        <f>G150+'6'!H150</f>
        <v>13104.399999999965</v>
      </c>
      <c r="I150" s="546"/>
      <c r="J150" s="553">
        <f>H150/DAY(B2)</f>
        <v>1872.0571428571379</v>
      </c>
      <c r="N150" s="382"/>
    </row>
    <row r="151" spans="1:14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8.5188098653463509E-2</v>
      </c>
      <c r="H151" s="460">
        <f>G151+'6'!H151</f>
        <v>0.61124858252774206</v>
      </c>
      <c r="I151" s="480"/>
      <c r="J151" s="553">
        <f>H151/DAY(B2)</f>
        <v>8.7321226075391722E-2</v>
      </c>
      <c r="N151" s="382"/>
    </row>
    <row r="152" spans="1:14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1500</v>
      </c>
      <c r="H152" s="460">
        <f>G152+'6'!H152</f>
        <v>45542.16</v>
      </c>
      <c r="I152" s="480"/>
      <c r="J152" s="553">
        <f>H152/DAY(B2)</f>
        <v>6506.0228571428579</v>
      </c>
      <c r="N152" s="382"/>
    </row>
    <row r="153" spans="1:14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6.9409097219008842E-2</v>
      </c>
      <c r="H153" s="460">
        <f>G153+'6'!H153</f>
        <v>2.2112939359688113</v>
      </c>
      <c r="I153" s="569"/>
      <c r="J153" s="570">
        <f>H153/DAY(B2)</f>
        <v>0.31589913370983019</v>
      </c>
      <c r="N153" s="382"/>
    </row>
    <row r="154" spans="1:14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57" spans="1:14" ht="27.7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1067">
        <f>'6'!F160</f>
        <v>31306</v>
      </c>
      <c r="F160" s="663">
        <v>31391</v>
      </c>
      <c r="G160" s="473">
        <f t="shared" ref="G160:G171" si="16">F160-E160</f>
        <v>85</v>
      </c>
    </row>
    <row r="161" spans="1:7">
      <c r="A161" s="790" t="s">
        <v>264</v>
      </c>
      <c r="B161" s="791"/>
      <c r="C161" s="791"/>
      <c r="D161" s="511" t="s">
        <v>187</v>
      </c>
      <c r="E161" s="1067">
        <f>'6'!F161</f>
        <v>57798</v>
      </c>
      <c r="F161" s="663">
        <v>58261</v>
      </c>
      <c r="G161" s="473">
        <f t="shared" si="16"/>
        <v>463</v>
      </c>
    </row>
    <row r="162" spans="1:7">
      <c r="A162" s="790" t="s">
        <v>265</v>
      </c>
      <c r="B162" s="791"/>
      <c r="C162" s="791"/>
      <c r="D162" s="511" t="s">
        <v>187</v>
      </c>
      <c r="E162" s="1067">
        <f>'6'!F162</f>
        <v>22255</v>
      </c>
      <c r="F162" s="663">
        <v>22538</v>
      </c>
      <c r="G162" s="473">
        <f t="shared" si="16"/>
        <v>283</v>
      </c>
    </row>
    <row r="163" spans="1:7">
      <c r="A163" s="790" t="s">
        <v>266</v>
      </c>
      <c r="B163" s="791"/>
      <c r="C163" s="791"/>
      <c r="D163" s="511" t="s">
        <v>187</v>
      </c>
      <c r="E163" s="1067">
        <f>'6'!F163</f>
        <v>5506</v>
      </c>
      <c r="F163" s="663">
        <v>5515</v>
      </c>
      <c r="G163" s="473">
        <f t="shared" si="16"/>
        <v>9</v>
      </c>
    </row>
    <row r="164" spans="1:7">
      <c r="A164" s="792" t="s">
        <v>98</v>
      </c>
      <c r="B164" s="605"/>
      <c r="C164" s="605"/>
      <c r="D164" s="511" t="s">
        <v>187</v>
      </c>
      <c r="E164" s="1067">
        <f>'6'!F164</f>
        <v>20419</v>
      </c>
      <c r="F164" s="514">
        <f>F62</f>
        <v>20419</v>
      </c>
      <c r="G164" s="473">
        <f t="shared" si="16"/>
        <v>0</v>
      </c>
    </row>
    <row r="165" spans="1:7">
      <c r="A165" s="792" t="s">
        <v>188</v>
      </c>
      <c r="B165" s="605"/>
      <c r="C165" s="605"/>
      <c r="D165" s="511" t="s">
        <v>187</v>
      </c>
      <c r="E165" s="1067">
        <f>'6'!F165</f>
        <v>1785</v>
      </c>
      <c r="F165" s="514">
        <f t="shared" ref="F165:F171" si="17">F63</f>
        <v>1797</v>
      </c>
      <c r="G165" s="473">
        <f t="shared" si="16"/>
        <v>12</v>
      </c>
    </row>
    <row r="166" spans="1:7" ht="27.75">
      <c r="A166" s="1460" t="s">
        <v>99</v>
      </c>
      <c r="B166" s="1460"/>
      <c r="C166" s="1460"/>
      <c r="D166" s="523" t="s">
        <v>187</v>
      </c>
      <c r="E166" s="1067">
        <f>'6'!F166</f>
        <v>126712</v>
      </c>
      <c r="F166" s="514">
        <f t="shared" si="17"/>
        <v>127265</v>
      </c>
      <c r="G166" s="473">
        <f t="shared" si="16"/>
        <v>553</v>
      </c>
    </row>
    <row r="167" spans="1:7" ht="27.75">
      <c r="A167" s="1460" t="s">
        <v>100</v>
      </c>
      <c r="B167" s="1460"/>
      <c r="C167" s="1460"/>
      <c r="D167" s="523" t="s">
        <v>187</v>
      </c>
      <c r="E167" s="1067">
        <f>'6'!F167</f>
        <v>134863</v>
      </c>
      <c r="F167" s="514">
        <f t="shared" si="17"/>
        <v>135234</v>
      </c>
      <c r="G167" s="473">
        <f t="shared" si="16"/>
        <v>371</v>
      </c>
    </row>
    <row r="168" spans="1:7" ht="27.75">
      <c r="A168" s="1460" t="s">
        <v>101</v>
      </c>
      <c r="B168" s="1460"/>
      <c r="C168" s="1460"/>
      <c r="D168" s="523" t="s">
        <v>187</v>
      </c>
      <c r="E168" s="1067">
        <f>'6'!F168</f>
        <v>27597</v>
      </c>
      <c r="F168" s="514">
        <f t="shared" si="17"/>
        <v>27966</v>
      </c>
      <c r="G168" s="473">
        <f t="shared" si="16"/>
        <v>369</v>
      </c>
    </row>
    <row r="169" spans="1:7" ht="27.75">
      <c r="A169" s="1460" t="s">
        <v>102</v>
      </c>
      <c r="B169" s="1460"/>
      <c r="C169" s="1460"/>
      <c r="D169" s="523" t="s">
        <v>187</v>
      </c>
      <c r="E169" s="1067">
        <f>'6'!F169</f>
        <v>211959</v>
      </c>
      <c r="F169" s="514">
        <f t="shared" si="17"/>
        <v>212624</v>
      </c>
      <c r="G169" s="473">
        <f t="shared" si="16"/>
        <v>665</v>
      </c>
    </row>
    <row r="170" spans="1:7" ht="27.75">
      <c r="A170" s="1460" t="s">
        <v>103</v>
      </c>
      <c r="B170" s="1460"/>
      <c r="C170" s="1460"/>
      <c r="D170" s="523" t="s">
        <v>187</v>
      </c>
      <c r="E170" s="1067">
        <f>'6'!F170</f>
        <v>74747</v>
      </c>
      <c r="F170" s="514">
        <f t="shared" si="17"/>
        <v>75071</v>
      </c>
      <c r="G170" s="473">
        <f t="shared" si="16"/>
        <v>324</v>
      </c>
    </row>
    <row r="171" spans="1:7" ht="27.75">
      <c r="A171" s="1460" t="s">
        <v>104</v>
      </c>
      <c r="B171" s="1460"/>
      <c r="C171" s="1460"/>
      <c r="D171" s="523" t="s">
        <v>187</v>
      </c>
      <c r="E171" s="1067">
        <f>'6'!F171</f>
        <v>66393</v>
      </c>
      <c r="F171" s="514">
        <f t="shared" si="17"/>
        <v>66722</v>
      </c>
      <c r="G171" s="473">
        <f t="shared" si="16"/>
        <v>329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5" s="281" customFormat="1" ht="27">
      <c r="A2" s="576" t="s">
        <v>319</v>
      </c>
      <c r="B2" s="1038">
        <v>44263</v>
      </c>
      <c r="C2" s="1150" t="s">
        <v>69</v>
      </c>
      <c r="D2" s="612">
        <v>0.41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150" t="s">
        <v>120</v>
      </c>
      <c r="D3" s="613">
        <v>27</v>
      </c>
      <c r="E3" s="1432" t="s">
        <v>121</v>
      </c>
      <c r="F3" s="1433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150" t="s">
        <v>122</v>
      </c>
      <c r="D4" s="612">
        <v>0.78</v>
      </c>
      <c r="E4" s="464"/>
      <c r="F4" s="464"/>
      <c r="G4" s="464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30" thickBot="1">
      <c r="A7" s="681" t="s">
        <v>131</v>
      </c>
      <c r="B7" s="682"/>
      <c r="C7" s="682"/>
      <c r="D7" s="639" t="s">
        <v>132</v>
      </c>
      <c r="E7" s="634">
        <f>'7'!F7</f>
        <v>4594627</v>
      </c>
      <c r="F7" s="455">
        <v>4617148</v>
      </c>
      <c r="G7" s="683">
        <f>F7-E7</f>
        <v>22521</v>
      </c>
      <c r="H7" s="684">
        <f>G7+'7'!H7</f>
        <v>172071</v>
      </c>
      <c r="I7" s="685">
        <f>'1'!I7</f>
        <v>12000</v>
      </c>
      <c r="J7" s="686">
        <f>H7/DAY(B2)</f>
        <v>21508.875</v>
      </c>
      <c r="K7" s="550"/>
      <c r="L7" s="377"/>
      <c r="N7" s="713">
        <v>11335</v>
      </c>
      <c r="O7" s="382">
        <f>G7-N7</f>
        <v>11186</v>
      </c>
    </row>
    <row r="8" spans="1:15" ht="27.75" thickBot="1">
      <c r="A8" s="687" t="s">
        <v>133</v>
      </c>
      <c r="B8" s="688"/>
      <c r="C8" s="689"/>
      <c r="D8" s="690" t="s">
        <v>25</v>
      </c>
      <c r="E8" s="634">
        <f>'7'!F8</f>
        <v>4623614</v>
      </c>
      <c r="F8" s="475">
        <v>4646286</v>
      </c>
      <c r="G8" s="694">
        <f>F8-E8</f>
        <v>22672</v>
      </c>
      <c r="H8" s="684">
        <f>G8+'7'!H8</f>
        <v>173130</v>
      </c>
      <c r="I8" s="691">
        <v>12000</v>
      </c>
      <c r="J8" s="686">
        <f>H8/DAY(B2)</f>
        <v>21641.25</v>
      </c>
      <c r="K8" s="550"/>
      <c r="L8" s="425"/>
      <c r="M8" s="440"/>
      <c r="N8" s="708"/>
    </row>
    <row r="9" spans="1:15">
      <c r="A9" s="692" t="s">
        <v>134</v>
      </c>
      <c r="B9" s="693"/>
      <c r="C9" s="693"/>
      <c r="D9" s="639" t="s">
        <v>132</v>
      </c>
      <c r="E9" s="634">
        <f>'7'!F9</f>
        <v>124354</v>
      </c>
      <c r="F9" s="478">
        <v>124354</v>
      </c>
      <c r="G9" s="707">
        <f t="shared" ref="G9:G12" si="0">F9-E9</f>
        <v>0</v>
      </c>
      <c r="H9" s="684">
        <f>G9+'7'!H9</f>
        <v>37444.990000000005</v>
      </c>
      <c r="I9" s="695">
        <f>I7-J7</f>
        <v>-9508.875</v>
      </c>
      <c r="J9" s="686">
        <f>H9/DAY(B2)</f>
        <v>4680.6237500000007</v>
      </c>
      <c r="K9" s="428"/>
      <c r="L9" s="377"/>
      <c r="N9" s="382"/>
    </row>
    <row r="10" spans="1:15">
      <c r="A10" s="681" t="s">
        <v>135</v>
      </c>
      <c r="B10" s="682"/>
      <c r="C10" s="682"/>
      <c r="D10" s="639" t="s">
        <v>132</v>
      </c>
      <c r="E10" s="634">
        <f>'7'!F10</f>
        <v>132785</v>
      </c>
      <c r="F10" s="478">
        <v>154479</v>
      </c>
      <c r="G10" s="694">
        <f t="shared" si="0"/>
        <v>21694</v>
      </c>
      <c r="H10" s="684">
        <f>G10+'7'!H10</f>
        <v>128783.44</v>
      </c>
      <c r="I10" s="696"/>
      <c r="J10" s="686">
        <f>H10/DAY(B2)</f>
        <v>16097.93</v>
      </c>
      <c r="K10" s="428"/>
      <c r="L10" s="377"/>
      <c r="N10" s="382"/>
    </row>
    <row r="11" spans="1:15">
      <c r="A11" s="681" t="s">
        <v>136</v>
      </c>
      <c r="B11" s="682"/>
      <c r="C11" s="682"/>
      <c r="D11" s="639" t="s">
        <v>132</v>
      </c>
      <c r="E11" s="634">
        <f>'7'!F11</f>
        <v>37000</v>
      </c>
      <c r="F11" s="455">
        <v>37000</v>
      </c>
      <c r="G11" s="694">
        <f t="shared" si="0"/>
        <v>0</v>
      </c>
      <c r="H11" s="684">
        <f>G11+'7'!H11</f>
        <v>0</v>
      </c>
      <c r="I11" s="696"/>
      <c r="J11" s="686">
        <f>H11/DAY(B2)</f>
        <v>0</v>
      </c>
      <c r="K11" s="428"/>
      <c r="L11" s="377"/>
      <c r="N11" s="382"/>
    </row>
    <row r="12" spans="1:15">
      <c r="A12" s="681" t="s">
        <v>137</v>
      </c>
      <c r="B12" s="682"/>
      <c r="C12" s="682"/>
      <c r="D12" s="639" t="s">
        <v>132</v>
      </c>
      <c r="E12" s="634">
        <f>'7'!F12</f>
        <v>40010</v>
      </c>
      <c r="F12" s="478">
        <v>40010</v>
      </c>
      <c r="G12" s="694">
        <f t="shared" si="0"/>
        <v>0</v>
      </c>
      <c r="H12" s="684">
        <f>G12+'7'!H12</f>
        <v>0</v>
      </c>
      <c r="I12" s="696"/>
      <c r="J12" s="686">
        <f>H12/DAY(B2)</f>
        <v>0</v>
      </c>
      <c r="K12" s="428"/>
      <c r="L12" s="377"/>
      <c r="N12" s="382"/>
    </row>
    <row r="13" spans="1:15">
      <c r="A13" s="697" t="s">
        <v>138</v>
      </c>
      <c r="B13" s="698"/>
      <c r="C13" s="698"/>
      <c r="D13" s="639"/>
      <c r="E13" s="634"/>
      <c r="F13" s="455">
        <v>0</v>
      </c>
      <c r="G13" s="699">
        <f>G9+G10+G11+G12</f>
        <v>21694</v>
      </c>
      <c r="H13" s="684">
        <f>G13+'7'!H13</f>
        <v>166228.43</v>
      </c>
      <c r="I13" s="700">
        <f>G7-G13</f>
        <v>827</v>
      </c>
      <c r="J13" s="686">
        <f>H13/DAY(B2)</f>
        <v>20778.553749999999</v>
      </c>
      <c r="K13" s="428"/>
      <c r="L13" s="377"/>
      <c r="N13" s="382"/>
    </row>
    <row r="14" spans="1:15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N14" s="382"/>
      <c r="O14" s="376" t="s">
        <v>215</v>
      </c>
    </row>
    <row r="15" spans="1:15">
      <c r="A15" s="670" t="s">
        <v>140</v>
      </c>
      <c r="B15" s="671"/>
      <c r="C15" s="671"/>
      <c r="D15" s="672" t="s">
        <v>141</v>
      </c>
      <c r="E15" s="673">
        <f>'7'!F15</f>
        <v>1626236</v>
      </c>
      <c r="F15" s="485">
        <v>1627095.85</v>
      </c>
      <c r="G15" s="669">
        <f>(F15-E15)</f>
        <v>859.85000000009313</v>
      </c>
      <c r="H15" s="675">
        <f>G15+'7'!H15</f>
        <v>7217.2399999999907</v>
      </c>
      <c r="I15" s="676">
        <v>800</v>
      </c>
      <c r="J15" s="677">
        <f>H15/DAY(B2)</f>
        <v>902.15499999999884</v>
      </c>
      <c r="K15" s="428"/>
      <c r="L15" s="377"/>
      <c r="N15" s="382"/>
    </row>
    <row r="16" spans="1:15">
      <c r="A16" s="678"/>
      <c r="B16" s="679"/>
      <c r="C16" s="679"/>
      <c r="D16" s="672"/>
      <c r="E16" s="673"/>
      <c r="F16" s="705"/>
      <c r="G16" s="674"/>
      <c r="H16" s="675"/>
      <c r="I16" s="680">
        <f>I15-J15</f>
        <v>-102.15499999999884</v>
      </c>
      <c r="J16" s="677"/>
      <c r="K16" s="428"/>
      <c r="L16" s="377"/>
      <c r="N16" s="382"/>
    </row>
    <row r="17" spans="1:14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>
      <c r="A18" s="1464" t="s">
        <v>143</v>
      </c>
      <c r="B18" s="1465"/>
      <c r="C18" s="1466"/>
      <c r="D18" s="639" t="s">
        <v>144</v>
      </c>
      <c r="E18" s="636">
        <f>'7'!F18</f>
        <v>20</v>
      </c>
      <c r="F18" s="627">
        <v>14</v>
      </c>
      <c r="G18" s="699">
        <f>F18*10</f>
        <v>140</v>
      </c>
      <c r="H18" s="684">
        <f>G18+'7'!H18</f>
        <v>1220</v>
      </c>
      <c r="I18" s="685">
        <f>'1'!I18</f>
        <v>65</v>
      </c>
      <c r="J18" s="686">
        <f>H18/DAY(B2)</f>
        <v>152.5</v>
      </c>
      <c r="K18" s="428"/>
      <c r="L18" s="377"/>
      <c r="N18" s="382"/>
    </row>
    <row r="19" spans="1:14" ht="27.75">
      <c r="A19" s="1464" t="s">
        <v>71</v>
      </c>
      <c r="B19" s="1465"/>
      <c r="C19" s="1466"/>
      <c r="D19" s="639" t="s">
        <v>144</v>
      </c>
      <c r="E19" s="636">
        <f>'7'!F19</f>
        <v>134825</v>
      </c>
      <c r="F19" s="478">
        <v>134878</v>
      </c>
      <c r="G19" s="694">
        <f t="shared" ref="G19" si="1">F19-E19</f>
        <v>53</v>
      </c>
      <c r="H19" s="684">
        <f>G19+'7'!H19</f>
        <v>410</v>
      </c>
      <c r="I19" s="701"/>
      <c r="J19" s="686">
        <f>H19/DAY(B2)</f>
        <v>51.25</v>
      </c>
      <c r="K19" s="428"/>
      <c r="L19" s="377"/>
      <c r="N19" s="382"/>
    </row>
    <row r="20" spans="1:14">
      <c r="A20" s="697" t="s">
        <v>145</v>
      </c>
      <c r="B20" s="698"/>
      <c r="C20" s="698"/>
      <c r="D20" s="639"/>
      <c r="E20" s="639"/>
      <c r="F20" s="523"/>
      <c r="G20" s="702">
        <f>G18+G19</f>
        <v>193</v>
      </c>
      <c r="H20" s="684">
        <f>G20+'7'!H20</f>
        <v>1630</v>
      </c>
      <c r="I20" s="703">
        <f>I18-J20</f>
        <v>-138.75</v>
      </c>
      <c r="J20" s="686">
        <f>H20/DAY(B2)</f>
        <v>203.75</v>
      </c>
      <c r="K20" s="428"/>
      <c r="L20" s="377"/>
      <c r="N20" s="382"/>
    </row>
    <row r="21" spans="1:14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>
      <c r="A22" s="1148" t="s">
        <v>147</v>
      </c>
      <c r="B22" s="590"/>
      <c r="C22" s="590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3">
        <f>H22/DAY(B2)</f>
        <v>0</v>
      </c>
      <c r="K22" s="428"/>
      <c r="L22" s="377"/>
      <c r="N22" s="382"/>
    </row>
    <row r="23" spans="1:14">
      <c r="A23" s="1148" t="s">
        <v>149</v>
      </c>
      <c r="B23" s="590"/>
      <c r="C23" s="590"/>
      <c r="D23" s="523" t="s">
        <v>148</v>
      </c>
      <c r="E23" s="484">
        <f>'7'!F23</f>
        <v>2900</v>
      </c>
      <c r="F23" s="478">
        <v>2900</v>
      </c>
      <c r="G23" s="481">
        <f>(E23-F23)</f>
        <v>0</v>
      </c>
      <c r="H23" s="460">
        <f>G23+'7'!H23</f>
        <v>0</v>
      </c>
      <c r="I23" s="480"/>
      <c r="J23" s="553">
        <f>H23/DAY(B2)</f>
        <v>0</v>
      </c>
      <c r="K23" s="428"/>
      <c r="L23" s="377"/>
      <c r="N23" s="382"/>
    </row>
    <row r="24" spans="1:14">
      <c r="A24" s="591" t="s">
        <v>150</v>
      </c>
      <c r="B24" s="592"/>
      <c r="C24" s="592"/>
      <c r="D24" s="511" t="s">
        <v>148</v>
      </c>
      <c r="E24" s="493">
        <f>'7'!F24</f>
        <v>4250</v>
      </c>
      <c r="F24" s="493">
        <v>4250</v>
      </c>
      <c r="G24" s="493">
        <f>(G22+G23)</f>
        <v>0</v>
      </c>
      <c r="H24" s="460">
        <f>G24+'7'!H24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22672</v>
      </c>
      <c r="F27" s="501">
        <v>9</v>
      </c>
      <c r="G27" s="502">
        <f>E27*F27</f>
        <v>204048</v>
      </c>
      <c r="H27" s="460">
        <f>G27+'7'!H27</f>
        <v>1558170</v>
      </c>
      <c r="I27" s="503"/>
      <c r="J27" s="553">
        <f>H27/DAY(B2)</f>
        <v>194771.25</v>
      </c>
      <c r="K27" s="373"/>
      <c r="L27" s="443"/>
      <c r="N27" s="382"/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859.85000000009313</v>
      </c>
      <c r="F28" s="501">
        <v>48.88</v>
      </c>
      <c r="G28" s="502">
        <f t="shared" ref="G28:G31" si="2">E28*F28</f>
        <v>42029.468000004556</v>
      </c>
      <c r="H28" s="460">
        <f>G28+'7'!H28</f>
        <v>352778.69119999954</v>
      </c>
      <c r="I28" s="505"/>
      <c r="J28" s="553">
        <f>H28/DAY(B2)</f>
        <v>44097.336399999942</v>
      </c>
      <c r="K28" s="373"/>
      <c r="L28" s="443"/>
      <c r="N28" s="382"/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 t="shared" si="2"/>
        <v>0</v>
      </c>
      <c r="H29" s="460">
        <f>G29+'7'!H29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53</v>
      </c>
      <c r="F30" s="501">
        <v>134</v>
      </c>
      <c r="G30" s="502">
        <f t="shared" si="2"/>
        <v>7102</v>
      </c>
      <c r="H30" s="460">
        <f>G30+'7'!H30</f>
        <v>72628</v>
      </c>
      <c r="I30" s="505"/>
      <c r="J30" s="553">
        <f>H30/DAY(B2)</f>
        <v>9078.5</v>
      </c>
      <c r="K30" s="373"/>
      <c r="L30" s="443"/>
      <c r="N30" s="382"/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140</v>
      </c>
      <c r="F31" s="501">
        <v>80</v>
      </c>
      <c r="G31" s="502">
        <f t="shared" si="2"/>
        <v>11200</v>
      </c>
      <c r="H31" s="460">
        <f>G31+'7'!H31</f>
        <v>87040</v>
      </c>
      <c r="I31" s="505"/>
      <c r="J31" s="553">
        <f>H31/DAY(B2)</f>
        <v>10880</v>
      </c>
      <c r="K31" s="373"/>
      <c r="L31" s="443"/>
      <c r="N31" s="382"/>
    </row>
    <row r="32" spans="1:14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264379.46800000453</v>
      </c>
      <c r="H32" s="460">
        <f>G32+'7'!H32</f>
        <v>2070616.6911999995</v>
      </c>
      <c r="I32" s="509"/>
      <c r="J32" s="553">
        <f>H32/DAY(B2)</f>
        <v>258827.08639999994</v>
      </c>
      <c r="K32" s="373"/>
      <c r="L32" s="443"/>
      <c r="N32" s="382"/>
    </row>
    <row r="33" spans="1:14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382"/>
    </row>
    <row r="34" spans="1:14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>
      <c r="A35" s="579" t="s">
        <v>164</v>
      </c>
      <c r="B35" s="580"/>
      <c r="C35" s="580"/>
      <c r="D35" s="523" t="s">
        <v>132</v>
      </c>
      <c r="E35" s="510">
        <f>'7'!F35</f>
        <v>716643</v>
      </c>
      <c r="F35" s="510">
        <v>720037</v>
      </c>
      <c r="G35" s="473">
        <f t="shared" ref="G35:G46" si="3">F35-E35</f>
        <v>3394</v>
      </c>
      <c r="H35" s="460">
        <f>G35+'7'!H35</f>
        <v>26949.410000000033</v>
      </c>
      <c r="I35" s="455"/>
      <c r="J35" s="553">
        <f>H35/DAY(B2)</f>
        <v>3368.6762500000041</v>
      </c>
      <c r="K35" s="428"/>
      <c r="L35" s="377"/>
      <c r="N35" s="382"/>
    </row>
    <row r="36" spans="1:14">
      <c r="A36" s="579" t="s">
        <v>165</v>
      </c>
      <c r="B36" s="580"/>
      <c r="C36" s="580"/>
      <c r="D36" s="523" t="s">
        <v>132</v>
      </c>
      <c r="E36" s="510">
        <f>'7'!F36</f>
        <v>300935</v>
      </c>
      <c r="F36" s="510">
        <v>301611</v>
      </c>
      <c r="G36" s="473">
        <f t="shared" si="3"/>
        <v>676</v>
      </c>
      <c r="H36" s="460">
        <f>G36+'7'!H36</f>
        <v>5165.429999999993</v>
      </c>
      <c r="I36" s="455"/>
      <c r="J36" s="553">
        <f>H36/DAY(B2)</f>
        <v>645.67874999999913</v>
      </c>
      <c r="K36" s="428"/>
      <c r="L36" s="377"/>
      <c r="N36" s="629"/>
    </row>
    <row r="37" spans="1:14">
      <c r="A37" s="579" t="s">
        <v>166</v>
      </c>
      <c r="B37" s="580"/>
      <c r="C37" s="580"/>
      <c r="D37" s="523" t="s">
        <v>132</v>
      </c>
      <c r="E37" s="510">
        <f>'7'!F37</f>
        <v>35167</v>
      </c>
      <c r="F37" s="510">
        <v>35167</v>
      </c>
      <c r="G37" s="473">
        <f t="shared" si="3"/>
        <v>0</v>
      </c>
      <c r="H37" s="460">
        <f>G37+'7'!H37</f>
        <v>38272.080000000002</v>
      </c>
      <c r="I37" s="455"/>
      <c r="J37" s="553">
        <f>H37/DAY(B2)</f>
        <v>4784.01</v>
      </c>
      <c r="K37" s="428"/>
      <c r="L37" s="377"/>
      <c r="N37" s="630"/>
    </row>
    <row r="38" spans="1:14">
      <c r="A38" s="579" t="s">
        <v>167</v>
      </c>
      <c r="B38" s="580"/>
      <c r="C38" s="580"/>
      <c r="D38" s="523" t="s">
        <v>132</v>
      </c>
      <c r="E38" s="469">
        <f>'7'!F38</f>
        <v>48333</v>
      </c>
      <c r="F38" s="469">
        <v>48333</v>
      </c>
      <c r="G38" s="473">
        <f t="shared" si="3"/>
        <v>0</v>
      </c>
      <c r="H38" s="460">
        <f>G38+'7'!H38</f>
        <v>4519.510000000002</v>
      </c>
      <c r="I38" s="455"/>
      <c r="J38" s="553">
        <f>H38/DAY(B2)</f>
        <v>564.93875000000025</v>
      </c>
      <c r="K38" s="428"/>
      <c r="L38" s="377"/>
      <c r="N38" s="382"/>
    </row>
    <row r="39" spans="1:14">
      <c r="A39" s="579" t="s">
        <v>168</v>
      </c>
      <c r="B39" s="580"/>
      <c r="C39" s="580"/>
      <c r="D39" s="523" t="s">
        <v>132</v>
      </c>
      <c r="E39" s="510">
        <f>'7'!F39</f>
        <v>100066</v>
      </c>
      <c r="F39" s="510">
        <v>100066</v>
      </c>
      <c r="G39" s="473">
        <f t="shared" si="3"/>
        <v>0</v>
      </c>
      <c r="H39" s="460">
        <f>G39+'7'!H39</f>
        <v>109458.89</v>
      </c>
      <c r="I39" s="455"/>
      <c r="J39" s="553">
        <f>H39/DAY(B2)</f>
        <v>13682.36125</v>
      </c>
      <c r="K39" s="428"/>
      <c r="L39" s="377"/>
      <c r="N39" s="382"/>
    </row>
    <row r="40" spans="1:14">
      <c r="A40" s="600" t="s">
        <v>169</v>
      </c>
      <c r="B40" s="601"/>
      <c r="C40" s="601"/>
      <c r="D40" s="523" t="s">
        <v>132</v>
      </c>
      <c r="E40" s="510">
        <f>'7'!F40</f>
        <v>0.17</v>
      </c>
      <c r="F40" s="510">
        <v>0.17</v>
      </c>
      <c r="G40" s="473">
        <f t="shared" si="3"/>
        <v>0</v>
      </c>
      <c r="H40" s="460">
        <f>G40+'7'!H40</f>
        <v>0</v>
      </c>
      <c r="I40" s="455"/>
      <c r="J40" s="553">
        <f>H40/DAY(B2)</f>
        <v>0</v>
      </c>
      <c r="K40" s="429"/>
      <c r="L40" s="377"/>
      <c r="N40" s="382"/>
    </row>
    <row r="41" spans="1:14">
      <c r="A41" s="579" t="s">
        <v>170</v>
      </c>
      <c r="B41" s="580"/>
      <c r="C41" s="580"/>
      <c r="D41" s="523" t="s">
        <v>132</v>
      </c>
      <c r="E41" s="510">
        <f>'7'!F41</f>
        <v>63881.74</v>
      </c>
      <c r="F41" s="1063">
        <v>64767</v>
      </c>
      <c r="G41" s="473">
        <f t="shared" si="3"/>
        <v>885.26000000000204</v>
      </c>
      <c r="H41" s="460">
        <f>G41+'7'!H41</f>
        <v>884.62999999999738</v>
      </c>
      <c r="I41" s="455"/>
      <c r="J41" s="553">
        <f>H41/DAY(B2)</f>
        <v>110.57874999999967</v>
      </c>
      <c r="K41" s="428"/>
      <c r="L41" s="377"/>
      <c r="N41" s="382"/>
    </row>
    <row r="42" spans="1:14">
      <c r="A42" s="579" t="s">
        <v>171</v>
      </c>
      <c r="B42" s="580"/>
      <c r="C42" s="580"/>
      <c r="D42" s="523" t="s">
        <v>132</v>
      </c>
      <c r="E42" s="510">
        <f>'7'!F42</f>
        <v>59128</v>
      </c>
      <c r="F42" s="510">
        <v>59128</v>
      </c>
      <c r="G42" s="473">
        <f t="shared" si="3"/>
        <v>0</v>
      </c>
      <c r="H42" s="460">
        <f>G42+'7'!H42</f>
        <v>-0.84999999999854481</v>
      </c>
      <c r="I42" s="455"/>
      <c r="J42" s="553">
        <f>H42/DAY(B2)</f>
        <v>-0.1062499999998181</v>
      </c>
      <c r="K42" s="428"/>
      <c r="L42" s="377"/>
      <c r="N42" s="382"/>
    </row>
    <row r="43" spans="1:14">
      <c r="A43" s="579" t="s">
        <v>172</v>
      </c>
      <c r="B43" s="580"/>
      <c r="C43" s="580"/>
      <c r="D43" s="523" t="s">
        <v>132</v>
      </c>
      <c r="E43" s="510">
        <f>'7'!F43</f>
        <v>843005</v>
      </c>
      <c r="F43" s="510">
        <v>845521</v>
      </c>
      <c r="G43" s="473">
        <f t="shared" si="3"/>
        <v>2516</v>
      </c>
      <c r="H43" s="460">
        <f>G43+'7'!H43</f>
        <v>19623.170000000042</v>
      </c>
      <c r="I43" s="455"/>
      <c r="J43" s="553">
        <f>H43/DAY(B2)</f>
        <v>2452.8962500000052</v>
      </c>
      <c r="K43" s="428"/>
      <c r="L43" s="377"/>
      <c r="N43" s="382"/>
    </row>
    <row r="44" spans="1:14">
      <c r="A44" s="579" t="s">
        <v>173</v>
      </c>
      <c r="B44" s="580"/>
      <c r="C44" s="580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3">
        <f>H44/DAY(B2)</f>
        <v>0</v>
      </c>
      <c r="K44" s="428"/>
      <c r="L44" s="377"/>
      <c r="N44" s="382"/>
    </row>
    <row r="45" spans="1:14">
      <c r="A45" s="579" t="s">
        <v>174</v>
      </c>
      <c r="B45" s="580"/>
      <c r="C45" s="580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3">
        <f>H45/DAY(B2)</f>
        <v>0</v>
      </c>
      <c r="K45" s="428"/>
      <c r="L45" s="377"/>
      <c r="N45" s="382"/>
    </row>
    <row r="46" spans="1:14">
      <c r="A46" s="579" t="s">
        <v>175</v>
      </c>
      <c r="B46" s="580"/>
      <c r="C46" s="580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3">
        <f>H46/DAY(B2)</f>
        <v>0</v>
      </c>
      <c r="K46" s="428"/>
      <c r="L46" s="377"/>
      <c r="N46" s="382"/>
    </row>
    <row r="47" spans="1:14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7471.260000000002</v>
      </c>
      <c r="H47" s="460">
        <f>G47+'7'!H47</f>
        <v>204872.27000000008</v>
      </c>
      <c r="I47" s="455"/>
      <c r="J47" s="553">
        <f>H47/DAY(B2)</f>
        <v>25609.03375000001</v>
      </c>
      <c r="K47" s="428"/>
      <c r="L47" s="377"/>
      <c r="N47" s="382"/>
    </row>
    <row r="48" spans="1:14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>
      <c r="A49" s="579" t="s">
        <v>164</v>
      </c>
      <c r="B49" s="602"/>
      <c r="C49" s="602"/>
      <c r="D49" s="523" t="s">
        <v>132</v>
      </c>
      <c r="E49" s="510">
        <f>'7'!F49</f>
        <v>260732</v>
      </c>
      <c r="F49" s="1063">
        <v>260732</v>
      </c>
      <c r="G49" s="473">
        <f t="shared" ref="G49:G58" si="4">F49-E49</f>
        <v>0</v>
      </c>
      <c r="H49" s="460">
        <f>G49+'7'!H49</f>
        <v>-0.13000000000465661</v>
      </c>
      <c r="I49" s="455"/>
      <c r="J49" s="553">
        <f>H49/DAY(B2)</f>
        <v>-1.6250000000582077E-2</v>
      </c>
      <c r="K49" s="428"/>
      <c r="L49" s="377"/>
      <c r="N49" s="382"/>
    </row>
    <row r="50" spans="1:14">
      <c r="A50" s="579" t="s">
        <v>178</v>
      </c>
      <c r="B50" s="602"/>
      <c r="C50" s="602"/>
      <c r="D50" s="523" t="s">
        <v>132</v>
      </c>
      <c r="E50" s="510">
        <f>'7'!F50</f>
        <v>411078</v>
      </c>
      <c r="F50" s="510">
        <v>412616</v>
      </c>
      <c r="G50" s="473">
        <f t="shared" si="4"/>
        <v>1538</v>
      </c>
      <c r="H50" s="460">
        <f>G50+'7'!H50</f>
        <v>10152.969999999972</v>
      </c>
      <c r="I50" s="455"/>
      <c r="J50" s="553">
        <f>H50/DAY(B2)</f>
        <v>1269.1212499999965</v>
      </c>
      <c r="K50" s="428"/>
      <c r="L50" s="377"/>
      <c r="N50" s="382"/>
    </row>
    <row r="51" spans="1:14">
      <c r="A51" s="579" t="s">
        <v>166</v>
      </c>
      <c r="B51" s="602"/>
      <c r="C51" s="602"/>
      <c r="D51" s="523" t="s">
        <v>132</v>
      </c>
      <c r="E51" s="510">
        <f>'7'!F51</f>
        <v>127321</v>
      </c>
      <c r="F51" s="1063">
        <v>128804</v>
      </c>
      <c r="G51" s="473">
        <f t="shared" si="4"/>
        <v>1483</v>
      </c>
      <c r="H51" s="460">
        <f>G51+'7'!H51</f>
        <v>8753.0800000000017</v>
      </c>
      <c r="I51" s="455"/>
      <c r="J51" s="553">
        <f>H51/DAY(B2)</f>
        <v>1094.1350000000002</v>
      </c>
      <c r="K51" s="428"/>
      <c r="L51" s="377"/>
      <c r="N51" s="382"/>
    </row>
    <row r="52" spans="1:14">
      <c r="A52" s="579" t="s">
        <v>179</v>
      </c>
      <c r="B52" s="602"/>
      <c r="C52" s="602"/>
      <c r="D52" s="523" t="s">
        <v>132</v>
      </c>
      <c r="E52" s="510">
        <f>'7'!F52</f>
        <v>518082</v>
      </c>
      <c r="F52" s="1063">
        <v>520242</v>
      </c>
      <c r="G52" s="473">
        <f t="shared" si="4"/>
        <v>2160</v>
      </c>
      <c r="H52" s="460">
        <f>G52+'7'!H52</f>
        <v>12329.289999999979</v>
      </c>
      <c r="I52" s="455"/>
      <c r="J52" s="553">
        <f>H52/DAY(B2)</f>
        <v>1541.1612499999974</v>
      </c>
      <c r="K52" s="428"/>
      <c r="L52" s="377"/>
      <c r="N52" s="382"/>
    </row>
    <row r="53" spans="1:14">
      <c r="A53" s="579" t="s">
        <v>168</v>
      </c>
      <c r="B53" s="602"/>
      <c r="C53" s="602"/>
      <c r="D53" s="523" t="s">
        <v>132</v>
      </c>
      <c r="E53" s="510">
        <f>'7'!F53</f>
        <v>352411</v>
      </c>
      <c r="F53" s="1063">
        <v>356683</v>
      </c>
      <c r="G53" s="473">
        <f t="shared" si="4"/>
        <v>4272</v>
      </c>
      <c r="H53" s="460">
        <f>G53+'7'!H53</f>
        <v>24828.489999999991</v>
      </c>
      <c r="I53" s="455"/>
      <c r="J53" s="553">
        <f>H53/DAY(B2)</f>
        <v>3103.5612499999988</v>
      </c>
      <c r="K53" s="428"/>
      <c r="L53" s="377"/>
      <c r="N53" s="382"/>
    </row>
    <row r="54" spans="1:14">
      <c r="A54" s="579" t="s">
        <v>180</v>
      </c>
      <c r="B54" s="602"/>
      <c r="C54" s="602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G54+'7'!H54</f>
        <v>104.40000000000055</v>
      </c>
      <c r="I54" s="455"/>
      <c r="J54" s="553">
        <f>H54/DAY(B2)</f>
        <v>13.050000000000068</v>
      </c>
      <c r="K54" s="428"/>
      <c r="L54" s="377"/>
      <c r="N54" s="382"/>
    </row>
    <row r="55" spans="1:14">
      <c r="A55" s="579" t="s">
        <v>181</v>
      </c>
      <c r="B55" s="602"/>
      <c r="C55" s="602"/>
      <c r="D55" s="523" t="s">
        <v>132</v>
      </c>
      <c r="E55" s="510">
        <f>'7'!F55</f>
        <v>151710</v>
      </c>
      <c r="F55" s="658">
        <v>156663</v>
      </c>
      <c r="G55" s="657">
        <f t="shared" si="4"/>
        <v>4953</v>
      </c>
      <c r="H55" s="710">
        <f>G55+'7'!H55</f>
        <v>39077.31</v>
      </c>
      <c r="I55" s="711"/>
      <c r="J55" s="712">
        <f>H55/DAY(B2)</f>
        <v>4884.6637499999997</v>
      </c>
      <c r="K55" s="428"/>
      <c r="L55" s="377"/>
      <c r="N55" s="382"/>
    </row>
    <row r="56" spans="1:14">
      <c r="A56" s="579" t="s">
        <v>182</v>
      </c>
      <c r="B56" s="602"/>
      <c r="C56" s="602"/>
      <c r="D56" s="523" t="s">
        <v>183</v>
      </c>
      <c r="E56" s="510">
        <f>'7'!F56</f>
        <v>588761</v>
      </c>
      <c r="F56" s="658">
        <v>588761</v>
      </c>
      <c r="G56" s="473">
        <f t="shared" si="4"/>
        <v>0</v>
      </c>
      <c r="H56" s="460">
        <f>G56+'7'!H56</f>
        <v>2709.9699999999721</v>
      </c>
      <c r="I56" s="455"/>
      <c r="J56" s="553">
        <f>H56/DAY(B2)</f>
        <v>338.74624999999651</v>
      </c>
      <c r="K56" s="427"/>
      <c r="L56" s="377"/>
      <c r="N56" s="382"/>
    </row>
    <row r="57" spans="1:14">
      <c r="A57" s="579" t="s">
        <v>172</v>
      </c>
      <c r="B57" s="602"/>
      <c r="C57" s="602"/>
      <c r="D57" s="523" t="s">
        <v>132</v>
      </c>
      <c r="E57" s="510">
        <f>'7'!F57</f>
        <v>7711</v>
      </c>
      <c r="F57" s="1063">
        <v>7711</v>
      </c>
      <c r="G57" s="473">
        <f t="shared" si="4"/>
        <v>0</v>
      </c>
      <c r="H57" s="460">
        <f>G57+'7'!H57</f>
        <v>-0.32999999999992724</v>
      </c>
      <c r="I57" s="455"/>
      <c r="J57" s="553">
        <f>H57/DAY(B2)</f>
        <v>-4.1249999999990905E-2</v>
      </c>
      <c r="K57" s="428"/>
      <c r="L57" s="377"/>
      <c r="N57" s="382"/>
    </row>
    <row r="58" spans="1:14">
      <c r="A58" s="579" t="s">
        <v>184</v>
      </c>
      <c r="B58" s="602"/>
      <c r="C58" s="602"/>
      <c r="D58" s="523" t="s">
        <v>132</v>
      </c>
      <c r="E58" s="510">
        <f>'7'!F58</f>
        <v>37259</v>
      </c>
      <c r="F58" s="658">
        <v>37460</v>
      </c>
      <c r="G58" s="473">
        <f t="shared" si="4"/>
        <v>201</v>
      </c>
      <c r="H58" s="460">
        <f>G58+'7'!H58</f>
        <v>1591.3000000000029</v>
      </c>
      <c r="I58" s="455"/>
      <c r="J58" s="553">
        <f>H58/DAY(B2)</f>
        <v>198.91250000000036</v>
      </c>
      <c r="K58" s="428"/>
      <c r="L58" s="377"/>
      <c r="N58" s="382"/>
    </row>
    <row r="59" spans="1:14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14607</v>
      </c>
      <c r="H59" s="460">
        <f>G59+'7'!H59</f>
        <v>99546.349999999919</v>
      </c>
      <c r="I59" s="455">
        <f>G7-G60</f>
        <v>442.73999999999796</v>
      </c>
      <c r="J59" s="553">
        <f>H59/DAY(B2)</f>
        <v>12443.29374999999</v>
      </c>
      <c r="K59" s="428"/>
      <c r="L59" s="377"/>
      <c r="N59" s="382"/>
    </row>
    <row r="60" spans="1:14">
      <c r="A60" s="579"/>
      <c r="B60" s="580"/>
      <c r="C60" s="580"/>
      <c r="D60" s="511" t="s">
        <v>185</v>
      </c>
      <c r="E60" s="511"/>
      <c r="F60" s="511"/>
      <c r="G60" s="481">
        <f>G47+G59</f>
        <v>22078.260000000002</v>
      </c>
      <c r="H60" s="460">
        <f>G60+'7'!H60</f>
        <v>304418.62</v>
      </c>
      <c r="I60" s="455">
        <f>G13-G60</f>
        <v>-384.26000000000204</v>
      </c>
      <c r="J60" s="553">
        <f>H60/DAY(B2)</f>
        <v>38052.327499999999</v>
      </c>
      <c r="K60" s="428"/>
      <c r="L60" s="377"/>
      <c r="N60" s="382"/>
    </row>
    <row r="61" spans="1:14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>
      <c r="A62" s="604" t="s">
        <v>98</v>
      </c>
      <c r="B62" s="605"/>
      <c r="C62" s="605"/>
      <c r="D62" s="511" t="s">
        <v>187</v>
      </c>
      <c r="E62" s="514">
        <f>'7'!F62</f>
        <v>20419</v>
      </c>
      <c r="F62" s="514">
        <v>20419</v>
      </c>
      <c r="G62" s="473">
        <f t="shared" ref="G62:G69" si="5">F62-E62</f>
        <v>0</v>
      </c>
      <c r="H62" s="460">
        <f>G62+'7'!H62</f>
        <v>-0.18700000000171713</v>
      </c>
      <c r="I62" s="515"/>
      <c r="J62" s="553">
        <f>H62/DAY(B2)</f>
        <v>-2.3375000000214641E-2</v>
      </c>
      <c r="K62" s="428"/>
      <c r="L62" s="377"/>
      <c r="N62" s="382"/>
    </row>
    <row r="63" spans="1:14">
      <c r="A63" s="604" t="s">
        <v>188</v>
      </c>
      <c r="B63" s="605"/>
      <c r="C63" s="605"/>
      <c r="D63" s="511" t="s">
        <v>187</v>
      </c>
      <c r="E63" s="514">
        <f>'7'!F63</f>
        <v>1797</v>
      </c>
      <c r="F63" s="514">
        <v>1809</v>
      </c>
      <c r="G63" s="473">
        <f t="shared" si="5"/>
        <v>12</v>
      </c>
      <c r="H63" s="460">
        <f>G63+'7'!H63</f>
        <v>101.6400000000001</v>
      </c>
      <c r="I63" s="515"/>
      <c r="J63" s="553">
        <f>H63/DAY(B2)</f>
        <v>12.705000000000013</v>
      </c>
      <c r="K63" s="428"/>
      <c r="L63" s="377"/>
      <c r="N63" s="382"/>
    </row>
    <row r="64" spans="1:14" ht="27.75">
      <c r="A64" s="1408" t="s">
        <v>99</v>
      </c>
      <c r="B64" s="1409"/>
      <c r="C64" s="1410"/>
      <c r="D64" s="523" t="s">
        <v>187</v>
      </c>
      <c r="E64" s="514">
        <f>'7'!F64</f>
        <v>127265</v>
      </c>
      <c r="F64" s="478">
        <v>127792</v>
      </c>
      <c r="G64" s="473">
        <f t="shared" si="5"/>
        <v>527</v>
      </c>
      <c r="H64" s="460">
        <f>G64+'7'!H64</f>
        <v>4164.6999999999971</v>
      </c>
      <c r="I64" s="480"/>
      <c r="J64" s="553">
        <f>H64/DAY(B2)</f>
        <v>520.58749999999964</v>
      </c>
      <c r="K64" s="428"/>
      <c r="L64" s="377"/>
      <c r="N64" s="382"/>
    </row>
    <row r="65" spans="1:14" ht="27.75">
      <c r="A65" s="1408" t="s">
        <v>100</v>
      </c>
      <c r="B65" s="1409"/>
      <c r="C65" s="1410"/>
      <c r="D65" s="523" t="s">
        <v>187</v>
      </c>
      <c r="E65" s="514">
        <f>'7'!F65</f>
        <v>135234</v>
      </c>
      <c r="F65" s="656">
        <v>135612</v>
      </c>
      <c r="G65" s="473">
        <f t="shared" si="5"/>
        <v>378</v>
      </c>
      <c r="H65" s="460">
        <f>G65+'7'!H65</f>
        <v>3014.7000000000116</v>
      </c>
      <c r="I65" s="489"/>
      <c r="J65" s="553">
        <f>H65/DAY(B2)</f>
        <v>376.83750000000146</v>
      </c>
      <c r="K65" s="428"/>
      <c r="L65" s="377"/>
      <c r="N65" s="382"/>
    </row>
    <row r="66" spans="1:14" ht="27.75">
      <c r="A66" s="1408" t="s">
        <v>101</v>
      </c>
      <c r="B66" s="1409"/>
      <c r="C66" s="1410"/>
      <c r="D66" s="523" t="s">
        <v>187</v>
      </c>
      <c r="E66" s="514">
        <f>'7'!F66</f>
        <v>27966</v>
      </c>
      <c r="F66" s="478">
        <v>28345</v>
      </c>
      <c r="G66" s="473">
        <f t="shared" si="5"/>
        <v>379</v>
      </c>
      <c r="H66" s="460">
        <f>G66+'7'!H66</f>
        <v>3185.25</v>
      </c>
      <c r="I66" s="480"/>
      <c r="J66" s="553">
        <f>H66/DAY(B2)</f>
        <v>398.15625</v>
      </c>
      <c r="K66" s="428"/>
      <c r="L66" s="377"/>
      <c r="N66" s="382"/>
    </row>
    <row r="67" spans="1:14" ht="27.75">
      <c r="A67" s="1408" t="s">
        <v>102</v>
      </c>
      <c r="B67" s="1409"/>
      <c r="C67" s="1410"/>
      <c r="D67" s="523" t="s">
        <v>187</v>
      </c>
      <c r="E67" s="514">
        <f>'7'!F67</f>
        <v>212624</v>
      </c>
      <c r="F67" s="478">
        <v>213302</v>
      </c>
      <c r="G67" s="473">
        <f t="shared" si="5"/>
        <v>678</v>
      </c>
      <c r="H67" s="460">
        <f>G67+'7'!H67</f>
        <v>5460.1700000000128</v>
      </c>
      <c r="I67" s="489"/>
      <c r="J67" s="553">
        <f>H67/DAY(B2)</f>
        <v>682.5212500000016</v>
      </c>
      <c r="K67" s="429"/>
      <c r="L67" s="377"/>
      <c r="N67" s="382"/>
    </row>
    <row r="68" spans="1:14" ht="27.75">
      <c r="A68" s="1408" t="s">
        <v>103</v>
      </c>
      <c r="B68" s="1409"/>
      <c r="C68" s="1410"/>
      <c r="D68" s="523" t="s">
        <v>187</v>
      </c>
      <c r="E68" s="514">
        <f>'7'!F68</f>
        <v>75071</v>
      </c>
      <c r="F68" s="478">
        <v>75414</v>
      </c>
      <c r="G68" s="473">
        <f t="shared" si="5"/>
        <v>343</v>
      </c>
      <c r="H68" s="460">
        <f>G68+'7'!H68</f>
        <v>2735.4799999999959</v>
      </c>
      <c r="I68" s="516"/>
      <c r="J68" s="553">
        <f>H68/DAY(B2)</f>
        <v>341.93499999999949</v>
      </c>
      <c r="K68" s="430"/>
      <c r="L68" s="377"/>
      <c r="N68" s="382"/>
    </row>
    <row r="69" spans="1:14" ht="27.75">
      <c r="A69" s="1408" t="s">
        <v>104</v>
      </c>
      <c r="B69" s="1409"/>
      <c r="C69" s="1410"/>
      <c r="D69" s="523" t="s">
        <v>187</v>
      </c>
      <c r="E69" s="514">
        <f>'7'!F69</f>
        <v>66722</v>
      </c>
      <c r="F69" s="478">
        <v>67053</v>
      </c>
      <c r="G69" s="473">
        <f t="shared" si="5"/>
        <v>331</v>
      </c>
      <c r="H69" s="460">
        <f>G69+'7'!H69</f>
        <v>2600.9100000000035</v>
      </c>
      <c r="I69" s="516"/>
      <c r="J69" s="553">
        <f>H69/DAY(B2)</f>
        <v>325.11375000000044</v>
      </c>
      <c r="K69" s="431"/>
      <c r="L69" s="377"/>
      <c r="N69" s="382"/>
    </row>
    <row r="70" spans="1:14" ht="27.75">
      <c r="A70" s="1440" t="s">
        <v>189</v>
      </c>
      <c r="B70" s="1441"/>
      <c r="C70" s="1442"/>
      <c r="D70" s="523" t="s">
        <v>187</v>
      </c>
      <c r="E70" s="518"/>
      <c r="F70" s="518" t="s">
        <v>269</v>
      </c>
      <c r="G70" s="518"/>
      <c r="H70" s="460"/>
      <c r="I70" s="518"/>
      <c r="J70" s="557"/>
      <c r="K70" s="431"/>
      <c r="L70" s="377"/>
      <c r="N70" s="382"/>
    </row>
    <row r="71" spans="1:14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382"/>
    </row>
    <row r="72" spans="1:14" ht="27.75">
      <c r="A72" s="1408" t="s">
        <v>191</v>
      </c>
      <c r="B72" s="1409"/>
      <c r="C72" s="1410"/>
      <c r="D72" s="523" t="s">
        <v>187</v>
      </c>
      <c r="E72" s="519">
        <f>'7'!F72</f>
        <v>851145</v>
      </c>
      <c r="F72" s="659">
        <v>851251</v>
      </c>
      <c r="G72" s="473">
        <f t="shared" ref="G72:G84" si="6">F72-E72</f>
        <v>106</v>
      </c>
      <c r="H72" s="460">
        <f>G72+'7'!H72</f>
        <v>659</v>
      </c>
      <c r="I72" s="480"/>
      <c r="J72" s="553">
        <f>H72/DAY(B2)</f>
        <v>82.375</v>
      </c>
      <c r="K72" s="431"/>
      <c r="L72" s="377"/>
      <c r="N72" s="382"/>
    </row>
    <row r="73" spans="1:14" ht="27.75">
      <c r="A73" s="1408" t="s">
        <v>192</v>
      </c>
      <c r="B73" s="1409"/>
      <c r="C73" s="1410"/>
      <c r="D73" s="523" t="s">
        <v>187</v>
      </c>
      <c r="E73" s="519">
        <f>'7'!F73</f>
        <v>885774</v>
      </c>
      <c r="F73" s="660">
        <v>885774</v>
      </c>
      <c r="G73" s="657">
        <f t="shared" si="6"/>
        <v>0</v>
      </c>
      <c r="H73" s="460">
        <f>G73+'7'!H73</f>
        <v>2</v>
      </c>
      <c r="I73" s="480"/>
      <c r="J73" s="553">
        <f>H73/DAY(B2)</f>
        <v>0.25</v>
      </c>
      <c r="K73" s="430"/>
      <c r="L73" s="377"/>
      <c r="N73" s="382"/>
    </row>
    <row r="74" spans="1:14" ht="27.75">
      <c r="A74" s="1408" t="s">
        <v>193</v>
      </c>
      <c r="B74" s="1409"/>
      <c r="C74" s="1410"/>
      <c r="D74" s="523" t="s">
        <v>187</v>
      </c>
      <c r="E74" s="519">
        <f>'7'!F74</f>
        <v>798</v>
      </c>
      <c r="F74" s="659">
        <v>823</v>
      </c>
      <c r="G74" s="473">
        <f t="shared" si="6"/>
        <v>25</v>
      </c>
      <c r="H74" s="460">
        <f>G74+'7'!H74</f>
        <v>236.83000000000004</v>
      </c>
      <c r="I74" s="480"/>
      <c r="J74" s="553">
        <f>H74/DAY(B2)</f>
        <v>29.603750000000005</v>
      </c>
      <c r="K74" s="431"/>
      <c r="L74" s="377"/>
      <c r="N74" s="382"/>
    </row>
    <row r="75" spans="1:14" ht="27.75">
      <c r="A75" s="1457" t="s">
        <v>194</v>
      </c>
      <c r="B75" s="1458"/>
      <c r="C75" s="1459"/>
      <c r="D75" s="523" t="s">
        <v>187</v>
      </c>
      <c r="E75" s="519">
        <f>'7'!F75</f>
        <v>4645</v>
      </c>
      <c r="F75" s="660">
        <v>4815</v>
      </c>
      <c r="G75" s="473">
        <f t="shared" si="6"/>
        <v>170</v>
      </c>
      <c r="H75" s="460">
        <f>G75+'7'!H75</f>
        <v>1295.7800000000002</v>
      </c>
      <c r="I75" s="480"/>
      <c r="J75" s="553">
        <f>H75/DAY(B2)</f>
        <v>161.97250000000003</v>
      </c>
      <c r="K75" s="430"/>
      <c r="L75" s="377"/>
      <c r="N75" s="382"/>
    </row>
    <row r="76" spans="1:14" ht="27.75">
      <c r="A76" s="1457" t="s">
        <v>195</v>
      </c>
      <c r="B76" s="1458"/>
      <c r="C76" s="1459"/>
      <c r="D76" s="523" t="s">
        <v>187</v>
      </c>
      <c r="E76" s="519">
        <f>'7'!F76</f>
        <v>2108</v>
      </c>
      <c r="F76" s="660">
        <v>2182</v>
      </c>
      <c r="G76" s="473">
        <f t="shared" si="6"/>
        <v>74</v>
      </c>
      <c r="H76" s="460">
        <f>G76+'7'!H76</f>
        <v>667.66000000000008</v>
      </c>
      <c r="I76" s="505"/>
      <c r="J76" s="553">
        <f>H76/DAY(B2)</f>
        <v>83.45750000000001</v>
      </c>
      <c r="K76" s="430"/>
      <c r="L76" s="377"/>
      <c r="N76" s="382"/>
    </row>
    <row r="77" spans="1:14" ht="27.75">
      <c r="A77" s="1408" t="s">
        <v>196</v>
      </c>
      <c r="B77" s="1409"/>
      <c r="C77" s="1410"/>
      <c r="D77" s="523" t="s">
        <v>187</v>
      </c>
      <c r="E77" s="519">
        <f>'7'!F77</f>
        <v>698935</v>
      </c>
      <c r="F77" s="659">
        <v>698993</v>
      </c>
      <c r="G77" s="657">
        <f t="shared" si="6"/>
        <v>58</v>
      </c>
      <c r="H77" s="460">
        <f>G77+'7'!H77</f>
        <v>405</v>
      </c>
      <c r="I77" s="505"/>
      <c r="J77" s="553">
        <f>H77/DAY(B2)</f>
        <v>50.625</v>
      </c>
      <c r="K77" s="430"/>
      <c r="L77" s="377"/>
      <c r="N77" s="382"/>
    </row>
    <row r="78" spans="1:14" ht="27.75">
      <c r="A78" s="1151" t="s">
        <v>197</v>
      </c>
      <c r="B78" s="1124"/>
      <c r="C78" s="1124"/>
      <c r="D78" s="523" t="s">
        <v>187</v>
      </c>
      <c r="E78" s="519">
        <f>'7'!F78</f>
        <v>655522</v>
      </c>
      <c r="F78" s="661">
        <v>655894</v>
      </c>
      <c r="G78" s="473">
        <f t="shared" si="6"/>
        <v>372</v>
      </c>
      <c r="H78" s="460">
        <f>G78+'7'!H78</f>
        <v>3031</v>
      </c>
      <c r="I78" s="505"/>
      <c r="J78" s="553">
        <f>H78/DAY(B2)</f>
        <v>378.875</v>
      </c>
      <c r="K78" s="430"/>
      <c r="L78" s="377"/>
      <c r="N78" s="382"/>
    </row>
    <row r="79" spans="1:14" ht="27.75">
      <c r="A79" s="1457" t="s">
        <v>92</v>
      </c>
      <c r="B79" s="1458"/>
      <c r="C79" s="1459"/>
      <c r="D79" s="524" t="s">
        <v>187</v>
      </c>
      <c r="E79" s="519">
        <f>'7'!F79</f>
        <v>816632</v>
      </c>
      <c r="F79" s="659">
        <v>816842</v>
      </c>
      <c r="G79" s="473">
        <f t="shared" si="6"/>
        <v>210</v>
      </c>
      <c r="H79" s="460">
        <f>G79+'7'!H79</f>
        <v>1733</v>
      </c>
      <c r="I79" s="505"/>
      <c r="J79" s="553">
        <f>H79/DAY(B2)</f>
        <v>216.625</v>
      </c>
      <c r="K79" s="430"/>
      <c r="L79" s="377"/>
      <c r="N79" s="382"/>
    </row>
    <row r="80" spans="1:14" ht="27.75">
      <c r="A80" s="1457" t="s">
        <v>198</v>
      </c>
      <c r="B80" s="1458"/>
      <c r="C80" s="1459"/>
      <c r="D80" s="524" t="s">
        <v>187</v>
      </c>
      <c r="E80" s="519">
        <f>'7'!F80</f>
        <v>497222</v>
      </c>
      <c r="F80" s="660">
        <v>497619</v>
      </c>
      <c r="G80" s="473">
        <f t="shared" si="6"/>
        <v>397</v>
      </c>
      <c r="H80" s="460">
        <f>G80+'7'!H80</f>
        <v>2945.359999999986</v>
      </c>
      <c r="I80" s="505"/>
      <c r="J80" s="553">
        <f>H80/DAY(B2)</f>
        <v>368.16999999999825</v>
      </c>
      <c r="K80" s="430"/>
      <c r="L80" s="377"/>
      <c r="N80" s="382"/>
    </row>
    <row r="81" spans="1:15" ht="27.75">
      <c r="A81" s="1457" t="s">
        <v>199</v>
      </c>
      <c r="B81" s="1458"/>
      <c r="C81" s="1459"/>
      <c r="D81" s="524" t="s">
        <v>187</v>
      </c>
      <c r="E81" s="519">
        <f>'7'!F81</f>
        <v>626724</v>
      </c>
      <c r="F81" s="660">
        <v>626846</v>
      </c>
      <c r="G81" s="473">
        <f t="shared" si="6"/>
        <v>122</v>
      </c>
      <c r="H81" s="460">
        <f>G81+'7'!H81</f>
        <v>902.1600000000326</v>
      </c>
      <c r="I81" s="505"/>
      <c r="J81" s="553">
        <f>H81/DAY(B2)</f>
        <v>112.77000000000407</v>
      </c>
      <c r="K81" s="430"/>
      <c r="L81" s="377"/>
      <c r="N81" s="382"/>
    </row>
    <row r="82" spans="1:15" ht="27.75">
      <c r="A82" s="1457" t="s">
        <v>93</v>
      </c>
      <c r="B82" s="1458"/>
      <c r="C82" s="1459"/>
      <c r="D82" s="485" t="s">
        <v>132</v>
      </c>
      <c r="E82" s="519">
        <f>'7'!F82</f>
        <v>106348</v>
      </c>
      <c r="F82" s="656">
        <v>106372</v>
      </c>
      <c r="G82" s="473">
        <f t="shared" si="6"/>
        <v>24</v>
      </c>
      <c r="H82" s="460">
        <f>G82+'7'!H82</f>
        <v>169.52000000000407</v>
      </c>
      <c r="I82" s="486"/>
      <c r="J82" s="553">
        <f>H82/DAY(B2)</f>
        <v>21.190000000000509</v>
      </c>
      <c r="K82" s="430"/>
      <c r="L82" s="377"/>
      <c r="N82" s="382"/>
    </row>
    <row r="83" spans="1:15" ht="27.75">
      <c r="A83" s="1457" t="s">
        <v>200</v>
      </c>
      <c r="B83" s="1458"/>
      <c r="C83" s="1459"/>
      <c r="D83" s="621" t="s">
        <v>132</v>
      </c>
      <c r="E83" s="519">
        <v>0</v>
      </c>
      <c r="F83" s="621">
        <v>361</v>
      </c>
      <c r="G83" s="473">
        <f t="shared" si="6"/>
        <v>361</v>
      </c>
      <c r="H83" s="460">
        <f>G83+'7'!H83</f>
        <v>3764</v>
      </c>
      <c r="I83" s="481"/>
      <c r="J83" s="553">
        <f>H83/DAY(B2)</f>
        <v>470.5</v>
      </c>
      <c r="K83" s="429"/>
      <c r="L83" s="377"/>
      <c r="N83" s="382"/>
    </row>
    <row r="84" spans="1:15">
      <c r="A84" s="1152" t="s">
        <v>201</v>
      </c>
      <c r="B84" s="572"/>
      <c r="C84" s="572"/>
      <c r="D84" s="478" t="s">
        <v>132</v>
      </c>
      <c r="E84" s="519">
        <f>'7'!F84</f>
        <v>435900</v>
      </c>
      <c r="F84" s="628">
        <v>436693</v>
      </c>
      <c r="G84" s="473">
        <f t="shared" si="6"/>
        <v>793</v>
      </c>
      <c r="H84" s="460">
        <f>G84+'7'!H84</f>
        <v>5895</v>
      </c>
      <c r="I84" s="481"/>
      <c r="J84" s="553">
        <f>H84/DAY(B2)</f>
        <v>736.875</v>
      </c>
      <c r="K84" s="380"/>
      <c r="L84" s="377"/>
      <c r="N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2712</v>
      </c>
      <c r="H85" s="460">
        <f>G85+'7'!H85</f>
        <v>19680.929999999968</v>
      </c>
      <c r="I85" s="481"/>
      <c r="J85" s="553">
        <f>H85/DAY(B2)</f>
        <v>2460.1162499999959</v>
      </c>
      <c r="K85" s="380"/>
      <c r="L85" s="378"/>
      <c r="N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'7'!F86</f>
        <v>451193</v>
      </c>
      <c r="F86" s="652">
        <v>451293</v>
      </c>
      <c r="G86" s="710">
        <f t="shared" ref="G86:G90" si="7">F86-E86</f>
        <v>100</v>
      </c>
      <c r="H86" s="710">
        <f t="shared" ref="H86:H88" si="8">G86</f>
        <v>100</v>
      </c>
      <c r="I86" s="657"/>
      <c r="J86" s="712">
        <f>H86/DAY(B2)</f>
        <v>12.5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'7'!F87</f>
        <v>79422</v>
      </c>
      <c r="F87" s="652">
        <v>79458</v>
      </c>
      <c r="G87" s="710">
        <f t="shared" si="7"/>
        <v>36</v>
      </c>
      <c r="H87" s="710">
        <f t="shared" si="8"/>
        <v>36</v>
      </c>
      <c r="I87" s="657"/>
      <c r="J87" s="712">
        <f>H87/DAY(B2)</f>
        <v>4.5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'7'!F88</f>
        <v>148719</v>
      </c>
      <c r="F88" s="652">
        <v>148814</v>
      </c>
      <c r="G88" s="710">
        <f t="shared" si="7"/>
        <v>95</v>
      </c>
      <c r="H88" s="710">
        <f t="shared" si="8"/>
        <v>95</v>
      </c>
      <c r="I88" s="657"/>
      <c r="J88" s="712">
        <f>H88/DAY(B2)</f>
        <v>11.875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'7'!F89</f>
        <v>62201</v>
      </c>
      <c r="F89" s="652">
        <v>62279</v>
      </c>
      <c r="G89" s="710">
        <f t="shared" si="7"/>
        <v>78</v>
      </c>
      <c r="H89" s="710">
        <f>G89</f>
        <v>78</v>
      </c>
      <c r="I89" s="657"/>
      <c r="J89" s="712">
        <f>H89/DAY(B2)</f>
        <v>9.75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'7'!F90</f>
        <v>3193</v>
      </c>
      <c r="F90" s="652">
        <v>3198</v>
      </c>
      <c r="G90" s="710">
        <f t="shared" si="7"/>
        <v>5</v>
      </c>
      <c r="H90" s="710">
        <f>G90</f>
        <v>5</v>
      </c>
      <c r="I90" s="657"/>
      <c r="J90" s="712">
        <f>H90/DAY(B2)</f>
        <v>0.625</v>
      </c>
      <c r="K90" s="738"/>
      <c r="L90" s="739"/>
      <c r="N90" s="783"/>
      <c r="O90" s="382"/>
    </row>
    <row r="91" spans="1:15" s="379" customFormat="1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'7'!F92</f>
        <v>240444</v>
      </c>
      <c r="F92" s="478">
        <v>240537</v>
      </c>
      <c r="G92" s="473">
        <f t="shared" ref="G92:G93" si="9">F92-E92</f>
        <v>93</v>
      </c>
      <c r="H92" s="460">
        <f>G92+'7'!H92</f>
        <v>842</v>
      </c>
      <c r="I92" s="480"/>
      <c r="J92" s="553">
        <f>H92/DAY(B2)</f>
        <v>105.25</v>
      </c>
      <c r="K92" s="429"/>
      <c r="L92" s="377"/>
      <c r="N92" s="382"/>
    </row>
    <row r="93" spans="1:15" ht="27.75">
      <c r="A93" s="1411" t="s">
        <v>207</v>
      </c>
      <c r="B93" s="1412"/>
      <c r="C93" s="1413"/>
      <c r="D93" s="523" t="s">
        <v>144</v>
      </c>
      <c r="E93" s="484">
        <f>'7'!F93</f>
        <v>176674</v>
      </c>
      <c r="F93" s="485">
        <v>176810</v>
      </c>
      <c r="G93" s="473">
        <f t="shared" si="9"/>
        <v>136</v>
      </c>
      <c r="H93" s="460">
        <f>G93+'7'!H93</f>
        <v>1149</v>
      </c>
      <c r="I93" s="480"/>
      <c r="J93" s="553">
        <f>H93/DAY(B2)</f>
        <v>143.625</v>
      </c>
      <c r="K93" s="380"/>
      <c r="L93" s="377"/>
      <c r="N93" s="382"/>
    </row>
    <row r="94" spans="1:15">
      <c r="A94" s="1405" t="s">
        <v>208</v>
      </c>
      <c r="B94" s="1406"/>
      <c r="C94" s="1407"/>
      <c r="D94" s="523"/>
      <c r="E94" s="484">
        <f>'7'!F94</f>
        <v>0</v>
      </c>
      <c r="F94" s="478"/>
      <c r="G94" s="473">
        <f>G92+G93</f>
        <v>229</v>
      </c>
      <c r="H94" s="460">
        <f>G94+'7'!H94</f>
        <v>1725</v>
      </c>
      <c r="I94" s="480"/>
      <c r="J94" s="553">
        <f>H94/DAY(B2)</f>
        <v>215.625</v>
      </c>
      <c r="K94" s="380"/>
      <c r="L94" s="377"/>
      <c r="N94" s="382"/>
    </row>
    <row r="95" spans="1:15" ht="27.75">
      <c r="A95" s="1411" t="s">
        <v>209</v>
      </c>
      <c r="B95" s="1412"/>
      <c r="C95" s="1413"/>
      <c r="D95" s="523" t="s">
        <v>144</v>
      </c>
      <c r="E95" s="484">
        <f>'7'!F95</f>
        <v>408813</v>
      </c>
      <c r="F95" s="478">
        <v>408885</v>
      </c>
      <c r="G95" s="473">
        <f t="shared" ref="G95:G100" si="10">F95-E95</f>
        <v>72</v>
      </c>
      <c r="H95" s="460">
        <f>G95+'7'!H95</f>
        <v>729</v>
      </c>
      <c r="I95" s="480"/>
      <c r="J95" s="553">
        <f>H95/DAY(B2)</f>
        <v>91.125</v>
      </c>
      <c r="K95" s="380"/>
      <c r="L95" s="377"/>
      <c r="N95" s="382"/>
    </row>
    <row r="96" spans="1:15" ht="27.75">
      <c r="A96" s="1148" t="s">
        <v>210</v>
      </c>
      <c r="B96" s="1149"/>
      <c r="C96" s="1149"/>
      <c r="D96" s="523" t="s">
        <v>144</v>
      </c>
      <c r="E96" s="484">
        <f>'7'!F96</f>
        <v>101454</v>
      </c>
      <c r="F96" s="478">
        <v>101467</v>
      </c>
      <c r="G96" s="473">
        <f t="shared" si="10"/>
        <v>13</v>
      </c>
      <c r="H96" s="460">
        <f>G96+'7'!H96</f>
        <v>135</v>
      </c>
      <c r="I96" s="480"/>
      <c r="J96" s="553">
        <f>H96/DAY(B2)</f>
        <v>16.875</v>
      </c>
      <c r="K96" s="427"/>
      <c r="L96" s="377"/>
      <c r="N96" s="382"/>
    </row>
    <row r="97" spans="1:14" ht="27.75">
      <c r="A97" s="1148" t="s">
        <v>211</v>
      </c>
      <c r="B97" s="1149"/>
      <c r="C97" s="1149"/>
      <c r="D97" s="523" t="s">
        <v>144</v>
      </c>
      <c r="E97" s="484">
        <f>'7'!F97</f>
        <v>96588</v>
      </c>
      <c r="F97" s="478">
        <v>96601</v>
      </c>
      <c r="G97" s="473">
        <f t="shared" si="10"/>
        <v>13</v>
      </c>
      <c r="H97" s="460">
        <f>G97+'7'!H97</f>
        <v>152</v>
      </c>
      <c r="I97" s="480"/>
      <c r="J97" s="553">
        <f>H97/DAY(B2)</f>
        <v>19</v>
      </c>
      <c r="K97" s="432"/>
      <c r="L97" s="377"/>
      <c r="N97" s="382"/>
    </row>
    <row r="98" spans="1:14" ht="27.75">
      <c r="A98" s="1148" t="s">
        <v>212</v>
      </c>
      <c r="B98" s="1149"/>
      <c r="C98" s="1149"/>
      <c r="D98" s="523" t="s">
        <v>144</v>
      </c>
      <c r="E98" s="484">
        <f>'7'!F98</f>
        <v>147999</v>
      </c>
      <c r="F98" s="478">
        <v>148038</v>
      </c>
      <c r="G98" s="473">
        <f t="shared" si="10"/>
        <v>39</v>
      </c>
      <c r="H98" s="460">
        <f>G98+'7'!H98</f>
        <v>430</v>
      </c>
      <c r="I98" s="480"/>
      <c r="J98" s="553">
        <f>H98/DAY(B2)</f>
        <v>53.75</v>
      </c>
      <c r="K98" s="380"/>
      <c r="L98" s="377"/>
      <c r="N98" s="709"/>
    </row>
    <row r="99" spans="1:14" ht="27.75">
      <c r="A99" s="1148" t="s">
        <v>213</v>
      </c>
      <c r="B99" s="1149"/>
      <c r="C99" s="1149"/>
      <c r="D99" s="523" t="s">
        <v>144</v>
      </c>
      <c r="E99" s="484">
        <f>'7'!F99</f>
        <v>6504</v>
      </c>
      <c r="F99" s="478">
        <v>6526</v>
      </c>
      <c r="G99" s="473">
        <f t="shared" si="10"/>
        <v>22</v>
      </c>
      <c r="H99" s="460">
        <f>G99+'7'!H99</f>
        <v>118</v>
      </c>
      <c r="I99" s="480"/>
      <c r="J99" s="553">
        <f>H99/DAY(B2)</f>
        <v>14.75</v>
      </c>
      <c r="K99" s="380"/>
      <c r="L99" s="377"/>
      <c r="N99" s="382"/>
    </row>
    <row r="100" spans="1:14" ht="27.75">
      <c r="A100" s="1148" t="s">
        <v>214</v>
      </c>
      <c r="B100" s="1149"/>
      <c r="C100" s="1149"/>
      <c r="D100" s="523" t="s">
        <v>144</v>
      </c>
      <c r="E100" s="484">
        <f>'7'!F100</f>
        <v>4625</v>
      </c>
      <c r="F100" s="478">
        <v>4633</v>
      </c>
      <c r="G100" s="473">
        <f t="shared" si="10"/>
        <v>8</v>
      </c>
      <c r="H100" s="460">
        <f>G100+'7'!H100</f>
        <v>90</v>
      </c>
      <c r="I100" s="480"/>
      <c r="J100" s="553">
        <f>H100/DAY(B2)</f>
        <v>11.25</v>
      </c>
      <c r="K100" s="380"/>
      <c r="L100" s="377"/>
      <c r="N100" s="382"/>
    </row>
    <row r="101" spans="1:14">
      <c r="A101" s="1405" t="s">
        <v>216</v>
      </c>
      <c r="B101" s="1406"/>
      <c r="C101" s="1407"/>
      <c r="D101" s="524"/>
      <c r="E101" s="524"/>
      <c r="F101" s="524"/>
      <c r="G101" s="525">
        <f>SUM(G95:G100)</f>
        <v>167</v>
      </c>
      <c r="H101" s="460">
        <f>G101+'7'!H101</f>
        <v>1654</v>
      </c>
      <c r="I101" s="526"/>
      <c r="J101" s="553">
        <f>H101/DAY(B2)</f>
        <v>206.75</v>
      </c>
      <c r="K101" s="380"/>
      <c r="L101" s="377"/>
      <c r="N101" s="382"/>
    </row>
    <row r="102" spans="1:14" s="442" customFormat="1" ht="27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N102" s="382"/>
    </row>
    <row r="103" spans="1:14" s="442" customFormat="1" ht="27.75">
      <c r="A103" s="1414" t="s">
        <v>218</v>
      </c>
      <c r="B103" s="1415"/>
      <c r="C103" s="574"/>
      <c r="D103" s="623"/>
      <c r="E103" s="532"/>
      <c r="F103" s="663"/>
      <c r="G103" s="532"/>
      <c r="H103" s="533"/>
      <c r="I103" s="532"/>
      <c r="J103" s="559"/>
      <c r="N103" s="382"/>
    </row>
    <row r="104" spans="1:14" s="442" customFormat="1" ht="27.75">
      <c r="A104" s="1416" t="s">
        <v>219</v>
      </c>
      <c r="B104" s="1417"/>
      <c r="C104" s="1147"/>
      <c r="D104" s="623" t="s">
        <v>144</v>
      </c>
      <c r="E104" s="532">
        <f>'7'!F104</f>
        <v>7139</v>
      </c>
      <c r="F104" s="663">
        <v>7145</v>
      </c>
      <c r="G104" s="532">
        <f>F104-E104</f>
        <v>6</v>
      </c>
      <c r="H104" s="460">
        <f>G104+'7'!H104</f>
        <v>20</v>
      </c>
      <c r="I104" s="532"/>
      <c r="J104" s="559">
        <f>H104/DAY(B2)</f>
        <v>2.5</v>
      </c>
      <c r="N104" s="382"/>
    </row>
    <row r="105" spans="1:14" s="442" customFormat="1" ht="27.75">
      <c r="A105" s="1416" t="s">
        <v>77</v>
      </c>
      <c r="B105" s="1417"/>
      <c r="C105" s="1147"/>
      <c r="D105" s="623" t="s">
        <v>144</v>
      </c>
      <c r="E105" s="532">
        <f>'7'!F105</f>
        <v>35464</v>
      </c>
      <c r="F105" s="809">
        <v>35474</v>
      </c>
      <c r="G105" s="532">
        <f t="shared" ref="G105:G106" si="11">F105-E105</f>
        <v>10</v>
      </c>
      <c r="H105" s="460">
        <f>G105+'7'!H105</f>
        <v>76</v>
      </c>
      <c r="I105" s="532"/>
      <c r="J105" s="559">
        <f>H105/DAY(B2)</f>
        <v>9.5</v>
      </c>
      <c r="N105" s="382"/>
    </row>
    <row r="106" spans="1:14" s="442" customFormat="1" ht="27.75">
      <c r="A106" s="1416" t="s">
        <v>78</v>
      </c>
      <c r="B106" s="1418"/>
      <c r="C106" s="1417"/>
      <c r="D106" s="623" t="s">
        <v>144</v>
      </c>
      <c r="E106" s="532">
        <f>'7'!F106</f>
        <v>19284</v>
      </c>
      <c r="F106" s="664">
        <v>19287</v>
      </c>
      <c r="G106" s="532">
        <f t="shared" si="11"/>
        <v>3</v>
      </c>
      <c r="H106" s="460">
        <f>G106+'7'!H106</f>
        <v>46</v>
      </c>
      <c r="I106" s="532"/>
      <c r="J106" s="559">
        <f>H106/DAY(B2)</f>
        <v>5.75</v>
      </c>
      <c r="N106" s="382"/>
    </row>
    <row r="107" spans="1:14" s="442" customFormat="1" ht="27.75">
      <c r="A107" s="1419" t="s">
        <v>202</v>
      </c>
      <c r="B107" s="1420"/>
      <c r="C107" s="1147"/>
      <c r="D107" s="623"/>
      <c r="E107" s="532"/>
      <c r="F107" s="664"/>
      <c r="G107" s="532">
        <f>SUM(G104:G106)</f>
        <v>19</v>
      </c>
      <c r="H107" s="460">
        <f>G107+'7'!H107</f>
        <v>142</v>
      </c>
      <c r="I107" s="532"/>
      <c r="J107" s="559">
        <f>H107/DAY(B2)</f>
        <v>17.75</v>
      </c>
      <c r="N107" s="382"/>
    </row>
    <row r="108" spans="1:14" s="442" customFormat="1" ht="27.75">
      <c r="A108" s="1421" t="s">
        <v>79</v>
      </c>
      <c r="B108" s="1422"/>
      <c r="C108" s="1147"/>
      <c r="D108" s="623" t="s">
        <v>144</v>
      </c>
      <c r="E108" s="532"/>
      <c r="F108" s="664"/>
      <c r="G108" s="532"/>
      <c r="H108" s="460" t="e">
        <f>G108+'7'!H108</f>
        <v>#REF!</v>
      </c>
      <c r="I108" s="532"/>
      <c r="J108" s="559"/>
      <c r="N108" s="382"/>
    </row>
    <row r="109" spans="1:14" s="442" customFormat="1" ht="27.75">
      <c r="A109" s="1416" t="s">
        <v>220</v>
      </c>
      <c r="B109" s="1417"/>
      <c r="C109" s="1147"/>
      <c r="D109" s="623" t="s">
        <v>144</v>
      </c>
      <c r="E109" s="532">
        <f>'7'!F109</f>
        <v>56937</v>
      </c>
      <c r="F109" s="664">
        <v>57021</v>
      </c>
      <c r="G109" s="532">
        <f>F109-E109</f>
        <v>84</v>
      </c>
      <c r="H109" s="460">
        <f>G109+'7'!H109</f>
        <v>750</v>
      </c>
      <c r="I109" s="532"/>
      <c r="J109" s="559">
        <f>H109/DAY(B2)</f>
        <v>93.75</v>
      </c>
      <c r="N109" s="382"/>
    </row>
    <row r="110" spans="1:14" s="442" customFormat="1" ht="27.75">
      <c r="A110" s="1416" t="s">
        <v>221</v>
      </c>
      <c r="B110" s="1417"/>
      <c r="C110" s="1147"/>
      <c r="D110" s="623" t="s">
        <v>144</v>
      </c>
      <c r="E110" s="532">
        <f>'7'!F110</f>
        <v>30923</v>
      </c>
      <c r="F110" s="809">
        <v>30979</v>
      </c>
      <c r="G110" s="532">
        <f t="shared" ref="G110:G111" si="12">F110-E110</f>
        <v>56</v>
      </c>
      <c r="H110" s="460">
        <f>G110+'7'!H110</f>
        <v>491</v>
      </c>
      <c r="I110" s="532"/>
      <c r="J110" s="559">
        <f>H110/DAY(B2)</f>
        <v>61.375</v>
      </c>
      <c r="N110" s="382"/>
    </row>
    <row r="111" spans="1:14" s="442" customFormat="1" ht="27.75">
      <c r="A111" s="1416" t="s">
        <v>222</v>
      </c>
      <c r="B111" s="1417"/>
      <c r="C111" s="1147"/>
      <c r="D111" s="623" t="s">
        <v>144</v>
      </c>
      <c r="E111" s="532">
        <f>'7'!F111</f>
        <v>4029</v>
      </c>
      <c r="F111" s="809">
        <v>4035</v>
      </c>
      <c r="G111" s="532">
        <f t="shared" si="12"/>
        <v>6</v>
      </c>
      <c r="H111" s="460">
        <f>G111+'7'!H111</f>
        <v>55</v>
      </c>
      <c r="I111" s="532"/>
      <c r="J111" s="559">
        <f>H111/DAY(B2)</f>
        <v>6.875</v>
      </c>
      <c r="N111" s="382"/>
    </row>
    <row r="112" spans="1:14" s="442" customFormat="1" ht="27.75">
      <c r="A112" s="1419" t="s">
        <v>110</v>
      </c>
      <c r="B112" s="1420"/>
      <c r="C112" s="1147"/>
      <c r="D112" s="623"/>
      <c r="E112" s="532"/>
      <c r="F112" s="664"/>
      <c r="G112" s="532">
        <f>SUM(G109:G111)</f>
        <v>146</v>
      </c>
      <c r="H112" s="460">
        <f>G112+'7'!H112</f>
        <v>1296</v>
      </c>
      <c r="I112" s="532"/>
      <c r="J112" s="559">
        <f>H112/DAY(B2)</f>
        <v>162</v>
      </c>
      <c r="N112" s="382"/>
    </row>
    <row r="113" spans="1:14" s="442" customFormat="1" ht="27.75">
      <c r="A113" s="1421" t="s">
        <v>223</v>
      </c>
      <c r="B113" s="1422"/>
      <c r="C113" s="1147"/>
      <c r="D113" s="623"/>
      <c r="E113" s="532"/>
      <c r="F113" s="664"/>
      <c r="G113" s="532"/>
      <c r="H113" s="460">
        <f>G113+'7'!H113</f>
        <v>0</v>
      </c>
      <c r="I113" s="532"/>
      <c r="J113" s="559">
        <f>H113/DAY(B2)</f>
        <v>0</v>
      </c>
      <c r="N113" s="382"/>
    </row>
    <row r="114" spans="1:14" s="442" customFormat="1" ht="27.75">
      <c r="A114" s="1416" t="s">
        <v>224</v>
      </c>
      <c r="B114" s="1417"/>
      <c r="C114" s="575"/>
      <c r="D114" s="623" t="s">
        <v>144</v>
      </c>
      <c r="E114" s="532">
        <f>'7'!F114</f>
        <v>10436</v>
      </c>
      <c r="F114" s="664">
        <v>10462</v>
      </c>
      <c r="G114" s="534">
        <f>F114-E114</f>
        <v>26</v>
      </c>
      <c r="H114" s="460">
        <f>G114+'7'!H114</f>
        <v>148</v>
      </c>
      <c r="I114" s="532"/>
      <c r="J114" s="559">
        <f>H114/DAY(B2)</f>
        <v>18.5</v>
      </c>
      <c r="N114" s="382"/>
    </row>
    <row r="115" spans="1:14" s="442" customFormat="1" ht="27.75">
      <c r="A115" s="1416" t="s">
        <v>225</v>
      </c>
      <c r="B115" s="1417"/>
      <c r="C115" s="575"/>
      <c r="D115" s="623" t="s">
        <v>144</v>
      </c>
      <c r="E115" s="532">
        <f>'7'!F115</f>
        <v>7735</v>
      </c>
      <c r="F115" s="664">
        <v>7741</v>
      </c>
      <c r="G115" s="534">
        <f t="shared" ref="G115:G116" si="13">F115-E115</f>
        <v>6</v>
      </c>
      <c r="H115" s="460">
        <f>G115+'7'!H115</f>
        <v>85</v>
      </c>
      <c r="I115" s="532"/>
      <c r="J115" s="559">
        <f>H115/DAY(B2)</f>
        <v>10.625</v>
      </c>
      <c r="N115" s="382"/>
    </row>
    <row r="116" spans="1:14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3"/>
        <v>0</v>
      </c>
      <c r="H116" s="460">
        <f>G116+'7'!H116</f>
        <v>0</v>
      </c>
      <c r="I116" s="532"/>
      <c r="J116" s="559">
        <f>H116/DAY(B2)</f>
        <v>0</v>
      </c>
      <c r="N116" s="382"/>
    </row>
    <row r="117" spans="1:14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32</v>
      </c>
      <c r="H117" s="460">
        <f>G117+'7'!H117</f>
        <v>233</v>
      </c>
      <c r="I117" s="534"/>
      <c r="J117" s="559">
        <f>H117/DAY(B2)</f>
        <v>29.125</v>
      </c>
      <c r="N117" s="382"/>
    </row>
    <row r="118" spans="1:14" s="446" customFormat="1" ht="27.75">
      <c r="A118" s="1450" t="s">
        <v>227</v>
      </c>
      <c r="B118" s="1451"/>
      <c r="C118" s="1145"/>
      <c r="D118" s="625" t="s">
        <v>144</v>
      </c>
      <c r="E118" s="536"/>
      <c r="F118" s="665">
        <f>SUM(G19+G92)</f>
        <v>146</v>
      </c>
      <c r="G118" s="536">
        <f>SUM(G19+G92)</f>
        <v>146</v>
      </c>
      <c r="H118" s="460">
        <f>G118+'7'!H118</f>
        <v>1252</v>
      </c>
      <c r="I118" s="535"/>
      <c r="J118" s="560">
        <f>H118/DAY(B2)</f>
        <v>156.5</v>
      </c>
      <c r="N118" s="382"/>
    </row>
    <row r="119" spans="1:14" s="446" customFormat="1" ht="27.75">
      <c r="A119" s="1450" t="s">
        <v>228</v>
      </c>
      <c r="B119" s="1451"/>
      <c r="C119" s="1145"/>
      <c r="D119" s="625" t="s">
        <v>144</v>
      </c>
      <c r="E119" s="536"/>
      <c r="F119" s="665">
        <f>SUM(G95,G96,G97,G99,G100)</f>
        <v>128</v>
      </c>
      <c r="G119" s="536">
        <f>SUM(G95,G96,G97,G99,G100)</f>
        <v>128</v>
      </c>
      <c r="H119" s="460">
        <f>G119+'7'!H119</f>
        <v>1224</v>
      </c>
      <c r="I119" s="535"/>
      <c r="J119" s="560">
        <f>H119/DAY(B2)</f>
        <v>153</v>
      </c>
      <c r="N119" s="382"/>
    </row>
    <row r="120" spans="1:14" s="446" customFormat="1" ht="27.75">
      <c r="A120" s="1450" t="s">
        <v>229</v>
      </c>
      <c r="B120" s="1451"/>
      <c r="C120" s="1145"/>
      <c r="D120" s="625" t="s">
        <v>144</v>
      </c>
      <c r="E120" s="534"/>
      <c r="F120" s="664">
        <f>SUM(G112)</f>
        <v>146</v>
      </c>
      <c r="G120" s="534">
        <f>SUM(G112)</f>
        <v>146</v>
      </c>
      <c r="H120" s="460">
        <f>G120+'7'!H120</f>
        <v>1296</v>
      </c>
      <c r="I120" s="535"/>
      <c r="J120" s="560">
        <f>H120/DAY(B2)</f>
        <v>162</v>
      </c>
      <c r="N120" s="382"/>
    </row>
    <row r="121" spans="1:14" s="442" customFormat="1" ht="27.75">
      <c r="A121" s="1452"/>
      <c r="B121" s="1453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>
      <c r="A123" s="1148" t="s">
        <v>231</v>
      </c>
      <c r="B123" s="1149"/>
      <c r="C123" s="1149"/>
      <c r="D123" s="523" t="s">
        <v>141</v>
      </c>
      <c r="E123" s="478">
        <f>'7'!F123</f>
        <v>812826</v>
      </c>
      <c r="F123" s="478">
        <v>813067</v>
      </c>
      <c r="G123" s="473">
        <f t="shared" ref="G123:G127" si="14">F123-E123</f>
        <v>241</v>
      </c>
      <c r="H123" s="460">
        <f>G123+'7'!H123</f>
        <v>2060.1600000000326</v>
      </c>
      <c r="I123" s="526"/>
      <c r="J123" s="553">
        <f>H123/DAY(B2)</f>
        <v>257.52000000000407</v>
      </c>
      <c r="K123" s="380"/>
      <c r="L123" s="377"/>
      <c r="N123" s="382"/>
    </row>
    <row r="124" spans="1:14" ht="27.75">
      <c r="A124" s="1148" t="s">
        <v>232</v>
      </c>
      <c r="B124" s="1149"/>
      <c r="C124" s="1149"/>
      <c r="D124" s="523" t="s">
        <v>141</v>
      </c>
      <c r="E124" s="627">
        <f>'7'!F124</f>
        <v>73583</v>
      </c>
      <c r="F124" s="627">
        <v>73583.399999999994</v>
      </c>
      <c r="G124" s="473">
        <f t="shared" si="14"/>
        <v>0.39999999999417923</v>
      </c>
      <c r="H124" s="460">
        <f>G124+'7'!H124</f>
        <v>0</v>
      </c>
      <c r="I124" s="526"/>
      <c r="J124" s="553">
        <f>H124/DAY(B2)</f>
        <v>0</v>
      </c>
      <c r="K124" s="380"/>
      <c r="L124" s="377"/>
      <c r="N124" s="382"/>
    </row>
    <row r="125" spans="1:14" ht="27.75">
      <c r="A125" s="1408" t="s">
        <v>233</v>
      </c>
      <c r="B125" s="1409"/>
      <c r="C125" s="1410"/>
      <c r="D125" s="523" t="s">
        <v>141</v>
      </c>
      <c r="E125" s="478">
        <f>'7'!F125</f>
        <v>140464</v>
      </c>
      <c r="F125" s="478">
        <v>140527</v>
      </c>
      <c r="G125" s="473">
        <f t="shared" si="14"/>
        <v>63</v>
      </c>
      <c r="H125" s="460">
        <f>G125+'7'!H125</f>
        <v>547.66000000000349</v>
      </c>
      <c r="I125" s="526"/>
      <c r="J125" s="553">
        <f>H125/DAY(B2)</f>
        <v>68.457500000000437</v>
      </c>
      <c r="K125" s="380"/>
      <c r="L125" s="377"/>
      <c r="N125" s="382"/>
    </row>
    <row r="126" spans="1:14" ht="27.75">
      <c r="A126" s="610" t="s">
        <v>234</v>
      </c>
      <c r="B126" s="1149"/>
      <c r="C126" s="1149"/>
      <c r="D126" s="523" t="s">
        <v>141</v>
      </c>
      <c r="E126" s="627">
        <f>'7'!F126</f>
        <v>59498</v>
      </c>
      <c r="F126" s="627">
        <v>59514</v>
      </c>
      <c r="G126" s="473">
        <f t="shared" si="14"/>
        <v>16</v>
      </c>
      <c r="H126" s="460">
        <f>G126+'7'!H126</f>
        <v>207.09999999999854</v>
      </c>
      <c r="I126" s="526"/>
      <c r="J126" s="553">
        <f>H126/DAY(B2)</f>
        <v>25.887499999999818</v>
      </c>
      <c r="K126" s="380"/>
      <c r="L126" s="377"/>
      <c r="N126" s="382"/>
    </row>
    <row r="127" spans="1:14" ht="27.75">
      <c r="A127" s="610" t="s">
        <v>235</v>
      </c>
      <c r="B127" s="1149"/>
      <c r="C127" s="1149"/>
      <c r="D127" s="523" t="s">
        <v>141</v>
      </c>
      <c r="E127" s="627">
        <f>'7'!F127</f>
        <v>8905</v>
      </c>
      <c r="F127" s="627">
        <v>8906</v>
      </c>
      <c r="G127" s="473">
        <f t="shared" si="14"/>
        <v>1</v>
      </c>
      <c r="H127" s="460">
        <f>G127+'7'!H127</f>
        <v>18.200000000000728</v>
      </c>
      <c r="I127" s="480"/>
      <c r="J127" s="553">
        <f>H127/DAY(B2)</f>
        <v>2.2750000000000909</v>
      </c>
      <c r="K127" s="380"/>
      <c r="L127" s="377"/>
      <c r="N127" s="382"/>
    </row>
    <row r="128" spans="1:14" s="281" customFormat="1" ht="27.7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538.45000000009895</v>
      </c>
      <c r="H128" s="460"/>
      <c r="I128" s="480"/>
      <c r="J128" s="553"/>
      <c r="K128" s="364"/>
      <c r="L128" s="292"/>
      <c r="N128" s="382"/>
    </row>
    <row r="129" spans="1:1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>
      <c r="A130" s="1148" t="s">
        <v>238</v>
      </c>
      <c r="B130" s="1149"/>
      <c r="C130" s="1149"/>
      <c r="D130" s="523" t="s">
        <v>239</v>
      </c>
      <c r="E130" s="484">
        <f>'7'!F130</f>
        <v>0</v>
      </c>
      <c r="F130" s="478">
        <v>0</v>
      </c>
      <c r="G130" s="473">
        <f t="shared" ref="G130:G140" si="15">F130-E130</f>
        <v>0</v>
      </c>
      <c r="H130" s="460">
        <f>G130+'7'!H130</f>
        <v>0</v>
      </c>
      <c r="I130" s="480"/>
      <c r="J130" s="553">
        <f>H130/DAY(B2)</f>
        <v>0</v>
      </c>
      <c r="N130" s="382"/>
    </row>
    <row r="131" spans="1:14" ht="27.75">
      <c r="A131" s="1148" t="s">
        <v>240</v>
      </c>
      <c r="B131" s="1149"/>
      <c r="C131" s="1149"/>
      <c r="D131" s="523" t="s">
        <v>239</v>
      </c>
      <c r="E131" s="484">
        <f>'7'!F131</f>
        <v>0</v>
      </c>
      <c r="F131" s="478">
        <v>0</v>
      </c>
      <c r="G131" s="473">
        <f t="shared" si="15"/>
        <v>0</v>
      </c>
      <c r="H131" s="460">
        <f>G131+'7'!H131</f>
        <v>0</v>
      </c>
      <c r="I131" s="480"/>
      <c r="J131" s="553">
        <f>H131/DAY(B2)</f>
        <v>0</v>
      </c>
      <c r="N131" s="382"/>
    </row>
    <row r="132" spans="1:14" ht="27.75">
      <c r="A132" s="1148" t="s">
        <v>241</v>
      </c>
      <c r="B132" s="1149"/>
      <c r="C132" s="1149"/>
      <c r="D132" s="523" t="s">
        <v>239</v>
      </c>
      <c r="E132" s="706">
        <f>'7'!F132</f>
        <v>39215</v>
      </c>
      <c r="F132" s="627">
        <v>39219.35</v>
      </c>
      <c r="G132" s="473">
        <f t="shared" si="15"/>
        <v>4.3499999999985448</v>
      </c>
      <c r="H132" s="460">
        <f>G132+'7'!H132</f>
        <v>390.34999999999854</v>
      </c>
      <c r="I132" s="480"/>
      <c r="J132" s="553">
        <f>H132/DAY(B2)</f>
        <v>48.793749999999818</v>
      </c>
      <c r="N132" s="382"/>
    </row>
    <row r="133" spans="1:14" ht="27.75">
      <c r="A133" s="1148" t="s">
        <v>242</v>
      </c>
      <c r="B133" s="1149"/>
      <c r="C133" s="1149"/>
      <c r="D133" s="523" t="s">
        <v>239</v>
      </c>
      <c r="E133" s="522">
        <f>'7'!F133</f>
        <v>299</v>
      </c>
      <c r="F133" s="485">
        <v>299</v>
      </c>
      <c r="G133" s="473">
        <f t="shared" si="15"/>
        <v>0</v>
      </c>
      <c r="H133" s="460">
        <f>G133+'7'!H133</f>
        <v>-1</v>
      </c>
      <c r="I133" s="480">
        <f>G130+G131+G132+G133</f>
        <v>4.3499999999985448</v>
      </c>
      <c r="J133" s="553">
        <f>H133/DAY(B2)</f>
        <v>-0.125</v>
      </c>
      <c r="N133" s="382"/>
    </row>
    <row r="134" spans="1:14" ht="27.75">
      <c r="A134" s="1148" t="s">
        <v>243</v>
      </c>
      <c r="B134" s="1149"/>
      <c r="C134" s="1149"/>
      <c r="D134" s="523" t="s">
        <v>239</v>
      </c>
      <c r="E134" s="706">
        <f>'7'!F134</f>
        <v>40530</v>
      </c>
      <c r="F134" s="627">
        <v>40554</v>
      </c>
      <c r="G134" s="473">
        <f t="shared" si="15"/>
        <v>24</v>
      </c>
      <c r="H134" s="460">
        <f>G134+'7'!H134</f>
        <v>186.86000000000058</v>
      </c>
      <c r="I134" s="480"/>
      <c r="J134" s="553">
        <f>H134/DAY(B2)</f>
        <v>23.357500000000073</v>
      </c>
      <c r="N134" s="382"/>
    </row>
    <row r="135" spans="1:14" ht="27.75">
      <c r="A135" s="1148" t="s">
        <v>244</v>
      </c>
      <c r="B135" s="1149"/>
      <c r="C135" s="1149"/>
      <c r="D135" s="523" t="s">
        <v>239</v>
      </c>
      <c r="E135" s="706">
        <f>'7'!F135</f>
        <v>32582.560000000001</v>
      </c>
      <c r="F135" s="627">
        <v>32582.560000000001</v>
      </c>
      <c r="G135" s="473">
        <f t="shared" si="15"/>
        <v>0</v>
      </c>
      <c r="H135" s="460">
        <f>G135+'7'!H135</f>
        <v>11.56000000000131</v>
      </c>
      <c r="I135" s="480"/>
      <c r="J135" s="553">
        <f>H135/DAY(B2)</f>
        <v>1.4450000000001637</v>
      </c>
      <c r="N135" s="382"/>
    </row>
    <row r="136" spans="1:14" ht="27.75">
      <c r="A136" s="1148" t="s">
        <v>245</v>
      </c>
      <c r="B136" s="1149"/>
      <c r="C136" s="1149"/>
      <c r="D136" s="523" t="s">
        <v>239</v>
      </c>
      <c r="E136" s="542">
        <f>'7'!F136</f>
        <v>22283.919999999998</v>
      </c>
      <c r="F136" s="656">
        <v>22293.61</v>
      </c>
      <c r="G136" s="473">
        <f t="shared" si="15"/>
        <v>9.6900000000023283</v>
      </c>
      <c r="H136" s="460">
        <f>G136+'7'!H136</f>
        <v>71.400000000001455</v>
      </c>
      <c r="I136" s="480">
        <f>G134+G135+G136</f>
        <v>33.690000000002328</v>
      </c>
      <c r="J136" s="553">
        <f>H136/DAY(B2)</f>
        <v>8.9250000000001819</v>
      </c>
      <c r="N136" s="382"/>
    </row>
    <row r="137" spans="1:14" ht="27.75">
      <c r="A137" s="1148" t="s">
        <v>246</v>
      </c>
      <c r="B137" s="1149"/>
      <c r="C137" s="1149"/>
      <c r="D137" s="523" t="s">
        <v>239</v>
      </c>
      <c r="E137" s="542">
        <f>'7'!F137</f>
        <v>25044</v>
      </c>
      <c r="F137" s="656">
        <v>25044</v>
      </c>
      <c r="G137" s="473">
        <f t="shared" si="15"/>
        <v>0</v>
      </c>
      <c r="H137" s="460">
        <f>G137+'7'!H137</f>
        <v>-0.31000000000130967</v>
      </c>
      <c r="I137" s="480"/>
      <c r="J137" s="553">
        <f>H137/DAY(B2)</f>
        <v>-3.8750000000163709E-2</v>
      </c>
      <c r="N137" s="382"/>
    </row>
    <row r="138" spans="1:14" ht="27.75">
      <c r="A138" s="1148" t="s">
        <v>247</v>
      </c>
      <c r="B138" s="1149"/>
      <c r="C138" s="1149"/>
      <c r="D138" s="523" t="s">
        <v>239</v>
      </c>
      <c r="E138" s="542">
        <f>'7'!F138</f>
        <v>70182</v>
      </c>
      <c r="F138" s="656">
        <v>70183.820000000007</v>
      </c>
      <c r="G138" s="473">
        <f t="shared" si="15"/>
        <v>1.8200000000069849</v>
      </c>
      <c r="H138" s="460">
        <f>G138+'7'!H138</f>
        <v>36.480000000010477</v>
      </c>
      <c r="I138" s="480">
        <f>G137+G138</f>
        <v>1.8200000000069849</v>
      </c>
      <c r="J138" s="553">
        <f>H138/DAY(B2)</f>
        <v>4.5600000000013097</v>
      </c>
      <c r="N138" s="382"/>
    </row>
    <row r="139" spans="1:14" ht="27.75">
      <c r="A139" s="1148" t="s">
        <v>248</v>
      </c>
      <c r="B139" s="1149"/>
      <c r="C139" s="1149"/>
      <c r="D139" s="523" t="s">
        <v>239</v>
      </c>
      <c r="E139" s="706">
        <f>'7'!F139</f>
        <v>1476</v>
      </c>
      <c r="F139" s="627">
        <v>1482.68</v>
      </c>
      <c r="G139" s="473">
        <f t="shared" si="15"/>
        <v>6.6800000000000637</v>
      </c>
      <c r="H139" s="460">
        <f>G139+'7'!H139</f>
        <v>59.539999999999964</v>
      </c>
      <c r="I139" s="543"/>
      <c r="J139" s="553">
        <f>H139/DAY(B2)</f>
        <v>7.4424999999999955</v>
      </c>
      <c r="N139" s="382"/>
    </row>
    <row r="140" spans="1:14" ht="27.75">
      <c r="A140" s="1148" t="s">
        <v>249</v>
      </c>
      <c r="B140" s="1149"/>
      <c r="C140" s="1149"/>
      <c r="D140" s="523" t="s">
        <v>239</v>
      </c>
      <c r="E140" s="484">
        <f>'7'!F140</f>
        <v>4334</v>
      </c>
      <c r="F140" s="478">
        <v>4334</v>
      </c>
      <c r="G140" s="473">
        <f t="shared" si="15"/>
        <v>0</v>
      </c>
      <c r="H140" s="460">
        <f>G140+'7'!H140</f>
        <v>0</v>
      </c>
      <c r="I140" s="543"/>
      <c r="J140" s="553">
        <f>H140/DAY(B2)</f>
        <v>0</v>
      </c>
      <c r="N140" s="382"/>
    </row>
    <row r="141" spans="1:14">
      <c r="A141" s="1446" t="s">
        <v>250</v>
      </c>
      <c r="B141" s="1447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382"/>
    </row>
    <row r="142" spans="1:14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5910</v>
      </c>
      <c r="H142" s="460">
        <f>G142+'7'!H142</f>
        <v>46572.120000000068</v>
      </c>
      <c r="I142" s="480"/>
      <c r="J142" s="553">
        <f>H142/DAY(B2)</f>
        <v>5821.5150000000085</v>
      </c>
      <c r="K142" s="380"/>
      <c r="L142" s="377"/>
      <c r="N142" s="382"/>
    </row>
    <row r="143" spans="1:14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0.26242173970960436</v>
      </c>
      <c r="H143" s="460">
        <f>G143+'7'!H143</f>
        <v>1.9813392490443569</v>
      </c>
      <c r="I143" s="545"/>
      <c r="J143" s="553">
        <f>H143/DAY(B2)</f>
        <v>0.24766740613054461</v>
      </c>
      <c r="K143" s="380"/>
      <c r="L143" s="377"/>
      <c r="N143" s="382"/>
    </row>
    <row r="144" spans="1:14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5838.260000000002</v>
      </c>
      <c r="H144" s="460">
        <f>G144+'7'!H144</f>
        <v>42671.059999999969</v>
      </c>
      <c r="I144" s="480"/>
      <c r="J144" s="553">
        <f>H144/DAY(B2)</f>
        <v>5333.8824999999961</v>
      </c>
      <c r="K144" s="380"/>
      <c r="L144" s="377"/>
      <c r="N144" s="382"/>
    </row>
    <row r="145" spans="1:14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0.25923626837174202</v>
      </c>
      <c r="H145" s="460">
        <f>G145+'7'!H145</f>
        <v>1.979025520460584</v>
      </c>
      <c r="I145" s="545"/>
      <c r="J145" s="553">
        <f>H145/DAY(B2)</f>
        <v>0.247378190057573</v>
      </c>
      <c r="K145" s="380"/>
      <c r="L145" s="377"/>
      <c r="N145" s="382"/>
    </row>
    <row r="146" spans="1:14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4272</v>
      </c>
      <c r="H146" s="460">
        <f>G146+'7'!H146</f>
        <v>134287.38</v>
      </c>
      <c r="I146" s="546"/>
      <c r="J146" s="553">
        <f>H146/DAY(B2)</f>
        <v>16785.922500000001</v>
      </c>
      <c r="K146" s="380"/>
      <c r="L146" s="377"/>
      <c r="N146" s="382"/>
    </row>
    <row r="147" spans="1:14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0.18968962301851605</v>
      </c>
      <c r="H147" s="460">
        <f>G147+'7'!H147</f>
        <v>6.5008990566531226</v>
      </c>
      <c r="I147" s="546"/>
      <c r="J147" s="553">
        <f>H147/DAY(B2)</f>
        <v>0.81261238208164033</v>
      </c>
      <c r="N147" s="382"/>
    </row>
    <row r="148" spans="1:14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2160</v>
      </c>
      <c r="H148" s="460">
        <f>G148+'7'!H148</f>
        <v>16848.799999999981</v>
      </c>
      <c r="I148" s="480"/>
      <c r="J148" s="553">
        <f>H148/DAY(B2)</f>
        <v>2106.0999999999976</v>
      </c>
      <c r="K148" s="381"/>
      <c r="N148" s="382"/>
    </row>
    <row r="149" spans="1:14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9.5910483548687891E-2</v>
      </c>
      <c r="H149" s="460">
        <f>G149+'7'!H149</f>
        <v>0.78362552237370431</v>
      </c>
      <c r="I149" s="546"/>
      <c r="J149" s="553">
        <f>H149/DAY(B2)</f>
        <v>9.7953190296713039E-2</v>
      </c>
      <c r="N149" s="382"/>
    </row>
    <row r="150" spans="1:14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2214</v>
      </c>
      <c r="H150" s="460">
        <f>G150+'7'!H150</f>
        <v>15318.399999999965</v>
      </c>
      <c r="I150" s="546"/>
      <c r="J150" s="553">
        <f>H150/DAY(B2)</f>
        <v>1914.7999999999956</v>
      </c>
      <c r="N150" s="382"/>
    </row>
    <row r="151" spans="1:14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9.8308245637405089E-2</v>
      </c>
      <c r="H151" s="460">
        <f>G151+'7'!H151</f>
        <v>0.7095568281651472</v>
      </c>
      <c r="I151" s="480"/>
      <c r="J151" s="553">
        <f>H151/DAY(B2)</f>
        <v>8.86946035206434E-2</v>
      </c>
      <c r="N151" s="382"/>
    </row>
    <row r="152" spans="1:14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1483</v>
      </c>
      <c r="H152" s="460">
        <f>G152+'7'!H152</f>
        <v>47025.16</v>
      </c>
      <c r="I152" s="480"/>
      <c r="J152" s="553">
        <f>H152/DAY(B2)</f>
        <v>5878.1450000000004</v>
      </c>
      <c r="N152" s="382"/>
    </row>
    <row r="153" spans="1:14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6.5849651436437104E-2</v>
      </c>
      <c r="H153" s="460">
        <f>G153+'7'!H153</f>
        <v>2.2771435874052486</v>
      </c>
      <c r="I153" s="569"/>
      <c r="J153" s="570">
        <f>H153/DAY(B2)</f>
        <v>0.28464294842565607</v>
      </c>
      <c r="N153" s="382"/>
    </row>
    <row r="154" spans="1:14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57" spans="1:14" ht="27.7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1067">
        <f>'7'!F160</f>
        <v>31391</v>
      </c>
      <c r="F160" s="663">
        <v>31478</v>
      </c>
      <c r="G160" s="473">
        <f t="shared" ref="G160:G171" si="16">F160-E160</f>
        <v>87</v>
      </c>
    </row>
    <row r="161" spans="1:7">
      <c r="A161" s="790" t="s">
        <v>264</v>
      </c>
      <c r="B161" s="791"/>
      <c r="C161" s="791"/>
      <c r="D161" s="511" t="s">
        <v>187</v>
      </c>
      <c r="E161" s="1067">
        <f>'7'!F161</f>
        <v>58261</v>
      </c>
      <c r="F161" s="663">
        <v>58750</v>
      </c>
      <c r="G161" s="473">
        <f t="shared" si="16"/>
        <v>489</v>
      </c>
    </row>
    <row r="162" spans="1:7">
      <c r="A162" s="790" t="s">
        <v>265</v>
      </c>
      <c r="B162" s="791"/>
      <c r="C162" s="791"/>
      <c r="D162" s="511" t="s">
        <v>187</v>
      </c>
      <c r="E162" s="1067">
        <f>'7'!F162</f>
        <v>22538</v>
      </c>
      <c r="F162" s="663">
        <v>22823</v>
      </c>
      <c r="G162" s="473">
        <f t="shared" si="16"/>
        <v>285</v>
      </c>
    </row>
    <row r="163" spans="1:7">
      <c r="A163" s="790" t="s">
        <v>266</v>
      </c>
      <c r="B163" s="791"/>
      <c r="C163" s="791"/>
      <c r="D163" s="511" t="s">
        <v>187</v>
      </c>
      <c r="E163" s="1067">
        <f>'7'!F163</f>
        <v>5515</v>
      </c>
      <c r="F163" s="663">
        <v>5527</v>
      </c>
      <c r="G163" s="473">
        <f t="shared" si="16"/>
        <v>12</v>
      </c>
    </row>
    <row r="164" spans="1:7">
      <c r="A164" s="792" t="s">
        <v>98</v>
      </c>
      <c r="B164" s="605"/>
      <c r="C164" s="605"/>
      <c r="D164" s="511" t="s">
        <v>187</v>
      </c>
      <c r="E164" s="1067">
        <f>'7'!F164</f>
        <v>20419</v>
      </c>
      <c r="F164" s="514">
        <f>F62</f>
        <v>20419</v>
      </c>
      <c r="G164" s="473">
        <f t="shared" si="16"/>
        <v>0</v>
      </c>
    </row>
    <row r="165" spans="1:7">
      <c r="A165" s="792" t="s">
        <v>188</v>
      </c>
      <c r="B165" s="605"/>
      <c r="C165" s="605"/>
      <c r="D165" s="511" t="s">
        <v>187</v>
      </c>
      <c r="E165" s="1067">
        <f>'7'!F165</f>
        <v>1797</v>
      </c>
      <c r="F165" s="514">
        <f t="shared" ref="F165:F171" si="17">F63</f>
        <v>1809</v>
      </c>
      <c r="G165" s="473">
        <f t="shared" si="16"/>
        <v>12</v>
      </c>
    </row>
    <row r="166" spans="1:7" ht="27.75">
      <c r="A166" s="1460" t="s">
        <v>99</v>
      </c>
      <c r="B166" s="1460"/>
      <c r="C166" s="1460"/>
      <c r="D166" s="523" t="s">
        <v>187</v>
      </c>
      <c r="E166" s="1067">
        <f>'7'!F166</f>
        <v>127265</v>
      </c>
      <c r="F166" s="514">
        <f t="shared" si="17"/>
        <v>127792</v>
      </c>
      <c r="G166" s="473">
        <f t="shared" si="16"/>
        <v>527</v>
      </c>
    </row>
    <row r="167" spans="1:7" ht="27.75">
      <c r="A167" s="1460" t="s">
        <v>100</v>
      </c>
      <c r="B167" s="1460"/>
      <c r="C167" s="1460"/>
      <c r="D167" s="523" t="s">
        <v>187</v>
      </c>
      <c r="E167" s="1067">
        <f>'7'!F167</f>
        <v>135234</v>
      </c>
      <c r="F167" s="514">
        <f t="shared" si="17"/>
        <v>135612</v>
      </c>
      <c r="G167" s="473">
        <f t="shared" si="16"/>
        <v>378</v>
      </c>
    </row>
    <row r="168" spans="1:7" ht="27.75">
      <c r="A168" s="1460" t="s">
        <v>101</v>
      </c>
      <c r="B168" s="1460"/>
      <c r="C168" s="1460"/>
      <c r="D168" s="523" t="s">
        <v>187</v>
      </c>
      <c r="E168" s="1067">
        <f>'7'!F168</f>
        <v>27966</v>
      </c>
      <c r="F168" s="514">
        <f t="shared" si="17"/>
        <v>28345</v>
      </c>
      <c r="G168" s="473">
        <f t="shared" si="16"/>
        <v>379</v>
      </c>
    </row>
    <row r="169" spans="1:7" ht="27.75">
      <c r="A169" s="1460" t="s">
        <v>102</v>
      </c>
      <c r="B169" s="1460"/>
      <c r="C169" s="1460"/>
      <c r="D169" s="523" t="s">
        <v>187</v>
      </c>
      <c r="E169" s="1067">
        <f>'7'!F169</f>
        <v>212624</v>
      </c>
      <c r="F169" s="514">
        <f t="shared" si="17"/>
        <v>213302</v>
      </c>
      <c r="G169" s="473">
        <f t="shared" si="16"/>
        <v>678</v>
      </c>
    </row>
    <row r="170" spans="1:7" ht="27.75">
      <c r="A170" s="1460" t="s">
        <v>103</v>
      </c>
      <c r="B170" s="1460"/>
      <c r="C170" s="1460"/>
      <c r="D170" s="523" t="s">
        <v>187</v>
      </c>
      <c r="E170" s="1067">
        <f>'7'!F170</f>
        <v>75071</v>
      </c>
      <c r="F170" s="514">
        <f t="shared" si="17"/>
        <v>75414</v>
      </c>
      <c r="G170" s="473">
        <f t="shared" si="16"/>
        <v>343</v>
      </c>
    </row>
    <row r="171" spans="1:7" ht="27.75">
      <c r="A171" s="1460" t="s">
        <v>104</v>
      </c>
      <c r="B171" s="1460"/>
      <c r="C171" s="1460"/>
      <c r="D171" s="523" t="s">
        <v>187</v>
      </c>
      <c r="E171" s="1067">
        <f>'7'!F171</f>
        <v>66722</v>
      </c>
      <c r="F171" s="514">
        <f t="shared" si="17"/>
        <v>67053</v>
      </c>
      <c r="G171" s="473">
        <f t="shared" si="16"/>
        <v>331</v>
      </c>
    </row>
    <row r="176" spans="1:7" ht="18.75" customHeight="1"/>
    <row r="184" ht="20.25" customHeight="1"/>
    <row r="185" ht="20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2.88671875" style="454" customWidth="1"/>
    <col min="2" max="2" width="31.77734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4" s="281" customFormat="1" ht="27">
      <c r="A2" s="576" t="s">
        <v>321</v>
      </c>
      <c r="B2" s="1038">
        <v>44264</v>
      </c>
      <c r="C2" s="1150" t="s">
        <v>69</v>
      </c>
      <c r="D2" s="612">
        <v>0.45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281" t="s">
        <v>118</v>
      </c>
    </row>
    <row r="3" spans="1:14" s="281" customFormat="1" ht="27">
      <c r="A3" s="571"/>
      <c r="B3" s="615"/>
      <c r="C3" s="1150" t="s">
        <v>120</v>
      </c>
      <c r="D3" s="613">
        <v>29</v>
      </c>
      <c r="E3" s="1432" t="s">
        <v>121</v>
      </c>
      <c r="F3" s="1433"/>
      <c r="G3" s="462"/>
      <c r="H3" s="463"/>
      <c r="I3" s="463"/>
      <c r="J3" s="616"/>
      <c r="K3" s="371"/>
      <c r="L3" s="292"/>
    </row>
    <row r="4" spans="1:14" s="281" customFormat="1" ht="27">
      <c r="A4" s="577"/>
      <c r="B4" s="617"/>
      <c r="C4" s="1150" t="s">
        <v>122</v>
      </c>
      <c r="D4" s="612">
        <v>0.78</v>
      </c>
      <c r="E4" s="464"/>
      <c r="F4" s="464"/>
      <c r="G4" s="464"/>
      <c r="H4" s="464"/>
      <c r="I4" s="465"/>
      <c r="J4" s="616"/>
      <c r="K4" s="372"/>
      <c r="L4" s="292"/>
    </row>
    <row r="5" spans="1:1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  <c r="N5" s="376" t="s">
        <v>126</v>
      </c>
    </row>
    <row r="6" spans="1:14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4" ht="30" thickBot="1">
      <c r="A7" s="681" t="s">
        <v>131</v>
      </c>
      <c r="B7" s="682"/>
      <c r="C7" s="682"/>
      <c r="D7" s="639" t="s">
        <v>132</v>
      </c>
      <c r="E7" s="634">
        <f>'8'!F7</f>
        <v>4617148</v>
      </c>
      <c r="F7" s="455">
        <v>4638060</v>
      </c>
      <c r="G7" s="683">
        <f>F7-E7</f>
        <v>20912</v>
      </c>
      <c r="H7" s="684">
        <f>G7+'8'!H7</f>
        <v>192983</v>
      </c>
      <c r="I7" s="685">
        <f>'1'!I7</f>
        <v>12000</v>
      </c>
      <c r="J7" s="686">
        <f>H7/DAY(B2)</f>
        <v>21442.555555555555</v>
      </c>
      <c r="K7" s="550"/>
      <c r="L7" s="377"/>
      <c r="N7" s="382">
        <v>11359</v>
      </c>
    </row>
    <row r="8" spans="1:14" ht="27.75" thickBot="1">
      <c r="A8" s="687" t="s">
        <v>133</v>
      </c>
      <c r="B8" s="688"/>
      <c r="C8" s="689"/>
      <c r="D8" s="690" t="s">
        <v>25</v>
      </c>
      <c r="E8" s="634">
        <f>'8'!F8</f>
        <v>4646286</v>
      </c>
      <c r="F8" s="475">
        <v>4667409</v>
      </c>
      <c r="G8" s="694">
        <f>F8-E8</f>
        <v>21123</v>
      </c>
      <c r="H8" s="684">
        <f>G8+'8'!H8</f>
        <v>194253</v>
      </c>
      <c r="I8" s="691">
        <v>12000</v>
      </c>
      <c r="J8" s="686">
        <f>H8/DAY(B2)</f>
        <v>21583.666666666668</v>
      </c>
      <c r="K8" s="550"/>
      <c r="L8" s="425"/>
      <c r="M8" s="440"/>
      <c r="N8" s="382">
        <v>11487</v>
      </c>
    </row>
    <row r="9" spans="1:14">
      <c r="A9" s="692" t="s">
        <v>134</v>
      </c>
      <c r="B9" s="693"/>
      <c r="C9" s="693"/>
      <c r="D9" s="639" t="s">
        <v>132</v>
      </c>
      <c r="E9" s="634">
        <f>'8'!F9</f>
        <v>124354</v>
      </c>
      <c r="F9" s="478">
        <v>124354</v>
      </c>
      <c r="G9" s="707">
        <f t="shared" ref="G9:G12" si="0">F9-E9</f>
        <v>0</v>
      </c>
      <c r="H9" s="684">
        <f>G9+'8'!H9</f>
        <v>37444.990000000005</v>
      </c>
      <c r="I9" s="695">
        <f>I7-J7</f>
        <v>-9442.5555555555547</v>
      </c>
      <c r="J9" s="686">
        <f>H9/DAY(B2)</f>
        <v>4160.5544444444449</v>
      </c>
      <c r="K9" s="428"/>
      <c r="L9" s="377"/>
      <c r="N9" s="382">
        <v>11077</v>
      </c>
    </row>
    <row r="10" spans="1:14">
      <c r="A10" s="681" t="s">
        <v>135</v>
      </c>
      <c r="B10" s="682"/>
      <c r="C10" s="682"/>
      <c r="D10" s="639" t="s">
        <v>132</v>
      </c>
      <c r="E10" s="634">
        <f>'8'!F10</f>
        <v>154479</v>
      </c>
      <c r="F10" s="478">
        <v>174625</v>
      </c>
      <c r="G10" s="694">
        <f t="shared" si="0"/>
        <v>20146</v>
      </c>
      <c r="H10" s="684">
        <f>G10+'8'!H10</f>
        <v>148929.44</v>
      </c>
      <c r="I10" s="696"/>
      <c r="J10" s="686">
        <f>H10/DAY(B2)</f>
        <v>16547.715555555555</v>
      </c>
      <c r="K10" s="428"/>
      <c r="L10" s="377"/>
      <c r="N10" s="382">
        <v>0</v>
      </c>
    </row>
    <row r="11" spans="1:14">
      <c r="A11" s="681" t="s">
        <v>136</v>
      </c>
      <c r="B11" s="682"/>
      <c r="C11" s="682"/>
      <c r="D11" s="639" t="s">
        <v>132</v>
      </c>
      <c r="E11" s="634">
        <f>'8'!F11</f>
        <v>37000</v>
      </c>
      <c r="F11" s="455">
        <v>37000</v>
      </c>
      <c r="G11" s="694">
        <f t="shared" si="0"/>
        <v>0</v>
      </c>
      <c r="H11" s="684">
        <f>G11+'8'!H11</f>
        <v>0</v>
      </c>
      <c r="I11" s="696"/>
      <c r="J11" s="686">
        <f>H11/DAY(B2)</f>
        <v>0</v>
      </c>
      <c r="K11" s="428"/>
      <c r="L11" s="377"/>
      <c r="N11" s="382">
        <v>0</v>
      </c>
    </row>
    <row r="12" spans="1:14">
      <c r="A12" s="681" t="s">
        <v>137</v>
      </c>
      <c r="B12" s="682"/>
      <c r="C12" s="682"/>
      <c r="D12" s="639" t="s">
        <v>132</v>
      </c>
      <c r="E12" s="634">
        <f>'8'!F12</f>
        <v>40010</v>
      </c>
      <c r="F12" s="478">
        <v>40010</v>
      </c>
      <c r="G12" s="694">
        <f t="shared" si="0"/>
        <v>0</v>
      </c>
      <c r="H12" s="684">
        <f>G12+'8'!H12</f>
        <v>0</v>
      </c>
      <c r="I12" s="696"/>
      <c r="J12" s="686">
        <f>H12/DAY(B2)</f>
        <v>0</v>
      </c>
      <c r="K12" s="428"/>
      <c r="L12" s="377"/>
      <c r="N12" s="382">
        <v>0</v>
      </c>
    </row>
    <row r="13" spans="1:14">
      <c r="A13" s="697" t="s">
        <v>138</v>
      </c>
      <c r="B13" s="698"/>
      <c r="C13" s="698"/>
      <c r="D13" s="639"/>
      <c r="E13" s="634"/>
      <c r="F13" s="455"/>
      <c r="G13" s="699">
        <f>G9+G10+G11+G12</f>
        <v>20146</v>
      </c>
      <c r="H13" s="684">
        <f>G13+'8'!H13</f>
        <v>186374.43</v>
      </c>
      <c r="I13" s="700">
        <f>G7-G13</f>
        <v>766</v>
      </c>
      <c r="J13" s="686">
        <f>H13/DAY(B2)</f>
        <v>20708.27</v>
      </c>
      <c r="K13" s="428"/>
      <c r="L13" s="377"/>
      <c r="N13" s="382">
        <v>11077</v>
      </c>
    </row>
    <row r="14" spans="1:14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N14" s="382"/>
    </row>
    <row r="15" spans="1:14">
      <c r="A15" s="1186" t="s">
        <v>140</v>
      </c>
      <c r="B15" s="1187"/>
      <c r="C15" s="1187"/>
      <c r="D15" s="1188" t="s">
        <v>141</v>
      </c>
      <c r="E15" s="705">
        <f>'8'!F15</f>
        <v>1627095.85</v>
      </c>
      <c r="F15" s="705">
        <v>1627874.87</v>
      </c>
      <c r="G15" s="683">
        <f>(F15-E15)</f>
        <v>779.02000000001863</v>
      </c>
      <c r="H15" s="1181">
        <f>G15+'8'!H15</f>
        <v>7996.2600000000093</v>
      </c>
      <c r="I15" s="1182">
        <v>800</v>
      </c>
      <c r="J15" s="1183">
        <f>H15/DAY(B2)</f>
        <v>888.47333333333438</v>
      </c>
      <c r="K15" s="1175"/>
      <c r="L15" s="1176"/>
      <c r="M15" s="1177"/>
      <c r="N15" s="1178">
        <v>330.54600000008941</v>
      </c>
    </row>
    <row r="16" spans="1:14">
      <c r="A16" s="1179"/>
      <c r="B16" s="1180"/>
      <c r="C16" s="1180"/>
      <c r="D16" s="1173"/>
      <c r="E16" s="1174"/>
      <c r="F16" s="1174"/>
      <c r="G16" s="1184"/>
      <c r="H16" s="1181"/>
      <c r="I16" s="1185">
        <f>I15-J15</f>
        <v>-88.473333333334381</v>
      </c>
      <c r="J16" s="1183"/>
      <c r="K16" s="1175"/>
      <c r="L16" s="1176"/>
      <c r="M16" s="1177"/>
      <c r="N16" s="1178"/>
    </row>
    <row r="17" spans="1:14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>
      <c r="A18" s="1464" t="s">
        <v>143</v>
      </c>
      <c r="B18" s="1465"/>
      <c r="C18" s="1466"/>
      <c r="D18" s="639" t="s">
        <v>144</v>
      </c>
      <c r="E18" s="636">
        <f>'8'!F18</f>
        <v>14</v>
      </c>
      <c r="F18" s="478">
        <v>12</v>
      </c>
      <c r="G18" s="699">
        <f>F18*10</f>
        <v>120</v>
      </c>
      <c r="H18" s="684">
        <f>G18+'8'!H18</f>
        <v>1340</v>
      </c>
      <c r="I18" s="685">
        <v>65</v>
      </c>
      <c r="J18" s="686">
        <f>H18/DAY(B2)</f>
        <v>148.88888888888889</v>
      </c>
      <c r="K18" s="428"/>
      <c r="L18" s="377"/>
      <c r="N18" s="382">
        <v>0</v>
      </c>
    </row>
    <row r="19" spans="1:14" ht="27.75">
      <c r="A19" s="1464" t="s">
        <v>71</v>
      </c>
      <c r="B19" s="1465"/>
      <c r="C19" s="1466"/>
      <c r="D19" s="639" t="s">
        <v>144</v>
      </c>
      <c r="E19" s="636">
        <f>'8'!F19</f>
        <v>134878</v>
      </c>
      <c r="F19" s="478">
        <v>134930</v>
      </c>
      <c r="G19" s="694">
        <f t="shared" ref="G19" si="1">F19-E19</f>
        <v>52</v>
      </c>
      <c r="H19" s="684">
        <f>G19+'8'!H19</f>
        <v>462</v>
      </c>
      <c r="I19" s="701"/>
      <c r="J19" s="686">
        <f>H19/DAY(B2)</f>
        <v>51.333333333333336</v>
      </c>
      <c r="K19" s="428"/>
      <c r="L19" s="377"/>
      <c r="N19" s="382">
        <v>55</v>
      </c>
    </row>
    <row r="20" spans="1:14">
      <c r="A20" s="697" t="s">
        <v>145</v>
      </c>
      <c r="B20" s="698"/>
      <c r="C20" s="698"/>
      <c r="D20" s="639"/>
      <c r="E20" s="639"/>
      <c r="F20" s="524"/>
      <c r="G20" s="702">
        <f>G18+G19</f>
        <v>172</v>
      </c>
      <c r="H20" s="684">
        <f>G20+'8'!H20</f>
        <v>1802</v>
      </c>
      <c r="I20" s="703">
        <f>I18-J20</f>
        <v>-135.22222222222223</v>
      </c>
      <c r="J20" s="686">
        <f>H20/DAY(B2)</f>
        <v>200.22222222222223</v>
      </c>
      <c r="K20" s="428"/>
      <c r="L20" s="377"/>
      <c r="N20" s="382">
        <v>55</v>
      </c>
    </row>
    <row r="21" spans="1:14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>
      <c r="A22" s="1148" t="s">
        <v>147</v>
      </c>
      <c r="B22" s="590"/>
      <c r="C22" s="590"/>
      <c r="D22" s="523" t="s">
        <v>148</v>
      </c>
      <c r="E22" s="636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3">
        <f>H22/DAY(B2)</f>
        <v>0</v>
      </c>
      <c r="K22" s="428"/>
      <c r="L22" s="377"/>
      <c r="N22" s="382">
        <v>0</v>
      </c>
    </row>
    <row r="23" spans="1:14">
      <c r="A23" s="1148" t="s">
        <v>149</v>
      </c>
      <c r="B23" s="590"/>
      <c r="C23" s="590"/>
      <c r="D23" s="523" t="s">
        <v>148</v>
      </c>
      <c r="E23" s="636">
        <f>'8'!F23</f>
        <v>2900</v>
      </c>
      <c r="F23" s="478">
        <v>2900</v>
      </c>
      <c r="G23" s="481">
        <v>0</v>
      </c>
      <c r="H23" s="460">
        <f>G23+'8'!H23</f>
        <v>0</v>
      </c>
      <c r="I23" s="480"/>
      <c r="J23" s="553">
        <f>H23/DAY(B2)</f>
        <v>0</v>
      </c>
      <c r="K23" s="428"/>
      <c r="L23" s="377"/>
      <c r="N23" s="382">
        <v>0</v>
      </c>
    </row>
    <row r="24" spans="1:14">
      <c r="A24" s="591" t="s">
        <v>150</v>
      </c>
      <c r="B24" s="592"/>
      <c r="C24" s="592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3">
        <f>H24/DAY(B2)</f>
        <v>0</v>
      </c>
      <c r="K24" s="428"/>
      <c r="L24" s="377"/>
      <c r="N24" s="382">
        <v>0</v>
      </c>
    </row>
    <row r="25" spans="1:14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21123</v>
      </c>
      <c r="F27" s="501">
        <v>9</v>
      </c>
      <c r="G27" s="502">
        <f>E27*F27</f>
        <v>190107</v>
      </c>
      <c r="H27" s="460">
        <f>G27+'8'!H27</f>
        <v>1748277</v>
      </c>
      <c r="I27" s="503"/>
      <c r="J27" s="553">
        <f>H27/DAY(B2)</f>
        <v>194253</v>
      </c>
      <c r="K27" s="373"/>
      <c r="L27" s="443"/>
      <c r="N27" s="382">
        <v>114870</v>
      </c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779.02000000001863</v>
      </c>
      <c r="F28" s="501">
        <v>48.88</v>
      </c>
      <c r="G28" s="502">
        <f>E28*F28</f>
        <v>38078.497600000912</v>
      </c>
      <c r="H28" s="460">
        <f>G28+'8'!H28</f>
        <v>390857.18880000047</v>
      </c>
      <c r="I28" s="505"/>
      <c r="J28" s="553">
        <f>H28/DAY(B2)</f>
        <v>43428.576533333384</v>
      </c>
      <c r="K28" s="373"/>
      <c r="L28" s="443"/>
      <c r="N28" s="382">
        <v>11569.110000003129</v>
      </c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3">
        <f>H29/DAY(B2)</f>
        <v>0</v>
      </c>
      <c r="K29" s="373"/>
      <c r="L29" s="443"/>
      <c r="N29" s="382">
        <v>0</v>
      </c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52</v>
      </c>
      <c r="F30" s="501">
        <v>134</v>
      </c>
      <c r="G30" s="502">
        <f>E30*F30</f>
        <v>6968</v>
      </c>
      <c r="H30" s="460">
        <f>G30+'8'!H30</f>
        <v>79596</v>
      </c>
      <c r="I30" s="505"/>
      <c r="J30" s="553">
        <f>H30/DAY(B2)</f>
        <v>8844</v>
      </c>
      <c r="K30" s="373"/>
      <c r="L30" s="443"/>
      <c r="N30" s="382">
        <v>7370</v>
      </c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120</v>
      </c>
      <c r="F31" s="501">
        <v>80</v>
      </c>
      <c r="G31" s="502">
        <f>E31*F31</f>
        <v>9600</v>
      </c>
      <c r="H31" s="460">
        <f>G31+'8'!H31</f>
        <v>96640</v>
      </c>
      <c r="I31" s="505"/>
      <c r="J31" s="553">
        <f>H31/DAY(B2)</f>
        <v>10737.777777777777</v>
      </c>
      <c r="K31" s="373"/>
      <c r="L31" s="443"/>
      <c r="N31" s="382">
        <v>0</v>
      </c>
    </row>
    <row r="32" spans="1:14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244753.4976000009</v>
      </c>
      <c r="H32" s="460">
        <f>G32+'8'!H32</f>
        <v>2315370.1888000006</v>
      </c>
      <c r="I32" s="509"/>
      <c r="J32" s="553">
        <f>H32/DAY(B2)</f>
        <v>257263.35431111118</v>
      </c>
      <c r="K32" s="373"/>
      <c r="L32" s="443"/>
      <c r="N32" s="382">
        <v>133809.11000000313</v>
      </c>
    </row>
    <row r="33" spans="1:14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382"/>
    </row>
    <row r="34" spans="1:14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>
      <c r="A35" s="579" t="s">
        <v>164</v>
      </c>
      <c r="B35" s="580"/>
      <c r="C35" s="580"/>
      <c r="D35" s="523" t="s">
        <v>132</v>
      </c>
      <c r="E35" s="510">
        <f>'8'!F35</f>
        <v>720037</v>
      </c>
      <c r="F35" s="510">
        <v>723418</v>
      </c>
      <c r="G35" s="473">
        <f t="shared" ref="G35:G46" si="3">F35-E35</f>
        <v>3381</v>
      </c>
      <c r="H35" s="460">
        <f>G35+'8'!H35</f>
        <v>30330.410000000033</v>
      </c>
      <c r="I35" s="455"/>
      <c r="J35" s="553">
        <f>H35/DAY(B2)</f>
        <v>3370.0455555555591</v>
      </c>
      <c r="K35" s="428"/>
      <c r="L35" s="377"/>
      <c r="N35" s="382">
        <v>1380.8400000000256</v>
      </c>
    </row>
    <row r="36" spans="1:14">
      <c r="A36" s="579" t="s">
        <v>165</v>
      </c>
      <c r="B36" s="580"/>
      <c r="C36" s="580"/>
      <c r="D36" s="523" t="s">
        <v>132</v>
      </c>
      <c r="E36" s="510">
        <f>'8'!F36</f>
        <v>301611</v>
      </c>
      <c r="F36" s="510">
        <v>302278</v>
      </c>
      <c r="G36" s="473">
        <f t="shared" si="3"/>
        <v>667</v>
      </c>
      <c r="H36" s="460">
        <f>G36+'8'!H36</f>
        <v>5832.429999999993</v>
      </c>
      <c r="I36" s="455"/>
      <c r="J36" s="553">
        <f>H36/DAY(B2)</f>
        <v>648.04777777777701</v>
      </c>
      <c r="K36" s="428"/>
      <c r="L36" s="377"/>
      <c r="N36" s="629">
        <v>514.63999999999942</v>
      </c>
    </row>
    <row r="37" spans="1:14">
      <c r="A37" s="579" t="s">
        <v>166</v>
      </c>
      <c r="B37" s="580"/>
      <c r="C37" s="580"/>
      <c r="D37" s="523" t="s">
        <v>132</v>
      </c>
      <c r="E37" s="510">
        <f>'8'!F37</f>
        <v>35167</v>
      </c>
      <c r="F37" s="510">
        <v>35167</v>
      </c>
      <c r="G37" s="473">
        <f t="shared" si="3"/>
        <v>0</v>
      </c>
      <c r="H37" s="460">
        <f>G37+'8'!H37</f>
        <v>38272.080000000002</v>
      </c>
      <c r="I37" s="455"/>
      <c r="J37" s="553">
        <f>H37/DAY(B2)</f>
        <v>4252.4533333333338</v>
      </c>
      <c r="K37" s="428"/>
      <c r="L37" s="377"/>
      <c r="N37" s="630">
        <v>1164.4599999999919</v>
      </c>
    </row>
    <row r="38" spans="1:14">
      <c r="A38" s="579" t="s">
        <v>167</v>
      </c>
      <c r="B38" s="580"/>
      <c r="C38" s="580"/>
      <c r="D38" s="523" t="s">
        <v>132</v>
      </c>
      <c r="E38" s="510">
        <f>'8'!F38</f>
        <v>48333</v>
      </c>
      <c r="F38" s="469">
        <v>48333</v>
      </c>
      <c r="G38" s="473">
        <f t="shared" si="3"/>
        <v>0</v>
      </c>
      <c r="H38" s="460">
        <f>G38+'8'!H38</f>
        <v>4519.510000000002</v>
      </c>
      <c r="I38" s="455"/>
      <c r="J38" s="553">
        <f>H38/DAY(B2)</f>
        <v>502.16777777777799</v>
      </c>
      <c r="K38" s="428"/>
      <c r="L38" s="377"/>
      <c r="N38" s="382">
        <v>0</v>
      </c>
    </row>
    <row r="39" spans="1:14">
      <c r="A39" s="579" t="s">
        <v>168</v>
      </c>
      <c r="B39" s="580"/>
      <c r="C39" s="580"/>
      <c r="D39" s="523" t="s">
        <v>132</v>
      </c>
      <c r="E39" s="510">
        <f>'8'!F39</f>
        <v>100066</v>
      </c>
      <c r="F39" s="510">
        <v>100066</v>
      </c>
      <c r="G39" s="473">
        <f t="shared" si="3"/>
        <v>0</v>
      </c>
      <c r="H39" s="460">
        <f>G39+'8'!H39</f>
        <v>109458.89</v>
      </c>
      <c r="I39" s="455"/>
      <c r="J39" s="553">
        <f>H39/DAY(B2)</f>
        <v>12162.09888888889</v>
      </c>
      <c r="K39" s="428"/>
      <c r="L39" s="377"/>
      <c r="N39" s="382">
        <v>1951.1300000000047</v>
      </c>
    </row>
    <row r="40" spans="1:14">
      <c r="A40" s="600" t="s">
        <v>169</v>
      </c>
      <c r="B40" s="601"/>
      <c r="C40" s="601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G40+'8'!H40</f>
        <v>0</v>
      </c>
      <c r="I40" s="455"/>
      <c r="J40" s="553">
        <f>H40/DAY(B2)</f>
        <v>0</v>
      </c>
      <c r="K40" s="429"/>
      <c r="L40" s="377"/>
      <c r="N40" s="382">
        <v>0</v>
      </c>
    </row>
    <row r="41" spans="1:14">
      <c r="A41" s="579" t="s">
        <v>170</v>
      </c>
      <c r="B41" s="580"/>
      <c r="C41" s="580"/>
      <c r="D41" s="523" t="s">
        <v>132</v>
      </c>
      <c r="E41" s="510">
        <f>'8'!F41</f>
        <v>64767</v>
      </c>
      <c r="F41" s="510">
        <v>64767</v>
      </c>
      <c r="G41" s="473">
        <f t="shared" si="3"/>
        <v>0</v>
      </c>
      <c r="H41" s="460">
        <f>G41+'8'!H41</f>
        <v>884.62999999999738</v>
      </c>
      <c r="I41" s="455"/>
      <c r="J41" s="553">
        <f>H41/DAY(B2)</f>
        <v>98.292222222221937</v>
      </c>
      <c r="K41" s="428"/>
      <c r="L41" s="377"/>
      <c r="N41" s="382">
        <v>2876.3199999999779</v>
      </c>
    </row>
    <row r="42" spans="1:14">
      <c r="A42" s="579" t="s">
        <v>171</v>
      </c>
      <c r="B42" s="580"/>
      <c r="C42" s="580"/>
      <c r="D42" s="523" t="s">
        <v>132</v>
      </c>
      <c r="E42" s="510">
        <f>'8'!F42</f>
        <v>59128</v>
      </c>
      <c r="F42" s="510">
        <v>59128</v>
      </c>
      <c r="G42" s="473">
        <f t="shared" si="3"/>
        <v>0</v>
      </c>
      <c r="H42" s="460">
        <f>G42+'8'!H42</f>
        <v>-0.84999999999854481</v>
      </c>
      <c r="I42" s="455"/>
      <c r="J42" s="553">
        <f>H42/DAY(B2)</f>
        <v>-9.4444444444282752E-2</v>
      </c>
      <c r="K42" s="428"/>
      <c r="L42" s="377"/>
      <c r="N42" s="382">
        <v>0</v>
      </c>
    </row>
    <row r="43" spans="1:14">
      <c r="A43" s="579" t="s">
        <v>172</v>
      </c>
      <c r="B43" s="580"/>
      <c r="C43" s="580"/>
      <c r="D43" s="523" t="s">
        <v>132</v>
      </c>
      <c r="E43" s="510">
        <f>'8'!F43</f>
        <v>845521</v>
      </c>
      <c r="F43" s="510">
        <v>847898</v>
      </c>
      <c r="G43" s="473">
        <f t="shared" si="3"/>
        <v>2377</v>
      </c>
      <c r="H43" s="460">
        <f>G43+'8'!H43</f>
        <v>22000.170000000042</v>
      </c>
      <c r="I43" s="455"/>
      <c r="J43" s="553">
        <f>H43/DAY(B2)</f>
        <v>2444.4633333333381</v>
      </c>
      <c r="K43" s="428"/>
      <c r="L43" s="377"/>
      <c r="N43" s="382">
        <v>1531.2399999999907</v>
      </c>
    </row>
    <row r="44" spans="1:14">
      <c r="A44" s="579" t="s">
        <v>173</v>
      </c>
      <c r="B44" s="580"/>
      <c r="C44" s="580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3">
        <f>H44/DAY(B2)</f>
        <v>0</v>
      </c>
      <c r="K44" s="428"/>
      <c r="L44" s="377"/>
      <c r="N44" s="382">
        <v>0</v>
      </c>
    </row>
    <row r="45" spans="1:14">
      <c r="A45" s="579" t="s">
        <v>174</v>
      </c>
      <c r="B45" s="580"/>
      <c r="C45" s="580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3">
        <f>H45/DAY(B2)</f>
        <v>0</v>
      </c>
      <c r="K45" s="428"/>
      <c r="L45" s="377"/>
      <c r="N45" s="382">
        <v>0</v>
      </c>
    </row>
    <row r="46" spans="1:14">
      <c r="A46" s="579" t="s">
        <v>175</v>
      </c>
      <c r="B46" s="580"/>
      <c r="C46" s="580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3">
        <f>H46/DAY(B2)</f>
        <v>0</v>
      </c>
      <c r="K46" s="428"/>
      <c r="L46" s="377"/>
      <c r="N46" s="382">
        <v>0</v>
      </c>
    </row>
    <row r="47" spans="1:14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6425</v>
      </c>
      <c r="H47" s="460">
        <f>G47+'8'!H47</f>
        <v>211297.27000000008</v>
      </c>
      <c r="I47" s="455"/>
      <c r="J47" s="553">
        <f>H47/DAY(B2)</f>
        <v>23477.474444444451</v>
      </c>
      <c r="K47" s="428"/>
      <c r="L47" s="377"/>
      <c r="N47" s="382">
        <v>9418.6299999999901</v>
      </c>
    </row>
    <row r="48" spans="1:14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>
      <c r="A49" s="579" t="s">
        <v>164</v>
      </c>
      <c r="B49" s="602"/>
      <c r="C49" s="602"/>
      <c r="D49" s="523" t="s">
        <v>132</v>
      </c>
      <c r="E49" s="510">
        <f>'8'!F49</f>
        <v>260732</v>
      </c>
      <c r="F49" s="510">
        <v>260732</v>
      </c>
      <c r="G49" s="473">
        <f t="shared" ref="G49:G58" si="4">F49-E49</f>
        <v>0</v>
      </c>
      <c r="H49" s="460">
        <f>G49+'8'!H49</f>
        <v>-0.13000000000465661</v>
      </c>
      <c r="I49" s="455"/>
      <c r="J49" s="553">
        <f>H49/DAY(B2)</f>
        <v>-1.4444444444961846E-2</v>
      </c>
      <c r="K49" s="428"/>
      <c r="L49" s="377"/>
      <c r="N49" s="382">
        <v>0</v>
      </c>
    </row>
    <row r="50" spans="1:14">
      <c r="A50" s="579" t="s">
        <v>178</v>
      </c>
      <c r="B50" s="602"/>
      <c r="C50" s="602"/>
      <c r="D50" s="523" t="s">
        <v>132</v>
      </c>
      <c r="E50" s="510">
        <f>'8'!F50</f>
        <v>412616</v>
      </c>
      <c r="F50" s="510">
        <v>413644</v>
      </c>
      <c r="G50" s="473">
        <f t="shared" si="4"/>
        <v>1028</v>
      </c>
      <c r="H50" s="460">
        <f>G50+'8'!H50</f>
        <v>11180.969999999972</v>
      </c>
      <c r="I50" s="455"/>
      <c r="J50" s="553">
        <f>H50/DAY(B2)</f>
        <v>1242.329999999997</v>
      </c>
      <c r="K50" s="428"/>
      <c r="L50" s="377"/>
      <c r="N50" s="382">
        <v>609.48999999999069</v>
      </c>
    </row>
    <row r="51" spans="1:14">
      <c r="A51" s="579" t="s">
        <v>166</v>
      </c>
      <c r="B51" s="602"/>
      <c r="C51" s="602"/>
      <c r="D51" s="523" t="s">
        <v>132</v>
      </c>
      <c r="E51" s="510">
        <f>'8'!F51</f>
        <v>128804</v>
      </c>
      <c r="F51" s="510">
        <v>130295</v>
      </c>
      <c r="G51" s="473">
        <f t="shared" si="4"/>
        <v>1491</v>
      </c>
      <c r="H51" s="460">
        <f>G51+'8'!H51</f>
        <v>10244.080000000002</v>
      </c>
      <c r="I51" s="455"/>
      <c r="J51" s="553">
        <f>H51/DAY(B2)</f>
        <v>1138.2311111111112</v>
      </c>
      <c r="K51" s="428"/>
      <c r="L51" s="377"/>
      <c r="N51" s="382">
        <v>0</v>
      </c>
    </row>
    <row r="52" spans="1:14">
      <c r="A52" s="579" t="s">
        <v>179</v>
      </c>
      <c r="B52" s="602"/>
      <c r="C52" s="602"/>
      <c r="D52" s="523" t="s">
        <v>132</v>
      </c>
      <c r="E52" s="510">
        <f>'8'!F52</f>
        <v>520242</v>
      </c>
      <c r="F52" s="510">
        <v>522363</v>
      </c>
      <c r="G52" s="473">
        <f t="shared" si="4"/>
        <v>2121</v>
      </c>
      <c r="H52" s="460">
        <f>G52+'8'!H52</f>
        <v>14450.289999999979</v>
      </c>
      <c r="I52" s="455"/>
      <c r="J52" s="553">
        <f>H52/DAY(B2)</f>
        <v>1605.5877777777755</v>
      </c>
      <c r="K52" s="428"/>
      <c r="L52" s="377"/>
      <c r="N52" s="382">
        <v>1071.8899999999849</v>
      </c>
    </row>
    <row r="53" spans="1:14">
      <c r="A53" s="579" t="s">
        <v>168</v>
      </c>
      <c r="B53" s="602"/>
      <c r="C53" s="602"/>
      <c r="D53" s="523" t="s">
        <v>132</v>
      </c>
      <c r="E53" s="510">
        <f>'8'!F53</f>
        <v>356683</v>
      </c>
      <c r="F53" s="510">
        <v>360878</v>
      </c>
      <c r="G53" s="473">
        <f t="shared" si="4"/>
        <v>4195</v>
      </c>
      <c r="H53" s="460">
        <f>G53+'8'!H53</f>
        <v>29023.489999999991</v>
      </c>
      <c r="I53" s="455"/>
      <c r="J53" s="553">
        <f>H53/DAY(B2)</f>
        <v>3224.8322222222214</v>
      </c>
      <c r="K53" s="428"/>
      <c r="L53" s="377"/>
      <c r="N53" s="382">
        <v>85.455900000000838</v>
      </c>
    </row>
    <row r="54" spans="1:14">
      <c r="A54" s="579" t="s">
        <v>180</v>
      </c>
      <c r="B54" s="602"/>
      <c r="C54" s="602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G54+'8'!H54</f>
        <v>104.40000000000055</v>
      </c>
      <c r="I54" s="455"/>
      <c r="J54" s="553">
        <f>H54/DAY(B2)</f>
        <v>11.60000000000006</v>
      </c>
      <c r="K54" s="428"/>
      <c r="L54" s="377"/>
      <c r="N54" s="382">
        <v>0</v>
      </c>
    </row>
    <row r="55" spans="1:14">
      <c r="A55" s="579" t="s">
        <v>181</v>
      </c>
      <c r="B55" s="602"/>
      <c r="C55" s="602"/>
      <c r="D55" s="523" t="s">
        <v>132</v>
      </c>
      <c r="E55" s="510">
        <f>'8'!F55</f>
        <v>156663</v>
      </c>
      <c r="F55" s="658">
        <v>161778</v>
      </c>
      <c r="G55" s="657">
        <f t="shared" si="4"/>
        <v>5115</v>
      </c>
      <c r="H55" s="710">
        <f>G55+'8'!H55</f>
        <v>44192.31</v>
      </c>
      <c r="I55" s="711"/>
      <c r="J55" s="712">
        <f>H55/DAY(B2)</f>
        <v>4910.2566666666662</v>
      </c>
      <c r="K55" s="428"/>
      <c r="L55" s="377"/>
      <c r="N55" s="382">
        <v>0</v>
      </c>
    </row>
    <row r="56" spans="1:14">
      <c r="A56" s="579" t="s">
        <v>182</v>
      </c>
      <c r="B56" s="602"/>
      <c r="C56" s="602"/>
      <c r="D56" s="523" t="s">
        <v>183</v>
      </c>
      <c r="E56" s="510">
        <f>'8'!F56</f>
        <v>588761</v>
      </c>
      <c r="F56" s="658">
        <v>588761</v>
      </c>
      <c r="G56" s="473">
        <f t="shared" si="4"/>
        <v>0</v>
      </c>
      <c r="H56" s="460">
        <f>G56+'8'!H56</f>
        <v>2709.9699999999721</v>
      </c>
      <c r="I56" s="455"/>
      <c r="J56" s="553">
        <f>H56/DAY(B2)</f>
        <v>301.10777777777469</v>
      </c>
      <c r="K56" s="427"/>
      <c r="L56" s="377"/>
      <c r="N56" s="382">
        <v>0</v>
      </c>
    </row>
    <row r="57" spans="1:14">
      <c r="A57" s="579" t="s">
        <v>172</v>
      </c>
      <c r="B57" s="602"/>
      <c r="C57" s="602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-0.32999999999992724</v>
      </c>
      <c r="I57" s="455"/>
      <c r="J57" s="553">
        <f>H57/DAY(B2)</f>
        <v>-3.6666666666658583E-2</v>
      </c>
      <c r="K57" s="428"/>
      <c r="L57" s="377"/>
      <c r="N57" s="382">
        <v>0</v>
      </c>
    </row>
    <row r="58" spans="1:14">
      <c r="A58" s="579" t="s">
        <v>184</v>
      </c>
      <c r="B58" s="602"/>
      <c r="C58" s="602"/>
      <c r="D58" s="523" t="s">
        <v>132</v>
      </c>
      <c r="E58" s="510">
        <f>'8'!F58</f>
        <v>37460</v>
      </c>
      <c r="F58" s="658">
        <v>37646</v>
      </c>
      <c r="G58" s="473">
        <f t="shared" si="4"/>
        <v>186</v>
      </c>
      <c r="H58" s="460">
        <f>G58+'8'!H58</f>
        <v>1777.3000000000029</v>
      </c>
      <c r="I58" s="455"/>
      <c r="J58" s="553">
        <f>H58/DAY(B2)</f>
        <v>197.4777777777781</v>
      </c>
      <c r="K58" s="428"/>
      <c r="L58" s="377"/>
      <c r="N58" s="382">
        <v>-0.29700000000048021</v>
      </c>
    </row>
    <row r="59" spans="1:14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14136</v>
      </c>
      <c r="H59" s="460">
        <f>G59+'8'!H59</f>
        <v>113682.34999999992</v>
      </c>
      <c r="I59" s="455">
        <f>G7-G60</f>
        <v>351</v>
      </c>
      <c r="J59" s="553">
        <f>H59/DAY(B2)</f>
        <v>12631.372222222213</v>
      </c>
      <c r="K59" s="428"/>
      <c r="L59" s="377"/>
      <c r="N59" s="382">
        <v>1766.5388999999759</v>
      </c>
    </row>
    <row r="60" spans="1:14">
      <c r="A60" s="579"/>
      <c r="B60" s="580"/>
      <c r="C60" s="580"/>
      <c r="D60" s="511" t="s">
        <v>185</v>
      </c>
      <c r="E60" s="511"/>
      <c r="F60" s="511"/>
      <c r="G60" s="481">
        <f>G47+G59</f>
        <v>20561</v>
      </c>
      <c r="H60" s="460">
        <f>G60+'8'!H60</f>
        <v>324979.62</v>
      </c>
      <c r="I60" s="455">
        <f>G13-G60</f>
        <v>-415</v>
      </c>
      <c r="J60" s="553">
        <f>H60/DAY(B2)</f>
        <v>36108.846666666665</v>
      </c>
      <c r="K60" s="428"/>
      <c r="L60" s="377"/>
      <c r="N60" s="382">
        <v>11185.168899999966</v>
      </c>
    </row>
    <row r="61" spans="1:14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>
      <c r="A62" s="604" t="s">
        <v>98</v>
      </c>
      <c r="B62" s="605"/>
      <c r="C62" s="605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-0.18700000000171713</v>
      </c>
      <c r="I62" s="515"/>
      <c r="J62" s="553">
        <f>H62/DAY(B2)</f>
        <v>-2.0777777777968569E-2</v>
      </c>
      <c r="K62" s="428"/>
      <c r="L62" s="377"/>
      <c r="N62" s="382">
        <v>0</v>
      </c>
    </row>
    <row r="63" spans="1:14">
      <c r="A63" s="604" t="s">
        <v>188</v>
      </c>
      <c r="B63" s="605"/>
      <c r="C63" s="605"/>
      <c r="D63" s="511" t="s">
        <v>187</v>
      </c>
      <c r="E63" s="514">
        <f>'8'!F63</f>
        <v>1809</v>
      </c>
      <c r="F63" s="514">
        <v>1825</v>
      </c>
      <c r="G63" s="473">
        <f t="shared" si="5"/>
        <v>16</v>
      </c>
      <c r="H63" s="460">
        <f>G63+'8'!H63</f>
        <v>117.6400000000001</v>
      </c>
      <c r="I63" s="515"/>
      <c r="J63" s="553">
        <f>H63/DAY(B2)</f>
        <v>13.071111111111122</v>
      </c>
      <c r="K63" s="428"/>
      <c r="L63" s="377"/>
      <c r="N63" s="382">
        <v>0</v>
      </c>
    </row>
    <row r="64" spans="1:14" ht="27.75">
      <c r="A64" s="1408" t="s">
        <v>99</v>
      </c>
      <c r="B64" s="1409"/>
      <c r="C64" s="1410"/>
      <c r="D64" s="523" t="s">
        <v>187</v>
      </c>
      <c r="E64" s="514">
        <f>'8'!F64</f>
        <v>127792</v>
      </c>
      <c r="F64" s="478">
        <v>128296</v>
      </c>
      <c r="G64" s="473">
        <f t="shared" si="5"/>
        <v>504</v>
      </c>
      <c r="H64" s="460">
        <f>G64+'8'!H64</f>
        <v>4668.6999999999971</v>
      </c>
      <c r="I64" s="480"/>
      <c r="J64" s="553">
        <f>H64/DAY(B2)</f>
        <v>518.74444444444407</v>
      </c>
      <c r="K64" s="428"/>
      <c r="L64" s="377"/>
      <c r="N64" s="382">
        <v>161.90400000000227</v>
      </c>
    </row>
    <row r="65" spans="1:14" ht="27.75">
      <c r="A65" s="1408" t="s">
        <v>100</v>
      </c>
      <c r="B65" s="1409"/>
      <c r="C65" s="1410"/>
      <c r="D65" s="523" t="s">
        <v>187</v>
      </c>
      <c r="E65" s="514">
        <f>'8'!F65</f>
        <v>135612</v>
      </c>
      <c r="F65" s="656">
        <v>135987</v>
      </c>
      <c r="G65" s="473">
        <f t="shared" si="5"/>
        <v>375</v>
      </c>
      <c r="H65" s="460">
        <f>G65+'8'!H65</f>
        <v>3389.7000000000116</v>
      </c>
      <c r="I65" s="489"/>
      <c r="J65" s="553">
        <f>H65/DAY(B2)</f>
        <v>376.63333333333463</v>
      </c>
      <c r="K65" s="428"/>
      <c r="L65" s="377"/>
      <c r="N65" s="382">
        <v>215.74700000000303</v>
      </c>
    </row>
    <row r="66" spans="1:14" ht="27.75">
      <c r="A66" s="1408" t="s">
        <v>101</v>
      </c>
      <c r="B66" s="1409"/>
      <c r="C66" s="1410"/>
      <c r="D66" s="523" t="s">
        <v>187</v>
      </c>
      <c r="E66" s="514">
        <f>'8'!F66</f>
        <v>28345</v>
      </c>
      <c r="F66" s="478">
        <v>28723</v>
      </c>
      <c r="G66" s="473">
        <f t="shared" si="5"/>
        <v>378</v>
      </c>
      <c r="H66" s="460">
        <f>G66+'8'!H66</f>
        <v>3563.25</v>
      </c>
      <c r="I66" s="480"/>
      <c r="J66" s="553">
        <f>H66/DAY(B2)</f>
        <v>395.91666666666669</v>
      </c>
      <c r="K66" s="428"/>
      <c r="L66" s="377"/>
      <c r="N66" s="382">
        <v>243.63500000000204</v>
      </c>
    </row>
    <row r="67" spans="1:14" ht="27.75">
      <c r="A67" s="1408" t="s">
        <v>102</v>
      </c>
      <c r="B67" s="1409"/>
      <c r="C67" s="1410"/>
      <c r="D67" s="523" t="s">
        <v>187</v>
      </c>
      <c r="E67" s="514">
        <f>'8'!F67</f>
        <v>213302</v>
      </c>
      <c r="F67" s="478">
        <v>213978</v>
      </c>
      <c r="G67" s="473">
        <f t="shared" si="5"/>
        <v>676</v>
      </c>
      <c r="H67" s="460">
        <f>G67+'8'!H67</f>
        <v>6136.1700000000128</v>
      </c>
      <c r="I67" s="489"/>
      <c r="J67" s="553">
        <f>H67/DAY(B2)</f>
        <v>681.7966666666681</v>
      </c>
      <c r="K67" s="429"/>
      <c r="L67" s="377"/>
      <c r="N67" s="382">
        <v>74.99199999999837</v>
      </c>
    </row>
    <row r="68" spans="1:14" ht="27.75">
      <c r="A68" s="1408" t="s">
        <v>103</v>
      </c>
      <c r="B68" s="1409"/>
      <c r="C68" s="1410"/>
      <c r="D68" s="523" t="s">
        <v>187</v>
      </c>
      <c r="E68" s="514">
        <f>'8'!F68</f>
        <v>75414</v>
      </c>
      <c r="F68" s="478">
        <v>75751</v>
      </c>
      <c r="G68" s="473">
        <f t="shared" si="5"/>
        <v>337</v>
      </c>
      <c r="H68" s="460">
        <f>G68+'8'!H68</f>
        <v>3072.4799999999959</v>
      </c>
      <c r="I68" s="516"/>
      <c r="J68" s="553">
        <f>H68/DAY(B2)</f>
        <v>341.3866666666662</v>
      </c>
      <c r="K68" s="430"/>
      <c r="L68" s="377"/>
      <c r="N68" s="382">
        <v>92.599999999999909</v>
      </c>
    </row>
    <row r="69" spans="1:14" ht="27.75">
      <c r="A69" s="1408" t="s">
        <v>104</v>
      </c>
      <c r="B69" s="1409"/>
      <c r="C69" s="1410"/>
      <c r="D69" s="523" t="s">
        <v>187</v>
      </c>
      <c r="E69" s="514">
        <f>'8'!F69</f>
        <v>67053</v>
      </c>
      <c r="F69" s="478">
        <v>67385</v>
      </c>
      <c r="G69" s="473">
        <f t="shared" si="5"/>
        <v>332</v>
      </c>
      <c r="H69" s="460">
        <f>G69+'8'!H69</f>
        <v>2932.9100000000035</v>
      </c>
      <c r="I69" s="516"/>
      <c r="J69" s="553">
        <f>H69/DAY(B2)</f>
        <v>325.87888888888926</v>
      </c>
      <c r="K69" s="431"/>
      <c r="L69" s="377"/>
      <c r="N69" s="382">
        <v>12.727999999999156</v>
      </c>
    </row>
    <row r="70" spans="1:14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382"/>
    </row>
    <row r="71" spans="1:14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382"/>
    </row>
    <row r="72" spans="1:14" ht="27.75">
      <c r="A72" s="1408" t="s">
        <v>191</v>
      </c>
      <c r="B72" s="1409"/>
      <c r="C72" s="1410"/>
      <c r="D72" s="523" t="s">
        <v>187</v>
      </c>
      <c r="E72" s="519">
        <f>'8'!F72</f>
        <v>851251</v>
      </c>
      <c r="F72" s="659">
        <v>851351</v>
      </c>
      <c r="G72" s="473">
        <f t="shared" ref="G72:G84" si="6">F72-E72</f>
        <v>100</v>
      </c>
      <c r="H72" s="460">
        <f>G72+'8'!H72</f>
        <v>759</v>
      </c>
      <c r="I72" s="480"/>
      <c r="J72" s="553">
        <f>H72/DAY(B2)</f>
        <v>84.333333333333329</v>
      </c>
      <c r="K72" s="431"/>
      <c r="L72" s="377"/>
      <c r="N72" s="382">
        <v>11</v>
      </c>
    </row>
    <row r="73" spans="1:14" ht="27.75">
      <c r="A73" s="1408" t="s">
        <v>192</v>
      </c>
      <c r="B73" s="1409"/>
      <c r="C73" s="1410"/>
      <c r="D73" s="523" t="s">
        <v>187</v>
      </c>
      <c r="E73" s="519">
        <f>'8'!F73</f>
        <v>885774</v>
      </c>
      <c r="F73" s="660">
        <v>885775</v>
      </c>
      <c r="G73" s="657">
        <f t="shared" si="6"/>
        <v>1</v>
      </c>
      <c r="H73" s="460">
        <f>G73+'8'!H73</f>
        <v>3</v>
      </c>
      <c r="I73" s="480"/>
      <c r="J73" s="553">
        <f>H73/DAY(B2)</f>
        <v>0.33333333333333331</v>
      </c>
      <c r="K73" s="430"/>
      <c r="L73" s="377"/>
      <c r="N73" s="382">
        <v>2</v>
      </c>
    </row>
    <row r="74" spans="1:14" ht="27.75">
      <c r="A74" s="1408" t="s">
        <v>193</v>
      </c>
      <c r="B74" s="1409"/>
      <c r="C74" s="1410"/>
      <c r="D74" s="523" t="s">
        <v>187</v>
      </c>
      <c r="E74" s="519">
        <f>'8'!F74</f>
        <v>823</v>
      </c>
      <c r="F74" s="659">
        <v>847</v>
      </c>
      <c r="G74" s="473">
        <f t="shared" si="6"/>
        <v>24</v>
      </c>
      <c r="H74" s="460">
        <f>G74+'8'!H74</f>
        <v>260.83000000000004</v>
      </c>
      <c r="I74" s="480"/>
      <c r="J74" s="553">
        <f>H74/DAY(B2)</f>
        <v>28.981111111111115</v>
      </c>
      <c r="K74" s="431"/>
      <c r="L74" s="377"/>
      <c r="N74" s="382">
        <v>11</v>
      </c>
    </row>
    <row r="75" spans="1:14" ht="27.75">
      <c r="A75" s="1457" t="s">
        <v>194</v>
      </c>
      <c r="B75" s="1458"/>
      <c r="C75" s="1459"/>
      <c r="D75" s="523" t="s">
        <v>187</v>
      </c>
      <c r="E75" s="519">
        <f>'8'!F75</f>
        <v>4815</v>
      </c>
      <c r="F75" s="660">
        <v>4989</v>
      </c>
      <c r="G75" s="473">
        <f t="shared" si="6"/>
        <v>174</v>
      </c>
      <c r="H75" s="460">
        <f>G75+'8'!H75</f>
        <v>1469.7800000000002</v>
      </c>
      <c r="I75" s="480"/>
      <c r="J75" s="553">
        <f>H75/DAY(B2)</f>
        <v>163.3088888888889</v>
      </c>
      <c r="K75" s="430"/>
      <c r="L75" s="377"/>
      <c r="N75" s="382">
        <v>62</v>
      </c>
    </row>
    <row r="76" spans="1:14" ht="27.75">
      <c r="A76" s="1457" t="s">
        <v>195</v>
      </c>
      <c r="B76" s="1458"/>
      <c r="C76" s="1459"/>
      <c r="D76" s="523" t="s">
        <v>187</v>
      </c>
      <c r="E76" s="519">
        <f>'8'!F76</f>
        <v>2182</v>
      </c>
      <c r="F76" s="660">
        <v>2263</v>
      </c>
      <c r="G76" s="473">
        <f t="shared" si="6"/>
        <v>81</v>
      </c>
      <c r="H76" s="460">
        <f>G76+'8'!H76</f>
        <v>748.66000000000008</v>
      </c>
      <c r="I76" s="505"/>
      <c r="J76" s="553">
        <f>H76/DAY(B2)</f>
        <v>83.184444444444452</v>
      </c>
      <c r="K76" s="430"/>
      <c r="L76" s="377"/>
      <c r="N76" s="382">
        <v>4</v>
      </c>
    </row>
    <row r="77" spans="1:14" ht="27.75">
      <c r="A77" s="1408" t="s">
        <v>196</v>
      </c>
      <c r="B77" s="1409"/>
      <c r="C77" s="1410"/>
      <c r="D77" s="523" t="s">
        <v>187</v>
      </c>
      <c r="E77" s="519">
        <f>'8'!F77</f>
        <v>698993</v>
      </c>
      <c r="F77" s="660">
        <v>699058</v>
      </c>
      <c r="G77" s="657">
        <f t="shared" si="6"/>
        <v>65</v>
      </c>
      <c r="H77" s="460">
        <f>G77+'8'!H77</f>
        <v>470</v>
      </c>
      <c r="I77" s="505"/>
      <c r="J77" s="553">
        <f>H77/DAY(B2)</f>
        <v>52.222222222222221</v>
      </c>
      <c r="K77" s="430"/>
      <c r="L77" s="377"/>
      <c r="N77" s="382">
        <v>19</v>
      </c>
    </row>
    <row r="78" spans="1:14" ht="27.75">
      <c r="A78" s="1151" t="s">
        <v>197</v>
      </c>
      <c r="B78" s="1124"/>
      <c r="C78" s="1124"/>
      <c r="D78" s="523" t="s">
        <v>187</v>
      </c>
      <c r="E78" s="519">
        <f>'8'!F78</f>
        <v>655894</v>
      </c>
      <c r="F78" s="661">
        <v>656365</v>
      </c>
      <c r="G78" s="473">
        <f t="shared" si="6"/>
        <v>471</v>
      </c>
      <c r="H78" s="460">
        <f>G78+'8'!H78</f>
        <v>3502</v>
      </c>
      <c r="I78" s="505"/>
      <c r="J78" s="553">
        <f>H78/DAY(B2)</f>
        <v>389.11111111111109</v>
      </c>
      <c r="K78" s="430"/>
      <c r="L78" s="377"/>
      <c r="N78" s="382">
        <v>31</v>
      </c>
    </row>
    <row r="79" spans="1:14" ht="27.75">
      <c r="A79" s="1457" t="s">
        <v>92</v>
      </c>
      <c r="B79" s="1458"/>
      <c r="C79" s="1459"/>
      <c r="D79" s="524" t="s">
        <v>187</v>
      </c>
      <c r="E79" s="519">
        <f>'8'!F79</f>
        <v>816842</v>
      </c>
      <c r="F79" s="661">
        <v>817034</v>
      </c>
      <c r="G79" s="473">
        <f t="shared" si="6"/>
        <v>192</v>
      </c>
      <c r="H79" s="460">
        <f>G79+'8'!H79</f>
        <v>1925</v>
      </c>
      <c r="I79" s="505"/>
      <c r="J79" s="553">
        <f>H79/DAY(B2)</f>
        <v>213.88888888888889</v>
      </c>
      <c r="K79" s="430"/>
      <c r="L79" s="377"/>
      <c r="N79" s="382">
        <v>100</v>
      </c>
    </row>
    <row r="80" spans="1:14" ht="27.75">
      <c r="A80" s="1457" t="s">
        <v>198</v>
      </c>
      <c r="B80" s="1458"/>
      <c r="C80" s="1459"/>
      <c r="D80" s="524" t="s">
        <v>187</v>
      </c>
      <c r="E80" s="519">
        <f>'8'!F80</f>
        <v>497619</v>
      </c>
      <c r="F80" s="1322">
        <v>497753</v>
      </c>
      <c r="G80" s="473">
        <f t="shared" si="6"/>
        <v>134</v>
      </c>
      <c r="H80" s="460">
        <f>G80+'8'!H80</f>
        <v>3079.359999999986</v>
      </c>
      <c r="I80" s="505"/>
      <c r="J80" s="553">
        <f>H80/DAY(B2)</f>
        <v>342.15111111110957</v>
      </c>
      <c r="K80" s="430"/>
      <c r="L80" s="377"/>
      <c r="N80" s="382">
        <v>158.95999999996275</v>
      </c>
    </row>
    <row r="81" spans="1:15" ht="27.75">
      <c r="A81" s="1457" t="s">
        <v>199</v>
      </c>
      <c r="B81" s="1458"/>
      <c r="C81" s="1459"/>
      <c r="D81" s="524" t="s">
        <v>187</v>
      </c>
      <c r="E81" s="519">
        <f>'8'!F81</f>
        <v>626846</v>
      </c>
      <c r="F81" s="660">
        <v>626928</v>
      </c>
      <c r="G81" s="473">
        <f t="shared" si="6"/>
        <v>82</v>
      </c>
      <c r="H81" s="460">
        <f>G81+'8'!H81</f>
        <v>984.1600000000326</v>
      </c>
      <c r="I81" s="505"/>
      <c r="J81" s="553">
        <f>H81/DAY(B2)</f>
        <v>109.35111111111473</v>
      </c>
      <c r="K81" s="430"/>
      <c r="L81" s="377"/>
      <c r="N81" s="382">
        <v>79.199999999953434</v>
      </c>
    </row>
    <row r="82" spans="1:15" ht="27.75">
      <c r="A82" s="1457" t="s">
        <v>93</v>
      </c>
      <c r="B82" s="1458"/>
      <c r="C82" s="1459"/>
      <c r="D82" s="485" t="s">
        <v>132</v>
      </c>
      <c r="E82" s="519">
        <f>'8'!F82</f>
        <v>106372</v>
      </c>
      <c r="F82" s="656">
        <v>106394</v>
      </c>
      <c r="G82" s="473">
        <f t="shared" si="6"/>
        <v>22</v>
      </c>
      <c r="H82" s="460">
        <f>G82+'8'!H82</f>
        <v>191.52000000000407</v>
      </c>
      <c r="I82" s="486"/>
      <c r="J82" s="553">
        <f>H82/DAY(B2)</f>
        <v>21.280000000000452</v>
      </c>
      <c r="K82" s="430"/>
      <c r="L82" s="377"/>
      <c r="N82" s="382">
        <v>30.149999999994179</v>
      </c>
    </row>
    <row r="83" spans="1:15" ht="27.75">
      <c r="A83" s="1457" t="s">
        <v>200</v>
      </c>
      <c r="B83" s="1458"/>
      <c r="C83" s="1459"/>
      <c r="D83" s="621" t="s">
        <v>132</v>
      </c>
      <c r="E83" s="519">
        <f>'8'!F83</f>
        <v>361</v>
      </c>
      <c r="F83" s="511">
        <v>783</v>
      </c>
      <c r="G83" s="473">
        <f t="shared" si="6"/>
        <v>422</v>
      </c>
      <c r="H83" s="460">
        <f>G83+'8'!H83</f>
        <v>4186</v>
      </c>
      <c r="I83" s="481"/>
      <c r="J83" s="553">
        <f>H83/DAY(B2)</f>
        <v>465.11111111111109</v>
      </c>
      <c r="K83" s="429"/>
      <c r="L83" s="377"/>
      <c r="N83" s="382">
        <v>316</v>
      </c>
    </row>
    <row r="84" spans="1:15">
      <c r="A84" s="1152" t="s">
        <v>201</v>
      </c>
      <c r="B84" s="572"/>
      <c r="C84" s="572"/>
      <c r="D84" s="478" t="s">
        <v>132</v>
      </c>
      <c r="E84" s="519">
        <f>'8'!F84</f>
        <v>436693</v>
      </c>
      <c r="F84" s="628">
        <v>437575</v>
      </c>
      <c r="G84" s="473">
        <f t="shared" si="6"/>
        <v>882</v>
      </c>
      <c r="H84" s="460">
        <f>G84+'8'!H84</f>
        <v>6777</v>
      </c>
      <c r="I84" s="481"/>
      <c r="J84" s="553">
        <f>H84/DAY(B2)</f>
        <v>753</v>
      </c>
      <c r="K84" s="380"/>
      <c r="L84" s="377"/>
      <c r="N84" s="382">
        <v>408</v>
      </c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2650</v>
      </c>
      <c r="H85" s="460">
        <f>G85+'8'!H85</f>
        <v>22330.929999999968</v>
      </c>
      <c r="I85" s="481"/>
      <c r="J85" s="553">
        <f>H85/DAY(B2)</f>
        <v>2481.2144444444407</v>
      </c>
      <c r="K85" s="380"/>
      <c r="L85" s="378"/>
      <c r="N85" s="382">
        <v>1232.3099999999104</v>
      </c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'8'!F86</f>
        <v>451293</v>
      </c>
      <c r="F86" s="641">
        <v>451394</v>
      </c>
      <c r="G86" s="710">
        <f t="shared" ref="G86:G90" si="7">F86-E86</f>
        <v>101</v>
      </c>
      <c r="H86" s="460">
        <f>G86+'8'!H86</f>
        <v>201</v>
      </c>
      <c r="I86" s="657"/>
      <c r="J86" s="712">
        <f>H86/DAY(B2)</f>
        <v>22.333333333333332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'8'!F87</f>
        <v>79458</v>
      </c>
      <c r="F87" s="652">
        <v>79491</v>
      </c>
      <c r="G87" s="710">
        <f t="shared" si="7"/>
        <v>33</v>
      </c>
      <c r="H87" s="460">
        <f>G87+'8'!H87</f>
        <v>69</v>
      </c>
      <c r="I87" s="657"/>
      <c r="J87" s="712">
        <f>H87/DAY(B2)</f>
        <v>7.666666666666667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'8'!F88</f>
        <v>148814</v>
      </c>
      <c r="F88" s="641">
        <v>148916</v>
      </c>
      <c r="G88" s="710">
        <f t="shared" si="7"/>
        <v>102</v>
      </c>
      <c r="H88" s="460">
        <f>G88+'8'!H88</f>
        <v>197</v>
      </c>
      <c r="I88" s="657"/>
      <c r="J88" s="712">
        <f>H88/DAY(B2)</f>
        <v>21.888888888888889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'8'!F89</f>
        <v>62279</v>
      </c>
      <c r="F89" s="652">
        <v>62354</v>
      </c>
      <c r="G89" s="710">
        <f t="shared" si="7"/>
        <v>75</v>
      </c>
      <c r="H89" s="460">
        <f>G89+'8'!H89</f>
        <v>153</v>
      </c>
      <c r="I89" s="657"/>
      <c r="J89" s="712">
        <f>H89/DAY(B2)</f>
        <v>17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'8'!F90</f>
        <v>3198</v>
      </c>
      <c r="F90" s="652">
        <v>3203</v>
      </c>
      <c r="G90" s="710">
        <f t="shared" si="7"/>
        <v>5</v>
      </c>
      <c r="H90" s="460">
        <f>G90+'8'!H90</f>
        <v>10</v>
      </c>
      <c r="I90" s="657"/>
      <c r="J90" s="712">
        <f>H90/DAY(B2)</f>
        <v>1.1111111111111112</v>
      </c>
      <c r="K90" s="738"/>
      <c r="L90" s="739"/>
      <c r="N90" s="783"/>
      <c r="O90" s="382"/>
    </row>
    <row r="91" spans="1:15" s="379" customFormat="1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'8'!F92</f>
        <v>240537</v>
      </c>
      <c r="F92" s="478">
        <v>240633</v>
      </c>
      <c r="G92" s="473">
        <f t="shared" ref="G92:G93" si="8">F92-E92</f>
        <v>96</v>
      </c>
      <c r="H92" s="460">
        <f>G92+'8'!H92</f>
        <v>938</v>
      </c>
      <c r="I92" s="480"/>
      <c r="J92" s="553">
        <f>H92/DAY(B2)</f>
        <v>104.22222222222223</v>
      </c>
      <c r="K92" s="429"/>
      <c r="L92" s="377"/>
      <c r="N92" s="382">
        <v>0</v>
      </c>
    </row>
    <row r="93" spans="1:15" ht="27.75">
      <c r="A93" s="1411" t="s">
        <v>207</v>
      </c>
      <c r="B93" s="1412"/>
      <c r="C93" s="1413"/>
      <c r="D93" s="523" t="s">
        <v>144</v>
      </c>
      <c r="E93" s="484">
        <f>'8'!F93</f>
        <v>176810</v>
      </c>
      <c r="F93" s="478">
        <v>176871</v>
      </c>
      <c r="G93" s="473">
        <f t="shared" si="8"/>
        <v>61</v>
      </c>
      <c r="H93" s="460">
        <f>G93+'8'!H93</f>
        <v>1210</v>
      </c>
      <c r="I93" s="480"/>
      <c r="J93" s="553">
        <f>H93/DAY(B2)</f>
        <v>134.44444444444446</v>
      </c>
      <c r="K93" s="380"/>
      <c r="L93" s="377"/>
      <c r="N93" s="382">
        <v>71</v>
      </c>
    </row>
    <row r="94" spans="1:15">
      <c r="A94" s="1405" t="s">
        <v>208</v>
      </c>
      <c r="B94" s="1406"/>
      <c r="C94" s="1407"/>
      <c r="D94" s="523"/>
      <c r="E94" s="484">
        <f>'8'!F94</f>
        <v>0</v>
      </c>
      <c r="F94" s="478"/>
      <c r="G94" s="473">
        <f>G92+G93</f>
        <v>157</v>
      </c>
      <c r="H94" s="460">
        <f>G94+'8'!H94</f>
        <v>1882</v>
      </c>
      <c r="I94" s="480"/>
      <c r="J94" s="553">
        <f>H94/DAY(B2)</f>
        <v>209.11111111111111</v>
      </c>
      <c r="K94" s="380"/>
      <c r="L94" s="377"/>
      <c r="N94" s="382">
        <v>71</v>
      </c>
    </row>
    <row r="95" spans="1:15" ht="27.75">
      <c r="A95" s="1411" t="s">
        <v>209</v>
      </c>
      <c r="B95" s="1412"/>
      <c r="C95" s="1413"/>
      <c r="D95" s="523" t="s">
        <v>144</v>
      </c>
      <c r="E95" s="484">
        <f>'8'!F95</f>
        <v>408885</v>
      </c>
      <c r="F95" s="478">
        <v>408976</v>
      </c>
      <c r="G95" s="473">
        <f t="shared" ref="G95:G100" si="9">F95-E95</f>
        <v>91</v>
      </c>
      <c r="H95" s="460">
        <f>G95+'8'!H95</f>
        <v>820</v>
      </c>
      <c r="I95" s="480"/>
      <c r="J95" s="553">
        <f>H95/DAY(B2)</f>
        <v>91.111111111111114</v>
      </c>
      <c r="K95" s="380"/>
      <c r="L95" s="377"/>
      <c r="N95" s="382">
        <v>26</v>
      </c>
    </row>
    <row r="96" spans="1:15" ht="27.75">
      <c r="A96" s="1148" t="s">
        <v>210</v>
      </c>
      <c r="B96" s="1149"/>
      <c r="C96" s="1149"/>
      <c r="D96" s="523" t="s">
        <v>144</v>
      </c>
      <c r="E96" s="484">
        <f>'8'!F96</f>
        <v>101467</v>
      </c>
      <c r="F96" s="478">
        <v>101479</v>
      </c>
      <c r="G96" s="473">
        <f t="shared" si="9"/>
        <v>12</v>
      </c>
      <c r="H96" s="460">
        <f>G96+'8'!H96</f>
        <v>147</v>
      </c>
      <c r="I96" s="480"/>
      <c r="J96" s="553">
        <f>H96/DAY(B2)</f>
        <v>16.333333333333332</v>
      </c>
      <c r="K96" s="427"/>
      <c r="L96" s="377"/>
      <c r="N96" s="382">
        <v>11</v>
      </c>
    </row>
    <row r="97" spans="1:14" ht="27.75">
      <c r="A97" s="1148" t="s">
        <v>211</v>
      </c>
      <c r="B97" s="1149"/>
      <c r="C97" s="1149"/>
      <c r="D97" s="523" t="s">
        <v>144</v>
      </c>
      <c r="E97" s="484">
        <f>'8'!F97</f>
        <v>96601</v>
      </c>
      <c r="F97" s="478">
        <v>96618</v>
      </c>
      <c r="G97" s="473">
        <f t="shared" si="9"/>
        <v>17</v>
      </c>
      <c r="H97" s="460">
        <f>G97+'8'!H97</f>
        <v>169</v>
      </c>
      <c r="I97" s="480"/>
      <c r="J97" s="553">
        <f>H97/DAY(B2)</f>
        <v>18.777777777777779</v>
      </c>
      <c r="K97" s="432"/>
      <c r="L97" s="377"/>
      <c r="N97" s="382">
        <v>9</v>
      </c>
    </row>
    <row r="98" spans="1:14" ht="27.75">
      <c r="A98" s="1148" t="s">
        <v>212</v>
      </c>
      <c r="B98" s="1149"/>
      <c r="C98" s="1149"/>
      <c r="D98" s="523" t="s">
        <v>144</v>
      </c>
      <c r="E98" s="484">
        <f>'8'!F98</f>
        <v>148038</v>
      </c>
      <c r="F98" s="478">
        <v>148116</v>
      </c>
      <c r="G98" s="473">
        <f t="shared" si="9"/>
        <v>78</v>
      </c>
      <c r="H98" s="460">
        <f>G98+'8'!H98</f>
        <v>508</v>
      </c>
      <c r="I98" s="480"/>
      <c r="J98" s="553">
        <f>H98/DAY(B2)</f>
        <v>56.444444444444443</v>
      </c>
      <c r="K98" s="380"/>
      <c r="L98" s="377"/>
      <c r="N98" s="709">
        <v>24</v>
      </c>
    </row>
    <row r="99" spans="1:14" ht="27.75">
      <c r="A99" s="1148" t="s">
        <v>213</v>
      </c>
      <c r="B99" s="1149"/>
      <c r="C99" s="1149"/>
      <c r="D99" s="523" t="s">
        <v>144</v>
      </c>
      <c r="E99" s="484">
        <f>'8'!F99</f>
        <v>6526</v>
      </c>
      <c r="F99" s="478">
        <v>6540</v>
      </c>
      <c r="G99" s="473">
        <f t="shared" si="9"/>
        <v>14</v>
      </c>
      <c r="H99" s="460">
        <f>G99+'8'!H99</f>
        <v>132</v>
      </c>
      <c r="I99" s="480"/>
      <c r="J99" s="553">
        <f>H99/DAY(B2)</f>
        <v>14.666666666666666</v>
      </c>
      <c r="K99" s="380"/>
      <c r="L99" s="377"/>
      <c r="N99" s="382">
        <v>3</v>
      </c>
    </row>
    <row r="100" spans="1:14" ht="27.75">
      <c r="A100" s="1148" t="s">
        <v>214</v>
      </c>
      <c r="B100" s="1149"/>
      <c r="C100" s="1149"/>
      <c r="D100" s="523" t="s">
        <v>144</v>
      </c>
      <c r="E100" s="484">
        <f>'8'!F100</f>
        <v>4633</v>
      </c>
      <c r="F100" s="478">
        <v>4638</v>
      </c>
      <c r="G100" s="473">
        <f t="shared" si="9"/>
        <v>5</v>
      </c>
      <c r="H100" s="460">
        <f>G100+'8'!H100</f>
        <v>95</v>
      </c>
      <c r="I100" s="480"/>
      <c r="J100" s="553">
        <f>H100/DAY(B2)</f>
        <v>10.555555555555555</v>
      </c>
      <c r="K100" s="380"/>
      <c r="L100" s="377"/>
      <c r="N100" s="382">
        <v>0</v>
      </c>
    </row>
    <row r="101" spans="1:14">
      <c r="A101" s="1405" t="s">
        <v>216</v>
      </c>
      <c r="B101" s="1406"/>
      <c r="C101" s="1407"/>
      <c r="D101" s="524"/>
      <c r="E101" s="484"/>
      <c r="F101" s="524"/>
      <c r="G101" s="525">
        <f>SUM(G95:G100)</f>
        <v>217</v>
      </c>
      <c r="H101" s="460">
        <f>G101+'8'!H101</f>
        <v>1871</v>
      </c>
      <c r="I101" s="526"/>
      <c r="J101" s="553">
        <f>H101/DAY(B2)</f>
        <v>207.88888888888889</v>
      </c>
      <c r="K101" s="380"/>
      <c r="L101" s="377"/>
      <c r="N101" s="382">
        <v>73</v>
      </c>
    </row>
    <row r="102" spans="1:14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382"/>
    </row>
    <row r="103" spans="1:14" s="442" customFormat="1" ht="27.75">
      <c r="A103" s="1414" t="s">
        <v>218</v>
      </c>
      <c r="B103" s="1415"/>
      <c r="C103" s="574"/>
      <c r="D103" s="623"/>
      <c r="E103" s="484"/>
      <c r="F103" s="663"/>
      <c r="G103" s="532"/>
      <c r="H103" s="533"/>
      <c r="I103" s="532"/>
      <c r="J103" s="559"/>
      <c r="N103" s="382"/>
    </row>
    <row r="104" spans="1:14" s="442" customFormat="1" ht="27.75">
      <c r="A104" s="1416" t="s">
        <v>219</v>
      </c>
      <c r="B104" s="1417"/>
      <c r="C104" s="1147"/>
      <c r="D104" s="623" t="s">
        <v>144</v>
      </c>
      <c r="E104" s="484">
        <f>'8'!F104</f>
        <v>7145</v>
      </c>
      <c r="F104" s="663">
        <v>7155</v>
      </c>
      <c r="G104" s="532">
        <f>F104-E104</f>
        <v>10</v>
      </c>
      <c r="H104" s="460">
        <f>G104+'8'!H104</f>
        <v>30</v>
      </c>
      <c r="I104" s="532"/>
      <c r="J104" s="559">
        <f>H104/DAY(B2)</f>
        <v>3.3333333333333335</v>
      </c>
      <c r="N104" s="382">
        <v>0</v>
      </c>
    </row>
    <row r="105" spans="1:14" s="442" customFormat="1" ht="27.75">
      <c r="A105" s="1416" t="s">
        <v>77</v>
      </c>
      <c r="B105" s="1417"/>
      <c r="C105" s="1147"/>
      <c r="D105" s="623" t="s">
        <v>144</v>
      </c>
      <c r="E105" s="484">
        <f>'8'!F105</f>
        <v>35474</v>
      </c>
      <c r="F105" s="664">
        <v>35481</v>
      </c>
      <c r="G105" s="532">
        <f t="shared" ref="G105:G106" si="10">F105-E105</f>
        <v>7</v>
      </c>
      <c r="H105" s="460">
        <f>G105+'8'!H105</f>
        <v>83</v>
      </c>
      <c r="I105" s="532"/>
      <c r="J105" s="559">
        <f>H105/DAY(B2)</f>
        <v>9.2222222222222214</v>
      </c>
      <c r="N105" s="382">
        <v>0</v>
      </c>
    </row>
    <row r="106" spans="1:14" s="442" customFormat="1" ht="27.75">
      <c r="A106" s="1416" t="s">
        <v>78</v>
      </c>
      <c r="B106" s="1418"/>
      <c r="C106" s="1417"/>
      <c r="D106" s="623" t="s">
        <v>144</v>
      </c>
      <c r="E106" s="484">
        <f>'8'!F106</f>
        <v>19287</v>
      </c>
      <c r="F106" s="789">
        <v>19292</v>
      </c>
      <c r="G106" s="532">
        <f t="shared" si="10"/>
        <v>5</v>
      </c>
      <c r="H106" s="460">
        <f>G106+'8'!H106</f>
        <v>51</v>
      </c>
      <c r="I106" s="532"/>
      <c r="J106" s="559">
        <f>H106/DAY(B2)</f>
        <v>5.666666666666667</v>
      </c>
      <c r="N106" s="382">
        <v>4</v>
      </c>
    </row>
    <row r="107" spans="1:14" s="442" customFormat="1" ht="27.75">
      <c r="A107" s="1419" t="s">
        <v>202</v>
      </c>
      <c r="B107" s="1420"/>
      <c r="C107" s="1147"/>
      <c r="D107" s="623"/>
      <c r="E107" s="484"/>
      <c r="F107" s="664"/>
      <c r="G107" s="532">
        <f>SUM(G104:G106)</f>
        <v>22</v>
      </c>
      <c r="H107" s="460">
        <f>G107+'8'!H107</f>
        <v>164</v>
      </c>
      <c r="I107" s="532"/>
      <c r="J107" s="559">
        <f>H107/DAY(B2)</f>
        <v>18.222222222222221</v>
      </c>
      <c r="N107" s="382">
        <v>4</v>
      </c>
    </row>
    <row r="108" spans="1:14" s="442" customFormat="1" ht="27.75">
      <c r="A108" s="1421" t="s">
        <v>79</v>
      </c>
      <c r="B108" s="1422"/>
      <c r="C108" s="1147"/>
      <c r="D108" s="623" t="s">
        <v>144</v>
      </c>
      <c r="E108" s="484">
        <f>'8'!F108</f>
        <v>0</v>
      </c>
      <c r="F108" s="664"/>
      <c r="G108" s="532"/>
      <c r="H108" s="460" t="e">
        <f>G108+'8'!H108</f>
        <v>#REF!</v>
      </c>
      <c r="I108" s="532"/>
      <c r="J108" s="559"/>
      <c r="N108" s="382"/>
    </row>
    <row r="109" spans="1:14" s="442" customFormat="1" ht="27.75">
      <c r="A109" s="1416" t="s">
        <v>220</v>
      </c>
      <c r="B109" s="1417"/>
      <c r="C109" s="1147"/>
      <c r="D109" s="623" t="s">
        <v>144</v>
      </c>
      <c r="E109" s="484">
        <f>'8'!F109</f>
        <v>57021</v>
      </c>
      <c r="F109" s="664">
        <v>57061</v>
      </c>
      <c r="G109" s="532">
        <f>F109-E109</f>
        <v>40</v>
      </c>
      <c r="H109" s="460">
        <f>G109+'8'!H109</f>
        <v>790</v>
      </c>
      <c r="I109" s="532"/>
      <c r="J109" s="559">
        <f>H109/DAY(B2)</f>
        <v>87.777777777777771</v>
      </c>
      <c r="N109" s="382">
        <v>40</v>
      </c>
    </row>
    <row r="110" spans="1:14" s="442" customFormat="1" ht="27.75">
      <c r="A110" s="1416" t="s">
        <v>221</v>
      </c>
      <c r="B110" s="1417"/>
      <c r="C110" s="1147"/>
      <c r="D110" s="623" t="s">
        <v>144</v>
      </c>
      <c r="E110" s="484">
        <f>'8'!F110</f>
        <v>30979</v>
      </c>
      <c r="F110" s="664">
        <v>31060</v>
      </c>
      <c r="G110" s="532">
        <f t="shared" ref="G110:G111" si="11">F110-E110</f>
        <v>81</v>
      </c>
      <c r="H110" s="460">
        <f>G110+'8'!H110</f>
        <v>572</v>
      </c>
      <c r="I110" s="532"/>
      <c r="J110" s="559">
        <f>H110/DAY(B2)</f>
        <v>63.555555555555557</v>
      </c>
      <c r="N110" s="382">
        <v>43</v>
      </c>
    </row>
    <row r="111" spans="1:14" s="442" customFormat="1" ht="27.75">
      <c r="A111" s="1416" t="s">
        <v>222</v>
      </c>
      <c r="B111" s="1417"/>
      <c r="C111" s="1147"/>
      <c r="D111" s="623" t="s">
        <v>144</v>
      </c>
      <c r="E111" s="484">
        <f>'8'!F111</f>
        <v>4035</v>
      </c>
      <c r="F111" s="664">
        <v>4043</v>
      </c>
      <c r="G111" s="532">
        <f t="shared" si="11"/>
        <v>8</v>
      </c>
      <c r="H111" s="460">
        <f>G111+'8'!H111</f>
        <v>63</v>
      </c>
      <c r="I111" s="532"/>
      <c r="J111" s="559">
        <f>H111/DAY(B2)</f>
        <v>7</v>
      </c>
      <c r="N111" s="382">
        <v>0</v>
      </c>
    </row>
    <row r="112" spans="1:14" s="442" customFormat="1" ht="27.75">
      <c r="A112" s="1419" t="s">
        <v>110</v>
      </c>
      <c r="B112" s="1420"/>
      <c r="C112" s="1147"/>
      <c r="D112" s="623"/>
      <c r="E112" s="484"/>
      <c r="F112" s="664"/>
      <c r="G112" s="532">
        <f>SUM(G109:G111)</f>
        <v>129</v>
      </c>
      <c r="H112" s="460">
        <f>G112+'8'!H112</f>
        <v>1425</v>
      </c>
      <c r="I112" s="532"/>
      <c r="J112" s="559">
        <f>H112/DAY(B2)</f>
        <v>158.33333333333334</v>
      </c>
      <c r="N112" s="382">
        <v>83</v>
      </c>
    </row>
    <row r="113" spans="1:14" s="442" customFormat="1" ht="27.75">
      <c r="A113" s="1421" t="s">
        <v>223</v>
      </c>
      <c r="B113" s="1422"/>
      <c r="C113" s="1147"/>
      <c r="D113" s="623"/>
      <c r="E113" s="484"/>
      <c r="F113" s="664"/>
      <c r="G113" s="532"/>
      <c r="H113" s="460">
        <f>G113+'8'!H113</f>
        <v>0</v>
      </c>
      <c r="I113" s="532"/>
      <c r="J113" s="559">
        <f>H113/DAY(B2)</f>
        <v>0</v>
      </c>
      <c r="N113" s="382"/>
    </row>
    <row r="114" spans="1:14" s="442" customFormat="1" ht="27.75">
      <c r="A114" s="1416" t="s">
        <v>224</v>
      </c>
      <c r="B114" s="1417"/>
      <c r="C114" s="575"/>
      <c r="D114" s="623" t="s">
        <v>144</v>
      </c>
      <c r="E114" s="484">
        <f>'8'!F114</f>
        <v>10462</v>
      </c>
      <c r="F114" s="664">
        <v>10480</v>
      </c>
      <c r="G114" s="534">
        <f>F114-E114</f>
        <v>18</v>
      </c>
      <c r="H114" s="460">
        <f>G114+'8'!H114</f>
        <v>166</v>
      </c>
      <c r="I114" s="532"/>
      <c r="J114" s="559">
        <f>H114/DAY(B2)</f>
        <v>18.444444444444443</v>
      </c>
      <c r="N114" s="382">
        <v>5</v>
      </c>
    </row>
    <row r="115" spans="1:14" s="442" customFormat="1" ht="27.75">
      <c r="A115" s="1416" t="s">
        <v>225</v>
      </c>
      <c r="B115" s="1417"/>
      <c r="C115" s="575"/>
      <c r="D115" s="623" t="s">
        <v>144</v>
      </c>
      <c r="E115" s="484">
        <f>'8'!F115</f>
        <v>7741</v>
      </c>
      <c r="F115" s="664">
        <v>7746</v>
      </c>
      <c r="G115" s="534">
        <f t="shared" ref="G115:G116" si="12">F115-E115</f>
        <v>5</v>
      </c>
      <c r="H115" s="460">
        <f>G115+'8'!H115</f>
        <v>90</v>
      </c>
      <c r="I115" s="532"/>
      <c r="J115" s="559">
        <f>H115/DAY(B2)</f>
        <v>10</v>
      </c>
      <c r="N115" s="382">
        <v>3</v>
      </c>
    </row>
    <row r="116" spans="1:14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2"/>
        <v>0</v>
      </c>
      <c r="H116" s="460">
        <f>G116+'8'!H116</f>
        <v>0</v>
      </c>
      <c r="I116" s="532"/>
      <c r="J116" s="559">
        <f>H116/DAY(B2)</f>
        <v>0</v>
      </c>
      <c r="N116" s="382">
        <v>0</v>
      </c>
    </row>
    <row r="117" spans="1:14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23</v>
      </c>
      <c r="H117" s="460">
        <f>G117+'8'!H117</f>
        <v>256</v>
      </c>
      <c r="I117" s="534"/>
      <c r="J117" s="559">
        <f>H117/DAY(B2)</f>
        <v>28.444444444444443</v>
      </c>
      <c r="N117" s="382">
        <v>8</v>
      </c>
    </row>
    <row r="118" spans="1:14" s="446" customFormat="1" ht="27.75">
      <c r="A118" s="1450" t="s">
        <v>227</v>
      </c>
      <c r="B118" s="1451"/>
      <c r="C118" s="1145"/>
      <c r="D118" s="625" t="s">
        <v>144</v>
      </c>
      <c r="E118" s="536"/>
      <c r="F118" s="665">
        <f>SUM(G19+G92)</f>
        <v>148</v>
      </c>
      <c r="G118" s="536">
        <f>SUM(G19+G92)</f>
        <v>148</v>
      </c>
      <c r="H118" s="460">
        <f>G118+'8'!H118</f>
        <v>1400</v>
      </c>
      <c r="I118" s="535"/>
      <c r="J118" s="560">
        <f>H118/DAY(B2)</f>
        <v>155.55555555555554</v>
      </c>
      <c r="N118" s="382">
        <v>55</v>
      </c>
    </row>
    <row r="119" spans="1:14" s="446" customFormat="1" ht="27.75">
      <c r="A119" s="1450" t="s">
        <v>228</v>
      </c>
      <c r="B119" s="1451"/>
      <c r="C119" s="1145"/>
      <c r="D119" s="625" t="s">
        <v>144</v>
      </c>
      <c r="E119" s="536"/>
      <c r="F119" s="665">
        <f>SUM(G95,G96,G97,G99,G100)</f>
        <v>139</v>
      </c>
      <c r="G119" s="536">
        <f>SUM(G95,G96,G97,G99,G100)</f>
        <v>139</v>
      </c>
      <c r="H119" s="460">
        <f>G119+'8'!H119</f>
        <v>1363</v>
      </c>
      <c r="I119" s="535"/>
      <c r="J119" s="560">
        <f>H119/DAY(B2)</f>
        <v>151.44444444444446</v>
      </c>
      <c r="N119" s="382">
        <v>49</v>
      </c>
    </row>
    <row r="120" spans="1:14" s="446" customFormat="1" ht="27.75">
      <c r="A120" s="1450" t="s">
        <v>229</v>
      </c>
      <c r="B120" s="1451"/>
      <c r="C120" s="1145"/>
      <c r="D120" s="625" t="s">
        <v>144</v>
      </c>
      <c r="E120" s="534"/>
      <c r="F120" s="664">
        <f>SUM(G112)</f>
        <v>129</v>
      </c>
      <c r="G120" s="534">
        <f>SUM(G112)</f>
        <v>129</v>
      </c>
      <c r="H120" s="460">
        <f>G120+'8'!H120</f>
        <v>1425</v>
      </c>
      <c r="I120" s="535"/>
      <c r="J120" s="560">
        <f>H120/DAY(B2)</f>
        <v>158.33333333333334</v>
      </c>
      <c r="N120" s="382">
        <v>83</v>
      </c>
    </row>
    <row r="121" spans="1:14" s="442" customFormat="1" ht="27.75">
      <c r="A121" s="1452"/>
      <c r="B121" s="1453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>
      <c r="A123" s="1148" t="s">
        <v>231</v>
      </c>
      <c r="B123" s="1149"/>
      <c r="C123" s="1149"/>
      <c r="D123" s="523" t="s">
        <v>141</v>
      </c>
      <c r="E123" s="478">
        <f>'8'!F123</f>
        <v>813067</v>
      </c>
      <c r="F123" s="478">
        <v>813320</v>
      </c>
      <c r="G123" s="473">
        <f t="shared" ref="G123:G127" si="13">F123-E123</f>
        <v>253</v>
      </c>
      <c r="H123" s="460">
        <f>G123+'8'!H123</f>
        <v>2313.1600000000326</v>
      </c>
      <c r="I123" s="526"/>
      <c r="J123" s="553">
        <f>H123/DAY(B2)</f>
        <v>257.01777777778142</v>
      </c>
      <c r="K123" s="380"/>
      <c r="L123" s="377"/>
      <c r="N123" s="382">
        <v>111.45100000000093</v>
      </c>
    </row>
    <row r="124" spans="1:14" ht="27.75">
      <c r="A124" s="1148" t="s">
        <v>232</v>
      </c>
      <c r="B124" s="1149"/>
      <c r="C124" s="1149"/>
      <c r="D124" s="523" t="s">
        <v>141</v>
      </c>
      <c r="E124" s="627">
        <f>'8'!F124</f>
        <v>73583.399999999994</v>
      </c>
      <c r="F124" s="627">
        <v>73583.399999999994</v>
      </c>
      <c r="G124" s="473">
        <f t="shared" si="13"/>
        <v>0</v>
      </c>
      <c r="H124" s="460">
        <f>G124+'8'!H124</f>
        <v>0</v>
      </c>
      <c r="I124" s="526"/>
      <c r="J124" s="553">
        <f>H124/DAY(B2)</f>
        <v>0</v>
      </c>
      <c r="K124" s="380"/>
      <c r="L124" s="377"/>
      <c r="N124" s="382">
        <v>0</v>
      </c>
    </row>
    <row r="125" spans="1:14" ht="27.75">
      <c r="A125" s="1408" t="s">
        <v>233</v>
      </c>
      <c r="B125" s="1409"/>
      <c r="C125" s="1410"/>
      <c r="D125" s="523" t="s">
        <v>141</v>
      </c>
      <c r="E125" s="478">
        <f>'8'!F125</f>
        <v>140527</v>
      </c>
      <c r="F125" s="478">
        <v>140570</v>
      </c>
      <c r="G125" s="473">
        <f t="shared" si="13"/>
        <v>43</v>
      </c>
      <c r="H125" s="460">
        <f>G125+'8'!H125</f>
        <v>590.66000000000349</v>
      </c>
      <c r="I125" s="526"/>
      <c r="J125" s="553">
        <f>H125/DAY(B2)</f>
        <v>65.628888888889279</v>
      </c>
      <c r="K125" s="380"/>
      <c r="L125" s="377"/>
      <c r="N125" s="382">
        <v>43.220000000001164</v>
      </c>
    </row>
    <row r="126" spans="1:14" ht="27.75">
      <c r="A126" s="610" t="s">
        <v>234</v>
      </c>
      <c r="B126" s="1149"/>
      <c r="C126" s="1149"/>
      <c r="D126" s="523" t="s">
        <v>141</v>
      </c>
      <c r="E126" s="627">
        <f>'8'!F126</f>
        <v>59514</v>
      </c>
      <c r="F126" s="627">
        <v>59599</v>
      </c>
      <c r="G126" s="473">
        <f t="shared" si="13"/>
        <v>85</v>
      </c>
      <c r="H126" s="460">
        <f>G126+'8'!H126</f>
        <v>292.09999999999854</v>
      </c>
      <c r="I126" s="526"/>
      <c r="J126" s="553">
        <f>H126/DAY(B2)</f>
        <v>32.455555555555392</v>
      </c>
      <c r="K126" s="380"/>
      <c r="L126" s="377"/>
      <c r="N126" s="382">
        <v>0</v>
      </c>
    </row>
    <row r="127" spans="1:14" ht="27.75">
      <c r="A127" s="610" t="s">
        <v>235</v>
      </c>
      <c r="B127" s="1149"/>
      <c r="C127" s="1149"/>
      <c r="D127" s="523" t="s">
        <v>141</v>
      </c>
      <c r="E127" s="627">
        <f>'8'!F127</f>
        <v>8906</v>
      </c>
      <c r="F127" s="627">
        <v>8908</v>
      </c>
      <c r="G127" s="473">
        <f t="shared" si="13"/>
        <v>2</v>
      </c>
      <c r="H127" s="460">
        <f>G127+'8'!H127</f>
        <v>20.200000000000728</v>
      </c>
      <c r="I127" s="480"/>
      <c r="J127" s="553">
        <f>H127/DAY(B2)</f>
        <v>2.2444444444445253</v>
      </c>
      <c r="K127" s="380"/>
      <c r="L127" s="377"/>
      <c r="N127" s="382">
        <v>0</v>
      </c>
    </row>
    <row r="128" spans="1:14" s="281" customFormat="1" ht="27.7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396.02000000001863</v>
      </c>
      <c r="H128" s="460"/>
      <c r="I128" s="480"/>
      <c r="J128" s="553"/>
      <c r="K128" s="364"/>
      <c r="L128" s="292"/>
      <c r="N128" s="382">
        <v>175.87500000008731</v>
      </c>
    </row>
    <row r="129" spans="1:1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>
      <c r="A130" s="1148" t="s">
        <v>238</v>
      </c>
      <c r="B130" s="1149"/>
      <c r="C130" s="1149"/>
      <c r="D130" s="523" t="s">
        <v>239</v>
      </c>
      <c r="E130" s="484">
        <f>'8'!F130</f>
        <v>0</v>
      </c>
      <c r="F130" s="478">
        <v>0</v>
      </c>
      <c r="G130" s="473">
        <f t="shared" ref="G130:G140" si="14">F130-E130</f>
        <v>0</v>
      </c>
      <c r="H130" s="460">
        <f>G130+'8'!H130</f>
        <v>0</v>
      </c>
      <c r="I130" s="480"/>
      <c r="J130" s="553">
        <f>H130/DAY(B2)</f>
        <v>0</v>
      </c>
      <c r="N130" s="382">
        <v>0</v>
      </c>
    </row>
    <row r="131" spans="1:14" ht="27.75">
      <c r="A131" s="1148" t="s">
        <v>240</v>
      </c>
      <c r="B131" s="1149"/>
      <c r="C131" s="1149"/>
      <c r="D131" s="523" t="s">
        <v>239</v>
      </c>
      <c r="E131" s="484">
        <f>'8'!F131</f>
        <v>0</v>
      </c>
      <c r="F131" s="478">
        <v>0</v>
      </c>
      <c r="G131" s="473">
        <f t="shared" si="14"/>
        <v>0</v>
      </c>
      <c r="H131" s="460">
        <f>G131+'8'!H131</f>
        <v>0</v>
      </c>
      <c r="I131" s="480"/>
      <c r="J131" s="553">
        <f>H131/DAY(B2)</f>
        <v>0</v>
      </c>
      <c r="N131" s="382">
        <v>0</v>
      </c>
    </row>
    <row r="132" spans="1:14" ht="27.75">
      <c r="A132" s="1148" t="s">
        <v>241</v>
      </c>
      <c r="B132" s="1149"/>
      <c r="C132" s="1149"/>
      <c r="D132" s="523" t="s">
        <v>239</v>
      </c>
      <c r="E132" s="484">
        <f>'8'!F132</f>
        <v>39219.35</v>
      </c>
      <c r="F132" s="627">
        <v>39219.35</v>
      </c>
      <c r="G132" s="473">
        <f t="shared" si="14"/>
        <v>0</v>
      </c>
      <c r="H132" s="460">
        <f>G132+'8'!H132</f>
        <v>390.34999999999854</v>
      </c>
      <c r="I132" s="480"/>
      <c r="J132" s="553">
        <f>H132/DAY(B2)</f>
        <v>43.372222222222064</v>
      </c>
      <c r="N132" s="382">
        <v>22</v>
      </c>
    </row>
    <row r="133" spans="1:14" ht="27.75">
      <c r="A133" s="1148" t="s">
        <v>242</v>
      </c>
      <c r="B133" s="1149"/>
      <c r="C133" s="1149"/>
      <c r="D133" s="523" t="s">
        <v>239</v>
      </c>
      <c r="E133" s="484">
        <f>'8'!F133</f>
        <v>299</v>
      </c>
      <c r="F133" s="485">
        <v>299</v>
      </c>
      <c r="G133" s="473">
        <f t="shared" si="14"/>
        <v>0</v>
      </c>
      <c r="H133" s="460">
        <f>G133+'8'!H133</f>
        <v>-1</v>
      </c>
      <c r="I133" s="480">
        <f>G130+G131+G132+G133</f>
        <v>0</v>
      </c>
      <c r="J133" s="553">
        <f>H133/DAY(B2)</f>
        <v>-0.1111111111111111</v>
      </c>
      <c r="N133" s="382">
        <v>0</v>
      </c>
    </row>
    <row r="134" spans="1:14" ht="27.75">
      <c r="A134" s="1148" t="s">
        <v>243</v>
      </c>
      <c r="B134" s="1149"/>
      <c r="C134" s="1149"/>
      <c r="D134" s="523" t="s">
        <v>239</v>
      </c>
      <c r="E134" s="484">
        <f>'8'!F134</f>
        <v>40554</v>
      </c>
      <c r="F134" s="627">
        <v>40578.42</v>
      </c>
      <c r="G134" s="473">
        <f t="shared" si="14"/>
        <v>24.419999999998254</v>
      </c>
      <c r="H134" s="460">
        <f>G134+'8'!H134</f>
        <v>211.27999999999884</v>
      </c>
      <c r="I134" s="480"/>
      <c r="J134" s="553">
        <f>H134/DAY(B2)</f>
        <v>23.475555555555427</v>
      </c>
      <c r="N134" s="382">
        <v>0</v>
      </c>
    </row>
    <row r="135" spans="1:14" ht="27.75">
      <c r="A135" s="1148" t="s">
        <v>244</v>
      </c>
      <c r="B135" s="1149"/>
      <c r="C135" s="1149"/>
      <c r="D135" s="523" t="s">
        <v>239</v>
      </c>
      <c r="E135" s="484">
        <f>'8'!F135</f>
        <v>32582.560000000001</v>
      </c>
      <c r="F135" s="627">
        <v>32582.560000000001</v>
      </c>
      <c r="G135" s="473">
        <f t="shared" si="14"/>
        <v>0</v>
      </c>
      <c r="H135" s="460">
        <f>G135+'8'!H135</f>
        <v>11.56000000000131</v>
      </c>
      <c r="I135" s="480"/>
      <c r="J135" s="553">
        <f>H135/DAY(B2)</f>
        <v>1.2844444444445899</v>
      </c>
      <c r="N135" s="382">
        <v>0</v>
      </c>
    </row>
    <row r="136" spans="1:14" ht="27.75">
      <c r="A136" s="1148" t="s">
        <v>245</v>
      </c>
      <c r="B136" s="1149"/>
      <c r="C136" s="1149"/>
      <c r="D136" s="523" t="s">
        <v>239</v>
      </c>
      <c r="E136" s="484">
        <f>'8'!F136</f>
        <v>22293.61</v>
      </c>
      <c r="F136" s="656">
        <v>22301.83</v>
      </c>
      <c r="G136" s="473">
        <f t="shared" si="14"/>
        <v>8.2200000000011642</v>
      </c>
      <c r="H136" s="460">
        <f>G136+'8'!H136</f>
        <v>79.620000000002619</v>
      </c>
      <c r="I136" s="480">
        <f>G134+G135+G136</f>
        <v>32.639999999999418</v>
      </c>
      <c r="J136" s="553">
        <f>H136/DAY(B2)</f>
        <v>8.8466666666669571</v>
      </c>
      <c r="N136" s="382">
        <v>-0.2999999999992724</v>
      </c>
    </row>
    <row r="137" spans="1:14" ht="27.75">
      <c r="A137" s="1148" t="s">
        <v>246</v>
      </c>
      <c r="B137" s="1149"/>
      <c r="C137" s="1149"/>
      <c r="D137" s="523" t="s">
        <v>239</v>
      </c>
      <c r="E137" s="484">
        <f>'8'!F137</f>
        <v>25044</v>
      </c>
      <c r="F137" s="656">
        <v>25044</v>
      </c>
      <c r="G137" s="473">
        <f t="shared" si="14"/>
        <v>0</v>
      </c>
      <c r="H137" s="460">
        <f>G137+'8'!H137</f>
        <v>-0.31000000000130967</v>
      </c>
      <c r="I137" s="480"/>
      <c r="J137" s="553">
        <f>H137/DAY(B2)</f>
        <v>-3.4444444444589967E-2</v>
      </c>
      <c r="N137" s="382">
        <v>0</v>
      </c>
    </row>
    <row r="138" spans="1:14" ht="27.75">
      <c r="A138" s="1148" t="s">
        <v>247</v>
      </c>
      <c r="B138" s="1149"/>
      <c r="C138" s="1149"/>
      <c r="D138" s="523" t="s">
        <v>239</v>
      </c>
      <c r="E138" s="484">
        <f>'8'!F138</f>
        <v>70183.820000000007</v>
      </c>
      <c r="F138" s="656">
        <v>70186.820000000007</v>
      </c>
      <c r="G138" s="473">
        <f t="shared" si="14"/>
        <v>3</v>
      </c>
      <c r="H138" s="460">
        <f>G138+'8'!H138</f>
        <v>39.480000000010477</v>
      </c>
      <c r="I138" s="480">
        <f>G137+G138</f>
        <v>3</v>
      </c>
      <c r="J138" s="553">
        <f>H138/DAY(B2)</f>
        <v>4.3866666666678311</v>
      </c>
      <c r="N138" s="382">
        <v>9.7100000000064028</v>
      </c>
    </row>
    <row r="139" spans="1:14" ht="27.75">
      <c r="A139" s="1148" t="s">
        <v>248</v>
      </c>
      <c r="B139" s="1149"/>
      <c r="C139" s="1149"/>
      <c r="D139" s="523" t="s">
        <v>239</v>
      </c>
      <c r="E139" s="484">
        <f>'8'!F139</f>
        <v>1482.68</v>
      </c>
      <c r="F139" s="627">
        <v>1490</v>
      </c>
      <c r="G139" s="473">
        <f t="shared" si="14"/>
        <v>7.3199999999999363</v>
      </c>
      <c r="H139" s="460">
        <f>G139+'8'!H139</f>
        <v>66.8599999999999</v>
      </c>
      <c r="I139" s="543"/>
      <c r="J139" s="553">
        <f>H139/DAY(B2)</f>
        <v>7.4288888888888778</v>
      </c>
      <c r="N139" s="382">
        <v>0</v>
      </c>
    </row>
    <row r="140" spans="1:14" ht="27.75">
      <c r="A140" s="1148" t="s">
        <v>249</v>
      </c>
      <c r="B140" s="1149"/>
      <c r="C140" s="1149"/>
      <c r="D140" s="523" t="s">
        <v>239</v>
      </c>
      <c r="E140" s="484">
        <f>'8'!F140</f>
        <v>4334</v>
      </c>
      <c r="F140" s="478">
        <v>4334</v>
      </c>
      <c r="G140" s="473">
        <f t="shared" si="14"/>
        <v>0</v>
      </c>
      <c r="H140" s="460">
        <f>G140+'8'!H140</f>
        <v>0</v>
      </c>
      <c r="I140" s="543"/>
      <c r="J140" s="553">
        <f>H140/DAY(B2)</f>
        <v>0</v>
      </c>
      <c r="N140" s="382">
        <v>3.6500000000000909</v>
      </c>
    </row>
    <row r="141" spans="1:14">
      <c r="A141" s="1446" t="s">
        <v>250</v>
      </c>
      <c r="B141" s="1447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382"/>
    </row>
    <row r="142" spans="1:14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5758</v>
      </c>
      <c r="H142" s="460">
        <f>G142+'8'!H142</f>
        <v>52330.120000000068</v>
      </c>
      <c r="I142" s="480"/>
      <c r="J142" s="553">
        <f>H142/DAY(B2)</f>
        <v>5814.4577777777849</v>
      </c>
      <c r="K142" s="380"/>
      <c r="L142" s="377"/>
      <c r="N142" s="382">
        <v>2912.0800000000163</v>
      </c>
    </row>
    <row r="143" spans="1:14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0.27534429992348891</v>
      </c>
      <c r="H143" s="460">
        <f>G143+'8'!H143</f>
        <v>2.2566835489678456</v>
      </c>
      <c r="I143" s="545"/>
      <c r="J143" s="553">
        <f>H143/DAY(B2)</f>
        <v>0.25074261655198282</v>
      </c>
      <c r="K143" s="380"/>
      <c r="L143" s="377"/>
      <c r="N143" s="382">
        <v>0.25636763799630391</v>
      </c>
    </row>
    <row r="144" spans="1:14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5115</v>
      </c>
      <c r="H144" s="460">
        <f>G144+'8'!H144</f>
        <v>47786.059999999969</v>
      </c>
      <c r="I144" s="480"/>
      <c r="J144" s="553">
        <f>H144/DAY(B2)</f>
        <v>5309.5622222222191</v>
      </c>
      <c r="K144" s="380"/>
      <c r="L144" s="377"/>
      <c r="N144" s="382">
        <v>2876.3199999999779</v>
      </c>
    </row>
    <row r="145" spans="1:14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0.2445964039785769</v>
      </c>
      <c r="H145" s="460">
        <f>G145+'8'!H145</f>
        <v>2.2236219244391608</v>
      </c>
      <c r="I145" s="545"/>
      <c r="J145" s="553">
        <f>H145/DAY(B2)</f>
        <v>0.24706910271546231</v>
      </c>
      <c r="K145" s="380"/>
      <c r="L145" s="377"/>
      <c r="N145" s="382">
        <v>0.25321947354520452</v>
      </c>
    </row>
    <row r="146" spans="1:14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4195</v>
      </c>
      <c r="H146" s="460">
        <f>G146+'8'!H146</f>
        <v>138482.38</v>
      </c>
      <c r="I146" s="546"/>
      <c r="J146" s="553">
        <f>H146/DAY(B2)</f>
        <v>15386.931111111111</v>
      </c>
      <c r="K146" s="380"/>
      <c r="L146" s="377"/>
      <c r="N146" s="382">
        <v>2036.5859000000055</v>
      </c>
    </row>
    <row r="147" spans="1:14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0.20060252486610558</v>
      </c>
      <c r="H147" s="460">
        <f>G147+'8'!H147</f>
        <v>6.7015015815192278</v>
      </c>
      <c r="I147" s="546"/>
      <c r="J147" s="553">
        <f>H147/DAY(B2)</f>
        <v>0.74461128683546973</v>
      </c>
      <c r="N147" s="382">
        <v>0.17929271062593585</v>
      </c>
    </row>
    <row r="148" spans="1:14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2121</v>
      </c>
      <c r="H148" s="460">
        <f>G148+'8'!H148</f>
        <v>18969.799999999981</v>
      </c>
      <c r="I148" s="480"/>
      <c r="J148" s="553">
        <f>H148/DAY(B2)</f>
        <v>2107.7555555555537</v>
      </c>
      <c r="K148" s="381"/>
      <c r="N148" s="382">
        <v>1071.8899999999849</v>
      </c>
    </row>
    <row r="149" spans="1:14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0.10142501912777353</v>
      </c>
      <c r="H149" s="460">
        <f>G149+'8'!H149</f>
        <v>0.88505054150147788</v>
      </c>
      <c r="I149" s="546"/>
      <c r="J149" s="553">
        <f>H149/DAY(B2)</f>
        <v>9.8338949055719771E-2</v>
      </c>
      <c r="N149" s="382">
        <v>9.4364820846904202E-2</v>
      </c>
    </row>
    <row r="150" spans="1:14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1695</v>
      </c>
      <c r="H150" s="460">
        <f>G150+'8'!H150</f>
        <v>17013.399999999965</v>
      </c>
      <c r="I150" s="546"/>
      <c r="J150" s="553">
        <f>H150/DAY(B2)</f>
        <v>1890.3777777777739</v>
      </c>
      <c r="N150" s="382">
        <v>1124.1299999999901</v>
      </c>
    </row>
    <row r="151" spans="1:14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8.1053940321346593E-2</v>
      </c>
      <c r="H151" s="460">
        <f>G151+'8'!H151</f>
        <v>0.79061076848649381</v>
      </c>
      <c r="I151" s="480"/>
      <c r="J151" s="553">
        <f>H151/DAY(B2)</f>
        <v>8.7845640942943753E-2</v>
      </c>
      <c r="N151" s="382">
        <v>9.8963817237432E-2</v>
      </c>
    </row>
    <row r="152" spans="1:14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1491</v>
      </c>
      <c r="H152" s="460">
        <f>G152+'8'!H152</f>
        <v>48516.160000000003</v>
      </c>
      <c r="I152" s="480"/>
      <c r="J152" s="553">
        <f>H152/DAY(B2)</f>
        <v>5390.684444444445</v>
      </c>
      <c r="N152" s="382">
        <v>1164.4599999999919</v>
      </c>
    </row>
    <row r="153" spans="1:14" ht="27" customHeight="1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7.1298775822494262E-2</v>
      </c>
      <c r="H153" s="460">
        <f>G153+'8'!H153</f>
        <v>2.3484423632277429</v>
      </c>
      <c r="I153" s="569"/>
      <c r="J153" s="570">
        <f>H153/DAY(B2)</f>
        <v>0.2609380403586381</v>
      </c>
      <c r="N153" s="382">
        <v>0.10251430583678069</v>
      </c>
    </row>
    <row r="154" spans="1:14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57" spans="1:14" ht="27.7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1067">
        <f>'8'!F160</f>
        <v>31478</v>
      </c>
      <c r="F160" s="663">
        <v>31564.65</v>
      </c>
      <c r="G160" s="473">
        <f t="shared" ref="G160:G171" si="15">F160-E160</f>
        <v>86.650000000001455</v>
      </c>
    </row>
    <row r="161" spans="1:7">
      <c r="A161" s="790" t="s">
        <v>264</v>
      </c>
      <c r="B161" s="791"/>
      <c r="C161" s="791"/>
      <c r="D161" s="511" t="s">
        <v>187</v>
      </c>
      <c r="E161" s="1067">
        <f>'8'!F161</f>
        <v>58750</v>
      </c>
      <c r="F161" s="663">
        <v>59197</v>
      </c>
      <c r="G161" s="473">
        <f t="shared" si="15"/>
        <v>447</v>
      </c>
    </row>
    <row r="162" spans="1:7">
      <c r="A162" s="790" t="s">
        <v>265</v>
      </c>
      <c r="B162" s="791"/>
      <c r="C162" s="791"/>
      <c r="D162" s="511" t="s">
        <v>187</v>
      </c>
      <c r="E162" s="1067">
        <f>'8'!F162</f>
        <v>22823</v>
      </c>
      <c r="F162" s="663">
        <v>23100</v>
      </c>
      <c r="G162" s="473">
        <f t="shared" si="15"/>
        <v>277</v>
      </c>
    </row>
    <row r="163" spans="1:7">
      <c r="A163" s="790" t="s">
        <v>266</v>
      </c>
      <c r="B163" s="791"/>
      <c r="C163" s="791"/>
      <c r="D163" s="511" t="s">
        <v>187</v>
      </c>
      <c r="E163" s="1067">
        <f>'8'!F163</f>
        <v>5527</v>
      </c>
      <c r="F163" s="663">
        <v>5536</v>
      </c>
      <c r="G163" s="473">
        <f t="shared" si="15"/>
        <v>9</v>
      </c>
    </row>
    <row r="164" spans="1:7">
      <c r="A164" s="792" t="s">
        <v>98</v>
      </c>
      <c r="B164" s="605"/>
      <c r="C164" s="605"/>
      <c r="D164" s="511" t="s">
        <v>187</v>
      </c>
      <c r="E164" s="1067">
        <f>'8'!F164</f>
        <v>20419</v>
      </c>
      <c r="F164" s="514">
        <f>F62</f>
        <v>20419</v>
      </c>
      <c r="G164" s="473">
        <f t="shared" si="15"/>
        <v>0</v>
      </c>
    </row>
    <row r="165" spans="1:7">
      <c r="A165" s="792" t="s">
        <v>188</v>
      </c>
      <c r="B165" s="605"/>
      <c r="C165" s="605"/>
      <c r="D165" s="511" t="s">
        <v>187</v>
      </c>
      <c r="E165" s="1067">
        <f>'8'!F165</f>
        <v>1809</v>
      </c>
      <c r="F165" s="514">
        <f t="shared" ref="F165:F171" si="16">F63</f>
        <v>1825</v>
      </c>
      <c r="G165" s="473">
        <f t="shared" si="15"/>
        <v>16</v>
      </c>
    </row>
    <row r="166" spans="1:7" ht="27.75">
      <c r="A166" s="1460" t="s">
        <v>99</v>
      </c>
      <c r="B166" s="1460"/>
      <c r="C166" s="1460"/>
      <c r="D166" s="523" t="s">
        <v>187</v>
      </c>
      <c r="E166" s="1067">
        <f>'8'!F166</f>
        <v>127792</v>
      </c>
      <c r="F166" s="514">
        <f t="shared" si="16"/>
        <v>128296</v>
      </c>
      <c r="G166" s="473">
        <f t="shared" si="15"/>
        <v>504</v>
      </c>
    </row>
    <row r="167" spans="1:7" ht="27.75">
      <c r="A167" s="1460" t="s">
        <v>100</v>
      </c>
      <c r="B167" s="1460"/>
      <c r="C167" s="1460"/>
      <c r="D167" s="523" t="s">
        <v>187</v>
      </c>
      <c r="E167" s="1067">
        <f>'8'!F167</f>
        <v>135612</v>
      </c>
      <c r="F167" s="514">
        <f t="shared" si="16"/>
        <v>135987</v>
      </c>
      <c r="G167" s="473">
        <f t="shared" si="15"/>
        <v>375</v>
      </c>
    </row>
    <row r="168" spans="1:7" ht="27.75">
      <c r="A168" s="1460" t="s">
        <v>101</v>
      </c>
      <c r="B168" s="1460"/>
      <c r="C168" s="1460"/>
      <c r="D168" s="523" t="s">
        <v>187</v>
      </c>
      <c r="E168" s="1067">
        <f>'8'!F168</f>
        <v>28345</v>
      </c>
      <c r="F168" s="514">
        <f t="shared" si="16"/>
        <v>28723</v>
      </c>
      <c r="G168" s="473">
        <f t="shared" si="15"/>
        <v>378</v>
      </c>
    </row>
    <row r="169" spans="1:7" ht="27.75">
      <c r="A169" s="1460" t="s">
        <v>102</v>
      </c>
      <c r="B169" s="1460"/>
      <c r="C169" s="1460"/>
      <c r="D169" s="523" t="s">
        <v>187</v>
      </c>
      <c r="E169" s="1067">
        <f>'8'!F169</f>
        <v>213302</v>
      </c>
      <c r="F169" s="514">
        <f t="shared" si="16"/>
        <v>213978</v>
      </c>
      <c r="G169" s="473">
        <f t="shared" si="15"/>
        <v>676</v>
      </c>
    </row>
    <row r="170" spans="1:7" ht="27.75">
      <c r="A170" s="1460" t="s">
        <v>103</v>
      </c>
      <c r="B170" s="1460"/>
      <c r="C170" s="1460"/>
      <c r="D170" s="523" t="s">
        <v>187</v>
      </c>
      <c r="E170" s="1067">
        <f>'8'!F170</f>
        <v>75414</v>
      </c>
      <c r="F170" s="514">
        <f t="shared" si="16"/>
        <v>75751</v>
      </c>
      <c r="G170" s="473">
        <f t="shared" si="15"/>
        <v>337</v>
      </c>
    </row>
    <row r="171" spans="1:7" ht="27.75">
      <c r="A171" s="1460" t="s">
        <v>104</v>
      </c>
      <c r="B171" s="1460"/>
      <c r="C171" s="1460"/>
      <c r="D171" s="523" t="s">
        <v>187</v>
      </c>
      <c r="E171" s="1067">
        <f>'8'!F171</f>
        <v>67053</v>
      </c>
      <c r="F171" s="514">
        <f t="shared" si="16"/>
        <v>67385</v>
      </c>
      <c r="G171" s="473">
        <f t="shared" si="15"/>
        <v>332</v>
      </c>
    </row>
    <row r="176" spans="1:7" ht="18.75" customHeight="1"/>
    <row r="177" spans="6:6" ht="18.75" customHeight="1">
      <c r="F177" s="668" t="s">
        <v>215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zoomScale="60" zoomScaleNormal="55" workbookViewId="0">
      <selection activeCell="F29" sqref="F29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4" s="281" customFormat="1" ht="27">
      <c r="A2" s="576" t="s">
        <v>322</v>
      </c>
      <c r="B2" s="1038">
        <v>44265</v>
      </c>
      <c r="C2" s="1150" t="s">
        <v>69</v>
      </c>
      <c r="D2" s="612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15"/>
    </row>
    <row r="3" spans="1:14" s="281" customFormat="1" ht="27">
      <c r="A3" s="571"/>
      <c r="B3" s="615"/>
      <c r="C3" s="1150" t="s">
        <v>120</v>
      </c>
      <c r="D3" s="613">
        <v>28</v>
      </c>
      <c r="E3" s="1432" t="s">
        <v>121</v>
      </c>
      <c r="F3" s="1433"/>
      <c r="G3" s="462"/>
      <c r="H3" s="463"/>
      <c r="I3" s="463"/>
      <c r="J3" s="616"/>
      <c r="K3" s="371"/>
      <c r="L3" s="292"/>
      <c r="N3" s="715"/>
    </row>
    <row r="4" spans="1:14" s="281" customFormat="1" ht="27">
      <c r="A4" s="577"/>
      <c r="B4" s="617"/>
      <c r="C4" s="1150" t="s">
        <v>122</v>
      </c>
      <c r="D4" s="612">
        <v>0.78</v>
      </c>
      <c r="E4" s="464"/>
      <c r="F4" s="464"/>
      <c r="G4" s="464"/>
      <c r="H4" s="464"/>
      <c r="I4" s="465"/>
      <c r="J4" s="616"/>
      <c r="K4" s="372"/>
      <c r="L4" s="292"/>
      <c r="N4" s="715"/>
    </row>
    <row r="5" spans="1:1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4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4" ht="30" thickBot="1">
      <c r="A7" s="681" t="s">
        <v>131</v>
      </c>
      <c r="B7" s="682"/>
      <c r="C7" s="682"/>
      <c r="D7" s="639" t="s">
        <v>132</v>
      </c>
      <c r="E7" s="634">
        <f>'9'!F7</f>
        <v>4638060</v>
      </c>
      <c r="F7" s="455">
        <v>4659850</v>
      </c>
      <c r="G7" s="683">
        <f>F7-E7</f>
        <v>21790</v>
      </c>
      <c r="H7" s="684">
        <f>G7+'9'!H7</f>
        <v>214773</v>
      </c>
      <c r="I7" s="685">
        <v>12000</v>
      </c>
      <c r="J7" s="686">
        <f>H7/DAY(B2)</f>
        <v>21477.3</v>
      </c>
      <c r="K7" s="550"/>
      <c r="L7" s="377"/>
      <c r="N7" s="716"/>
    </row>
    <row r="8" spans="1:14" ht="27.75" thickBot="1">
      <c r="A8" s="687" t="s">
        <v>133</v>
      </c>
      <c r="B8" s="688"/>
      <c r="C8" s="689"/>
      <c r="D8" s="690" t="s">
        <v>25</v>
      </c>
      <c r="E8" s="634">
        <f>'9'!F8</f>
        <v>4667409</v>
      </c>
      <c r="F8" s="475">
        <v>4689349</v>
      </c>
      <c r="G8" s="694">
        <f>F8-E8</f>
        <v>21940</v>
      </c>
      <c r="H8" s="684">
        <f>G8+'9'!H8</f>
        <v>216193</v>
      </c>
      <c r="I8" s="691">
        <v>12000</v>
      </c>
      <c r="J8" s="686">
        <f>H8/DAY(B2)</f>
        <v>21619.3</v>
      </c>
      <c r="K8" s="550"/>
      <c r="L8" s="425"/>
      <c r="M8" s="440"/>
      <c r="N8" s="717"/>
    </row>
    <row r="9" spans="1:14">
      <c r="A9" s="692" t="s">
        <v>134</v>
      </c>
      <c r="B9" s="693"/>
      <c r="C9" s="693"/>
      <c r="D9" s="639" t="s">
        <v>132</v>
      </c>
      <c r="E9" s="634">
        <f>'9'!F9</f>
        <v>124354</v>
      </c>
      <c r="F9" s="478">
        <v>124354</v>
      </c>
      <c r="G9" s="707">
        <f t="shared" ref="G9:G12" si="0">F9-E9</f>
        <v>0</v>
      </c>
      <c r="H9" s="684">
        <f>G9+'9'!H9</f>
        <v>37444.990000000005</v>
      </c>
      <c r="I9" s="695">
        <f>I7-J7</f>
        <v>-9477.2999999999993</v>
      </c>
      <c r="J9" s="686">
        <f>H9/DAY(B2)</f>
        <v>3744.4990000000007</v>
      </c>
      <c r="K9" s="428"/>
      <c r="L9" s="377"/>
      <c r="N9" s="718"/>
    </row>
    <row r="10" spans="1:14">
      <c r="A10" s="681" t="s">
        <v>135</v>
      </c>
      <c r="B10" s="682"/>
      <c r="C10" s="682"/>
      <c r="D10" s="639" t="s">
        <v>132</v>
      </c>
      <c r="E10" s="634">
        <f>'9'!F10</f>
        <v>174625</v>
      </c>
      <c r="F10" s="478">
        <v>195619</v>
      </c>
      <c r="G10" s="694">
        <f t="shared" si="0"/>
        <v>20994</v>
      </c>
      <c r="H10" s="684">
        <f>G10+'9'!H10</f>
        <v>169923.44</v>
      </c>
      <c r="I10" s="696"/>
      <c r="J10" s="686">
        <f>H10/DAY(B2)</f>
        <v>16992.344000000001</v>
      </c>
      <c r="K10" s="428"/>
      <c r="L10" s="377"/>
      <c r="N10" s="718"/>
    </row>
    <row r="11" spans="1:14">
      <c r="A11" s="681" t="s">
        <v>136</v>
      </c>
      <c r="B11" s="682"/>
      <c r="C11" s="682"/>
      <c r="D11" s="639" t="s">
        <v>132</v>
      </c>
      <c r="E11" s="634">
        <f>'9'!F11</f>
        <v>37000</v>
      </c>
      <c r="F11" s="455">
        <v>37000</v>
      </c>
      <c r="G11" s="694">
        <f t="shared" si="0"/>
        <v>0</v>
      </c>
      <c r="H11" s="684">
        <f>G11+'9'!H11</f>
        <v>0</v>
      </c>
      <c r="I11" s="696"/>
      <c r="J11" s="686">
        <f>H11/DAY(B2)</f>
        <v>0</v>
      </c>
      <c r="K11" s="428"/>
      <c r="L11" s="377"/>
      <c r="N11" s="718"/>
    </row>
    <row r="12" spans="1:14">
      <c r="A12" s="681" t="s">
        <v>137</v>
      </c>
      <c r="B12" s="682"/>
      <c r="C12" s="682"/>
      <c r="D12" s="639" t="s">
        <v>132</v>
      </c>
      <c r="E12" s="634">
        <f>'9'!F12</f>
        <v>40010</v>
      </c>
      <c r="F12" s="478">
        <v>40010</v>
      </c>
      <c r="G12" s="694">
        <f t="shared" si="0"/>
        <v>0</v>
      </c>
      <c r="H12" s="684">
        <f>G12+'9'!H12</f>
        <v>0</v>
      </c>
      <c r="I12" s="696"/>
      <c r="J12" s="686">
        <f>H12/DAY(B2)</f>
        <v>0</v>
      </c>
      <c r="K12" s="428"/>
      <c r="L12" s="377"/>
      <c r="N12" s="718"/>
    </row>
    <row r="13" spans="1:14">
      <c r="A13" s="697" t="s">
        <v>138</v>
      </c>
      <c r="B13" s="698"/>
      <c r="C13" s="698"/>
      <c r="D13" s="639"/>
      <c r="E13" s="634"/>
      <c r="F13" s="455"/>
      <c r="G13" s="699">
        <f>G9+G10+G11+G12</f>
        <v>20994</v>
      </c>
      <c r="H13" s="684">
        <f>G13+'9'!H13</f>
        <v>207368.43</v>
      </c>
      <c r="I13" s="700">
        <f>G7-G13</f>
        <v>796</v>
      </c>
      <c r="J13" s="686">
        <f>H13/DAY(B2)</f>
        <v>20736.843000000001</v>
      </c>
      <c r="K13" s="428"/>
      <c r="L13" s="377"/>
      <c r="N13" s="718"/>
    </row>
    <row r="14" spans="1:14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N14" s="718"/>
    </row>
    <row r="15" spans="1:14">
      <c r="A15" s="798" t="s">
        <v>140</v>
      </c>
      <c r="B15" s="793"/>
      <c r="C15" s="793"/>
      <c r="D15" s="524" t="s">
        <v>141</v>
      </c>
      <c r="E15" s="485">
        <f>'9'!F15</f>
        <v>1627874.87</v>
      </c>
      <c r="F15" s="485">
        <v>1628722</v>
      </c>
      <c r="G15" s="669">
        <f>(F15-E15)</f>
        <v>847.12999999988824</v>
      </c>
      <c r="H15" s="486">
        <f>G15+'9'!H15</f>
        <v>8843.3899999998976</v>
      </c>
      <c r="I15" s="474">
        <v>800</v>
      </c>
      <c r="J15" s="554">
        <f>H15/DAY(B2)</f>
        <v>884.33899999998971</v>
      </c>
      <c r="K15" s="428"/>
      <c r="L15" s="377"/>
      <c r="N15" s="718"/>
    </row>
    <row r="16" spans="1:14">
      <c r="A16" s="796"/>
      <c r="B16" s="797"/>
      <c r="C16" s="797"/>
      <c r="D16" s="794"/>
      <c r="E16" s="795"/>
      <c r="F16" s="485"/>
      <c r="G16" s="674"/>
      <c r="H16" s="486"/>
      <c r="I16" s="482">
        <f>I15-J15</f>
        <v>-84.33899999998971</v>
      </c>
      <c r="J16" s="554"/>
      <c r="K16" s="428"/>
      <c r="L16" s="377"/>
      <c r="N16" s="718"/>
    </row>
    <row r="17" spans="1:14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718"/>
    </row>
    <row r="18" spans="1:14" ht="27.75">
      <c r="A18" s="1464" t="s">
        <v>143</v>
      </c>
      <c r="B18" s="1465"/>
      <c r="C18" s="1466"/>
      <c r="D18" s="639" t="s">
        <v>144</v>
      </c>
      <c r="E18" s="636">
        <f>'9'!F18</f>
        <v>12</v>
      </c>
      <c r="F18" s="478">
        <v>10</v>
      </c>
      <c r="G18" s="699">
        <f>F18*10</f>
        <v>100</v>
      </c>
      <c r="H18" s="684">
        <f>G18+'9'!H18</f>
        <v>1440</v>
      </c>
      <c r="I18" s="685">
        <v>65</v>
      </c>
      <c r="J18" s="686">
        <f>H18/DAY(B2)</f>
        <v>144</v>
      </c>
      <c r="K18" s="428"/>
      <c r="L18" s="377"/>
      <c r="N18" s="718"/>
    </row>
    <row r="19" spans="1:14" ht="27.75">
      <c r="A19" s="1464" t="s">
        <v>71</v>
      </c>
      <c r="B19" s="1465"/>
      <c r="C19" s="1466"/>
      <c r="D19" s="639" t="s">
        <v>144</v>
      </c>
      <c r="E19" s="636">
        <f>'9'!F19</f>
        <v>134930</v>
      </c>
      <c r="F19" s="478">
        <v>134982</v>
      </c>
      <c r="G19" s="694">
        <f t="shared" ref="G19" si="1">F19-E19</f>
        <v>52</v>
      </c>
      <c r="H19" s="684">
        <f>G19+'9'!H19</f>
        <v>514</v>
      </c>
      <c r="I19" s="701"/>
      <c r="J19" s="686">
        <f>H19/DAY(B2)</f>
        <v>51.4</v>
      </c>
      <c r="K19" s="428"/>
      <c r="L19" s="377"/>
      <c r="N19" s="718"/>
    </row>
    <row r="20" spans="1:14">
      <c r="A20" s="697" t="s">
        <v>145</v>
      </c>
      <c r="B20" s="698"/>
      <c r="C20" s="698"/>
      <c r="D20" s="639"/>
      <c r="E20" s="639"/>
      <c r="F20" s="524"/>
      <c r="G20" s="702">
        <f>G18+G19</f>
        <v>152</v>
      </c>
      <c r="H20" s="684">
        <f>G20+'9'!H20</f>
        <v>1954</v>
      </c>
      <c r="I20" s="703">
        <f>I18-J20</f>
        <v>-130.4</v>
      </c>
      <c r="J20" s="686">
        <f>H20/DAY(B2)</f>
        <v>195.4</v>
      </c>
      <c r="K20" s="428"/>
      <c r="L20" s="377"/>
      <c r="N20" s="718"/>
    </row>
    <row r="21" spans="1:14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718"/>
    </row>
    <row r="22" spans="1:14">
      <c r="A22" s="1148" t="s">
        <v>147</v>
      </c>
      <c r="B22" s="590"/>
      <c r="C22" s="590"/>
      <c r="D22" s="523" t="s">
        <v>148</v>
      </c>
      <c r="E22" s="636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3">
        <f>H22/DAY(B2)</f>
        <v>0</v>
      </c>
      <c r="K22" s="428"/>
      <c r="L22" s="377"/>
      <c r="N22" s="718"/>
    </row>
    <row r="23" spans="1:14">
      <c r="A23" s="1148" t="s">
        <v>149</v>
      </c>
      <c r="B23" s="590"/>
      <c r="C23" s="590"/>
      <c r="D23" s="523" t="s">
        <v>148</v>
      </c>
      <c r="E23" s="636">
        <f>'9'!F23</f>
        <v>2900</v>
      </c>
      <c r="F23" s="478">
        <v>2900</v>
      </c>
      <c r="G23" s="481">
        <v>0</v>
      </c>
      <c r="H23" s="460">
        <f>G23+'9'!H23</f>
        <v>0</v>
      </c>
      <c r="I23" s="480"/>
      <c r="J23" s="553">
        <f>H23/DAY(B2)</f>
        <v>0</v>
      </c>
      <c r="K23" s="428"/>
      <c r="L23" s="377"/>
      <c r="N23" s="718"/>
    </row>
    <row r="24" spans="1:14">
      <c r="A24" s="591" t="s">
        <v>150</v>
      </c>
      <c r="B24" s="592"/>
      <c r="C24" s="592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3">
        <f>H24/DAY(B2)</f>
        <v>0</v>
      </c>
      <c r="K24" s="428"/>
      <c r="L24" s="377"/>
      <c r="N24" s="718"/>
    </row>
    <row r="25" spans="1:14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718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18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21940</v>
      </c>
      <c r="F27" s="501">
        <v>9</v>
      </c>
      <c r="G27" s="502">
        <f>E27*F27</f>
        <v>197460</v>
      </c>
      <c r="H27" s="460">
        <f>G27+'9'!H27</f>
        <v>1945737</v>
      </c>
      <c r="I27" s="503"/>
      <c r="J27" s="553">
        <f>H27/DAY(B2)</f>
        <v>194573.7</v>
      </c>
      <c r="K27" s="373"/>
      <c r="L27" s="443"/>
      <c r="N27" s="718"/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847.12999999988824</v>
      </c>
      <c r="F28" s="501">
        <v>48.88</v>
      </c>
      <c r="G28" s="502">
        <f>E28*F28</f>
        <v>41407.71439999454</v>
      </c>
      <c r="H28" s="460">
        <f>G28+'9'!H28</f>
        <v>432264.90319999499</v>
      </c>
      <c r="I28" s="505"/>
      <c r="J28" s="553">
        <f>H28/DAY(B2)</f>
        <v>43226.490319999502</v>
      </c>
      <c r="K28" s="373"/>
      <c r="L28" s="443"/>
      <c r="N28" s="718"/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3">
        <f>H29/DAY(B2)</f>
        <v>0</v>
      </c>
      <c r="K29" s="373"/>
      <c r="L29" s="443"/>
      <c r="N29" s="718"/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52</v>
      </c>
      <c r="F30" s="501">
        <v>134</v>
      </c>
      <c r="G30" s="502">
        <f>E30*F30</f>
        <v>6968</v>
      </c>
      <c r="H30" s="460">
        <f>G30+'9'!H30</f>
        <v>86564</v>
      </c>
      <c r="I30" s="505"/>
      <c r="J30" s="553">
        <f>H30/DAY(B2)</f>
        <v>8656.4</v>
      </c>
      <c r="K30" s="373"/>
      <c r="L30" s="443"/>
      <c r="N30" s="718"/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100</v>
      </c>
      <c r="F31" s="501">
        <v>80</v>
      </c>
      <c r="G31" s="502">
        <f>E31*F31</f>
        <v>8000</v>
      </c>
      <c r="H31" s="460">
        <f>G31+'9'!H31</f>
        <v>104640</v>
      </c>
      <c r="I31" s="505"/>
      <c r="J31" s="553">
        <f>H31/DAY(B2)</f>
        <v>10464</v>
      </c>
      <c r="K31" s="373"/>
      <c r="L31" s="443"/>
      <c r="N31" s="718"/>
    </row>
    <row r="32" spans="1:14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253835.71439999453</v>
      </c>
      <c r="H32" s="460">
        <f>G32+'9'!H32</f>
        <v>2569205.9031999949</v>
      </c>
      <c r="I32" s="509"/>
      <c r="J32" s="553">
        <f>H32/DAY(B2)</f>
        <v>256920.59031999949</v>
      </c>
      <c r="K32" s="373"/>
      <c r="L32" s="443"/>
      <c r="N32" s="718"/>
    </row>
    <row r="33" spans="1:14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718"/>
    </row>
    <row r="34" spans="1:14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718"/>
    </row>
    <row r="35" spans="1:14">
      <c r="A35" s="579" t="s">
        <v>164</v>
      </c>
      <c r="B35" s="580"/>
      <c r="C35" s="580"/>
      <c r="D35" s="523" t="s">
        <v>132</v>
      </c>
      <c r="E35" s="510">
        <f>'9'!F35</f>
        <v>723418</v>
      </c>
      <c r="F35" s="1040">
        <v>726865</v>
      </c>
      <c r="G35" s="473">
        <f t="shared" ref="G35:G46" si="3">F35-E35</f>
        <v>3447</v>
      </c>
      <c r="H35" s="460">
        <f>G35+'9'!H35</f>
        <v>33777.410000000033</v>
      </c>
      <c r="I35" s="455"/>
      <c r="J35" s="553">
        <f>H35/DAY(B2)</f>
        <v>3377.7410000000032</v>
      </c>
      <c r="K35" s="428"/>
      <c r="L35" s="377"/>
      <c r="N35" s="718"/>
    </row>
    <row r="36" spans="1:14">
      <c r="A36" s="579" t="s">
        <v>165</v>
      </c>
      <c r="B36" s="580"/>
      <c r="C36" s="580"/>
      <c r="D36" s="523" t="s">
        <v>132</v>
      </c>
      <c r="E36" s="510">
        <f>'9'!F36</f>
        <v>302278</v>
      </c>
      <c r="F36" s="1040">
        <v>302980</v>
      </c>
      <c r="G36" s="473">
        <f t="shared" si="3"/>
        <v>702</v>
      </c>
      <c r="H36" s="460">
        <f>G36+'9'!H36</f>
        <v>6534.429999999993</v>
      </c>
      <c r="I36" s="455"/>
      <c r="J36" s="553">
        <f>H36/DAY(B2)</f>
        <v>653.4429999999993</v>
      </c>
      <c r="K36" s="428"/>
      <c r="L36" s="377"/>
      <c r="N36" s="719"/>
    </row>
    <row r="37" spans="1:14">
      <c r="A37" s="579" t="s">
        <v>166</v>
      </c>
      <c r="B37" s="580"/>
      <c r="C37" s="580"/>
      <c r="D37" s="523" t="s">
        <v>132</v>
      </c>
      <c r="E37" s="510">
        <f>'9'!F37</f>
        <v>35167</v>
      </c>
      <c r="F37" s="1040">
        <v>35167</v>
      </c>
      <c r="G37" s="473">
        <f t="shared" si="3"/>
        <v>0</v>
      </c>
      <c r="H37" s="460">
        <f>G37+'9'!H37</f>
        <v>38272.080000000002</v>
      </c>
      <c r="I37" s="455"/>
      <c r="J37" s="553">
        <f>H37/DAY(B2)</f>
        <v>3827.2080000000001</v>
      </c>
      <c r="K37" s="428"/>
      <c r="L37" s="377"/>
      <c r="N37" s="719"/>
    </row>
    <row r="38" spans="1:14">
      <c r="A38" s="579" t="s">
        <v>167</v>
      </c>
      <c r="B38" s="580"/>
      <c r="C38" s="580"/>
      <c r="D38" s="523" t="s">
        <v>132</v>
      </c>
      <c r="E38" s="510">
        <f>'9'!F38</f>
        <v>48333</v>
      </c>
      <c r="F38" s="467">
        <v>48333</v>
      </c>
      <c r="G38" s="473">
        <f t="shared" si="3"/>
        <v>0</v>
      </c>
      <c r="H38" s="460">
        <f>G38+'9'!H38</f>
        <v>4519.510000000002</v>
      </c>
      <c r="I38" s="455"/>
      <c r="J38" s="553">
        <f>H38/DAY(B2)</f>
        <v>451.95100000000019</v>
      </c>
      <c r="K38" s="428"/>
      <c r="L38" s="377"/>
      <c r="N38" s="718"/>
    </row>
    <row r="39" spans="1:14">
      <c r="A39" s="579" t="s">
        <v>168</v>
      </c>
      <c r="B39" s="580"/>
      <c r="C39" s="580"/>
      <c r="D39" s="523" t="s">
        <v>132</v>
      </c>
      <c r="E39" s="510">
        <f>'9'!F39</f>
        <v>100066</v>
      </c>
      <c r="F39" s="1040">
        <v>100066</v>
      </c>
      <c r="G39" s="473">
        <f t="shared" si="3"/>
        <v>0</v>
      </c>
      <c r="H39" s="460">
        <f>G39+'9'!H39</f>
        <v>109458.89</v>
      </c>
      <c r="I39" s="455"/>
      <c r="J39" s="553">
        <f>H39/DAY(B2)</f>
        <v>10945.888999999999</v>
      </c>
      <c r="K39" s="428"/>
      <c r="L39" s="377"/>
      <c r="N39" s="718"/>
    </row>
    <row r="40" spans="1:14">
      <c r="A40" s="600" t="s">
        <v>169</v>
      </c>
      <c r="B40" s="601"/>
      <c r="C40" s="601"/>
      <c r="D40" s="523" t="s">
        <v>132</v>
      </c>
      <c r="E40" s="510">
        <f>'9'!F40</f>
        <v>0.23</v>
      </c>
      <c r="F40" s="1040">
        <v>0.23</v>
      </c>
      <c r="G40" s="473">
        <f t="shared" si="3"/>
        <v>0</v>
      </c>
      <c r="H40" s="460">
        <f>G40+'9'!H40</f>
        <v>0</v>
      </c>
      <c r="I40" s="455"/>
      <c r="J40" s="553">
        <f>H40/DAY(B2)</f>
        <v>0</v>
      </c>
      <c r="K40" s="429"/>
      <c r="L40" s="377"/>
      <c r="N40" s="718"/>
    </row>
    <row r="41" spans="1:14">
      <c r="A41" s="579" t="s">
        <v>170</v>
      </c>
      <c r="B41" s="580"/>
      <c r="C41" s="580"/>
      <c r="D41" s="523" t="s">
        <v>132</v>
      </c>
      <c r="E41" s="510">
        <f>'9'!F41</f>
        <v>64767</v>
      </c>
      <c r="F41" s="1040">
        <v>64767</v>
      </c>
      <c r="G41" s="473">
        <f>F41-E41</f>
        <v>0</v>
      </c>
      <c r="H41" s="460">
        <f>G41+'9'!H41</f>
        <v>884.62999999999738</v>
      </c>
      <c r="I41" s="455"/>
      <c r="J41" s="553">
        <f>H41/DAY(B2)</f>
        <v>88.462999999999738</v>
      </c>
      <c r="K41" s="428"/>
      <c r="L41" s="377"/>
      <c r="N41" s="718"/>
    </row>
    <row r="42" spans="1:14">
      <c r="A42" s="579" t="s">
        <v>171</v>
      </c>
      <c r="B42" s="580"/>
      <c r="C42" s="580"/>
      <c r="D42" s="523" t="s">
        <v>132</v>
      </c>
      <c r="E42" s="510">
        <f>'9'!F42</f>
        <v>59128</v>
      </c>
      <c r="F42" s="1040">
        <v>59128</v>
      </c>
      <c r="G42" s="473">
        <f t="shared" si="3"/>
        <v>0</v>
      </c>
      <c r="H42" s="460">
        <f>G42+'9'!H42</f>
        <v>-0.84999999999854481</v>
      </c>
      <c r="I42" s="455"/>
      <c r="J42" s="553">
        <f>H42/DAY(B2)</f>
        <v>-8.4999999999854484E-2</v>
      </c>
      <c r="K42" s="428"/>
      <c r="L42" s="377"/>
      <c r="N42" s="718"/>
    </row>
    <row r="43" spans="1:14">
      <c r="A43" s="579" t="s">
        <v>172</v>
      </c>
      <c r="B43" s="580"/>
      <c r="C43" s="580"/>
      <c r="D43" s="523" t="s">
        <v>132</v>
      </c>
      <c r="E43" s="510">
        <f>'9'!F43</f>
        <v>847898</v>
      </c>
      <c r="F43" s="1040">
        <v>850405</v>
      </c>
      <c r="G43" s="473">
        <f t="shared" si="3"/>
        <v>2507</v>
      </c>
      <c r="H43" s="460">
        <f>G43+'9'!H43</f>
        <v>24507.170000000042</v>
      </c>
      <c r="I43" s="455"/>
      <c r="J43" s="553">
        <f>H43/DAY(B2)</f>
        <v>2450.7170000000042</v>
      </c>
      <c r="K43" s="428"/>
      <c r="L43" s="377"/>
      <c r="N43" s="718"/>
    </row>
    <row r="44" spans="1:14">
      <c r="A44" s="579" t="s">
        <v>173</v>
      </c>
      <c r="B44" s="580"/>
      <c r="C44" s="580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3">
        <f>H44/DAY(B2)</f>
        <v>0</v>
      </c>
      <c r="K44" s="428"/>
      <c r="L44" s="377"/>
      <c r="N44" s="718"/>
    </row>
    <row r="45" spans="1:14">
      <c r="A45" s="579" t="s">
        <v>174</v>
      </c>
      <c r="B45" s="580"/>
      <c r="C45" s="580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3">
        <f>H45/DAY(B2)</f>
        <v>0</v>
      </c>
      <c r="K45" s="428"/>
      <c r="L45" s="377"/>
      <c r="N45" s="718"/>
    </row>
    <row r="46" spans="1:14">
      <c r="A46" s="579" t="s">
        <v>175</v>
      </c>
      <c r="B46" s="580"/>
      <c r="C46" s="580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3">
        <f>H46/DAY(B2)</f>
        <v>0</v>
      </c>
      <c r="K46" s="428"/>
      <c r="L46" s="377"/>
      <c r="N46" s="718"/>
    </row>
    <row r="47" spans="1:14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6656</v>
      </c>
      <c r="H47" s="460">
        <f>G47+'9'!H47</f>
        <v>217953.27000000008</v>
      </c>
      <c r="I47" s="455"/>
      <c r="J47" s="553">
        <f>H47/DAY(B2)</f>
        <v>21795.327000000008</v>
      </c>
      <c r="K47" s="428"/>
      <c r="L47" s="377"/>
      <c r="N47" s="718"/>
    </row>
    <row r="48" spans="1:14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718"/>
    </row>
    <row r="49" spans="1:14">
      <c r="A49" s="579" t="s">
        <v>164</v>
      </c>
      <c r="B49" s="602"/>
      <c r="C49" s="602"/>
      <c r="D49" s="523" t="s">
        <v>132</v>
      </c>
      <c r="E49" s="510">
        <f>'9'!F49</f>
        <v>260732</v>
      </c>
      <c r="F49" s="510">
        <v>260732</v>
      </c>
      <c r="G49" s="473">
        <f t="shared" ref="G49:G58" si="4">F49-E49</f>
        <v>0</v>
      </c>
      <c r="H49" s="460">
        <f>G49+'9'!H49</f>
        <v>-0.13000000000465661</v>
      </c>
      <c r="I49" s="455"/>
      <c r="J49" s="553">
        <f>H49/DAY(B2)</f>
        <v>-1.3000000000465662E-2</v>
      </c>
      <c r="K49" s="428"/>
      <c r="L49" s="377"/>
      <c r="N49" s="718"/>
    </row>
    <row r="50" spans="1:14">
      <c r="A50" s="579" t="s">
        <v>178</v>
      </c>
      <c r="B50" s="602"/>
      <c r="C50" s="602"/>
      <c r="D50" s="523" t="s">
        <v>132</v>
      </c>
      <c r="E50" s="510">
        <f>'9'!F50</f>
        <v>413644</v>
      </c>
      <c r="F50" s="1040">
        <v>414838</v>
      </c>
      <c r="G50" s="473">
        <f t="shared" si="4"/>
        <v>1194</v>
      </c>
      <c r="H50" s="460">
        <f>G50+'9'!H50</f>
        <v>12374.969999999972</v>
      </c>
      <c r="I50" s="455"/>
      <c r="J50" s="553">
        <f>H50/DAY(B2)</f>
        <v>1237.4969999999971</v>
      </c>
      <c r="K50" s="428"/>
      <c r="L50" s="377"/>
      <c r="N50" s="718"/>
    </row>
    <row r="51" spans="1:14">
      <c r="A51" s="579" t="s">
        <v>166</v>
      </c>
      <c r="B51" s="602"/>
      <c r="C51" s="602"/>
      <c r="D51" s="523" t="s">
        <v>132</v>
      </c>
      <c r="E51" s="510">
        <f>'9'!F51</f>
        <v>130295</v>
      </c>
      <c r="F51" s="510">
        <v>131844</v>
      </c>
      <c r="G51" s="473">
        <f t="shared" si="4"/>
        <v>1549</v>
      </c>
      <c r="H51" s="460">
        <f>G51+'9'!H51</f>
        <v>11793.080000000002</v>
      </c>
      <c r="I51" s="455"/>
      <c r="J51" s="553">
        <f>H51/DAY(B2)</f>
        <v>1179.3080000000002</v>
      </c>
      <c r="K51" s="428"/>
      <c r="L51" s="377"/>
      <c r="N51" s="718"/>
    </row>
    <row r="52" spans="1:14">
      <c r="A52" s="579" t="s">
        <v>179</v>
      </c>
      <c r="B52" s="602"/>
      <c r="C52" s="602"/>
      <c r="D52" s="523" t="s">
        <v>132</v>
      </c>
      <c r="E52" s="510">
        <f>'9'!F52</f>
        <v>522363</v>
      </c>
      <c r="F52" s="510">
        <v>524409</v>
      </c>
      <c r="G52" s="473">
        <f t="shared" si="4"/>
        <v>2046</v>
      </c>
      <c r="H52" s="460">
        <f>G52+'9'!H52</f>
        <v>16496.289999999979</v>
      </c>
      <c r="I52" s="455"/>
      <c r="J52" s="553">
        <f>H52/DAY(B2)</f>
        <v>1649.6289999999979</v>
      </c>
      <c r="K52" s="428"/>
      <c r="L52" s="377"/>
      <c r="N52" s="718"/>
    </row>
    <row r="53" spans="1:14">
      <c r="A53" s="579" t="s">
        <v>168</v>
      </c>
      <c r="B53" s="602"/>
      <c r="C53" s="602"/>
      <c r="D53" s="523" t="s">
        <v>132</v>
      </c>
      <c r="E53" s="510">
        <f>'9'!F53</f>
        <v>360878</v>
      </c>
      <c r="F53" s="510">
        <v>365063</v>
      </c>
      <c r="G53" s="473">
        <f t="shared" si="4"/>
        <v>4185</v>
      </c>
      <c r="H53" s="460">
        <f>G53+'9'!H53</f>
        <v>33208.489999999991</v>
      </c>
      <c r="I53" s="455"/>
      <c r="J53" s="553">
        <f>H53/DAY(B2)</f>
        <v>3320.8489999999993</v>
      </c>
      <c r="K53" s="428"/>
      <c r="L53" s="377"/>
      <c r="N53" s="718"/>
    </row>
    <row r="54" spans="1:14">
      <c r="A54" s="579" t="s">
        <v>180</v>
      </c>
      <c r="B54" s="602"/>
      <c r="C54" s="602"/>
      <c r="D54" s="523" t="s">
        <v>132</v>
      </c>
      <c r="E54" s="510">
        <f>'9'!F54</f>
        <v>8200</v>
      </c>
      <c r="F54" s="510">
        <v>8200</v>
      </c>
      <c r="G54" s="473">
        <f t="shared" si="4"/>
        <v>0</v>
      </c>
      <c r="H54" s="460">
        <f>G54+'9'!H54</f>
        <v>104.40000000000055</v>
      </c>
      <c r="I54" s="455"/>
      <c r="J54" s="553">
        <f>H54/DAY(B2)</f>
        <v>10.440000000000055</v>
      </c>
      <c r="K54" s="428"/>
      <c r="L54" s="377"/>
      <c r="N54" s="718"/>
    </row>
    <row r="55" spans="1:14">
      <c r="A55" s="579" t="s">
        <v>181</v>
      </c>
      <c r="B55" s="602"/>
      <c r="C55" s="602"/>
      <c r="D55" s="523" t="s">
        <v>132</v>
      </c>
      <c r="E55" s="510">
        <f>'9'!F55</f>
        <v>161778</v>
      </c>
      <c r="F55" s="658">
        <v>166777</v>
      </c>
      <c r="G55" s="657">
        <f t="shared" si="4"/>
        <v>4999</v>
      </c>
      <c r="H55" s="710">
        <f>G55+'9'!H55</f>
        <v>49191.31</v>
      </c>
      <c r="I55" s="711"/>
      <c r="J55" s="712">
        <f>H55/DAY(B2)</f>
        <v>4919.1309999999994</v>
      </c>
      <c r="K55" s="428"/>
      <c r="L55" s="377"/>
      <c r="N55" s="718"/>
    </row>
    <row r="56" spans="1:14">
      <c r="A56" s="579" t="s">
        <v>182</v>
      </c>
      <c r="B56" s="602"/>
      <c r="C56" s="602"/>
      <c r="D56" s="523" t="s">
        <v>183</v>
      </c>
      <c r="E56" s="510">
        <f>'9'!F56</f>
        <v>588761</v>
      </c>
      <c r="F56" s="658">
        <v>588761</v>
      </c>
      <c r="G56" s="473">
        <f t="shared" si="4"/>
        <v>0</v>
      </c>
      <c r="H56" s="460">
        <f>G56+'9'!H56</f>
        <v>2709.9699999999721</v>
      </c>
      <c r="I56" s="455"/>
      <c r="J56" s="553">
        <f>H56/DAY(B2)</f>
        <v>270.99699999999723</v>
      </c>
      <c r="K56" s="427"/>
      <c r="L56" s="377"/>
      <c r="N56" s="718"/>
    </row>
    <row r="57" spans="1:14">
      <c r="A57" s="579" t="s">
        <v>172</v>
      </c>
      <c r="B57" s="602"/>
      <c r="C57" s="602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-0.32999999999992724</v>
      </c>
      <c r="I57" s="455"/>
      <c r="J57" s="553">
        <f>H57/DAY(B2)</f>
        <v>-3.2999999999992723E-2</v>
      </c>
      <c r="K57" s="428"/>
      <c r="L57" s="377"/>
      <c r="N57" s="718"/>
    </row>
    <row r="58" spans="1:14">
      <c r="A58" s="579" t="s">
        <v>184</v>
      </c>
      <c r="B58" s="602"/>
      <c r="C58" s="602"/>
      <c r="D58" s="523" t="s">
        <v>132</v>
      </c>
      <c r="E58" s="510">
        <f>'9'!F58</f>
        <v>37646</v>
      </c>
      <c r="F58" s="658">
        <v>37842</v>
      </c>
      <c r="G58" s="473">
        <f t="shared" si="4"/>
        <v>196</v>
      </c>
      <c r="H58" s="460">
        <f>G58+'9'!H58</f>
        <v>1973.3000000000029</v>
      </c>
      <c r="I58" s="455"/>
      <c r="J58" s="553">
        <f>H58/DAY(B2)</f>
        <v>197.3300000000003</v>
      </c>
      <c r="K58" s="428"/>
      <c r="L58" s="377"/>
      <c r="N58" s="718"/>
    </row>
    <row r="59" spans="1:14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14169</v>
      </c>
      <c r="H59" s="460">
        <f>G59+'9'!H59</f>
        <v>127851.34999999992</v>
      </c>
      <c r="I59" s="455">
        <f>G7-G60</f>
        <v>965</v>
      </c>
      <c r="J59" s="553">
        <f>H59/DAY(B2)</f>
        <v>12785.134999999991</v>
      </c>
      <c r="K59" s="428"/>
      <c r="L59" s="377"/>
      <c r="N59" s="718"/>
    </row>
    <row r="60" spans="1:14">
      <c r="A60" s="579"/>
      <c r="B60" s="580"/>
      <c r="C60" s="580"/>
      <c r="D60" s="511" t="s">
        <v>185</v>
      </c>
      <c r="E60" s="511"/>
      <c r="F60" s="511"/>
      <c r="G60" s="481">
        <f>G47+G59</f>
        <v>20825</v>
      </c>
      <c r="H60" s="460">
        <f>G60+'9'!H60</f>
        <v>345804.62</v>
      </c>
      <c r="I60" s="455">
        <f>G8-G60</f>
        <v>1115</v>
      </c>
      <c r="J60" s="553">
        <f>H60/DAY(B2)</f>
        <v>34580.462</v>
      </c>
      <c r="K60" s="428"/>
      <c r="L60" s="377"/>
      <c r="N60" s="718"/>
    </row>
    <row r="61" spans="1:14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18"/>
    </row>
    <row r="62" spans="1:14">
      <c r="A62" s="604" t="s">
        <v>98</v>
      </c>
      <c r="B62" s="605"/>
      <c r="C62" s="605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-0.18700000000171713</v>
      </c>
      <c r="I62" s="515"/>
      <c r="J62" s="553">
        <f>H62/DAY(B2)</f>
        <v>-1.8700000000171711E-2</v>
      </c>
      <c r="K62" s="428"/>
      <c r="L62" s="377"/>
      <c r="N62" s="718"/>
    </row>
    <row r="63" spans="1:14">
      <c r="A63" s="604" t="s">
        <v>188</v>
      </c>
      <c r="B63" s="605"/>
      <c r="C63" s="605"/>
      <c r="D63" s="511" t="s">
        <v>187</v>
      </c>
      <c r="E63" s="514">
        <f>'9'!F63</f>
        <v>1825</v>
      </c>
      <c r="F63" s="514">
        <v>1839</v>
      </c>
      <c r="G63" s="473">
        <f t="shared" si="5"/>
        <v>14</v>
      </c>
      <c r="H63" s="460">
        <f>G63+'9'!H63</f>
        <v>131.6400000000001</v>
      </c>
      <c r="I63" s="515"/>
      <c r="J63" s="553">
        <f>H63/DAY(B2)</f>
        <v>13.16400000000001</v>
      </c>
      <c r="K63" s="428"/>
      <c r="L63" s="377"/>
      <c r="N63" s="718"/>
    </row>
    <row r="64" spans="1:14" ht="27.75">
      <c r="A64" s="1408" t="s">
        <v>99</v>
      </c>
      <c r="B64" s="1409"/>
      <c r="C64" s="1410"/>
      <c r="D64" s="523" t="s">
        <v>187</v>
      </c>
      <c r="E64" s="514">
        <f>'9'!F64</f>
        <v>128296</v>
      </c>
      <c r="F64" s="478">
        <v>128841</v>
      </c>
      <c r="G64" s="473">
        <f t="shared" si="5"/>
        <v>545</v>
      </c>
      <c r="H64" s="460">
        <f>G64+'9'!H64</f>
        <v>5213.6999999999971</v>
      </c>
      <c r="I64" s="480"/>
      <c r="J64" s="553">
        <f>H64/DAY(B2)</f>
        <v>521.36999999999966</v>
      </c>
      <c r="K64" s="428"/>
      <c r="L64" s="377"/>
      <c r="N64" s="718"/>
    </row>
    <row r="65" spans="1:14" ht="27.75">
      <c r="A65" s="1408" t="s">
        <v>100</v>
      </c>
      <c r="B65" s="1409"/>
      <c r="C65" s="1410"/>
      <c r="D65" s="523" t="s">
        <v>187</v>
      </c>
      <c r="E65" s="514">
        <f>'9'!F65</f>
        <v>135987</v>
      </c>
      <c r="F65" s="656">
        <v>136358</v>
      </c>
      <c r="G65" s="473">
        <f t="shared" si="5"/>
        <v>371</v>
      </c>
      <c r="H65" s="460">
        <f>G65+'9'!H65</f>
        <v>3760.7000000000116</v>
      </c>
      <c r="I65" s="489"/>
      <c r="J65" s="553">
        <f>H65/DAY(B2)</f>
        <v>376.07000000000119</v>
      </c>
      <c r="K65" s="428"/>
      <c r="L65" s="377"/>
      <c r="N65" s="718"/>
    </row>
    <row r="66" spans="1:14" ht="27.75">
      <c r="A66" s="1408" t="s">
        <v>101</v>
      </c>
      <c r="B66" s="1409"/>
      <c r="C66" s="1410"/>
      <c r="D66" s="523" t="s">
        <v>187</v>
      </c>
      <c r="E66" s="514">
        <f>'9'!F66</f>
        <v>28723</v>
      </c>
      <c r="F66" s="478">
        <v>29078</v>
      </c>
      <c r="G66" s="473">
        <f t="shared" si="5"/>
        <v>355</v>
      </c>
      <c r="H66" s="460">
        <f>G66+'9'!H66</f>
        <v>3918.25</v>
      </c>
      <c r="I66" s="480"/>
      <c r="J66" s="553">
        <f>H66/DAY(B2)</f>
        <v>391.82499999999999</v>
      </c>
      <c r="K66" s="428"/>
      <c r="L66" s="377"/>
      <c r="N66" s="718"/>
    </row>
    <row r="67" spans="1:14" ht="27.75">
      <c r="A67" s="1408" t="s">
        <v>102</v>
      </c>
      <c r="B67" s="1409"/>
      <c r="C67" s="1410"/>
      <c r="D67" s="523" t="s">
        <v>187</v>
      </c>
      <c r="E67" s="514">
        <f>'9'!F67</f>
        <v>213978</v>
      </c>
      <c r="F67" s="478">
        <v>214635</v>
      </c>
      <c r="G67" s="473">
        <f t="shared" si="5"/>
        <v>657</v>
      </c>
      <c r="H67" s="460">
        <f>G67+'9'!H67</f>
        <v>6793.1700000000128</v>
      </c>
      <c r="I67" s="489"/>
      <c r="J67" s="553">
        <f>H67/DAY(B2)</f>
        <v>679.31700000000126</v>
      </c>
      <c r="K67" s="429"/>
      <c r="L67" s="377"/>
      <c r="N67" s="718"/>
    </row>
    <row r="68" spans="1:14" ht="27.75">
      <c r="A68" s="1408" t="s">
        <v>103</v>
      </c>
      <c r="B68" s="1409"/>
      <c r="C68" s="1410"/>
      <c r="D68" s="523" t="s">
        <v>187</v>
      </c>
      <c r="E68" s="514">
        <f>'9'!F68</f>
        <v>75751</v>
      </c>
      <c r="F68" s="478">
        <v>76079</v>
      </c>
      <c r="G68" s="473">
        <f t="shared" si="5"/>
        <v>328</v>
      </c>
      <c r="H68" s="460">
        <f>G68+'9'!H68</f>
        <v>3400.4799999999959</v>
      </c>
      <c r="I68" s="516"/>
      <c r="J68" s="553">
        <f>H68/DAY(B2)</f>
        <v>340.0479999999996</v>
      </c>
      <c r="K68" s="430"/>
      <c r="L68" s="377"/>
      <c r="N68" s="718"/>
    </row>
    <row r="69" spans="1:14" ht="27.75">
      <c r="A69" s="1408" t="s">
        <v>104</v>
      </c>
      <c r="B69" s="1409"/>
      <c r="C69" s="1410"/>
      <c r="D69" s="523" t="s">
        <v>187</v>
      </c>
      <c r="E69" s="514">
        <f>'9'!F69</f>
        <v>67385</v>
      </c>
      <c r="F69" s="478">
        <v>67712</v>
      </c>
      <c r="G69" s="473">
        <f t="shared" si="5"/>
        <v>327</v>
      </c>
      <c r="H69" s="460">
        <f>G69+'9'!H69</f>
        <v>3259.9100000000035</v>
      </c>
      <c r="I69" s="516"/>
      <c r="J69" s="553">
        <f>H69/DAY(B2)</f>
        <v>325.99100000000033</v>
      </c>
      <c r="K69" s="431"/>
      <c r="L69" s="377"/>
      <c r="N69" s="718"/>
    </row>
    <row r="70" spans="1:14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718"/>
    </row>
    <row r="71" spans="1:14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718"/>
    </row>
    <row r="72" spans="1:14" ht="27.75">
      <c r="A72" s="1408" t="s">
        <v>191</v>
      </c>
      <c r="B72" s="1409"/>
      <c r="C72" s="1410"/>
      <c r="D72" s="523" t="s">
        <v>187</v>
      </c>
      <c r="E72" s="519">
        <f>'9'!F72</f>
        <v>851351</v>
      </c>
      <c r="F72" s="659">
        <v>851438</v>
      </c>
      <c r="G72" s="473">
        <f t="shared" ref="G72:G84" si="6">F72-E72</f>
        <v>87</v>
      </c>
      <c r="H72" s="460">
        <f>G72+'9'!H72</f>
        <v>846</v>
      </c>
      <c r="I72" s="480"/>
      <c r="J72" s="553">
        <f>H72/DAY(B2)</f>
        <v>84.6</v>
      </c>
      <c r="K72" s="431"/>
      <c r="L72" s="377"/>
      <c r="N72" s="718"/>
    </row>
    <row r="73" spans="1:14" ht="27.75">
      <c r="A73" s="1408" t="s">
        <v>192</v>
      </c>
      <c r="B73" s="1409"/>
      <c r="C73" s="1410"/>
      <c r="D73" s="523" t="s">
        <v>187</v>
      </c>
      <c r="E73" s="519">
        <f>'9'!F73</f>
        <v>885775</v>
      </c>
      <c r="F73" s="660">
        <v>885775</v>
      </c>
      <c r="G73" s="657">
        <f t="shared" si="6"/>
        <v>0</v>
      </c>
      <c r="H73" s="460">
        <f>G73+'9'!H73</f>
        <v>3</v>
      </c>
      <c r="I73" s="480"/>
      <c r="J73" s="553">
        <f>H73/DAY(B2)</f>
        <v>0.3</v>
      </c>
      <c r="K73" s="430"/>
      <c r="L73" s="377"/>
      <c r="N73" s="718"/>
    </row>
    <row r="74" spans="1:14" ht="27.75">
      <c r="A74" s="1408" t="s">
        <v>193</v>
      </c>
      <c r="B74" s="1409"/>
      <c r="C74" s="1410"/>
      <c r="D74" s="523" t="s">
        <v>187</v>
      </c>
      <c r="E74" s="519">
        <f>'9'!F74</f>
        <v>847</v>
      </c>
      <c r="F74" s="659">
        <v>872</v>
      </c>
      <c r="G74" s="473">
        <f t="shared" si="6"/>
        <v>25</v>
      </c>
      <c r="H74" s="460">
        <f>G74+'9'!H74</f>
        <v>285.83000000000004</v>
      </c>
      <c r="I74" s="480"/>
      <c r="J74" s="553">
        <f>H74/DAY(B2)</f>
        <v>28.583000000000006</v>
      </c>
      <c r="K74" s="431"/>
      <c r="L74" s="377"/>
      <c r="N74" s="718"/>
    </row>
    <row r="75" spans="1:14" ht="27.75">
      <c r="A75" s="1457" t="s">
        <v>194</v>
      </c>
      <c r="B75" s="1458"/>
      <c r="C75" s="1459"/>
      <c r="D75" s="523" t="s">
        <v>187</v>
      </c>
      <c r="E75" s="519">
        <f>'9'!F75</f>
        <v>4989</v>
      </c>
      <c r="F75" s="660">
        <v>5150</v>
      </c>
      <c r="G75" s="473">
        <f t="shared" si="6"/>
        <v>161</v>
      </c>
      <c r="H75" s="460">
        <f>G75+'9'!H75</f>
        <v>1630.7800000000002</v>
      </c>
      <c r="I75" s="480"/>
      <c r="J75" s="553">
        <f>H75/DAY(B2)</f>
        <v>163.07800000000003</v>
      </c>
      <c r="K75" s="430"/>
      <c r="L75" s="377"/>
      <c r="N75" s="718"/>
    </row>
    <row r="76" spans="1:14" ht="27.75">
      <c r="A76" s="1457" t="s">
        <v>195</v>
      </c>
      <c r="B76" s="1458"/>
      <c r="C76" s="1459"/>
      <c r="D76" s="523" t="s">
        <v>187</v>
      </c>
      <c r="E76" s="519">
        <f>'9'!F76</f>
        <v>2263</v>
      </c>
      <c r="F76" s="660">
        <v>2353</v>
      </c>
      <c r="G76" s="473">
        <f t="shared" si="6"/>
        <v>90</v>
      </c>
      <c r="H76" s="460">
        <f>G76+'9'!H76</f>
        <v>838.66000000000008</v>
      </c>
      <c r="I76" s="505"/>
      <c r="J76" s="553">
        <f>H76/DAY(B2)</f>
        <v>83.866000000000014</v>
      </c>
      <c r="K76" s="430"/>
      <c r="L76" s="377"/>
      <c r="N76" s="718"/>
    </row>
    <row r="77" spans="1:14" ht="27.75">
      <c r="A77" s="1408" t="s">
        <v>196</v>
      </c>
      <c r="B77" s="1409"/>
      <c r="C77" s="1410"/>
      <c r="D77" s="523" t="s">
        <v>187</v>
      </c>
      <c r="E77" s="519">
        <f>'9'!F77</f>
        <v>699058</v>
      </c>
      <c r="F77" s="660">
        <v>699114</v>
      </c>
      <c r="G77" s="657">
        <f t="shared" si="6"/>
        <v>56</v>
      </c>
      <c r="H77" s="460">
        <f>G77+'9'!H77</f>
        <v>526</v>
      </c>
      <c r="I77" s="505"/>
      <c r="J77" s="553">
        <f>H77/DAY(B2)</f>
        <v>52.6</v>
      </c>
      <c r="K77" s="430"/>
      <c r="L77" s="377"/>
      <c r="N77" s="718"/>
    </row>
    <row r="78" spans="1:14" ht="27.75">
      <c r="A78" s="1151" t="s">
        <v>197</v>
      </c>
      <c r="B78" s="1124"/>
      <c r="C78" s="1124"/>
      <c r="D78" s="523" t="s">
        <v>187</v>
      </c>
      <c r="E78" s="519">
        <f>'9'!F78</f>
        <v>656365</v>
      </c>
      <c r="F78" s="661">
        <v>656774</v>
      </c>
      <c r="G78" s="473">
        <f t="shared" si="6"/>
        <v>409</v>
      </c>
      <c r="H78" s="460">
        <f>G78+'9'!H78</f>
        <v>3911</v>
      </c>
      <c r="I78" s="505"/>
      <c r="J78" s="553">
        <f>H78/DAY(B2)</f>
        <v>391.1</v>
      </c>
      <c r="K78" s="430"/>
      <c r="L78" s="377"/>
      <c r="N78" s="718"/>
    </row>
    <row r="79" spans="1:14" ht="27.75">
      <c r="A79" s="1457" t="s">
        <v>92</v>
      </c>
      <c r="B79" s="1458"/>
      <c r="C79" s="1459"/>
      <c r="D79" s="524" t="s">
        <v>187</v>
      </c>
      <c r="E79" s="519">
        <f>'9'!F79</f>
        <v>817034</v>
      </c>
      <c r="F79" s="661">
        <v>817239</v>
      </c>
      <c r="G79" s="473">
        <f t="shared" si="6"/>
        <v>205</v>
      </c>
      <c r="H79" s="460">
        <f>G79+'9'!H79</f>
        <v>2130</v>
      </c>
      <c r="I79" s="505"/>
      <c r="J79" s="553">
        <f>H79/DAY(B2)</f>
        <v>213</v>
      </c>
      <c r="K79" s="430"/>
      <c r="L79" s="377"/>
      <c r="N79" s="718"/>
    </row>
    <row r="80" spans="1:14" ht="27.75">
      <c r="A80" s="1457" t="s">
        <v>198</v>
      </c>
      <c r="B80" s="1458"/>
      <c r="C80" s="1459"/>
      <c r="D80" s="524" t="s">
        <v>187</v>
      </c>
      <c r="E80" s="519">
        <f>'9'!F80</f>
        <v>497753</v>
      </c>
      <c r="F80" s="660">
        <v>498270</v>
      </c>
      <c r="G80" s="473">
        <f t="shared" si="6"/>
        <v>517</v>
      </c>
      <c r="H80" s="460">
        <f>G80+'9'!H80</f>
        <v>3596.359999999986</v>
      </c>
      <c r="I80" s="505"/>
      <c r="J80" s="553">
        <f>H80/DAY(B2)</f>
        <v>359.6359999999986</v>
      </c>
      <c r="K80" s="430"/>
      <c r="L80" s="377"/>
      <c r="N80" s="718"/>
    </row>
    <row r="81" spans="1:15" ht="27.75">
      <c r="A81" s="1457" t="s">
        <v>199</v>
      </c>
      <c r="B81" s="1458"/>
      <c r="C81" s="1459"/>
      <c r="D81" s="524" t="s">
        <v>187</v>
      </c>
      <c r="E81" s="519">
        <f>'9'!F81</f>
        <v>626928</v>
      </c>
      <c r="F81" s="660">
        <v>627017</v>
      </c>
      <c r="G81" s="473">
        <f t="shared" si="6"/>
        <v>89</v>
      </c>
      <c r="H81" s="460">
        <f>G81+'9'!H81</f>
        <v>1073.1600000000326</v>
      </c>
      <c r="I81" s="505"/>
      <c r="J81" s="553">
        <f>H81/DAY(B2)</f>
        <v>107.31600000000326</v>
      </c>
      <c r="K81" s="430"/>
      <c r="L81" s="377"/>
      <c r="N81" s="718"/>
    </row>
    <row r="82" spans="1:15" ht="27.75">
      <c r="A82" s="1457" t="s">
        <v>93</v>
      </c>
      <c r="B82" s="1458"/>
      <c r="C82" s="1459"/>
      <c r="D82" s="485" t="s">
        <v>132</v>
      </c>
      <c r="E82" s="519">
        <f>'9'!F82</f>
        <v>106394</v>
      </c>
      <c r="F82" s="656">
        <v>106419</v>
      </c>
      <c r="G82" s="473">
        <f t="shared" si="6"/>
        <v>25</v>
      </c>
      <c r="H82" s="460">
        <f>G82+'9'!H82</f>
        <v>216.52000000000407</v>
      </c>
      <c r="I82" s="486"/>
      <c r="J82" s="553">
        <f>H82/DAY(B2)</f>
        <v>21.652000000000406</v>
      </c>
      <c r="K82" s="430"/>
      <c r="L82" s="377"/>
      <c r="N82" s="718"/>
    </row>
    <row r="83" spans="1:15" ht="27.75">
      <c r="A83" s="1457" t="s">
        <v>200</v>
      </c>
      <c r="B83" s="1458"/>
      <c r="C83" s="1459"/>
      <c r="D83" s="621" t="s">
        <v>132</v>
      </c>
      <c r="E83" s="519">
        <f>'9'!F83</f>
        <v>783</v>
      </c>
      <c r="F83" s="511">
        <v>1274</v>
      </c>
      <c r="G83" s="473">
        <f t="shared" si="6"/>
        <v>491</v>
      </c>
      <c r="H83" s="460">
        <f>G83+'9'!H83</f>
        <v>4677</v>
      </c>
      <c r="I83" s="481"/>
      <c r="J83" s="553">
        <f>H83/DAY(B2)</f>
        <v>467.7</v>
      </c>
      <c r="K83" s="429"/>
      <c r="L83" s="377"/>
      <c r="N83" s="718"/>
    </row>
    <row r="84" spans="1:15">
      <c r="A84" s="1152" t="s">
        <v>201</v>
      </c>
      <c r="B84" s="572"/>
      <c r="C84" s="572"/>
      <c r="D84" s="478" t="s">
        <v>132</v>
      </c>
      <c r="E84" s="519">
        <f>'9'!F84</f>
        <v>437575</v>
      </c>
      <c r="F84" s="628">
        <v>438460</v>
      </c>
      <c r="G84" s="473">
        <f t="shared" si="6"/>
        <v>885</v>
      </c>
      <c r="H84" s="460">
        <f>G84+'9'!H84</f>
        <v>7662</v>
      </c>
      <c r="I84" s="481"/>
      <c r="J84" s="553">
        <f>H84/DAY(B2)</f>
        <v>766.2</v>
      </c>
      <c r="K84" s="380"/>
      <c r="L84" s="377"/>
      <c r="N84" s="718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3040</v>
      </c>
      <c r="H85" s="460">
        <f>G85+'9'!H85</f>
        <v>25370.929999999968</v>
      </c>
      <c r="I85" s="481"/>
      <c r="J85" s="553">
        <f>H85/DAY(B2)</f>
        <v>2537.0929999999967</v>
      </c>
      <c r="K85" s="380"/>
      <c r="L85" s="378"/>
      <c r="N85" s="718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'9'!F86</f>
        <v>451394</v>
      </c>
      <c r="F86" s="652">
        <v>451553</v>
      </c>
      <c r="G86" s="710">
        <f t="shared" ref="G86:G90" si="7">F86-E86</f>
        <v>159</v>
      </c>
      <c r="H86" s="460">
        <f>G86+'9'!H86</f>
        <v>360</v>
      </c>
      <c r="I86" s="657"/>
      <c r="J86" s="712">
        <f>H86/DAY(B2)</f>
        <v>36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'9'!F87</f>
        <v>79491</v>
      </c>
      <c r="F87" s="652">
        <v>79518</v>
      </c>
      <c r="G87" s="710">
        <f t="shared" si="7"/>
        <v>27</v>
      </c>
      <c r="H87" s="460">
        <f>G87+'9'!H87</f>
        <v>96</v>
      </c>
      <c r="I87" s="657"/>
      <c r="J87" s="712">
        <f>H87/DAY(B2)</f>
        <v>9.6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'9'!F88</f>
        <v>148916</v>
      </c>
      <c r="F88" s="641">
        <v>149012</v>
      </c>
      <c r="G88" s="710">
        <f t="shared" si="7"/>
        <v>96</v>
      </c>
      <c r="H88" s="460">
        <f>G88+'9'!H88</f>
        <v>293</v>
      </c>
      <c r="I88" s="657"/>
      <c r="J88" s="712">
        <f>H88/DAY(B2)</f>
        <v>29.3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'9'!F89</f>
        <v>62354</v>
      </c>
      <c r="F89" s="652">
        <v>62437</v>
      </c>
      <c r="G89" s="710">
        <f t="shared" si="7"/>
        <v>83</v>
      </c>
      <c r="H89" s="460">
        <f>G89+'9'!H89</f>
        <v>236</v>
      </c>
      <c r="I89" s="657"/>
      <c r="J89" s="712">
        <f>H89/DAY(B2)</f>
        <v>23.6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'9'!F90</f>
        <v>3203</v>
      </c>
      <c r="F90" s="652">
        <v>3209</v>
      </c>
      <c r="G90" s="710">
        <f t="shared" si="7"/>
        <v>6</v>
      </c>
      <c r="H90" s="460">
        <f>G90+'9'!H90</f>
        <v>16</v>
      </c>
      <c r="I90" s="657"/>
      <c r="J90" s="712">
        <f>H90/DAY(B2)</f>
        <v>1.6</v>
      </c>
      <c r="K90" s="738"/>
      <c r="L90" s="739"/>
      <c r="N90" s="783"/>
      <c r="O90" s="382"/>
    </row>
    <row r="91" spans="1:15" s="379" customFormat="1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718"/>
    </row>
    <row r="92" spans="1:15" ht="27.75">
      <c r="A92" s="1411" t="s">
        <v>206</v>
      </c>
      <c r="B92" s="1412"/>
      <c r="C92" s="1413"/>
      <c r="D92" s="523" t="s">
        <v>144</v>
      </c>
      <c r="E92" s="484">
        <f>'9'!F92</f>
        <v>240633</v>
      </c>
      <c r="F92" s="478">
        <v>240680</v>
      </c>
      <c r="G92" s="473">
        <f t="shared" ref="G92:G93" si="8">F92-E92</f>
        <v>47</v>
      </c>
      <c r="H92" s="460">
        <f>G92+'9'!H92</f>
        <v>985</v>
      </c>
      <c r="I92" s="480"/>
      <c r="J92" s="553">
        <f>H92/DAY(B2)</f>
        <v>98.5</v>
      </c>
      <c r="K92" s="429"/>
      <c r="L92" s="377"/>
      <c r="N92" s="718"/>
    </row>
    <row r="93" spans="1:15" ht="27.75">
      <c r="A93" s="1411" t="s">
        <v>207</v>
      </c>
      <c r="B93" s="1412"/>
      <c r="C93" s="1413"/>
      <c r="D93" s="523" t="s">
        <v>144</v>
      </c>
      <c r="E93" s="484">
        <f>'9'!F93</f>
        <v>176871</v>
      </c>
      <c r="F93" s="478">
        <v>176979</v>
      </c>
      <c r="G93" s="473">
        <f t="shared" si="8"/>
        <v>108</v>
      </c>
      <c r="H93" s="460">
        <f>G93+'9'!H93</f>
        <v>1318</v>
      </c>
      <c r="I93" s="480"/>
      <c r="J93" s="553">
        <f>H93/DAY(B2)</f>
        <v>131.80000000000001</v>
      </c>
      <c r="K93" s="380"/>
      <c r="L93" s="377"/>
      <c r="N93" s="718"/>
    </row>
    <row r="94" spans="1:15">
      <c r="A94" s="1405" t="s">
        <v>208</v>
      </c>
      <c r="B94" s="1406"/>
      <c r="C94" s="1407"/>
      <c r="D94" s="523"/>
      <c r="E94" s="484"/>
      <c r="F94" s="478"/>
      <c r="G94" s="473">
        <f>G92+G93</f>
        <v>155</v>
      </c>
      <c r="H94" s="460">
        <f>G94+'9'!H94</f>
        <v>2037</v>
      </c>
      <c r="I94" s="480"/>
      <c r="J94" s="553">
        <f>H94/DAY(B2)</f>
        <v>203.7</v>
      </c>
      <c r="K94" s="380"/>
      <c r="L94" s="377"/>
      <c r="N94" s="718"/>
    </row>
    <row r="95" spans="1:15" ht="27.75">
      <c r="A95" s="1411" t="s">
        <v>209</v>
      </c>
      <c r="B95" s="1412"/>
      <c r="C95" s="1413"/>
      <c r="D95" s="523" t="s">
        <v>144</v>
      </c>
      <c r="E95" s="484">
        <f>'9'!F95</f>
        <v>408976</v>
      </c>
      <c r="F95" s="478">
        <v>409044</v>
      </c>
      <c r="G95" s="473">
        <f t="shared" ref="G95:G100" si="9">F95-E95</f>
        <v>68</v>
      </c>
      <c r="H95" s="460">
        <f>G95+'9'!H95</f>
        <v>888</v>
      </c>
      <c r="I95" s="480"/>
      <c r="J95" s="553">
        <f>H95/DAY(B2)</f>
        <v>88.8</v>
      </c>
      <c r="K95" s="380"/>
      <c r="L95" s="377"/>
      <c r="N95" s="718"/>
    </row>
    <row r="96" spans="1:15" ht="27.75">
      <c r="A96" s="1148" t="s">
        <v>210</v>
      </c>
      <c r="B96" s="1149"/>
      <c r="C96" s="1149"/>
      <c r="D96" s="523" t="s">
        <v>144</v>
      </c>
      <c r="E96" s="484">
        <f>'9'!F96</f>
        <v>101479</v>
      </c>
      <c r="F96" s="478">
        <v>101490</v>
      </c>
      <c r="G96" s="473">
        <f t="shared" si="9"/>
        <v>11</v>
      </c>
      <c r="H96" s="460">
        <f>G96+'9'!H96</f>
        <v>158</v>
      </c>
      <c r="I96" s="480"/>
      <c r="J96" s="553">
        <f>H96/DAY(B2)</f>
        <v>15.8</v>
      </c>
      <c r="K96" s="427"/>
      <c r="L96" s="377"/>
      <c r="N96" s="718"/>
    </row>
    <row r="97" spans="1:14" ht="27.75">
      <c r="A97" s="1148" t="s">
        <v>211</v>
      </c>
      <c r="B97" s="1149"/>
      <c r="C97" s="1149"/>
      <c r="D97" s="523" t="s">
        <v>144</v>
      </c>
      <c r="E97" s="484">
        <f>'9'!F97</f>
        <v>96618</v>
      </c>
      <c r="F97" s="478">
        <v>96636</v>
      </c>
      <c r="G97" s="473">
        <f t="shared" si="9"/>
        <v>18</v>
      </c>
      <c r="H97" s="460">
        <f>G97+'9'!H97</f>
        <v>187</v>
      </c>
      <c r="I97" s="480"/>
      <c r="J97" s="553">
        <f>H97/DAY(B2)</f>
        <v>18.7</v>
      </c>
      <c r="K97" s="432"/>
      <c r="L97" s="377"/>
      <c r="N97" s="718"/>
    </row>
    <row r="98" spans="1:14" ht="27.75">
      <c r="A98" s="1148" t="s">
        <v>212</v>
      </c>
      <c r="B98" s="1149"/>
      <c r="C98" s="1149"/>
      <c r="D98" s="523" t="s">
        <v>144</v>
      </c>
      <c r="E98" s="484">
        <f>'9'!F98</f>
        <v>148116</v>
      </c>
      <c r="F98" s="478">
        <v>148160</v>
      </c>
      <c r="G98" s="473">
        <f t="shared" si="9"/>
        <v>44</v>
      </c>
      <c r="H98" s="460">
        <f>G98+'9'!H98</f>
        <v>552</v>
      </c>
      <c r="I98" s="480"/>
      <c r="J98" s="553">
        <f>H98/DAY(B2)</f>
        <v>55.2</v>
      </c>
      <c r="K98" s="380"/>
      <c r="L98" s="377"/>
      <c r="N98" s="720"/>
    </row>
    <row r="99" spans="1:14" ht="27.75">
      <c r="A99" s="1148" t="s">
        <v>213</v>
      </c>
      <c r="B99" s="1149"/>
      <c r="C99" s="1149"/>
      <c r="D99" s="523" t="s">
        <v>144</v>
      </c>
      <c r="E99" s="484">
        <f>'9'!F99</f>
        <v>6540</v>
      </c>
      <c r="F99" s="478">
        <v>6547</v>
      </c>
      <c r="G99" s="473">
        <f t="shared" si="9"/>
        <v>7</v>
      </c>
      <c r="H99" s="460">
        <f>G99+'9'!H99</f>
        <v>139</v>
      </c>
      <c r="I99" s="480"/>
      <c r="J99" s="553">
        <f>H99/DAY(B2)</f>
        <v>13.9</v>
      </c>
      <c r="K99" s="380"/>
      <c r="L99" s="377"/>
      <c r="N99" s="718"/>
    </row>
    <row r="100" spans="1:14" ht="27.75">
      <c r="A100" s="1148" t="s">
        <v>214</v>
      </c>
      <c r="B100" s="1149"/>
      <c r="C100" s="1149"/>
      <c r="D100" s="523" t="s">
        <v>144</v>
      </c>
      <c r="E100" s="484">
        <f>'9'!F100</f>
        <v>4638</v>
      </c>
      <c r="F100" s="478">
        <v>4646</v>
      </c>
      <c r="G100" s="473">
        <f t="shared" si="9"/>
        <v>8</v>
      </c>
      <c r="H100" s="460">
        <f>G100+'9'!H100</f>
        <v>103</v>
      </c>
      <c r="I100" s="480"/>
      <c r="J100" s="553">
        <f>H100/DAY(B2)</f>
        <v>10.3</v>
      </c>
      <c r="K100" s="380"/>
      <c r="L100" s="377"/>
      <c r="N100" s="718"/>
    </row>
    <row r="101" spans="1:14">
      <c r="A101" s="1405" t="s">
        <v>216</v>
      </c>
      <c r="B101" s="1406"/>
      <c r="C101" s="1407"/>
      <c r="D101" s="524"/>
      <c r="E101" s="484"/>
      <c r="F101" s="524"/>
      <c r="G101" s="525">
        <f>SUM(G95:G100)</f>
        <v>156</v>
      </c>
      <c r="H101" s="460">
        <f>G101+'9'!H101</f>
        <v>2027</v>
      </c>
      <c r="I101" s="526"/>
      <c r="J101" s="553">
        <f>H101/DAY(B2)</f>
        <v>202.7</v>
      </c>
      <c r="K101" s="380"/>
      <c r="L101" s="377"/>
      <c r="N101" s="718"/>
    </row>
    <row r="102" spans="1:14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18"/>
    </row>
    <row r="103" spans="1:14" s="442" customFormat="1" ht="27.75">
      <c r="A103" s="1414" t="s">
        <v>218</v>
      </c>
      <c r="B103" s="1415"/>
      <c r="C103" s="574"/>
      <c r="D103" s="623"/>
      <c r="E103" s="484"/>
      <c r="F103" s="663"/>
      <c r="G103" s="532"/>
      <c r="H103" s="533"/>
      <c r="I103" s="532"/>
      <c r="J103" s="559"/>
      <c r="N103" s="718"/>
    </row>
    <row r="104" spans="1:14" s="442" customFormat="1" ht="27.75">
      <c r="A104" s="1416" t="s">
        <v>219</v>
      </c>
      <c r="B104" s="1417"/>
      <c r="C104" s="1147"/>
      <c r="D104" s="623" t="s">
        <v>144</v>
      </c>
      <c r="E104" s="484">
        <v>7225</v>
      </c>
      <c r="F104" s="663">
        <v>7233</v>
      </c>
      <c r="G104" s="532">
        <v>8</v>
      </c>
      <c r="H104" s="460">
        <f>G104+'9'!H104</f>
        <v>38</v>
      </c>
      <c r="I104" s="532"/>
      <c r="J104" s="559">
        <f>H104/DAY(B2)</f>
        <v>3.8</v>
      </c>
      <c r="N104" s="718"/>
    </row>
    <row r="105" spans="1:14" s="442" customFormat="1" ht="27.75">
      <c r="A105" s="1416" t="s">
        <v>77</v>
      </c>
      <c r="B105" s="1417"/>
      <c r="C105" s="1147"/>
      <c r="D105" s="623" t="s">
        <v>144</v>
      </c>
      <c r="E105" s="484">
        <f>'9'!F105</f>
        <v>35481</v>
      </c>
      <c r="F105" s="664">
        <v>35488</v>
      </c>
      <c r="G105" s="532">
        <f t="shared" ref="G105:G106" si="10">F105-E105</f>
        <v>7</v>
      </c>
      <c r="H105" s="460">
        <f>G105+'9'!H105</f>
        <v>90</v>
      </c>
      <c r="I105" s="532"/>
      <c r="J105" s="559">
        <f>H105/DAY(B2)</f>
        <v>9</v>
      </c>
      <c r="N105" s="718"/>
    </row>
    <row r="106" spans="1:14" s="442" customFormat="1" ht="27.75">
      <c r="A106" s="1416" t="s">
        <v>78</v>
      </c>
      <c r="B106" s="1418"/>
      <c r="C106" s="1417"/>
      <c r="D106" s="623" t="s">
        <v>144</v>
      </c>
      <c r="E106" s="484">
        <f>'9'!F106</f>
        <v>19292</v>
      </c>
      <c r="F106" s="664">
        <v>19297</v>
      </c>
      <c r="G106" s="532">
        <f t="shared" si="10"/>
        <v>5</v>
      </c>
      <c r="H106" s="460">
        <f>G106+'9'!H106</f>
        <v>56</v>
      </c>
      <c r="I106" s="532"/>
      <c r="J106" s="559">
        <f>H106/DAY(B2)</f>
        <v>5.6</v>
      </c>
      <c r="N106" s="718"/>
    </row>
    <row r="107" spans="1:14" s="442" customFormat="1" ht="27.75">
      <c r="A107" s="1419" t="s">
        <v>202</v>
      </c>
      <c r="B107" s="1420"/>
      <c r="C107" s="1147"/>
      <c r="D107" s="623"/>
      <c r="E107" s="484"/>
      <c r="F107" s="664"/>
      <c r="G107" s="532">
        <f>SUM(G104:G106)</f>
        <v>20</v>
      </c>
      <c r="H107" s="460">
        <f>G107+'9'!H107</f>
        <v>184</v>
      </c>
      <c r="I107" s="532"/>
      <c r="J107" s="559">
        <f>H107/DAY(B2)</f>
        <v>18.399999999999999</v>
      </c>
      <c r="N107" s="718"/>
    </row>
    <row r="108" spans="1:14" s="442" customFormat="1" ht="27.75">
      <c r="A108" s="1421" t="s">
        <v>79</v>
      </c>
      <c r="B108" s="1422"/>
      <c r="C108" s="1147"/>
      <c r="D108" s="623" t="s">
        <v>144</v>
      </c>
      <c r="E108" s="484"/>
      <c r="F108" s="664"/>
      <c r="G108" s="532"/>
      <c r="H108" s="533"/>
      <c r="I108" s="532"/>
      <c r="J108" s="559"/>
      <c r="N108" s="718"/>
    </row>
    <row r="109" spans="1:14" s="442" customFormat="1" ht="27.75">
      <c r="A109" s="1416" t="s">
        <v>220</v>
      </c>
      <c r="B109" s="1417"/>
      <c r="C109" s="1147"/>
      <c r="D109" s="623" t="s">
        <v>144</v>
      </c>
      <c r="E109" s="484">
        <f>'9'!F109</f>
        <v>57061</v>
      </c>
      <c r="F109" s="664">
        <v>57144</v>
      </c>
      <c r="G109" s="532">
        <f>F109-E109</f>
        <v>83</v>
      </c>
      <c r="H109" s="460">
        <f>G109+'9'!H109</f>
        <v>873</v>
      </c>
      <c r="I109" s="532"/>
      <c r="J109" s="559">
        <f>H109/DAY(B2)</f>
        <v>87.3</v>
      </c>
      <c r="N109" s="718"/>
    </row>
    <row r="110" spans="1:14" s="442" customFormat="1" ht="27.75">
      <c r="A110" s="1416" t="s">
        <v>221</v>
      </c>
      <c r="B110" s="1417"/>
      <c r="C110" s="1147"/>
      <c r="D110" s="623" t="s">
        <v>144</v>
      </c>
      <c r="E110" s="484">
        <f>'9'!F110</f>
        <v>31060</v>
      </c>
      <c r="F110" s="664">
        <v>31098</v>
      </c>
      <c r="G110" s="532">
        <f t="shared" ref="G110:G111" si="11">F110-E110</f>
        <v>38</v>
      </c>
      <c r="H110" s="460">
        <f>G110+'9'!H110</f>
        <v>610</v>
      </c>
      <c r="I110" s="532"/>
      <c r="J110" s="559">
        <f>H110/DAY(B2)</f>
        <v>61</v>
      </c>
      <c r="N110" s="718"/>
    </row>
    <row r="111" spans="1:14" s="442" customFormat="1" ht="27.75">
      <c r="A111" s="1416" t="s">
        <v>222</v>
      </c>
      <c r="B111" s="1417"/>
      <c r="C111" s="1147"/>
      <c r="D111" s="623" t="s">
        <v>144</v>
      </c>
      <c r="E111" s="484">
        <f>'9'!F111</f>
        <v>4043</v>
      </c>
      <c r="F111" s="664">
        <v>4047</v>
      </c>
      <c r="G111" s="532">
        <f t="shared" si="11"/>
        <v>4</v>
      </c>
      <c r="H111" s="460">
        <f>G111+'9'!H111</f>
        <v>67</v>
      </c>
      <c r="I111" s="532"/>
      <c r="J111" s="559">
        <f>H111/DAY(B2)</f>
        <v>6.7</v>
      </c>
      <c r="N111" s="718"/>
    </row>
    <row r="112" spans="1:14" s="442" customFormat="1" ht="27.75">
      <c r="A112" s="1419" t="s">
        <v>110</v>
      </c>
      <c r="B112" s="1420"/>
      <c r="C112" s="1147"/>
      <c r="D112" s="623"/>
      <c r="E112" s="484"/>
      <c r="F112" s="664"/>
      <c r="G112" s="532">
        <f>SUM(G109:G111)</f>
        <v>125</v>
      </c>
      <c r="H112" s="460">
        <f>G112+'9'!H112</f>
        <v>1550</v>
      </c>
      <c r="I112" s="532"/>
      <c r="J112" s="559">
        <f>H112/DAY(B2)</f>
        <v>155</v>
      </c>
      <c r="N112" s="718"/>
    </row>
    <row r="113" spans="1:14" s="442" customFormat="1" ht="27.75">
      <c r="A113" s="1421" t="s">
        <v>223</v>
      </c>
      <c r="B113" s="1422"/>
      <c r="C113" s="1147"/>
      <c r="D113" s="623"/>
      <c r="E113" s="484"/>
      <c r="F113" s="664"/>
      <c r="G113" s="532"/>
      <c r="H113" s="460">
        <f>G113+'9'!H113</f>
        <v>0</v>
      </c>
      <c r="I113" s="532"/>
      <c r="J113" s="559">
        <f>H113/DAY(B2)</f>
        <v>0</v>
      </c>
      <c r="N113" s="718"/>
    </row>
    <row r="114" spans="1:14" s="442" customFormat="1" ht="27.75">
      <c r="A114" s="1416" t="s">
        <v>224</v>
      </c>
      <c r="B114" s="1417"/>
      <c r="C114" s="575"/>
      <c r="D114" s="623" t="s">
        <v>144</v>
      </c>
      <c r="E114" s="484">
        <f>'9'!F114</f>
        <v>10480</v>
      </c>
      <c r="F114" s="664">
        <v>10488</v>
      </c>
      <c r="G114" s="534">
        <f>F114-E114</f>
        <v>8</v>
      </c>
      <c r="H114" s="460">
        <f>G114+'9'!H114</f>
        <v>174</v>
      </c>
      <c r="I114" s="532"/>
      <c r="J114" s="559">
        <f>H114/DAY(B2)</f>
        <v>17.399999999999999</v>
      </c>
      <c r="N114" s="718"/>
    </row>
    <row r="115" spans="1:14" s="442" customFormat="1" ht="27.75">
      <c r="A115" s="1416" t="s">
        <v>225</v>
      </c>
      <c r="B115" s="1417"/>
      <c r="C115" s="575"/>
      <c r="D115" s="623" t="s">
        <v>144</v>
      </c>
      <c r="E115" s="484">
        <f>'9'!F115</f>
        <v>7746</v>
      </c>
      <c r="F115" s="664">
        <v>7749</v>
      </c>
      <c r="G115" s="534">
        <f t="shared" ref="G115:G116" si="12">F115-E115</f>
        <v>3</v>
      </c>
      <c r="H115" s="460">
        <f>G115+'9'!H115</f>
        <v>93</v>
      </c>
      <c r="I115" s="532"/>
      <c r="J115" s="559">
        <f>H115/DAY(B2)</f>
        <v>9.3000000000000007</v>
      </c>
      <c r="N115" s="718"/>
    </row>
    <row r="116" spans="1:14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2"/>
        <v>0</v>
      </c>
      <c r="H116" s="460">
        <f>G116+'9'!H116</f>
        <v>0</v>
      </c>
      <c r="I116" s="532"/>
      <c r="J116" s="559">
        <f>H116/DAY(B2)</f>
        <v>0</v>
      </c>
      <c r="N116" s="718"/>
    </row>
    <row r="117" spans="1:14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11</v>
      </c>
      <c r="H117" s="460">
        <f>G117+'9'!H117</f>
        <v>267</v>
      </c>
      <c r="I117" s="534"/>
      <c r="J117" s="559">
        <f>H117/DAY(B2)</f>
        <v>26.7</v>
      </c>
      <c r="N117" s="718"/>
    </row>
    <row r="118" spans="1:14" s="446" customFormat="1" ht="27.75">
      <c r="A118" s="1450" t="s">
        <v>227</v>
      </c>
      <c r="B118" s="1451"/>
      <c r="C118" s="1145"/>
      <c r="D118" s="625" t="s">
        <v>144</v>
      </c>
      <c r="E118" s="536"/>
      <c r="F118" s="665">
        <f>SUM(G19+G92)</f>
        <v>99</v>
      </c>
      <c r="G118" s="536">
        <f>SUM(G19+G92)</f>
        <v>99</v>
      </c>
      <c r="H118" s="460">
        <f>G118+'9'!H118</f>
        <v>1499</v>
      </c>
      <c r="I118" s="535"/>
      <c r="J118" s="560">
        <f>H118/DAY(B2)</f>
        <v>149.9</v>
      </c>
      <c r="N118" s="718"/>
    </row>
    <row r="119" spans="1:14" s="446" customFormat="1" ht="27.75">
      <c r="A119" s="1450" t="s">
        <v>228</v>
      </c>
      <c r="B119" s="1451"/>
      <c r="C119" s="1145"/>
      <c r="D119" s="625" t="s">
        <v>144</v>
      </c>
      <c r="E119" s="536"/>
      <c r="F119" s="665">
        <f>SUM(G95,G96,G97,G99,G100)</f>
        <v>112</v>
      </c>
      <c r="G119" s="536">
        <f>SUM(G95,G96,G97,G99,G100)</f>
        <v>112</v>
      </c>
      <c r="H119" s="460">
        <f>G119+'9'!H119</f>
        <v>1475</v>
      </c>
      <c r="I119" s="535"/>
      <c r="J119" s="560">
        <f>H119/DAY(B2)</f>
        <v>147.5</v>
      </c>
      <c r="N119" s="718"/>
    </row>
    <row r="120" spans="1:14" s="446" customFormat="1" ht="27.75">
      <c r="A120" s="1450" t="s">
        <v>229</v>
      </c>
      <c r="B120" s="1451"/>
      <c r="C120" s="1145"/>
      <c r="D120" s="625" t="s">
        <v>144</v>
      </c>
      <c r="E120" s="534"/>
      <c r="F120" s="664">
        <f>SUM(G112)</f>
        <v>125</v>
      </c>
      <c r="G120" s="534">
        <f>SUM(G112)</f>
        <v>125</v>
      </c>
      <c r="H120" s="460">
        <f>G120+'9'!H120</f>
        <v>1550</v>
      </c>
      <c r="I120" s="535"/>
      <c r="J120" s="560">
        <f>H120/DAY(B2)</f>
        <v>155</v>
      </c>
      <c r="N120" s="718"/>
    </row>
    <row r="121" spans="1:14" s="442" customFormat="1" ht="27.75">
      <c r="A121" s="1452"/>
      <c r="B121" s="1453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718"/>
    </row>
    <row r="122" spans="1:14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718"/>
    </row>
    <row r="123" spans="1:14" ht="27.75">
      <c r="A123" s="1148" t="s">
        <v>231</v>
      </c>
      <c r="B123" s="1149"/>
      <c r="C123" s="1149"/>
      <c r="D123" s="523" t="s">
        <v>141</v>
      </c>
      <c r="E123" s="478">
        <f>'9'!F123</f>
        <v>813320</v>
      </c>
      <c r="F123" s="478">
        <v>813567</v>
      </c>
      <c r="G123" s="473">
        <f t="shared" ref="G123:G127" si="13">F123-E123</f>
        <v>247</v>
      </c>
      <c r="H123" s="460">
        <f>G123+'9'!H123</f>
        <v>2560.1600000000326</v>
      </c>
      <c r="I123" s="526"/>
      <c r="J123" s="553">
        <f>H123/DAY(B2)</f>
        <v>256.01600000000326</v>
      </c>
      <c r="K123" s="380"/>
      <c r="L123" s="377"/>
      <c r="N123" s="718"/>
    </row>
    <row r="124" spans="1:14" ht="27.75">
      <c r="A124" s="1148" t="s">
        <v>232</v>
      </c>
      <c r="B124" s="1149"/>
      <c r="C124" s="1149"/>
      <c r="D124" s="523" t="s">
        <v>141</v>
      </c>
      <c r="E124" s="627">
        <f>'9'!F124</f>
        <v>73583.399999999994</v>
      </c>
      <c r="F124" s="627">
        <v>73583</v>
      </c>
      <c r="G124" s="473">
        <f t="shared" si="13"/>
        <v>-0.39999999999417923</v>
      </c>
      <c r="H124" s="460">
        <f>G124+'9'!H124</f>
        <v>-0.39999999999417923</v>
      </c>
      <c r="I124" s="526"/>
      <c r="J124" s="553">
        <f>H124/DAY(B2)</f>
        <v>-3.9999999999417925E-2</v>
      </c>
      <c r="K124" s="380"/>
      <c r="L124" s="377"/>
      <c r="N124" s="718"/>
    </row>
    <row r="125" spans="1:14" ht="27.75">
      <c r="A125" s="1408" t="s">
        <v>233</v>
      </c>
      <c r="B125" s="1409"/>
      <c r="C125" s="1410"/>
      <c r="D125" s="523" t="s">
        <v>141</v>
      </c>
      <c r="E125" s="478">
        <f>'9'!F125</f>
        <v>140570</v>
      </c>
      <c r="F125" s="478">
        <v>140646</v>
      </c>
      <c r="G125" s="473">
        <f t="shared" si="13"/>
        <v>76</v>
      </c>
      <c r="H125" s="460">
        <f>G125+'9'!H125</f>
        <v>666.66000000000349</v>
      </c>
      <c r="I125" s="526"/>
      <c r="J125" s="553">
        <f>H125/DAY(B2)</f>
        <v>66.666000000000352</v>
      </c>
      <c r="K125" s="380"/>
      <c r="L125" s="377"/>
      <c r="N125" s="718"/>
    </row>
    <row r="126" spans="1:14" ht="27.75">
      <c r="A126" s="610" t="s">
        <v>234</v>
      </c>
      <c r="B126" s="1149"/>
      <c r="C126" s="1149"/>
      <c r="D126" s="523" t="s">
        <v>141</v>
      </c>
      <c r="E126" s="627">
        <f>'9'!F126</f>
        <v>59599</v>
      </c>
      <c r="F126" s="627">
        <v>59650</v>
      </c>
      <c r="G126" s="473">
        <f t="shared" si="13"/>
        <v>51</v>
      </c>
      <c r="H126" s="460">
        <f>G126+'9'!H126</f>
        <v>343.09999999999854</v>
      </c>
      <c r="I126" s="526"/>
      <c r="J126" s="553">
        <f>H126/DAY(B2)</f>
        <v>34.309999999999853</v>
      </c>
      <c r="K126" s="380"/>
      <c r="L126" s="377"/>
      <c r="N126" s="718"/>
    </row>
    <row r="127" spans="1:14" ht="27.75">
      <c r="A127" s="610" t="s">
        <v>235</v>
      </c>
      <c r="B127" s="1149"/>
      <c r="C127" s="1149"/>
      <c r="D127" s="523" t="s">
        <v>141</v>
      </c>
      <c r="E127" s="627">
        <f>'9'!F127</f>
        <v>8908</v>
      </c>
      <c r="F127" s="627">
        <v>8911</v>
      </c>
      <c r="G127" s="473">
        <f t="shared" si="13"/>
        <v>3</v>
      </c>
      <c r="H127" s="460">
        <f>G127+'9'!H127</f>
        <v>23.200000000000728</v>
      </c>
      <c r="I127" s="480"/>
      <c r="J127" s="553">
        <f>H127/DAY(B2)</f>
        <v>2.3200000000000727</v>
      </c>
      <c r="K127" s="380"/>
      <c r="L127" s="377"/>
      <c r="N127" s="718"/>
    </row>
    <row r="128" spans="1:14" s="281" customFormat="1" ht="27.7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470.52999999988242</v>
      </c>
      <c r="H128" s="460"/>
      <c r="I128" s="480"/>
      <c r="J128" s="553"/>
      <c r="K128" s="364"/>
      <c r="L128" s="292"/>
      <c r="N128" s="718"/>
    </row>
    <row r="129" spans="1:1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18"/>
    </row>
    <row r="130" spans="1:14" ht="27.75">
      <c r="A130" s="1148" t="s">
        <v>238</v>
      </c>
      <c r="B130" s="1149"/>
      <c r="C130" s="1149"/>
      <c r="D130" s="523" t="s">
        <v>239</v>
      </c>
      <c r="E130" s="484">
        <f>'9'!F130</f>
        <v>0</v>
      </c>
      <c r="F130" s="478">
        <v>0</v>
      </c>
      <c r="G130" s="473">
        <f t="shared" ref="G130:G140" si="14">F130-E130</f>
        <v>0</v>
      </c>
      <c r="H130" s="460">
        <f>G130+'9'!H130</f>
        <v>0</v>
      </c>
      <c r="I130" s="480"/>
      <c r="J130" s="553">
        <f>H130/DAY(B2)</f>
        <v>0</v>
      </c>
      <c r="N130" s="718"/>
    </row>
    <row r="131" spans="1:14" ht="27.75">
      <c r="A131" s="1148" t="s">
        <v>240</v>
      </c>
      <c r="B131" s="1149"/>
      <c r="C131" s="1149"/>
      <c r="D131" s="523" t="s">
        <v>239</v>
      </c>
      <c r="E131" s="484">
        <f>'9'!F131</f>
        <v>0</v>
      </c>
      <c r="F131" s="478">
        <v>0</v>
      </c>
      <c r="G131" s="473">
        <f t="shared" si="14"/>
        <v>0</v>
      </c>
      <c r="H131" s="460">
        <f>G131+'9'!H131</f>
        <v>0</v>
      </c>
      <c r="I131" s="480"/>
      <c r="J131" s="553">
        <f>H131/DAY(B2)</f>
        <v>0</v>
      </c>
      <c r="N131" s="718"/>
    </row>
    <row r="132" spans="1:14" ht="27.75">
      <c r="A132" s="1148" t="s">
        <v>241</v>
      </c>
      <c r="B132" s="1149"/>
      <c r="C132" s="1149"/>
      <c r="D132" s="523" t="s">
        <v>239</v>
      </c>
      <c r="E132" s="484">
        <f>'9'!F132</f>
        <v>39219.35</v>
      </c>
      <c r="F132" s="627">
        <v>39219.35</v>
      </c>
      <c r="G132" s="473">
        <f t="shared" si="14"/>
        <v>0</v>
      </c>
      <c r="H132" s="460">
        <f>G132+'9'!H132</f>
        <v>390.34999999999854</v>
      </c>
      <c r="I132" s="480"/>
      <c r="J132" s="553">
        <f>H132/DAY(B2)</f>
        <v>39.034999999999854</v>
      </c>
      <c r="N132" s="718"/>
    </row>
    <row r="133" spans="1:14" ht="27.75">
      <c r="A133" s="1148" t="s">
        <v>242</v>
      </c>
      <c r="B133" s="1149"/>
      <c r="C133" s="1149"/>
      <c r="D133" s="523" t="s">
        <v>239</v>
      </c>
      <c r="E133" s="484">
        <f>'9'!F133</f>
        <v>299</v>
      </c>
      <c r="F133" s="485">
        <v>299</v>
      </c>
      <c r="G133" s="473">
        <f t="shared" si="14"/>
        <v>0</v>
      </c>
      <c r="H133" s="460">
        <f>G133+'9'!H133</f>
        <v>-1</v>
      </c>
      <c r="I133" s="480">
        <f>G130+G131+G132+G133</f>
        <v>0</v>
      </c>
      <c r="J133" s="553">
        <f>H133/DAY(B2)</f>
        <v>-0.1</v>
      </c>
      <c r="N133" s="718"/>
    </row>
    <row r="134" spans="1:14" ht="27.75">
      <c r="A134" s="1148" t="s">
        <v>243</v>
      </c>
      <c r="B134" s="1149"/>
      <c r="C134" s="1149"/>
      <c r="D134" s="523" t="s">
        <v>239</v>
      </c>
      <c r="E134" s="484">
        <f>'9'!F134</f>
        <v>40578.42</v>
      </c>
      <c r="F134" s="627">
        <v>40602.43</v>
      </c>
      <c r="G134" s="473">
        <f t="shared" si="14"/>
        <v>24.010000000002037</v>
      </c>
      <c r="H134" s="460">
        <f>G134+'9'!H134</f>
        <v>235.29000000000087</v>
      </c>
      <c r="I134" s="480"/>
      <c r="J134" s="553">
        <f>H134/DAY(B2)</f>
        <v>23.529000000000089</v>
      </c>
      <c r="N134" s="718"/>
    </row>
    <row r="135" spans="1:14" ht="27.75">
      <c r="A135" s="1148" t="s">
        <v>244</v>
      </c>
      <c r="B135" s="1149"/>
      <c r="C135" s="1149"/>
      <c r="D135" s="523" t="s">
        <v>239</v>
      </c>
      <c r="E135" s="484">
        <f>'9'!F135</f>
        <v>32582.560000000001</v>
      </c>
      <c r="F135" s="627">
        <v>32582.560000000001</v>
      </c>
      <c r="G135" s="473">
        <f t="shared" si="14"/>
        <v>0</v>
      </c>
      <c r="H135" s="460">
        <f>G135+'9'!H135</f>
        <v>11.56000000000131</v>
      </c>
      <c r="I135" s="480"/>
      <c r="J135" s="553">
        <f>H135/DAY(B2)</f>
        <v>1.1560000000001309</v>
      </c>
      <c r="N135" s="718"/>
    </row>
    <row r="136" spans="1:14" ht="27.75">
      <c r="A136" s="1148" t="s">
        <v>245</v>
      </c>
      <c r="B136" s="1149"/>
      <c r="C136" s="1149"/>
      <c r="D136" s="523" t="s">
        <v>239</v>
      </c>
      <c r="E136" s="484">
        <f>'9'!F136</f>
        <v>22301.83</v>
      </c>
      <c r="F136" s="656">
        <v>22310</v>
      </c>
      <c r="G136" s="473">
        <f t="shared" si="14"/>
        <v>8.1699999999982538</v>
      </c>
      <c r="H136" s="460">
        <f>G136+'9'!H136</f>
        <v>87.790000000000873</v>
      </c>
      <c r="I136" s="480">
        <f>G134+G135+G136</f>
        <v>32.180000000000291</v>
      </c>
      <c r="J136" s="553">
        <f>H136/DAY(B2)</f>
        <v>8.779000000000087</v>
      </c>
      <c r="N136" s="718"/>
    </row>
    <row r="137" spans="1:14" ht="27.75">
      <c r="A137" s="1148" t="s">
        <v>246</v>
      </c>
      <c r="B137" s="1149"/>
      <c r="C137" s="1149"/>
      <c r="D137" s="523" t="s">
        <v>239</v>
      </c>
      <c r="E137" s="484">
        <f>'9'!F137</f>
        <v>25044</v>
      </c>
      <c r="F137" s="656">
        <v>25044</v>
      </c>
      <c r="G137" s="473">
        <f t="shared" si="14"/>
        <v>0</v>
      </c>
      <c r="H137" s="460">
        <f>G137+'9'!H137</f>
        <v>-0.31000000000130967</v>
      </c>
      <c r="I137" s="480"/>
      <c r="J137" s="553">
        <f>H137/DAY(B2)</f>
        <v>-3.1000000000130968E-2</v>
      </c>
      <c r="N137" s="718"/>
    </row>
    <row r="138" spans="1:14" ht="27.75">
      <c r="A138" s="1148" t="s">
        <v>247</v>
      </c>
      <c r="B138" s="1149"/>
      <c r="C138" s="1149"/>
      <c r="D138" s="523" t="s">
        <v>239</v>
      </c>
      <c r="E138" s="484">
        <f>'9'!F138</f>
        <v>70186.820000000007</v>
      </c>
      <c r="F138" s="656">
        <v>70190</v>
      </c>
      <c r="G138" s="473">
        <f t="shared" si="14"/>
        <v>3.1799999999930151</v>
      </c>
      <c r="H138" s="460">
        <f>G138+'9'!H138</f>
        <v>42.660000000003492</v>
      </c>
      <c r="I138" s="480">
        <f>G137+G138</f>
        <v>3.1799999999930151</v>
      </c>
      <c r="J138" s="553">
        <f>H138/DAY(B2)</f>
        <v>4.2660000000003491</v>
      </c>
      <c r="N138" s="718"/>
    </row>
    <row r="139" spans="1:14" ht="27.75">
      <c r="A139" s="1148" t="s">
        <v>248</v>
      </c>
      <c r="B139" s="1149"/>
      <c r="C139" s="1149"/>
      <c r="D139" s="523" t="s">
        <v>239</v>
      </c>
      <c r="E139" s="484">
        <f>'9'!F139</f>
        <v>1490</v>
      </c>
      <c r="F139" s="627">
        <v>1497</v>
      </c>
      <c r="G139" s="473">
        <f t="shared" si="14"/>
        <v>7</v>
      </c>
      <c r="H139" s="460">
        <f>G139+'9'!H139</f>
        <v>73.8599999999999</v>
      </c>
      <c r="I139" s="543"/>
      <c r="J139" s="553">
        <f>H139/DAY(B2)</f>
        <v>7.3859999999999904</v>
      </c>
      <c r="N139" s="718"/>
    </row>
    <row r="140" spans="1:14" ht="27.75">
      <c r="A140" s="1148" t="s">
        <v>249</v>
      </c>
      <c r="B140" s="1149"/>
      <c r="C140" s="1149"/>
      <c r="D140" s="523" t="s">
        <v>239</v>
      </c>
      <c r="E140" s="484">
        <f>'9'!F140</f>
        <v>4334</v>
      </c>
      <c r="F140" s="478">
        <v>4334</v>
      </c>
      <c r="G140" s="473">
        <f t="shared" si="14"/>
        <v>0</v>
      </c>
      <c r="H140" s="460">
        <f>G140+'9'!H140</f>
        <v>0</v>
      </c>
      <c r="I140" s="543"/>
      <c r="J140" s="553">
        <f>H140/DAY(B2)</f>
        <v>0</v>
      </c>
      <c r="N140" s="718"/>
    </row>
    <row r="141" spans="1:14">
      <c r="A141" s="1446" t="s">
        <v>250</v>
      </c>
      <c r="B141" s="1447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718"/>
    </row>
    <row r="142" spans="1:14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5954</v>
      </c>
      <c r="H142" s="460">
        <f>G142+'9'!H142</f>
        <v>58284.120000000068</v>
      </c>
      <c r="I142" s="480"/>
      <c r="J142" s="553">
        <f>H142/DAY(B2)</f>
        <v>5828.4120000000066</v>
      </c>
      <c r="K142" s="380"/>
      <c r="L142" s="377"/>
      <c r="N142" s="718"/>
    </row>
    <row r="143" spans="1:14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0.27324460761817349</v>
      </c>
      <c r="H143" s="460">
        <f>G143+'9'!H143</f>
        <v>2.5299281565860192</v>
      </c>
      <c r="I143" s="545"/>
      <c r="J143" s="553">
        <f>H143/DAY(B2)</f>
        <v>0.25299281565860193</v>
      </c>
      <c r="K143" s="380"/>
      <c r="L143" s="377"/>
      <c r="N143" s="718"/>
    </row>
    <row r="144" spans="1:14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4999</v>
      </c>
      <c r="H144" s="460">
        <f>G144+'9'!H144</f>
        <v>52785.059999999969</v>
      </c>
      <c r="I144" s="480"/>
      <c r="J144" s="553">
        <f>H144/DAY(B2)</f>
        <v>5278.5059999999967</v>
      </c>
      <c r="K144" s="380"/>
      <c r="L144" s="377"/>
      <c r="N144" s="718"/>
    </row>
    <row r="145" spans="1:14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0.22941716383662231</v>
      </c>
      <c r="H145" s="460">
        <f>G145+'9'!H145</f>
        <v>2.4530390882757831</v>
      </c>
      <c r="I145" s="545"/>
      <c r="J145" s="553">
        <f>H145/DAY(B2)</f>
        <v>0.2453039088275783</v>
      </c>
      <c r="K145" s="380"/>
      <c r="L145" s="377"/>
      <c r="N145" s="718"/>
    </row>
    <row r="146" spans="1:14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4185</v>
      </c>
      <c r="H146" s="460">
        <f>G146+'9'!H146</f>
        <v>142667.38</v>
      </c>
      <c r="I146" s="546"/>
      <c r="J146" s="553">
        <f>H146/DAY(B2)</f>
        <v>14266.738000000001</v>
      </c>
      <c r="K146" s="380"/>
      <c r="L146" s="377"/>
      <c r="N146" s="718"/>
    </row>
    <row r="147" spans="1:14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0.19206057824690226</v>
      </c>
      <c r="H147" s="460">
        <f>G147+'9'!H147</f>
        <v>6.8935621597661303</v>
      </c>
      <c r="I147" s="546"/>
      <c r="J147" s="553">
        <f>H147/DAY(B2)</f>
        <v>0.68935621597661301</v>
      </c>
      <c r="N147" s="718"/>
    </row>
    <row r="148" spans="1:14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2046</v>
      </c>
      <c r="H148" s="460">
        <f>G148+'9'!H148</f>
        <v>21015.799999999981</v>
      </c>
      <c r="I148" s="480"/>
      <c r="J148" s="553">
        <f>H148/DAY(B2)</f>
        <v>2101.5799999999981</v>
      </c>
      <c r="K148" s="381"/>
      <c r="N148" s="718"/>
    </row>
    <row r="149" spans="1:14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9.3896282698485545E-2</v>
      </c>
      <c r="H149" s="460">
        <f>G149+'9'!H149</f>
        <v>0.97894682419996348</v>
      </c>
      <c r="I149" s="546"/>
      <c r="J149" s="553">
        <f>H149/DAY(B2)</f>
        <v>9.7894682419996354E-2</v>
      </c>
      <c r="N149" s="718"/>
    </row>
    <row r="150" spans="1:14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1896</v>
      </c>
      <c r="H150" s="460">
        <f>G150+'9'!H150</f>
        <v>18909.399999999965</v>
      </c>
      <c r="I150" s="546"/>
      <c r="J150" s="553">
        <f>H150/DAY(B2)</f>
        <v>1890.9399999999964</v>
      </c>
      <c r="N150" s="718"/>
    </row>
    <row r="151" spans="1:14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8.7012391005048192E-2</v>
      </c>
      <c r="H151" s="460">
        <f>G151+'9'!H151</f>
        <v>0.87762315949154202</v>
      </c>
      <c r="I151" s="480"/>
      <c r="J151" s="553">
        <f>H151/DAY(B2)</f>
        <v>8.7762315949154207E-2</v>
      </c>
      <c r="N151" s="718"/>
    </row>
    <row r="152" spans="1:14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1549</v>
      </c>
      <c r="H152" s="460">
        <f>G152+'9'!H152</f>
        <v>50065.16</v>
      </c>
      <c r="I152" s="480"/>
      <c r="J152" s="553">
        <f>H152/DAY(B2)</f>
        <v>5006.5160000000005</v>
      </c>
      <c r="N152" s="718"/>
    </row>
    <row r="153" spans="1:14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7.1087654887563106E-2</v>
      </c>
      <c r="H153" s="568">
        <f>G153+'9'!H153</f>
        <v>2.4195300181153061</v>
      </c>
      <c r="I153" s="569"/>
      <c r="J153" s="570">
        <f>H153/DAY(B2)</f>
        <v>0.24195300181153062</v>
      </c>
      <c r="N153" s="718"/>
    </row>
    <row r="154" spans="1:14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18"/>
    </row>
    <row r="157" spans="1:14" ht="27.7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1067">
        <f>'9'!F160</f>
        <v>31564.65</v>
      </c>
      <c r="F160" s="663">
        <v>31650</v>
      </c>
      <c r="G160" s="473">
        <f>F160-E160</f>
        <v>85.349999999998545</v>
      </c>
    </row>
    <row r="161" spans="1:8">
      <c r="A161" s="790" t="s">
        <v>264</v>
      </c>
      <c r="B161" s="791"/>
      <c r="C161" s="791"/>
      <c r="D161" s="511" t="s">
        <v>187</v>
      </c>
      <c r="E161" s="1067">
        <f>'9'!F161</f>
        <v>59197</v>
      </c>
      <c r="F161" s="663">
        <v>59649</v>
      </c>
      <c r="G161" s="473">
        <f t="shared" ref="G161:G171" si="15">F161-E161</f>
        <v>452</v>
      </c>
    </row>
    <row r="162" spans="1:8">
      <c r="A162" s="790" t="s">
        <v>265</v>
      </c>
      <c r="B162" s="791"/>
      <c r="C162" s="791"/>
      <c r="D162" s="511" t="s">
        <v>187</v>
      </c>
      <c r="E162" s="1067">
        <f>'9'!F162</f>
        <v>23100</v>
      </c>
      <c r="F162" s="663">
        <v>23381</v>
      </c>
      <c r="G162" s="473">
        <f t="shared" si="15"/>
        <v>281</v>
      </c>
      <c r="H162" s="514"/>
    </row>
    <row r="163" spans="1:8">
      <c r="A163" s="790" t="s">
        <v>266</v>
      </c>
      <c r="B163" s="791"/>
      <c r="C163" s="791"/>
      <c r="D163" s="511" t="s">
        <v>187</v>
      </c>
      <c r="E163" s="1067">
        <f>'9'!F163</f>
        <v>5536</v>
      </c>
      <c r="F163" s="663">
        <v>5545</v>
      </c>
      <c r="G163" s="473">
        <f t="shared" si="15"/>
        <v>9</v>
      </c>
    </row>
    <row r="164" spans="1:8">
      <c r="A164" s="792" t="s">
        <v>98</v>
      </c>
      <c r="B164" s="605"/>
      <c r="C164" s="605"/>
      <c r="D164" s="511" t="s">
        <v>187</v>
      </c>
      <c r="E164" s="1067">
        <f>'9'!F164</f>
        <v>20419</v>
      </c>
      <c r="F164" s="514">
        <f>F62</f>
        <v>20419</v>
      </c>
      <c r="G164" s="473">
        <f t="shared" si="15"/>
        <v>0</v>
      </c>
    </row>
    <row r="165" spans="1:8" ht="34.5" customHeight="1">
      <c r="A165" s="792" t="s">
        <v>188</v>
      </c>
      <c r="B165" s="605"/>
      <c r="C165" s="605"/>
      <c r="D165" s="511" t="s">
        <v>187</v>
      </c>
      <c r="E165" s="1067">
        <f>'9'!F165</f>
        <v>1825</v>
      </c>
      <c r="F165" s="514">
        <f t="shared" ref="F165:F171" si="16">F63</f>
        <v>1839</v>
      </c>
      <c r="G165" s="473">
        <f t="shared" si="15"/>
        <v>14</v>
      </c>
    </row>
    <row r="166" spans="1:8" ht="31.5" customHeight="1">
      <c r="A166" s="1460" t="s">
        <v>99</v>
      </c>
      <c r="B166" s="1460"/>
      <c r="C166" s="1460"/>
      <c r="D166" s="523" t="s">
        <v>187</v>
      </c>
      <c r="E166" s="1067">
        <f>'9'!F166</f>
        <v>128296</v>
      </c>
      <c r="F166" s="514">
        <f t="shared" si="16"/>
        <v>128841</v>
      </c>
      <c r="G166" s="473">
        <f t="shared" si="15"/>
        <v>545</v>
      </c>
    </row>
    <row r="167" spans="1:8" ht="21.75" customHeight="1">
      <c r="A167" s="1460" t="s">
        <v>100</v>
      </c>
      <c r="B167" s="1460"/>
      <c r="C167" s="1460"/>
      <c r="D167" s="523" t="s">
        <v>187</v>
      </c>
      <c r="E167" s="1067">
        <f>'9'!F167</f>
        <v>135987</v>
      </c>
      <c r="F167" s="514">
        <f t="shared" si="16"/>
        <v>136358</v>
      </c>
      <c r="G167" s="473">
        <f t="shared" si="15"/>
        <v>371</v>
      </c>
    </row>
    <row r="168" spans="1:8" ht="27.75" customHeight="1">
      <c r="A168" s="1460" t="s">
        <v>101</v>
      </c>
      <c r="B168" s="1460"/>
      <c r="C168" s="1460"/>
      <c r="D168" s="523" t="s">
        <v>187</v>
      </c>
      <c r="E168" s="1067">
        <f>'9'!F168</f>
        <v>28723</v>
      </c>
      <c r="F168" s="514">
        <f t="shared" si="16"/>
        <v>29078</v>
      </c>
      <c r="G168" s="473">
        <f t="shared" si="15"/>
        <v>355</v>
      </c>
    </row>
    <row r="169" spans="1:8" ht="21.75" customHeight="1">
      <c r="A169" s="1460" t="s">
        <v>102</v>
      </c>
      <c r="B169" s="1460"/>
      <c r="C169" s="1460"/>
      <c r="D169" s="523" t="s">
        <v>187</v>
      </c>
      <c r="E169" s="1067">
        <f>'9'!F169</f>
        <v>213978</v>
      </c>
      <c r="F169" s="514">
        <f t="shared" si="16"/>
        <v>214635</v>
      </c>
      <c r="G169" s="473">
        <f t="shared" si="15"/>
        <v>657</v>
      </c>
    </row>
    <row r="170" spans="1:8" ht="27.75" customHeight="1">
      <c r="A170" s="1460" t="s">
        <v>103</v>
      </c>
      <c r="B170" s="1460"/>
      <c r="C170" s="1460"/>
      <c r="D170" s="523" t="s">
        <v>187</v>
      </c>
      <c r="E170" s="1067">
        <f>'9'!F170</f>
        <v>75751</v>
      </c>
      <c r="F170" s="514">
        <f t="shared" si="16"/>
        <v>76079</v>
      </c>
      <c r="G170" s="473">
        <f t="shared" si="15"/>
        <v>328</v>
      </c>
    </row>
    <row r="171" spans="1:8" ht="27.75">
      <c r="A171" s="1460" t="s">
        <v>104</v>
      </c>
      <c r="B171" s="1460"/>
      <c r="C171" s="1460"/>
      <c r="D171" s="523" t="s">
        <v>187</v>
      </c>
      <c r="E171" s="1067">
        <f>'9'!F171</f>
        <v>67385</v>
      </c>
      <c r="F171" s="514">
        <f t="shared" si="16"/>
        <v>67712</v>
      </c>
      <c r="G171" s="473">
        <f t="shared" si="15"/>
        <v>327</v>
      </c>
    </row>
    <row r="176" spans="1:8" ht="18.75" customHeight="1"/>
    <row r="177" spans="1:7" ht="44.25" customHeight="1">
      <c r="A177" s="454" t="s">
        <v>217</v>
      </c>
    </row>
    <row r="178" spans="1:7" ht="21.75" customHeight="1">
      <c r="A178" s="454" t="s">
        <v>218</v>
      </c>
    </row>
    <row r="179" spans="1:7" ht="21.75" customHeight="1">
      <c r="A179" s="454" t="s">
        <v>219</v>
      </c>
      <c r="D179" s="538" t="s">
        <v>144</v>
      </c>
      <c r="E179" s="538">
        <v>7010</v>
      </c>
      <c r="F179" s="668">
        <v>7010</v>
      </c>
      <c r="G179" s="538">
        <f>F179-E179</f>
        <v>0</v>
      </c>
    </row>
    <row r="180" spans="1:7" ht="21.75" customHeight="1">
      <c r="A180" s="454" t="s">
        <v>77</v>
      </c>
      <c r="D180" s="538" t="s">
        <v>144</v>
      </c>
      <c r="E180" s="538">
        <v>34070</v>
      </c>
      <c r="F180" s="668">
        <v>34070</v>
      </c>
      <c r="G180" s="538">
        <f t="shared" ref="G180:G181" si="17">F180-E180</f>
        <v>0</v>
      </c>
    </row>
    <row r="181" spans="1:7" ht="21.75" customHeight="1">
      <c r="A181" s="454" t="s">
        <v>78</v>
      </c>
      <c r="D181" s="538" t="s">
        <v>144</v>
      </c>
      <c r="E181" s="538">
        <v>18160</v>
      </c>
      <c r="F181" s="668">
        <v>18171</v>
      </c>
      <c r="G181" s="538">
        <f t="shared" si="17"/>
        <v>11</v>
      </c>
    </row>
    <row r="182" spans="1:7" ht="21.75" customHeight="1">
      <c r="A182" s="454" t="s">
        <v>202</v>
      </c>
      <c r="G182" s="538">
        <f>SUM(G179:G181)</f>
        <v>11</v>
      </c>
    </row>
    <row r="183" spans="1:7" ht="21.75" customHeight="1">
      <c r="A183" s="454" t="s">
        <v>79</v>
      </c>
      <c r="D183" s="538" t="s">
        <v>144</v>
      </c>
    </row>
    <row r="184" spans="1:7" ht="21.75" customHeight="1">
      <c r="A184" s="454" t="s">
        <v>220</v>
      </c>
      <c r="D184" s="538" t="s">
        <v>144</v>
      </c>
      <c r="E184" s="538">
        <v>42234</v>
      </c>
      <c r="F184" s="668">
        <v>42285</v>
      </c>
      <c r="G184" s="538">
        <f>F184-E184</f>
        <v>51</v>
      </c>
    </row>
    <row r="185" spans="1:7" ht="21.75" customHeight="1">
      <c r="A185" s="454" t="s">
        <v>221</v>
      </c>
      <c r="D185" s="538" t="s">
        <v>144</v>
      </c>
      <c r="E185" s="538">
        <v>20656</v>
      </c>
      <c r="F185" s="668">
        <v>20656</v>
      </c>
      <c r="G185" s="538">
        <f t="shared" ref="G185:G186" si="18">F185-E185</f>
        <v>0</v>
      </c>
    </row>
    <row r="186" spans="1:7" ht="21.75" customHeight="1">
      <c r="A186" s="454" t="s">
        <v>222</v>
      </c>
      <c r="D186" s="538" t="s">
        <v>144</v>
      </c>
      <c r="E186" s="538">
        <v>2801</v>
      </c>
      <c r="F186" s="668">
        <v>2801</v>
      </c>
      <c r="G186" s="538">
        <f t="shared" si="18"/>
        <v>0</v>
      </c>
    </row>
    <row r="187" spans="1:7" ht="21.75" customHeight="1">
      <c r="A187" s="454" t="s">
        <v>110</v>
      </c>
      <c r="G187" s="538">
        <f>SUM(G184:G186)</f>
        <v>51</v>
      </c>
    </row>
    <row r="188" spans="1:7" ht="21.75" customHeight="1">
      <c r="A188" s="454" t="s">
        <v>223</v>
      </c>
    </row>
    <row r="189" spans="1:7" ht="21.75" customHeight="1">
      <c r="A189" s="454" t="s">
        <v>224</v>
      </c>
      <c r="D189" s="538" t="s">
        <v>144</v>
      </c>
      <c r="E189" s="538">
        <v>6979</v>
      </c>
      <c r="F189" s="668">
        <v>6983</v>
      </c>
      <c r="G189" s="538">
        <f>F189-E189</f>
        <v>4</v>
      </c>
    </row>
    <row r="190" spans="1:7" ht="21.75" customHeight="1">
      <c r="A190" s="454" t="s">
        <v>225</v>
      </c>
      <c r="D190" s="538" t="s">
        <v>144</v>
      </c>
      <c r="E190" s="538">
        <v>5846</v>
      </c>
      <c r="F190" s="668">
        <v>5849</v>
      </c>
      <c r="G190" s="538">
        <f t="shared" ref="G190:G191" si="19">F190-E190</f>
        <v>3</v>
      </c>
    </row>
    <row r="191" spans="1:7" ht="21.75" customHeight="1">
      <c r="A191" s="454" t="s">
        <v>226</v>
      </c>
      <c r="D191" s="538" t="s">
        <v>144</v>
      </c>
      <c r="G191" s="538">
        <f t="shared" si="19"/>
        <v>0</v>
      </c>
    </row>
    <row r="192" spans="1:7" ht="21.75" customHeight="1"/>
    <row r="193" spans="1:8" ht="36.75" customHeight="1">
      <c r="A193" s="454" t="s">
        <v>202</v>
      </c>
      <c r="G193" s="538">
        <f>SUM(G189:G191)</f>
        <v>7</v>
      </c>
    </row>
    <row r="194" spans="1:8">
      <c r="A194" s="454" t="s">
        <v>227</v>
      </c>
      <c r="D194" s="538" t="s">
        <v>144</v>
      </c>
      <c r="F194" s="668">
        <f>SUM(G92+G19)</f>
        <v>99</v>
      </c>
      <c r="G194" s="538">
        <f>F194+'[5]9'!I145</f>
        <v>99</v>
      </c>
      <c r="H194" s="539" t="e">
        <f>G194/DAY(D147)</f>
        <v>#VALUE!</v>
      </c>
    </row>
    <row r="196" spans="1:8">
      <c r="A196" s="454" t="s">
        <v>228</v>
      </c>
      <c r="D196" s="538" t="s">
        <v>144</v>
      </c>
      <c r="F196" s="668">
        <f>SUM(G95:G97,G189:G191)</f>
        <v>104</v>
      </c>
      <c r="G196" s="538">
        <f>F196+'[5]9'!I147</f>
        <v>104</v>
      </c>
      <c r="H196" s="539" t="e">
        <f>G196/DAY(D147)</f>
        <v>#VALUE!</v>
      </c>
    </row>
    <row r="198" spans="1:8">
      <c r="A198" s="454" t="s">
        <v>229</v>
      </c>
      <c r="D198" s="538" t="s">
        <v>144</v>
      </c>
      <c r="F198" s="668">
        <f>H188+H139</f>
        <v>73.8599999999999</v>
      </c>
      <c r="G198" s="538">
        <f>SUM(G98,G184:G186)</f>
        <v>95</v>
      </c>
      <c r="H198" s="539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zoomScale="55" zoomScaleNormal="55" workbookViewId="0">
      <selection activeCell="F28" sqref="F28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6384" width="22.33203125" style="376"/>
  </cols>
  <sheetData>
    <row r="1" spans="1:16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6" s="281" customFormat="1" ht="27">
      <c r="A2" s="576" t="s">
        <v>314</v>
      </c>
      <c r="B2" s="1038">
        <v>44266</v>
      </c>
      <c r="C2" s="1150" t="s">
        <v>69</v>
      </c>
      <c r="D2" s="612">
        <v>0.37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 t="s">
        <v>118</v>
      </c>
    </row>
    <row r="3" spans="1:16" s="281" customFormat="1" ht="27">
      <c r="A3" s="571"/>
      <c r="B3" s="615"/>
      <c r="C3" s="1150" t="s">
        <v>120</v>
      </c>
      <c r="D3" s="613">
        <v>24</v>
      </c>
      <c r="E3" s="1432" t="s">
        <v>121</v>
      </c>
      <c r="F3" s="1433"/>
      <c r="G3" s="462"/>
      <c r="H3" s="463"/>
      <c r="I3" s="463"/>
      <c r="J3" s="616"/>
      <c r="K3" s="371"/>
      <c r="L3" s="292"/>
      <c r="N3" s="722"/>
    </row>
    <row r="4" spans="1:16" s="281" customFormat="1" ht="27">
      <c r="A4" s="577"/>
      <c r="B4" s="617"/>
      <c r="C4" s="1150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N4" s="722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  <c r="N5" s="721" t="s">
        <v>126</v>
      </c>
    </row>
    <row r="6" spans="1:16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  <c r="P6" s="376" t="s">
        <v>271</v>
      </c>
    </row>
    <row r="7" spans="1:16" ht="30" thickBot="1">
      <c r="A7" s="681" t="s">
        <v>131</v>
      </c>
      <c r="B7" s="682"/>
      <c r="C7" s="682"/>
      <c r="D7" s="639" t="s">
        <v>132</v>
      </c>
      <c r="E7" s="634">
        <f>'10'!F7</f>
        <v>4659850</v>
      </c>
      <c r="F7" s="455">
        <v>4681166</v>
      </c>
      <c r="G7" s="683">
        <f>F7-E7</f>
        <v>21316</v>
      </c>
      <c r="H7" s="684">
        <f>G7+'10'!H7</f>
        <v>236089</v>
      </c>
      <c r="I7" s="685">
        <v>12000</v>
      </c>
      <c r="J7" s="686">
        <f>H7/DAY(B2)</f>
        <v>21462.636363636364</v>
      </c>
      <c r="K7" s="550"/>
      <c r="L7" s="377"/>
      <c r="N7" s="723">
        <v>11918</v>
      </c>
      <c r="P7" s="726">
        <f>G7-N7</f>
        <v>9398</v>
      </c>
    </row>
    <row r="8" spans="1:16" ht="27.75" thickBot="1">
      <c r="A8" s="687" t="s">
        <v>133</v>
      </c>
      <c r="B8" s="688"/>
      <c r="C8" s="689"/>
      <c r="D8" s="690" t="s">
        <v>25</v>
      </c>
      <c r="E8" s="634">
        <f>'10'!F8</f>
        <v>4689349</v>
      </c>
      <c r="F8" s="475">
        <v>4710747</v>
      </c>
      <c r="G8" s="694">
        <f t="shared" ref="G8:G12" si="0">F8-E8</f>
        <v>21398</v>
      </c>
      <c r="H8" s="684">
        <f>G8+'10'!H8</f>
        <v>237591</v>
      </c>
      <c r="I8" s="691">
        <v>12000</v>
      </c>
      <c r="J8" s="686">
        <f>H8/DAY(B2)</f>
        <v>21599.18181818182</v>
      </c>
      <c r="K8" s="550"/>
      <c r="L8" s="425"/>
      <c r="M8" s="440"/>
      <c r="N8" s="723">
        <v>12018</v>
      </c>
      <c r="P8" s="382">
        <f t="shared" ref="P8:P71" si="1">G8-N8</f>
        <v>9380</v>
      </c>
    </row>
    <row r="9" spans="1:16">
      <c r="A9" s="692" t="s">
        <v>134</v>
      </c>
      <c r="B9" s="693"/>
      <c r="C9" s="693"/>
      <c r="D9" s="639" t="s">
        <v>132</v>
      </c>
      <c r="E9" s="634">
        <f>'10'!F9</f>
        <v>124354</v>
      </c>
      <c r="F9" s="478">
        <v>124354</v>
      </c>
      <c r="G9" s="707">
        <f t="shared" si="0"/>
        <v>0</v>
      </c>
      <c r="H9" s="684">
        <f>G9+'10'!H9</f>
        <v>37444.990000000005</v>
      </c>
      <c r="I9" s="695">
        <f>I7-J7</f>
        <v>-9462.636363636364</v>
      </c>
      <c r="J9" s="686">
        <f>H9/DAY(B2)</f>
        <v>3404.0900000000006</v>
      </c>
      <c r="K9" s="428"/>
      <c r="L9" s="377"/>
      <c r="N9" s="723">
        <v>11759.219000000001</v>
      </c>
      <c r="O9" s="376">
        <f>G7/G8</f>
        <v>0.99616786615571551</v>
      </c>
      <c r="P9" s="382">
        <f t="shared" si="1"/>
        <v>-11759.219000000001</v>
      </c>
    </row>
    <row r="10" spans="1:16">
      <c r="A10" s="681" t="s">
        <v>135</v>
      </c>
      <c r="B10" s="682"/>
      <c r="C10" s="682"/>
      <c r="D10" s="639" t="s">
        <v>132</v>
      </c>
      <c r="E10" s="634">
        <f>'10'!F10</f>
        <v>195619</v>
      </c>
      <c r="F10" s="478">
        <v>216161</v>
      </c>
      <c r="G10" s="694">
        <f t="shared" si="0"/>
        <v>20542</v>
      </c>
      <c r="H10" s="684">
        <f>G10+'10'!H10</f>
        <v>190465.44</v>
      </c>
      <c r="I10" s="696"/>
      <c r="J10" s="686">
        <f>H10/DAY(B2)</f>
        <v>17315.04</v>
      </c>
      <c r="K10" s="428"/>
      <c r="L10" s="377"/>
      <c r="N10" s="723">
        <v>0</v>
      </c>
      <c r="P10" s="382">
        <f t="shared" si="1"/>
        <v>20542</v>
      </c>
    </row>
    <row r="11" spans="1:16">
      <c r="A11" s="681" t="s">
        <v>136</v>
      </c>
      <c r="B11" s="682"/>
      <c r="C11" s="682"/>
      <c r="D11" s="639" t="s">
        <v>132</v>
      </c>
      <c r="E11" s="634">
        <f>'10'!F11</f>
        <v>37000</v>
      </c>
      <c r="F11" s="455">
        <v>37000</v>
      </c>
      <c r="G11" s="694">
        <f t="shared" si="0"/>
        <v>0</v>
      </c>
      <c r="H11" s="684">
        <f>G11+'10'!H11</f>
        <v>0</v>
      </c>
      <c r="I11" s="696"/>
      <c r="J11" s="686">
        <f>H11/DAY(B2)</f>
        <v>0</v>
      </c>
      <c r="K11" s="428"/>
      <c r="L11" s="377"/>
      <c r="N11" s="723">
        <v>0</v>
      </c>
      <c r="P11" s="382">
        <f t="shared" si="1"/>
        <v>0</v>
      </c>
    </row>
    <row r="12" spans="1:16">
      <c r="A12" s="681" t="s">
        <v>137</v>
      </c>
      <c r="B12" s="682"/>
      <c r="C12" s="682"/>
      <c r="D12" s="639" t="s">
        <v>132</v>
      </c>
      <c r="E12" s="634">
        <f>'10'!F12</f>
        <v>40010</v>
      </c>
      <c r="F12" s="478">
        <v>40010</v>
      </c>
      <c r="G12" s="694">
        <f t="shared" si="0"/>
        <v>0</v>
      </c>
      <c r="H12" s="684">
        <f>G12+'10'!H12</f>
        <v>0</v>
      </c>
      <c r="I12" s="696"/>
      <c r="J12" s="686">
        <f>H12/DAY(B2)</f>
        <v>0</v>
      </c>
      <c r="K12" s="428"/>
      <c r="L12" s="377"/>
      <c r="N12" s="723">
        <v>0</v>
      </c>
      <c r="P12" s="382">
        <f t="shared" si="1"/>
        <v>0</v>
      </c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20542</v>
      </c>
      <c r="H13" s="684">
        <f>G13+'9'!H13</f>
        <v>206916.43</v>
      </c>
      <c r="I13" s="700">
        <f>G7-G13</f>
        <v>774</v>
      </c>
      <c r="J13" s="686">
        <f>H13/DAY(B2)</f>
        <v>18810.584545454545</v>
      </c>
      <c r="K13" s="428"/>
      <c r="L13" s="377"/>
      <c r="N13" s="723">
        <v>11759.219000000001</v>
      </c>
      <c r="P13" s="382">
        <f t="shared" si="1"/>
        <v>8782.780999999999</v>
      </c>
    </row>
    <row r="14" spans="1:16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N14" s="723"/>
      <c r="P14" s="382">
        <f t="shared" si="1"/>
        <v>0</v>
      </c>
    </row>
    <row r="15" spans="1:16">
      <c r="A15" s="798" t="s">
        <v>140</v>
      </c>
      <c r="B15" s="799"/>
      <c r="C15" s="799"/>
      <c r="D15" s="524" t="s">
        <v>141</v>
      </c>
      <c r="E15" s="485">
        <f>'10'!F15</f>
        <v>1628722</v>
      </c>
      <c r="F15" s="485">
        <v>1629574</v>
      </c>
      <c r="G15" s="669">
        <f>(F15-E15)</f>
        <v>852</v>
      </c>
      <c r="H15" s="486">
        <f>G15+'10'!H15</f>
        <v>9695.3899999998976</v>
      </c>
      <c r="I15" s="474">
        <v>800</v>
      </c>
      <c r="J15" s="554">
        <f>H15/DAY(B2)</f>
        <v>881.39909090908156</v>
      </c>
      <c r="K15" s="428"/>
      <c r="L15" s="377"/>
      <c r="N15" s="723">
        <v>339.24300000001676</v>
      </c>
      <c r="P15" s="382">
        <f t="shared" si="1"/>
        <v>512.75699999998324</v>
      </c>
    </row>
    <row r="16" spans="1:16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-81.399090909081565</v>
      </c>
      <c r="J16" s="554"/>
      <c r="K16" s="428"/>
      <c r="L16" s="377"/>
      <c r="N16" s="723"/>
      <c r="P16" s="382">
        <f t="shared" si="1"/>
        <v>0</v>
      </c>
    </row>
    <row r="17" spans="1:16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P17" s="382">
        <f t="shared" si="1"/>
        <v>0</v>
      </c>
    </row>
    <row r="18" spans="1:16" ht="27.75">
      <c r="A18" s="1464" t="s">
        <v>143</v>
      </c>
      <c r="B18" s="1465"/>
      <c r="C18" s="1466"/>
      <c r="D18" s="639" t="s">
        <v>144</v>
      </c>
      <c r="E18" s="636">
        <f>'10'!F18</f>
        <v>10</v>
      </c>
      <c r="F18" s="478">
        <v>12</v>
      </c>
      <c r="G18" s="699">
        <f>F18*10</f>
        <v>120</v>
      </c>
      <c r="H18" s="684">
        <f>G18+'10'!H18</f>
        <v>1560</v>
      </c>
      <c r="I18" s="685">
        <v>65</v>
      </c>
      <c r="J18" s="686">
        <f>H18/DAY(B2)</f>
        <v>141.81818181818181</v>
      </c>
      <c r="K18" s="428"/>
      <c r="L18" s="377"/>
      <c r="N18" s="723">
        <v>20</v>
      </c>
      <c r="P18" s="382">
        <f t="shared" si="1"/>
        <v>100</v>
      </c>
    </row>
    <row r="19" spans="1:16" ht="27.75">
      <c r="A19" s="1464" t="s">
        <v>71</v>
      </c>
      <c r="B19" s="1465"/>
      <c r="C19" s="1466"/>
      <c r="D19" s="639" t="s">
        <v>144</v>
      </c>
      <c r="E19" s="636">
        <f>'10'!F19</f>
        <v>134982</v>
      </c>
      <c r="F19" s="478">
        <v>135033</v>
      </c>
      <c r="G19" s="694">
        <f t="shared" ref="G19" si="2">F19-E19</f>
        <v>51</v>
      </c>
      <c r="H19" s="684">
        <f>G19+'10'!H19</f>
        <v>565</v>
      </c>
      <c r="I19" s="701"/>
      <c r="J19" s="686">
        <f>H19/DAY(B2)</f>
        <v>51.363636363636367</v>
      </c>
      <c r="K19" s="428"/>
      <c r="L19" s="377"/>
      <c r="N19" s="723">
        <v>55</v>
      </c>
      <c r="P19" s="382">
        <f t="shared" si="1"/>
        <v>-4</v>
      </c>
    </row>
    <row r="20" spans="1:16">
      <c r="A20" s="697" t="s">
        <v>145</v>
      </c>
      <c r="B20" s="698"/>
      <c r="C20" s="698"/>
      <c r="D20" s="639"/>
      <c r="E20" s="639"/>
      <c r="F20" s="524"/>
      <c r="G20" s="702">
        <f>G18+G19</f>
        <v>171</v>
      </c>
      <c r="H20" s="684">
        <f>G20+'10'!H20</f>
        <v>2125</v>
      </c>
      <c r="I20" s="703">
        <f>I18-J20</f>
        <v>-128.18181818181819</v>
      </c>
      <c r="J20" s="686">
        <f>H20/DAY(B2)</f>
        <v>193.18181818181819</v>
      </c>
      <c r="K20" s="428"/>
      <c r="L20" s="377"/>
      <c r="N20" s="723">
        <v>75</v>
      </c>
      <c r="P20" s="382">
        <f t="shared" si="1"/>
        <v>96</v>
      </c>
    </row>
    <row r="21" spans="1:16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P21" s="382">
        <f t="shared" si="1"/>
        <v>0</v>
      </c>
    </row>
    <row r="22" spans="1:16">
      <c r="A22" s="1148" t="s">
        <v>147</v>
      </c>
      <c r="B22" s="590"/>
      <c r="C22" s="590"/>
      <c r="D22" s="523" t="s">
        <v>148</v>
      </c>
      <c r="E22" s="636">
        <f>'10'!F22</f>
        <v>2970</v>
      </c>
      <c r="F22" s="478">
        <v>2970</v>
      </c>
      <c r="G22" s="481">
        <f t="shared" ref="G22" si="3">(F22-E22)</f>
        <v>0</v>
      </c>
      <c r="H22" s="460">
        <f>G22+'10'!H22</f>
        <v>0</v>
      </c>
      <c r="I22" s="480"/>
      <c r="J22" s="553">
        <f>H22/DAY(B2)</f>
        <v>0</v>
      </c>
      <c r="K22" s="428"/>
      <c r="L22" s="377"/>
      <c r="N22" s="723">
        <v>0</v>
      </c>
      <c r="P22" s="382">
        <f t="shared" si="1"/>
        <v>0</v>
      </c>
    </row>
    <row r="23" spans="1:16">
      <c r="A23" s="1148" t="s">
        <v>149</v>
      </c>
      <c r="B23" s="590"/>
      <c r="C23" s="590"/>
      <c r="D23" s="523" t="s">
        <v>148</v>
      </c>
      <c r="E23" s="636">
        <f>'10'!F23</f>
        <v>2900</v>
      </c>
      <c r="F23" s="478">
        <v>2900</v>
      </c>
      <c r="G23" s="481">
        <v>0</v>
      </c>
      <c r="H23" s="460">
        <f>G23+'10'!H23</f>
        <v>0</v>
      </c>
      <c r="I23" s="480"/>
      <c r="J23" s="553">
        <f>H23/DAY(B2)</f>
        <v>0</v>
      </c>
      <c r="K23" s="428"/>
      <c r="L23" s="377"/>
      <c r="N23" s="723">
        <v>0</v>
      </c>
      <c r="P23" s="382">
        <f t="shared" si="1"/>
        <v>0</v>
      </c>
    </row>
    <row r="24" spans="1:16">
      <c r="A24" s="591" t="s">
        <v>150</v>
      </c>
      <c r="B24" s="592"/>
      <c r="C24" s="592"/>
      <c r="D24" s="511" t="s">
        <v>148</v>
      </c>
      <c r="E24" s="493">
        <f>'10'!F24</f>
        <v>4250</v>
      </c>
      <c r="F24" s="485">
        <v>4250</v>
      </c>
      <c r="G24" s="481">
        <v>0</v>
      </c>
      <c r="H24" s="460">
        <f>G24+'10'!H24</f>
        <v>0</v>
      </c>
      <c r="I24" s="480"/>
      <c r="J24" s="553">
        <f>H24/DAY(B2)</f>
        <v>0</v>
      </c>
      <c r="K24" s="428"/>
      <c r="L24" s="377"/>
      <c r="N24" s="723">
        <v>0</v>
      </c>
      <c r="P24" s="382">
        <f t="shared" si="1"/>
        <v>0</v>
      </c>
    </row>
    <row r="25" spans="1:16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P25" s="382">
        <f t="shared" si="1"/>
        <v>0</v>
      </c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P26" s="382">
        <f t="shared" si="1"/>
        <v>0</v>
      </c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21398</v>
      </c>
      <c r="F27" s="501">
        <v>9</v>
      </c>
      <c r="G27" s="502">
        <f>E27*F27</f>
        <v>192582</v>
      </c>
      <c r="H27" s="460">
        <f>G27+'10'!H27</f>
        <v>2138319</v>
      </c>
      <c r="I27" s="503"/>
      <c r="J27" s="553">
        <f>H27/DAY(B2)</f>
        <v>194392.63636363635</v>
      </c>
      <c r="K27" s="373"/>
      <c r="L27" s="443"/>
      <c r="N27" s="723">
        <v>120180</v>
      </c>
      <c r="P27" s="382">
        <f t="shared" si="1"/>
        <v>72402</v>
      </c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852</v>
      </c>
      <c r="F28" s="501">
        <v>48.88</v>
      </c>
      <c r="G28" s="502">
        <f>E28*F28</f>
        <v>41645.760000000002</v>
      </c>
      <c r="H28" s="460">
        <f>G28+'10'!H28</f>
        <v>473910.663199995</v>
      </c>
      <c r="I28" s="505"/>
      <c r="J28" s="553">
        <f>H28/DAY(B2)</f>
        <v>43082.787563635909</v>
      </c>
      <c r="K28" s="373"/>
      <c r="L28" s="443"/>
      <c r="N28" s="723">
        <v>11873.505000000587</v>
      </c>
      <c r="P28" s="382">
        <f t="shared" si="1"/>
        <v>29772.254999999415</v>
      </c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G29+'10'!H29</f>
        <v>0</v>
      </c>
      <c r="I29" s="505"/>
      <c r="J29" s="553">
        <f>H29/DAY(B2)</f>
        <v>0</v>
      </c>
      <c r="K29" s="373"/>
      <c r="L29" s="443"/>
      <c r="N29" s="723">
        <v>0</v>
      </c>
      <c r="P29" s="382">
        <f t="shared" si="1"/>
        <v>0</v>
      </c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51</v>
      </c>
      <c r="F30" s="501">
        <v>134</v>
      </c>
      <c r="G30" s="502">
        <f>E30*F30</f>
        <v>6834</v>
      </c>
      <c r="H30" s="460">
        <f>G30+'10'!H30</f>
        <v>93398</v>
      </c>
      <c r="I30" s="505"/>
      <c r="J30" s="553">
        <f>H30/DAY(B2)</f>
        <v>8490.7272727272721</v>
      </c>
      <c r="K30" s="373"/>
      <c r="L30" s="443"/>
      <c r="N30" s="723">
        <v>7370</v>
      </c>
      <c r="P30" s="382">
        <f t="shared" si="1"/>
        <v>-536</v>
      </c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120</v>
      </c>
      <c r="F31" s="501">
        <v>80</v>
      </c>
      <c r="G31" s="502">
        <f>E31*F31</f>
        <v>9600</v>
      </c>
      <c r="H31" s="460">
        <f>G31+'10'!H31</f>
        <v>114240</v>
      </c>
      <c r="I31" s="505"/>
      <c r="J31" s="553">
        <f>H31/DAY(B2)</f>
        <v>10385.454545454546</v>
      </c>
      <c r="K31" s="373"/>
      <c r="L31" s="443"/>
      <c r="N31" s="723">
        <v>1600</v>
      </c>
      <c r="O31" s="442">
        <f>76*134</f>
        <v>10184</v>
      </c>
      <c r="P31" s="382">
        <f>G31-N31</f>
        <v>8000</v>
      </c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250661.76000000001</v>
      </c>
      <c r="H32" s="460">
        <f>G32+'10'!H32</f>
        <v>2819867.6631999947</v>
      </c>
      <c r="I32" s="509"/>
      <c r="J32" s="553">
        <f>H32/DAY(B2)</f>
        <v>256351.60574545406</v>
      </c>
      <c r="K32" s="373"/>
      <c r="L32" s="443"/>
      <c r="N32" s="723">
        <v>141023.50500000059</v>
      </c>
      <c r="P32" s="382">
        <f>G32-N32</f>
        <v>109638.25499999942</v>
      </c>
    </row>
    <row r="33" spans="1:16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723"/>
      <c r="P33" s="382">
        <f t="shared" si="1"/>
        <v>0</v>
      </c>
    </row>
    <row r="34" spans="1:16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P34" s="382">
        <f t="shared" si="1"/>
        <v>0</v>
      </c>
    </row>
    <row r="35" spans="1:16">
      <c r="A35" s="579" t="s">
        <v>164</v>
      </c>
      <c r="B35" s="580"/>
      <c r="C35" s="580"/>
      <c r="D35" s="523" t="s">
        <v>132</v>
      </c>
      <c r="E35" s="510">
        <f>'10'!F35</f>
        <v>726865</v>
      </c>
      <c r="F35" s="510">
        <v>730715</v>
      </c>
      <c r="G35" s="473">
        <f t="shared" ref="G35:G46" si="4">F35-E35</f>
        <v>3850</v>
      </c>
      <c r="H35" s="460">
        <f>G35+'10'!H35</f>
        <v>37627.410000000033</v>
      </c>
      <c r="I35" s="455"/>
      <c r="J35" s="553">
        <f>H35/DAY(B2)</f>
        <v>3420.6736363636392</v>
      </c>
      <c r="K35" s="428"/>
      <c r="L35" s="377"/>
      <c r="N35" s="723">
        <v>1428.320000000007</v>
      </c>
      <c r="P35" s="382">
        <f t="shared" si="1"/>
        <v>2421.679999999993</v>
      </c>
    </row>
    <row r="36" spans="1:16">
      <c r="A36" s="579" t="s">
        <v>165</v>
      </c>
      <c r="B36" s="580"/>
      <c r="C36" s="580"/>
      <c r="D36" s="523" t="s">
        <v>132</v>
      </c>
      <c r="E36" s="510">
        <f>'10'!F36</f>
        <v>302980</v>
      </c>
      <c r="F36" s="510">
        <v>303578</v>
      </c>
      <c r="G36" s="473">
        <f t="shared" si="4"/>
        <v>598</v>
      </c>
      <c r="H36" s="460">
        <f>G36+'10'!H36</f>
        <v>7132.429999999993</v>
      </c>
      <c r="I36" s="455"/>
      <c r="J36" s="553">
        <f>H36/DAY(B2)</f>
        <v>648.40272727272668</v>
      </c>
      <c r="K36" s="428"/>
      <c r="L36" s="377"/>
      <c r="N36" s="724">
        <v>535.05999999999767</v>
      </c>
      <c r="P36" s="382">
        <f t="shared" si="1"/>
        <v>62.940000000002328</v>
      </c>
    </row>
    <row r="37" spans="1:16">
      <c r="A37" s="579" t="s">
        <v>166</v>
      </c>
      <c r="B37" s="580"/>
      <c r="C37" s="580"/>
      <c r="D37" s="523" t="s">
        <v>132</v>
      </c>
      <c r="E37" s="510">
        <f>'10'!F37</f>
        <v>35167</v>
      </c>
      <c r="F37" s="510">
        <v>35167</v>
      </c>
      <c r="G37" s="473">
        <f t="shared" si="4"/>
        <v>0</v>
      </c>
      <c r="H37" s="460">
        <f>G37+'10'!H37</f>
        <v>38272.080000000002</v>
      </c>
      <c r="I37" s="455"/>
      <c r="J37" s="553">
        <f>H37/DAY(B2)</f>
        <v>3479.28</v>
      </c>
      <c r="K37" s="428"/>
      <c r="L37" s="377"/>
      <c r="N37" s="724">
        <v>1155.7000000000116</v>
      </c>
      <c r="P37" s="382">
        <f t="shared" si="1"/>
        <v>-1155.7000000000116</v>
      </c>
    </row>
    <row r="38" spans="1:16">
      <c r="A38" s="579" t="s">
        <v>167</v>
      </c>
      <c r="B38" s="580"/>
      <c r="C38" s="580"/>
      <c r="D38" s="523" t="s">
        <v>132</v>
      </c>
      <c r="E38" s="510">
        <f>'10'!F38</f>
        <v>48333</v>
      </c>
      <c r="F38" s="469">
        <v>48333</v>
      </c>
      <c r="G38" s="473">
        <f t="shared" si="4"/>
        <v>0</v>
      </c>
      <c r="H38" s="460">
        <f>G38+'10'!H38</f>
        <v>4519.510000000002</v>
      </c>
      <c r="I38" s="455"/>
      <c r="J38" s="553">
        <f>H38/DAY(B2)</f>
        <v>410.86454545454563</v>
      </c>
      <c r="K38" s="428"/>
      <c r="L38" s="377"/>
      <c r="N38" s="723">
        <v>0.39000000001396984</v>
      </c>
      <c r="P38" s="382">
        <f t="shared" si="1"/>
        <v>-0.39000000001396984</v>
      </c>
    </row>
    <row r="39" spans="1:16">
      <c r="A39" s="579" t="s">
        <v>168</v>
      </c>
      <c r="B39" s="580"/>
      <c r="C39" s="580"/>
      <c r="D39" s="523" t="s">
        <v>132</v>
      </c>
      <c r="E39" s="510">
        <f>'10'!F39</f>
        <v>100066</v>
      </c>
      <c r="F39" s="510">
        <v>100066</v>
      </c>
      <c r="G39" s="473">
        <f t="shared" si="4"/>
        <v>0</v>
      </c>
      <c r="H39" s="460">
        <f>G39+'10'!H39</f>
        <v>109458.89</v>
      </c>
      <c r="I39" s="455"/>
      <c r="J39" s="553">
        <f>H39/DAY(B2)</f>
        <v>9950.8081818181818</v>
      </c>
      <c r="K39" s="428"/>
      <c r="L39" s="377"/>
      <c r="N39" s="723">
        <v>2080</v>
      </c>
      <c r="P39" s="382">
        <f t="shared" si="1"/>
        <v>-2080</v>
      </c>
    </row>
    <row r="40" spans="1:16">
      <c r="A40" s="600" t="s">
        <v>169</v>
      </c>
      <c r="B40" s="601"/>
      <c r="C40" s="601"/>
      <c r="D40" s="523" t="s">
        <v>132</v>
      </c>
      <c r="E40" s="510">
        <f>'10'!F40</f>
        <v>0.23</v>
      </c>
      <c r="F40" s="510">
        <v>0.23</v>
      </c>
      <c r="G40" s="473">
        <f t="shared" si="4"/>
        <v>0</v>
      </c>
      <c r="H40" s="460">
        <f>G40+'10'!H40</f>
        <v>0</v>
      </c>
      <c r="I40" s="455"/>
      <c r="J40" s="553">
        <f>H40/DAY(B2)</f>
        <v>0</v>
      </c>
      <c r="K40" s="429"/>
      <c r="L40" s="377"/>
      <c r="N40" s="723">
        <v>0</v>
      </c>
      <c r="P40" s="382">
        <f t="shared" si="1"/>
        <v>0</v>
      </c>
    </row>
    <row r="41" spans="1:16">
      <c r="A41" s="579" t="s">
        <v>170</v>
      </c>
      <c r="B41" s="580"/>
      <c r="C41" s="580"/>
      <c r="D41" s="523" t="s">
        <v>132</v>
      </c>
      <c r="E41" s="510">
        <f>'10'!F41</f>
        <v>64767</v>
      </c>
      <c r="F41" s="510">
        <v>64767</v>
      </c>
      <c r="G41" s="473">
        <f t="shared" si="4"/>
        <v>0</v>
      </c>
      <c r="H41" s="460">
        <f>G41+'10'!H41</f>
        <v>884.62999999999738</v>
      </c>
      <c r="I41" s="455"/>
      <c r="J41" s="553">
        <f>H41/DAY(B2)</f>
        <v>80.42090909090885</v>
      </c>
      <c r="K41" s="428"/>
      <c r="L41" s="377"/>
      <c r="N41" s="723">
        <v>3297.5400000000081</v>
      </c>
      <c r="P41" s="726">
        <f t="shared" si="1"/>
        <v>-3297.5400000000081</v>
      </c>
    </row>
    <row r="42" spans="1:16">
      <c r="A42" s="579" t="s">
        <v>171</v>
      </c>
      <c r="B42" s="580"/>
      <c r="C42" s="580"/>
      <c r="D42" s="523" t="s">
        <v>132</v>
      </c>
      <c r="E42" s="510">
        <f>'10'!F42</f>
        <v>59128</v>
      </c>
      <c r="F42" s="510">
        <v>59128</v>
      </c>
      <c r="G42" s="473">
        <f t="shared" si="4"/>
        <v>0</v>
      </c>
      <c r="H42" s="460">
        <f>G42+'10'!H42</f>
        <v>-0.84999999999854481</v>
      </c>
      <c r="I42" s="455"/>
      <c r="J42" s="553">
        <f>H42/DAY(B2)</f>
        <v>-7.7272727272594988E-2</v>
      </c>
      <c r="K42" s="428"/>
      <c r="L42" s="377"/>
      <c r="N42" s="723">
        <v>0</v>
      </c>
      <c r="P42" s="382">
        <f t="shared" si="1"/>
        <v>0</v>
      </c>
    </row>
    <row r="43" spans="1:16">
      <c r="A43" s="579" t="s">
        <v>172</v>
      </c>
      <c r="B43" s="580"/>
      <c r="C43" s="580"/>
      <c r="D43" s="523" t="s">
        <v>132</v>
      </c>
      <c r="E43" s="510">
        <f>'10'!F43</f>
        <v>850405</v>
      </c>
      <c r="F43" s="510">
        <v>852799</v>
      </c>
      <c r="G43" s="473">
        <f>F43-E43</f>
        <v>2394</v>
      </c>
      <c r="H43" s="460">
        <f>G43+'10'!H43</f>
        <v>26901.170000000042</v>
      </c>
      <c r="I43" s="455"/>
      <c r="J43" s="553">
        <f>H43/DAY(B2)</f>
        <v>2445.5609090909129</v>
      </c>
      <c r="K43" s="428"/>
      <c r="L43" s="377"/>
      <c r="N43" s="723">
        <v>1592.9000000000233</v>
      </c>
      <c r="P43" s="382">
        <f t="shared" si="1"/>
        <v>801.09999999997672</v>
      </c>
    </row>
    <row r="44" spans="1:16">
      <c r="A44" s="579" t="s">
        <v>173</v>
      </c>
      <c r="B44" s="580"/>
      <c r="C44" s="580"/>
      <c r="D44" s="523" t="s">
        <v>132</v>
      </c>
      <c r="E44" s="510">
        <f>'10'!F44</f>
        <v>0</v>
      </c>
      <c r="F44" s="510">
        <v>0</v>
      </c>
      <c r="G44" s="473">
        <f t="shared" si="4"/>
        <v>0</v>
      </c>
      <c r="H44" s="460">
        <f>G44+'10'!H44</f>
        <v>0</v>
      </c>
      <c r="I44" s="455"/>
      <c r="J44" s="553">
        <f>H44/DAY(B2)</f>
        <v>0</v>
      </c>
      <c r="K44" s="428"/>
      <c r="L44" s="377"/>
      <c r="N44" s="723">
        <v>0</v>
      </c>
      <c r="P44" s="382">
        <f t="shared" si="1"/>
        <v>0</v>
      </c>
    </row>
    <row r="45" spans="1:16">
      <c r="A45" s="579" t="s">
        <v>174</v>
      </c>
      <c r="B45" s="580"/>
      <c r="C45" s="580"/>
      <c r="D45" s="523" t="s">
        <v>132</v>
      </c>
      <c r="E45" s="510">
        <f>'10'!F45</f>
        <v>614</v>
      </c>
      <c r="F45" s="510">
        <v>614</v>
      </c>
      <c r="G45" s="473">
        <f t="shared" si="4"/>
        <v>0</v>
      </c>
      <c r="H45" s="460">
        <f>G45+'10'!H45</f>
        <v>0</v>
      </c>
      <c r="I45" s="455"/>
      <c r="J45" s="553">
        <f>H45/DAY(B2)</f>
        <v>0</v>
      </c>
      <c r="K45" s="428"/>
      <c r="L45" s="377"/>
      <c r="N45" s="723">
        <v>0</v>
      </c>
      <c r="P45" s="382">
        <f t="shared" si="1"/>
        <v>0</v>
      </c>
    </row>
    <row r="46" spans="1:16">
      <c r="A46" s="579" t="s">
        <v>175</v>
      </c>
      <c r="B46" s="580"/>
      <c r="C46" s="580"/>
      <c r="D46" s="523" t="s">
        <v>132</v>
      </c>
      <c r="E46" s="510">
        <f>'10'!F46</f>
        <v>187</v>
      </c>
      <c r="F46" s="510">
        <v>187.49</v>
      </c>
      <c r="G46" s="473">
        <f t="shared" si="4"/>
        <v>0.49000000000000909</v>
      </c>
      <c r="H46" s="460">
        <f>G46+'10'!H46</f>
        <v>0.49000000000000909</v>
      </c>
      <c r="I46" s="455"/>
      <c r="J46" s="553">
        <f>H46/DAY(B2)</f>
        <v>4.4545454545455374E-2</v>
      </c>
      <c r="K46" s="428"/>
      <c r="L46" s="377"/>
      <c r="N46" s="723">
        <v>0</v>
      </c>
      <c r="P46" s="382">
        <f t="shared" si="1"/>
        <v>0.49000000000000909</v>
      </c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6842.49</v>
      </c>
      <c r="H47" s="460">
        <f>G47+'10'!H47</f>
        <v>224795.76000000007</v>
      </c>
      <c r="I47" s="455"/>
      <c r="J47" s="553">
        <f>H47/DAY(B2)</f>
        <v>20435.978181818187</v>
      </c>
      <c r="K47" s="428"/>
      <c r="L47" s="377"/>
      <c r="N47" s="723">
        <v>10089.910000000062</v>
      </c>
      <c r="P47" s="382">
        <f>G47-N47</f>
        <v>-3247.4200000000619</v>
      </c>
    </row>
    <row r="48" spans="1:16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P48" s="382">
        <f t="shared" si="1"/>
        <v>0</v>
      </c>
    </row>
    <row r="49" spans="1:16">
      <c r="A49" s="579" t="s">
        <v>164</v>
      </c>
      <c r="B49" s="602"/>
      <c r="C49" s="602"/>
      <c r="D49" s="523" t="s">
        <v>132</v>
      </c>
      <c r="E49" s="510">
        <f>'10'!F49</f>
        <v>260732</v>
      </c>
      <c r="F49" s="510">
        <v>260732</v>
      </c>
      <c r="G49" s="473">
        <f t="shared" ref="G49:G58" si="5">F49-E49</f>
        <v>0</v>
      </c>
      <c r="H49" s="460">
        <f>G49+'9'!H49</f>
        <v>-0.13000000000465661</v>
      </c>
      <c r="I49" s="455"/>
      <c r="J49" s="553">
        <f>H49/DAY(B2)</f>
        <v>-1.1818181818605146E-2</v>
      </c>
      <c r="K49" s="428"/>
      <c r="L49" s="377"/>
      <c r="N49" s="723">
        <v>0</v>
      </c>
      <c r="P49" s="382">
        <f t="shared" si="1"/>
        <v>0</v>
      </c>
    </row>
    <row r="50" spans="1:16">
      <c r="A50" s="579" t="s">
        <v>178</v>
      </c>
      <c r="B50" s="602"/>
      <c r="C50" s="602"/>
      <c r="D50" s="523" t="s">
        <v>132</v>
      </c>
      <c r="E50" s="510">
        <f>'10'!F50</f>
        <v>414838</v>
      </c>
      <c r="F50" s="510">
        <v>415973</v>
      </c>
      <c r="G50" s="473">
        <f t="shared" si="5"/>
        <v>1135</v>
      </c>
      <c r="H50" s="460">
        <f>G50+'9'!H50</f>
        <v>12315.969999999972</v>
      </c>
      <c r="I50" s="455"/>
      <c r="J50" s="553">
        <f>H50/DAY(B2)</f>
        <v>1119.6336363636337</v>
      </c>
      <c r="K50" s="428"/>
      <c r="L50" s="377"/>
      <c r="N50" s="723">
        <v>559.97000000000116</v>
      </c>
      <c r="P50" s="382">
        <f t="shared" si="1"/>
        <v>575.02999999999884</v>
      </c>
    </row>
    <row r="51" spans="1:16">
      <c r="A51" s="579" t="s">
        <v>166</v>
      </c>
      <c r="B51" s="602"/>
      <c r="C51" s="602"/>
      <c r="D51" s="523" t="s">
        <v>132</v>
      </c>
      <c r="E51" s="510">
        <f>'10'!F51</f>
        <v>131844</v>
      </c>
      <c r="F51" s="510">
        <v>133395</v>
      </c>
      <c r="G51" s="473">
        <f t="shared" si="5"/>
        <v>1551</v>
      </c>
      <c r="H51" s="460">
        <f>G51+'9'!H51</f>
        <v>11795.080000000002</v>
      </c>
      <c r="I51" s="455"/>
      <c r="J51" s="553">
        <f>H51/DAY(B2)</f>
        <v>1072.2800000000002</v>
      </c>
      <c r="K51" s="428"/>
      <c r="L51" s="377"/>
      <c r="N51" s="723">
        <v>0</v>
      </c>
      <c r="P51" s="382">
        <f t="shared" si="1"/>
        <v>1551</v>
      </c>
    </row>
    <row r="52" spans="1:16">
      <c r="A52" s="579" t="s">
        <v>179</v>
      </c>
      <c r="B52" s="602"/>
      <c r="C52" s="602"/>
      <c r="D52" s="523" t="s">
        <v>132</v>
      </c>
      <c r="E52" s="510">
        <f>'10'!F52</f>
        <v>524409</v>
      </c>
      <c r="F52" s="510">
        <v>526494</v>
      </c>
      <c r="G52" s="473">
        <f t="shared" si="5"/>
        <v>2085</v>
      </c>
      <c r="H52" s="460">
        <f>G52+'9'!H52</f>
        <v>16535.289999999979</v>
      </c>
      <c r="I52" s="455"/>
      <c r="J52" s="553">
        <f>H52/DAY(B2)</f>
        <v>1503.2081818181798</v>
      </c>
      <c r="K52" s="428"/>
      <c r="L52" s="377"/>
      <c r="N52" s="723">
        <v>1007.1900000000023</v>
      </c>
      <c r="P52" s="382">
        <f t="shared" si="1"/>
        <v>1077.8099999999977</v>
      </c>
    </row>
    <row r="53" spans="1:16">
      <c r="A53" s="579" t="s">
        <v>168</v>
      </c>
      <c r="B53" s="602"/>
      <c r="C53" s="602"/>
      <c r="D53" s="523" t="s">
        <v>132</v>
      </c>
      <c r="E53" s="510">
        <f>'10'!F53</f>
        <v>365063</v>
      </c>
      <c r="F53" s="510">
        <v>369168</v>
      </c>
      <c r="G53" s="473">
        <f t="shared" si="5"/>
        <v>4105</v>
      </c>
      <c r="H53" s="460">
        <f>G53+'9'!H53</f>
        <v>33128.489999999991</v>
      </c>
      <c r="I53" s="455"/>
      <c r="J53" s="553">
        <f>H53/DAY(B2)</f>
        <v>3011.6809090909082</v>
      </c>
      <c r="K53" s="428"/>
      <c r="L53" s="377"/>
      <c r="N53" s="723">
        <v>85.61410000000069</v>
      </c>
      <c r="P53" s="382">
        <f t="shared" si="1"/>
        <v>4019.3858999999993</v>
      </c>
    </row>
    <row r="54" spans="1:16">
      <c r="A54" s="579" t="s">
        <v>180</v>
      </c>
      <c r="B54" s="602"/>
      <c r="C54" s="602"/>
      <c r="D54" s="523" t="s">
        <v>132</v>
      </c>
      <c r="E54" s="510">
        <f>'10'!F54</f>
        <v>8200</v>
      </c>
      <c r="F54" s="510">
        <v>8200</v>
      </c>
      <c r="G54" s="473">
        <f t="shared" si="5"/>
        <v>0</v>
      </c>
      <c r="H54" s="460">
        <f>G54+'9'!H54</f>
        <v>104.40000000000055</v>
      </c>
      <c r="I54" s="455"/>
      <c r="J54" s="553">
        <f>H54/DAY(B2)</f>
        <v>9.49090909090914</v>
      </c>
      <c r="K54" s="428"/>
      <c r="L54" s="377"/>
      <c r="N54" s="723">
        <v>0</v>
      </c>
      <c r="P54" s="382">
        <f t="shared" si="1"/>
        <v>0</v>
      </c>
    </row>
    <row r="55" spans="1:16">
      <c r="A55" s="579" t="s">
        <v>181</v>
      </c>
      <c r="B55" s="602"/>
      <c r="C55" s="602"/>
      <c r="D55" s="523" t="s">
        <v>132</v>
      </c>
      <c r="E55" s="510">
        <f>'10'!F55</f>
        <v>166777</v>
      </c>
      <c r="F55" s="658">
        <v>171852</v>
      </c>
      <c r="G55" s="657">
        <f t="shared" si="5"/>
        <v>5075</v>
      </c>
      <c r="H55" s="710">
        <f>G55+'9'!H55</f>
        <v>49267.31</v>
      </c>
      <c r="I55" s="711"/>
      <c r="J55" s="712">
        <f>H55/DAY(B2)</f>
        <v>4478.8463636363631</v>
      </c>
      <c r="K55" s="428"/>
      <c r="L55" s="377"/>
      <c r="N55" s="723">
        <v>29.730000000010477</v>
      </c>
      <c r="P55" s="382">
        <f t="shared" si="1"/>
        <v>5045.2699999999895</v>
      </c>
    </row>
    <row r="56" spans="1:16">
      <c r="A56" s="579" t="s">
        <v>182</v>
      </c>
      <c r="B56" s="602"/>
      <c r="C56" s="602"/>
      <c r="D56" s="523" t="s">
        <v>183</v>
      </c>
      <c r="E56" s="510">
        <f>'10'!F56</f>
        <v>588761</v>
      </c>
      <c r="F56" s="658">
        <v>588761</v>
      </c>
      <c r="G56" s="473">
        <f t="shared" si="5"/>
        <v>0</v>
      </c>
      <c r="H56" s="460">
        <f>G56+'9'!H56</f>
        <v>2709.9699999999721</v>
      </c>
      <c r="I56" s="455"/>
      <c r="J56" s="553">
        <f>H56/DAY(B2)</f>
        <v>246.36090909090655</v>
      </c>
      <c r="K56" s="427"/>
      <c r="L56" s="377"/>
      <c r="N56" s="723">
        <v>0</v>
      </c>
      <c r="P56" s="382">
        <f t="shared" si="1"/>
        <v>0</v>
      </c>
    </row>
    <row r="57" spans="1:16">
      <c r="A57" s="579" t="s">
        <v>172</v>
      </c>
      <c r="B57" s="602"/>
      <c r="C57" s="602"/>
      <c r="D57" s="523" t="s">
        <v>132</v>
      </c>
      <c r="E57" s="510">
        <f>'10'!F57</f>
        <v>7711</v>
      </c>
      <c r="F57" s="510">
        <v>7711</v>
      </c>
      <c r="G57" s="473">
        <f t="shared" si="5"/>
        <v>0</v>
      </c>
      <c r="H57" s="460">
        <f>G57+'9'!H57</f>
        <v>-0.32999999999992724</v>
      </c>
      <c r="I57" s="455"/>
      <c r="J57" s="553">
        <f>H57/DAY(B2)</f>
        <v>-2.9999999999993386E-2</v>
      </c>
      <c r="K57" s="428"/>
      <c r="L57" s="377"/>
      <c r="N57" s="723">
        <v>0</v>
      </c>
      <c r="P57" s="382">
        <f t="shared" si="1"/>
        <v>0</v>
      </c>
    </row>
    <row r="58" spans="1:16">
      <c r="A58" s="579" t="s">
        <v>184</v>
      </c>
      <c r="B58" s="602"/>
      <c r="C58" s="602"/>
      <c r="D58" s="523" t="s">
        <v>132</v>
      </c>
      <c r="E58" s="510">
        <f>'10'!F58</f>
        <v>37842</v>
      </c>
      <c r="F58" s="658">
        <v>38003</v>
      </c>
      <c r="G58" s="473">
        <f t="shared" si="5"/>
        <v>161</v>
      </c>
      <c r="H58" s="460">
        <f>G58+'9'!H58</f>
        <v>1938.3000000000029</v>
      </c>
      <c r="I58" s="455"/>
      <c r="J58" s="553">
        <f>H58/DAY(B2)</f>
        <v>176.20909090909117</v>
      </c>
      <c r="K58" s="428"/>
      <c r="L58" s="377"/>
      <c r="N58" s="723">
        <v>7.3549999999995634</v>
      </c>
      <c r="P58" s="382">
        <f t="shared" si="1"/>
        <v>153.64500000000044</v>
      </c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14112</v>
      </c>
      <c r="H59" s="460">
        <f>G59+'9'!H59</f>
        <v>127794.34999999992</v>
      </c>
      <c r="I59" s="455">
        <f>G7-G60</f>
        <v>361.51000000000204</v>
      </c>
      <c r="J59" s="553">
        <f>H59/DAY(B2)</f>
        <v>11617.668181818175</v>
      </c>
      <c r="K59" s="428"/>
      <c r="L59" s="377"/>
      <c r="N59" s="723">
        <v>1689.8591000000142</v>
      </c>
      <c r="P59" s="382">
        <f t="shared" si="1"/>
        <v>12422.140899999986</v>
      </c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20954.489999999998</v>
      </c>
      <c r="H60" s="460">
        <f>G60+'10'!H60</f>
        <v>366759.11</v>
      </c>
      <c r="I60" s="455">
        <f>G13-G60</f>
        <v>-412.48999999999796</v>
      </c>
      <c r="J60" s="553">
        <f>H60/DAY(B2)</f>
        <v>33341.737272727274</v>
      </c>
      <c r="K60" s="428"/>
      <c r="L60" s="377"/>
      <c r="N60" s="723">
        <v>11779.769100000076</v>
      </c>
      <c r="P60" s="382">
        <f>G60-N60</f>
        <v>9174.720899999922</v>
      </c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P61" s="382">
        <f t="shared" si="1"/>
        <v>0</v>
      </c>
    </row>
    <row r="62" spans="1:16">
      <c r="A62" s="604" t="s">
        <v>98</v>
      </c>
      <c r="B62" s="605"/>
      <c r="C62" s="605"/>
      <c r="D62" s="511" t="s">
        <v>187</v>
      </c>
      <c r="E62" s="514">
        <f>'10'!F62</f>
        <v>20419</v>
      </c>
      <c r="F62" s="514">
        <v>20419</v>
      </c>
      <c r="G62" s="473">
        <f t="shared" ref="G62:G69" si="6">F62-E62</f>
        <v>0</v>
      </c>
      <c r="H62" s="460">
        <f>G62+'10'!H62</f>
        <v>-0.18700000000171713</v>
      </c>
      <c r="I62" s="515"/>
      <c r="J62" s="553">
        <f>H62/DAY(B2)</f>
        <v>-1.7000000000156102E-2</v>
      </c>
      <c r="K62" s="428"/>
      <c r="L62" s="377"/>
      <c r="N62" s="723">
        <v>0</v>
      </c>
      <c r="P62" s="382">
        <f t="shared" si="1"/>
        <v>0</v>
      </c>
    </row>
    <row r="63" spans="1:16">
      <c r="A63" s="604" t="s">
        <v>188</v>
      </c>
      <c r="B63" s="605"/>
      <c r="C63" s="605"/>
      <c r="D63" s="511" t="s">
        <v>187</v>
      </c>
      <c r="E63" s="514">
        <f>'10'!F63</f>
        <v>1839</v>
      </c>
      <c r="F63" s="514">
        <v>1853</v>
      </c>
      <c r="G63" s="473">
        <f t="shared" si="6"/>
        <v>14</v>
      </c>
      <c r="H63" s="460">
        <f>G63+'10'!H63</f>
        <v>145.6400000000001</v>
      </c>
      <c r="I63" s="515"/>
      <c r="J63" s="553">
        <f>H63/DAY(B2)</f>
        <v>13.240000000000009</v>
      </c>
      <c r="K63" s="428"/>
      <c r="L63" s="377"/>
      <c r="N63" s="723">
        <v>0</v>
      </c>
      <c r="P63" s="382">
        <f t="shared" si="1"/>
        <v>14</v>
      </c>
    </row>
    <row r="64" spans="1:16" ht="27.75">
      <c r="A64" s="1408" t="s">
        <v>99</v>
      </c>
      <c r="B64" s="1409"/>
      <c r="C64" s="1410"/>
      <c r="D64" s="523" t="s">
        <v>187</v>
      </c>
      <c r="E64" s="514">
        <f>'10'!F64</f>
        <v>128841</v>
      </c>
      <c r="F64" s="478">
        <v>129348</v>
      </c>
      <c r="G64" s="473">
        <f t="shared" si="6"/>
        <v>507</v>
      </c>
      <c r="H64" s="460">
        <f>G64+'10'!H64</f>
        <v>5720.6999999999971</v>
      </c>
      <c r="I64" s="480"/>
      <c r="J64" s="553">
        <f>H64/DAY(B2)</f>
        <v>520.06363636363608</v>
      </c>
      <c r="K64" s="428"/>
      <c r="L64" s="377"/>
      <c r="N64" s="723">
        <v>163.8269999999975</v>
      </c>
      <c r="P64" s="382">
        <f t="shared" si="1"/>
        <v>343.1730000000025</v>
      </c>
    </row>
    <row r="65" spans="1:16" ht="27.75">
      <c r="A65" s="1408" t="s">
        <v>100</v>
      </c>
      <c r="B65" s="1409"/>
      <c r="C65" s="1410"/>
      <c r="D65" s="523" t="s">
        <v>187</v>
      </c>
      <c r="E65" s="514">
        <f>'10'!F65</f>
        <v>136358</v>
      </c>
      <c r="F65" s="656">
        <v>136712</v>
      </c>
      <c r="G65" s="473">
        <f t="shared" si="6"/>
        <v>354</v>
      </c>
      <c r="H65" s="460">
        <f>G65+'10'!H65</f>
        <v>4114.7000000000116</v>
      </c>
      <c r="I65" s="489"/>
      <c r="J65" s="553">
        <f>H65/DAY(B2)</f>
        <v>374.06363636363744</v>
      </c>
      <c r="K65" s="428"/>
      <c r="L65" s="377"/>
      <c r="N65" s="723">
        <v>268.47299999999814</v>
      </c>
      <c r="P65" s="382">
        <f t="shared" si="1"/>
        <v>85.527000000001863</v>
      </c>
    </row>
    <row r="66" spans="1:16" ht="27.75">
      <c r="A66" s="1408" t="s">
        <v>101</v>
      </c>
      <c r="B66" s="1409"/>
      <c r="C66" s="1410"/>
      <c r="D66" s="523" t="s">
        <v>187</v>
      </c>
      <c r="E66" s="514">
        <f>'10'!F66</f>
        <v>29078</v>
      </c>
      <c r="F66" s="478">
        <v>29424</v>
      </c>
      <c r="G66" s="473">
        <f t="shared" si="6"/>
        <v>346</v>
      </c>
      <c r="H66" s="460">
        <f>G66+'10'!H66</f>
        <v>4264.25</v>
      </c>
      <c r="I66" s="480"/>
      <c r="J66" s="553">
        <f>H66/DAY(B2)</f>
        <v>387.65909090909093</v>
      </c>
      <c r="K66" s="428"/>
      <c r="L66" s="377"/>
      <c r="N66" s="723">
        <v>269.34500000000116</v>
      </c>
      <c r="P66" s="382">
        <f t="shared" si="1"/>
        <v>76.654999999998836</v>
      </c>
    </row>
    <row r="67" spans="1:16" ht="27.75">
      <c r="A67" s="1408" t="s">
        <v>102</v>
      </c>
      <c r="B67" s="1409"/>
      <c r="C67" s="1410"/>
      <c r="D67" s="523" t="s">
        <v>187</v>
      </c>
      <c r="E67" s="514">
        <f>'10'!F67</f>
        <v>214635</v>
      </c>
      <c r="F67" s="478">
        <v>215299</v>
      </c>
      <c r="G67" s="473">
        <f t="shared" si="6"/>
        <v>664</v>
      </c>
      <c r="H67" s="460">
        <f>G67+'10'!H67</f>
        <v>7457.1700000000128</v>
      </c>
      <c r="I67" s="489"/>
      <c r="J67" s="553">
        <f>H67/DAY(B2)</f>
        <v>677.92454545454666</v>
      </c>
      <c r="K67" s="429"/>
      <c r="L67" s="377"/>
      <c r="N67" s="723">
        <v>278.32000000000698</v>
      </c>
      <c r="P67" s="382">
        <f t="shared" si="1"/>
        <v>385.67999999999302</v>
      </c>
    </row>
    <row r="68" spans="1:16" ht="27.75">
      <c r="A68" s="1408" t="s">
        <v>103</v>
      </c>
      <c r="B68" s="1409"/>
      <c r="C68" s="1410"/>
      <c r="D68" s="523" t="s">
        <v>187</v>
      </c>
      <c r="E68" s="514">
        <f>'10'!F68</f>
        <v>76079</v>
      </c>
      <c r="F68" s="478">
        <v>76381</v>
      </c>
      <c r="G68" s="473">
        <f t="shared" si="6"/>
        <v>302</v>
      </c>
      <c r="H68" s="460">
        <f>G68+'10'!H68</f>
        <v>3702.4799999999959</v>
      </c>
      <c r="I68" s="516"/>
      <c r="J68" s="553">
        <f>H68/DAY(B2)</f>
        <v>336.58909090909054</v>
      </c>
      <c r="K68" s="430"/>
      <c r="L68" s="377"/>
      <c r="N68" s="723">
        <v>96.661499999999705</v>
      </c>
      <c r="P68" s="382">
        <f t="shared" si="1"/>
        <v>205.33850000000029</v>
      </c>
    </row>
    <row r="69" spans="1:16" ht="27.75">
      <c r="A69" s="1408" t="s">
        <v>104</v>
      </c>
      <c r="B69" s="1409"/>
      <c r="C69" s="1410"/>
      <c r="D69" s="523" t="s">
        <v>187</v>
      </c>
      <c r="E69" s="514">
        <f>'10'!F69</f>
        <v>67712</v>
      </c>
      <c r="F69" s="478">
        <v>68042</v>
      </c>
      <c r="G69" s="473">
        <f t="shared" si="6"/>
        <v>330</v>
      </c>
      <c r="H69" s="460">
        <f>G69+'10'!H69</f>
        <v>3589.9100000000035</v>
      </c>
      <c r="I69" s="516"/>
      <c r="J69" s="553">
        <f>H69/DAY(B2)</f>
        <v>326.35545454545485</v>
      </c>
      <c r="K69" s="431"/>
      <c r="L69" s="377"/>
      <c r="N69" s="723">
        <v>12.966000000000349</v>
      </c>
      <c r="P69" s="382">
        <f t="shared" si="1"/>
        <v>317.03399999999965</v>
      </c>
    </row>
    <row r="70" spans="1:16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>
        <f>G70+'10'!H70</f>
        <v>0</v>
      </c>
      <c r="I70" s="518"/>
      <c r="J70" s="557">
        <f>H70/DAY(B2)</f>
        <v>0</v>
      </c>
      <c r="K70" s="431"/>
      <c r="L70" s="377"/>
      <c r="N70" s="723"/>
      <c r="P70" s="382">
        <f t="shared" si="1"/>
        <v>0</v>
      </c>
    </row>
    <row r="71" spans="1:16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723"/>
      <c r="P71" s="382">
        <f t="shared" si="1"/>
        <v>0</v>
      </c>
    </row>
    <row r="72" spans="1:16" ht="27.75">
      <c r="A72" s="1408" t="s">
        <v>191</v>
      </c>
      <c r="B72" s="1409"/>
      <c r="C72" s="1410"/>
      <c r="D72" s="523" t="s">
        <v>187</v>
      </c>
      <c r="E72" s="519">
        <f>'10'!F72</f>
        <v>851438</v>
      </c>
      <c r="F72" s="659">
        <v>851533</v>
      </c>
      <c r="G72" s="779">
        <f t="shared" ref="G72:G84" si="7">F72-E72</f>
        <v>95</v>
      </c>
      <c r="H72" s="460">
        <f>G72+'10'!H72</f>
        <v>941</v>
      </c>
      <c r="I72" s="480"/>
      <c r="J72" s="553">
        <f>H72/DAY(B2)</f>
        <v>85.545454545454547</v>
      </c>
      <c r="K72" s="431"/>
      <c r="L72" s="377"/>
      <c r="N72" s="723">
        <v>17</v>
      </c>
      <c r="P72" s="382">
        <f t="shared" ref="P72:P140" si="8">G72-N72</f>
        <v>78</v>
      </c>
    </row>
    <row r="73" spans="1:16" ht="27.75">
      <c r="A73" s="1408" t="s">
        <v>192</v>
      </c>
      <c r="B73" s="1409"/>
      <c r="C73" s="1410"/>
      <c r="D73" s="523" t="s">
        <v>187</v>
      </c>
      <c r="E73" s="519">
        <f>'10'!F73</f>
        <v>885775</v>
      </c>
      <c r="F73" s="660">
        <v>885775</v>
      </c>
      <c r="G73" s="657">
        <f t="shared" si="7"/>
        <v>0</v>
      </c>
      <c r="H73" s="460">
        <f>G73+'10'!H73</f>
        <v>3</v>
      </c>
      <c r="I73" s="480"/>
      <c r="J73" s="553">
        <f>H73/DAY(B2)</f>
        <v>0.27272727272727271</v>
      </c>
      <c r="K73" s="430"/>
      <c r="L73" s="377"/>
      <c r="N73" s="723">
        <v>1</v>
      </c>
      <c r="P73" s="382">
        <f t="shared" si="8"/>
        <v>-1</v>
      </c>
    </row>
    <row r="74" spans="1:16" ht="27.75">
      <c r="A74" s="1408" t="s">
        <v>193</v>
      </c>
      <c r="B74" s="1409"/>
      <c r="C74" s="1410"/>
      <c r="D74" s="523" t="s">
        <v>187</v>
      </c>
      <c r="E74" s="519">
        <f>'10'!F74</f>
        <v>872</v>
      </c>
      <c r="F74" s="660">
        <v>898</v>
      </c>
      <c r="G74" s="473">
        <f t="shared" si="7"/>
        <v>26</v>
      </c>
      <c r="H74" s="460">
        <f>G74+'10'!H74</f>
        <v>311.83000000000004</v>
      </c>
      <c r="I74" s="480"/>
      <c r="J74" s="553">
        <f>H74/DAY(B2)</f>
        <v>28.348181818181821</v>
      </c>
      <c r="K74" s="431"/>
      <c r="L74" s="377"/>
      <c r="N74" s="723">
        <v>7</v>
      </c>
      <c r="P74" s="382">
        <f t="shared" si="8"/>
        <v>19</v>
      </c>
    </row>
    <row r="75" spans="1:16" ht="27.75">
      <c r="A75" s="1457" t="s">
        <v>194</v>
      </c>
      <c r="B75" s="1458"/>
      <c r="C75" s="1459"/>
      <c r="D75" s="523" t="s">
        <v>187</v>
      </c>
      <c r="E75" s="519">
        <f>'10'!F75</f>
        <v>5150</v>
      </c>
      <c r="F75" s="660">
        <v>5314</v>
      </c>
      <c r="G75" s="473">
        <f t="shared" si="7"/>
        <v>164</v>
      </c>
      <c r="H75" s="460">
        <f>G75+'10'!H75</f>
        <v>1794.7800000000002</v>
      </c>
      <c r="I75" s="480"/>
      <c r="J75" s="553">
        <f>H75/DAY(B2)</f>
        <v>163.16181818181821</v>
      </c>
      <c r="K75" s="430"/>
      <c r="L75" s="377"/>
      <c r="N75" s="723">
        <v>63</v>
      </c>
      <c r="P75" s="382">
        <f t="shared" si="8"/>
        <v>101</v>
      </c>
    </row>
    <row r="76" spans="1:16" ht="27.75">
      <c r="A76" s="1457" t="s">
        <v>195</v>
      </c>
      <c r="B76" s="1458"/>
      <c r="C76" s="1459"/>
      <c r="D76" s="523" t="s">
        <v>187</v>
      </c>
      <c r="E76" s="519">
        <f>'10'!F76</f>
        <v>2353</v>
      </c>
      <c r="F76" s="660">
        <v>2444</v>
      </c>
      <c r="G76" s="473">
        <f t="shared" si="7"/>
        <v>91</v>
      </c>
      <c r="H76" s="460">
        <f>G76+'10'!H76</f>
        <v>929.66000000000008</v>
      </c>
      <c r="I76" s="505"/>
      <c r="J76" s="553">
        <f>H76/DAY(B2)</f>
        <v>84.514545454545456</v>
      </c>
      <c r="K76" s="430"/>
      <c r="L76" s="377"/>
      <c r="N76" s="723">
        <v>2</v>
      </c>
      <c r="P76" s="382">
        <f t="shared" si="8"/>
        <v>89</v>
      </c>
    </row>
    <row r="77" spans="1:16" ht="27.75">
      <c r="A77" s="1408" t="s">
        <v>196</v>
      </c>
      <c r="B77" s="1409"/>
      <c r="C77" s="1410"/>
      <c r="D77" s="523" t="s">
        <v>187</v>
      </c>
      <c r="E77" s="519">
        <f>'10'!F77</f>
        <v>699114</v>
      </c>
      <c r="F77" s="1322">
        <v>699169</v>
      </c>
      <c r="G77" s="657">
        <f t="shared" si="7"/>
        <v>55</v>
      </c>
      <c r="H77" s="460">
        <f>G77+'10'!H77</f>
        <v>581</v>
      </c>
      <c r="I77" s="505"/>
      <c r="J77" s="553">
        <f>H77/DAY(B2)</f>
        <v>52.81818181818182</v>
      </c>
      <c r="K77" s="430"/>
      <c r="L77" s="377"/>
      <c r="N77" s="723">
        <v>15</v>
      </c>
      <c r="P77" s="382">
        <f t="shared" si="8"/>
        <v>40</v>
      </c>
    </row>
    <row r="78" spans="1:16" ht="27.75">
      <c r="A78" s="1151" t="s">
        <v>197</v>
      </c>
      <c r="B78" s="1124"/>
      <c r="C78" s="1124"/>
      <c r="D78" s="523" t="s">
        <v>187</v>
      </c>
      <c r="E78" s="519">
        <f>'10'!F78</f>
        <v>656774</v>
      </c>
      <c r="F78" s="1322">
        <v>657185</v>
      </c>
      <c r="G78" s="473">
        <f t="shared" si="7"/>
        <v>411</v>
      </c>
      <c r="H78" s="460">
        <f>G78+'10'!H78</f>
        <v>4322</v>
      </c>
      <c r="I78" s="505"/>
      <c r="J78" s="553">
        <f>H78/DAY(B2)</f>
        <v>392.90909090909093</v>
      </c>
      <c r="K78" s="430"/>
      <c r="L78" s="377"/>
      <c r="N78" s="723">
        <v>38</v>
      </c>
      <c r="P78" s="382">
        <f t="shared" si="8"/>
        <v>373</v>
      </c>
    </row>
    <row r="79" spans="1:16" ht="27.75">
      <c r="A79" s="1457" t="s">
        <v>92</v>
      </c>
      <c r="B79" s="1458"/>
      <c r="C79" s="1459"/>
      <c r="D79" s="524" t="s">
        <v>187</v>
      </c>
      <c r="E79" s="519">
        <f>'10'!F79</f>
        <v>817239</v>
      </c>
      <c r="F79" s="661">
        <v>817412</v>
      </c>
      <c r="G79" s="473">
        <f t="shared" si="7"/>
        <v>173</v>
      </c>
      <c r="H79" s="460">
        <f>G79+'10'!H79</f>
        <v>2303</v>
      </c>
      <c r="I79" s="505"/>
      <c r="J79" s="553">
        <f>H79/DAY(B2)</f>
        <v>209.36363636363637</v>
      </c>
      <c r="K79" s="430"/>
      <c r="L79" s="377"/>
      <c r="N79" s="723">
        <v>94</v>
      </c>
      <c r="P79" s="382">
        <f t="shared" si="8"/>
        <v>79</v>
      </c>
    </row>
    <row r="80" spans="1:16" ht="27.75">
      <c r="A80" s="1457" t="s">
        <v>198</v>
      </c>
      <c r="B80" s="1458"/>
      <c r="C80" s="1459"/>
      <c r="D80" s="524" t="s">
        <v>187</v>
      </c>
      <c r="E80" s="519">
        <f>'10'!F80</f>
        <v>498270</v>
      </c>
      <c r="F80" s="1322">
        <v>498367</v>
      </c>
      <c r="G80" s="473">
        <f t="shared" si="7"/>
        <v>97</v>
      </c>
      <c r="H80" s="460">
        <f>G80+'10'!H80</f>
        <v>3693.359999999986</v>
      </c>
      <c r="I80" s="505"/>
      <c r="J80" s="553">
        <f>H80/DAY(B2)</f>
        <v>335.75999999999874</v>
      </c>
      <c r="K80" s="430"/>
      <c r="L80" s="377"/>
      <c r="N80" s="723">
        <v>188.48000000003958</v>
      </c>
      <c r="P80" s="382">
        <f t="shared" si="8"/>
        <v>-91.480000000039581</v>
      </c>
    </row>
    <row r="81" spans="1:16" ht="27.75">
      <c r="A81" s="1457" t="s">
        <v>199</v>
      </c>
      <c r="B81" s="1458"/>
      <c r="C81" s="1459"/>
      <c r="D81" s="524" t="s">
        <v>187</v>
      </c>
      <c r="E81" s="519">
        <f>'10'!F81</f>
        <v>627017</v>
      </c>
      <c r="F81" s="660">
        <v>627101</v>
      </c>
      <c r="G81" s="473">
        <f t="shared" si="7"/>
        <v>84</v>
      </c>
      <c r="H81" s="460">
        <f>G81+'10'!H81</f>
        <v>1157.1600000000326</v>
      </c>
      <c r="I81" s="505"/>
      <c r="J81" s="553">
        <f>H81/DAY(B2)</f>
        <v>105.1963636363666</v>
      </c>
      <c r="K81" s="430"/>
      <c r="L81" s="377"/>
      <c r="N81" s="723">
        <v>84.92000000004191</v>
      </c>
      <c r="P81" s="382">
        <f t="shared" si="8"/>
        <v>-0.92000000004190952</v>
      </c>
    </row>
    <row r="82" spans="1:16" ht="27.75">
      <c r="A82" s="1457" t="s">
        <v>93</v>
      </c>
      <c r="B82" s="1458"/>
      <c r="C82" s="1459"/>
      <c r="D82" s="485" t="s">
        <v>132</v>
      </c>
      <c r="E82" s="519">
        <f>'10'!F82</f>
        <v>106419</v>
      </c>
      <c r="F82" s="656">
        <v>106445</v>
      </c>
      <c r="G82" s="473">
        <f t="shared" si="7"/>
        <v>26</v>
      </c>
      <c r="H82" s="460">
        <f>G82+'10'!H82</f>
        <v>242.52000000000407</v>
      </c>
      <c r="I82" s="486"/>
      <c r="J82" s="553">
        <f>H82/DAY(B2)</f>
        <v>22.047272727273096</v>
      </c>
      <c r="K82" s="430"/>
      <c r="L82" s="377"/>
      <c r="N82" s="723">
        <v>31.630000000004657</v>
      </c>
      <c r="P82" s="382">
        <f t="shared" si="8"/>
        <v>-5.6300000000046566</v>
      </c>
    </row>
    <row r="83" spans="1:16" ht="27.75">
      <c r="A83" s="1457" t="s">
        <v>200</v>
      </c>
      <c r="B83" s="1458"/>
      <c r="C83" s="1459"/>
      <c r="D83" s="621" t="s">
        <v>132</v>
      </c>
      <c r="E83" s="519">
        <f>'10'!F83</f>
        <v>1274</v>
      </c>
      <c r="F83" s="511">
        <v>1681</v>
      </c>
      <c r="G83" s="473">
        <f t="shared" si="7"/>
        <v>407</v>
      </c>
      <c r="H83" s="460">
        <f>G83+'10'!H83</f>
        <v>5084</v>
      </c>
      <c r="I83" s="481"/>
      <c r="J83" s="553">
        <f>H83/DAY(B2)</f>
        <v>462.18181818181819</v>
      </c>
      <c r="K83" s="429"/>
      <c r="L83" s="377"/>
      <c r="N83" s="723">
        <v>235</v>
      </c>
      <c r="P83" s="382">
        <f t="shared" si="8"/>
        <v>172</v>
      </c>
    </row>
    <row r="84" spans="1:16">
      <c r="A84" s="1152" t="s">
        <v>201</v>
      </c>
      <c r="B84" s="572"/>
      <c r="C84" s="572"/>
      <c r="D84" s="478" t="s">
        <v>132</v>
      </c>
      <c r="E84" s="519">
        <f>'10'!F84</f>
        <v>438460</v>
      </c>
      <c r="F84" s="714">
        <v>439458</v>
      </c>
      <c r="G84" s="473">
        <f t="shared" si="7"/>
        <v>998</v>
      </c>
      <c r="H84" s="460">
        <f>G84+'10'!H84</f>
        <v>8660</v>
      </c>
      <c r="I84" s="481"/>
      <c r="J84" s="553">
        <f>H84/DAY(B2)</f>
        <v>787.27272727272725</v>
      </c>
      <c r="K84" s="380"/>
      <c r="L84" s="377"/>
      <c r="N84" s="723">
        <v>433</v>
      </c>
      <c r="P84" s="382">
        <f t="shared" si="8"/>
        <v>565</v>
      </c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2627</v>
      </c>
      <c r="H85" s="460">
        <f>G85+'10'!H85</f>
        <v>27997.929999999968</v>
      </c>
      <c r="I85" s="481"/>
      <c r="J85" s="553">
        <f>H85/DAY(B2)</f>
        <v>2545.2663636363609</v>
      </c>
      <c r="K85" s="380"/>
      <c r="L85" s="378"/>
      <c r="N85" s="723">
        <v>1210.0300000000861</v>
      </c>
      <c r="P85" s="382">
        <f t="shared" si="8"/>
        <v>1416.9699999999139</v>
      </c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'10'!F86</f>
        <v>451553</v>
      </c>
      <c r="F86" s="652">
        <v>451722</v>
      </c>
      <c r="G86" s="710">
        <f t="shared" ref="G86:G90" si="9">F86-E86</f>
        <v>169</v>
      </c>
      <c r="H86" s="710">
        <f t="shared" ref="H86:H88" si="10">G86</f>
        <v>169</v>
      </c>
      <c r="I86" s="657"/>
      <c r="J86" s="712">
        <f>H86/DAY(B2)</f>
        <v>15.363636363636363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'10'!F87</f>
        <v>79518</v>
      </c>
      <c r="F87" s="1323">
        <v>79543</v>
      </c>
      <c r="G87" s="710">
        <f t="shared" si="9"/>
        <v>25</v>
      </c>
      <c r="H87" s="710">
        <f t="shared" si="10"/>
        <v>25</v>
      </c>
      <c r="I87" s="657"/>
      <c r="J87" s="712">
        <f>H87/DAY(B2)</f>
        <v>2.2727272727272729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'10'!F88</f>
        <v>149012</v>
      </c>
      <c r="F88" s="652">
        <v>149095</v>
      </c>
      <c r="G88" s="710">
        <f t="shared" si="9"/>
        <v>83</v>
      </c>
      <c r="H88" s="710">
        <f t="shared" si="10"/>
        <v>83</v>
      </c>
      <c r="I88" s="657"/>
      <c r="J88" s="712">
        <f>H88/DAY(B2)</f>
        <v>7.5454545454545459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'10'!F89</f>
        <v>62437</v>
      </c>
      <c r="F89" s="1323">
        <v>62495</v>
      </c>
      <c r="G89" s="710">
        <f t="shared" si="9"/>
        <v>58</v>
      </c>
      <c r="H89" s="710">
        <f>G89</f>
        <v>58</v>
      </c>
      <c r="I89" s="657"/>
      <c r="J89" s="712">
        <f>H89/DAY(B2)</f>
        <v>5.2727272727272725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'10'!F90</f>
        <v>3209</v>
      </c>
      <c r="F90" s="1323">
        <v>3214</v>
      </c>
      <c r="G90" s="710">
        <f t="shared" si="9"/>
        <v>5</v>
      </c>
      <c r="H90" s="710">
        <f>G90</f>
        <v>5</v>
      </c>
      <c r="I90" s="657"/>
      <c r="J90" s="712">
        <f>H90/DAY(B2)</f>
        <v>0.45454545454545453</v>
      </c>
      <c r="K90" s="738"/>
      <c r="L90" s="739"/>
      <c r="N90" s="783"/>
      <c r="O90" s="382"/>
    </row>
    <row r="91" spans="1:16" s="379" customFormat="1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P91" s="382">
        <f t="shared" si="8"/>
        <v>0</v>
      </c>
    </row>
    <row r="92" spans="1:16" ht="27.75">
      <c r="A92" s="1411" t="s">
        <v>206</v>
      </c>
      <c r="B92" s="1412"/>
      <c r="C92" s="1413"/>
      <c r="D92" s="523" t="s">
        <v>144</v>
      </c>
      <c r="E92" s="484">
        <f>'10'!F92</f>
        <v>240680</v>
      </c>
      <c r="F92" s="478">
        <v>240759</v>
      </c>
      <c r="G92" s="473">
        <f t="shared" ref="G92:G93" si="11">F92-E92</f>
        <v>79</v>
      </c>
      <c r="H92" s="460">
        <f>G92+'10'!H92</f>
        <v>1064</v>
      </c>
      <c r="I92" s="480"/>
      <c r="J92" s="553">
        <f>H92/DAY(B2)</f>
        <v>96.727272727272734</v>
      </c>
      <c r="K92" s="429"/>
      <c r="L92" s="377"/>
      <c r="N92" s="723">
        <v>6</v>
      </c>
      <c r="P92" s="382">
        <f t="shared" si="8"/>
        <v>73</v>
      </c>
    </row>
    <row r="93" spans="1:16" ht="27.75">
      <c r="A93" s="1411" t="s">
        <v>207</v>
      </c>
      <c r="B93" s="1412"/>
      <c r="C93" s="1413"/>
      <c r="D93" s="523" t="s">
        <v>144</v>
      </c>
      <c r="E93" s="484">
        <f>'10'!F93</f>
        <v>176979</v>
      </c>
      <c r="F93" s="478">
        <v>177092</v>
      </c>
      <c r="G93" s="473">
        <f t="shared" si="11"/>
        <v>113</v>
      </c>
      <c r="H93" s="460">
        <f>G93+'10'!H93</f>
        <v>1431</v>
      </c>
      <c r="I93" s="480"/>
      <c r="J93" s="553">
        <f>H93/DAY(B2)</f>
        <v>130.09090909090909</v>
      </c>
      <c r="K93" s="380"/>
      <c r="L93" s="377"/>
      <c r="N93" s="723">
        <v>73</v>
      </c>
      <c r="P93" s="382">
        <f t="shared" si="8"/>
        <v>40</v>
      </c>
    </row>
    <row r="94" spans="1:16">
      <c r="A94" s="1405" t="s">
        <v>208</v>
      </c>
      <c r="B94" s="1406"/>
      <c r="C94" s="1407"/>
      <c r="D94" s="523"/>
      <c r="E94" s="484">
        <f>'10'!F94</f>
        <v>0</v>
      </c>
      <c r="F94" s="478"/>
      <c r="G94" s="473">
        <f>G92+G93</f>
        <v>192</v>
      </c>
      <c r="H94" s="460">
        <f>G94+'10'!H94</f>
        <v>2229</v>
      </c>
      <c r="I94" s="480"/>
      <c r="J94" s="553">
        <f>H94/DAY(B2)</f>
        <v>202.63636363636363</v>
      </c>
      <c r="K94" s="380"/>
      <c r="L94" s="377"/>
      <c r="N94" s="723">
        <v>79</v>
      </c>
      <c r="P94" s="382">
        <f t="shared" si="8"/>
        <v>113</v>
      </c>
    </row>
    <row r="95" spans="1:16" ht="27.75">
      <c r="A95" s="1411" t="s">
        <v>209</v>
      </c>
      <c r="B95" s="1412"/>
      <c r="C95" s="1413"/>
      <c r="D95" s="523" t="s">
        <v>144</v>
      </c>
      <c r="E95" s="484">
        <f>'10'!F95</f>
        <v>409044</v>
      </c>
      <c r="F95" s="478">
        <v>409123</v>
      </c>
      <c r="G95" s="473">
        <f t="shared" ref="G95:G100" si="12">F95-E95</f>
        <v>79</v>
      </c>
      <c r="H95" s="460">
        <f>G95+'10'!H95</f>
        <v>967</v>
      </c>
      <c r="I95" s="480"/>
      <c r="J95" s="553">
        <f>H95/DAY(B2)</f>
        <v>87.909090909090907</v>
      </c>
      <c r="K95" s="380"/>
      <c r="L95" s="377"/>
      <c r="N95" s="723">
        <v>28</v>
      </c>
      <c r="P95" s="382">
        <f t="shared" si="8"/>
        <v>51</v>
      </c>
    </row>
    <row r="96" spans="1:16" ht="27.75">
      <c r="A96" s="1148" t="s">
        <v>210</v>
      </c>
      <c r="B96" s="1149"/>
      <c r="C96" s="1149"/>
      <c r="D96" s="523" t="s">
        <v>144</v>
      </c>
      <c r="E96" s="484">
        <f>'10'!F96</f>
        <v>101490</v>
      </c>
      <c r="F96" s="478">
        <v>101500</v>
      </c>
      <c r="G96" s="473">
        <f t="shared" si="12"/>
        <v>10</v>
      </c>
      <c r="H96" s="460">
        <f>G96+'10'!H96</f>
        <v>168</v>
      </c>
      <c r="I96" s="480"/>
      <c r="J96" s="553">
        <f>H96/DAY(B2)</f>
        <v>15.272727272727273</v>
      </c>
      <c r="K96" s="427"/>
      <c r="L96" s="377"/>
      <c r="N96" s="723">
        <v>10</v>
      </c>
      <c r="P96" s="382">
        <f t="shared" si="8"/>
        <v>0</v>
      </c>
    </row>
    <row r="97" spans="1:16" ht="27.75">
      <c r="A97" s="1148" t="s">
        <v>211</v>
      </c>
      <c r="B97" s="1149"/>
      <c r="C97" s="1149"/>
      <c r="D97" s="523" t="s">
        <v>144</v>
      </c>
      <c r="E97" s="484">
        <f>'10'!F97</f>
        <v>96636</v>
      </c>
      <c r="F97" s="627">
        <v>96658</v>
      </c>
      <c r="G97" s="473">
        <f t="shared" si="12"/>
        <v>22</v>
      </c>
      <c r="H97" s="460">
        <f>G97+'10'!H97</f>
        <v>209</v>
      </c>
      <c r="I97" s="480"/>
      <c r="J97" s="553">
        <f>H97/DAY(B2)</f>
        <v>19</v>
      </c>
      <c r="K97" s="432"/>
      <c r="L97" s="377"/>
      <c r="N97" s="723">
        <v>10</v>
      </c>
      <c r="P97" s="382">
        <f t="shared" si="8"/>
        <v>12</v>
      </c>
    </row>
    <row r="98" spans="1:16" ht="27.75">
      <c r="A98" s="1148" t="s">
        <v>212</v>
      </c>
      <c r="B98" s="1149"/>
      <c r="C98" s="1149"/>
      <c r="D98" s="523" t="s">
        <v>144</v>
      </c>
      <c r="E98" s="484">
        <f>'10'!F98</f>
        <v>148160</v>
      </c>
      <c r="F98" s="478">
        <v>148232</v>
      </c>
      <c r="G98" s="473">
        <f t="shared" si="12"/>
        <v>72</v>
      </c>
      <c r="H98" s="460">
        <f>G98+'10'!H98</f>
        <v>624</v>
      </c>
      <c r="I98" s="480"/>
      <c r="J98" s="553">
        <f>H98/DAY(B2)</f>
        <v>56.727272727272727</v>
      </c>
      <c r="K98" s="380"/>
      <c r="L98" s="377"/>
      <c r="N98" s="725">
        <v>28</v>
      </c>
      <c r="P98" s="382">
        <f t="shared" si="8"/>
        <v>44</v>
      </c>
    </row>
    <row r="99" spans="1:16" ht="27.75">
      <c r="A99" s="1148" t="s">
        <v>213</v>
      </c>
      <c r="B99" s="1149"/>
      <c r="C99" s="1149"/>
      <c r="D99" s="523" t="s">
        <v>144</v>
      </c>
      <c r="E99" s="484">
        <f>'10'!F99</f>
        <v>6547</v>
      </c>
      <c r="F99" s="478">
        <v>6556</v>
      </c>
      <c r="G99" s="473">
        <f t="shared" si="12"/>
        <v>9</v>
      </c>
      <c r="H99" s="460">
        <f>G99+'10'!H99</f>
        <v>148</v>
      </c>
      <c r="I99" s="480"/>
      <c r="J99" s="553">
        <f>H99/DAY(B2)</f>
        <v>13.454545454545455</v>
      </c>
      <c r="K99" s="380"/>
      <c r="L99" s="377"/>
      <c r="N99" s="723">
        <v>5</v>
      </c>
      <c r="P99" s="382">
        <f t="shared" si="8"/>
        <v>4</v>
      </c>
    </row>
    <row r="100" spans="1:16" ht="27.75">
      <c r="A100" s="1148" t="s">
        <v>214</v>
      </c>
      <c r="B100" s="1149"/>
      <c r="C100" s="1149"/>
      <c r="D100" s="523" t="s">
        <v>144</v>
      </c>
      <c r="E100" s="484">
        <f>'10'!F100</f>
        <v>4646</v>
      </c>
      <c r="F100" s="627">
        <v>4661</v>
      </c>
      <c r="G100" s="473">
        <f t="shared" si="12"/>
        <v>15</v>
      </c>
      <c r="H100" s="460">
        <f>G100+'10'!H100</f>
        <v>118</v>
      </c>
      <c r="I100" s="480"/>
      <c r="J100" s="553">
        <f>H100/DAY(B2)</f>
        <v>10.727272727272727</v>
      </c>
      <c r="K100" s="380"/>
      <c r="L100" s="377"/>
      <c r="N100" s="723">
        <v>0</v>
      </c>
      <c r="P100" s="382">
        <f t="shared" si="8"/>
        <v>15</v>
      </c>
    </row>
    <row r="101" spans="1:16">
      <c r="A101" s="1405" t="s">
        <v>216</v>
      </c>
      <c r="B101" s="1406"/>
      <c r="C101" s="1407"/>
      <c r="D101" s="524"/>
      <c r="E101" s="484"/>
      <c r="F101" s="524"/>
      <c r="G101" s="525">
        <f>SUM(G95:G100)</f>
        <v>207</v>
      </c>
      <c r="H101" s="460">
        <f>G101+'10'!H101</f>
        <v>2234</v>
      </c>
      <c r="I101" s="526"/>
      <c r="J101" s="553">
        <f>H101/DAY(B2)</f>
        <v>203.09090909090909</v>
      </c>
      <c r="K101" s="380"/>
      <c r="L101" s="377"/>
      <c r="N101" s="723">
        <v>81</v>
      </c>
      <c r="P101" s="382">
        <f t="shared" si="8"/>
        <v>126</v>
      </c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P102" s="382">
        <f t="shared" si="8"/>
        <v>0</v>
      </c>
    </row>
    <row r="103" spans="1:16" s="442" customFormat="1" ht="27.75">
      <c r="A103" s="1414" t="s">
        <v>218</v>
      </c>
      <c r="B103" s="1415"/>
      <c r="C103" s="574"/>
      <c r="D103" s="623"/>
      <c r="E103" s="484"/>
      <c r="F103" s="663"/>
      <c r="G103" s="532"/>
      <c r="H103" s="533"/>
      <c r="I103" s="532"/>
      <c r="J103" s="559"/>
      <c r="N103" s="723"/>
      <c r="P103" s="382">
        <f t="shared" si="8"/>
        <v>0</v>
      </c>
    </row>
    <row r="104" spans="1:16" s="442" customFormat="1" ht="27.75">
      <c r="A104" s="1416" t="s">
        <v>219</v>
      </c>
      <c r="B104" s="1417"/>
      <c r="C104" s="1147"/>
      <c r="D104" s="623" t="s">
        <v>144</v>
      </c>
      <c r="E104" s="484">
        <f>'10'!F104</f>
        <v>7233</v>
      </c>
      <c r="F104" s="663">
        <v>7233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7.1954545454545533</v>
      </c>
      <c r="N104" s="723">
        <v>0</v>
      </c>
      <c r="P104" s="382">
        <f t="shared" si="8"/>
        <v>0</v>
      </c>
    </row>
    <row r="105" spans="1:16" s="442" customFormat="1" ht="27.75">
      <c r="A105" s="1416" t="s">
        <v>77</v>
      </c>
      <c r="B105" s="1417"/>
      <c r="C105" s="1147"/>
      <c r="D105" s="623" t="s">
        <v>144</v>
      </c>
      <c r="E105" s="484">
        <f>'10'!F105</f>
        <v>35488</v>
      </c>
      <c r="F105" s="664">
        <v>35494</v>
      </c>
      <c r="G105" s="532">
        <f t="shared" ref="G105:G106" si="13">F105-E105</f>
        <v>6</v>
      </c>
      <c r="H105" s="533">
        <f>SUM(G105+'1'!G77)</f>
        <v>51</v>
      </c>
      <c r="I105" s="532"/>
      <c r="J105" s="559">
        <f>H105/DAY(B2)</f>
        <v>4.6363636363636367</v>
      </c>
      <c r="N105" s="723">
        <v>0</v>
      </c>
      <c r="P105" s="382">
        <f t="shared" si="8"/>
        <v>6</v>
      </c>
    </row>
    <row r="106" spans="1:16" s="442" customFormat="1" ht="27.75">
      <c r="A106" s="1416" t="s">
        <v>78</v>
      </c>
      <c r="B106" s="1418"/>
      <c r="C106" s="1417"/>
      <c r="D106" s="623" t="s">
        <v>144</v>
      </c>
      <c r="E106" s="484">
        <f>'10'!F106</f>
        <v>19297</v>
      </c>
      <c r="F106" s="664">
        <v>19308</v>
      </c>
      <c r="G106" s="532">
        <f t="shared" si="13"/>
        <v>11</v>
      </c>
      <c r="H106" s="533">
        <f>SUM(G106+'1'!G78)</f>
        <v>401</v>
      </c>
      <c r="I106" s="532"/>
      <c r="J106" s="559">
        <f>H106/DAY(B2)</f>
        <v>36.454545454545453</v>
      </c>
      <c r="N106" s="723">
        <v>4</v>
      </c>
      <c r="P106" s="382">
        <f t="shared" si="8"/>
        <v>7</v>
      </c>
    </row>
    <row r="107" spans="1:16" s="442" customFormat="1" ht="27.75">
      <c r="A107" s="1419" t="s">
        <v>202</v>
      </c>
      <c r="B107" s="1420"/>
      <c r="C107" s="1147"/>
      <c r="D107" s="623"/>
      <c r="E107" s="484"/>
      <c r="F107" s="664"/>
      <c r="G107" s="532">
        <f>SUM(G104:G106)</f>
        <v>17</v>
      </c>
      <c r="H107" s="533">
        <f>SUM(G107+'1'!G79)</f>
        <v>209</v>
      </c>
      <c r="I107" s="532"/>
      <c r="J107" s="559">
        <f>H107/DAY(B2)</f>
        <v>19</v>
      </c>
      <c r="N107" s="723">
        <v>4</v>
      </c>
      <c r="P107" s="382">
        <f t="shared" si="8"/>
        <v>13</v>
      </c>
    </row>
    <row r="108" spans="1:16" s="442" customFormat="1" ht="27.75">
      <c r="A108" s="1421" t="s">
        <v>79</v>
      </c>
      <c r="B108" s="1422"/>
      <c r="C108" s="1147"/>
      <c r="D108" s="623" t="s">
        <v>144</v>
      </c>
      <c r="E108" s="484"/>
      <c r="F108" s="664"/>
      <c r="G108" s="532"/>
      <c r="H108" s="533"/>
      <c r="I108" s="532"/>
      <c r="J108" s="559"/>
      <c r="N108" s="723"/>
      <c r="P108" s="382">
        <f t="shared" si="8"/>
        <v>0</v>
      </c>
    </row>
    <row r="109" spans="1:16" s="442" customFormat="1" ht="27.75">
      <c r="A109" s="1416" t="s">
        <v>220</v>
      </c>
      <c r="B109" s="1417"/>
      <c r="C109" s="1147"/>
      <c r="D109" s="623" t="s">
        <v>144</v>
      </c>
      <c r="E109" s="484">
        <f>'10'!F109</f>
        <v>57144</v>
      </c>
      <c r="F109" s="789">
        <v>57226</v>
      </c>
      <c r="G109" s="532">
        <f>F109-E109</f>
        <v>82</v>
      </c>
      <c r="H109" s="533">
        <f>SUM(G109+'1'!G81)</f>
        <v>194.56000000005588</v>
      </c>
      <c r="I109" s="532"/>
      <c r="J109" s="559">
        <f>H109/DAY(B2)</f>
        <v>17.687272727277808</v>
      </c>
      <c r="N109" s="723">
        <v>40</v>
      </c>
      <c r="P109" s="382">
        <f t="shared" si="8"/>
        <v>42</v>
      </c>
    </row>
    <row r="110" spans="1:16" s="442" customFormat="1" ht="27.75">
      <c r="A110" s="1416" t="s">
        <v>221</v>
      </c>
      <c r="B110" s="1417"/>
      <c r="C110" s="1147"/>
      <c r="D110" s="623" t="s">
        <v>144</v>
      </c>
      <c r="E110" s="484">
        <f>'10'!F110</f>
        <v>31098</v>
      </c>
      <c r="F110" s="664">
        <v>31156</v>
      </c>
      <c r="G110" s="532">
        <f t="shared" ref="G110:G111" si="14">F110-E110</f>
        <v>58</v>
      </c>
      <c r="H110" s="533">
        <f>SUM(G110+'1'!G82)</f>
        <v>76.169999999998254</v>
      </c>
      <c r="I110" s="532"/>
      <c r="J110" s="559">
        <f>H110/DAY(B2)</f>
        <v>6.9245454545452958</v>
      </c>
      <c r="N110" s="723">
        <v>0</v>
      </c>
      <c r="P110" s="382">
        <f t="shared" si="8"/>
        <v>58</v>
      </c>
    </row>
    <row r="111" spans="1:16" s="442" customFormat="1" ht="27.75">
      <c r="A111" s="1416" t="s">
        <v>222</v>
      </c>
      <c r="B111" s="1417"/>
      <c r="C111" s="1147"/>
      <c r="D111" s="623" t="s">
        <v>144</v>
      </c>
      <c r="E111" s="484">
        <f>'10'!F111</f>
        <v>4047</v>
      </c>
      <c r="F111" s="664">
        <v>4047</v>
      </c>
      <c r="G111" s="532">
        <f t="shared" si="14"/>
        <v>0</v>
      </c>
      <c r="H111" s="533">
        <f>SUM(G111+'1'!G83)</f>
        <v>520</v>
      </c>
      <c r="I111" s="532"/>
      <c r="J111" s="559">
        <f>H111/DAY(B2)</f>
        <v>47.272727272727273</v>
      </c>
      <c r="N111" s="723">
        <v>0</v>
      </c>
      <c r="P111" s="382">
        <f t="shared" si="8"/>
        <v>0</v>
      </c>
    </row>
    <row r="112" spans="1:16" s="442" customFormat="1" ht="27.75">
      <c r="A112" s="1419" t="s">
        <v>110</v>
      </c>
      <c r="B112" s="1420"/>
      <c r="C112" s="1147"/>
      <c r="D112" s="623"/>
      <c r="E112" s="484"/>
      <c r="F112" s="664"/>
      <c r="G112" s="532">
        <f>SUM(G109:G111)</f>
        <v>140</v>
      </c>
      <c r="H112" s="533">
        <f>SUM(G112+'1'!G84)</f>
        <v>830</v>
      </c>
      <c r="I112" s="532"/>
      <c r="J112" s="559">
        <f>H112/DAY(B2)</f>
        <v>75.454545454545453</v>
      </c>
      <c r="N112" s="723">
        <v>40</v>
      </c>
      <c r="P112" s="382">
        <f t="shared" si="8"/>
        <v>100</v>
      </c>
    </row>
    <row r="113" spans="1:16" s="442" customFormat="1" ht="27.75">
      <c r="A113" s="1421" t="s">
        <v>223</v>
      </c>
      <c r="B113" s="1422"/>
      <c r="C113" s="1147"/>
      <c r="D113" s="623"/>
      <c r="E113" s="484"/>
      <c r="F113" s="664"/>
      <c r="G113" s="532"/>
      <c r="H113" s="533"/>
      <c r="I113" s="532"/>
      <c r="J113" s="559">
        <f>H113/DAY(B2)</f>
        <v>0</v>
      </c>
      <c r="N113" s="723"/>
      <c r="P113" s="382">
        <f t="shared" si="8"/>
        <v>0</v>
      </c>
    </row>
    <row r="114" spans="1:16" s="442" customFormat="1" ht="27.75">
      <c r="A114" s="1416" t="s">
        <v>224</v>
      </c>
      <c r="B114" s="1417"/>
      <c r="C114" s="575"/>
      <c r="D114" s="623" t="s">
        <v>144</v>
      </c>
      <c r="E114" s="484">
        <f>'10'!F114</f>
        <v>10488</v>
      </c>
      <c r="F114" s="664">
        <v>10502</v>
      </c>
      <c r="G114" s="534">
        <f>F114-E114</f>
        <v>14</v>
      </c>
      <c r="H114" s="533">
        <f>SUM(G114+'1'!G91)</f>
        <v>14</v>
      </c>
      <c r="I114" s="532"/>
      <c r="J114" s="559">
        <f>H114/DAY(B2)</f>
        <v>1.2727272727272727</v>
      </c>
      <c r="N114" s="723">
        <v>5</v>
      </c>
      <c r="P114" s="382">
        <f t="shared" si="8"/>
        <v>9</v>
      </c>
    </row>
    <row r="115" spans="1:16" s="442" customFormat="1" ht="27.75">
      <c r="A115" s="1416" t="s">
        <v>225</v>
      </c>
      <c r="B115" s="1417"/>
      <c r="C115" s="575"/>
      <c r="D115" s="623" t="s">
        <v>144</v>
      </c>
      <c r="E115" s="484">
        <f>'10'!F115</f>
        <v>7749</v>
      </c>
      <c r="F115" s="664">
        <v>7762</v>
      </c>
      <c r="G115" s="534">
        <f t="shared" ref="G115:G116" si="15">F115-E115</f>
        <v>13</v>
      </c>
      <c r="H115" s="533">
        <f>SUM(G115+'1'!G92)</f>
        <v>135</v>
      </c>
      <c r="I115" s="532"/>
      <c r="J115" s="559">
        <f>H115/DAY(B2)</f>
        <v>12.272727272727273</v>
      </c>
      <c r="N115" s="723">
        <v>2</v>
      </c>
      <c r="P115" s="382">
        <f t="shared" si="8"/>
        <v>11</v>
      </c>
    </row>
    <row r="116" spans="1:16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5"/>
        <v>0</v>
      </c>
      <c r="H116" s="533">
        <f>SUM(G116+'1'!G93)</f>
        <v>144</v>
      </c>
      <c r="I116" s="532"/>
      <c r="J116" s="559">
        <f>H116/DAY(B2)</f>
        <v>13.090909090909092</v>
      </c>
      <c r="N116" s="723">
        <v>0</v>
      </c>
      <c r="P116" s="382">
        <f t="shared" si="8"/>
        <v>0</v>
      </c>
    </row>
    <row r="117" spans="1:16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27</v>
      </c>
      <c r="H117" s="533">
        <f>SUM(G117+'1'!G95)</f>
        <v>103</v>
      </c>
      <c r="I117" s="534"/>
      <c r="J117" s="559">
        <f>H117/DAY(B2)</f>
        <v>9.3636363636363633</v>
      </c>
      <c r="N117" s="723">
        <v>7</v>
      </c>
      <c r="P117" s="382">
        <f t="shared" si="8"/>
        <v>20</v>
      </c>
    </row>
    <row r="118" spans="1:16" s="446" customFormat="1" ht="27.75">
      <c r="A118" s="1450" t="s">
        <v>227</v>
      </c>
      <c r="B118" s="1451"/>
      <c r="C118" s="1145"/>
      <c r="D118" s="625" t="s">
        <v>144</v>
      </c>
      <c r="E118" s="536"/>
      <c r="F118" s="665">
        <f>SUM(G19+G92)</f>
        <v>130</v>
      </c>
      <c r="G118" s="536">
        <f>SUM(G19+G92)</f>
        <v>130</v>
      </c>
      <c r="H118" s="533">
        <f>SUM(G118+'1'!G96)</f>
        <v>143</v>
      </c>
      <c r="I118" s="535"/>
      <c r="J118" s="560">
        <f>H118/DAY(B2)</f>
        <v>13</v>
      </c>
      <c r="N118" s="723">
        <v>61</v>
      </c>
      <c r="P118" s="382">
        <f t="shared" si="8"/>
        <v>69</v>
      </c>
    </row>
    <row r="119" spans="1:16" s="446" customFormat="1" ht="27.75">
      <c r="A119" s="1450" t="s">
        <v>228</v>
      </c>
      <c r="B119" s="1451"/>
      <c r="C119" s="1145"/>
      <c r="D119" s="625" t="s">
        <v>144</v>
      </c>
      <c r="E119" s="536"/>
      <c r="F119" s="665">
        <f>SUM(G95,G96,G97,G99,G100)</f>
        <v>135</v>
      </c>
      <c r="G119" s="536">
        <f>SUM(G95,G96,G97,G99,G100)</f>
        <v>135</v>
      </c>
      <c r="H119" s="533">
        <f>SUM(G119+'1'!G98)</f>
        <v>205</v>
      </c>
      <c r="I119" s="535"/>
      <c r="J119" s="560">
        <f>H119/DAY(B2)</f>
        <v>18.636363636363637</v>
      </c>
      <c r="N119" s="723">
        <v>53</v>
      </c>
      <c r="P119" s="382">
        <f t="shared" si="8"/>
        <v>82</v>
      </c>
    </row>
    <row r="120" spans="1:16" s="446" customFormat="1" ht="27.75">
      <c r="A120" s="1450" t="s">
        <v>229</v>
      </c>
      <c r="B120" s="1451"/>
      <c r="C120" s="1145"/>
      <c r="D120" s="625" t="s">
        <v>144</v>
      </c>
      <c r="E120" s="534"/>
      <c r="F120" s="664">
        <f>SUM(G112)</f>
        <v>140</v>
      </c>
      <c r="G120" s="534">
        <f>SUM(G112)</f>
        <v>140</v>
      </c>
      <c r="H120" s="533">
        <f>SUM(G120+'1'!G100)</f>
        <v>154</v>
      </c>
      <c r="I120" s="535"/>
      <c r="J120" s="560">
        <f>H120/DAY(B2)</f>
        <v>14</v>
      </c>
      <c r="N120" s="723">
        <v>40</v>
      </c>
      <c r="P120" s="382">
        <f t="shared" si="8"/>
        <v>100</v>
      </c>
    </row>
    <row r="121" spans="1:16" s="442" customFormat="1" ht="27.75">
      <c r="A121" s="1452"/>
      <c r="B121" s="1453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723"/>
      <c r="P121" s="382">
        <f t="shared" si="8"/>
        <v>0</v>
      </c>
    </row>
    <row r="122" spans="1:16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P122" s="382">
        <f t="shared" si="8"/>
        <v>0</v>
      </c>
    </row>
    <row r="123" spans="1:16" ht="27.75">
      <c r="A123" s="1148" t="s">
        <v>231</v>
      </c>
      <c r="B123" s="1149"/>
      <c r="C123" s="1149"/>
      <c r="D123" s="523" t="s">
        <v>141</v>
      </c>
      <c r="E123" s="478">
        <f>'10'!F123</f>
        <v>813567</v>
      </c>
      <c r="F123" s="478">
        <v>813800</v>
      </c>
      <c r="G123" s="473">
        <f t="shared" ref="G123:G127" si="16">F123-E123</f>
        <v>233</v>
      </c>
      <c r="H123" s="460">
        <f>G123+'10'!H123</f>
        <v>2793.1600000000326</v>
      </c>
      <c r="I123" s="526"/>
      <c r="J123" s="553">
        <f>H123/DAY(B2)</f>
        <v>253.92363636363933</v>
      </c>
      <c r="K123" s="380"/>
      <c r="L123" s="377"/>
      <c r="N123" s="723">
        <v>139.71999999997206</v>
      </c>
      <c r="P123" s="382">
        <f t="shared" si="8"/>
        <v>93.28000000002794</v>
      </c>
    </row>
    <row r="124" spans="1:16" ht="27.75">
      <c r="A124" s="1148" t="s">
        <v>232</v>
      </c>
      <c r="B124" s="1149"/>
      <c r="C124" s="1149"/>
      <c r="D124" s="523" t="s">
        <v>141</v>
      </c>
      <c r="E124" s="627">
        <f>'10'!F124</f>
        <v>73583</v>
      </c>
      <c r="F124" s="627">
        <v>73583</v>
      </c>
      <c r="G124" s="473">
        <f t="shared" si="16"/>
        <v>0</v>
      </c>
      <c r="H124" s="460">
        <f>G124+'10'!H124</f>
        <v>-0.39999999999417923</v>
      </c>
      <c r="I124" s="526"/>
      <c r="J124" s="553">
        <f>H124/DAY(B2)</f>
        <v>-3.6363636363107202E-2</v>
      </c>
      <c r="K124" s="380"/>
      <c r="L124" s="377"/>
      <c r="N124" s="723">
        <v>0</v>
      </c>
      <c r="P124" s="382">
        <f t="shared" si="8"/>
        <v>0</v>
      </c>
    </row>
    <row r="125" spans="1:16" ht="27.75">
      <c r="A125" s="1408" t="s">
        <v>233</v>
      </c>
      <c r="B125" s="1409"/>
      <c r="C125" s="1410"/>
      <c r="D125" s="523" t="s">
        <v>141</v>
      </c>
      <c r="E125" s="478">
        <f>'10'!F125</f>
        <v>140646</v>
      </c>
      <c r="F125" s="478">
        <v>140714</v>
      </c>
      <c r="G125" s="473">
        <f t="shared" si="16"/>
        <v>68</v>
      </c>
      <c r="H125" s="460">
        <f>G125+'10'!H125</f>
        <v>734.66000000000349</v>
      </c>
      <c r="I125" s="526"/>
      <c r="J125" s="553">
        <f>H125/DAY(B2)</f>
        <v>66.787272727273049</v>
      </c>
      <c r="K125" s="380"/>
      <c r="L125" s="377"/>
      <c r="N125" s="723">
        <v>53.380000000004657</v>
      </c>
      <c r="P125" s="382">
        <f t="shared" si="8"/>
        <v>14.619999999995343</v>
      </c>
    </row>
    <row r="126" spans="1:16" ht="27.75">
      <c r="A126" s="610" t="s">
        <v>234</v>
      </c>
      <c r="B126" s="1149"/>
      <c r="C126" s="1149"/>
      <c r="D126" s="523" t="s">
        <v>141</v>
      </c>
      <c r="E126" s="627">
        <f>'10'!F126</f>
        <v>59650</v>
      </c>
      <c r="F126" s="627">
        <v>59667</v>
      </c>
      <c r="G126" s="473">
        <f t="shared" si="16"/>
        <v>17</v>
      </c>
      <c r="H126" s="460">
        <f>G126+'10'!H126</f>
        <v>360.09999999999854</v>
      </c>
      <c r="I126" s="526"/>
      <c r="J126" s="553">
        <f>H126/DAY(B2)</f>
        <v>32.736363636363507</v>
      </c>
      <c r="K126" s="380"/>
      <c r="L126" s="377"/>
      <c r="N126" s="723">
        <v>0</v>
      </c>
      <c r="P126" s="382">
        <f t="shared" si="8"/>
        <v>17</v>
      </c>
    </row>
    <row r="127" spans="1:16" ht="27.75">
      <c r="A127" s="610" t="s">
        <v>235</v>
      </c>
      <c r="B127" s="1149"/>
      <c r="C127" s="1149"/>
      <c r="D127" s="523" t="s">
        <v>141</v>
      </c>
      <c r="E127" s="627">
        <f>'10'!F127</f>
        <v>8911</v>
      </c>
      <c r="F127" s="627">
        <v>8914</v>
      </c>
      <c r="G127" s="473">
        <f t="shared" si="16"/>
        <v>3</v>
      </c>
      <c r="H127" s="460">
        <f>G127+'10'!H127</f>
        <v>26.200000000000728</v>
      </c>
      <c r="I127" s="480"/>
      <c r="J127" s="553">
        <f>H127/DAY(B2)</f>
        <v>2.381818181818248</v>
      </c>
      <c r="K127" s="380"/>
      <c r="L127" s="377"/>
      <c r="N127" s="723">
        <v>0</v>
      </c>
      <c r="P127" s="382">
        <f t="shared" si="8"/>
        <v>3</v>
      </c>
    </row>
    <row r="128" spans="1:16" s="281" customFormat="1" ht="27.7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531</v>
      </c>
      <c r="H128" s="460"/>
      <c r="I128" s="480"/>
      <c r="J128" s="553"/>
      <c r="K128" s="364"/>
      <c r="L128" s="292"/>
      <c r="N128" s="723">
        <v>146.14300000004005</v>
      </c>
      <c r="P128" s="382">
        <f t="shared" si="8"/>
        <v>384.85699999995995</v>
      </c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P129" s="382">
        <f t="shared" si="8"/>
        <v>0</v>
      </c>
    </row>
    <row r="130" spans="1:16" ht="27.75">
      <c r="A130" s="1148" t="s">
        <v>238</v>
      </c>
      <c r="B130" s="1149"/>
      <c r="C130" s="1149"/>
      <c r="D130" s="523" t="s">
        <v>239</v>
      </c>
      <c r="E130" s="484">
        <f>'10'!F130</f>
        <v>0</v>
      </c>
      <c r="F130" s="478">
        <v>0</v>
      </c>
      <c r="G130" s="473">
        <f t="shared" ref="G130:G140" si="17">F130-E130</f>
        <v>0</v>
      </c>
      <c r="H130" s="460">
        <f>G130+'10'!H130</f>
        <v>0</v>
      </c>
      <c r="I130" s="480"/>
      <c r="J130" s="553">
        <f>H130/DAY(B2)</f>
        <v>0</v>
      </c>
      <c r="N130" s="723">
        <v>0</v>
      </c>
      <c r="P130" s="382">
        <f t="shared" si="8"/>
        <v>0</v>
      </c>
    </row>
    <row r="131" spans="1:16" ht="27.75">
      <c r="A131" s="1148" t="s">
        <v>240</v>
      </c>
      <c r="B131" s="1149"/>
      <c r="C131" s="1149"/>
      <c r="D131" s="523" t="s">
        <v>239</v>
      </c>
      <c r="E131" s="484">
        <f>'10'!F131</f>
        <v>0</v>
      </c>
      <c r="F131" s="478">
        <v>0</v>
      </c>
      <c r="G131" s="473">
        <f t="shared" si="17"/>
        <v>0</v>
      </c>
      <c r="H131" s="460">
        <f>G131+'10'!H131</f>
        <v>0</v>
      </c>
      <c r="I131" s="480"/>
      <c r="J131" s="553">
        <f>H131/DAY(B2)</f>
        <v>0</v>
      </c>
      <c r="N131" s="723">
        <v>0</v>
      </c>
      <c r="P131" s="382">
        <f t="shared" si="8"/>
        <v>0</v>
      </c>
    </row>
    <row r="132" spans="1:16" ht="27.75">
      <c r="A132" s="1148" t="s">
        <v>241</v>
      </c>
      <c r="B132" s="1149"/>
      <c r="C132" s="1149"/>
      <c r="D132" s="523" t="s">
        <v>239</v>
      </c>
      <c r="E132" s="484">
        <f>'10'!F132</f>
        <v>39219.35</v>
      </c>
      <c r="F132" s="656">
        <v>39219.35</v>
      </c>
      <c r="G132" s="473">
        <f t="shared" si="17"/>
        <v>0</v>
      </c>
      <c r="H132" s="460">
        <f>G132+'10'!H132</f>
        <v>390.34999999999854</v>
      </c>
      <c r="I132" s="480"/>
      <c r="J132" s="553">
        <f>H132/DAY(B2)</f>
        <v>35.486363636363507</v>
      </c>
      <c r="N132" s="723">
        <v>22</v>
      </c>
      <c r="P132" s="382">
        <f t="shared" si="8"/>
        <v>-22</v>
      </c>
    </row>
    <row r="133" spans="1:16" ht="27.75">
      <c r="A133" s="1148" t="s">
        <v>242</v>
      </c>
      <c r="B133" s="1149"/>
      <c r="C133" s="1149"/>
      <c r="D133" s="523" t="s">
        <v>239</v>
      </c>
      <c r="E133" s="484">
        <f>'10'!F133</f>
        <v>299</v>
      </c>
      <c r="F133" s="627">
        <v>299</v>
      </c>
      <c r="G133" s="473">
        <f t="shared" si="17"/>
        <v>0</v>
      </c>
      <c r="H133" s="460">
        <f>G133+'10'!H133</f>
        <v>-1</v>
      </c>
      <c r="I133" s="480">
        <f>G130+G131+G132+G133</f>
        <v>0</v>
      </c>
      <c r="J133" s="553">
        <f>H133/DAY(B2)</f>
        <v>-9.0909090909090912E-2</v>
      </c>
      <c r="N133" s="723">
        <v>9.0000000000145519E-2</v>
      </c>
      <c r="P133" s="382">
        <f t="shared" si="8"/>
        <v>-9.0000000000145519E-2</v>
      </c>
    </row>
    <row r="134" spans="1:16" ht="27.75">
      <c r="A134" s="1148" t="s">
        <v>243</v>
      </c>
      <c r="B134" s="1149"/>
      <c r="C134" s="1149"/>
      <c r="D134" s="523" t="s">
        <v>239</v>
      </c>
      <c r="E134" s="484">
        <f>'10'!F134</f>
        <v>40602.43</v>
      </c>
      <c r="F134" s="627">
        <v>40626.51</v>
      </c>
      <c r="G134" s="473">
        <f t="shared" si="17"/>
        <v>24.080000000001746</v>
      </c>
      <c r="H134" s="460">
        <f>G134+'10'!H134</f>
        <v>259.37000000000262</v>
      </c>
      <c r="I134" s="480"/>
      <c r="J134" s="553">
        <f>H134/DAY(B2)</f>
        <v>23.579090909091146</v>
      </c>
      <c r="N134" s="723">
        <v>1</v>
      </c>
      <c r="P134" s="382">
        <f t="shared" si="8"/>
        <v>23.080000000001746</v>
      </c>
    </row>
    <row r="135" spans="1:16" ht="27.75">
      <c r="A135" s="1148" t="s">
        <v>244</v>
      </c>
      <c r="B135" s="1149"/>
      <c r="C135" s="1149"/>
      <c r="D135" s="523" t="s">
        <v>239</v>
      </c>
      <c r="E135" s="484">
        <f>'10'!F135</f>
        <v>32582.560000000001</v>
      </c>
      <c r="F135" s="627">
        <v>32582.560000000001</v>
      </c>
      <c r="G135" s="473">
        <f t="shared" si="17"/>
        <v>0</v>
      </c>
      <c r="H135" s="460">
        <f>G135+'10'!H135</f>
        <v>11.56000000000131</v>
      </c>
      <c r="I135" s="480"/>
      <c r="J135" s="553">
        <f>H135/DAY(B2)</f>
        <v>1.05090909090921</v>
      </c>
      <c r="N135" s="723">
        <v>0</v>
      </c>
      <c r="P135" s="382">
        <f t="shared" si="8"/>
        <v>0</v>
      </c>
    </row>
    <row r="136" spans="1:16" ht="27.75">
      <c r="A136" s="1148" t="s">
        <v>245</v>
      </c>
      <c r="B136" s="1149"/>
      <c r="C136" s="1149"/>
      <c r="D136" s="523" t="s">
        <v>239</v>
      </c>
      <c r="E136" s="484">
        <f>'10'!F136</f>
        <v>22310</v>
      </c>
      <c r="F136" s="656">
        <v>22318</v>
      </c>
      <c r="G136" s="473">
        <f t="shared" si="17"/>
        <v>8</v>
      </c>
      <c r="H136" s="460">
        <f>G136+'10'!H136</f>
        <v>95.790000000000873</v>
      </c>
      <c r="I136" s="480">
        <f>G134+G135+G136</f>
        <v>32.080000000001746</v>
      </c>
      <c r="J136" s="553">
        <f>H136/DAY(B2)</f>
        <v>8.7081818181818971</v>
      </c>
      <c r="N136" s="723">
        <v>0</v>
      </c>
      <c r="P136" s="382">
        <f t="shared" si="8"/>
        <v>8</v>
      </c>
    </row>
    <row r="137" spans="1:16" ht="27.75">
      <c r="A137" s="1148" t="s">
        <v>246</v>
      </c>
      <c r="B137" s="1149"/>
      <c r="C137" s="1149"/>
      <c r="D137" s="523" t="s">
        <v>239</v>
      </c>
      <c r="E137" s="484">
        <f>'10'!F137</f>
        <v>25044</v>
      </c>
      <c r="F137" s="656">
        <v>25044.31</v>
      </c>
      <c r="G137" s="473">
        <f t="shared" si="17"/>
        <v>0.31000000000130967</v>
      </c>
      <c r="H137" s="460">
        <f>G137+'10'!H137</f>
        <v>0</v>
      </c>
      <c r="I137" s="480"/>
      <c r="J137" s="553">
        <f>H137/DAY(B2)</f>
        <v>0</v>
      </c>
      <c r="N137" s="723">
        <v>0</v>
      </c>
      <c r="P137" s="382">
        <f t="shared" si="8"/>
        <v>0.31000000000130967</v>
      </c>
    </row>
    <row r="138" spans="1:16" ht="27.75">
      <c r="A138" s="1148" t="s">
        <v>247</v>
      </c>
      <c r="B138" s="1149"/>
      <c r="C138" s="1149"/>
      <c r="D138" s="523" t="s">
        <v>239</v>
      </c>
      <c r="E138" s="484">
        <f>'10'!F138</f>
        <v>70190</v>
      </c>
      <c r="F138" s="656">
        <v>70196</v>
      </c>
      <c r="G138" s="473">
        <f t="shared" si="17"/>
        <v>6</v>
      </c>
      <c r="H138" s="460">
        <f>G138+'10'!H138</f>
        <v>48.660000000003492</v>
      </c>
      <c r="I138" s="480">
        <f>G137+G138</f>
        <v>6.3100000000013097</v>
      </c>
      <c r="J138" s="553">
        <f>H138/DAY(B2)</f>
        <v>4.4236363636366809</v>
      </c>
      <c r="N138" s="723">
        <v>7.75</v>
      </c>
      <c r="P138" s="382">
        <f t="shared" si="8"/>
        <v>-1.75</v>
      </c>
    </row>
    <row r="139" spans="1:16" ht="27.75">
      <c r="A139" s="1148" t="s">
        <v>248</v>
      </c>
      <c r="B139" s="1149"/>
      <c r="C139" s="1149"/>
      <c r="D139" s="523" t="s">
        <v>239</v>
      </c>
      <c r="E139" s="484">
        <f>'10'!F139</f>
        <v>1497</v>
      </c>
      <c r="F139" s="627">
        <v>1504</v>
      </c>
      <c r="G139" s="473">
        <f t="shared" si="17"/>
        <v>7</v>
      </c>
      <c r="H139" s="460">
        <f>G139+'10'!H139</f>
        <v>80.8599999999999</v>
      </c>
      <c r="I139" s="543"/>
      <c r="J139" s="553">
        <f>H139/DAY(B2)</f>
        <v>7.3509090909090817</v>
      </c>
      <c r="N139" s="723">
        <v>0</v>
      </c>
      <c r="P139" s="382">
        <f t="shared" si="8"/>
        <v>7</v>
      </c>
    </row>
    <row r="140" spans="1:16" ht="27.75">
      <c r="A140" s="1148" t="s">
        <v>249</v>
      </c>
      <c r="B140" s="1149"/>
      <c r="C140" s="1149"/>
      <c r="D140" s="523" t="s">
        <v>239</v>
      </c>
      <c r="E140" s="484">
        <f>'10'!F140</f>
        <v>4334</v>
      </c>
      <c r="F140" s="478">
        <v>4334</v>
      </c>
      <c r="G140" s="473">
        <f t="shared" si="17"/>
        <v>0</v>
      </c>
      <c r="H140" s="460">
        <f>G140+'10'!H140</f>
        <v>0</v>
      </c>
      <c r="I140" s="543"/>
      <c r="J140" s="553">
        <f>H140/DAY(B2)</f>
        <v>0</v>
      </c>
      <c r="N140" s="723">
        <v>4.6199999999998909</v>
      </c>
      <c r="P140" s="382">
        <f t="shared" si="8"/>
        <v>-4.6199999999998909</v>
      </c>
    </row>
    <row r="141" spans="1:16">
      <c r="A141" s="1446" t="s">
        <v>250</v>
      </c>
      <c r="B141" s="1447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P141" s="382">
        <f t="shared" ref="P141:P153" si="18">G141-N141</f>
        <v>0</v>
      </c>
    </row>
    <row r="142" spans="1:16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6244</v>
      </c>
      <c r="H142" s="460">
        <f>G142+'10'!H142</f>
        <v>64528.120000000068</v>
      </c>
      <c r="I142" s="480"/>
      <c r="J142" s="553">
        <f>H142/DAY(B2)</f>
        <v>5866.1927272727335</v>
      </c>
      <c r="K142" s="380"/>
      <c r="L142" s="377"/>
      <c r="N142" s="723">
        <v>3021.2200000000303</v>
      </c>
      <c r="O142" s="376">
        <f>24-9</f>
        <v>15</v>
      </c>
      <c r="P142" s="382">
        <f t="shared" si="18"/>
        <v>3222.7799999999697</v>
      </c>
    </row>
    <row r="143" spans="1:16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0.29292550197035089</v>
      </c>
      <c r="H143" s="460">
        <f>G143+'10'!H143</f>
        <v>2.8228536585563702</v>
      </c>
      <c r="I143" s="545"/>
      <c r="J143" s="553">
        <f>H143/DAY(B2)</f>
        <v>0.25662305986876094</v>
      </c>
      <c r="K143" s="380"/>
      <c r="L143" s="377"/>
      <c r="N143" s="723">
        <v>0.25350058734687281</v>
      </c>
      <c r="P143" s="382">
        <f t="shared" si="18"/>
        <v>3.942491462347808E-2</v>
      </c>
    </row>
    <row r="144" spans="1:16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5075</v>
      </c>
      <c r="H144" s="460">
        <f>G144+'10'!H144</f>
        <v>57860.059999999969</v>
      </c>
      <c r="I144" s="480"/>
      <c r="J144" s="553">
        <f>H144/DAY(B2)</f>
        <v>5260.0054545454514</v>
      </c>
      <c r="K144" s="380"/>
      <c r="L144" s="377"/>
      <c r="N144" s="723">
        <v>3327.2700000000186</v>
      </c>
      <c r="P144" s="382">
        <f t="shared" si="18"/>
        <v>1747.7299999999814</v>
      </c>
    </row>
    <row r="145" spans="1:16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0.23808406830549822</v>
      </c>
      <c r="H145" s="460">
        <f>G145+'10'!H145</f>
        <v>2.6911231565812814</v>
      </c>
      <c r="I145" s="545"/>
      <c r="J145" s="553">
        <f>H145/DAY(B2)</f>
        <v>0.2446475596892074</v>
      </c>
      <c r="K145" s="380"/>
      <c r="L145" s="377"/>
      <c r="N145" s="723">
        <v>0.27918023158248184</v>
      </c>
      <c r="P145" s="382">
        <f t="shared" si="18"/>
        <v>-4.1096163276983622E-2</v>
      </c>
    </row>
    <row r="146" spans="1:16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4105</v>
      </c>
      <c r="H146" s="460">
        <f>G146+'10'!H146</f>
        <v>146772.38</v>
      </c>
      <c r="I146" s="546"/>
      <c r="J146" s="553">
        <f>H146/DAY(B2)</f>
        <v>13342.943636363636</v>
      </c>
      <c r="K146" s="380"/>
      <c r="L146" s="377"/>
      <c r="N146" s="723">
        <v>2165.6141000000007</v>
      </c>
      <c r="P146" s="382">
        <f t="shared" si="18"/>
        <v>1939.3858999999993</v>
      </c>
    </row>
    <row r="147" spans="1:16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0.19257834490523551</v>
      </c>
      <c r="H147" s="460">
        <f>G147+'10'!H147</f>
        <v>7.0861405046713655</v>
      </c>
      <c r="I147" s="546"/>
      <c r="J147" s="553">
        <f>H147/DAY(B2)</f>
        <v>0.64419459133376045</v>
      </c>
      <c r="N147" s="723">
        <v>0.18170952340996818</v>
      </c>
      <c r="P147" s="382">
        <f t="shared" si="18"/>
        <v>1.0868821495267328E-2</v>
      </c>
    </row>
    <row r="148" spans="1:16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2085</v>
      </c>
      <c r="H148" s="460">
        <f>G148+'10'!H148</f>
        <v>23100.799999999981</v>
      </c>
      <c r="I148" s="480"/>
      <c r="J148" s="553">
        <f>H148/DAY(B2)</f>
        <v>2100.0727272727254</v>
      </c>
      <c r="K148" s="381"/>
      <c r="N148" s="723">
        <v>1007.5800000000163</v>
      </c>
      <c r="P148" s="382">
        <f t="shared" si="18"/>
        <v>1077.4199999999837</v>
      </c>
    </row>
    <row r="149" spans="1:16" ht="27.75">
      <c r="A149" s="1411" t="s">
        <v>258</v>
      </c>
      <c r="B149" s="1412"/>
      <c r="C149" s="1413"/>
      <c r="D149" s="523" t="s">
        <v>24</v>
      </c>
      <c r="E149" s="455"/>
      <c r="F149" s="455" t="s">
        <v>215</v>
      </c>
      <c r="G149" s="544">
        <f>G148/G7</f>
        <v>9.7813848752111091E-2</v>
      </c>
      <c r="H149" s="460">
        <f>G149+'10'!H149</f>
        <v>1.0767606729520747</v>
      </c>
      <c r="I149" s="546"/>
      <c r="J149" s="553">
        <f>H149/DAY(B2)</f>
        <v>9.7887333904734058E-2</v>
      </c>
      <c r="N149" s="723">
        <v>8.4542708508140316E-2</v>
      </c>
      <c r="P149" s="382">
        <f t="shared" si="18"/>
        <v>1.3271140243970775E-2</v>
      </c>
    </row>
    <row r="150" spans="1:16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1733</v>
      </c>
      <c r="H150" s="460">
        <f>G150+'10'!H150</f>
        <v>20642.399999999965</v>
      </c>
      <c r="I150" s="546"/>
      <c r="J150" s="553">
        <f>H150/DAY(B2)</f>
        <v>1876.5818181818149</v>
      </c>
      <c r="N150" s="723">
        <v>1095.0299999999988</v>
      </c>
      <c r="P150" s="382">
        <f t="shared" si="18"/>
        <v>637.97000000000116</v>
      </c>
    </row>
    <row r="151" spans="1:16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8.1300431600675543E-2</v>
      </c>
      <c r="H151" s="460">
        <f>G151+'10'!H151</f>
        <v>0.95892359109221759</v>
      </c>
      <c r="I151" s="480"/>
      <c r="J151" s="553">
        <f>H151/DAY(B2)</f>
        <v>8.717487191747432E-2</v>
      </c>
      <c r="N151" s="723">
        <v>9.1880349051854243E-2</v>
      </c>
      <c r="P151" s="382">
        <f t="shared" si="18"/>
        <v>-1.05799174511787E-2</v>
      </c>
    </row>
    <row r="152" spans="1:16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1551</v>
      </c>
      <c r="H152" s="460">
        <f>G152+'10'!H152</f>
        <v>51616.160000000003</v>
      </c>
      <c r="I152" s="480"/>
      <c r="J152" s="553"/>
      <c r="N152" s="723">
        <v>1155.7000000000116</v>
      </c>
      <c r="P152" s="382">
        <f t="shared" si="18"/>
        <v>395.29999999998836</v>
      </c>
    </row>
    <row r="153" spans="1:16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7.2762244323512859E-2</v>
      </c>
      <c r="H153" s="460">
        <f>G153+'10'!H153</f>
        <v>2.4922922624388191</v>
      </c>
      <c r="I153" s="569"/>
      <c r="J153" s="570">
        <f>H153/DAY(B2)</f>
        <v>0.22657202385807446</v>
      </c>
      <c r="N153" s="723">
        <v>9.6970968283269982E-2</v>
      </c>
      <c r="P153" s="382">
        <f t="shared" si="18"/>
        <v>-2.4208723959757122E-2</v>
      </c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790" t="s">
        <v>263</v>
      </c>
      <c r="B160" s="791"/>
      <c r="C160" s="791"/>
      <c r="D160" s="511" t="s">
        <v>187</v>
      </c>
      <c r="E160" s="485">
        <f>'10'!F160</f>
        <v>31650</v>
      </c>
      <c r="F160" s="789">
        <v>31736</v>
      </c>
      <c r="G160" s="473">
        <f t="shared" ref="G160:G163" si="19">F160-E160</f>
        <v>86</v>
      </c>
      <c r="N160" s="723"/>
    </row>
    <row r="161" spans="1:14">
      <c r="A161" s="790" t="s">
        <v>264</v>
      </c>
      <c r="B161" s="791"/>
      <c r="C161" s="791"/>
      <c r="D161" s="511" t="s">
        <v>187</v>
      </c>
      <c r="E161" s="485">
        <f>'10'!F161</f>
        <v>59649</v>
      </c>
      <c r="F161" s="663">
        <v>60111</v>
      </c>
      <c r="G161" s="473">
        <f t="shared" si="19"/>
        <v>462</v>
      </c>
      <c r="N161" s="723"/>
    </row>
    <row r="162" spans="1:14">
      <c r="A162" s="790" t="s">
        <v>265</v>
      </c>
      <c r="B162" s="791"/>
      <c r="C162" s="791"/>
      <c r="D162" s="511" t="s">
        <v>187</v>
      </c>
      <c r="E162" s="485">
        <f>'10'!F162</f>
        <v>23381</v>
      </c>
      <c r="F162" s="663">
        <v>23660</v>
      </c>
      <c r="G162" s="473">
        <f t="shared" si="19"/>
        <v>279</v>
      </c>
      <c r="N162" s="723"/>
    </row>
    <row r="163" spans="1:14">
      <c r="A163" s="790" t="s">
        <v>266</v>
      </c>
      <c r="B163" s="791"/>
      <c r="C163" s="791"/>
      <c r="D163" s="511" t="s">
        <v>187</v>
      </c>
      <c r="E163" s="485">
        <f>'10'!F163</f>
        <v>5545</v>
      </c>
      <c r="F163" s="663">
        <v>5555.55</v>
      </c>
      <c r="G163" s="473">
        <f t="shared" si="19"/>
        <v>10.550000000000182</v>
      </c>
      <c r="N163" s="723"/>
    </row>
    <row r="164" spans="1:14" ht="37.5" customHeight="1">
      <c r="A164" s="792" t="s">
        <v>98</v>
      </c>
      <c r="B164" s="605"/>
      <c r="C164" s="605"/>
      <c r="D164" s="511" t="s">
        <v>187</v>
      </c>
      <c r="E164" s="485">
        <f>'12'!F164</f>
        <v>20419</v>
      </c>
      <c r="F164" s="514">
        <f>F62</f>
        <v>20419</v>
      </c>
      <c r="G164" s="473">
        <f t="shared" ref="G164:G171" si="20">F164-E164</f>
        <v>0</v>
      </c>
      <c r="N164" s="723"/>
    </row>
    <row r="165" spans="1:14">
      <c r="A165" s="792" t="s">
        <v>188</v>
      </c>
      <c r="B165" s="605"/>
      <c r="C165" s="605"/>
      <c r="D165" s="511" t="s">
        <v>187</v>
      </c>
      <c r="E165" s="746">
        <f>E63</f>
        <v>1839</v>
      </c>
      <c r="F165" s="514">
        <f>F63</f>
        <v>1853</v>
      </c>
      <c r="G165" s="473">
        <f t="shared" si="20"/>
        <v>14</v>
      </c>
      <c r="N165" s="723"/>
    </row>
    <row r="166" spans="1:14" ht="35.25" customHeight="1">
      <c r="A166" s="1460" t="s">
        <v>99</v>
      </c>
      <c r="B166" s="1460"/>
      <c r="C166" s="1460"/>
      <c r="D166" s="523" t="s">
        <v>187</v>
      </c>
      <c r="E166" s="746">
        <f t="shared" ref="E166:E171" si="21">E64</f>
        <v>128841</v>
      </c>
      <c r="F166" s="514">
        <f t="shared" ref="F166:F171" si="22">F64</f>
        <v>129348</v>
      </c>
      <c r="G166" s="473">
        <f t="shared" si="20"/>
        <v>507</v>
      </c>
      <c r="N166" s="723"/>
    </row>
    <row r="167" spans="1:14" ht="33" customHeight="1">
      <c r="A167" s="1460" t="s">
        <v>100</v>
      </c>
      <c r="B167" s="1460"/>
      <c r="C167" s="1460"/>
      <c r="D167" s="523" t="s">
        <v>187</v>
      </c>
      <c r="E167" s="746">
        <f t="shared" si="21"/>
        <v>136358</v>
      </c>
      <c r="F167" s="514">
        <f t="shared" si="22"/>
        <v>136712</v>
      </c>
      <c r="G167" s="473">
        <f t="shared" si="20"/>
        <v>354</v>
      </c>
      <c r="N167" s="723"/>
    </row>
    <row r="168" spans="1:14" ht="40.5" customHeight="1">
      <c r="A168" s="1460" t="s">
        <v>101</v>
      </c>
      <c r="B168" s="1460"/>
      <c r="C168" s="1460"/>
      <c r="D168" s="523" t="s">
        <v>187</v>
      </c>
      <c r="E168" s="746">
        <f t="shared" si="21"/>
        <v>29078</v>
      </c>
      <c r="F168" s="514">
        <f t="shared" si="22"/>
        <v>29424</v>
      </c>
      <c r="G168" s="473">
        <f t="shared" si="20"/>
        <v>346</v>
      </c>
      <c r="N168" s="723"/>
    </row>
    <row r="169" spans="1:14" ht="30.75" customHeight="1">
      <c r="A169" s="1460" t="s">
        <v>102</v>
      </c>
      <c r="B169" s="1460"/>
      <c r="C169" s="1460"/>
      <c r="D169" s="523" t="s">
        <v>187</v>
      </c>
      <c r="E169" s="746">
        <f t="shared" si="21"/>
        <v>214635</v>
      </c>
      <c r="F169" s="514">
        <f t="shared" si="22"/>
        <v>215299</v>
      </c>
      <c r="G169" s="473">
        <f t="shared" si="20"/>
        <v>664</v>
      </c>
      <c r="N169" s="723"/>
    </row>
    <row r="170" spans="1:14" ht="30.75" customHeight="1">
      <c r="A170" s="1460" t="s">
        <v>103</v>
      </c>
      <c r="B170" s="1460"/>
      <c r="C170" s="1460"/>
      <c r="D170" s="523" t="s">
        <v>187</v>
      </c>
      <c r="E170" s="746">
        <f t="shared" si="21"/>
        <v>76079</v>
      </c>
      <c r="F170" s="514">
        <f t="shared" si="22"/>
        <v>76381</v>
      </c>
      <c r="G170" s="473">
        <f t="shared" si="20"/>
        <v>302</v>
      </c>
      <c r="N170" s="723"/>
    </row>
    <row r="171" spans="1:14" ht="28.5" customHeight="1">
      <c r="A171" s="1460" t="s">
        <v>104</v>
      </c>
      <c r="B171" s="1460"/>
      <c r="C171" s="1460"/>
      <c r="D171" s="523" t="s">
        <v>187</v>
      </c>
      <c r="E171" s="746">
        <f t="shared" si="21"/>
        <v>67712</v>
      </c>
      <c r="F171" s="514">
        <f t="shared" si="22"/>
        <v>68042</v>
      </c>
      <c r="G171" s="473">
        <f t="shared" si="20"/>
        <v>330</v>
      </c>
      <c r="N171" s="723"/>
    </row>
    <row r="172" spans="1:14">
      <c r="G172" s="540">
        <f>SUM(G160:G171)</f>
        <v>3354.55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44.25" customHeight="1">
      <c r="N177" s="723"/>
    </row>
    <row r="178" spans="14:14" ht="21.75" customHeight="1">
      <c r="N178" s="723"/>
    </row>
    <row r="179" spans="14:14" ht="21.75" customHeight="1">
      <c r="N179" s="723">
        <v>0</v>
      </c>
    </row>
    <row r="180" spans="14:14" ht="21.75" customHeight="1">
      <c r="N180" s="723">
        <v>0</v>
      </c>
    </row>
    <row r="181" spans="14:14" ht="21.75" customHeight="1">
      <c r="N181" s="723">
        <v>11</v>
      </c>
    </row>
    <row r="182" spans="14:14" ht="21.75" customHeight="1">
      <c r="N182" s="723">
        <v>11</v>
      </c>
    </row>
    <row r="183" spans="14:14" ht="21.75" customHeight="1">
      <c r="N183" s="723"/>
    </row>
    <row r="184" spans="14:14" ht="21.75" customHeight="1">
      <c r="N184" s="723">
        <v>51</v>
      </c>
    </row>
    <row r="185" spans="14:14" ht="21.75" customHeight="1">
      <c r="N185" s="723">
        <v>0</v>
      </c>
    </row>
    <row r="186" spans="14:14" ht="21.75" customHeight="1">
      <c r="N186" s="723">
        <v>0</v>
      </c>
    </row>
    <row r="187" spans="14:14" ht="21.75" customHeight="1">
      <c r="N187" s="723">
        <v>51</v>
      </c>
    </row>
    <row r="188" spans="14:14" ht="21.75" customHeight="1">
      <c r="N188" s="723"/>
    </row>
    <row r="189" spans="14:14" ht="21.75" customHeight="1">
      <c r="N189" s="723">
        <v>4</v>
      </c>
    </row>
    <row r="190" spans="14:14" ht="21.75" customHeight="1">
      <c r="N190" s="723">
        <v>3</v>
      </c>
    </row>
    <row r="191" spans="14:14" ht="21.75" customHeight="1">
      <c r="N191" s="723">
        <v>0</v>
      </c>
    </row>
    <row r="192" spans="14:14" ht="21.75" customHeight="1">
      <c r="N192" s="723"/>
    </row>
    <row r="193" spans="14:14" ht="36.75" customHeight="1">
      <c r="N193" s="723">
        <v>7</v>
      </c>
    </row>
    <row r="194" spans="14:14">
      <c r="N194" s="723">
        <v>61</v>
      </c>
    </row>
    <row r="195" spans="14:14">
      <c r="N195" s="723"/>
    </row>
    <row r="196" spans="14:14">
      <c r="N196" s="723">
        <v>55</v>
      </c>
    </row>
    <row r="197" spans="14:14">
      <c r="N197" s="723"/>
    </row>
    <row r="198" spans="14:14">
      <c r="N198" s="721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1189"/>
    <col min="16" max="17" width="22.33203125" style="441"/>
    <col min="18" max="16384" width="22.33203125" style="376"/>
  </cols>
  <sheetData>
    <row r="1" spans="1:17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7" s="281" customFormat="1" ht="27">
      <c r="A2" s="576" t="s">
        <v>273</v>
      </c>
      <c r="B2" s="1038">
        <v>44267</v>
      </c>
      <c r="C2" s="1150" t="s">
        <v>69</v>
      </c>
      <c r="D2" s="612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1190"/>
      <c r="P2" s="715"/>
      <c r="Q2" s="715"/>
    </row>
    <row r="3" spans="1:17" s="281" customFormat="1" ht="27">
      <c r="A3" s="571"/>
      <c r="B3" s="615"/>
      <c r="C3" s="1150" t="s">
        <v>120</v>
      </c>
      <c r="D3" s="613">
        <v>32</v>
      </c>
      <c r="E3" s="1432" t="s">
        <v>121</v>
      </c>
      <c r="F3" s="1433"/>
      <c r="G3" s="462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  <c r="N3" s="722"/>
      <c r="O3" s="1190"/>
      <c r="P3" s="715"/>
      <c r="Q3" s="715"/>
    </row>
    <row r="4" spans="1:17" s="281" customFormat="1" ht="27">
      <c r="A4" s="577"/>
      <c r="B4" s="617"/>
      <c r="C4" s="1150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N4" s="722"/>
      <c r="O4" s="1190"/>
      <c r="P4" s="715"/>
      <c r="Q4" s="715"/>
    </row>
    <row r="5" spans="1:17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7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7" ht="30" thickBot="1">
      <c r="A7" s="681" t="s">
        <v>131</v>
      </c>
      <c r="B7" s="682"/>
      <c r="C7" s="682"/>
      <c r="D7" s="639" t="s">
        <v>132</v>
      </c>
      <c r="E7" s="634">
        <f>'11'!F7</f>
        <v>4681166</v>
      </c>
      <c r="F7" s="455">
        <v>4702348</v>
      </c>
      <c r="G7" s="683">
        <f>F7-E7</f>
        <v>21182</v>
      </c>
      <c r="H7" s="684">
        <f>G7+'11'!H7</f>
        <v>257271</v>
      </c>
      <c r="I7" s="685">
        <f>'1'!I7</f>
        <v>12000</v>
      </c>
      <c r="J7" s="686">
        <f>H7/DAY(B2)</f>
        <v>21439.25</v>
      </c>
      <c r="K7" s="550"/>
      <c r="L7" s="377"/>
      <c r="N7" s="723"/>
      <c r="O7" s="732"/>
      <c r="P7" s="716"/>
    </row>
    <row r="8" spans="1:17" ht="27.75" thickBot="1">
      <c r="A8" s="687" t="s">
        <v>133</v>
      </c>
      <c r="B8" s="688"/>
      <c r="C8" s="689"/>
      <c r="D8" s="690" t="s">
        <v>25</v>
      </c>
      <c r="E8" s="634">
        <f>'11'!F8</f>
        <v>4710747</v>
      </c>
      <c r="F8" s="475">
        <v>4732018</v>
      </c>
      <c r="G8" s="694">
        <f>F8-E8</f>
        <v>21271</v>
      </c>
      <c r="H8" s="684">
        <f>G8+'11'!H8</f>
        <v>258862</v>
      </c>
      <c r="I8" s="691">
        <f>'1'!I8</f>
        <v>12000</v>
      </c>
      <c r="J8" s="686">
        <f>H8/DAY(B2)</f>
        <v>21571.833333333332</v>
      </c>
      <c r="K8" s="550"/>
      <c r="L8" s="425"/>
      <c r="M8" s="440"/>
      <c r="N8" s="723"/>
      <c r="O8" s="732"/>
      <c r="P8" s="718"/>
    </row>
    <row r="9" spans="1:17">
      <c r="A9" s="692" t="s">
        <v>134</v>
      </c>
      <c r="B9" s="693"/>
      <c r="C9" s="693"/>
      <c r="D9" s="639" t="s">
        <v>132</v>
      </c>
      <c r="E9" s="634">
        <f>'11'!F9</f>
        <v>124354</v>
      </c>
      <c r="F9" s="478">
        <v>124354</v>
      </c>
      <c r="G9" s="707">
        <f t="shared" ref="G9:G12" si="0">F9-E9</f>
        <v>0</v>
      </c>
      <c r="H9" s="684">
        <f>G9+'11'!H9</f>
        <v>37444.990000000005</v>
      </c>
      <c r="I9" s="695">
        <f>I7-J7</f>
        <v>-9439.25</v>
      </c>
      <c r="J9" s="686">
        <f>H9/DAY(B2)</f>
        <v>3120.4158333333339</v>
      </c>
      <c r="K9" s="428"/>
      <c r="L9" s="377"/>
      <c r="N9" s="723"/>
      <c r="O9" s="732"/>
      <c r="P9" s="718"/>
    </row>
    <row r="10" spans="1:17">
      <c r="A10" s="681" t="s">
        <v>135</v>
      </c>
      <c r="B10" s="682"/>
      <c r="C10" s="682"/>
      <c r="D10" s="639" t="s">
        <v>132</v>
      </c>
      <c r="E10" s="634">
        <f>'11'!F10</f>
        <v>216161</v>
      </c>
      <c r="F10" s="478">
        <v>236581</v>
      </c>
      <c r="G10" s="694">
        <f t="shared" si="0"/>
        <v>20420</v>
      </c>
      <c r="H10" s="684">
        <f>G10+'11'!H10</f>
        <v>210885.44</v>
      </c>
      <c r="I10" s="696"/>
      <c r="J10" s="686">
        <f>H10/DAY(B2)</f>
        <v>17573.786666666667</v>
      </c>
      <c r="K10" s="428"/>
      <c r="L10" s="377"/>
      <c r="N10" s="723"/>
      <c r="O10" s="732"/>
      <c r="P10" s="718"/>
    </row>
    <row r="11" spans="1:17">
      <c r="A11" s="681" t="s">
        <v>136</v>
      </c>
      <c r="B11" s="682"/>
      <c r="C11" s="682"/>
      <c r="D11" s="639" t="s">
        <v>132</v>
      </c>
      <c r="E11" s="634">
        <f>'11'!F11</f>
        <v>37000</v>
      </c>
      <c r="F11" s="455">
        <v>37000</v>
      </c>
      <c r="G11" s="694">
        <f t="shared" si="0"/>
        <v>0</v>
      </c>
      <c r="H11" s="684">
        <f>G11+'11'!H11</f>
        <v>0</v>
      </c>
      <c r="I11" s="696"/>
      <c r="J11" s="686">
        <f>H11/DAY(B2)</f>
        <v>0</v>
      </c>
      <c r="K11" s="428"/>
      <c r="L11" s="377"/>
      <c r="N11" s="723"/>
      <c r="O11" s="732"/>
      <c r="P11" s="718"/>
    </row>
    <row r="12" spans="1:17">
      <c r="A12" s="681" t="s">
        <v>137</v>
      </c>
      <c r="B12" s="682"/>
      <c r="C12" s="682"/>
      <c r="D12" s="639" t="s">
        <v>132</v>
      </c>
      <c r="E12" s="634">
        <f>'11'!F12</f>
        <v>40010</v>
      </c>
      <c r="F12" s="478">
        <v>40010</v>
      </c>
      <c r="G12" s="694">
        <f t="shared" si="0"/>
        <v>0</v>
      </c>
      <c r="H12" s="684">
        <f>G12+'11'!H12</f>
        <v>0</v>
      </c>
      <c r="I12" s="696"/>
      <c r="J12" s="686">
        <f>H12/DAY(B2)</f>
        <v>0</v>
      </c>
      <c r="K12" s="428"/>
      <c r="L12" s="377"/>
      <c r="N12" s="723"/>
      <c r="O12" s="732"/>
      <c r="P12" s="718"/>
    </row>
    <row r="13" spans="1:17">
      <c r="A13" s="697" t="s">
        <v>138</v>
      </c>
      <c r="B13" s="698"/>
      <c r="C13" s="698"/>
      <c r="D13" s="639"/>
      <c r="E13" s="634"/>
      <c r="F13" s="455"/>
      <c r="G13" s="699">
        <f>G9+G10+G11+G12</f>
        <v>20420</v>
      </c>
      <c r="H13" s="684">
        <f>G13+'11'!H13</f>
        <v>227336.43</v>
      </c>
      <c r="I13" s="700">
        <f>G7-G13</f>
        <v>762</v>
      </c>
      <c r="J13" s="686">
        <f>H13/DAY(B2)</f>
        <v>18944.702499999999</v>
      </c>
      <c r="K13" s="428"/>
      <c r="L13" s="377"/>
      <c r="N13" s="723"/>
      <c r="O13" s="732"/>
      <c r="P13" s="718"/>
    </row>
    <row r="14" spans="1:17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N14" s="723"/>
      <c r="O14" s="732"/>
      <c r="P14" s="718"/>
    </row>
    <row r="15" spans="1:17">
      <c r="A15" s="798" t="s">
        <v>140</v>
      </c>
      <c r="B15" s="799"/>
      <c r="C15" s="799"/>
      <c r="D15" s="524" t="s">
        <v>141</v>
      </c>
      <c r="E15" s="485">
        <f>'11'!F15</f>
        <v>1629574</v>
      </c>
      <c r="F15" s="485">
        <v>1630378.77</v>
      </c>
      <c r="G15" s="669">
        <f>(F15-E15)</f>
        <v>804.77000000001863</v>
      </c>
      <c r="H15" s="486">
        <f>G15+'11'!H15</f>
        <v>10500.159999999916</v>
      </c>
      <c r="I15" s="474">
        <v>800</v>
      </c>
      <c r="J15" s="554">
        <f>H15/DAY(B2)</f>
        <v>875.01333333332639</v>
      </c>
      <c r="K15" s="428"/>
      <c r="L15" s="377"/>
      <c r="N15" s="723"/>
      <c r="O15" s="732"/>
      <c r="P15" s="718"/>
    </row>
    <row r="16" spans="1:17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-75.013333333326386</v>
      </c>
      <c r="J16" s="554"/>
      <c r="K16" s="428"/>
      <c r="L16" s="377"/>
      <c r="N16" s="723"/>
      <c r="O16" s="732"/>
      <c r="P16" s="718"/>
    </row>
    <row r="17" spans="1:17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2"/>
      <c r="P17" s="718"/>
    </row>
    <row r="18" spans="1:17" ht="27.75">
      <c r="A18" s="1464" t="s">
        <v>143</v>
      </c>
      <c r="B18" s="1465"/>
      <c r="C18" s="1466"/>
      <c r="D18" s="639" t="s">
        <v>144</v>
      </c>
      <c r="E18" s="636">
        <f>'11'!F18</f>
        <v>12</v>
      </c>
      <c r="F18" s="478">
        <v>10</v>
      </c>
      <c r="G18" s="699">
        <f>F18*10</f>
        <v>100</v>
      </c>
      <c r="H18" s="684">
        <f>G18+'11'!H18</f>
        <v>1660</v>
      </c>
      <c r="I18" s="685">
        <f>'1'!I18</f>
        <v>65</v>
      </c>
      <c r="J18" s="686">
        <f>H18/DAY(B2)</f>
        <v>138.33333333333334</v>
      </c>
      <c r="K18" s="428"/>
      <c r="L18" s="377"/>
      <c r="N18" s="723"/>
      <c r="O18" s="732"/>
      <c r="P18" s="718"/>
    </row>
    <row r="19" spans="1:17" ht="27.75">
      <c r="A19" s="1464" t="s">
        <v>71</v>
      </c>
      <c r="B19" s="1465"/>
      <c r="C19" s="1466"/>
      <c r="D19" s="639" t="s">
        <v>144</v>
      </c>
      <c r="E19" s="636">
        <f>'11'!F19</f>
        <v>135033</v>
      </c>
      <c r="F19" s="478">
        <v>135087</v>
      </c>
      <c r="G19" s="694">
        <f t="shared" ref="G19" si="1">F19-E19</f>
        <v>54</v>
      </c>
      <c r="H19" s="684">
        <f>G19+'11'!H19</f>
        <v>619</v>
      </c>
      <c r="I19" s="701"/>
      <c r="J19" s="686">
        <f>H19/DAY(B2)</f>
        <v>51.583333333333336</v>
      </c>
      <c r="K19" s="428"/>
      <c r="L19" s="377"/>
      <c r="N19" s="723"/>
      <c r="O19" s="732"/>
      <c r="P19" s="718"/>
    </row>
    <row r="20" spans="1:17">
      <c r="A20" s="697" t="s">
        <v>145</v>
      </c>
      <c r="B20" s="698"/>
      <c r="C20" s="698"/>
      <c r="D20" s="639"/>
      <c r="E20" s="639"/>
      <c r="F20" s="714"/>
      <c r="G20" s="702">
        <f>G18+G19</f>
        <v>154</v>
      </c>
      <c r="H20" s="684">
        <f>G20+'11'!H20</f>
        <v>2279</v>
      </c>
      <c r="I20" s="703">
        <f>I18-J20</f>
        <v>-124.91666666666666</v>
      </c>
      <c r="J20" s="686">
        <f>H20/DAY(B2)</f>
        <v>189.91666666666666</v>
      </c>
      <c r="K20" s="428"/>
      <c r="L20" s="377"/>
      <c r="N20" s="723"/>
      <c r="O20" s="732"/>
      <c r="P20" s="718"/>
    </row>
    <row r="21" spans="1:17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2"/>
      <c r="P21" s="718"/>
    </row>
    <row r="22" spans="1:17">
      <c r="A22" s="1148" t="s">
        <v>147</v>
      </c>
      <c r="B22" s="590"/>
      <c r="C22" s="590"/>
      <c r="D22" s="523" t="s">
        <v>148</v>
      </c>
      <c r="E22" s="636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3">
        <f>H22/DAY(B2)</f>
        <v>0</v>
      </c>
      <c r="K22" s="428"/>
      <c r="L22" s="377"/>
      <c r="N22" s="723"/>
      <c r="O22" s="732"/>
      <c r="P22" s="718"/>
    </row>
    <row r="23" spans="1:17">
      <c r="A23" s="1148" t="s">
        <v>149</v>
      </c>
      <c r="B23" s="590"/>
      <c r="C23" s="590"/>
      <c r="D23" s="523" t="s">
        <v>148</v>
      </c>
      <c r="E23" s="636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3">
        <f>H23/DAY(B2)</f>
        <v>0</v>
      </c>
      <c r="K23" s="428"/>
      <c r="L23" s="377"/>
      <c r="N23" s="723"/>
      <c r="O23" s="732"/>
      <c r="P23" s="718"/>
    </row>
    <row r="24" spans="1:17">
      <c r="A24" s="591" t="s">
        <v>150</v>
      </c>
      <c r="B24" s="592"/>
      <c r="C24" s="592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3">
        <f>H24/DAY(B2)</f>
        <v>0</v>
      </c>
      <c r="K24" s="428"/>
      <c r="L24" s="377"/>
      <c r="N24" s="723"/>
      <c r="O24" s="732"/>
      <c r="P24" s="718"/>
    </row>
    <row r="25" spans="1:17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2"/>
      <c r="P25" s="718"/>
      <c r="Q25" s="445"/>
    </row>
    <row r="26" spans="1:17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2"/>
      <c r="P26" s="718"/>
      <c r="Q26" s="445"/>
    </row>
    <row r="27" spans="1:17" s="442" customFormat="1" ht="27.75">
      <c r="A27" s="593" t="s">
        <v>6</v>
      </c>
      <c r="B27" s="594"/>
      <c r="C27" s="595"/>
      <c r="D27" s="620" t="s">
        <v>25</v>
      </c>
      <c r="E27" s="704">
        <f>G8</f>
        <v>21271</v>
      </c>
      <c r="F27" s="501">
        <v>9</v>
      </c>
      <c r="G27" s="502">
        <f>E27*F27</f>
        <v>191439</v>
      </c>
      <c r="H27" s="460">
        <f>G27+'11'!H27</f>
        <v>2329758</v>
      </c>
      <c r="I27" s="503"/>
      <c r="J27" s="553">
        <f>H27/DAY(B2)</f>
        <v>194146.5</v>
      </c>
      <c r="K27" s="373"/>
      <c r="L27" s="443"/>
      <c r="N27" s="723"/>
      <c r="O27" s="732"/>
      <c r="P27" s="718"/>
      <c r="Q27" s="445"/>
    </row>
    <row r="28" spans="1:17" s="442" customFormat="1" ht="27.75">
      <c r="A28" s="593" t="s">
        <v>154</v>
      </c>
      <c r="B28" s="594"/>
      <c r="C28" s="595"/>
      <c r="D28" s="620" t="s">
        <v>155</v>
      </c>
      <c r="E28" s="704">
        <f>G15</f>
        <v>804.77000000001863</v>
      </c>
      <c r="F28" s="501">
        <v>48.88</v>
      </c>
      <c r="G28" s="502">
        <f>E28*F28</f>
        <v>39337.157600000915</v>
      </c>
      <c r="H28" s="460">
        <f>G28+'11'!H28</f>
        <v>513247.82079999591</v>
      </c>
      <c r="I28" s="505"/>
      <c r="J28" s="553">
        <f>H28/DAY(B2)</f>
        <v>42770.65173333299</v>
      </c>
      <c r="K28" s="373"/>
      <c r="L28" s="443"/>
      <c r="N28" s="723"/>
      <c r="O28" s="732"/>
      <c r="P28" s="718"/>
      <c r="Q28" s="445"/>
    </row>
    <row r="29" spans="1:17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3">
        <f>H29/DAY(B2)</f>
        <v>0</v>
      </c>
      <c r="K29" s="373"/>
      <c r="L29" s="443"/>
      <c r="N29" s="723"/>
      <c r="O29" s="732"/>
      <c r="P29" s="718"/>
      <c r="Q29" s="445"/>
    </row>
    <row r="30" spans="1:17" s="442" customFormat="1" ht="27.75">
      <c r="A30" s="593" t="s">
        <v>158</v>
      </c>
      <c r="B30" s="594"/>
      <c r="C30" s="595"/>
      <c r="D30" s="620" t="s">
        <v>159</v>
      </c>
      <c r="E30" s="704">
        <f>G19</f>
        <v>54</v>
      </c>
      <c r="F30" s="501">
        <v>134</v>
      </c>
      <c r="G30" s="502">
        <f>E30*F30</f>
        <v>7236</v>
      </c>
      <c r="H30" s="460">
        <f>G30+'11'!H30</f>
        <v>100634</v>
      </c>
      <c r="I30" s="505"/>
      <c r="J30" s="553">
        <f>H30/DAY(B2)</f>
        <v>8386.1666666666661</v>
      </c>
      <c r="K30" s="373"/>
      <c r="L30" s="443"/>
      <c r="N30" s="723"/>
      <c r="O30" s="732"/>
      <c r="P30" s="718"/>
      <c r="Q30" s="445"/>
    </row>
    <row r="31" spans="1:17" s="442" customFormat="1" ht="27.75">
      <c r="A31" s="593" t="s">
        <v>160</v>
      </c>
      <c r="B31" s="594"/>
      <c r="C31" s="595"/>
      <c r="D31" s="620" t="s">
        <v>144</v>
      </c>
      <c r="E31" s="704">
        <f>G18</f>
        <v>100</v>
      </c>
      <c r="F31" s="501">
        <v>80</v>
      </c>
      <c r="G31" s="502">
        <f>E31*F31</f>
        <v>8000</v>
      </c>
      <c r="H31" s="460">
        <f>G31+'11'!H31</f>
        <v>122240</v>
      </c>
      <c r="I31" s="505"/>
      <c r="J31" s="553"/>
      <c r="K31" s="373"/>
      <c r="L31" s="443"/>
      <c r="N31" s="723"/>
      <c r="O31" s="732"/>
      <c r="P31" s="718"/>
      <c r="Q31" s="445"/>
    </row>
    <row r="32" spans="1:17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246012.15760000091</v>
      </c>
      <c r="H32" s="460">
        <f>G32+'11'!H32</f>
        <v>3065879.8207999957</v>
      </c>
      <c r="I32" s="509"/>
      <c r="J32" s="553">
        <f>H32/DAY(B2)</f>
        <v>255489.9850666663</v>
      </c>
      <c r="K32" s="373"/>
      <c r="L32" s="443"/>
      <c r="N32" s="723"/>
      <c r="O32" s="732"/>
      <c r="P32" s="718"/>
      <c r="Q32" s="445"/>
    </row>
    <row r="33" spans="1:16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723"/>
      <c r="O33" s="732"/>
      <c r="P33" s="718"/>
    </row>
    <row r="34" spans="1:16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2"/>
      <c r="P34" s="718"/>
    </row>
    <row r="35" spans="1:16">
      <c r="A35" s="579" t="s">
        <v>164</v>
      </c>
      <c r="B35" s="580"/>
      <c r="C35" s="580"/>
      <c r="D35" s="523" t="s">
        <v>132</v>
      </c>
      <c r="E35" s="510">
        <f>'11'!F35</f>
        <v>730715</v>
      </c>
      <c r="F35" s="510">
        <v>734498</v>
      </c>
      <c r="G35" s="473">
        <f t="shared" ref="G35:G46" si="3">F35-E35</f>
        <v>3783</v>
      </c>
      <c r="H35" s="460">
        <f>G35+'11'!H35</f>
        <v>41410.410000000033</v>
      </c>
      <c r="I35" s="455"/>
      <c r="J35" s="553">
        <f>H35/DAY(B2)</f>
        <v>3450.8675000000026</v>
      </c>
      <c r="K35" s="428"/>
      <c r="L35" s="377"/>
      <c r="N35" s="723"/>
      <c r="O35" s="732"/>
      <c r="P35" s="718"/>
    </row>
    <row r="36" spans="1:16">
      <c r="A36" s="579" t="s">
        <v>165</v>
      </c>
      <c r="B36" s="580"/>
      <c r="C36" s="580"/>
      <c r="D36" s="523" t="s">
        <v>132</v>
      </c>
      <c r="E36" s="510">
        <f>'11'!F36</f>
        <v>303578</v>
      </c>
      <c r="F36" s="510">
        <v>304207</v>
      </c>
      <c r="G36" s="473">
        <f t="shared" si="3"/>
        <v>629</v>
      </c>
      <c r="H36" s="460">
        <f>G36+'11'!H36</f>
        <v>7761.429999999993</v>
      </c>
      <c r="I36" s="455"/>
      <c r="J36" s="553">
        <f>H36/DAY(B2)</f>
        <v>646.78583333333279</v>
      </c>
      <c r="K36" s="428"/>
      <c r="L36" s="377"/>
      <c r="N36" s="724"/>
      <c r="O36" s="732"/>
      <c r="P36" s="718"/>
    </row>
    <row r="37" spans="1:16">
      <c r="A37" s="579" t="s">
        <v>166</v>
      </c>
      <c r="B37" s="580"/>
      <c r="C37" s="580"/>
      <c r="D37" s="523" t="s">
        <v>132</v>
      </c>
      <c r="E37" s="510">
        <f>'11'!F37</f>
        <v>35167</v>
      </c>
      <c r="F37" s="510">
        <v>35167</v>
      </c>
      <c r="G37" s="473">
        <f t="shared" si="3"/>
        <v>0</v>
      </c>
      <c r="H37" s="460">
        <f>G37+'11'!H37</f>
        <v>38272.080000000002</v>
      </c>
      <c r="I37" s="455"/>
      <c r="J37" s="553">
        <f>H37/DAY(B2)</f>
        <v>3189.34</v>
      </c>
      <c r="K37" s="428"/>
      <c r="L37" s="377"/>
      <c r="N37" s="724"/>
      <c r="O37" s="732"/>
      <c r="P37" s="718"/>
    </row>
    <row r="38" spans="1:16">
      <c r="A38" s="579" t="s">
        <v>167</v>
      </c>
      <c r="B38" s="580"/>
      <c r="C38" s="580"/>
      <c r="D38" s="523" t="s">
        <v>132</v>
      </c>
      <c r="E38" s="510">
        <f>'11'!F38</f>
        <v>48333</v>
      </c>
      <c r="F38" s="469">
        <v>48333</v>
      </c>
      <c r="G38" s="473">
        <f t="shared" si="3"/>
        <v>0</v>
      </c>
      <c r="H38" s="460">
        <f>G38+'11'!H38</f>
        <v>4519.510000000002</v>
      </c>
      <c r="I38" s="455"/>
      <c r="J38" s="553">
        <f>H38/DAY(B2)</f>
        <v>376.6258333333335</v>
      </c>
      <c r="K38" s="428"/>
      <c r="L38" s="377"/>
      <c r="N38" s="723"/>
      <c r="O38" s="732"/>
      <c r="P38" s="718"/>
    </row>
    <row r="39" spans="1:16">
      <c r="A39" s="579" t="s">
        <v>168</v>
      </c>
      <c r="B39" s="580"/>
      <c r="C39" s="580"/>
      <c r="D39" s="523" t="s">
        <v>132</v>
      </c>
      <c r="E39" s="510">
        <f>'11'!F39</f>
        <v>100066</v>
      </c>
      <c r="F39" s="510">
        <v>100066</v>
      </c>
      <c r="G39" s="473">
        <f t="shared" si="3"/>
        <v>0</v>
      </c>
      <c r="H39" s="460">
        <f>G39+'11'!H39</f>
        <v>109458.89</v>
      </c>
      <c r="I39" s="455"/>
      <c r="J39" s="553">
        <f>H39/DAY(B2)</f>
        <v>9121.5741666666672</v>
      </c>
      <c r="K39" s="428"/>
      <c r="L39" s="377"/>
      <c r="N39" s="723"/>
      <c r="O39" s="732"/>
      <c r="P39" s="718"/>
    </row>
    <row r="40" spans="1:16">
      <c r="A40" s="600" t="s">
        <v>169</v>
      </c>
      <c r="B40" s="601"/>
      <c r="C40" s="601"/>
      <c r="D40" s="523" t="s">
        <v>132</v>
      </c>
      <c r="E40" s="510">
        <f>'11'!F40</f>
        <v>0.23</v>
      </c>
      <c r="F40" s="510">
        <v>0.23</v>
      </c>
      <c r="G40" s="473">
        <f t="shared" si="3"/>
        <v>0</v>
      </c>
      <c r="H40" s="460">
        <f>G40+'11'!H40</f>
        <v>0</v>
      </c>
      <c r="I40" s="455"/>
      <c r="J40" s="553">
        <f>H40/DAY(B2)</f>
        <v>0</v>
      </c>
      <c r="K40" s="429"/>
      <c r="L40" s="377"/>
      <c r="N40" s="723"/>
      <c r="O40" s="732"/>
      <c r="P40" s="718"/>
    </row>
    <row r="41" spans="1:16">
      <c r="A41" s="579" t="s">
        <v>170</v>
      </c>
      <c r="B41" s="580"/>
      <c r="C41" s="580"/>
      <c r="D41" s="523" t="s">
        <v>132</v>
      </c>
      <c r="E41" s="510">
        <f>'11'!F41</f>
        <v>64767</v>
      </c>
      <c r="F41" s="510">
        <v>64767</v>
      </c>
      <c r="G41" s="473">
        <f>F41-E41</f>
        <v>0</v>
      </c>
      <c r="H41" s="460">
        <f>G41+'11'!H41</f>
        <v>884.62999999999738</v>
      </c>
      <c r="I41" s="455"/>
      <c r="J41" s="553">
        <f>H41/DAY(B2)</f>
        <v>73.719166666666453</v>
      </c>
      <c r="K41" s="428"/>
      <c r="L41" s="377"/>
      <c r="N41" s="723"/>
      <c r="O41" s="732"/>
      <c r="P41" s="718"/>
    </row>
    <row r="42" spans="1:16">
      <c r="A42" s="579" t="s">
        <v>171</v>
      </c>
      <c r="B42" s="580"/>
      <c r="C42" s="580"/>
      <c r="D42" s="523" t="s">
        <v>132</v>
      </c>
      <c r="E42" s="510">
        <f>'11'!F42</f>
        <v>59128</v>
      </c>
      <c r="F42" s="510">
        <v>59128</v>
      </c>
      <c r="G42" s="473">
        <f t="shared" si="3"/>
        <v>0</v>
      </c>
      <c r="H42" s="460">
        <f>G42+'11'!H42</f>
        <v>-0.84999999999854481</v>
      </c>
      <c r="I42" s="455"/>
      <c r="J42" s="553">
        <f>H42/DAY(B2)</f>
        <v>-7.0833333333212067E-2</v>
      </c>
      <c r="K42" s="428"/>
      <c r="L42" s="377"/>
      <c r="N42" s="723"/>
      <c r="O42" s="732"/>
      <c r="P42" s="718"/>
    </row>
    <row r="43" spans="1:16">
      <c r="A43" s="579" t="s">
        <v>172</v>
      </c>
      <c r="B43" s="580"/>
      <c r="C43" s="580"/>
      <c r="D43" s="523" t="s">
        <v>132</v>
      </c>
      <c r="E43" s="510">
        <f>'11'!F43</f>
        <v>852799</v>
      </c>
      <c r="F43" s="510">
        <v>855191</v>
      </c>
      <c r="G43" s="473">
        <f t="shared" si="3"/>
        <v>2392</v>
      </c>
      <c r="H43" s="460">
        <f>G43+'11'!H43</f>
        <v>29293.170000000042</v>
      </c>
      <c r="I43" s="455"/>
      <c r="J43" s="553">
        <f>H43/DAY(B2)</f>
        <v>2441.0975000000035</v>
      </c>
      <c r="K43" s="428"/>
      <c r="L43" s="377"/>
      <c r="N43" s="723"/>
      <c r="O43" s="732"/>
      <c r="P43" s="718"/>
    </row>
    <row r="44" spans="1:16">
      <c r="A44" s="579" t="s">
        <v>173</v>
      </c>
      <c r="B44" s="580"/>
      <c r="C44" s="580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3">
        <f>H44/DAY(B2)</f>
        <v>0</v>
      </c>
      <c r="K44" s="428"/>
      <c r="L44" s="377"/>
      <c r="N44" s="723"/>
      <c r="O44" s="732"/>
      <c r="P44" s="718"/>
    </row>
    <row r="45" spans="1:16">
      <c r="A45" s="579" t="s">
        <v>174</v>
      </c>
      <c r="B45" s="580"/>
      <c r="C45" s="580"/>
      <c r="D45" s="523" t="s">
        <v>132</v>
      </c>
      <c r="E45" s="510">
        <f>'11'!F45</f>
        <v>614</v>
      </c>
      <c r="F45" s="510">
        <v>614</v>
      </c>
      <c r="G45" s="473">
        <f t="shared" si="3"/>
        <v>0</v>
      </c>
      <c r="H45" s="460">
        <f>G45+'11'!H45</f>
        <v>0</v>
      </c>
      <c r="I45" s="455"/>
      <c r="J45" s="553">
        <f>H45/DAY(B2)</f>
        <v>0</v>
      </c>
      <c r="K45" s="428"/>
      <c r="L45" s="377"/>
      <c r="N45" s="723"/>
      <c r="O45" s="732"/>
      <c r="P45" s="718"/>
    </row>
    <row r="46" spans="1:16">
      <c r="A46" s="579" t="s">
        <v>175</v>
      </c>
      <c r="B46" s="580"/>
      <c r="C46" s="580"/>
      <c r="D46" s="523" t="s">
        <v>132</v>
      </c>
      <c r="E46" s="510">
        <f>'11'!F46</f>
        <v>187.49</v>
      </c>
      <c r="F46" s="510">
        <v>187.49</v>
      </c>
      <c r="G46" s="473">
        <f t="shared" si="3"/>
        <v>0</v>
      </c>
      <c r="H46" s="460">
        <f>G46+'11'!H46</f>
        <v>0.49000000000000909</v>
      </c>
      <c r="I46" s="455"/>
      <c r="J46" s="553">
        <f>H46/DAY(B2)</f>
        <v>4.0833333333334089E-2</v>
      </c>
      <c r="K46" s="428"/>
      <c r="L46" s="377"/>
      <c r="N46" s="723"/>
      <c r="O46" s="732"/>
      <c r="P46" s="718"/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6804</v>
      </c>
      <c r="H47" s="460">
        <f>G47+'11'!H47</f>
        <v>231599.76000000007</v>
      </c>
      <c r="I47" s="455"/>
      <c r="J47" s="553">
        <f>H47/DAY(B2)</f>
        <v>19299.980000000007</v>
      </c>
      <c r="K47" s="428"/>
      <c r="L47" s="377"/>
      <c r="N47" s="723"/>
      <c r="O47" s="732"/>
      <c r="P47" s="718"/>
    </row>
    <row r="48" spans="1:16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2"/>
      <c r="P48" s="718"/>
    </row>
    <row r="49" spans="1:16">
      <c r="A49" s="579" t="s">
        <v>164</v>
      </c>
      <c r="B49" s="602"/>
      <c r="C49" s="602"/>
      <c r="D49" s="523" t="s">
        <v>132</v>
      </c>
      <c r="E49" s="510">
        <f>'11'!F49</f>
        <v>260732</v>
      </c>
      <c r="F49" s="510">
        <v>260732</v>
      </c>
      <c r="G49" s="473">
        <f t="shared" ref="G49:G58" si="4">F49-E49</f>
        <v>0</v>
      </c>
      <c r="H49" s="460">
        <f>G49+'11'!H49</f>
        <v>-0.13000000000465661</v>
      </c>
      <c r="I49" s="455"/>
      <c r="J49" s="553">
        <f>H49/DAY(B2)</f>
        <v>-1.0833333333721384E-2</v>
      </c>
      <c r="K49" s="428"/>
      <c r="L49" s="377"/>
      <c r="N49" s="723"/>
      <c r="O49" s="732"/>
      <c r="P49" s="718"/>
    </row>
    <row r="50" spans="1:16">
      <c r="A50" s="579" t="s">
        <v>178</v>
      </c>
      <c r="B50" s="602"/>
      <c r="C50" s="602"/>
      <c r="D50" s="523" t="s">
        <v>132</v>
      </c>
      <c r="E50" s="510">
        <f>'11'!F50</f>
        <v>415973</v>
      </c>
      <c r="F50" s="510">
        <v>417152</v>
      </c>
      <c r="G50" s="473">
        <f t="shared" si="4"/>
        <v>1179</v>
      </c>
      <c r="H50" s="460">
        <f>G50+'11'!H50</f>
        <v>13494.969999999972</v>
      </c>
      <c r="I50" s="455"/>
      <c r="J50" s="553">
        <f>H50/DAY(B2)</f>
        <v>1124.5808333333309</v>
      </c>
      <c r="K50" s="428"/>
      <c r="L50" s="377"/>
      <c r="N50" s="723"/>
      <c r="O50" s="732"/>
      <c r="P50" s="718"/>
    </row>
    <row r="51" spans="1:16">
      <c r="A51" s="579" t="s">
        <v>166</v>
      </c>
      <c r="B51" s="602"/>
      <c r="C51" s="602"/>
      <c r="D51" s="523" t="s">
        <v>132</v>
      </c>
      <c r="E51" s="510">
        <f>'11'!F51</f>
        <v>133395</v>
      </c>
      <c r="F51" s="510">
        <v>134964</v>
      </c>
      <c r="G51" s="473">
        <f t="shared" si="4"/>
        <v>1569</v>
      </c>
      <c r="H51" s="460">
        <f>G51+'11'!H51</f>
        <v>13364.080000000002</v>
      </c>
      <c r="I51" s="455"/>
      <c r="J51" s="553">
        <f>H51/DAY(B2)</f>
        <v>1113.6733333333334</v>
      </c>
      <c r="K51" s="428"/>
      <c r="L51" s="377"/>
      <c r="N51" s="723"/>
      <c r="O51" s="732"/>
      <c r="P51" s="718"/>
    </row>
    <row r="52" spans="1:16">
      <c r="A52" s="579" t="s">
        <v>179</v>
      </c>
      <c r="B52" s="602"/>
      <c r="C52" s="602"/>
      <c r="D52" s="523" t="s">
        <v>132</v>
      </c>
      <c r="E52" s="510">
        <f>'11'!F52</f>
        <v>526494</v>
      </c>
      <c r="F52" s="510">
        <v>528314</v>
      </c>
      <c r="G52" s="473">
        <f t="shared" si="4"/>
        <v>1820</v>
      </c>
      <c r="H52" s="460">
        <f>G52+'11'!H52</f>
        <v>18355.289999999979</v>
      </c>
      <c r="I52" s="455"/>
      <c r="J52" s="553">
        <f>H52/DAY(B2)</f>
        <v>1529.6074999999983</v>
      </c>
      <c r="K52" s="428"/>
      <c r="L52" s="377"/>
      <c r="N52" s="723"/>
      <c r="O52" s="732"/>
      <c r="P52" s="718"/>
    </row>
    <row r="53" spans="1:16">
      <c r="A53" s="579" t="s">
        <v>168</v>
      </c>
      <c r="B53" s="602"/>
      <c r="C53" s="602"/>
      <c r="D53" s="523" t="s">
        <v>132</v>
      </c>
      <c r="E53" s="510">
        <f>'11'!F53</f>
        <v>369168</v>
      </c>
      <c r="F53" s="510">
        <v>373333</v>
      </c>
      <c r="G53" s="473">
        <f t="shared" si="4"/>
        <v>4165</v>
      </c>
      <c r="H53" s="460">
        <f>G53+'11'!H53</f>
        <v>37293.489999999991</v>
      </c>
      <c r="I53" s="455"/>
      <c r="J53" s="553">
        <f>H53/DAY(B2)</f>
        <v>3107.7908333333326</v>
      </c>
      <c r="K53" s="428"/>
      <c r="L53" s="377"/>
      <c r="N53" s="723"/>
      <c r="O53" s="732"/>
      <c r="P53" s="718"/>
    </row>
    <row r="54" spans="1:16">
      <c r="A54" s="579" t="s">
        <v>180</v>
      </c>
      <c r="B54" s="602"/>
      <c r="C54" s="602"/>
      <c r="D54" s="523" t="s">
        <v>132</v>
      </c>
      <c r="E54" s="510">
        <f>'11'!F54</f>
        <v>8200</v>
      </c>
      <c r="F54" s="510">
        <v>8200</v>
      </c>
      <c r="G54" s="473">
        <f t="shared" si="4"/>
        <v>0</v>
      </c>
      <c r="H54" s="460">
        <f>G54+'11'!H54</f>
        <v>104.40000000000055</v>
      </c>
      <c r="I54" s="455"/>
      <c r="J54" s="553">
        <f>H54/DAY(B2)</f>
        <v>8.7000000000000455</v>
      </c>
      <c r="K54" s="428"/>
      <c r="L54" s="377"/>
      <c r="N54" s="723"/>
      <c r="O54" s="732"/>
      <c r="P54" s="718"/>
    </row>
    <row r="55" spans="1:16">
      <c r="A55" s="579" t="s">
        <v>181</v>
      </c>
      <c r="B55" s="602"/>
      <c r="C55" s="602"/>
      <c r="D55" s="523" t="s">
        <v>132</v>
      </c>
      <c r="E55" s="510">
        <f>'11'!F55</f>
        <v>171852</v>
      </c>
      <c r="F55" s="658">
        <v>176974</v>
      </c>
      <c r="G55" s="657">
        <f t="shared" si="4"/>
        <v>5122</v>
      </c>
      <c r="H55" s="710">
        <f>G55+'11'!H55</f>
        <v>54389.31</v>
      </c>
      <c r="I55" s="711"/>
      <c r="J55" s="712">
        <f>H55/DAY(B2)</f>
        <v>4532.4425000000001</v>
      </c>
      <c r="K55" s="428"/>
      <c r="L55" s="377"/>
      <c r="N55" s="723"/>
      <c r="O55" s="732"/>
      <c r="P55" s="718"/>
    </row>
    <row r="56" spans="1:16">
      <c r="A56" s="579" t="s">
        <v>182</v>
      </c>
      <c r="B56" s="602"/>
      <c r="C56" s="602"/>
      <c r="D56" s="523" t="s">
        <v>183</v>
      </c>
      <c r="E56" s="510">
        <f>'11'!F56</f>
        <v>588761</v>
      </c>
      <c r="F56" s="658">
        <v>588761</v>
      </c>
      <c r="G56" s="473">
        <f t="shared" si="4"/>
        <v>0</v>
      </c>
      <c r="H56" s="460">
        <f>G56+'11'!H56</f>
        <v>2709.9699999999721</v>
      </c>
      <c r="I56" s="455"/>
      <c r="J56" s="553">
        <f>H56/DAY(B2)</f>
        <v>225.83083333333101</v>
      </c>
      <c r="K56" s="427"/>
      <c r="L56" s="377"/>
      <c r="N56" s="723"/>
      <c r="O56" s="732"/>
      <c r="P56" s="718"/>
    </row>
    <row r="57" spans="1:16">
      <c r="A57" s="579" t="s">
        <v>172</v>
      </c>
      <c r="B57" s="602"/>
      <c r="C57" s="602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-0.32999999999992724</v>
      </c>
      <c r="I57" s="455"/>
      <c r="J57" s="553">
        <f>H57/DAY(B2)</f>
        <v>-2.7499999999993936E-2</v>
      </c>
      <c r="K57" s="428"/>
      <c r="L57" s="377"/>
      <c r="N57" s="723"/>
      <c r="O57" s="732"/>
      <c r="P57" s="718"/>
    </row>
    <row r="58" spans="1:16">
      <c r="A58" s="579" t="s">
        <v>184</v>
      </c>
      <c r="B58" s="602"/>
      <c r="C58" s="602"/>
      <c r="D58" s="523" t="s">
        <v>132</v>
      </c>
      <c r="E58" s="510">
        <f>'11'!F58</f>
        <v>38003</v>
      </c>
      <c r="F58" s="658">
        <v>38176</v>
      </c>
      <c r="G58" s="473">
        <f t="shared" si="4"/>
        <v>173</v>
      </c>
      <c r="H58" s="460">
        <f>G58+'11'!H58</f>
        <v>2111.3000000000029</v>
      </c>
      <c r="I58" s="455"/>
      <c r="J58" s="553">
        <f>H58/DAY(B2)</f>
        <v>175.94166666666692</v>
      </c>
      <c r="K58" s="428"/>
      <c r="L58" s="377"/>
      <c r="N58" s="723"/>
      <c r="O58" s="732"/>
      <c r="P58" s="718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14028</v>
      </c>
      <c r="H59" s="460">
        <f>G59+'11'!H59</f>
        <v>141822.34999999992</v>
      </c>
      <c r="I59" s="455">
        <f>G7-G60</f>
        <v>350</v>
      </c>
      <c r="J59" s="553">
        <f>H59/DAY(B2)</f>
        <v>11818.52916666666</v>
      </c>
      <c r="K59" s="428"/>
      <c r="L59" s="377"/>
      <c r="N59" s="723"/>
      <c r="O59" s="732"/>
      <c r="P59" s="718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20832</v>
      </c>
      <c r="H60" s="460">
        <f>G60+'11'!H60</f>
        <v>387591.11</v>
      </c>
      <c r="I60" s="455">
        <f>G13-G60</f>
        <v>-412</v>
      </c>
      <c r="J60" s="553">
        <f>H60/DAY(B2)</f>
        <v>32299.259166666667</v>
      </c>
      <c r="K60" s="428"/>
      <c r="L60" s="377"/>
      <c r="N60" s="723"/>
      <c r="O60" s="732"/>
      <c r="P60" s="718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2"/>
      <c r="P61" s="718"/>
    </row>
    <row r="62" spans="1:16">
      <c r="A62" s="604" t="s">
        <v>98</v>
      </c>
      <c r="B62" s="605"/>
      <c r="C62" s="605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-0.18700000000171713</v>
      </c>
      <c r="I62" s="515"/>
      <c r="J62" s="553">
        <f>H62/DAY(B2)</f>
        <v>-1.5583333333476427E-2</v>
      </c>
      <c r="K62" s="428"/>
      <c r="L62" s="377"/>
      <c r="N62" s="723"/>
      <c r="O62" s="732"/>
      <c r="P62" s="718"/>
    </row>
    <row r="63" spans="1:16">
      <c r="A63" s="604" t="s">
        <v>188</v>
      </c>
      <c r="B63" s="605"/>
      <c r="C63" s="605"/>
      <c r="D63" s="511" t="s">
        <v>187</v>
      </c>
      <c r="E63" s="514">
        <f>'11'!F63</f>
        <v>1853</v>
      </c>
      <c r="F63" s="514">
        <v>1865</v>
      </c>
      <c r="G63" s="473">
        <f t="shared" si="5"/>
        <v>12</v>
      </c>
      <c r="H63" s="460">
        <f>G63+'11'!H63</f>
        <v>157.6400000000001</v>
      </c>
      <c r="I63" s="515"/>
      <c r="J63" s="553">
        <f>H63/DAY(B2)</f>
        <v>13.136666666666676</v>
      </c>
      <c r="K63" s="428"/>
      <c r="L63" s="377"/>
      <c r="N63" s="723"/>
      <c r="O63" s="732"/>
      <c r="P63" s="718"/>
    </row>
    <row r="64" spans="1:16" ht="27.75">
      <c r="A64" s="1408" t="s">
        <v>99</v>
      </c>
      <c r="B64" s="1409"/>
      <c r="C64" s="1410"/>
      <c r="D64" s="523" t="s">
        <v>187</v>
      </c>
      <c r="E64" s="514">
        <f>'11'!F64</f>
        <v>129348</v>
      </c>
      <c r="F64" s="478">
        <v>129862</v>
      </c>
      <c r="G64" s="473">
        <f t="shared" si="5"/>
        <v>514</v>
      </c>
      <c r="H64" s="460">
        <f>G64+'11'!H64</f>
        <v>6234.6999999999971</v>
      </c>
      <c r="I64" s="480"/>
      <c r="J64" s="553">
        <f>H64/DAY(B2)</f>
        <v>519.55833333333305</v>
      </c>
      <c r="K64" s="428"/>
      <c r="L64" s="377"/>
      <c r="N64" s="723"/>
      <c r="O64" s="732"/>
      <c r="P64" s="718"/>
    </row>
    <row r="65" spans="1:16" ht="27.75">
      <c r="A65" s="1408" t="s">
        <v>100</v>
      </c>
      <c r="B65" s="1409"/>
      <c r="C65" s="1410"/>
      <c r="D65" s="523" t="s">
        <v>187</v>
      </c>
      <c r="E65" s="514">
        <f>'11'!F65</f>
        <v>136712</v>
      </c>
      <c r="F65" s="656">
        <v>137064</v>
      </c>
      <c r="G65" s="473">
        <f t="shared" si="5"/>
        <v>352</v>
      </c>
      <c r="H65" s="460">
        <f>G65+'11'!H65</f>
        <v>4466.7000000000116</v>
      </c>
      <c r="I65" s="489"/>
      <c r="J65" s="553">
        <f>H65/DAY(B2)</f>
        <v>372.22500000000099</v>
      </c>
      <c r="K65" s="428"/>
      <c r="L65" s="377"/>
      <c r="N65" s="723"/>
      <c r="O65" s="732"/>
      <c r="P65" s="718"/>
    </row>
    <row r="66" spans="1:16" ht="27.75">
      <c r="A66" s="1408" t="s">
        <v>101</v>
      </c>
      <c r="B66" s="1409"/>
      <c r="C66" s="1410"/>
      <c r="D66" s="523" t="s">
        <v>187</v>
      </c>
      <c r="E66" s="514">
        <f>'11'!F66</f>
        <v>29424</v>
      </c>
      <c r="F66" s="478">
        <v>29790</v>
      </c>
      <c r="G66" s="473">
        <f t="shared" si="5"/>
        <v>366</v>
      </c>
      <c r="H66" s="460">
        <f>G66+'11'!H66</f>
        <v>4630.25</v>
      </c>
      <c r="I66" s="480"/>
      <c r="J66" s="553">
        <f>H66/DAY(B2)</f>
        <v>385.85416666666669</v>
      </c>
      <c r="K66" s="428"/>
      <c r="L66" s="377"/>
      <c r="N66" s="723"/>
      <c r="O66" s="732"/>
      <c r="P66" s="718"/>
    </row>
    <row r="67" spans="1:16" ht="27.75">
      <c r="A67" s="1408" t="s">
        <v>102</v>
      </c>
      <c r="B67" s="1409"/>
      <c r="C67" s="1410"/>
      <c r="D67" s="523" t="s">
        <v>187</v>
      </c>
      <c r="E67" s="514">
        <f>'11'!F67</f>
        <v>215299</v>
      </c>
      <c r="F67" s="478">
        <v>215974</v>
      </c>
      <c r="G67" s="473">
        <f t="shared" si="5"/>
        <v>675</v>
      </c>
      <c r="H67" s="460">
        <f>G67+'11'!H67</f>
        <v>8132.1700000000128</v>
      </c>
      <c r="I67" s="489"/>
      <c r="J67" s="553">
        <f>H67/DAY(B2)</f>
        <v>677.68083333333436</v>
      </c>
      <c r="K67" s="429"/>
      <c r="L67" s="377"/>
      <c r="N67" s="723"/>
      <c r="O67" s="732"/>
      <c r="P67" s="718"/>
    </row>
    <row r="68" spans="1:16" ht="27.75">
      <c r="A68" s="1408" t="s">
        <v>103</v>
      </c>
      <c r="B68" s="1409"/>
      <c r="C68" s="1410"/>
      <c r="D68" s="523" t="s">
        <v>187</v>
      </c>
      <c r="E68" s="514">
        <f>'11'!F68</f>
        <v>76381</v>
      </c>
      <c r="F68" s="478">
        <v>76714</v>
      </c>
      <c r="G68" s="473">
        <f t="shared" si="5"/>
        <v>333</v>
      </c>
      <c r="H68" s="460">
        <f>G68+'11'!H68</f>
        <v>4035.4799999999959</v>
      </c>
      <c r="I68" s="516"/>
      <c r="J68" s="553">
        <f>H68/DAY(B2)</f>
        <v>336.28999999999968</v>
      </c>
      <c r="K68" s="430"/>
      <c r="L68" s="377"/>
      <c r="N68" s="723"/>
      <c r="O68" s="732"/>
      <c r="P68" s="718"/>
    </row>
    <row r="69" spans="1:16" ht="27.75">
      <c r="A69" s="1408" t="s">
        <v>104</v>
      </c>
      <c r="B69" s="1409"/>
      <c r="C69" s="1410"/>
      <c r="D69" s="523" t="s">
        <v>187</v>
      </c>
      <c r="E69" s="514">
        <f>'11'!F69</f>
        <v>68042</v>
      </c>
      <c r="F69" s="478">
        <v>68370</v>
      </c>
      <c r="G69" s="473">
        <f t="shared" si="5"/>
        <v>328</v>
      </c>
      <c r="H69" s="460">
        <f>G69+'11'!H69</f>
        <v>3917.9100000000035</v>
      </c>
      <c r="I69" s="516"/>
      <c r="J69" s="553">
        <f>H69/DAY(B2)</f>
        <v>326.49250000000029</v>
      </c>
      <c r="K69" s="431"/>
      <c r="L69" s="377"/>
      <c r="N69" s="723"/>
      <c r="O69" s="732"/>
      <c r="P69" s="718"/>
    </row>
    <row r="70" spans="1:16" ht="27.75">
      <c r="A70" s="1440" t="s">
        <v>189</v>
      </c>
      <c r="B70" s="1441"/>
      <c r="C70" s="1442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7">
        <f>H70/DAY(B2)</f>
        <v>0</v>
      </c>
      <c r="K70" s="431"/>
      <c r="L70" s="377"/>
      <c r="N70" s="723"/>
      <c r="O70" s="732"/>
      <c r="P70" s="718"/>
    </row>
    <row r="71" spans="1:16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723"/>
      <c r="O71" s="732"/>
      <c r="P71" s="718"/>
    </row>
    <row r="72" spans="1:16" ht="27.75">
      <c r="A72" s="1408" t="s">
        <v>191</v>
      </c>
      <c r="B72" s="1409"/>
      <c r="C72" s="1410"/>
      <c r="D72" s="523" t="s">
        <v>187</v>
      </c>
      <c r="E72" s="519">
        <f>'11'!F72</f>
        <v>851533</v>
      </c>
      <c r="F72" s="659">
        <v>851620</v>
      </c>
      <c r="G72" s="473">
        <f t="shared" ref="G72:G84" si="6">F72-E72</f>
        <v>87</v>
      </c>
      <c r="H72" s="460">
        <f>G72+'11'!H72</f>
        <v>1028</v>
      </c>
      <c r="I72" s="480"/>
      <c r="J72" s="553">
        <f>H72/DAY(B2)</f>
        <v>85.666666666666671</v>
      </c>
      <c r="K72" s="431"/>
      <c r="L72" s="377"/>
      <c r="N72" s="723"/>
      <c r="O72" s="732"/>
      <c r="P72" s="718"/>
    </row>
    <row r="73" spans="1:16" ht="27.75">
      <c r="A73" s="1408" t="s">
        <v>192</v>
      </c>
      <c r="B73" s="1409"/>
      <c r="C73" s="1410"/>
      <c r="D73" s="523" t="s">
        <v>187</v>
      </c>
      <c r="E73" s="519">
        <f>'11'!F73</f>
        <v>885775</v>
      </c>
      <c r="F73" s="660">
        <v>885776</v>
      </c>
      <c r="G73" s="657">
        <f t="shared" si="6"/>
        <v>1</v>
      </c>
      <c r="H73" s="460">
        <f>G73+'11'!H73</f>
        <v>4</v>
      </c>
      <c r="I73" s="480"/>
      <c r="J73" s="553">
        <f>H73/DAY(B2)</f>
        <v>0.33333333333333331</v>
      </c>
      <c r="K73" s="430"/>
      <c r="L73" s="377"/>
      <c r="N73" s="723"/>
      <c r="O73" s="732"/>
      <c r="P73" s="718"/>
    </row>
    <row r="74" spans="1:16" ht="27.75">
      <c r="A74" s="1408" t="s">
        <v>193</v>
      </c>
      <c r="B74" s="1409"/>
      <c r="C74" s="1410"/>
      <c r="D74" s="523" t="s">
        <v>187</v>
      </c>
      <c r="E74" s="519">
        <f>'11'!F74</f>
        <v>898</v>
      </c>
      <c r="F74" s="660">
        <v>922</v>
      </c>
      <c r="G74" s="473">
        <f t="shared" si="6"/>
        <v>24</v>
      </c>
      <c r="H74" s="460">
        <f>G74+'11'!H74</f>
        <v>335.83000000000004</v>
      </c>
      <c r="I74" s="480"/>
      <c r="J74" s="553">
        <f>H74/DAY(B2)</f>
        <v>27.985833333333336</v>
      </c>
      <c r="K74" s="431"/>
      <c r="L74" s="377"/>
      <c r="N74" s="723"/>
      <c r="O74" s="732"/>
      <c r="P74" s="718"/>
    </row>
    <row r="75" spans="1:16" ht="27.75">
      <c r="A75" s="1457" t="s">
        <v>194</v>
      </c>
      <c r="B75" s="1458"/>
      <c r="C75" s="1459"/>
      <c r="D75" s="523" t="s">
        <v>187</v>
      </c>
      <c r="E75" s="519">
        <f>'11'!F75</f>
        <v>5314</v>
      </c>
      <c r="F75" s="660">
        <v>5482</v>
      </c>
      <c r="G75" s="473">
        <f t="shared" si="6"/>
        <v>168</v>
      </c>
      <c r="H75" s="460">
        <f>G75+'11'!H75</f>
        <v>1962.7800000000002</v>
      </c>
      <c r="I75" s="480"/>
      <c r="J75" s="553">
        <f>H75/DAY(B2)</f>
        <v>163.56500000000003</v>
      </c>
      <c r="K75" s="430"/>
      <c r="L75" s="377"/>
      <c r="N75" s="723"/>
      <c r="O75" s="732"/>
      <c r="P75" s="718"/>
    </row>
    <row r="76" spans="1:16" ht="27.75">
      <c r="A76" s="1457" t="s">
        <v>195</v>
      </c>
      <c r="B76" s="1458"/>
      <c r="C76" s="1459"/>
      <c r="D76" s="523" t="s">
        <v>187</v>
      </c>
      <c r="E76" s="519">
        <f>'11'!F76</f>
        <v>2444</v>
      </c>
      <c r="F76" s="660">
        <v>2531</v>
      </c>
      <c r="G76" s="473">
        <f t="shared" si="6"/>
        <v>87</v>
      </c>
      <c r="H76" s="460">
        <f>G76+'11'!H76</f>
        <v>1016.6600000000001</v>
      </c>
      <c r="I76" s="505"/>
      <c r="J76" s="553">
        <f>H76/DAY(B2)</f>
        <v>84.721666666666678</v>
      </c>
      <c r="K76" s="430"/>
      <c r="L76" s="377"/>
      <c r="N76" s="723"/>
      <c r="O76" s="732"/>
      <c r="P76" s="718"/>
    </row>
    <row r="77" spans="1:16" ht="27.75">
      <c r="A77" s="1408" t="s">
        <v>196</v>
      </c>
      <c r="B77" s="1409"/>
      <c r="C77" s="1410"/>
      <c r="D77" s="523" t="s">
        <v>187</v>
      </c>
      <c r="E77" s="519">
        <f>'11'!F77</f>
        <v>699169</v>
      </c>
      <c r="F77" s="660">
        <v>699222</v>
      </c>
      <c r="G77" s="657">
        <f t="shared" si="6"/>
        <v>53</v>
      </c>
      <c r="H77" s="460">
        <f>G77+'11'!H77</f>
        <v>634</v>
      </c>
      <c r="I77" s="505"/>
      <c r="J77" s="553">
        <f>H77/DAY(B2)</f>
        <v>52.833333333333336</v>
      </c>
      <c r="K77" s="430"/>
      <c r="L77" s="377"/>
      <c r="N77" s="723"/>
      <c r="O77" s="732"/>
      <c r="P77" s="718"/>
    </row>
    <row r="78" spans="1:16" ht="27.75">
      <c r="A78" s="1151" t="s">
        <v>197</v>
      </c>
      <c r="B78" s="1124"/>
      <c r="C78" s="1124"/>
      <c r="D78" s="523" t="s">
        <v>187</v>
      </c>
      <c r="E78" s="519">
        <f>'11'!F78</f>
        <v>657185</v>
      </c>
      <c r="F78" s="661">
        <v>657592</v>
      </c>
      <c r="G78" s="473">
        <f t="shared" si="6"/>
        <v>407</v>
      </c>
      <c r="H78" s="460">
        <f>G78+'11'!H78</f>
        <v>4729</v>
      </c>
      <c r="I78" s="505"/>
      <c r="J78" s="553">
        <f>H78/DAY(B2)</f>
        <v>394.08333333333331</v>
      </c>
      <c r="K78" s="430"/>
      <c r="L78" s="377"/>
      <c r="N78" s="723"/>
      <c r="O78" s="732"/>
      <c r="P78" s="718"/>
    </row>
    <row r="79" spans="1:16" ht="27.75">
      <c r="A79" s="1457" t="s">
        <v>92</v>
      </c>
      <c r="B79" s="1458"/>
      <c r="C79" s="1459"/>
      <c r="D79" s="524" t="s">
        <v>187</v>
      </c>
      <c r="E79" s="519">
        <f>'11'!F79</f>
        <v>817412</v>
      </c>
      <c r="F79" s="661">
        <v>817602</v>
      </c>
      <c r="G79" s="473">
        <f t="shared" si="6"/>
        <v>190</v>
      </c>
      <c r="H79" s="460">
        <f>G79+'11'!H79</f>
        <v>2493</v>
      </c>
      <c r="I79" s="505"/>
      <c r="J79" s="553">
        <f>H79/DAY(B2)</f>
        <v>207.75</v>
      </c>
      <c r="K79" s="430"/>
      <c r="L79" s="377"/>
      <c r="N79" s="723"/>
      <c r="O79" s="732"/>
      <c r="P79" s="718"/>
    </row>
    <row r="80" spans="1:16" ht="27.75">
      <c r="A80" s="1457" t="s">
        <v>198</v>
      </c>
      <c r="B80" s="1458"/>
      <c r="C80" s="1459"/>
      <c r="D80" s="524" t="s">
        <v>187</v>
      </c>
      <c r="E80" s="519">
        <f>'11'!F80</f>
        <v>498367</v>
      </c>
      <c r="F80" s="660">
        <v>498943</v>
      </c>
      <c r="G80" s="473">
        <f t="shared" si="6"/>
        <v>576</v>
      </c>
      <c r="H80" s="460">
        <f>G80+'11'!H80</f>
        <v>4269.359999999986</v>
      </c>
      <c r="I80" s="505"/>
      <c r="J80" s="553">
        <f>H80/DAY(B2)</f>
        <v>355.77999999999884</v>
      </c>
      <c r="K80" s="430"/>
      <c r="L80" s="377"/>
      <c r="N80" s="723"/>
      <c r="O80" s="732"/>
      <c r="P80" s="718"/>
    </row>
    <row r="81" spans="1:17" ht="27.75">
      <c r="A81" s="1457" t="s">
        <v>199</v>
      </c>
      <c r="B81" s="1458"/>
      <c r="C81" s="1459"/>
      <c r="D81" s="524" t="s">
        <v>187</v>
      </c>
      <c r="E81" s="519">
        <f>'11'!F81</f>
        <v>627101</v>
      </c>
      <c r="F81" s="660">
        <v>627189</v>
      </c>
      <c r="G81" s="473">
        <f t="shared" si="6"/>
        <v>88</v>
      </c>
      <c r="H81" s="460">
        <f>G81+'11'!H81</f>
        <v>1245.1600000000326</v>
      </c>
      <c r="I81" s="505"/>
      <c r="J81" s="553">
        <f>H81/DAY(B2)</f>
        <v>103.76333333333605</v>
      </c>
      <c r="K81" s="430"/>
      <c r="L81" s="377"/>
      <c r="N81" s="723"/>
      <c r="O81" s="732"/>
      <c r="P81" s="718"/>
    </row>
    <row r="82" spans="1:17" ht="27.75">
      <c r="A82" s="1457" t="s">
        <v>93</v>
      </c>
      <c r="B82" s="1458"/>
      <c r="C82" s="1459"/>
      <c r="D82" s="485" t="s">
        <v>132</v>
      </c>
      <c r="E82" s="519">
        <f>'11'!F82</f>
        <v>106445</v>
      </c>
      <c r="F82" s="656">
        <v>106468</v>
      </c>
      <c r="G82" s="473">
        <f t="shared" si="6"/>
        <v>23</v>
      </c>
      <c r="H82" s="460">
        <f>G82+'11'!H82</f>
        <v>265.52000000000407</v>
      </c>
      <c r="I82" s="486"/>
      <c r="J82" s="553">
        <f>H82/DAY(B2)</f>
        <v>22.126666666667006</v>
      </c>
      <c r="K82" s="430"/>
      <c r="L82" s="377"/>
      <c r="N82" s="723"/>
      <c r="O82" s="732"/>
      <c r="P82" s="718"/>
    </row>
    <row r="83" spans="1:17" ht="27.75">
      <c r="A83" s="1457" t="s">
        <v>200</v>
      </c>
      <c r="B83" s="1458"/>
      <c r="C83" s="1459"/>
      <c r="D83" s="621" t="s">
        <v>132</v>
      </c>
      <c r="E83" s="519">
        <f>'11'!F83</f>
        <v>1681</v>
      </c>
      <c r="F83" s="511">
        <v>1892</v>
      </c>
      <c r="G83" s="473">
        <f t="shared" si="6"/>
        <v>211</v>
      </c>
      <c r="H83" s="460">
        <f>G83+'11'!H83</f>
        <v>5295</v>
      </c>
      <c r="I83" s="481"/>
      <c r="J83" s="553">
        <f>H83/DAY(B2)</f>
        <v>441.25</v>
      </c>
      <c r="K83" s="429"/>
      <c r="L83" s="377"/>
      <c r="N83" s="723"/>
      <c r="O83" s="732"/>
      <c r="P83" s="718"/>
    </row>
    <row r="84" spans="1:17">
      <c r="A84" s="1152" t="s">
        <v>201</v>
      </c>
      <c r="B84" s="572"/>
      <c r="C84" s="572"/>
      <c r="D84" s="478" t="s">
        <v>132</v>
      </c>
      <c r="E84" s="519">
        <f>'11'!F84</f>
        <v>439458</v>
      </c>
      <c r="F84" s="628">
        <v>440449</v>
      </c>
      <c r="G84" s="473">
        <f t="shared" si="6"/>
        <v>991</v>
      </c>
      <c r="H84" s="460">
        <f>G84+'11'!H84</f>
        <v>9651</v>
      </c>
      <c r="I84" s="481"/>
      <c r="J84" s="553">
        <f>H84/DAY(B2)</f>
        <v>804.25</v>
      </c>
      <c r="K84" s="380"/>
      <c r="L84" s="377"/>
      <c r="N84" s="723"/>
      <c r="O84" s="732"/>
      <c r="P84" s="718"/>
    </row>
    <row r="85" spans="1:17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2906</v>
      </c>
      <c r="H85" s="460">
        <f>G85+'11'!H85</f>
        <v>30903.929999999968</v>
      </c>
      <c r="I85" s="481"/>
      <c r="J85" s="553">
        <f>H85/DAY(B2)</f>
        <v>2575.3274999999971</v>
      </c>
      <c r="K85" s="380"/>
      <c r="L85" s="378"/>
      <c r="N85" s="723"/>
      <c r="O85" s="732"/>
      <c r="P85" s="718"/>
      <c r="Q85" s="740"/>
    </row>
    <row r="86" spans="1:17" s="740" customFormat="1">
      <c r="A86" s="735" t="s">
        <v>94</v>
      </c>
      <c r="B86" s="736"/>
      <c r="C86" s="736"/>
      <c r="D86" s="737" t="s">
        <v>183</v>
      </c>
      <c r="E86" s="628">
        <f>'11'!F86</f>
        <v>451722</v>
      </c>
      <c r="F86" s="652">
        <v>451971</v>
      </c>
      <c r="G86" s="710">
        <f t="shared" ref="G86:G90" si="7">F86-E86</f>
        <v>249</v>
      </c>
      <c r="H86" s="710">
        <f t="shared" ref="H86:H88" si="8">G86</f>
        <v>249</v>
      </c>
      <c r="I86" s="657"/>
      <c r="J86" s="712">
        <f>H86/DAY(B2)</f>
        <v>20.75</v>
      </c>
      <c r="K86" s="738"/>
      <c r="L86" s="739"/>
      <c r="O86" s="718"/>
    </row>
    <row r="87" spans="1:17" s="740" customFormat="1">
      <c r="A87" s="735" t="s">
        <v>95</v>
      </c>
      <c r="B87" s="736"/>
      <c r="C87" s="736"/>
      <c r="D87" s="737" t="s">
        <v>183</v>
      </c>
      <c r="E87" s="628">
        <f>'11'!F87</f>
        <v>79543</v>
      </c>
      <c r="F87" s="652">
        <v>79571</v>
      </c>
      <c r="G87" s="710">
        <f t="shared" si="7"/>
        <v>28</v>
      </c>
      <c r="H87" s="710">
        <f t="shared" si="8"/>
        <v>28</v>
      </c>
      <c r="I87" s="657"/>
      <c r="J87" s="712">
        <f>H87/DAY(B2)</f>
        <v>2.3333333333333335</v>
      </c>
      <c r="K87" s="738"/>
      <c r="L87" s="739"/>
      <c r="O87" s="718"/>
    </row>
    <row r="88" spans="1:17" s="740" customFormat="1">
      <c r="A88" s="735" t="s">
        <v>96</v>
      </c>
      <c r="B88" s="736"/>
      <c r="C88" s="736"/>
      <c r="D88" s="737" t="s">
        <v>183</v>
      </c>
      <c r="E88" s="628">
        <f>'11'!F88</f>
        <v>149095</v>
      </c>
      <c r="F88" s="652">
        <v>149169</v>
      </c>
      <c r="G88" s="710">
        <f t="shared" si="7"/>
        <v>74</v>
      </c>
      <c r="H88" s="710">
        <f t="shared" si="8"/>
        <v>74</v>
      </c>
      <c r="I88" s="657"/>
      <c r="J88" s="712">
        <f>H88/DAY(B2)</f>
        <v>6.166666666666667</v>
      </c>
      <c r="K88" s="738"/>
      <c r="L88" s="739"/>
      <c r="O88" s="718"/>
    </row>
    <row r="89" spans="1:17" s="740" customFormat="1">
      <c r="A89" s="735" t="s">
        <v>204</v>
      </c>
      <c r="B89" s="736"/>
      <c r="C89" s="736"/>
      <c r="D89" s="737" t="s">
        <v>183</v>
      </c>
      <c r="E89" s="628">
        <f>'11'!F89</f>
        <v>62495</v>
      </c>
      <c r="F89" s="652">
        <v>62558</v>
      </c>
      <c r="G89" s="710">
        <f t="shared" si="7"/>
        <v>63</v>
      </c>
      <c r="H89" s="710">
        <f>G89</f>
        <v>63</v>
      </c>
      <c r="I89" s="657"/>
      <c r="J89" s="712">
        <f>H89/DAY(B2)</f>
        <v>5.25</v>
      </c>
      <c r="K89" s="738"/>
      <c r="L89" s="739"/>
      <c r="N89" s="783"/>
      <c r="O89" s="718"/>
    </row>
    <row r="90" spans="1:17" s="740" customFormat="1">
      <c r="A90" s="735" t="s">
        <v>204</v>
      </c>
      <c r="B90" s="736"/>
      <c r="C90" s="736"/>
      <c r="D90" s="737" t="s">
        <v>183</v>
      </c>
      <c r="E90" s="628">
        <f>'11'!F90</f>
        <v>3214</v>
      </c>
      <c r="F90" s="652">
        <v>3218</v>
      </c>
      <c r="G90" s="710">
        <f t="shared" si="7"/>
        <v>4</v>
      </c>
      <c r="H90" s="710">
        <f>G90</f>
        <v>4</v>
      </c>
      <c r="I90" s="657"/>
      <c r="J90" s="712">
        <f>H90/DAY(B2)</f>
        <v>0.33333333333333331</v>
      </c>
      <c r="K90" s="738"/>
      <c r="L90" s="739"/>
      <c r="N90" s="783"/>
      <c r="O90" s="718"/>
    </row>
    <row r="91" spans="1:17" s="379" customFormat="1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2"/>
      <c r="P91" s="718"/>
      <c r="Q91" s="740"/>
    </row>
    <row r="92" spans="1:17" ht="27.75">
      <c r="A92" s="1411" t="s">
        <v>206</v>
      </c>
      <c r="B92" s="1412"/>
      <c r="C92" s="1413"/>
      <c r="D92" s="523" t="s">
        <v>144</v>
      </c>
      <c r="E92" s="484">
        <f>'11'!F92</f>
        <v>240759</v>
      </c>
      <c r="F92" s="478">
        <v>240827</v>
      </c>
      <c r="G92" s="473">
        <f t="shared" ref="G92:G93" si="9">F92-E92</f>
        <v>68</v>
      </c>
      <c r="H92" s="460">
        <f>G92+'11'!H92</f>
        <v>1132</v>
      </c>
      <c r="I92" s="480"/>
      <c r="J92" s="553">
        <f>H92/DAY(B2)</f>
        <v>94.333333333333329</v>
      </c>
      <c r="K92" s="429"/>
      <c r="L92" s="377"/>
      <c r="N92" s="723"/>
      <c r="O92" s="732"/>
      <c r="P92" s="718"/>
    </row>
    <row r="93" spans="1:17" ht="27.75">
      <c r="A93" s="1411" t="s">
        <v>207</v>
      </c>
      <c r="B93" s="1412"/>
      <c r="C93" s="1413"/>
      <c r="D93" s="523" t="s">
        <v>144</v>
      </c>
      <c r="E93" s="484">
        <f>'11'!F93</f>
        <v>177092</v>
      </c>
      <c r="F93" s="478">
        <v>177199</v>
      </c>
      <c r="G93" s="473">
        <f t="shared" si="9"/>
        <v>107</v>
      </c>
      <c r="H93" s="460">
        <f>G93+'11'!H93</f>
        <v>1538</v>
      </c>
      <c r="I93" s="480"/>
      <c r="J93" s="553">
        <f>H93/DAY(B2)</f>
        <v>128.16666666666666</v>
      </c>
      <c r="K93" s="380"/>
      <c r="L93" s="377"/>
      <c r="N93" s="723"/>
      <c r="O93" s="732"/>
      <c r="P93" s="718"/>
    </row>
    <row r="94" spans="1:17">
      <c r="A94" s="1405" t="s">
        <v>208</v>
      </c>
      <c r="B94" s="1406"/>
      <c r="C94" s="1407"/>
      <c r="D94" s="523"/>
      <c r="E94" s="484">
        <f>'11'!F94</f>
        <v>0</v>
      </c>
      <c r="F94" s="478"/>
      <c r="G94" s="473">
        <f>G92+G93</f>
        <v>175</v>
      </c>
      <c r="H94" s="460">
        <f>G94+'11'!H94</f>
        <v>2404</v>
      </c>
      <c r="I94" s="480"/>
      <c r="J94" s="553">
        <f>H94/DAY(B2)</f>
        <v>200.33333333333334</v>
      </c>
      <c r="K94" s="380"/>
      <c r="L94" s="377"/>
      <c r="N94" s="723"/>
      <c r="O94" s="732"/>
      <c r="P94" s="718"/>
    </row>
    <row r="95" spans="1:17" ht="27.75">
      <c r="A95" s="1411" t="s">
        <v>209</v>
      </c>
      <c r="B95" s="1412"/>
      <c r="C95" s="1413"/>
      <c r="D95" s="523" t="s">
        <v>144</v>
      </c>
      <c r="E95" s="484">
        <f>'11'!F95</f>
        <v>409123</v>
      </c>
      <c r="F95" s="478">
        <v>409194</v>
      </c>
      <c r="G95" s="473">
        <f t="shared" ref="G95:G100" si="10">F95-E95</f>
        <v>71</v>
      </c>
      <c r="H95" s="460">
        <f>G95+'11'!H95</f>
        <v>1038</v>
      </c>
      <c r="I95" s="480"/>
      <c r="J95" s="553">
        <f>H95/DAY(B2)</f>
        <v>86.5</v>
      </c>
      <c r="K95" s="380"/>
      <c r="L95" s="377"/>
      <c r="N95" s="723"/>
      <c r="O95" s="732"/>
      <c r="P95" s="718"/>
    </row>
    <row r="96" spans="1:17" ht="27.75">
      <c r="A96" s="1148" t="s">
        <v>210</v>
      </c>
      <c r="B96" s="1149"/>
      <c r="C96" s="1149"/>
      <c r="D96" s="523" t="s">
        <v>144</v>
      </c>
      <c r="E96" s="484">
        <f>'11'!F96</f>
        <v>101500</v>
      </c>
      <c r="F96" s="478">
        <v>101508</v>
      </c>
      <c r="G96" s="473">
        <f t="shared" si="10"/>
        <v>8</v>
      </c>
      <c r="H96" s="460">
        <f>G96+'11'!H96</f>
        <v>176</v>
      </c>
      <c r="I96" s="480"/>
      <c r="J96" s="553">
        <f>H96/DAY(B2)</f>
        <v>14.666666666666666</v>
      </c>
      <c r="K96" s="427"/>
      <c r="L96" s="377"/>
      <c r="N96" s="723"/>
      <c r="O96" s="732"/>
      <c r="P96" s="718"/>
    </row>
    <row r="97" spans="1:17" ht="27.75">
      <c r="A97" s="1148" t="s">
        <v>211</v>
      </c>
      <c r="B97" s="1149"/>
      <c r="C97" s="1149"/>
      <c r="D97" s="523" t="s">
        <v>144</v>
      </c>
      <c r="E97" s="484">
        <f>'11'!F97</f>
        <v>96658</v>
      </c>
      <c r="F97" s="478">
        <v>96676</v>
      </c>
      <c r="G97" s="473">
        <f t="shared" si="10"/>
        <v>18</v>
      </c>
      <c r="H97" s="460">
        <f>G97+'11'!H97</f>
        <v>227</v>
      </c>
      <c r="I97" s="480"/>
      <c r="J97" s="553">
        <f>H97/DAY(B2)</f>
        <v>18.916666666666668</v>
      </c>
      <c r="K97" s="432"/>
      <c r="L97" s="377"/>
      <c r="N97" s="723"/>
      <c r="O97" s="732"/>
      <c r="P97" s="718"/>
    </row>
    <row r="98" spans="1:17" ht="27.75">
      <c r="A98" s="1148" t="s">
        <v>212</v>
      </c>
      <c r="B98" s="1149"/>
      <c r="C98" s="1149"/>
      <c r="D98" s="523" t="s">
        <v>144</v>
      </c>
      <c r="E98" s="484">
        <f>'11'!F98</f>
        <v>148232</v>
      </c>
      <c r="F98" s="478">
        <v>148299</v>
      </c>
      <c r="G98" s="473">
        <f t="shared" si="10"/>
        <v>67</v>
      </c>
      <c r="H98" s="460">
        <f>G98+'11'!H98</f>
        <v>691</v>
      </c>
      <c r="I98" s="480"/>
      <c r="J98" s="553">
        <f>H98/DAY(B2)</f>
        <v>57.583333333333336</v>
      </c>
      <c r="K98" s="380"/>
      <c r="L98" s="377"/>
      <c r="N98" s="725"/>
      <c r="O98" s="732"/>
      <c r="P98" s="718"/>
    </row>
    <row r="99" spans="1:17" ht="27.75">
      <c r="A99" s="1148" t="s">
        <v>213</v>
      </c>
      <c r="B99" s="1149"/>
      <c r="C99" s="1149"/>
      <c r="D99" s="523" t="s">
        <v>144</v>
      </c>
      <c r="E99" s="484">
        <f>'11'!F99</f>
        <v>6556</v>
      </c>
      <c r="F99" s="478">
        <v>6571</v>
      </c>
      <c r="G99" s="473">
        <f t="shared" si="10"/>
        <v>15</v>
      </c>
      <c r="H99" s="460">
        <f>G99+'11'!H99</f>
        <v>163</v>
      </c>
      <c r="I99" s="480"/>
      <c r="J99" s="553">
        <f>H99/DAY(B2)</f>
        <v>13.583333333333334</v>
      </c>
      <c r="K99" s="380"/>
      <c r="L99" s="377"/>
      <c r="N99" s="723"/>
      <c r="O99" s="732"/>
      <c r="P99" s="718"/>
    </row>
    <row r="100" spans="1:17" ht="27.75">
      <c r="A100" s="1148" t="s">
        <v>214</v>
      </c>
      <c r="B100" s="1149"/>
      <c r="C100" s="1149"/>
      <c r="D100" s="523" t="s">
        <v>144</v>
      </c>
      <c r="E100" s="484">
        <f>'11'!F100</f>
        <v>4661</v>
      </c>
      <c r="F100" s="478">
        <v>4671</v>
      </c>
      <c r="G100" s="473">
        <f t="shared" si="10"/>
        <v>10</v>
      </c>
      <c r="H100" s="460">
        <f>G100+'11'!H100</f>
        <v>128</v>
      </c>
      <c r="I100" s="480"/>
      <c r="J100" s="553">
        <f>H100/DAY(B2)</f>
        <v>10.666666666666666</v>
      </c>
      <c r="K100" s="380"/>
      <c r="L100" s="377"/>
      <c r="N100" s="723"/>
      <c r="O100" s="732"/>
      <c r="P100" s="718"/>
    </row>
    <row r="101" spans="1:17">
      <c r="A101" s="1405" t="s">
        <v>216</v>
      </c>
      <c r="B101" s="1406"/>
      <c r="C101" s="1407"/>
      <c r="D101" s="524"/>
      <c r="E101" s="484"/>
      <c r="F101" s="524"/>
      <c r="G101" s="525">
        <f>SUM(G95:G100)</f>
        <v>189</v>
      </c>
      <c r="H101" s="460">
        <f>G101+'11'!H101</f>
        <v>2423</v>
      </c>
      <c r="I101" s="526"/>
      <c r="J101" s="553">
        <f>H101/DAY(B2)</f>
        <v>201.91666666666666</v>
      </c>
      <c r="K101" s="380"/>
      <c r="L101" s="377"/>
      <c r="N101" s="723"/>
      <c r="O101" s="732"/>
      <c r="P101" s="718"/>
    </row>
    <row r="102" spans="1:17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2"/>
      <c r="P102" s="718"/>
      <c r="Q102" s="445"/>
    </row>
    <row r="103" spans="1:17" s="442" customFormat="1" ht="27.75">
      <c r="A103" s="1414" t="s">
        <v>218</v>
      </c>
      <c r="B103" s="1415"/>
      <c r="C103" s="574"/>
      <c r="D103" s="623"/>
      <c r="E103" s="484"/>
      <c r="F103" s="663"/>
      <c r="G103" s="532"/>
      <c r="H103" s="533"/>
      <c r="I103" s="532"/>
      <c r="J103" s="559"/>
      <c r="N103" s="723"/>
      <c r="O103" s="732"/>
      <c r="P103" s="718"/>
      <c r="Q103" s="445"/>
    </row>
    <row r="104" spans="1:17" s="442" customFormat="1" ht="27.75">
      <c r="A104" s="1416" t="s">
        <v>219</v>
      </c>
      <c r="B104" s="1417"/>
      <c r="C104" s="1147"/>
      <c r="D104" s="623" t="s">
        <v>144</v>
      </c>
      <c r="E104" s="484">
        <f>'11'!F104</f>
        <v>7233</v>
      </c>
      <c r="F104" s="663">
        <v>7233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6.5958333333333412</v>
      </c>
      <c r="N104" s="723"/>
      <c r="O104" s="732"/>
      <c r="P104" s="718"/>
      <c r="Q104" s="445"/>
    </row>
    <row r="105" spans="1:17" s="442" customFormat="1" ht="27.75">
      <c r="A105" s="1416" t="s">
        <v>77</v>
      </c>
      <c r="B105" s="1417"/>
      <c r="C105" s="1147"/>
      <c r="D105" s="623" t="s">
        <v>144</v>
      </c>
      <c r="E105" s="484">
        <f>'11'!F105</f>
        <v>35494</v>
      </c>
      <c r="F105" s="664">
        <v>35500</v>
      </c>
      <c r="G105" s="532">
        <f t="shared" ref="G105:G106" si="11">F105-E105</f>
        <v>6</v>
      </c>
      <c r="H105" s="533">
        <f>SUM(G105+'1'!G77)</f>
        <v>51</v>
      </c>
      <c r="I105" s="532"/>
      <c r="J105" s="559">
        <f>H105/DAY(B2)</f>
        <v>4.25</v>
      </c>
      <c r="N105" s="723"/>
      <c r="O105" s="732"/>
      <c r="P105" s="718"/>
      <c r="Q105" s="445"/>
    </row>
    <row r="106" spans="1:17" s="442" customFormat="1" ht="27.75">
      <c r="A106" s="1416" t="s">
        <v>78</v>
      </c>
      <c r="B106" s="1418"/>
      <c r="C106" s="1417"/>
      <c r="D106" s="623" t="s">
        <v>144</v>
      </c>
      <c r="E106" s="484">
        <f>'11'!F106</f>
        <v>19308</v>
      </c>
      <c r="F106" s="664">
        <v>19312</v>
      </c>
      <c r="G106" s="532">
        <f t="shared" si="11"/>
        <v>4</v>
      </c>
      <c r="H106" s="533">
        <f>SUM(G106+'1'!G78)</f>
        <v>394</v>
      </c>
      <c r="I106" s="532"/>
      <c r="J106" s="559">
        <f>H106/DAY(B2)</f>
        <v>32.833333333333336</v>
      </c>
      <c r="N106" s="723"/>
      <c r="O106" s="732"/>
      <c r="P106" s="718"/>
      <c r="Q106" s="445"/>
    </row>
    <row r="107" spans="1:17" s="442" customFormat="1" ht="27.75">
      <c r="A107" s="1419" t="s">
        <v>202</v>
      </c>
      <c r="B107" s="1420"/>
      <c r="C107" s="1147"/>
      <c r="D107" s="623"/>
      <c r="E107" s="484"/>
      <c r="F107" s="664"/>
      <c r="G107" s="532">
        <f>SUM(G104:G106)</f>
        <v>10</v>
      </c>
      <c r="H107" s="533">
        <f>SUM(G107+'1'!G79)</f>
        <v>202</v>
      </c>
      <c r="I107" s="532"/>
      <c r="J107" s="559">
        <f>H107/DAY(B2)</f>
        <v>16.833333333333332</v>
      </c>
      <c r="N107" s="723"/>
      <c r="O107" s="732"/>
      <c r="P107" s="718"/>
      <c r="Q107" s="445"/>
    </row>
    <row r="108" spans="1:17" s="442" customFormat="1" ht="27.75">
      <c r="A108" s="1421" t="s">
        <v>79</v>
      </c>
      <c r="B108" s="1422"/>
      <c r="C108" s="1147"/>
      <c r="D108" s="623" t="s">
        <v>144</v>
      </c>
      <c r="E108" s="484"/>
      <c r="F108" s="664"/>
      <c r="G108" s="532"/>
      <c r="H108" s="533"/>
      <c r="I108" s="532"/>
      <c r="J108" s="559"/>
      <c r="N108" s="723"/>
      <c r="O108" s="732"/>
      <c r="P108" s="718"/>
      <c r="Q108" s="445"/>
    </row>
    <row r="109" spans="1:17" s="442" customFormat="1" ht="27.75">
      <c r="A109" s="1416" t="s">
        <v>220</v>
      </c>
      <c r="B109" s="1417"/>
      <c r="C109" s="1147"/>
      <c r="D109" s="623" t="s">
        <v>144</v>
      </c>
      <c r="E109" s="484">
        <f>'11'!F109</f>
        <v>57226</v>
      </c>
      <c r="F109" s="664">
        <v>57267</v>
      </c>
      <c r="G109" s="532">
        <f>F109-E109</f>
        <v>41</v>
      </c>
      <c r="H109" s="533">
        <f>SUM(G109+'1'!G81)</f>
        <v>153.56000000005588</v>
      </c>
      <c r="I109" s="532"/>
      <c r="J109" s="559">
        <f>H109/DAY(B2)</f>
        <v>12.796666666671323</v>
      </c>
      <c r="N109" s="723"/>
      <c r="O109" s="732"/>
      <c r="P109" s="718"/>
      <c r="Q109" s="445"/>
    </row>
    <row r="110" spans="1:17" s="442" customFormat="1" ht="27.75">
      <c r="A110" s="1416" t="s">
        <v>221</v>
      </c>
      <c r="B110" s="1417"/>
      <c r="C110" s="1147"/>
      <c r="D110" s="623" t="s">
        <v>144</v>
      </c>
      <c r="E110" s="484">
        <f>'11'!F110</f>
        <v>31156</v>
      </c>
      <c r="F110" s="664">
        <v>31187</v>
      </c>
      <c r="G110" s="532">
        <f t="shared" ref="G110:G111" si="12">F110-E110</f>
        <v>31</v>
      </c>
      <c r="H110" s="533">
        <f>SUM(G110+'1'!G82)</f>
        <v>49.169999999998254</v>
      </c>
      <c r="I110" s="532"/>
      <c r="J110" s="559">
        <f>H110/DAY(B2)</f>
        <v>4.0974999999998545</v>
      </c>
      <c r="N110" s="723"/>
      <c r="O110" s="732"/>
      <c r="P110" s="718"/>
      <c r="Q110" s="445"/>
    </row>
    <row r="111" spans="1:17" s="442" customFormat="1" ht="27.75">
      <c r="A111" s="1416" t="s">
        <v>222</v>
      </c>
      <c r="B111" s="1417"/>
      <c r="C111" s="1147"/>
      <c r="D111" s="623" t="s">
        <v>144</v>
      </c>
      <c r="E111" s="484">
        <f>'11'!F111</f>
        <v>4047</v>
      </c>
      <c r="F111" s="664">
        <v>4054</v>
      </c>
      <c r="G111" s="532">
        <f t="shared" si="12"/>
        <v>7</v>
      </c>
      <c r="H111" s="533">
        <f>SUM(G111+'1'!G83)</f>
        <v>527</v>
      </c>
      <c r="I111" s="532"/>
      <c r="J111" s="559">
        <f>H111/DAY(B2)</f>
        <v>43.916666666666664</v>
      </c>
      <c r="N111" s="723"/>
      <c r="O111" s="732"/>
      <c r="P111" s="718"/>
      <c r="Q111" s="445"/>
    </row>
    <row r="112" spans="1:17" s="442" customFormat="1" ht="27.75">
      <c r="A112" s="1419" t="s">
        <v>110</v>
      </c>
      <c r="B112" s="1420"/>
      <c r="C112" s="1147"/>
      <c r="D112" s="623"/>
      <c r="E112" s="484"/>
      <c r="F112" s="664"/>
      <c r="G112" s="532">
        <f>SUM(G109:G111)</f>
        <v>79</v>
      </c>
      <c r="H112" s="533">
        <f>SUM(G112+'1'!G84)</f>
        <v>769</v>
      </c>
      <c r="I112" s="532"/>
      <c r="J112" s="559">
        <f>H112/DAY(B2)</f>
        <v>64.083333333333329</v>
      </c>
      <c r="N112" s="723"/>
      <c r="O112" s="732"/>
      <c r="P112" s="718"/>
      <c r="Q112" s="445"/>
    </row>
    <row r="113" spans="1:17" s="442" customFormat="1" ht="27.75">
      <c r="A113" s="1421" t="s">
        <v>223</v>
      </c>
      <c r="B113" s="1422"/>
      <c r="C113" s="1147"/>
      <c r="D113" s="623"/>
      <c r="E113" s="484"/>
      <c r="F113" s="664"/>
      <c r="G113" s="532"/>
      <c r="H113" s="533"/>
      <c r="I113" s="532"/>
      <c r="J113" s="559">
        <f>H113/DAY(B2)</f>
        <v>0</v>
      </c>
      <c r="N113" s="723"/>
      <c r="O113" s="732"/>
      <c r="P113" s="718"/>
      <c r="Q113" s="445"/>
    </row>
    <row r="114" spans="1:17" s="442" customFormat="1" ht="27.75">
      <c r="A114" s="1416" t="s">
        <v>224</v>
      </c>
      <c r="B114" s="1417"/>
      <c r="C114" s="575"/>
      <c r="D114" s="623" t="s">
        <v>144</v>
      </c>
      <c r="E114" s="484">
        <f>'11'!F114</f>
        <v>10502</v>
      </c>
      <c r="F114" s="664">
        <v>10519</v>
      </c>
      <c r="G114" s="534">
        <f>F114-E114</f>
        <v>17</v>
      </c>
      <c r="H114" s="533">
        <f>SUM(G114+'1'!G91)</f>
        <v>17</v>
      </c>
      <c r="I114" s="532"/>
      <c r="J114" s="559">
        <f>H114/DAY(B2)</f>
        <v>1.4166666666666667</v>
      </c>
      <c r="N114" s="723"/>
      <c r="O114" s="732"/>
      <c r="P114" s="718"/>
      <c r="Q114" s="445"/>
    </row>
    <row r="115" spans="1:17" s="442" customFormat="1" ht="27.75">
      <c r="A115" s="1416" t="s">
        <v>225</v>
      </c>
      <c r="B115" s="1417"/>
      <c r="C115" s="575"/>
      <c r="D115" s="623" t="s">
        <v>144</v>
      </c>
      <c r="E115" s="484">
        <f>'11'!F115</f>
        <v>7762</v>
      </c>
      <c r="F115" s="664">
        <v>7770</v>
      </c>
      <c r="G115" s="534">
        <f t="shared" ref="G115:G116" si="13">F115-E115</f>
        <v>8</v>
      </c>
      <c r="H115" s="533">
        <f>SUM(G115+'1'!G92)</f>
        <v>130</v>
      </c>
      <c r="I115" s="532"/>
      <c r="J115" s="559">
        <f>H115/DAY(B2)</f>
        <v>10.833333333333334</v>
      </c>
      <c r="N115" s="723"/>
      <c r="O115" s="732"/>
      <c r="P115" s="718"/>
      <c r="Q115" s="445"/>
    </row>
    <row r="116" spans="1:17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12</v>
      </c>
      <c r="N116" s="723"/>
      <c r="O116" s="732"/>
      <c r="P116" s="718"/>
      <c r="Q116" s="445"/>
    </row>
    <row r="117" spans="1:17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25</v>
      </c>
      <c r="H117" s="533">
        <f>SUM(G117+'1'!G95)</f>
        <v>101</v>
      </c>
      <c r="I117" s="534"/>
      <c r="J117" s="559">
        <f>H117/DAY(B2)</f>
        <v>8.4166666666666661</v>
      </c>
      <c r="N117" s="723"/>
      <c r="O117" s="732"/>
      <c r="P117" s="718"/>
    </row>
    <row r="118" spans="1:17" s="446" customFormat="1" ht="27.75">
      <c r="A118" s="1450" t="s">
        <v>227</v>
      </c>
      <c r="B118" s="1451"/>
      <c r="C118" s="1145"/>
      <c r="D118" s="625" t="s">
        <v>144</v>
      </c>
      <c r="E118" s="536"/>
      <c r="F118" s="665">
        <f>SUM(G19+G92)</f>
        <v>122</v>
      </c>
      <c r="G118" s="536">
        <f>SUM(G19+G92)</f>
        <v>122</v>
      </c>
      <c r="H118" s="533">
        <f>SUM(G118+'1'!G96)</f>
        <v>135</v>
      </c>
      <c r="I118" s="535"/>
      <c r="J118" s="560">
        <f>H118/DAY(B2)</f>
        <v>11.25</v>
      </c>
      <c r="N118" s="723"/>
      <c r="O118" s="732"/>
      <c r="P118" s="718"/>
    </row>
    <row r="119" spans="1:17" s="446" customFormat="1" ht="27.75">
      <c r="A119" s="1450" t="s">
        <v>228</v>
      </c>
      <c r="B119" s="1451"/>
      <c r="C119" s="1145"/>
      <c r="D119" s="625" t="s">
        <v>144</v>
      </c>
      <c r="E119" s="536"/>
      <c r="F119" s="665">
        <f>SUM(G95,G96,G97,G99,G100)</f>
        <v>122</v>
      </c>
      <c r="G119" s="536">
        <f>SUM(G95,G96,G97,G99,G100)</f>
        <v>122</v>
      </c>
      <c r="H119" s="533">
        <f>SUM(G119+'1'!G98)</f>
        <v>192</v>
      </c>
      <c r="I119" s="535"/>
      <c r="J119" s="560">
        <f>H119/DAY(B2)</f>
        <v>16</v>
      </c>
      <c r="N119" s="723"/>
      <c r="O119" s="732"/>
      <c r="P119" s="718"/>
    </row>
    <row r="120" spans="1:17" s="446" customFormat="1" ht="27.75">
      <c r="A120" s="1450" t="s">
        <v>229</v>
      </c>
      <c r="B120" s="1451"/>
      <c r="C120" s="1145"/>
      <c r="D120" s="625" t="s">
        <v>144</v>
      </c>
      <c r="E120" s="534"/>
      <c r="F120" s="664">
        <f>SUM(G112)</f>
        <v>79</v>
      </c>
      <c r="G120" s="534">
        <f>SUM(G112)</f>
        <v>79</v>
      </c>
      <c r="H120" s="533">
        <f>SUM(G120+'1'!G100)</f>
        <v>93</v>
      </c>
      <c r="I120" s="535"/>
      <c r="J120" s="560">
        <f>H120/DAY(B2)</f>
        <v>7.75</v>
      </c>
      <c r="N120" s="723"/>
      <c r="O120" s="732"/>
      <c r="P120" s="718"/>
    </row>
    <row r="121" spans="1:17" s="442" customFormat="1" ht="27.75">
      <c r="A121" s="1452"/>
      <c r="B121" s="1453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2"/>
      <c r="P121" s="718"/>
      <c r="Q121" s="445"/>
    </row>
    <row r="122" spans="1:17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2"/>
      <c r="P122" s="718"/>
    </row>
    <row r="123" spans="1:17" ht="27.75">
      <c r="A123" s="1148" t="s">
        <v>231</v>
      </c>
      <c r="B123" s="1149"/>
      <c r="C123" s="1149"/>
      <c r="D123" s="523" t="s">
        <v>141</v>
      </c>
      <c r="E123" s="478">
        <f>'11'!F123</f>
        <v>813800</v>
      </c>
      <c r="F123" s="478">
        <v>814045</v>
      </c>
      <c r="G123" s="473">
        <f t="shared" ref="G123:G127" si="14">F123-E123</f>
        <v>245</v>
      </c>
      <c r="H123" s="460">
        <f>G123+'11'!H123</f>
        <v>3038.1600000000326</v>
      </c>
      <c r="I123" s="526"/>
      <c r="J123" s="553">
        <f>H123/DAY(B2)</f>
        <v>253.18000000000271</v>
      </c>
      <c r="K123" s="380"/>
      <c r="L123" s="377"/>
      <c r="N123" s="723"/>
      <c r="O123" s="732"/>
      <c r="P123" s="718"/>
    </row>
    <row r="124" spans="1:17" ht="27.75">
      <c r="A124" s="1148" t="s">
        <v>232</v>
      </c>
      <c r="B124" s="1149"/>
      <c r="C124" s="1149"/>
      <c r="D124" s="523" t="s">
        <v>141</v>
      </c>
      <c r="E124" s="627">
        <f>'11'!F124</f>
        <v>73583</v>
      </c>
      <c r="F124" s="627">
        <v>73583</v>
      </c>
      <c r="G124" s="473">
        <f t="shared" si="14"/>
        <v>0</v>
      </c>
      <c r="H124" s="460">
        <f>G124+'11'!H124</f>
        <v>-0.39999999999417923</v>
      </c>
      <c r="I124" s="526"/>
      <c r="J124" s="553">
        <f>H124/DAY(B2)</f>
        <v>-3.3333333332848269E-2</v>
      </c>
      <c r="K124" s="380"/>
      <c r="L124" s="377"/>
      <c r="N124" s="723"/>
      <c r="O124" s="732"/>
      <c r="P124" s="718"/>
    </row>
    <row r="125" spans="1:17" ht="27.75">
      <c r="A125" s="1408" t="s">
        <v>233</v>
      </c>
      <c r="B125" s="1409"/>
      <c r="C125" s="1410"/>
      <c r="D125" s="523" t="s">
        <v>141</v>
      </c>
      <c r="E125" s="478">
        <f>'11'!F125</f>
        <v>140714</v>
      </c>
      <c r="F125" s="478">
        <v>140774</v>
      </c>
      <c r="G125" s="473">
        <f t="shared" si="14"/>
        <v>60</v>
      </c>
      <c r="H125" s="460">
        <f>G125+'11'!H125</f>
        <v>794.66000000000349</v>
      </c>
      <c r="I125" s="526"/>
      <c r="J125" s="553">
        <f>H125/DAY(B2)</f>
        <v>66.221666666666962</v>
      </c>
      <c r="K125" s="380"/>
      <c r="L125" s="377"/>
      <c r="N125" s="723"/>
      <c r="O125" s="732"/>
      <c r="P125" s="718"/>
    </row>
    <row r="126" spans="1:17" ht="27.75">
      <c r="A126" s="610" t="s">
        <v>234</v>
      </c>
      <c r="B126" s="1149"/>
      <c r="C126" s="1149"/>
      <c r="D126" s="523" t="s">
        <v>141</v>
      </c>
      <c r="E126" s="627">
        <f>'11'!F126</f>
        <v>59667</v>
      </c>
      <c r="F126" s="627">
        <v>59687</v>
      </c>
      <c r="G126" s="473">
        <f t="shared" si="14"/>
        <v>20</v>
      </c>
      <c r="H126" s="460">
        <f>G126+'11'!H126</f>
        <v>380.09999999999854</v>
      </c>
      <c r="I126" s="526"/>
      <c r="J126" s="553">
        <f>H126/DAY(B2)</f>
        <v>31.67499999999988</v>
      </c>
      <c r="K126" s="380"/>
      <c r="L126" s="377"/>
      <c r="N126" s="723"/>
      <c r="O126" s="732"/>
      <c r="P126" s="718"/>
    </row>
    <row r="127" spans="1:17" ht="27.75">
      <c r="A127" s="610" t="s">
        <v>235</v>
      </c>
      <c r="B127" s="1149"/>
      <c r="C127" s="1149"/>
      <c r="D127" s="523" t="s">
        <v>141</v>
      </c>
      <c r="E127" s="627">
        <f>'11'!F127</f>
        <v>8914</v>
      </c>
      <c r="F127" s="627">
        <v>8917</v>
      </c>
      <c r="G127" s="473">
        <f t="shared" si="14"/>
        <v>3</v>
      </c>
      <c r="H127" s="460">
        <f>G127+'11'!H127</f>
        <v>29.200000000000728</v>
      </c>
      <c r="I127" s="480"/>
      <c r="J127" s="553">
        <f>H127/DAY(B2)</f>
        <v>2.433333333333394</v>
      </c>
      <c r="K127" s="380"/>
      <c r="L127" s="377"/>
      <c r="N127" s="723"/>
      <c r="O127" s="732"/>
      <c r="P127" s="718"/>
    </row>
    <row r="128" spans="1:17" s="281" customFormat="1" ht="27.7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476.77000000001863</v>
      </c>
      <c r="H128" s="460">
        <f>H15-SUM(H123:H127)</f>
        <v>6258.439999999875</v>
      </c>
      <c r="I128" s="480"/>
      <c r="J128" s="553"/>
      <c r="K128" s="364"/>
      <c r="L128" s="292"/>
      <c r="N128" s="723"/>
      <c r="O128" s="732"/>
      <c r="P128" s="718"/>
      <c r="Q128" s="715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2"/>
      <c r="P129" s="718"/>
    </row>
    <row r="130" spans="1:16" ht="27.75">
      <c r="A130" s="1148" t="s">
        <v>238</v>
      </c>
      <c r="B130" s="1149"/>
      <c r="C130" s="1149"/>
      <c r="D130" s="523" t="s">
        <v>239</v>
      </c>
      <c r="E130" s="484">
        <f>'11'!F130</f>
        <v>0</v>
      </c>
      <c r="F130" s="478">
        <v>0</v>
      </c>
      <c r="G130" s="473">
        <f t="shared" ref="G130:G140" si="15">F130-E130</f>
        <v>0</v>
      </c>
      <c r="H130" s="460">
        <f>G130+'11'!H130</f>
        <v>0</v>
      </c>
      <c r="I130" s="480"/>
      <c r="J130" s="553">
        <f>H130/DAY(B2)</f>
        <v>0</v>
      </c>
      <c r="N130" s="723"/>
      <c r="O130" s="732"/>
      <c r="P130" s="718"/>
    </row>
    <row r="131" spans="1:16" ht="27.75">
      <c r="A131" s="1148" t="s">
        <v>240</v>
      </c>
      <c r="B131" s="1149"/>
      <c r="C131" s="1149"/>
      <c r="D131" s="523" t="s">
        <v>239</v>
      </c>
      <c r="E131" s="484">
        <f>'11'!F131</f>
        <v>0</v>
      </c>
      <c r="F131" s="478">
        <v>0</v>
      </c>
      <c r="G131" s="473">
        <f t="shared" si="15"/>
        <v>0</v>
      </c>
      <c r="H131" s="460">
        <f>G131+'11'!H131</f>
        <v>0</v>
      </c>
      <c r="I131" s="480"/>
      <c r="J131" s="553">
        <f>H131/DAY(B2)</f>
        <v>0</v>
      </c>
      <c r="N131" s="723"/>
      <c r="O131" s="732"/>
      <c r="P131" s="718"/>
    </row>
    <row r="132" spans="1:16" ht="27.75">
      <c r="A132" s="1148" t="s">
        <v>241</v>
      </c>
      <c r="B132" s="1149"/>
      <c r="C132" s="1149"/>
      <c r="D132" s="523" t="s">
        <v>239</v>
      </c>
      <c r="E132" s="542">
        <f>'11'!F132</f>
        <v>39219.35</v>
      </c>
      <c r="F132" s="656">
        <v>39219.35</v>
      </c>
      <c r="G132" s="473">
        <f t="shared" si="15"/>
        <v>0</v>
      </c>
      <c r="H132" s="460">
        <f>G132+'11'!H132</f>
        <v>390.34999999999854</v>
      </c>
      <c r="I132" s="480"/>
      <c r="J132" s="553">
        <f>H132/DAY(B2)</f>
        <v>32.529166666666548</v>
      </c>
      <c r="N132" s="723"/>
      <c r="O132" s="732"/>
      <c r="P132" s="718"/>
    </row>
    <row r="133" spans="1:16" ht="27.75">
      <c r="A133" s="1148" t="s">
        <v>242</v>
      </c>
      <c r="B133" s="1149"/>
      <c r="C133" s="1149"/>
      <c r="D133" s="523" t="s">
        <v>239</v>
      </c>
      <c r="E133" s="706">
        <f>'11'!F133</f>
        <v>299</v>
      </c>
      <c r="F133" s="627">
        <v>299</v>
      </c>
      <c r="G133" s="473">
        <f t="shared" si="15"/>
        <v>0</v>
      </c>
      <c r="H133" s="460">
        <f>G133+'11'!H133</f>
        <v>-1</v>
      </c>
      <c r="I133" s="480">
        <f>G130+G131+G132+G133</f>
        <v>0</v>
      </c>
      <c r="J133" s="553">
        <f>H133/DAY(B2)</f>
        <v>-8.3333333333333329E-2</v>
      </c>
      <c r="N133" s="723"/>
      <c r="O133" s="732"/>
      <c r="P133" s="718"/>
    </row>
    <row r="134" spans="1:16" ht="27.75">
      <c r="A134" s="1148" t="s">
        <v>243</v>
      </c>
      <c r="B134" s="1149"/>
      <c r="C134" s="1149"/>
      <c r="D134" s="523" t="s">
        <v>239</v>
      </c>
      <c r="E134" s="706">
        <f>'11'!F134</f>
        <v>40626.51</v>
      </c>
      <c r="F134" s="627">
        <v>40650.57</v>
      </c>
      <c r="G134" s="473">
        <f t="shared" si="15"/>
        <v>24.059999999997672</v>
      </c>
      <c r="H134" s="460">
        <f>G134+'11'!H134</f>
        <v>283.43000000000029</v>
      </c>
      <c r="I134" s="480"/>
      <c r="J134" s="553">
        <f>H134/DAY(B2)</f>
        <v>23.61916666666669</v>
      </c>
      <c r="N134" s="723"/>
      <c r="O134" s="732"/>
      <c r="P134" s="718"/>
    </row>
    <row r="135" spans="1:16" ht="27.75">
      <c r="A135" s="1148" t="s">
        <v>244</v>
      </c>
      <c r="B135" s="1149"/>
      <c r="C135" s="1149"/>
      <c r="D135" s="523" t="s">
        <v>239</v>
      </c>
      <c r="E135" s="522">
        <f>'11'!F135</f>
        <v>32582.560000000001</v>
      </c>
      <c r="F135" s="656">
        <v>32582.560000000001</v>
      </c>
      <c r="G135" s="473">
        <f t="shared" si="15"/>
        <v>0</v>
      </c>
      <c r="H135" s="460">
        <f>G135+'11'!H135</f>
        <v>11.56000000000131</v>
      </c>
      <c r="I135" s="480"/>
      <c r="J135" s="553">
        <f>H135/DAY(B2)</f>
        <v>0.96333333333344251</v>
      </c>
      <c r="N135" s="723"/>
      <c r="O135" s="732"/>
      <c r="P135" s="718"/>
    </row>
    <row r="136" spans="1:16" ht="27.75">
      <c r="A136" s="1148" t="s">
        <v>245</v>
      </c>
      <c r="B136" s="1149"/>
      <c r="C136" s="1149"/>
      <c r="D136" s="523" t="s">
        <v>239</v>
      </c>
      <c r="E136" s="542">
        <f>'11'!F136</f>
        <v>22318</v>
      </c>
      <c r="F136" s="656">
        <v>22326</v>
      </c>
      <c r="G136" s="473">
        <f t="shared" si="15"/>
        <v>8</v>
      </c>
      <c r="H136" s="460">
        <f>G136+'11'!H136</f>
        <v>103.79000000000087</v>
      </c>
      <c r="I136" s="480">
        <f>G134+G135+G136</f>
        <v>32.059999999997672</v>
      </c>
      <c r="J136" s="553">
        <f>H136/DAY(B2)</f>
        <v>8.6491666666667388</v>
      </c>
      <c r="N136" s="723"/>
      <c r="O136" s="732"/>
      <c r="P136" s="718"/>
    </row>
    <row r="137" spans="1:16" ht="27.75">
      <c r="A137" s="1148" t="s">
        <v>246</v>
      </c>
      <c r="B137" s="1149"/>
      <c r="C137" s="1149"/>
      <c r="D137" s="523" t="s">
        <v>239</v>
      </c>
      <c r="E137" s="542">
        <f>'11'!F137</f>
        <v>25044.31</v>
      </c>
      <c r="F137" s="656">
        <v>25044.31</v>
      </c>
      <c r="G137" s="473">
        <f t="shared" si="15"/>
        <v>0</v>
      </c>
      <c r="H137" s="460">
        <f>G137+'11'!H137</f>
        <v>0</v>
      </c>
      <c r="I137" s="480"/>
      <c r="J137" s="553">
        <f>H137/DAY(B2)</f>
        <v>0</v>
      </c>
      <c r="N137" s="723"/>
      <c r="O137" s="732"/>
      <c r="P137" s="718"/>
    </row>
    <row r="138" spans="1:16" ht="27.75">
      <c r="A138" s="1148" t="s">
        <v>247</v>
      </c>
      <c r="B138" s="1149"/>
      <c r="C138" s="1149"/>
      <c r="D138" s="523" t="s">
        <v>239</v>
      </c>
      <c r="E138" s="542">
        <f>'11'!F138</f>
        <v>70196</v>
      </c>
      <c r="F138" s="656">
        <v>70199.86</v>
      </c>
      <c r="G138" s="473">
        <f t="shared" si="15"/>
        <v>3.8600000000005821</v>
      </c>
      <c r="H138" s="460">
        <f>G138+'11'!H138</f>
        <v>52.520000000004075</v>
      </c>
      <c r="I138" s="480">
        <f>G137+G138</f>
        <v>3.8600000000005821</v>
      </c>
      <c r="J138" s="553">
        <f>H138/DAY(B2)</f>
        <v>4.3766666666670062</v>
      </c>
      <c r="N138" s="723"/>
      <c r="O138" s="732"/>
      <c r="P138" s="718"/>
    </row>
    <row r="139" spans="1:16" ht="27.75">
      <c r="A139" s="1148" t="s">
        <v>248</v>
      </c>
      <c r="B139" s="1149"/>
      <c r="C139" s="1149"/>
      <c r="D139" s="523" t="s">
        <v>239</v>
      </c>
      <c r="E139" s="706">
        <f>'11'!F139</f>
        <v>1504</v>
      </c>
      <c r="F139" s="627">
        <v>1511</v>
      </c>
      <c r="G139" s="473">
        <f t="shared" si="15"/>
        <v>7</v>
      </c>
      <c r="H139" s="460">
        <f>G139+'11'!H139</f>
        <v>87.8599999999999</v>
      </c>
      <c r="I139" s="543"/>
      <c r="J139" s="553">
        <f>H139/DAY(B2)</f>
        <v>7.3216666666666583</v>
      </c>
      <c r="N139" s="723"/>
      <c r="O139" s="732"/>
      <c r="P139" s="718"/>
    </row>
    <row r="140" spans="1:16" ht="27.75">
      <c r="A140" s="1148" t="s">
        <v>249</v>
      </c>
      <c r="B140" s="1149"/>
      <c r="C140" s="1149"/>
      <c r="D140" s="523" t="s">
        <v>239</v>
      </c>
      <c r="E140" s="484">
        <f>'11'!F140</f>
        <v>4334</v>
      </c>
      <c r="F140" s="478">
        <v>4334</v>
      </c>
      <c r="G140" s="473">
        <f t="shared" si="15"/>
        <v>0</v>
      </c>
      <c r="H140" s="460">
        <f>G140+'11'!H140</f>
        <v>0</v>
      </c>
      <c r="I140" s="543"/>
      <c r="J140" s="553">
        <f>H140/DAY(B2)</f>
        <v>0</v>
      </c>
      <c r="N140" s="723"/>
      <c r="O140" s="732"/>
      <c r="P140" s="718"/>
    </row>
    <row r="141" spans="1:16">
      <c r="A141" s="1446" t="s">
        <v>250</v>
      </c>
      <c r="B141" s="1447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2"/>
      <c r="P141" s="718"/>
    </row>
    <row r="142" spans="1:16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6175</v>
      </c>
      <c r="H142" s="460">
        <f>G142+'11'!H142</f>
        <v>70703.120000000068</v>
      </c>
      <c r="I142" s="480"/>
      <c r="J142" s="553">
        <f>H142/DAY(B2)</f>
        <v>5891.9266666666726</v>
      </c>
      <c r="K142" s="380"/>
      <c r="L142" s="377"/>
      <c r="N142" s="723"/>
      <c r="O142" s="732"/>
      <c r="P142" s="718"/>
    </row>
    <row r="143" spans="1:16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0.29152110282315175</v>
      </c>
      <c r="H143" s="460">
        <f>G143+'11'!H143</f>
        <v>3.1143747613795218</v>
      </c>
      <c r="I143" s="545"/>
      <c r="J143" s="553">
        <f>H143/DAY(B2)</f>
        <v>0.25953123011496015</v>
      </c>
      <c r="K143" s="380"/>
      <c r="L143" s="377"/>
      <c r="N143" s="723"/>
      <c r="O143" s="732"/>
      <c r="P143" s="718"/>
    </row>
    <row r="144" spans="1:16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5122</v>
      </c>
      <c r="H144" s="460">
        <f>G144+'11'!H144</f>
        <v>62982.059999999969</v>
      </c>
      <c r="I144" s="480"/>
      <c r="J144" s="553">
        <f>H144/DAY(B2)</f>
        <v>5248.5049999999974</v>
      </c>
      <c r="K144" s="380"/>
      <c r="L144" s="377"/>
      <c r="N144" s="723"/>
      <c r="O144" s="732"/>
      <c r="P144" s="718"/>
    </row>
    <row r="145" spans="1:16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0.24180908318383534</v>
      </c>
      <c r="H145" s="460">
        <f>G145+'11'!H145</f>
        <v>2.9329322397651167</v>
      </c>
      <c r="I145" s="545"/>
      <c r="J145" s="553">
        <f>H145/DAY(B2)</f>
        <v>0.24441101998042639</v>
      </c>
      <c r="K145" s="380"/>
      <c r="L145" s="377"/>
      <c r="N145" s="723"/>
      <c r="O145" s="732"/>
      <c r="P145" s="718"/>
    </row>
    <row r="146" spans="1:16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4165</v>
      </c>
      <c r="H146" s="460">
        <f>G146+'11'!H146</f>
        <v>150937.38</v>
      </c>
      <c r="I146" s="546"/>
      <c r="J146" s="553">
        <f>H146/DAY(B2)</f>
        <v>12578.115</v>
      </c>
      <c r="K146" s="380"/>
      <c r="L146" s="377"/>
      <c r="N146" s="723"/>
      <c r="O146" s="732"/>
      <c r="P146" s="718"/>
    </row>
    <row r="147" spans="1:16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0.19662921348314608</v>
      </c>
      <c r="H147" s="460">
        <f>G147+'11'!H147</f>
        <v>7.2827697181545119</v>
      </c>
      <c r="I147" s="546"/>
      <c r="J147" s="553">
        <f>H147/DAY(B2)</f>
        <v>0.60689747651287596</v>
      </c>
      <c r="N147" s="723"/>
      <c r="O147" s="732"/>
      <c r="P147" s="718"/>
    </row>
    <row r="148" spans="1:16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1820</v>
      </c>
      <c r="H148" s="460">
        <f>G148+'11'!H148</f>
        <v>24920.799999999981</v>
      </c>
      <c r="I148" s="480"/>
      <c r="J148" s="553">
        <f>H148/DAY(B2)</f>
        <v>2076.7333333333318</v>
      </c>
      <c r="K148" s="381"/>
      <c r="N148" s="723"/>
      <c r="O148" s="732"/>
      <c r="P148" s="718"/>
    </row>
    <row r="149" spans="1:16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8.5922009253139461E-2</v>
      </c>
      <c r="H149" s="460">
        <f>G149+'11'!H149</f>
        <v>1.1626826822052141</v>
      </c>
      <c r="I149" s="546"/>
      <c r="J149" s="553">
        <f>H149/DAY(B2)</f>
        <v>9.6890223517101179E-2</v>
      </c>
      <c r="N149" s="723"/>
      <c r="O149" s="732"/>
      <c r="P149" s="718"/>
    </row>
    <row r="150" spans="1:16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1808</v>
      </c>
      <c r="H150" s="460">
        <f>G150+'11'!H150</f>
        <v>22450.399999999965</v>
      </c>
      <c r="I150" s="546"/>
      <c r="J150" s="553">
        <f>H150/DAY(B2)</f>
        <v>1870.8666666666638</v>
      </c>
      <c r="N150" s="723"/>
      <c r="O150" s="732"/>
      <c r="P150" s="718"/>
    </row>
    <row r="151" spans="1:16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8.5355490510811066E-2</v>
      </c>
      <c r="H151" s="460">
        <f>G151+'11'!H151</f>
        <v>1.0442790816030287</v>
      </c>
      <c r="I151" s="480"/>
      <c r="J151" s="553">
        <f>H151/DAY(B2)</f>
        <v>8.7023256800252399E-2</v>
      </c>
      <c r="N151" s="723"/>
      <c r="O151" s="732"/>
      <c r="P151" s="718"/>
    </row>
    <row r="152" spans="1:16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1569</v>
      </c>
      <c r="H152" s="460">
        <f>G152+'11'!H152</f>
        <v>53185.16</v>
      </c>
      <c r="I152" s="480"/>
      <c r="J152" s="553">
        <f>H152/DAY(B2)</f>
        <v>4432.0966666666673</v>
      </c>
      <c r="N152" s="723"/>
      <c r="O152" s="732"/>
      <c r="P152" s="718"/>
    </row>
    <row r="153" spans="1:16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7.4072325559437255E-2</v>
      </c>
      <c r="H153" s="460">
        <f>G153+'11'!H153</f>
        <v>2.5663645879982564</v>
      </c>
      <c r="I153" s="569"/>
      <c r="J153" s="570">
        <f>H153/DAY(B2)</f>
        <v>0.21386371566652138</v>
      </c>
      <c r="N153" s="723"/>
      <c r="O153" s="732"/>
      <c r="P153" s="718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790" t="s">
        <v>263</v>
      </c>
      <c r="B160" s="791"/>
      <c r="C160" s="791"/>
      <c r="D160" s="511" t="s">
        <v>187</v>
      </c>
      <c r="E160" s="542">
        <f>'11'!F160</f>
        <v>31736</v>
      </c>
      <c r="F160" s="663">
        <v>31821</v>
      </c>
      <c r="G160" s="473">
        <f t="shared" ref="G160:G163" si="16">F160-E160</f>
        <v>85</v>
      </c>
      <c r="N160" s="723"/>
    </row>
    <row r="161" spans="1:14">
      <c r="A161" s="790" t="s">
        <v>264</v>
      </c>
      <c r="B161" s="791"/>
      <c r="C161" s="791"/>
      <c r="D161" s="511" t="s">
        <v>187</v>
      </c>
      <c r="E161" s="542">
        <f>'11'!F161</f>
        <v>60111</v>
      </c>
      <c r="F161" s="663">
        <v>60577</v>
      </c>
      <c r="G161" s="473">
        <f t="shared" si="16"/>
        <v>466</v>
      </c>
      <c r="N161" s="723"/>
    </row>
    <row r="162" spans="1:14">
      <c r="A162" s="790" t="s">
        <v>265</v>
      </c>
      <c r="B162" s="791"/>
      <c r="C162" s="791"/>
      <c r="D162" s="511" t="s">
        <v>187</v>
      </c>
      <c r="E162" s="542">
        <f>'11'!F162</f>
        <v>23660</v>
      </c>
      <c r="F162" s="663">
        <v>23940</v>
      </c>
      <c r="G162" s="473">
        <f t="shared" si="16"/>
        <v>280</v>
      </c>
      <c r="N162" s="723"/>
    </row>
    <row r="163" spans="1:14">
      <c r="A163" s="790" t="s">
        <v>266</v>
      </c>
      <c r="B163" s="791"/>
      <c r="C163" s="791"/>
      <c r="D163" s="511" t="s">
        <v>187</v>
      </c>
      <c r="E163" s="542">
        <f>'11'!F163</f>
        <v>5555.55</v>
      </c>
      <c r="F163" s="663">
        <v>5566</v>
      </c>
      <c r="G163" s="473">
        <f t="shared" si="16"/>
        <v>10.449999999999818</v>
      </c>
      <c r="N163" s="723"/>
    </row>
    <row r="164" spans="1:14">
      <c r="A164" s="792" t="s">
        <v>98</v>
      </c>
      <c r="B164" s="605"/>
      <c r="C164" s="605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  <c r="N164" s="723"/>
    </row>
    <row r="165" spans="1:14">
      <c r="A165" s="792" t="s">
        <v>188</v>
      </c>
      <c r="B165" s="605"/>
      <c r="C165" s="605"/>
      <c r="D165" s="511" t="s">
        <v>187</v>
      </c>
      <c r="E165" s="514">
        <f t="shared" ref="E165:E171" si="18">E63</f>
        <v>1853</v>
      </c>
      <c r="F165" s="514">
        <f t="shared" ref="F165:F171" si="19">F63</f>
        <v>1865</v>
      </c>
      <c r="G165" s="473">
        <f t="shared" si="17"/>
        <v>12</v>
      </c>
      <c r="N165" s="723"/>
    </row>
    <row r="166" spans="1:14" ht="33" customHeight="1">
      <c r="A166" s="1460" t="s">
        <v>99</v>
      </c>
      <c r="B166" s="1460"/>
      <c r="C166" s="1460"/>
      <c r="D166" s="523" t="s">
        <v>187</v>
      </c>
      <c r="E166" s="514">
        <f t="shared" si="18"/>
        <v>129348</v>
      </c>
      <c r="F166" s="514">
        <f t="shared" si="19"/>
        <v>129862</v>
      </c>
      <c r="G166" s="473">
        <f t="shared" si="17"/>
        <v>514</v>
      </c>
      <c r="N166" s="723"/>
    </row>
    <row r="167" spans="1:14" ht="33" customHeight="1">
      <c r="A167" s="1460" t="s">
        <v>100</v>
      </c>
      <c r="B167" s="1460"/>
      <c r="C167" s="1460"/>
      <c r="D167" s="523" t="s">
        <v>187</v>
      </c>
      <c r="E167" s="514">
        <f t="shared" si="18"/>
        <v>136712</v>
      </c>
      <c r="F167" s="514">
        <f t="shared" si="19"/>
        <v>137064</v>
      </c>
      <c r="G167" s="473">
        <f t="shared" si="17"/>
        <v>352</v>
      </c>
      <c r="N167" s="723"/>
    </row>
    <row r="168" spans="1:14" ht="41.25" customHeight="1">
      <c r="A168" s="1460" t="s">
        <v>101</v>
      </c>
      <c r="B168" s="1460"/>
      <c r="C168" s="1460"/>
      <c r="D168" s="523" t="s">
        <v>187</v>
      </c>
      <c r="E168" s="514">
        <f t="shared" si="18"/>
        <v>29424</v>
      </c>
      <c r="F168" s="514">
        <f t="shared" si="19"/>
        <v>29790</v>
      </c>
      <c r="G168" s="473">
        <f t="shared" si="17"/>
        <v>366</v>
      </c>
      <c r="N168" s="723"/>
    </row>
    <row r="169" spans="1:14" ht="26.25" customHeight="1">
      <c r="A169" s="1460" t="s">
        <v>102</v>
      </c>
      <c r="B169" s="1460"/>
      <c r="C169" s="1460"/>
      <c r="D169" s="523" t="s">
        <v>187</v>
      </c>
      <c r="E169" s="514">
        <f t="shared" si="18"/>
        <v>215299</v>
      </c>
      <c r="F169" s="514">
        <f t="shared" si="19"/>
        <v>215974</v>
      </c>
      <c r="G169" s="473">
        <f t="shared" si="17"/>
        <v>675</v>
      </c>
      <c r="N169" s="723"/>
    </row>
    <row r="170" spans="1:14" ht="24" customHeight="1">
      <c r="A170" s="1460" t="s">
        <v>103</v>
      </c>
      <c r="B170" s="1460"/>
      <c r="C170" s="1460"/>
      <c r="D170" s="523" t="s">
        <v>187</v>
      </c>
      <c r="E170" s="514">
        <f t="shared" si="18"/>
        <v>76381</v>
      </c>
      <c r="F170" s="514">
        <f t="shared" si="19"/>
        <v>76714</v>
      </c>
      <c r="G170" s="473">
        <f t="shared" si="17"/>
        <v>333</v>
      </c>
      <c r="N170" s="723"/>
    </row>
    <row r="171" spans="1:14" ht="27.75">
      <c r="A171" s="1460" t="s">
        <v>104</v>
      </c>
      <c r="B171" s="1460"/>
      <c r="C171" s="1460"/>
      <c r="D171" s="523" t="s">
        <v>187</v>
      </c>
      <c r="E171" s="514">
        <f t="shared" si="18"/>
        <v>68042</v>
      </c>
      <c r="F171" s="514">
        <f t="shared" si="19"/>
        <v>68370</v>
      </c>
      <c r="G171" s="473">
        <f t="shared" si="17"/>
        <v>328</v>
      </c>
      <c r="N171" s="723"/>
    </row>
    <row r="172" spans="1:14">
      <c r="G172" s="540">
        <f>SUM(G160:G171)</f>
        <v>3421.45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18.75" customHeight="1">
      <c r="N177" s="723"/>
    </row>
    <row r="178" spans="14:14" ht="18.75" customHeight="1">
      <c r="N178" s="723"/>
    </row>
    <row r="179" spans="14:14" ht="18" customHeight="1">
      <c r="N179" s="723"/>
    </row>
    <row r="180" spans="14:14" ht="18.75" customHeight="1">
      <c r="N180" s="723"/>
    </row>
    <row r="181" spans="14:14" ht="18.75" customHeight="1">
      <c r="N181" s="723"/>
    </row>
    <row r="182" spans="14:14" ht="18" customHeight="1">
      <c r="N182" s="723"/>
    </row>
    <row r="183" spans="14:14" ht="18" customHeight="1">
      <c r="N183" s="723"/>
    </row>
    <row r="184" spans="14:14" ht="18" customHeight="1">
      <c r="N184" s="723"/>
    </row>
    <row r="185" spans="14:14" ht="18" customHeight="1">
      <c r="N185" s="723"/>
    </row>
    <row r="186" spans="14:14" ht="18" customHeight="1">
      <c r="N186" s="723"/>
    </row>
    <row r="187" spans="14:14" ht="18" customHeight="1">
      <c r="N187" s="723"/>
    </row>
    <row r="188" spans="14:14" ht="18" customHeight="1">
      <c r="N188" s="723"/>
    </row>
    <row r="189" spans="14:14" ht="18.75" customHeight="1">
      <c r="N189" s="723"/>
    </row>
    <row r="190" spans="14:14" ht="18.75" customHeight="1">
      <c r="N190" s="723"/>
    </row>
    <row r="191" spans="14:14" ht="18.75" customHeight="1">
      <c r="N191" s="723"/>
    </row>
    <row r="192" spans="14:14" ht="18.75" customHeight="1">
      <c r="N192" s="723"/>
    </row>
    <row r="193" spans="14:14" ht="18.75" customHeight="1">
      <c r="N193" s="723"/>
    </row>
    <row r="194" spans="14:14" ht="18.75" customHeight="1">
      <c r="N194" s="723"/>
    </row>
    <row r="195" spans="14:14" ht="18.75" customHeight="1">
      <c r="N195" s="723"/>
    </row>
    <row r="196" spans="14:14" ht="18.75" customHeight="1">
      <c r="N196" s="723"/>
    </row>
    <row r="197" spans="14:14" ht="18.75" customHeight="1">
      <c r="N197" s="723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06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6" s="281" customFormat="1" ht="27">
      <c r="A2" s="576" t="s">
        <v>276</v>
      </c>
      <c r="B2" s="1038">
        <v>44268</v>
      </c>
      <c r="C2" s="1150" t="s">
        <v>69</v>
      </c>
      <c r="D2" s="612">
        <v>0.73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>
      <c r="A3" s="571"/>
      <c r="B3" s="615"/>
      <c r="C3" s="1150" t="s">
        <v>120</v>
      </c>
      <c r="D3" s="613">
        <v>28</v>
      </c>
      <c r="E3" s="1432" t="s">
        <v>121</v>
      </c>
      <c r="F3" s="1433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>
      <c r="A4" s="577"/>
      <c r="B4" s="617"/>
      <c r="C4" s="1150" t="s">
        <v>122</v>
      </c>
      <c r="D4" s="612">
        <v>0.78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'12'!F7</f>
        <v>4702348</v>
      </c>
      <c r="F7" s="455">
        <v>4723879</v>
      </c>
      <c r="G7" s="683">
        <f>F7-E7</f>
        <v>21531</v>
      </c>
      <c r="H7" s="684">
        <f>G7+'12'!H7</f>
        <v>278802</v>
      </c>
      <c r="I7" s="685">
        <f>'1'!I7</f>
        <v>12000</v>
      </c>
      <c r="J7" s="686">
        <f>H7/DAY(B2)</f>
        <v>21446.307692307691</v>
      </c>
      <c r="K7" s="550"/>
      <c r="L7" s="377"/>
      <c r="N7" s="734">
        <f>G7/G8</f>
        <v>0.99749826268241837</v>
      </c>
      <c r="O7" s="730">
        <f>F7+200</f>
        <v>4724079</v>
      </c>
      <c r="P7" s="733"/>
    </row>
    <row r="8" spans="1:16" ht="27.75" thickBot="1">
      <c r="A8" s="687" t="s">
        <v>133</v>
      </c>
      <c r="B8" s="688"/>
      <c r="C8" s="689"/>
      <c r="D8" s="690" t="s">
        <v>25</v>
      </c>
      <c r="E8" s="634">
        <f>'12'!F8</f>
        <v>4732018</v>
      </c>
      <c r="F8" s="475">
        <v>4753603</v>
      </c>
      <c r="G8" s="694">
        <f>F8-E8</f>
        <v>21585</v>
      </c>
      <c r="H8" s="684">
        <f>G8+'12'!H8</f>
        <v>280447</v>
      </c>
      <c r="I8" s="691">
        <f>'1'!I8</f>
        <v>12000</v>
      </c>
      <c r="J8" s="686">
        <f>H8/DAY(B2)</f>
        <v>21572.846153846152</v>
      </c>
      <c r="K8" s="550"/>
      <c r="L8" s="425"/>
      <c r="M8" s="440"/>
      <c r="N8" s="723"/>
      <c r="O8" s="730">
        <f>F8+200</f>
        <v>4753803</v>
      </c>
      <c r="P8" s="382"/>
    </row>
    <row r="9" spans="1:16">
      <c r="A9" s="692" t="s">
        <v>134</v>
      </c>
      <c r="B9" s="693"/>
      <c r="C9" s="693"/>
      <c r="D9" s="639" t="s">
        <v>132</v>
      </c>
      <c r="E9" s="634">
        <f>'12'!F9</f>
        <v>124354</v>
      </c>
      <c r="F9" s="478">
        <v>124354</v>
      </c>
      <c r="G9" s="707">
        <f t="shared" ref="G9:G12" si="0">F9-E9</f>
        <v>0</v>
      </c>
      <c r="H9" s="684">
        <f>G9+'12'!H9</f>
        <v>37444.990000000005</v>
      </c>
      <c r="I9" s="695">
        <f>I7-J7</f>
        <v>-9446.3076923076915</v>
      </c>
      <c r="J9" s="686">
        <f>H9/DAY(B2)</f>
        <v>2880.3838461538467</v>
      </c>
      <c r="K9" s="428"/>
      <c r="L9" s="377"/>
      <c r="N9" s="723"/>
      <c r="O9" s="730"/>
      <c r="P9" s="382"/>
    </row>
    <row r="10" spans="1:16">
      <c r="A10" s="681" t="s">
        <v>135</v>
      </c>
      <c r="B10" s="682"/>
      <c r="C10" s="682"/>
      <c r="D10" s="639" t="s">
        <v>132</v>
      </c>
      <c r="E10" s="634">
        <f>'12'!F10</f>
        <v>236581</v>
      </c>
      <c r="F10" s="478">
        <v>257339</v>
      </c>
      <c r="G10" s="694">
        <f t="shared" si="0"/>
        <v>20758</v>
      </c>
      <c r="H10" s="684">
        <f>G10+'12'!H10</f>
        <v>231643.44</v>
      </c>
      <c r="I10" s="696"/>
      <c r="J10" s="686">
        <f>H10/DAY(B2)</f>
        <v>17818.726153846153</v>
      </c>
      <c r="K10" s="428"/>
      <c r="L10" s="377"/>
      <c r="N10" s="723"/>
      <c r="O10" s="730"/>
      <c r="P10" s="382"/>
    </row>
    <row r="11" spans="1:16">
      <c r="A11" s="681" t="s">
        <v>136</v>
      </c>
      <c r="B11" s="682"/>
      <c r="C11" s="682"/>
      <c r="D11" s="639" t="s">
        <v>132</v>
      </c>
      <c r="E11" s="634">
        <f>'12'!F11</f>
        <v>37000</v>
      </c>
      <c r="F11" s="455">
        <v>37000</v>
      </c>
      <c r="G11" s="694">
        <f t="shared" si="0"/>
        <v>0</v>
      </c>
      <c r="H11" s="684">
        <f>G11+'12'!H11</f>
        <v>0</v>
      </c>
      <c r="I11" s="696"/>
      <c r="J11" s="686">
        <f>H11/DAY(B2)</f>
        <v>0</v>
      </c>
      <c r="K11" s="428"/>
      <c r="L11" s="377"/>
      <c r="N11" s="723"/>
      <c r="O11" s="730"/>
      <c r="P11" s="382"/>
    </row>
    <row r="12" spans="1:16">
      <c r="A12" s="681" t="s">
        <v>137</v>
      </c>
      <c r="B12" s="682"/>
      <c r="C12" s="682"/>
      <c r="D12" s="639" t="s">
        <v>132</v>
      </c>
      <c r="E12" s="634">
        <f>'12'!F12</f>
        <v>40010</v>
      </c>
      <c r="F12" s="478">
        <v>40010</v>
      </c>
      <c r="G12" s="694">
        <f t="shared" si="0"/>
        <v>0</v>
      </c>
      <c r="H12" s="684">
        <f>G12+'12'!H12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20758</v>
      </c>
      <c r="H13" s="684">
        <f>G13+'12'!H13</f>
        <v>248094.43</v>
      </c>
      <c r="I13" s="700">
        <f>G7-G13</f>
        <v>773</v>
      </c>
      <c r="J13" s="686">
        <f>H13/DAY(B2)</f>
        <v>19084.186923076923</v>
      </c>
      <c r="K13" s="428"/>
      <c r="L13" s="377"/>
      <c r="N13" s="723"/>
      <c r="O13" s="730"/>
      <c r="P13" s="382"/>
    </row>
    <row r="14" spans="1:16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N14" s="723"/>
      <c r="O14" s="730"/>
      <c r="P14" s="382"/>
    </row>
    <row r="15" spans="1:16">
      <c r="A15" s="798" t="s">
        <v>140</v>
      </c>
      <c r="B15" s="799"/>
      <c r="C15" s="799"/>
      <c r="D15" s="524" t="s">
        <v>141</v>
      </c>
      <c r="E15" s="485">
        <f>'12'!F15</f>
        <v>1630378.77</v>
      </c>
      <c r="F15" s="485">
        <v>1631215</v>
      </c>
      <c r="G15" s="669">
        <f>(F15-E15)</f>
        <v>836.22999999998137</v>
      </c>
      <c r="H15" s="486">
        <f>G15+'12'!H15</f>
        <v>11336.389999999898</v>
      </c>
      <c r="I15" s="474">
        <v>800</v>
      </c>
      <c r="J15" s="554">
        <f>H15/DAY(B2)</f>
        <v>872.02999999999213</v>
      </c>
      <c r="K15" s="428"/>
      <c r="L15" s="377"/>
      <c r="N15" s="723"/>
      <c r="O15" s="730"/>
      <c r="P15" s="382"/>
    </row>
    <row r="16" spans="1:16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-72.029999999992128</v>
      </c>
      <c r="J16" s="554"/>
      <c r="K16" s="428"/>
      <c r="L16" s="377"/>
      <c r="N16" s="723"/>
      <c r="O16" s="730"/>
      <c r="P16" s="382"/>
    </row>
    <row r="17" spans="1:16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>
      <c r="A18" s="1464" t="s">
        <v>143</v>
      </c>
      <c r="B18" s="1465"/>
      <c r="C18" s="1466"/>
      <c r="D18" s="639" t="s">
        <v>144</v>
      </c>
      <c r="E18" s="636">
        <f>'12'!F18</f>
        <v>10</v>
      </c>
      <c r="F18" s="478">
        <v>16</v>
      </c>
      <c r="G18" s="699">
        <f>F18*10</f>
        <v>160</v>
      </c>
      <c r="H18" s="684">
        <f>G18+'12'!H18</f>
        <v>1820</v>
      </c>
      <c r="I18" s="685">
        <f>'1'!I18</f>
        <v>65</v>
      </c>
      <c r="J18" s="686">
        <f>H18/DAY(B2)</f>
        <v>140</v>
      </c>
      <c r="K18" s="428"/>
      <c r="L18" s="377"/>
      <c r="N18" s="723"/>
      <c r="O18" s="730"/>
      <c r="P18" s="382"/>
    </row>
    <row r="19" spans="1:16" ht="27.75">
      <c r="A19" s="1464" t="s">
        <v>71</v>
      </c>
      <c r="B19" s="1465"/>
      <c r="C19" s="1466"/>
      <c r="D19" s="639" t="s">
        <v>144</v>
      </c>
      <c r="E19" s="636">
        <f>'12'!F19</f>
        <v>135087</v>
      </c>
      <c r="F19" s="478">
        <v>135140</v>
      </c>
      <c r="G19" s="694">
        <f t="shared" ref="G19" si="1">F19-E19</f>
        <v>53</v>
      </c>
      <c r="H19" s="684">
        <f>G19+'12'!H19</f>
        <v>672</v>
      </c>
      <c r="I19" s="701"/>
      <c r="J19" s="686">
        <f>H19/DAY(B2)</f>
        <v>51.692307692307693</v>
      </c>
      <c r="K19" s="428"/>
      <c r="L19" s="377"/>
      <c r="N19" s="723"/>
      <c r="O19" s="730"/>
      <c r="P19" s="382"/>
    </row>
    <row r="20" spans="1:16">
      <c r="A20" s="697" t="s">
        <v>145</v>
      </c>
      <c r="B20" s="698"/>
      <c r="C20" s="698"/>
      <c r="D20" s="639"/>
      <c r="E20" s="639"/>
      <c r="F20" s="714"/>
      <c r="G20" s="702">
        <f>G18+G19</f>
        <v>213</v>
      </c>
      <c r="H20" s="684">
        <f>G20+'12'!H20</f>
        <v>2492</v>
      </c>
      <c r="I20" s="703">
        <f>I18-J20</f>
        <v>-126.69230769230768</v>
      </c>
      <c r="J20" s="686">
        <f>H20/DAY(B2)</f>
        <v>191.69230769230768</v>
      </c>
      <c r="K20" s="428"/>
      <c r="L20" s="377"/>
      <c r="N20" s="723"/>
      <c r="O20" s="730"/>
      <c r="P20" s="382"/>
    </row>
    <row r="21" spans="1:16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>
      <c r="A22" s="1148" t="s">
        <v>147</v>
      </c>
      <c r="B22" s="590"/>
      <c r="C22" s="590"/>
      <c r="D22" s="523" t="s">
        <v>148</v>
      </c>
      <c r="E22" s="636">
        <f>'7'!F22</f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>
      <c r="A23" s="1148" t="s">
        <v>149</v>
      </c>
      <c r="B23" s="590"/>
      <c r="C23" s="590"/>
      <c r="D23" s="523" t="s">
        <v>148</v>
      </c>
      <c r="E23" s="636">
        <f>'7'!F23</f>
        <v>2900</v>
      </c>
      <c r="F23" s="478">
        <v>2900</v>
      </c>
      <c r="G23" s="481">
        <v>0</v>
      </c>
      <c r="H23" s="460">
        <f>G23+'12'!H23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>
      <c r="A24" s="591" t="s">
        <v>150</v>
      </c>
      <c r="B24" s="592"/>
      <c r="C24" s="592"/>
      <c r="D24" s="511" t="s">
        <v>148</v>
      </c>
      <c r="E24" s="493">
        <f>'7'!F24</f>
        <v>4250</v>
      </c>
      <c r="F24" s="485">
        <v>4250</v>
      </c>
      <c r="G24" s="481">
        <v>0</v>
      </c>
      <c r="H24" s="460">
        <f>G24+'12'!H24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21585</v>
      </c>
      <c r="F27" s="501">
        <v>9</v>
      </c>
      <c r="G27" s="502">
        <f>E27*F27</f>
        <v>194265</v>
      </c>
      <c r="H27" s="460">
        <f>G27+'12'!H27</f>
        <v>2524023</v>
      </c>
      <c r="I27" s="503"/>
      <c r="J27" s="553">
        <f>H27/DAY(B2)</f>
        <v>194155.61538461538</v>
      </c>
      <c r="K27" s="373"/>
      <c r="L27" s="443"/>
      <c r="N27" s="723"/>
      <c r="O27" s="730"/>
      <c r="P27" s="382"/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836.22999999998137</v>
      </c>
      <c r="F28" s="501">
        <v>48.88</v>
      </c>
      <c r="G28" s="502">
        <f>E28*F28</f>
        <v>40874.922399999094</v>
      </c>
      <c r="H28" s="460">
        <f>G28+'12'!H28</f>
        <v>554122.74319999502</v>
      </c>
      <c r="I28" s="505"/>
      <c r="J28" s="553">
        <f>H28/DAY(B2)</f>
        <v>42624.82639999962</v>
      </c>
      <c r="K28" s="373"/>
      <c r="L28" s="443"/>
      <c r="N28" s="723"/>
      <c r="O28" s="730"/>
      <c r="P28" s="382"/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53</v>
      </c>
      <c r="F30" s="501">
        <v>134</v>
      </c>
      <c r="G30" s="502">
        <f>E30*F30</f>
        <v>7102</v>
      </c>
      <c r="H30" s="460">
        <f>G30+'12'!H30</f>
        <v>107736</v>
      </c>
      <c r="I30" s="505"/>
      <c r="J30" s="553">
        <f>H30/DAY(B2)</f>
        <v>8287.3846153846152</v>
      </c>
      <c r="K30" s="373"/>
      <c r="L30" s="443"/>
      <c r="N30" s="723"/>
      <c r="O30" s="730"/>
      <c r="P30" s="382"/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160</v>
      </c>
      <c r="F31" s="501">
        <v>80</v>
      </c>
      <c r="G31" s="502">
        <f>E31*F31</f>
        <v>12800</v>
      </c>
      <c r="H31" s="460">
        <f>G31+'12'!H31</f>
        <v>135040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255041.92239999911</v>
      </c>
      <c r="H32" s="460">
        <f>G32+'12'!H32</f>
        <v>3320921.7431999948</v>
      </c>
      <c r="I32" s="509"/>
      <c r="J32" s="553">
        <f>H32/DAY(B2)</f>
        <v>255455.5187076919</v>
      </c>
      <c r="K32" s="373"/>
      <c r="L32" s="443"/>
      <c r="N32" s="723"/>
      <c r="O32" s="730"/>
      <c r="P32" s="382"/>
    </row>
    <row r="33" spans="1:16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723"/>
      <c r="O33" s="730"/>
      <c r="P33" s="382"/>
    </row>
    <row r="34" spans="1:16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>
      <c r="A35" s="579" t="s">
        <v>164</v>
      </c>
      <c r="B35" s="580"/>
      <c r="C35" s="580"/>
      <c r="D35" s="523" t="s">
        <v>132</v>
      </c>
      <c r="E35" s="510">
        <f>'12'!F35</f>
        <v>734498</v>
      </c>
      <c r="F35" s="510">
        <v>738125</v>
      </c>
      <c r="G35" s="473">
        <f t="shared" ref="G35:G46" si="3">F35-E35</f>
        <v>3627</v>
      </c>
      <c r="H35" s="460">
        <f>G35+'12'!H35</f>
        <v>45037.410000000033</v>
      </c>
      <c r="I35" s="455"/>
      <c r="J35" s="553">
        <f>H35/DAY(B2)</f>
        <v>3464.4161538461562</v>
      </c>
      <c r="K35" s="428"/>
      <c r="L35" s="377"/>
      <c r="N35" s="723"/>
      <c r="O35" s="731"/>
      <c r="P35" s="382"/>
    </row>
    <row r="36" spans="1:16">
      <c r="A36" s="579" t="s">
        <v>165</v>
      </c>
      <c r="B36" s="580"/>
      <c r="C36" s="580"/>
      <c r="D36" s="523" t="s">
        <v>132</v>
      </c>
      <c r="E36" s="510">
        <f>'12'!F36</f>
        <v>304207</v>
      </c>
      <c r="F36" s="510">
        <v>304874</v>
      </c>
      <c r="G36" s="473">
        <f t="shared" si="3"/>
        <v>667</v>
      </c>
      <c r="H36" s="460">
        <f>G36+'12'!H36</f>
        <v>8428.429999999993</v>
      </c>
      <c r="I36" s="455"/>
      <c r="J36" s="553">
        <f>H36/DAY(B2)</f>
        <v>648.34076923076873</v>
      </c>
      <c r="K36" s="428"/>
      <c r="L36" s="377"/>
      <c r="N36" s="724"/>
      <c r="O36" s="731"/>
      <c r="P36" s="382"/>
    </row>
    <row r="37" spans="1:16">
      <c r="A37" s="579" t="s">
        <v>166</v>
      </c>
      <c r="B37" s="580"/>
      <c r="C37" s="580"/>
      <c r="D37" s="523" t="s">
        <v>132</v>
      </c>
      <c r="E37" s="510">
        <f>'12'!F37</f>
        <v>35167</v>
      </c>
      <c r="F37" s="510">
        <v>35167</v>
      </c>
      <c r="G37" s="473">
        <f t="shared" si="3"/>
        <v>0</v>
      </c>
      <c r="H37" s="460">
        <f>G37+'12'!H37</f>
        <v>38272.080000000002</v>
      </c>
      <c r="I37" s="455"/>
      <c r="J37" s="553">
        <f>H37/DAY(B2)</f>
        <v>2944.0061538461541</v>
      </c>
      <c r="K37" s="428"/>
      <c r="L37" s="377"/>
      <c r="N37" s="724"/>
      <c r="O37" s="731"/>
      <c r="P37" s="382"/>
    </row>
    <row r="38" spans="1:16">
      <c r="A38" s="579" t="s">
        <v>167</v>
      </c>
      <c r="B38" s="580"/>
      <c r="C38" s="580"/>
      <c r="D38" s="523" t="s">
        <v>132</v>
      </c>
      <c r="E38" s="510">
        <f>'12'!F38</f>
        <v>48333</v>
      </c>
      <c r="F38" s="469">
        <v>48333</v>
      </c>
      <c r="G38" s="473">
        <f t="shared" si="3"/>
        <v>0</v>
      </c>
      <c r="H38" s="460">
        <f>G38+'12'!H38</f>
        <v>4519.510000000002</v>
      </c>
      <c r="I38" s="455"/>
      <c r="J38" s="553">
        <f>H38/DAY(B2)</f>
        <v>347.65461538461557</v>
      </c>
      <c r="K38" s="428"/>
      <c r="L38" s="377"/>
      <c r="N38" s="723"/>
      <c r="O38" s="730"/>
      <c r="P38" s="382"/>
    </row>
    <row r="39" spans="1:16">
      <c r="A39" s="579" t="s">
        <v>168</v>
      </c>
      <c r="B39" s="580"/>
      <c r="C39" s="580"/>
      <c r="D39" s="523" t="s">
        <v>132</v>
      </c>
      <c r="E39" s="510">
        <f>'12'!F39</f>
        <v>100066</v>
      </c>
      <c r="F39" s="510">
        <v>100066</v>
      </c>
      <c r="G39" s="473">
        <f t="shared" si="3"/>
        <v>0</v>
      </c>
      <c r="H39" s="460">
        <f>G39+'12'!H39</f>
        <v>109458.89</v>
      </c>
      <c r="I39" s="455"/>
      <c r="J39" s="553">
        <f>H39/DAY(B2)</f>
        <v>8419.9146153846159</v>
      </c>
      <c r="K39" s="428"/>
      <c r="L39" s="377"/>
      <c r="N39" s="723"/>
      <c r="O39" s="731"/>
      <c r="P39" s="382"/>
    </row>
    <row r="40" spans="1:16">
      <c r="A40" s="600" t="s">
        <v>169</v>
      </c>
      <c r="B40" s="601"/>
      <c r="C40" s="601"/>
      <c r="D40" s="523" t="s">
        <v>132</v>
      </c>
      <c r="E40" s="510">
        <f>'12'!F40</f>
        <v>0.23</v>
      </c>
      <c r="F40" s="510">
        <v>0.23</v>
      </c>
      <c r="G40" s="473">
        <f t="shared" si="3"/>
        <v>0</v>
      </c>
      <c r="H40" s="460">
        <f>G40+'12'!H40</f>
        <v>0</v>
      </c>
      <c r="I40" s="455"/>
      <c r="J40" s="553">
        <f>H40/DAY(B2)</f>
        <v>0</v>
      </c>
      <c r="K40" s="429"/>
      <c r="L40" s="377"/>
      <c r="N40" s="723"/>
      <c r="O40" s="730"/>
      <c r="P40" s="382"/>
    </row>
    <row r="41" spans="1:16">
      <c r="A41" s="579" t="s">
        <v>170</v>
      </c>
      <c r="B41" s="580"/>
      <c r="C41" s="580"/>
      <c r="D41" s="523" t="s">
        <v>132</v>
      </c>
      <c r="E41" s="510">
        <f>'12'!F41</f>
        <v>64767</v>
      </c>
      <c r="F41" s="510">
        <v>64767</v>
      </c>
      <c r="G41" s="473">
        <f t="shared" si="3"/>
        <v>0</v>
      </c>
      <c r="H41" s="460">
        <f>G41+'12'!H41</f>
        <v>884.62999999999738</v>
      </c>
      <c r="I41" s="455"/>
      <c r="J41" s="553">
        <f>H41/DAY(B2)</f>
        <v>68.048461538461339</v>
      </c>
      <c r="K41" s="428"/>
      <c r="L41" s="377"/>
      <c r="N41" s="723"/>
      <c r="O41" s="732"/>
      <c r="P41" s="726"/>
    </row>
    <row r="42" spans="1:16">
      <c r="A42" s="579" t="s">
        <v>171</v>
      </c>
      <c r="B42" s="580"/>
      <c r="C42" s="580"/>
      <c r="D42" s="523" t="s">
        <v>132</v>
      </c>
      <c r="E42" s="510">
        <f>'12'!F42</f>
        <v>59128</v>
      </c>
      <c r="F42" s="510">
        <v>59128</v>
      </c>
      <c r="G42" s="473">
        <f t="shared" si="3"/>
        <v>0</v>
      </c>
      <c r="H42" s="460">
        <f>G42+'12'!H42</f>
        <v>-0.84999999999854481</v>
      </c>
      <c r="I42" s="455"/>
      <c r="J42" s="553">
        <f>H42/DAY(B2)</f>
        <v>-6.538461538450345E-2</v>
      </c>
      <c r="K42" s="428"/>
      <c r="L42" s="377"/>
      <c r="N42" s="723"/>
      <c r="O42" s="730"/>
      <c r="P42" s="382"/>
    </row>
    <row r="43" spans="1:16">
      <c r="A43" s="579" t="s">
        <v>172</v>
      </c>
      <c r="B43" s="580"/>
      <c r="C43" s="580"/>
      <c r="D43" s="523" t="s">
        <v>132</v>
      </c>
      <c r="E43" s="510">
        <f>'12'!F43</f>
        <v>855191</v>
      </c>
      <c r="F43" s="510">
        <v>857588</v>
      </c>
      <c r="G43" s="473">
        <f t="shared" si="3"/>
        <v>2397</v>
      </c>
      <c r="H43" s="460">
        <f>G43+'12'!H43</f>
        <v>31690.170000000042</v>
      </c>
      <c r="I43" s="455"/>
      <c r="J43" s="553">
        <f>H43/DAY(B2)</f>
        <v>2437.7053846153876</v>
      </c>
      <c r="K43" s="428"/>
      <c r="L43" s="377"/>
      <c r="N43" s="723"/>
      <c r="O43" s="731"/>
      <c r="P43" s="382"/>
    </row>
    <row r="44" spans="1:16">
      <c r="A44" s="579" t="s">
        <v>173</v>
      </c>
      <c r="B44" s="580"/>
      <c r="C44" s="580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>
      <c r="A45" s="579" t="s">
        <v>174</v>
      </c>
      <c r="B45" s="580"/>
      <c r="C45" s="580"/>
      <c r="D45" s="523" t="s">
        <v>132</v>
      </c>
      <c r="E45" s="510">
        <f>'12'!F45</f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>
      <c r="A46" s="579" t="s">
        <v>175</v>
      </c>
      <c r="B46" s="580"/>
      <c r="C46" s="580"/>
      <c r="D46" s="523" t="s">
        <v>132</v>
      </c>
      <c r="E46" s="510">
        <f>'12'!F46</f>
        <v>187.49</v>
      </c>
      <c r="F46" s="510">
        <v>187.49</v>
      </c>
      <c r="G46" s="473">
        <f t="shared" si="3"/>
        <v>0</v>
      </c>
      <c r="H46" s="460">
        <f>G46+'12'!H46</f>
        <v>0.49000000000000909</v>
      </c>
      <c r="I46" s="455"/>
      <c r="J46" s="553">
        <f>H46/DAY(B2)</f>
        <v>3.7692307692308392E-2</v>
      </c>
      <c r="K46" s="428"/>
      <c r="L46" s="377"/>
      <c r="N46" s="723"/>
      <c r="O46" s="730"/>
      <c r="P46" s="382"/>
    </row>
    <row r="47" spans="1:16">
      <c r="A47" s="586" t="s">
        <v>176</v>
      </c>
      <c r="B47" s="587"/>
      <c r="C47" s="587"/>
      <c r="D47" s="470"/>
      <c r="E47" s="511"/>
      <c r="F47" s="511" t="s">
        <v>269</v>
      </c>
      <c r="G47" s="481">
        <f>G35+G36+G37+G38+G39+G40+G41+G42+G43+G44+G45+G46</f>
        <v>6691</v>
      </c>
      <c r="H47" s="460">
        <f>G47+'12'!H47</f>
        <v>238290.76000000007</v>
      </c>
      <c r="I47" s="455"/>
      <c r="J47" s="553">
        <f>H47/DAY(B2)</f>
        <v>18330.058461538465</v>
      </c>
      <c r="K47" s="428"/>
      <c r="L47" s="377"/>
      <c r="N47" s="723"/>
      <c r="O47" s="730"/>
      <c r="P47" s="382"/>
    </row>
    <row r="48" spans="1:16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>
      <c r="A49" s="579" t="s">
        <v>164</v>
      </c>
      <c r="B49" s="602"/>
      <c r="C49" s="602"/>
      <c r="D49" s="523" t="s">
        <v>132</v>
      </c>
      <c r="E49" s="510">
        <f>'12'!F49</f>
        <v>260732</v>
      </c>
      <c r="F49" s="510">
        <v>260732</v>
      </c>
      <c r="G49" s="473">
        <f t="shared" ref="G49:G58" si="4">F49-E49</f>
        <v>0</v>
      </c>
      <c r="H49" s="460">
        <f>G49+'12'!H49</f>
        <v>-0.13000000000465661</v>
      </c>
      <c r="I49" s="455"/>
      <c r="J49" s="553">
        <f>H49/DAY(B2)</f>
        <v>-1.0000000000358202E-2</v>
      </c>
      <c r="K49" s="428"/>
      <c r="L49" s="377"/>
      <c r="N49" s="723"/>
      <c r="O49" s="730"/>
      <c r="P49" s="382"/>
    </row>
    <row r="50" spans="1:16">
      <c r="A50" s="579" t="s">
        <v>178</v>
      </c>
      <c r="B50" s="602"/>
      <c r="C50" s="602"/>
      <c r="D50" s="523" t="s">
        <v>132</v>
      </c>
      <c r="E50" s="510">
        <f>'12'!F50</f>
        <v>417152</v>
      </c>
      <c r="F50" s="510">
        <v>418225</v>
      </c>
      <c r="G50" s="473">
        <f t="shared" si="4"/>
        <v>1073</v>
      </c>
      <c r="H50" s="460">
        <f>G50+'12'!H50</f>
        <v>14567.969999999972</v>
      </c>
      <c r="I50" s="455"/>
      <c r="J50" s="553">
        <f>H50/DAY(B2)</f>
        <v>1120.6130769230747</v>
      </c>
      <c r="K50" s="428"/>
      <c r="L50" s="377"/>
      <c r="N50" s="723"/>
      <c r="O50" s="731"/>
      <c r="P50" s="382"/>
    </row>
    <row r="51" spans="1:16">
      <c r="A51" s="579" t="s">
        <v>166</v>
      </c>
      <c r="B51" s="602"/>
      <c r="C51" s="602"/>
      <c r="D51" s="523" t="s">
        <v>132</v>
      </c>
      <c r="E51" s="510">
        <f>'12'!F51</f>
        <v>134964</v>
      </c>
      <c r="F51" s="510">
        <v>136570</v>
      </c>
      <c r="G51" s="473">
        <f t="shared" si="4"/>
        <v>1606</v>
      </c>
      <c r="H51" s="460">
        <f>G51+'12'!H51</f>
        <v>14970.080000000002</v>
      </c>
      <c r="I51" s="455"/>
      <c r="J51" s="553">
        <f>H51/DAY(B2)</f>
        <v>1151.5446153846156</v>
      </c>
      <c r="K51" s="428"/>
      <c r="L51" s="377"/>
      <c r="N51" s="723"/>
      <c r="O51" s="730"/>
      <c r="P51" s="382"/>
    </row>
    <row r="52" spans="1:16">
      <c r="A52" s="579" t="s">
        <v>179</v>
      </c>
      <c r="B52" s="602"/>
      <c r="C52" s="602"/>
      <c r="D52" s="523" t="s">
        <v>132</v>
      </c>
      <c r="E52" s="510">
        <f>'12'!F52</f>
        <v>528314</v>
      </c>
      <c r="F52" s="510">
        <v>530344</v>
      </c>
      <c r="G52" s="473">
        <f t="shared" si="4"/>
        <v>2030</v>
      </c>
      <c r="H52" s="460">
        <f>G52+'12'!H52</f>
        <v>20385.289999999979</v>
      </c>
      <c r="I52" s="455"/>
      <c r="J52" s="553">
        <f>H52/DAY(B2)</f>
        <v>1568.0992307692291</v>
      </c>
      <c r="K52" s="428"/>
      <c r="L52" s="377"/>
      <c r="N52" s="723"/>
      <c r="O52" s="730"/>
      <c r="P52" s="382"/>
    </row>
    <row r="53" spans="1:16">
      <c r="A53" s="579" t="s">
        <v>168</v>
      </c>
      <c r="B53" s="602"/>
      <c r="C53" s="602"/>
      <c r="D53" s="523" t="s">
        <v>132</v>
      </c>
      <c r="E53" s="510">
        <f>'12'!F53</f>
        <v>373333</v>
      </c>
      <c r="F53" s="510">
        <v>377576</v>
      </c>
      <c r="G53" s="473">
        <f t="shared" si="4"/>
        <v>4243</v>
      </c>
      <c r="H53" s="460">
        <f>G53+'12'!H53</f>
        <v>41536.489999999991</v>
      </c>
      <c r="I53" s="455"/>
      <c r="J53" s="553">
        <f>H53/DAY(B2)</f>
        <v>3195.1146153846148</v>
      </c>
      <c r="K53" s="428"/>
      <c r="L53" s="377"/>
      <c r="N53" s="723"/>
      <c r="O53" s="730"/>
      <c r="P53" s="382"/>
    </row>
    <row r="54" spans="1:16">
      <c r="A54" s="579" t="s">
        <v>180</v>
      </c>
      <c r="B54" s="602"/>
      <c r="C54" s="602"/>
      <c r="D54" s="523" t="s">
        <v>132</v>
      </c>
      <c r="E54" s="510">
        <f>'12'!F54</f>
        <v>8200</v>
      </c>
      <c r="F54" s="510">
        <v>8200</v>
      </c>
      <c r="G54" s="473">
        <f t="shared" si="4"/>
        <v>0</v>
      </c>
      <c r="H54" s="460">
        <f>G54+'12'!H54</f>
        <v>104.40000000000055</v>
      </c>
      <c r="I54" s="455"/>
      <c r="J54" s="553">
        <f>H54/DAY(B2)</f>
        <v>8.0307692307692733</v>
      </c>
      <c r="K54" s="428"/>
      <c r="L54" s="377"/>
      <c r="N54" s="723"/>
      <c r="O54" s="730"/>
      <c r="P54" s="382"/>
    </row>
    <row r="55" spans="1:16">
      <c r="A55" s="579" t="s">
        <v>181</v>
      </c>
      <c r="B55" s="602"/>
      <c r="C55" s="602"/>
      <c r="D55" s="523" t="s">
        <v>132</v>
      </c>
      <c r="E55" s="510">
        <f>'12'!F55</f>
        <v>176974</v>
      </c>
      <c r="F55" s="658">
        <v>182335</v>
      </c>
      <c r="G55" s="657">
        <f t="shared" si="4"/>
        <v>5361</v>
      </c>
      <c r="H55" s="710">
        <f>G55+'12'!H55</f>
        <v>59750.31</v>
      </c>
      <c r="I55" s="711"/>
      <c r="J55" s="712">
        <f>H55/DAY(B2)</f>
        <v>4596.1776923076923</v>
      </c>
      <c r="K55" s="428"/>
      <c r="L55" s="377"/>
      <c r="N55" s="723"/>
      <c r="O55" s="730"/>
      <c r="P55" s="382"/>
    </row>
    <row r="56" spans="1:16">
      <c r="A56" s="579" t="s">
        <v>182</v>
      </c>
      <c r="B56" s="602"/>
      <c r="C56" s="602"/>
      <c r="D56" s="523" t="s">
        <v>183</v>
      </c>
      <c r="E56" s="510">
        <f>'12'!F56</f>
        <v>588761</v>
      </c>
      <c r="F56" s="658">
        <v>588761</v>
      </c>
      <c r="G56" s="473">
        <f t="shared" si="4"/>
        <v>0</v>
      </c>
      <c r="H56" s="460">
        <f>G56+'12'!H56</f>
        <v>2709.9699999999721</v>
      </c>
      <c r="I56" s="455"/>
      <c r="J56" s="553">
        <f>H56/DAY(B2)</f>
        <v>208.45923076922861</v>
      </c>
      <c r="K56" s="427"/>
      <c r="L56" s="377"/>
      <c r="N56" s="723"/>
      <c r="O56" s="732"/>
      <c r="P56" s="382"/>
    </row>
    <row r="57" spans="1:16">
      <c r="A57" s="579" t="s">
        <v>172</v>
      </c>
      <c r="B57" s="602"/>
      <c r="C57" s="602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>
      <c r="A58" s="579" t="s">
        <v>184</v>
      </c>
      <c r="B58" s="602"/>
      <c r="C58" s="602"/>
      <c r="D58" s="523" t="s">
        <v>132</v>
      </c>
      <c r="E58" s="510">
        <f>'12'!F58</f>
        <v>38176</v>
      </c>
      <c r="F58" s="658">
        <v>38352</v>
      </c>
      <c r="G58" s="473">
        <f t="shared" si="4"/>
        <v>176</v>
      </c>
      <c r="H58" s="460">
        <f>G58+'12'!H58</f>
        <v>2287.3000000000029</v>
      </c>
      <c r="I58" s="455"/>
      <c r="J58" s="553">
        <f>H58/DAY(B2)</f>
        <v>175.94615384615406</v>
      </c>
      <c r="K58" s="428"/>
      <c r="L58" s="377"/>
      <c r="N58" s="723"/>
      <c r="O58" s="730"/>
      <c r="P58" s="382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14489.33</v>
      </c>
      <c r="H59" s="460">
        <f>G59+'12'!H59</f>
        <v>156311.67999999991</v>
      </c>
      <c r="I59" s="455">
        <f>G7-G60</f>
        <v>350.66999999999825</v>
      </c>
      <c r="J59" s="553">
        <f>H59/DAY(B2)</f>
        <v>12023.975384615378</v>
      </c>
      <c r="K59" s="428"/>
      <c r="L59" s="377"/>
      <c r="N59" s="723"/>
      <c r="O59" s="730"/>
      <c r="P59" s="382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21180.33</v>
      </c>
      <c r="H60" s="460">
        <f>G60+'12'!H60</f>
        <v>408771.44</v>
      </c>
      <c r="I60" s="455">
        <f>G13-G60</f>
        <v>-422.33000000000175</v>
      </c>
      <c r="J60" s="553">
        <f>H60/DAY(B2)</f>
        <v>31443.956923076923</v>
      </c>
      <c r="K60" s="428"/>
      <c r="L60" s="377"/>
      <c r="N60" s="723"/>
      <c r="O60" s="730"/>
      <c r="P60" s="382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>
      <c r="A62" s="604" t="s">
        <v>98</v>
      </c>
      <c r="B62" s="605"/>
      <c r="C62" s="605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-7.0000000014260877E-3</v>
      </c>
      <c r="I62" s="515"/>
      <c r="J62" s="553">
        <f>H62/DAY(B2)</f>
        <v>-5.3846153857123747E-4</v>
      </c>
      <c r="K62" s="428"/>
      <c r="L62" s="377"/>
      <c r="N62" s="723"/>
      <c r="O62" s="730"/>
      <c r="P62" s="382"/>
    </row>
    <row r="63" spans="1:16">
      <c r="A63" s="604" t="s">
        <v>188</v>
      </c>
      <c r="B63" s="605"/>
      <c r="C63" s="605"/>
      <c r="D63" s="511" t="s">
        <v>187</v>
      </c>
      <c r="E63" s="514">
        <f>'12'!F63</f>
        <v>1865</v>
      </c>
      <c r="F63" s="514">
        <v>1877</v>
      </c>
      <c r="G63" s="473">
        <f t="shared" si="5"/>
        <v>12</v>
      </c>
      <c r="H63" s="460">
        <f>G63+'12'!H63</f>
        <v>169.6400000000001</v>
      </c>
      <c r="I63" s="515"/>
      <c r="J63" s="553">
        <f>H63/DAY(B2)</f>
        <v>13.049230769230777</v>
      </c>
      <c r="K63" s="428"/>
      <c r="L63" s="377"/>
      <c r="N63" s="723"/>
      <c r="O63" s="730"/>
      <c r="P63" s="382"/>
    </row>
    <row r="64" spans="1:16" ht="27.75">
      <c r="A64" s="1408" t="s">
        <v>99</v>
      </c>
      <c r="B64" s="1409"/>
      <c r="C64" s="1410"/>
      <c r="D64" s="523" t="s">
        <v>187</v>
      </c>
      <c r="E64" s="514">
        <f>'12'!F64</f>
        <v>129862</v>
      </c>
      <c r="F64" s="478">
        <v>130341</v>
      </c>
      <c r="G64" s="473">
        <f t="shared" si="5"/>
        <v>479</v>
      </c>
      <c r="H64" s="460">
        <f>G64+'12'!H64</f>
        <v>6713.6999999999971</v>
      </c>
      <c r="I64" s="480"/>
      <c r="J64" s="553">
        <f>H64/DAY(B2)</f>
        <v>516.4384615384613</v>
      </c>
      <c r="K64" s="428"/>
      <c r="L64" s="377"/>
      <c r="N64" s="723"/>
      <c r="O64" s="730"/>
      <c r="P64" s="382"/>
    </row>
    <row r="65" spans="1:16" ht="27.75">
      <c r="A65" s="1408" t="s">
        <v>100</v>
      </c>
      <c r="B65" s="1409"/>
      <c r="C65" s="1410"/>
      <c r="D65" s="523" t="s">
        <v>187</v>
      </c>
      <c r="E65" s="514">
        <f>'12'!F65</f>
        <v>137064</v>
      </c>
      <c r="F65" s="656">
        <v>137422</v>
      </c>
      <c r="G65" s="473">
        <f t="shared" si="5"/>
        <v>358</v>
      </c>
      <c r="H65" s="460">
        <f>G65+'12'!H65</f>
        <v>4824.7000000000116</v>
      </c>
      <c r="I65" s="489"/>
      <c r="J65" s="553">
        <f>H65/DAY(B2)</f>
        <v>371.13076923077011</v>
      </c>
      <c r="K65" s="428"/>
      <c r="L65" s="377"/>
      <c r="N65" s="723"/>
      <c r="O65" s="731"/>
      <c r="P65" s="382"/>
    </row>
    <row r="66" spans="1:16" ht="27.75">
      <c r="A66" s="1408" t="s">
        <v>101</v>
      </c>
      <c r="B66" s="1409"/>
      <c r="C66" s="1410"/>
      <c r="D66" s="523" t="s">
        <v>187</v>
      </c>
      <c r="E66" s="514">
        <f>'12'!F66</f>
        <v>29790</v>
      </c>
      <c r="F66" s="478">
        <v>30159</v>
      </c>
      <c r="G66" s="473">
        <f t="shared" si="5"/>
        <v>369</v>
      </c>
      <c r="H66" s="460">
        <f>G66+'12'!H66</f>
        <v>4999.25</v>
      </c>
      <c r="I66" s="480"/>
      <c r="J66" s="553">
        <f>H66/DAY(B2)</f>
        <v>384.55769230769232</v>
      </c>
      <c r="K66" s="428"/>
      <c r="L66" s="377"/>
      <c r="N66" s="723"/>
      <c r="O66" s="730"/>
      <c r="P66" s="382"/>
    </row>
    <row r="67" spans="1:16" ht="27.75">
      <c r="A67" s="1408" t="s">
        <v>102</v>
      </c>
      <c r="B67" s="1409"/>
      <c r="C67" s="1410"/>
      <c r="D67" s="523" t="s">
        <v>187</v>
      </c>
      <c r="E67" s="514">
        <f>'12'!F67</f>
        <v>215974</v>
      </c>
      <c r="F67" s="478">
        <v>216677</v>
      </c>
      <c r="G67" s="473">
        <f t="shared" si="5"/>
        <v>703</v>
      </c>
      <c r="H67" s="460">
        <f>G67+'12'!H67</f>
        <v>8835.1700000000128</v>
      </c>
      <c r="I67" s="489"/>
      <c r="J67" s="553">
        <f>H67/DAY(B2)</f>
        <v>679.62846153846249</v>
      </c>
      <c r="K67" s="429"/>
      <c r="L67" s="377"/>
      <c r="N67" s="723"/>
      <c r="O67" s="730"/>
      <c r="P67" s="382"/>
    </row>
    <row r="68" spans="1:16" ht="27.75">
      <c r="A68" s="1408" t="s">
        <v>103</v>
      </c>
      <c r="B68" s="1409"/>
      <c r="C68" s="1410"/>
      <c r="D68" s="523" t="s">
        <v>187</v>
      </c>
      <c r="E68" s="514">
        <f>'12'!F68</f>
        <v>76714</v>
      </c>
      <c r="F68" s="478">
        <v>77068</v>
      </c>
      <c r="G68" s="473">
        <f t="shared" si="5"/>
        <v>354</v>
      </c>
      <c r="H68" s="460">
        <f>G68+'12'!H68</f>
        <v>4389.4799999999959</v>
      </c>
      <c r="I68" s="516"/>
      <c r="J68" s="553">
        <f>H68/DAY(B2)</f>
        <v>337.65230769230737</v>
      </c>
      <c r="K68" s="430"/>
      <c r="L68" s="377"/>
      <c r="N68" s="723"/>
      <c r="O68" s="730"/>
      <c r="P68" s="382"/>
    </row>
    <row r="69" spans="1:16" ht="27.75">
      <c r="A69" s="1408" t="s">
        <v>104</v>
      </c>
      <c r="B69" s="1409"/>
      <c r="C69" s="1410"/>
      <c r="D69" s="523" t="s">
        <v>187</v>
      </c>
      <c r="E69" s="514">
        <f>'12'!F69</f>
        <v>68370</v>
      </c>
      <c r="F69" s="478">
        <v>68699</v>
      </c>
      <c r="G69" s="473">
        <f t="shared" si="5"/>
        <v>329</v>
      </c>
      <c r="H69" s="460">
        <f>G69+'12'!H69</f>
        <v>4246.9100000000035</v>
      </c>
      <c r="I69" s="516"/>
      <c r="J69" s="553">
        <f>H69/DAY(B2)</f>
        <v>326.68538461538486</v>
      </c>
      <c r="K69" s="431"/>
      <c r="L69" s="377"/>
      <c r="N69" s="723"/>
      <c r="O69" s="730"/>
      <c r="P69" s="382"/>
    </row>
    <row r="70" spans="1:16" ht="27.75">
      <c r="A70" s="1440" t="s">
        <v>189</v>
      </c>
      <c r="B70" s="1441"/>
      <c r="C70" s="1442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7">
        <f>H70/DAY(B2)</f>
        <v>0</v>
      </c>
      <c r="K70" s="431"/>
      <c r="L70" s="377"/>
      <c r="N70" s="723"/>
      <c r="O70" s="730"/>
      <c r="P70" s="382"/>
    </row>
    <row r="71" spans="1:16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723"/>
      <c r="O71" s="730"/>
      <c r="P71" s="382"/>
    </row>
    <row r="72" spans="1:16" ht="27.75">
      <c r="A72" s="1408" t="s">
        <v>191</v>
      </c>
      <c r="B72" s="1409"/>
      <c r="C72" s="1410"/>
      <c r="D72" s="523" t="s">
        <v>187</v>
      </c>
      <c r="E72" s="519">
        <f>'12'!F72</f>
        <v>851620</v>
      </c>
      <c r="F72" s="659">
        <v>851710</v>
      </c>
      <c r="G72" s="473">
        <f t="shared" ref="G72:G84" si="6">F72-E72</f>
        <v>90</v>
      </c>
      <c r="H72" s="460">
        <f>G72+'12'!H72</f>
        <v>1118</v>
      </c>
      <c r="I72" s="480"/>
      <c r="J72" s="553">
        <f>H72/DAY(B2)</f>
        <v>86</v>
      </c>
      <c r="K72" s="431"/>
      <c r="L72" s="377"/>
      <c r="N72" s="723"/>
      <c r="O72" s="730"/>
      <c r="P72" s="382"/>
    </row>
    <row r="73" spans="1:16" ht="27.75">
      <c r="A73" s="1408" t="s">
        <v>192</v>
      </c>
      <c r="B73" s="1409"/>
      <c r="C73" s="1410"/>
      <c r="D73" s="523" t="s">
        <v>187</v>
      </c>
      <c r="E73" s="519">
        <f>'12'!F73</f>
        <v>885776</v>
      </c>
      <c r="F73" s="660">
        <v>885776</v>
      </c>
      <c r="G73" s="657">
        <f t="shared" si="6"/>
        <v>0</v>
      </c>
      <c r="H73" s="460">
        <f>G73+'12'!H73</f>
        <v>4</v>
      </c>
      <c r="I73" s="480"/>
      <c r="J73" s="553">
        <f>H73/DAY(B2)</f>
        <v>0.30769230769230771</v>
      </c>
      <c r="K73" s="430"/>
      <c r="L73" s="377"/>
      <c r="N73" s="723"/>
      <c r="O73" s="730"/>
      <c r="P73" s="382"/>
    </row>
    <row r="74" spans="1:16" ht="27.75">
      <c r="A74" s="1408" t="s">
        <v>193</v>
      </c>
      <c r="B74" s="1409"/>
      <c r="C74" s="1410"/>
      <c r="D74" s="523" t="s">
        <v>187</v>
      </c>
      <c r="E74" s="519">
        <f>'12'!F74</f>
        <v>922</v>
      </c>
      <c r="F74" s="660">
        <v>957</v>
      </c>
      <c r="G74" s="473">
        <f t="shared" si="6"/>
        <v>35</v>
      </c>
      <c r="H74" s="460">
        <f>G74+'12'!H74</f>
        <v>370.83000000000004</v>
      </c>
      <c r="I74" s="480"/>
      <c r="J74" s="553">
        <f>H74/DAY(B2)</f>
        <v>28.525384615384617</v>
      </c>
      <c r="K74" s="431"/>
      <c r="L74" s="377"/>
      <c r="N74" s="723"/>
      <c r="O74" s="730"/>
      <c r="P74" s="382"/>
    </row>
    <row r="75" spans="1:16" ht="27.75">
      <c r="A75" s="1457" t="s">
        <v>194</v>
      </c>
      <c r="B75" s="1458"/>
      <c r="C75" s="1459"/>
      <c r="D75" s="523" t="s">
        <v>187</v>
      </c>
      <c r="E75" s="519">
        <f>'12'!F75</f>
        <v>5482</v>
      </c>
      <c r="F75" s="660">
        <v>5658</v>
      </c>
      <c r="G75" s="473">
        <f t="shared" si="6"/>
        <v>176</v>
      </c>
      <c r="H75" s="460">
        <f>G75+'12'!H75</f>
        <v>2138.7800000000002</v>
      </c>
      <c r="I75" s="480"/>
      <c r="J75" s="553">
        <f>H75/DAY(B2)</f>
        <v>164.52153846153848</v>
      </c>
      <c r="K75" s="430"/>
      <c r="L75" s="377"/>
      <c r="N75" s="723"/>
      <c r="O75" s="730"/>
      <c r="P75" s="382"/>
    </row>
    <row r="76" spans="1:16" ht="27.75">
      <c r="A76" s="1457" t="s">
        <v>195</v>
      </c>
      <c r="B76" s="1458"/>
      <c r="C76" s="1459"/>
      <c r="D76" s="523" t="s">
        <v>187</v>
      </c>
      <c r="E76" s="519">
        <f>'12'!F76</f>
        <v>2531</v>
      </c>
      <c r="F76" s="660">
        <v>2614</v>
      </c>
      <c r="G76" s="473">
        <f t="shared" si="6"/>
        <v>83</v>
      </c>
      <c r="H76" s="460">
        <f>G76+'12'!H76</f>
        <v>1099.6600000000001</v>
      </c>
      <c r="I76" s="505"/>
      <c r="J76" s="553">
        <f>H76/DAY(B2)</f>
        <v>84.589230769230781</v>
      </c>
      <c r="K76" s="430"/>
      <c r="L76" s="377"/>
      <c r="N76" s="723"/>
      <c r="O76" s="730"/>
      <c r="P76" s="382"/>
    </row>
    <row r="77" spans="1:16" ht="27.75">
      <c r="A77" s="1408" t="s">
        <v>196</v>
      </c>
      <c r="B77" s="1409"/>
      <c r="C77" s="1410"/>
      <c r="D77" s="523" t="s">
        <v>187</v>
      </c>
      <c r="E77" s="519">
        <f>'12'!F77</f>
        <v>699222</v>
      </c>
      <c r="F77" s="660">
        <v>699275</v>
      </c>
      <c r="G77" s="657">
        <f t="shared" si="6"/>
        <v>53</v>
      </c>
      <c r="H77" s="460">
        <f>G77+'12'!H77</f>
        <v>687</v>
      </c>
      <c r="I77" s="505"/>
      <c r="J77" s="553">
        <f>H77/DAY(B2)</f>
        <v>52.846153846153847</v>
      </c>
      <c r="K77" s="430"/>
      <c r="L77" s="377"/>
      <c r="N77" s="723"/>
      <c r="O77" s="730"/>
      <c r="P77" s="382"/>
    </row>
    <row r="78" spans="1:16" ht="27.75">
      <c r="A78" s="1151" t="s">
        <v>197</v>
      </c>
      <c r="B78" s="1124"/>
      <c r="C78" s="1124"/>
      <c r="D78" s="523" t="s">
        <v>187</v>
      </c>
      <c r="E78" s="519">
        <f>'12'!F78</f>
        <v>657592</v>
      </c>
      <c r="F78" s="661">
        <v>658064</v>
      </c>
      <c r="G78" s="473">
        <f t="shared" si="6"/>
        <v>472</v>
      </c>
      <c r="H78" s="460">
        <f>G78+'12'!H78</f>
        <v>5201</v>
      </c>
      <c r="I78" s="505"/>
      <c r="J78" s="553">
        <f>H78/DAY(B2)</f>
        <v>400.07692307692309</v>
      </c>
      <c r="K78" s="430"/>
      <c r="L78" s="377"/>
      <c r="N78" s="723"/>
      <c r="O78" s="730"/>
      <c r="P78" s="382"/>
    </row>
    <row r="79" spans="1:16" ht="27.75">
      <c r="A79" s="1457" t="s">
        <v>92</v>
      </c>
      <c r="B79" s="1458"/>
      <c r="C79" s="1459"/>
      <c r="D79" s="524" t="s">
        <v>187</v>
      </c>
      <c r="E79" s="519">
        <f>'12'!F79</f>
        <v>817602</v>
      </c>
      <c r="F79" s="661">
        <v>817800</v>
      </c>
      <c r="G79" s="473">
        <f t="shared" si="6"/>
        <v>198</v>
      </c>
      <c r="H79" s="460">
        <f>G79+'12'!H79</f>
        <v>2691</v>
      </c>
      <c r="I79" s="505"/>
      <c r="J79" s="553">
        <f>H79/DAY(B2)</f>
        <v>207</v>
      </c>
      <c r="K79" s="430"/>
      <c r="L79" s="377"/>
      <c r="N79" s="723"/>
      <c r="O79" s="730"/>
      <c r="P79" s="382"/>
    </row>
    <row r="80" spans="1:16" ht="27.75">
      <c r="A80" s="1457" t="s">
        <v>198</v>
      </c>
      <c r="B80" s="1458"/>
      <c r="C80" s="1459"/>
      <c r="D80" s="524" t="s">
        <v>187</v>
      </c>
      <c r="E80" s="519">
        <f>'12'!F80</f>
        <v>498943</v>
      </c>
      <c r="F80" s="660">
        <v>499305</v>
      </c>
      <c r="G80" s="473">
        <f t="shared" si="6"/>
        <v>362</v>
      </c>
      <c r="H80" s="460">
        <f>G80+'12'!H80</f>
        <v>4631.359999999986</v>
      </c>
      <c r="I80" s="505"/>
      <c r="J80" s="553">
        <f>H80/DAY(B2)</f>
        <v>356.25846153846044</v>
      </c>
      <c r="K80" s="430"/>
      <c r="L80" s="377"/>
      <c r="N80" s="723"/>
      <c r="O80" s="730"/>
      <c r="P80" s="382"/>
    </row>
    <row r="81" spans="1:16" ht="27.75">
      <c r="A81" s="1457" t="s">
        <v>199</v>
      </c>
      <c r="B81" s="1458"/>
      <c r="C81" s="1459"/>
      <c r="D81" s="524" t="s">
        <v>187</v>
      </c>
      <c r="E81" s="519">
        <f>'12'!F81</f>
        <v>627189</v>
      </c>
      <c r="F81" s="660">
        <v>627293</v>
      </c>
      <c r="G81" s="473">
        <f t="shared" si="6"/>
        <v>104</v>
      </c>
      <c r="H81" s="460">
        <f>G81+'12'!H81</f>
        <v>1349.1600000000326</v>
      </c>
      <c r="I81" s="505"/>
      <c r="J81" s="553">
        <f>H81/DAY(B2)</f>
        <v>103.78153846154098</v>
      </c>
      <c r="K81" s="430"/>
      <c r="L81" s="377"/>
      <c r="N81" s="723"/>
      <c r="O81" s="730"/>
      <c r="P81" s="382"/>
    </row>
    <row r="82" spans="1:16" ht="27.75">
      <c r="A82" s="1457" t="s">
        <v>93</v>
      </c>
      <c r="B82" s="1458"/>
      <c r="C82" s="1459"/>
      <c r="D82" s="485" t="s">
        <v>132</v>
      </c>
      <c r="E82" s="519">
        <f>'12'!F82</f>
        <v>106468</v>
      </c>
      <c r="F82" s="656">
        <v>106492</v>
      </c>
      <c r="G82" s="473">
        <f t="shared" si="6"/>
        <v>24</v>
      </c>
      <c r="H82" s="460">
        <f>G82+'12'!H82</f>
        <v>289.52000000000407</v>
      </c>
      <c r="I82" s="486"/>
      <c r="J82" s="553">
        <f>H82/DAY(B2)</f>
        <v>22.270769230769545</v>
      </c>
      <c r="K82" s="430"/>
      <c r="L82" s="377"/>
      <c r="N82" s="723"/>
      <c r="O82" s="730"/>
      <c r="P82" s="382"/>
    </row>
    <row r="83" spans="1:16" ht="27.75">
      <c r="A83" s="1457" t="s">
        <v>200</v>
      </c>
      <c r="B83" s="1458"/>
      <c r="C83" s="1459"/>
      <c r="D83" s="621" t="s">
        <v>132</v>
      </c>
      <c r="E83" s="519">
        <f>'12'!F83</f>
        <v>1892</v>
      </c>
      <c r="F83" s="511">
        <v>2156</v>
      </c>
      <c r="G83" s="473">
        <f t="shared" si="6"/>
        <v>264</v>
      </c>
      <c r="H83" s="460">
        <f>G83+'12'!H83</f>
        <v>5559</v>
      </c>
      <c r="I83" s="481"/>
      <c r="J83" s="553">
        <f>H83/DAY(B2)</f>
        <v>427.61538461538464</v>
      </c>
      <c r="K83" s="429"/>
      <c r="L83" s="377"/>
      <c r="N83" s="723"/>
      <c r="O83" s="730"/>
      <c r="P83" s="382"/>
    </row>
    <row r="84" spans="1:16">
      <c r="A84" s="1152" t="s">
        <v>201</v>
      </c>
      <c r="B84" s="572"/>
      <c r="C84" s="572"/>
      <c r="D84" s="478" t="s">
        <v>132</v>
      </c>
      <c r="E84" s="519">
        <f>'12'!F84</f>
        <v>440449</v>
      </c>
      <c r="F84" s="628">
        <v>441207</v>
      </c>
      <c r="G84" s="473">
        <f t="shared" si="6"/>
        <v>758</v>
      </c>
      <c r="H84" s="460">
        <f>G84+'12'!H84</f>
        <v>10409</v>
      </c>
      <c r="I84" s="481"/>
      <c r="J84" s="553">
        <f>H84/DAY(B2)</f>
        <v>800.69230769230774</v>
      </c>
      <c r="K84" s="380"/>
      <c r="L84" s="377"/>
      <c r="N84" s="723"/>
      <c r="O84" s="730"/>
      <c r="P84" s="382"/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2619</v>
      </c>
      <c r="H85" s="460">
        <f>G85+'12'!H85</f>
        <v>33522.929999999964</v>
      </c>
      <c r="I85" s="481"/>
      <c r="J85" s="553">
        <f>H85/DAY(B2)</f>
        <v>2578.6869230769203</v>
      </c>
      <c r="K85" s="380"/>
      <c r="L85" s="378"/>
      <c r="N85" s="723"/>
      <c r="O85" s="730"/>
      <c r="P85" s="382"/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'12'!F86</f>
        <v>451971</v>
      </c>
      <c r="F86" s="652">
        <v>452054</v>
      </c>
      <c r="G86" s="710">
        <f t="shared" ref="G86:G90" si="7">F86-E86</f>
        <v>83</v>
      </c>
      <c r="H86" s="710">
        <f t="shared" ref="H86:H88" si="8">G86</f>
        <v>83</v>
      </c>
      <c r="I86" s="657"/>
      <c r="J86" s="712">
        <f>H86/DAY(B2)</f>
        <v>6.384615384615385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'12'!F87</f>
        <v>79571</v>
      </c>
      <c r="F87" s="652">
        <v>79596</v>
      </c>
      <c r="G87" s="710">
        <f t="shared" si="7"/>
        <v>25</v>
      </c>
      <c r="H87" s="710">
        <f t="shared" si="8"/>
        <v>25</v>
      </c>
      <c r="I87" s="657"/>
      <c r="J87" s="712">
        <f>H87/DAY(B2)</f>
        <v>1.9230769230769231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'12'!F88</f>
        <v>149169</v>
      </c>
      <c r="F88" s="652">
        <v>149235</v>
      </c>
      <c r="G88" s="710">
        <f t="shared" si="7"/>
        <v>66</v>
      </c>
      <c r="H88" s="710">
        <f t="shared" si="8"/>
        <v>66</v>
      </c>
      <c r="I88" s="657"/>
      <c r="J88" s="712">
        <f>H88/DAY(B2)</f>
        <v>5.0769230769230766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'12'!F89</f>
        <v>62558</v>
      </c>
      <c r="F89" s="652">
        <v>62609</v>
      </c>
      <c r="G89" s="710">
        <f t="shared" si="7"/>
        <v>51</v>
      </c>
      <c r="H89" s="710">
        <f>G89</f>
        <v>51</v>
      </c>
      <c r="I89" s="657"/>
      <c r="J89" s="712">
        <f>H89/DAY(B2)</f>
        <v>3.9230769230769229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'12'!F90</f>
        <v>3218</v>
      </c>
      <c r="F90" s="652">
        <v>3220</v>
      </c>
      <c r="G90" s="710">
        <f t="shared" si="7"/>
        <v>2</v>
      </c>
      <c r="H90" s="710">
        <f>G90</f>
        <v>2</v>
      </c>
      <c r="I90" s="657"/>
      <c r="J90" s="712">
        <f>H90/DAY(B2)</f>
        <v>0.15384615384615385</v>
      </c>
      <c r="K90" s="738"/>
      <c r="L90" s="739"/>
      <c r="N90" s="783"/>
      <c r="O90" s="382"/>
    </row>
    <row r="91" spans="1:16" s="379" customFormat="1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>
      <c r="A92" s="1411" t="s">
        <v>206</v>
      </c>
      <c r="B92" s="1412"/>
      <c r="C92" s="1413"/>
      <c r="D92" s="523" t="s">
        <v>144</v>
      </c>
      <c r="E92" s="484">
        <f>'12'!F92</f>
        <v>240827</v>
      </c>
      <c r="F92" s="478">
        <v>240946</v>
      </c>
      <c r="G92" s="473">
        <f t="shared" ref="G92:G93" si="9">F92-E92</f>
        <v>119</v>
      </c>
      <c r="H92" s="460">
        <f>G92+'12'!H92</f>
        <v>1251</v>
      </c>
      <c r="I92" s="480"/>
      <c r="J92" s="553">
        <f>H92/DAY(B2)</f>
        <v>96.230769230769226</v>
      </c>
      <c r="K92" s="429"/>
      <c r="L92" s="377"/>
      <c r="N92" s="723"/>
      <c r="O92" s="730"/>
      <c r="P92" s="382"/>
    </row>
    <row r="93" spans="1:16" ht="27.75">
      <c r="A93" s="1411" t="s">
        <v>207</v>
      </c>
      <c r="B93" s="1412"/>
      <c r="C93" s="1413"/>
      <c r="D93" s="523" t="s">
        <v>144</v>
      </c>
      <c r="E93" s="484">
        <f>'12'!F93</f>
        <v>177199</v>
      </c>
      <c r="F93" s="478">
        <v>177314</v>
      </c>
      <c r="G93" s="473">
        <f t="shared" si="9"/>
        <v>115</v>
      </c>
      <c r="H93" s="460">
        <f>G93+'12'!H93</f>
        <v>1653</v>
      </c>
      <c r="I93" s="480"/>
      <c r="J93" s="553">
        <f>H93/DAY(B2)</f>
        <v>127.15384615384616</v>
      </c>
      <c r="K93" s="380"/>
      <c r="L93" s="377"/>
      <c r="N93" s="723"/>
      <c r="O93" s="730"/>
      <c r="P93" s="382"/>
    </row>
    <row r="94" spans="1:16">
      <c r="A94" s="1405" t="s">
        <v>208</v>
      </c>
      <c r="B94" s="1406"/>
      <c r="C94" s="1407"/>
      <c r="D94" s="523"/>
      <c r="E94" s="484">
        <f>'12'!F94</f>
        <v>0</v>
      </c>
      <c r="F94" s="478"/>
      <c r="G94" s="473">
        <f>G92+G93</f>
        <v>234</v>
      </c>
      <c r="H94" s="460">
        <f>G94+'12'!H94</f>
        <v>2638</v>
      </c>
      <c r="I94" s="480"/>
      <c r="J94" s="553">
        <f>H94/DAY(B2)</f>
        <v>202.92307692307693</v>
      </c>
      <c r="K94" s="380"/>
      <c r="L94" s="377"/>
      <c r="N94" s="723"/>
      <c r="O94" s="730"/>
      <c r="P94" s="382"/>
    </row>
    <row r="95" spans="1:16" ht="27.75">
      <c r="A95" s="1411" t="s">
        <v>209</v>
      </c>
      <c r="B95" s="1412"/>
      <c r="C95" s="1413"/>
      <c r="D95" s="523" t="s">
        <v>144</v>
      </c>
      <c r="E95" s="484">
        <f>'12'!F95</f>
        <v>409194</v>
      </c>
      <c r="F95" s="478">
        <v>409299</v>
      </c>
      <c r="G95" s="473">
        <f t="shared" ref="G95:G100" si="10">F95-E95</f>
        <v>105</v>
      </c>
      <c r="H95" s="460">
        <f>G95+'12'!H95</f>
        <v>1143</v>
      </c>
      <c r="I95" s="480"/>
      <c r="J95" s="553">
        <f>H95/DAY(B2)</f>
        <v>87.92307692307692</v>
      </c>
      <c r="K95" s="380"/>
      <c r="L95" s="377"/>
      <c r="N95" s="723"/>
      <c r="O95" s="730"/>
      <c r="P95" s="382"/>
    </row>
    <row r="96" spans="1:16" ht="27.75">
      <c r="A96" s="1148" t="s">
        <v>210</v>
      </c>
      <c r="B96" s="1149"/>
      <c r="C96" s="1149"/>
      <c r="D96" s="523" t="s">
        <v>144</v>
      </c>
      <c r="E96" s="484">
        <f>'12'!F96</f>
        <v>101508</v>
      </c>
      <c r="F96" s="478">
        <v>101530</v>
      </c>
      <c r="G96" s="473">
        <f t="shared" si="10"/>
        <v>22</v>
      </c>
      <c r="H96" s="460">
        <f>G96+'12'!H96</f>
        <v>198</v>
      </c>
      <c r="I96" s="480"/>
      <c r="J96" s="553">
        <f>H96/DAY(B2)</f>
        <v>15.23076923076923</v>
      </c>
      <c r="K96" s="427"/>
      <c r="L96" s="377"/>
      <c r="N96" s="723"/>
      <c r="O96" s="730"/>
      <c r="P96" s="382"/>
    </row>
    <row r="97" spans="1:16" ht="27.75">
      <c r="A97" s="1148" t="s">
        <v>211</v>
      </c>
      <c r="B97" s="1149"/>
      <c r="C97" s="1149"/>
      <c r="D97" s="523" t="s">
        <v>144</v>
      </c>
      <c r="E97" s="484">
        <f>'12'!F97</f>
        <v>96676</v>
      </c>
      <c r="F97" s="478">
        <v>96697</v>
      </c>
      <c r="G97" s="473">
        <f t="shared" si="10"/>
        <v>21</v>
      </c>
      <c r="H97" s="460">
        <f>G97+'12'!H97</f>
        <v>248</v>
      </c>
      <c r="I97" s="480"/>
      <c r="J97" s="553">
        <f>H97/DAY(B2)</f>
        <v>19.076923076923077</v>
      </c>
      <c r="K97" s="432"/>
      <c r="L97" s="377"/>
      <c r="N97" s="723"/>
      <c r="O97" s="730"/>
      <c r="P97" s="382"/>
    </row>
    <row r="98" spans="1:16" ht="27.75">
      <c r="A98" s="1148" t="s">
        <v>212</v>
      </c>
      <c r="B98" s="1149"/>
      <c r="C98" s="1149"/>
      <c r="D98" s="523" t="s">
        <v>144</v>
      </c>
      <c r="E98" s="484">
        <f>'12'!F98</f>
        <v>148299</v>
      </c>
      <c r="F98" s="478">
        <v>148347</v>
      </c>
      <c r="G98" s="473">
        <f t="shared" si="10"/>
        <v>48</v>
      </c>
      <c r="H98" s="460">
        <f>G98+'12'!H98</f>
        <v>739</v>
      </c>
      <c r="I98" s="480"/>
      <c r="J98" s="553">
        <f>H98/DAY(B2)</f>
        <v>56.846153846153847</v>
      </c>
      <c r="K98" s="380"/>
      <c r="L98" s="377"/>
      <c r="N98" s="725"/>
      <c r="O98" s="730"/>
      <c r="P98" s="382"/>
    </row>
    <row r="99" spans="1:16" ht="27.75">
      <c r="A99" s="1148" t="s">
        <v>213</v>
      </c>
      <c r="B99" s="1149"/>
      <c r="C99" s="1149"/>
      <c r="D99" s="523" t="s">
        <v>144</v>
      </c>
      <c r="E99" s="484">
        <f>'12'!F99</f>
        <v>6571</v>
      </c>
      <c r="F99" s="478">
        <v>6578</v>
      </c>
      <c r="G99" s="473">
        <f t="shared" si="10"/>
        <v>7</v>
      </c>
      <c r="H99" s="460">
        <f>G99+'12'!H99</f>
        <v>170</v>
      </c>
      <c r="I99" s="480"/>
      <c r="J99" s="553">
        <f>H99/DAY(B2)</f>
        <v>13.076923076923077</v>
      </c>
      <c r="K99" s="380"/>
      <c r="L99" s="377"/>
      <c r="N99" s="723"/>
      <c r="O99" s="730"/>
      <c r="P99" s="382"/>
    </row>
    <row r="100" spans="1:16" ht="27.75">
      <c r="A100" s="1148" t="s">
        <v>214</v>
      </c>
      <c r="B100" s="1149"/>
      <c r="C100" s="1149"/>
      <c r="D100" s="523" t="s">
        <v>144</v>
      </c>
      <c r="E100" s="484">
        <f>'12'!F100</f>
        <v>4671</v>
      </c>
      <c r="F100" s="627">
        <v>4692</v>
      </c>
      <c r="G100" s="473">
        <f t="shared" si="10"/>
        <v>21</v>
      </c>
      <c r="H100" s="460">
        <f>G100+'12'!H100</f>
        <v>149</v>
      </c>
      <c r="I100" s="480"/>
      <c r="J100" s="553">
        <f>H100/DAY(B2)</f>
        <v>11.461538461538462</v>
      </c>
      <c r="K100" s="380"/>
      <c r="L100" s="377"/>
      <c r="N100" s="723"/>
      <c r="O100" s="730"/>
      <c r="P100" s="382"/>
    </row>
    <row r="101" spans="1:16">
      <c r="A101" s="1405" t="s">
        <v>216</v>
      </c>
      <c r="B101" s="1406"/>
      <c r="C101" s="1407"/>
      <c r="D101" s="524"/>
      <c r="E101" s="484"/>
      <c r="F101" s="524"/>
      <c r="G101" s="525">
        <f>SUM(G95:G100)</f>
        <v>224</v>
      </c>
      <c r="H101" s="460">
        <f>G101+'12'!H101</f>
        <v>2647</v>
      </c>
      <c r="I101" s="526"/>
      <c r="J101" s="553">
        <f>H101/DAY(B2)</f>
        <v>203.61538461538461</v>
      </c>
      <c r="K101" s="380"/>
      <c r="L101" s="377"/>
      <c r="N101" s="723"/>
      <c r="O101" s="730"/>
      <c r="P101" s="382"/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>
      <c r="A103" s="1414" t="s">
        <v>218</v>
      </c>
      <c r="B103" s="1415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>
      <c r="A104" s="1416" t="s">
        <v>219</v>
      </c>
      <c r="B104" s="1417"/>
      <c r="C104" s="1147"/>
      <c r="D104" s="623" t="s">
        <v>144</v>
      </c>
      <c r="E104" s="484">
        <f>'12'!F104</f>
        <v>7233</v>
      </c>
      <c r="F104" s="664">
        <v>7236</v>
      </c>
      <c r="G104" s="532">
        <f>F104-E104</f>
        <v>3</v>
      </c>
      <c r="H104" s="533">
        <f>SUM(G104+'1'!G76)</f>
        <v>82.150000000000091</v>
      </c>
      <c r="I104" s="532"/>
      <c r="J104" s="559">
        <f>H104/DAY(B2)</f>
        <v>6.3192307692307761</v>
      </c>
      <c r="N104" s="723"/>
      <c r="O104" s="730"/>
      <c r="P104" s="382"/>
    </row>
    <row r="105" spans="1:16" s="442" customFormat="1" ht="27.75">
      <c r="A105" s="1416" t="s">
        <v>77</v>
      </c>
      <c r="B105" s="1417"/>
      <c r="C105" s="1147"/>
      <c r="D105" s="623" t="s">
        <v>144</v>
      </c>
      <c r="E105" s="484">
        <f>'12'!F105</f>
        <v>35500</v>
      </c>
      <c r="F105" s="664">
        <v>35508</v>
      </c>
      <c r="G105" s="532">
        <f t="shared" ref="G105:G106" si="11">F105-E105</f>
        <v>8</v>
      </c>
      <c r="H105" s="533">
        <f>SUM(G105+'1'!G77)</f>
        <v>53</v>
      </c>
      <c r="I105" s="532"/>
      <c r="J105" s="559">
        <f>H105/DAY(B2)</f>
        <v>4.0769230769230766</v>
      </c>
      <c r="N105" s="723"/>
      <c r="O105" s="730"/>
      <c r="P105" s="382"/>
    </row>
    <row r="106" spans="1:16" s="442" customFormat="1" ht="27.75">
      <c r="A106" s="1416" t="s">
        <v>78</v>
      </c>
      <c r="B106" s="1418"/>
      <c r="C106" s="1417"/>
      <c r="D106" s="623" t="s">
        <v>144</v>
      </c>
      <c r="E106" s="484">
        <f>'12'!F106</f>
        <v>19312</v>
      </c>
      <c r="F106" s="664">
        <v>19318</v>
      </c>
      <c r="G106" s="532">
        <f t="shared" si="11"/>
        <v>6</v>
      </c>
      <c r="H106" s="533">
        <f>SUM(G106+'1'!G78)</f>
        <v>396</v>
      </c>
      <c r="I106" s="532"/>
      <c r="J106" s="559">
        <f>H106/DAY(B2)</f>
        <v>30.46153846153846</v>
      </c>
      <c r="N106" s="723"/>
      <c r="O106" s="730"/>
      <c r="P106" s="382"/>
    </row>
    <row r="107" spans="1:16" s="442" customFormat="1" ht="27.75">
      <c r="A107" s="1419" t="s">
        <v>202</v>
      </c>
      <c r="B107" s="1420"/>
      <c r="C107" s="1147"/>
      <c r="D107" s="623"/>
      <c r="E107" s="484"/>
      <c r="F107" s="664"/>
      <c r="G107" s="532">
        <f>SUM(G104:G106)</f>
        <v>17</v>
      </c>
      <c r="H107" s="533">
        <f>SUM(G107+'1'!G79)</f>
        <v>209</v>
      </c>
      <c r="I107" s="532"/>
      <c r="J107" s="559">
        <f>H107/DAY(B2)</f>
        <v>16.076923076923077</v>
      </c>
      <c r="N107" s="723"/>
      <c r="O107" s="730"/>
      <c r="P107" s="382"/>
    </row>
    <row r="108" spans="1:16" s="442" customFormat="1" ht="27.75">
      <c r="A108" s="1421" t="s">
        <v>79</v>
      </c>
      <c r="B108" s="1422"/>
      <c r="C108" s="1147"/>
      <c r="D108" s="623" t="s">
        <v>144</v>
      </c>
      <c r="E108" s="484"/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>
      <c r="A109" s="1416" t="s">
        <v>220</v>
      </c>
      <c r="B109" s="1417"/>
      <c r="C109" s="1147"/>
      <c r="D109" s="623" t="s">
        <v>144</v>
      </c>
      <c r="E109" s="484">
        <f>'12'!F109</f>
        <v>57267</v>
      </c>
      <c r="F109" s="664">
        <v>57365</v>
      </c>
      <c r="G109" s="532">
        <f>F109-E109</f>
        <v>98</v>
      </c>
      <c r="H109" s="533">
        <f>SUM(G109+'1'!G81)</f>
        <v>210.56000000005588</v>
      </c>
      <c r="I109" s="532"/>
      <c r="J109" s="559">
        <f>H109/DAY(B2)</f>
        <v>16.196923076927376</v>
      </c>
      <c r="N109" s="723"/>
      <c r="O109" s="730"/>
      <c r="P109" s="382"/>
    </row>
    <row r="110" spans="1:16" s="442" customFormat="1" ht="27.75">
      <c r="A110" s="1416" t="s">
        <v>221</v>
      </c>
      <c r="B110" s="1417"/>
      <c r="C110" s="1147"/>
      <c r="D110" s="623" t="s">
        <v>144</v>
      </c>
      <c r="E110" s="484">
        <f>'12'!F110</f>
        <v>31187</v>
      </c>
      <c r="F110" s="664">
        <v>31212</v>
      </c>
      <c r="G110" s="532">
        <f t="shared" ref="G110:G111" si="12">F110-E110</f>
        <v>25</v>
      </c>
      <c r="H110" s="533">
        <f>SUM(G110+'1'!G82)</f>
        <v>43.169999999998254</v>
      </c>
      <c r="I110" s="532"/>
      <c r="J110" s="559">
        <f>H110/DAY(B2)</f>
        <v>3.3207692307690966</v>
      </c>
      <c r="N110" s="723"/>
      <c r="O110" s="730"/>
      <c r="P110" s="382"/>
    </row>
    <row r="111" spans="1:16" s="442" customFormat="1" ht="27.75">
      <c r="A111" s="1416" t="s">
        <v>222</v>
      </c>
      <c r="B111" s="1417"/>
      <c r="C111" s="1147"/>
      <c r="D111" s="623" t="s">
        <v>144</v>
      </c>
      <c r="E111" s="484">
        <f>'12'!F111</f>
        <v>4054</v>
      </c>
      <c r="F111" s="664">
        <v>4054</v>
      </c>
      <c r="G111" s="532">
        <f t="shared" si="12"/>
        <v>0</v>
      </c>
      <c r="H111" s="533">
        <f>SUM(G111+'1'!G83)</f>
        <v>520</v>
      </c>
      <c r="I111" s="532"/>
      <c r="J111" s="559">
        <f>H111/DAY(B2)</f>
        <v>40</v>
      </c>
      <c r="N111" s="723"/>
      <c r="O111" s="730"/>
      <c r="P111" s="382"/>
    </row>
    <row r="112" spans="1:16" s="442" customFormat="1" ht="27.75">
      <c r="A112" s="1419" t="s">
        <v>110</v>
      </c>
      <c r="B112" s="1420"/>
      <c r="C112" s="1147"/>
      <c r="D112" s="623"/>
      <c r="E112" s="484"/>
      <c r="F112" s="664"/>
      <c r="G112" s="532">
        <f>SUM(G109:G111)</f>
        <v>123</v>
      </c>
      <c r="H112" s="533">
        <f>SUM(G112+'1'!G84)</f>
        <v>813</v>
      </c>
      <c r="I112" s="532"/>
      <c r="J112" s="559">
        <f>H112/DAY(B2)</f>
        <v>62.53846153846154</v>
      </c>
      <c r="N112" s="723"/>
      <c r="O112" s="730"/>
      <c r="P112" s="382"/>
    </row>
    <row r="113" spans="1:16" s="442" customFormat="1" ht="27.75">
      <c r="A113" s="1421" t="s">
        <v>223</v>
      </c>
      <c r="B113" s="1422"/>
      <c r="C113" s="1147"/>
      <c r="D113" s="623"/>
      <c r="E113" s="484"/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>
      <c r="A114" s="1416" t="s">
        <v>224</v>
      </c>
      <c r="B114" s="1417"/>
      <c r="C114" s="575"/>
      <c r="D114" s="623" t="s">
        <v>144</v>
      </c>
      <c r="E114" s="484">
        <f>'12'!F114</f>
        <v>10519</v>
      </c>
      <c r="F114" s="664">
        <v>10527</v>
      </c>
      <c r="G114" s="534">
        <f>F114-E114</f>
        <v>8</v>
      </c>
      <c r="H114" s="533">
        <f>SUM(G114+'1'!G91)</f>
        <v>8</v>
      </c>
      <c r="I114" s="532"/>
      <c r="J114" s="559">
        <f>H114/DAY(B2)</f>
        <v>0.61538461538461542</v>
      </c>
      <c r="N114" s="723"/>
      <c r="O114" s="730"/>
      <c r="P114" s="382"/>
    </row>
    <row r="115" spans="1:16" s="442" customFormat="1" ht="27.75">
      <c r="A115" s="1416" t="s">
        <v>225</v>
      </c>
      <c r="B115" s="1417"/>
      <c r="C115" s="575"/>
      <c r="D115" s="623" t="s">
        <v>144</v>
      </c>
      <c r="E115" s="484">
        <f>'12'!F115</f>
        <v>7770</v>
      </c>
      <c r="F115" s="664">
        <v>7782</v>
      </c>
      <c r="G115" s="534">
        <f t="shared" ref="G115:G116" si="13">F115-E115</f>
        <v>12</v>
      </c>
      <c r="H115" s="533">
        <f>SUM(G115+'1'!G92)</f>
        <v>134</v>
      </c>
      <c r="I115" s="532"/>
      <c r="J115" s="559">
        <f>H115/DAY(B2)</f>
        <v>10.307692307692308</v>
      </c>
      <c r="N115" s="723"/>
      <c r="O115" s="730"/>
      <c r="P115" s="382"/>
    </row>
    <row r="116" spans="1:16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11.076923076923077</v>
      </c>
      <c r="N116" s="723"/>
      <c r="O116" s="730"/>
      <c r="P116" s="382"/>
    </row>
    <row r="117" spans="1:16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20</v>
      </c>
      <c r="H117" s="533">
        <f>SUM(G117+'1'!G95)</f>
        <v>96</v>
      </c>
      <c r="I117" s="534"/>
      <c r="J117" s="559">
        <f>H117/DAY(B2)</f>
        <v>7.384615384615385</v>
      </c>
      <c r="N117" s="723"/>
      <c r="O117" s="730"/>
      <c r="P117" s="382"/>
    </row>
    <row r="118" spans="1:16" s="446" customFormat="1" ht="27.75">
      <c r="A118" s="1450" t="s">
        <v>227</v>
      </c>
      <c r="B118" s="1451"/>
      <c r="C118" s="1145"/>
      <c r="D118" s="625" t="s">
        <v>144</v>
      </c>
      <c r="E118" s="536"/>
      <c r="F118" s="665">
        <f>SUM(G19+G92)</f>
        <v>172</v>
      </c>
      <c r="G118" s="536">
        <f>SUM(G19+G92)</f>
        <v>172</v>
      </c>
      <c r="H118" s="533">
        <f>SUM(G118+'1'!G96)</f>
        <v>185</v>
      </c>
      <c r="I118" s="535"/>
      <c r="J118" s="560">
        <f>H118/DAY(B2)</f>
        <v>14.23076923076923</v>
      </c>
      <c r="N118" s="723"/>
      <c r="O118" s="730"/>
      <c r="P118" s="382"/>
    </row>
    <row r="119" spans="1:16" s="446" customFormat="1" ht="27.75">
      <c r="A119" s="1450" t="s">
        <v>228</v>
      </c>
      <c r="B119" s="1451"/>
      <c r="C119" s="1145"/>
      <c r="D119" s="625" t="s">
        <v>144</v>
      </c>
      <c r="E119" s="536"/>
      <c r="F119" s="665">
        <f>SUM(G95,G96,G97,G99,G100)</f>
        <v>176</v>
      </c>
      <c r="G119" s="536">
        <f>SUM(G95,G96,G97,G99,G100)</f>
        <v>176</v>
      </c>
      <c r="H119" s="533">
        <f>SUM(G119+'1'!G98)</f>
        <v>246</v>
      </c>
      <c r="I119" s="535"/>
      <c r="J119" s="560">
        <f>H119/DAY(B2)</f>
        <v>18.923076923076923</v>
      </c>
      <c r="N119" s="723"/>
      <c r="O119" s="730"/>
      <c r="P119" s="382"/>
    </row>
    <row r="120" spans="1:16" s="446" customFormat="1" ht="27.75">
      <c r="A120" s="1450" t="s">
        <v>229</v>
      </c>
      <c r="B120" s="1451"/>
      <c r="C120" s="1145"/>
      <c r="D120" s="625" t="s">
        <v>144</v>
      </c>
      <c r="E120" s="534"/>
      <c r="F120" s="664">
        <f>SUM(G112)</f>
        <v>123</v>
      </c>
      <c r="G120" s="534">
        <f>SUM(G112)</f>
        <v>123</v>
      </c>
      <c r="H120" s="533">
        <f>SUM(G120+'1'!G100)</f>
        <v>137</v>
      </c>
      <c r="I120" s="535"/>
      <c r="J120" s="560">
        <f>H120/DAY(B2)</f>
        <v>10.538461538461538</v>
      </c>
      <c r="N120" s="723"/>
      <c r="O120" s="730"/>
      <c r="P120" s="382"/>
    </row>
    <row r="121" spans="1:16" s="442" customFormat="1" ht="27.75">
      <c r="A121" s="1452"/>
      <c r="B121" s="1453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>
      <c r="A123" s="1148" t="s">
        <v>231</v>
      </c>
      <c r="B123" s="1149"/>
      <c r="C123" s="1149"/>
      <c r="D123" s="523" t="s">
        <v>141</v>
      </c>
      <c r="E123" s="478">
        <f>'12'!F123</f>
        <v>814045</v>
      </c>
      <c r="F123" s="478">
        <v>814291</v>
      </c>
      <c r="G123" s="473">
        <f t="shared" ref="G123:G127" si="14">F123-E123</f>
        <v>246</v>
      </c>
      <c r="H123" s="460">
        <f>G123+'12'!H123</f>
        <v>3284.1600000000326</v>
      </c>
      <c r="I123" s="526"/>
      <c r="J123" s="553">
        <f>H123/DAY(B2)</f>
        <v>252.62769230769482</v>
      </c>
      <c r="K123" s="380"/>
      <c r="L123" s="377"/>
      <c r="N123" s="723"/>
      <c r="O123" s="730"/>
      <c r="P123" s="382"/>
    </row>
    <row r="124" spans="1:16" ht="27.75">
      <c r="A124" s="1148" t="s">
        <v>232</v>
      </c>
      <c r="B124" s="1149"/>
      <c r="C124" s="1149"/>
      <c r="D124" s="523" t="s">
        <v>141</v>
      </c>
      <c r="E124" s="627">
        <f>'12'!F124</f>
        <v>73583</v>
      </c>
      <c r="F124" s="627">
        <v>73583.399999999994</v>
      </c>
      <c r="G124" s="473">
        <f t="shared" si="14"/>
        <v>0.39999999999417923</v>
      </c>
      <c r="H124" s="460">
        <f>G124+'12'!H124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>
      <c r="A125" s="1408" t="s">
        <v>233</v>
      </c>
      <c r="B125" s="1409"/>
      <c r="C125" s="1410"/>
      <c r="D125" s="523" t="s">
        <v>141</v>
      </c>
      <c r="E125" s="478">
        <f>'12'!F125</f>
        <v>140774</v>
      </c>
      <c r="F125" s="478">
        <v>140837</v>
      </c>
      <c r="G125" s="473">
        <f t="shared" si="14"/>
        <v>63</v>
      </c>
      <c r="H125" s="460">
        <f>G125+'12'!H125</f>
        <v>857.66000000000349</v>
      </c>
      <c r="I125" s="526"/>
      <c r="J125" s="553">
        <f>H125/DAY(B2)</f>
        <v>65.973846153846424</v>
      </c>
      <c r="K125" s="380"/>
      <c r="L125" s="377"/>
      <c r="N125" s="723"/>
      <c r="O125" s="730"/>
      <c r="P125" s="382"/>
    </row>
    <row r="126" spans="1:16" ht="27.75">
      <c r="A126" s="610" t="s">
        <v>234</v>
      </c>
      <c r="B126" s="1149"/>
      <c r="C126" s="1149"/>
      <c r="D126" s="523" t="s">
        <v>141</v>
      </c>
      <c r="E126" s="627">
        <f>'12'!F126</f>
        <v>59687</v>
      </c>
      <c r="F126" s="627">
        <v>59715</v>
      </c>
      <c r="G126" s="473">
        <f t="shared" si="14"/>
        <v>28</v>
      </c>
      <c r="H126" s="460">
        <f>G126+'12'!H126</f>
        <v>408.09999999999854</v>
      </c>
      <c r="I126" s="526"/>
      <c r="J126" s="553">
        <f>H126/DAY(B2)</f>
        <v>31.392307692307579</v>
      </c>
      <c r="K126" s="380"/>
      <c r="L126" s="377"/>
      <c r="N126" s="723"/>
      <c r="O126" s="730"/>
      <c r="P126" s="382"/>
    </row>
    <row r="127" spans="1:16" ht="27.75">
      <c r="A127" s="610" t="s">
        <v>235</v>
      </c>
      <c r="B127" s="1149"/>
      <c r="C127" s="1149"/>
      <c r="D127" s="523" t="s">
        <v>141</v>
      </c>
      <c r="E127" s="627">
        <f>'12'!F127</f>
        <v>8917</v>
      </c>
      <c r="F127" s="627">
        <v>8920</v>
      </c>
      <c r="G127" s="473">
        <f t="shared" si="14"/>
        <v>3</v>
      </c>
      <c r="H127" s="460">
        <f>G127+'12'!H127</f>
        <v>32.200000000000728</v>
      </c>
      <c r="I127" s="480"/>
      <c r="J127" s="553">
        <f>H127/DAY(B2)</f>
        <v>2.476923076923133</v>
      </c>
      <c r="K127" s="380"/>
      <c r="L127" s="377"/>
      <c r="N127" s="723"/>
      <c r="O127" s="730"/>
      <c r="P127" s="382"/>
    </row>
    <row r="128" spans="1:16" s="281" customFormat="1" ht="27.7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495.82999999998719</v>
      </c>
      <c r="H128" s="460"/>
      <c r="I128" s="480"/>
      <c r="J128" s="553"/>
      <c r="K128" s="364"/>
      <c r="L128" s="292"/>
      <c r="N128" s="723"/>
      <c r="O128" s="730"/>
      <c r="P128" s="382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>
      <c r="A130" s="1148" t="s">
        <v>238</v>
      </c>
      <c r="B130" s="1149"/>
      <c r="C130" s="1149"/>
      <c r="D130" s="523" t="s">
        <v>239</v>
      </c>
      <c r="E130" s="484">
        <f>'12'!F130</f>
        <v>0</v>
      </c>
      <c r="F130" s="478">
        <v>0</v>
      </c>
      <c r="G130" s="473">
        <f t="shared" ref="G130:G140" si="15">F130-E130</f>
        <v>0</v>
      </c>
      <c r="H130" s="460">
        <f>G130+'12'!H130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>
      <c r="A131" s="1148" t="s">
        <v>240</v>
      </c>
      <c r="B131" s="1149"/>
      <c r="C131" s="1149"/>
      <c r="D131" s="523" t="s">
        <v>239</v>
      </c>
      <c r="E131" s="484">
        <f>'12'!F131</f>
        <v>0</v>
      </c>
      <c r="F131" s="478">
        <v>0</v>
      </c>
      <c r="G131" s="473">
        <f t="shared" si="15"/>
        <v>0</v>
      </c>
      <c r="H131" s="460">
        <f>G131+'12'!H131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>
      <c r="A132" s="1148" t="s">
        <v>241</v>
      </c>
      <c r="B132" s="1149"/>
      <c r="C132" s="1149"/>
      <c r="D132" s="523" t="s">
        <v>239</v>
      </c>
      <c r="E132" s="542">
        <f>'12'!F132</f>
        <v>39219.35</v>
      </c>
      <c r="F132" s="656">
        <v>39219</v>
      </c>
      <c r="G132" s="473">
        <f t="shared" si="15"/>
        <v>-0.34999999999854481</v>
      </c>
      <c r="H132" s="460">
        <f>G132+'12'!H132</f>
        <v>390</v>
      </c>
      <c r="I132" s="480"/>
      <c r="J132" s="553">
        <f>H132/DAY(B2)</f>
        <v>30</v>
      </c>
      <c r="N132" s="723"/>
      <c r="O132" s="730"/>
      <c r="P132" s="382"/>
    </row>
    <row r="133" spans="1:16" ht="27.75">
      <c r="A133" s="1148" t="s">
        <v>242</v>
      </c>
      <c r="B133" s="1149"/>
      <c r="C133" s="1149"/>
      <c r="D133" s="523" t="s">
        <v>239</v>
      </c>
      <c r="E133" s="706">
        <f>'12'!F133</f>
        <v>299</v>
      </c>
      <c r="F133" s="627">
        <v>299</v>
      </c>
      <c r="G133" s="473">
        <f t="shared" si="15"/>
        <v>0</v>
      </c>
      <c r="H133" s="460">
        <f>G133+'12'!H133</f>
        <v>-1</v>
      </c>
      <c r="I133" s="480">
        <f>G130+G131+G132+G133</f>
        <v>-0.34999999999854481</v>
      </c>
      <c r="J133" s="553">
        <f>H133/DAY(B2)</f>
        <v>-7.6923076923076927E-2</v>
      </c>
      <c r="N133" s="723"/>
      <c r="O133" s="730"/>
      <c r="P133" s="382"/>
    </row>
    <row r="134" spans="1:16" ht="27.75">
      <c r="A134" s="1148" t="s">
        <v>243</v>
      </c>
      <c r="B134" s="1149"/>
      <c r="C134" s="1149"/>
      <c r="D134" s="523" t="s">
        <v>239</v>
      </c>
      <c r="E134" s="706">
        <f>'12'!F134</f>
        <v>40650.57</v>
      </c>
      <c r="F134" s="627">
        <v>40675</v>
      </c>
      <c r="G134" s="473">
        <f t="shared" si="15"/>
        <v>24.430000000000291</v>
      </c>
      <c r="H134" s="460">
        <f>G134+'12'!H134</f>
        <v>307.86000000000058</v>
      </c>
      <c r="I134" s="480"/>
      <c r="J134" s="553">
        <f>H134/DAY(B2)</f>
        <v>23.681538461538505</v>
      </c>
      <c r="N134" s="723"/>
      <c r="O134" s="730"/>
      <c r="P134" s="382"/>
    </row>
    <row r="135" spans="1:16" ht="27.75">
      <c r="A135" s="1148" t="s">
        <v>244</v>
      </c>
      <c r="B135" s="1149"/>
      <c r="C135" s="1149"/>
      <c r="D135" s="523" t="s">
        <v>239</v>
      </c>
      <c r="E135" s="542">
        <f>'12'!F135</f>
        <v>32582.560000000001</v>
      </c>
      <c r="F135" s="656">
        <v>32582.560000000001</v>
      </c>
      <c r="G135" s="473">
        <f t="shared" si="15"/>
        <v>0</v>
      </c>
      <c r="H135" s="460">
        <f>G135+'12'!H135</f>
        <v>11.56000000000131</v>
      </c>
      <c r="I135" s="480"/>
      <c r="J135" s="553">
        <f>H135/DAY(B2)</f>
        <v>0.88923076923086997</v>
      </c>
      <c r="N135" s="723"/>
      <c r="O135" s="730"/>
      <c r="P135" s="382"/>
    </row>
    <row r="136" spans="1:16" ht="27.75">
      <c r="A136" s="1148" t="s">
        <v>245</v>
      </c>
      <c r="B136" s="1149"/>
      <c r="C136" s="1149"/>
      <c r="D136" s="523" t="s">
        <v>239</v>
      </c>
      <c r="E136" s="542">
        <f>'12'!F136</f>
        <v>22326</v>
      </c>
      <c r="F136" s="656">
        <v>22334.98</v>
      </c>
      <c r="G136" s="473">
        <f t="shared" si="15"/>
        <v>8.9799999999995634</v>
      </c>
      <c r="H136" s="460">
        <f>G136+'12'!H136</f>
        <v>112.77000000000044</v>
      </c>
      <c r="I136" s="480">
        <f>G134+G135+G136</f>
        <v>33.409999999999854</v>
      </c>
      <c r="J136" s="553">
        <f>H136/DAY(B2)</f>
        <v>8.6746153846154179</v>
      </c>
      <c r="N136" s="723"/>
      <c r="O136" s="730"/>
      <c r="P136" s="382"/>
    </row>
    <row r="137" spans="1:16" ht="27.75">
      <c r="A137" s="1148" t="s">
        <v>246</v>
      </c>
      <c r="B137" s="1149"/>
      <c r="C137" s="1149"/>
      <c r="D137" s="523" t="s">
        <v>239</v>
      </c>
      <c r="E137" s="542">
        <f>'12'!F137</f>
        <v>25044.31</v>
      </c>
      <c r="F137" s="656">
        <v>25044</v>
      </c>
      <c r="G137" s="473">
        <f t="shared" si="15"/>
        <v>-0.31000000000130967</v>
      </c>
      <c r="H137" s="460">
        <f>G137+'12'!H137</f>
        <v>-0.31000000000130967</v>
      </c>
      <c r="I137" s="480"/>
      <c r="J137" s="553">
        <f>H137/DAY(B2)</f>
        <v>-2.3846153846254589E-2</v>
      </c>
      <c r="N137" s="723"/>
      <c r="O137" s="730"/>
      <c r="P137" s="382"/>
    </row>
    <row r="138" spans="1:16" ht="27.75">
      <c r="A138" s="1148" t="s">
        <v>247</v>
      </c>
      <c r="B138" s="1149"/>
      <c r="C138" s="1149"/>
      <c r="D138" s="523" t="s">
        <v>239</v>
      </c>
      <c r="E138" s="542">
        <f>'12'!F138</f>
        <v>70199.86</v>
      </c>
      <c r="F138" s="656">
        <v>70202</v>
      </c>
      <c r="G138" s="473">
        <f t="shared" si="15"/>
        <v>2.1399999999994179</v>
      </c>
      <c r="H138" s="460">
        <f>G138+'12'!H138</f>
        <v>54.660000000003492</v>
      </c>
      <c r="I138" s="480">
        <f>G137+G138</f>
        <v>1.8299999999981083</v>
      </c>
      <c r="J138" s="553">
        <f>H138/DAY(B2)</f>
        <v>4.2046153846156535</v>
      </c>
      <c r="N138" s="723"/>
      <c r="O138" s="730"/>
      <c r="P138" s="382"/>
    </row>
    <row r="139" spans="1:16" ht="27.75">
      <c r="A139" s="1148" t="s">
        <v>248</v>
      </c>
      <c r="B139" s="1149"/>
      <c r="C139" s="1149"/>
      <c r="D139" s="523" t="s">
        <v>239</v>
      </c>
      <c r="E139" s="706">
        <f>'12'!F139</f>
        <v>1511</v>
      </c>
      <c r="F139" s="627">
        <v>1518</v>
      </c>
      <c r="G139" s="473">
        <f t="shared" si="15"/>
        <v>7</v>
      </c>
      <c r="H139" s="460">
        <f>G139+'12'!H139</f>
        <v>94.8599999999999</v>
      </c>
      <c r="I139" s="543"/>
      <c r="J139" s="553">
        <f>H139/DAY(B2)</f>
        <v>7.2969230769230693</v>
      </c>
      <c r="N139" s="723"/>
      <c r="O139" s="730"/>
      <c r="P139" s="382"/>
    </row>
    <row r="140" spans="1:16" ht="27.75">
      <c r="A140" s="1148" t="s">
        <v>249</v>
      </c>
      <c r="B140" s="1149"/>
      <c r="C140" s="1149"/>
      <c r="D140" s="523" t="s">
        <v>239</v>
      </c>
      <c r="E140" s="484">
        <f>'12'!F140</f>
        <v>4334</v>
      </c>
      <c r="F140" s="478">
        <v>4334</v>
      </c>
      <c r="G140" s="473">
        <f t="shared" si="15"/>
        <v>0</v>
      </c>
      <c r="H140" s="460">
        <f>G140+'12'!H140</f>
        <v>0</v>
      </c>
      <c r="I140" s="543"/>
      <c r="J140" s="553">
        <f>H140/DAY(B2)</f>
        <v>0</v>
      </c>
      <c r="N140" s="723"/>
      <c r="O140" s="730"/>
      <c r="P140" s="382"/>
    </row>
    <row r="141" spans="1:16">
      <c r="A141" s="1446" t="s">
        <v>250</v>
      </c>
      <c r="B141" s="1447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6024.33</v>
      </c>
      <c r="H142" s="460">
        <f>G142+'12'!H142</f>
        <v>76727.45000000007</v>
      </c>
      <c r="I142" s="480"/>
      <c r="J142" s="553">
        <f>H142/DAY(B2)</f>
        <v>5902.1115384615441</v>
      </c>
      <c r="K142" s="380"/>
      <c r="L142" s="377"/>
      <c r="N142" s="723"/>
      <c r="O142" s="730"/>
      <c r="P142" s="382"/>
    </row>
    <row r="143" spans="1:16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0.27979796572384003</v>
      </c>
      <c r="H143" s="460">
        <f>G143+'12'!H143</f>
        <v>3.3941727271033617</v>
      </c>
      <c r="I143" s="545"/>
      <c r="J143" s="553">
        <f>H143/DAY(B2)</f>
        <v>0.26109020977718167</v>
      </c>
      <c r="K143" s="380"/>
      <c r="L143" s="377"/>
      <c r="N143" s="723"/>
      <c r="O143" s="730"/>
      <c r="P143" s="382"/>
    </row>
    <row r="144" spans="1:16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5361</v>
      </c>
      <c r="H144" s="460">
        <f>G144+'12'!H144</f>
        <v>68343.059999999969</v>
      </c>
      <c r="I144" s="480"/>
      <c r="J144" s="553">
        <f>H144/DAY(B2)</f>
        <v>5257.1584615384591</v>
      </c>
      <c r="K144" s="380"/>
      <c r="L144" s="377"/>
      <c r="N144" s="723"/>
      <c r="O144" s="730"/>
      <c r="P144" s="382"/>
    </row>
    <row r="145" spans="1:16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0.24898982861920022</v>
      </c>
      <c r="H145" s="460">
        <f>G145+'12'!H145</f>
        <v>3.181922068384317</v>
      </c>
      <c r="I145" s="545"/>
      <c r="J145" s="553">
        <f>H145/DAY(B2)</f>
        <v>0.24476323602956285</v>
      </c>
      <c r="K145" s="380"/>
      <c r="L145" s="377"/>
      <c r="N145" s="723"/>
      <c r="O145" s="730"/>
      <c r="P145" s="382"/>
    </row>
    <row r="146" spans="1:16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4243</v>
      </c>
      <c r="H146" s="460">
        <f>G146+'12'!H146</f>
        <v>155180.38</v>
      </c>
      <c r="I146" s="546"/>
      <c r="J146" s="553">
        <f>H146/DAY(B2)</f>
        <v>11936.952307692309</v>
      </c>
      <c r="K146" s="380"/>
      <c r="L146" s="377"/>
      <c r="N146" s="723"/>
      <c r="O146" s="730"/>
      <c r="P146" s="382"/>
    </row>
    <row r="147" spans="1:16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0.19706469741303237</v>
      </c>
      <c r="H147" s="460">
        <f>G147+'12'!H147</f>
        <v>7.4798344155675442</v>
      </c>
      <c r="I147" s="546"/>
      <c r="J147" s="553">
        <f>H147/DAY(B2)</f>
        <v>0.57537187812058033</v>
      </c>
      <c r="N147" s="723"/>
      <c r="O147" s="730"/>
      <c r="P147" s="382"/>
    </row>
    <row r="148" spans="1:16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2030</v>
      </c>
      <c r="H148" s="460">
        <f>G148+'12'!H148</f>
        <v>26950.799999999981</v>
      </c>
      <c r="I148" s="480"/>
      <c r="J148" s="553">
        <f>H148/DAY(B2)</f>
        <v>2073.13846153846</v>
      </c>
      <c r="K148" s="381"/>
      <c r="N148" s="723"/>
      <c r="O148" s="730"/>
      <c r="P148" s="382"/>
    </row>
    <row r="149" spans="1:16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9.4282662207979193E-2</v>
      </c>
      <c r="H149" s="460">
        <f>G149+'12'!H149</f>
        <v>1.2569653444131932</v>
      </c>
      <c r="I149" s="546"/>
      <c r="J149" s="553">
        <f>H149/DAY(B2)</f>
        <v>9.6689641877937937E-2</v>
      </c>
      <c r="N149" s="723"/>
      <c r="O149" s="730"/>
      <c r="P149" s="382"/>
    </row>
    <row r="150" spans="1:16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1740</v>
      </c>
      <c r="H150" s="460">
        <f>G150+'12'!H150</f>
        <v>24190.399999999965</v>
      </c>
      <c r="I150" s="546"/>
      <c r="J150" s="553">
        <f>H150/DAY(B2)</f>
        <v>1860.7999999999972</v>
      </c>
      <c r="N150" s="723"/>
      <c r="O150" s="730"/>
      <c r="P150" s="382"/>
    </row>
    <row r="151" spans="1:16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8.0813710463982169E-2</v>
      </c>
      <c r="H151" s="460">
        <f>G151+'12'!H151</f>
        <v>1.1250927920670108</v>
      </c>
      <c r="I151" s="480"/>
      <c r="J151" s="553">
        <f>H151/DAY(B2)</f>
        <v>8.6545599389770064E-2</v>
      </c>
      <c r="N151" s="723"/>
      <c r="O151" s="730"/>
      <c r="P151" s="382"/>
    </row>
    <row r="152" spans="1:16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1606</v>
      </c>
      <c r="H152" s="460">
        <f>G152+'12'!H152</f>
        <v>54791.16</v>
      </c>
      <c r="I152" s="480"/>
      <c r="J152" s="553">
        <f>H152/DAY(B2)</f>
        <v>4214.7046153846159</v>
      </c>
      <c r="N152" s="723"/>
      <c r="O152" s="730"/>
      <c r="P152" s="382"/>
    </row>
    <row r="153" spans="1:16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7.4590125865031817E-2</v>
      </c>
      <c r="H153" s="460">
        <f>G153+'12'!H153</f>
        <v>2.6409547138632883</v>
      </c>
      <c r="I153" s="569"/>
      <c r="J153" s="570">
        <f>H153/DAY(B2)</f>
        <v>0.20315036260486832</v>
      </c>
      <c r="N153" s="723"/>
      <c r="O153" s="730"/>
      <c r="P153" s="382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800" t="s">
        <v>263</v>
      </c>
      <c r="B160" s="801"/>
      <c r="C160" s="801"/>
      <c r="D160" s="621" t="s">
        <v>187</v>
      </c>
      <c r="E160" s="522">
        <f>'12'!F160</f>
        <v>31821</v>
      </c>
      <c r="F160" s="809">
        <v>31906</v>
      </c>
      <c r="G160" s="473">
        <f t="shared" ref="G160:G163" si="16">F160-E160</f>
        <v>85</v>
      </c>
      <c r="N160" s="723"/>
    </row>
    <row r="161" spans="1:14">
      <c r="A161" s="800" t="s">
        <v>264</v>
      </c>
      <c r="B161" s="801"/>
      <c r="C161" s="801"/>
      <c r="D161" s="621" t="s">
        <v>187</v>
      </c>
      <c r="E161" s="522">
        <f>'12'!F161</f>
        <v>60577</v>
      </c>
      <c r="F161" s="809">
        <v>61036</v>
      </c>
      <c r="G161" s="473">
        <f t="shared" si="16"/>
        <v>459</v>
      </c>
      <c r="N161" s="723"/>
    </row>
    <row r="162" spans="1:14">
      <c r="A162" s="800" t="s">
        <v>265</v>
      </c>
      <c r="B162" s="801"/>
      <c r="C162" s="801"/>
      <c r="D162" s="621" t="s">
        <v>187</v>
      </c>
      <c r="E162" s="522">
        <f>'12'!F162</f>
        <v>23940</v>
      </c>
      <c r="F162" s="809">
        <v>24223</v>
      </c>
      <c r="G162" s="473">
        <f t="shared" si="16"/>
        <v>283</v>
      </c>
      <c r="N162" s="723"/>
    </row>
    <row r="163" spans="1:14">
      <c r="A163" s="800" t="s">
        <v>266</v>
      </c>
      <c r="B163" s="801"/>
      <c r="C163" s="801"/>
      <c r="D163" s="621" t="s">
        <v>187</v>
      </c>
      <c r="E163" s="522">
        <f>'12'!F163</f>
        <v>5566</v>
      </c>
      <c r="F163" s="809">
        <v>5578</v>
      </c>
      <c r="G163" s="473">
        <f t="shared" si="16"/>
        <v>12</v>
      </c>
      <c r="N163" s="723"/>
    </row>
    <row r="164" spans="1:14">
      <c r="A164" s="802" t="s">
        <v>98</v>
      </c>
      <c r="B164" s="803"/>
      <c r="C164" s="803"/>
      <c r="D164" s="621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3"/>
    </row>
    <row r="165" spans="1:14">
      <c r="A165" s="802" t="s">
        <v>188</v>
      </c>
      <c r="B165" s="803"/>
      <c r="C165" s="803"/>
      <c r="D165" s="621" t="s">
        <v>187</v>
      </c>
      <c r="E165" s="514">
        <f t="shared" ref="E165:E171" si="18">E63</f>
        <v>1865</v>
      </c>
      <c r="F165" s="514">
        <f t="shared" ref="F165:F171" si="19">F63</f>
        <v>1877</v>
      </c>
      <c r="G165" s="473">
        <f t="shared" si="17"/>
        <v>12</v>
      </c>
      <c r="N165" s="723"/>
    </row>
    <row r="166" spans="1:14" ht="21.75" customHeight="1">
      <c r="A166" s="1470" t="s">
        <v>99</v>
      </c>
      <c r="B166" s="1470"/>
      <c r="C166" s="1470"/>
      <c r="D166" s="524" t="s">
        <v>187</v>
      </c>
      <c r="E166" s="514">
        <f t="shared" si="18"/>
        <v>129862</v>
      </c>
      <c r="F166" s="514">
        <f t="shared" si="19"/>
        <v>130341</v>
      </c>
      <c r="G166" s="473">
        <f t="shared" si="17"/>
        <v>479</v>
      </c>
      <c r="N166" s="723"/>
    </row>
    <row r="167" spans="1:14" ht="21.75" customHeight="1">
      <c r="A167" s="1470" t="s">
        <v>100</v>
      </c>
      <c r="B167" s="1470"/>
      <c r="C167" s="1470"/>
      <c r="D167" s="524" t="s">
        <v>187</v>
      </c>
      <c r="E167" s="514">
        <f t="shared" si="18"/>
        <v>137064</v>
      </c>
      <c r="F167" s="514">
        <f t="shared" si="19"/>
        <v>137422</v>
      </c>
      <c r="G167" s="473">
        <f t="shared" si="17"/>
        <v>358</v>
      </c>
      <c r="N167" s="723"/>
    </row>
    <row r="168" spans="1:14" ht="21.75" customHeight="1">
      <c r="A168" s="1470" t="s">
        <v>101</v>
      </c>
      <c r="B168" s="1470"/>
      <c r="C168" s="1470"/>
      <c r="D168" s="524" t="s">
        <v>187</v>
      </c>
      <c r="E168" s="514">
        <f t="shared" si="18"/>
        <v>29790</v>
      </c>
      <c r="F168" s="514">
        <f t="shared" si="19"/>
        <v>30159</v>
      </c>
      <c r="G168" s="473">
        <f t="shared" si="17"/>
        <v>369</v>
      </c>
      <c r="N168" s="723"/>
    </row>
    <row r="169" spans="1:14" ht="26.25" customHeight="1">
      <c r="A169" s="1470" t="s">
        <v>102</v>
      </c>
      <c r="B169" s="1470"/>
      <c r="C169" s="1470"/>
      <c r="D169" s="524" t="s">
        <v>187</v>
      </c>
      <c r="E169" s="514">
        <f t="shared" si="18"/>
        <v>215974</v>
      </c>
      <c r="F169" s="514">
        <f t="shared" si="19"/>
        <v>216677</v>
      </c>
      <c r="G169" s="473">
        <f t="shared" si="17"/>
        <v>703</v>
      </c>
      <c r="N169" s="723"/>
    </row>
    <row r="170" spans="1:14" ht="24" customHeight="1">
      <c r="A170" s="1470" t="s">
        <v>103</v>
      </c>
      <c r="B170" s="1470"/>
      <c r="C170" s="1470"/>
      <c r="D170" s="524" t="s">
        <v>187</v>
      </c>
      <c r="E170" s="514">
        <f t="shared" si="18"/>
        <v>76714</v>
      </c>
      <c r="F170" s="514">
        <f t="shared" si="19"/>
        <v>77068</v>
      </c>
      <c r="G170" s="473">
        <f t="shared" si="17"/>
        <v>354</v>
      </c>
      <c r="N170" s="723"/>
    </row>
    <row r="171" spans="1:14" ht="27.75">
      <c r="A171" s="1470" t="s">
        <v>104</v>
      </c>
      <c r="B171" s="1470"/>
      <c r="C171" s="1470"/>
      <c r="D171" s="524" t="s">
        <v>187</v>
      </c>
      <c r="E171" s="514">
        <f t="shared" si="18"/>
        <v>68370</v>
      </c>
      <c r="F171" s="514">
        <f t="shared" si="19"/>
        <v>68699</v>
      </c>
      <c r="G171" s="473">
        <f t="shared" si="17"/>
        <v>329</v>
      </c>
      <c r="N171" s="723"/>
    </row>
    <row r="172" spans="1:14">
      <c r="A172" s="804"/>
      <c r="B172" s="805"/>
      <c r="C172" s="805"/>
      <c r="D172" s="806"/>
      <c r="E172" s="806"/>
      <c r="F172" s="807"/>
      <c r="G172" s="808">
        <f>SUM(G160:G171)</f>
        <v>3443.1800000000003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18.75" customHeight="1">
      <c r="N177" s="723"/>
    </row>
    <row r="178" spans="14:14" ht="18.75" customHeight="1">
      <c r="N178" s="723"/>
    </row>
    <row r="179" spans="14:14" ht="18" customHeight="1">
      <c r="N179" s="723"/>
    </row>
    <row r="180" spans="14:14" ht="18.75" customHeight="1">
      <c r="N180" s="723"/>
    </row>
    <row r="181" spans="14:14" ht="18.75" customHeight="1">
      <c r="N181" s="723"/>
    </row>
    <row r="182" spans="14:14" ht="18" customHeight="1">
      <c r="N182" s="723"/>
    </row>
    <row r="183" spans="14:14" ht="18" customHeight="1">
      <c r="N183" s="723"/>
    </row>
    <row r="184" spans="14:14" ht="18" customHeight="1">
      <c r="N184" s="723"/>
    </row>
    <row r="185" spans="14:14" ht="18" customHeight="1">
      <c r="N185" s="723"/>
    </row>
    <row r="186" spans="14:14" ht="18" customHeight="1">
      <c r="N186" s="723"/>
    </row>
    <row r="187" spans="14:14" ht="18" customHeight="1">
      <c r="N187" s="723"/>
    </row>
    <row r="188" spans="14:14" ht="18" customHeight="1">
      <c r="N188" s="723"/>
    </row>
    <row r="189" spans="14:14" ht="18.75" customHeight="1">
      <c r="N189" s="723"/>
    </row>
    <row r="190" spans="14:14" ht="18.75" customHeight="1">
      <c r="N190" s="723"/>
    </row>
    <row r="191" spans="14:14" ht="18.75" customHeight="1">
      <c r="N191" s="723"/>
    </row>
    <row r="192" spans="14:14" ht="18.75" customHeight="1">
      <c r="N192" s="723"/>
    </row>
    <row r="193" spans="14:14" ht="18.75" customHeight="1">
      <c r="N193" s="723"/>
    </row>
    <row r="194" spans="14:14" ht="18.75" customHeight="1">
      <c r="N194" s="723"/>
    </row>
    <row r="195" spans="14:14" ht="18.75" customHeight="1">
      <c r="N195" s="723"/>
    </row>
    <row r="196" spans="14:14" ht="18.75" customHeight="1">
      <c r="N196" s="723"/>
    </row>
    <row r="197" spans="14:14" ht="18.75" customHeight="1">
      <c r="N197" s="723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06" zoomScale="55" zoomScaleSheetLayoutView="55" workbookViewId="0">
      <selection activeCell="F123" sqref="F12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>
      <c r="A1" s="1423" t="s">
        <v>272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6" s="281" customFormat="1" ht="27">
      <c r="A2" s="576" t="s">
        <v>273</v>
      </c>
      <c r="B2" s="1038">
        <v>44269</v>
      </c>
      <c r="C2" s="1199" t="s">
        <v>69</v>
      </c>
      <c r="D2" s="612">
        <v>0.4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>
      <c r="A3" s="571"/>
      <c r="B3" s="615"/>
      <c r="C3" s="1199" t="s">
        <v>120</v>
      </c>
      <c r="D3" s="613">
        <v>30</v>
      </c>
      <c r="E3" s="1432" t="s">
        <v>121</v>
      </c>
      <c r="F3" s="1433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>
      <c r="A4" s="577"/>
      <c r="B4" s="617"/>
      <c r="C4" s="1199" t="s">
        <v>122</v>
      </c>
      <c r="D4" s="612">
        <v>0.78</v>
      </c>
      <c r="E4" s="464"/>
      <c r="F4" s="464"/>
      <c r="G4" s="464"/>
      <c r="H4" s="464"/>
      <c r="I4" s="465"/>
      <c r="J4" s="616" t="s">
        <v>215</v>
      </c>
      <c r="K4" s="372"/>
      <c r="L4" s="292"/>
      <c r="N4" s="722"/>
      <c r="O4" s="729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'13'!F7</f>
        <v>4723879</v>
      </c>
      <c r="F7" s="455">
        <v>4744847</v>
      </c>
      <c r="G7" s="683">
        <f>F7-E7</f>
        <v>20968</v>
      </c>
      <c r="H7" s="684">
        <f>G7+'13'!H7</f>
        <v>299770</v>
      </c>
      <c r="I7" s="685">
        <f>'1'!I7</f>
        <v>12000</v>
      </c>
      <c r="J7" s="686">
        <f>H7/DAY(B2)</f>
        <v>21412.142857142859</v>
      </c>
      <c r="K7" s="550"/>
      <c r="L7" s="377"/>
      <c r="N7" s="734"/>
      <c r="O7" s="730"/>
      <c r="P7" s="733"/>
    </row>
    <row r="8" spans="1:16" ht="27.75" thickBot="1">
      <c r="A8" s="687" t="s">
        <v>133</v>
      </c>
      <c r="B8" s="688"/>
      <c r="C8" s="689"/>
      <c r="D8" s="690" t="s">
        <v>25</v>
      </c>
      <c r="E8" s="634">
        <f>'13'!F8</f>
        <v>4753603</v>
      </c>
      <c r="F8" s="475">
        <v>4774628</v>
      </c>
      <c r="G8" s="694">
        <f>F8-E8</f>
        <v>21025</v>
      </c>
      <c r="H8" s="684">
        <f>G8+'13'!H8</f>
        <v>301472</v>
      </c>
      <c r="I8" s="691">
        <f>'1'!I8</f>
        <v>12000</v>
      </c>
      <c r="J8" s="686">
        <f>H8/DAY(B2)</f>
        <v>21533.714285714286</v>
      </c>
      <c r="K8" s="550"/>
      <c r="L8" s="425"/>
      <c r="M8" s="440"/>
      <c r="N8" s="723"/>
      <c r="O8" s="730"/>
      <c r="P8" s="382"/>
    </row>
    <row r="9" spans="1:16">
      <c r="A9" s="692" t="s">
        <v>134</v>
      </c>
      <c r="B9" s="693"/>
      <c r="C9" s="693"/>
      <c r="D9" s="639" t="s">
        <v>132</v>
      </c>
      <c r="E9" s="634">
        <f>'13'!F9</f>
        <v>124354</v>
      </c>
      <c r="F9" s="478">
        <v>124354</v>
      </c>
      <c r="G9" s="707">
        <f t="shared" ref="G9:G12" si="0">F9-E9</f>
        <v>0</v>
      </c>
      <c r="H9" s="684">
        <f>G9+'13'!H9</f>
        <v>37444.990000000005</v>
      </c>
      <c r="I9" s="695">
        <f>I7-J7</f>
        <v>-9412.1428571428587</v>
      </c>
      <c r="J9" s="686">
        <f>H9/DAY(B2)</f>
        <v>2674.6421428571434</v>
      </c>
      <c r="K9" s="428"/>
      <c r="L9" s="377"/>
      <c r="N9" s="723"/>
      <c r="O9" s="730"/>
      <c r="P9" s="382"/>
    </row>
    <row r="10" spans="1:16">
      <c r="A10" s="681" t="s">
        <v>135</v>
      </c>
      <c r="B10" s="682"/>
      <c r="C10" s="682"/>
      <c r="D10" s="639" t="s">
        <v>132</v>
      </c>
      <c r="E10" s="634">
        <f>'13'!F10</f>
        <v>257339</v>
      </c>
      <c r="F10" s="478">
        <v>277550</v>
      </c>
      <c r="G10" s="694">
        <f t="shared" si="0"/>
        <v>20211</v>
      </c>
      <c r="H10" s="684">
        <f>G10+'13'!H10</f>
        <v>251854.44</v>
      </c>
      <c r="I10" s="696"/>
      <c r="J10" s="686">
        <f>H10/DAY(B2)</f>
        <v>17989.602857142858</v>
      </c>
      <c r="K10" s="428"/>
      <c r="L10" s="377"/>
      <c r="N10" s="723"/>
      <c r="O10" s="730"/>
      <c r="P10" s="382"/>
    </row>
    <row r="11" spans="1:16">
      <c r="A11" s="681" t="s">
        <v>136</v>
      </c>
      <c r="B11" s="682"/>
      <c r="C11" s="682"/>
      <c r="D11" s="639" t="s">
        <v>132</v>
      </c>
      <c r="E11" s="634">
        <f>'13'!F11</f>
        <v>37000</v>
      </c>
      <c r="F11" s="455">
        <v>37000</v>
      </c>
      <c r="G11" s="694">
        <f t="shared" si="0"/>
        <v>0</v>
      </c>
      <c r="H11" s="684">
        <f>G11+'13'!H11</f>
        <v>0</v>
      </c>
      <c r="I11" s="696"/>
      <c r="J11" s="686">
        <f>H11/DAY(B2)</f>
        <v>0</v>
      </c>
      <c r="K11" s="428"/>
      <c r="L11" s="377"/>
      <c r="N11" s="723"/>
      <c r="O11" s="730"/>
      <c r="P11" s="382"/>
    </row>
    <row r="12" spans="1:16">
      <c r="A12" s="681" t="s">
        <v>137</v>
      </c>
      <c r="B12" s="682"/>
      <c r="C12" s="682"/>
      <c r="D12" s="639" t="s">
        <v>132</v>
      </c>
      <c r="E12" s="634">
        <f>'13'!F12</f>
        <v>40010</v>
      </c>
      <c r="F12" s="478">
        <v>40010</v>
      </c>
      <c r="G12" s="694">
        <f t="shared" si="0"/>
        <v>0</v>
      </c>
      <c r="H12" s="684">
        <f>G12+'13'!H12</f>
        <v>0</v>
      </c>
      <c r="I12" s="696"/>
      <c r="J12" s="686">
        <f>H12/DAY(B2)</f>
        <v>0</v>
      </c>
      <c r="K12" s="428"/>
      <c r="L12" s="377" t="s">
        <v>269</v>
      </c>
      <c r="N12" s="723"/>
      <c r="O12" s="730">
        <v>0</v>
      </c>
      <c r="P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20211</v>
      </c>
      <c r="H13" s="684">
        <f>G13+'13'!H13</f>
        <v>268305.43</v>
      </c>
      <c r="I13" s="700">
        <f>G7-G13</f>
        <v>757</v>
      </c>
      <c r="J13" s="686">
        <f>H13/DAY(B2)</f>
        <v>19164.673571428571</v>
      </c>
      <c r="K13" s="428"/>
      <c r="L13" s="377"/>
      <c r="N13" s="723"/>
      <c r="O13" s="730"/>
      <c r="P13" s="382"/>
    </row>
    <row r="14" spans="1:16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N14" s="723"/>
      <c r="O14" s="730"/>
      <c r="P14" s="382"/>
    </row>
    <row r="15" spans="1:16">
      <c r="A15" s="798" t="s">
        <v>140</v>
      </c>
      <c r="B15" s="799"/>
      <c r="C15" s="799"/>
      <c r="D15" s="524" t="s">
        <v>141</v>
      </c>
      <c r="E15" s="485">
        <f>'13'!F15</f>
        <v>1631215</v>
      </c>
      <c r="F15" s="485">
        <v>1632070</v>
      </c>
      <c r="G15" s="669">
        <f>(F15-E15)</f>
        <v>855</v>
      </c>
      <c r="H15" s="486">
        <f>G15+'13'!H15</f>
        <v>12191.389999999898</v>
      </c>
      <c r="I15" s="474">
        <v>800</v>
      </c>
      <c r="J15" s="554">
        <f>H15/DAY(B2)</f>
        <v>870.81357142856416</v>
      </c>
      <c r="K15" s="428"/>
      <c r="L15" s="377"/>
      <c r="N15" s="723"/>
      <c r="O15" s="730"/>
      <c r="P15" s="382"/>
    </row>
    <row r="16" spans="1:16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-70.81357142856416</v>
      </c>
      <c r="J16" s="554"/>
      <c r="K16" s="428"/>
      <c r="L16" s="377"/>
      <c r="N16" s="723"/>
      <c r="O16" s="730"/>
      <c r="P16" s="382"/>
    </row>
    <row r="17" spans="1:16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>
      <c r="A18" s="1464" t="s">
        <v>143</v>
      </c>
      <c r="B18" s="1465"/>
      <c r="C18" s="1466"/>
      <c r="D18" s="639" t="s">
        <v>144</v>
      </c>
      <c r="E18" s="636">
        <f>'13'!F18</f>
        <v>16</v>
      </c>
      <c r="F18" s="478">
        <v>18</v>
      </c>
      <c r="G18" s="699">
        <f>F18*10</f>
        <v>180</v>
      </c>
      <c r="H18" s="684">
        <f>G18+'13'!H18</f>
        <v>2000</v>
      </c>
      <c r="I18" s="685">
        <f>'1'!I18</f>
        <v>65</v>
      </c>
      <c r="J18" s="686">
        <f>H18/DAY(B2)</f>
        <v>142.85714285714286</v>
      </c>
      <c r="K18" s="428"/>
      <c r="L18" s="377"/>
      <c r="N18" s="723"/>
      <c r="O18" s="730"/>
      <c r="P18" s="382"/>
    </row>
    <row r="19" spans="1:16" ht="27.75">
      <c r="A19" s="1464" t="s">
        <v>71</v>
      </c>
      <c r="B19" s="1465"/>
      <c r="C19" s="1466"/>
      <c r="D19" s="639" t="s">
        <v>144</v>
      </c>
      <c r="E19" s="636">
        <f>'13'!F19</f>
        <v>135140</v>
      </c>
      <c r="F19" s="478">
        <v>135192</v>
      </c>
      <c r="G19" s="694">
        <f t="shared" ref="G19" si="1">F19-E19</f>
        <v>52</v>
      </c>
      <c r="H19" s="684">
        <f>G19+'13'!H19</f>
        <v>724</v>
      </c>
      <c r="I19" s="701"/>
      <c r="J19" s="686">
        <f>H19/DAY(B2)</f>
        <v>51.714285714285715</v>
      </c>
      <c r="K19" s="428"/>
      <c r="L19" s="377"/>
      <c r="N19" s="723"/>
      <c r="O19" s="730"/>
      <c r="P19" s="382"/>
    </row>
    <row r="20" spans="1:16">
      <c r="A20" s="697" t="s">
        <v>145</v>
      </c>
      <c r="B20" s="698"/>
      <c r="C20" s="698"/>
      <c r="D20" s="639"/>
      <c r="E20" s="639"/>
      <c r="F20" s="714"/>
      <c r="G20" s="702">
        <f>G18+G19</f>
        <v>232</v>
      </c>
      <c r="H20" s="684">
        <f>G20+'13'!H20</f>
        <v>2724</v>
      </c>
      <c r="I20" s="703">
        <f>I18-J20</f>
        <v>-129.57142857142858</v>
      </c>
      <c r="J20" s="686">
        <f>H20/DAY(B2)</f>
        <v>194.57142857142858</v>
      </c>
      <c r="K20" s="428"/>
      <c r="L20" s="377"/>
      <c r="N20" s="723"/>
      <c r="O20" s="730"/>
      <c r="P20" s="382"/>
    </row>
    <row r="21" spans="1:16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>
      <c r="A22" s="1192" t="s">
        <v>147</v>
      </c>
      <c r="B22" s="590"/>
      <c r="C22" s="590"/>
      <c r="D22" s="523" t="s">
        <v>148</v>
      </c>
      <c r="E22" s="636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>
      <c r="A23" s="1192" t="s">
        <v>149</v>
      </c>
      <c r="B23" s="590"/>
      <c r="C23" s="590"/>
      <c r="D23" s="523" t="s">
        <v>148</v>
      </c>
      <c r="E23" s="636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>
      <c r="A24" s="591" t="s">
        <v>150</v>
      </c>
      <c r="B24" s="592"/>
      <c r="C24" s="592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21025</v>
      </c>
      <c r="F27" s="501">
        <v>9</v>
      </c>
      <c r="G27" s="502">
        <f>E27*F27</f>
        <v>189225</v>
      </c>
      <c r="H27" s="460">
        <f>G27+'13'!H27</f>
        <v>2713248</v>
      </c>
      <c r="I27" s="503"/>
      <c r="J27" s="553">
        <f>H27/DAY(B2)</f>
        <v>193803.42857142858</v>
      </c>
      <c r="K27" s="373"/>
      <c r="L27" s="443"/>
      <c r="N27" s="723"/>
      <c r="O27" s="730"/>
      <c r="P27" s="382"/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855</v>
      </c>
      <c r="F28" s="501">
        <v>48.88</v>
      </c>
      <c r="G28" s="502">
        <f>E28*F28</f>
        <v>41792.400000000001</v>
      </c>
      <c r="H28" s="460">
        <f>G28+'13'!H28</f>
        <v>595915.14319999504</v>
      </c>
      <c r="I28" s="505"/>
      <c r="J28" s="553">
        <f>H28/DAY(B2)</f>
        <v>42565.367371428219</v>
      </c>
      <c r="K28" s="373"/>
      <c r="L28" s="443"/>
      <c r="N28" s="723"/>
      <c r="O28" s="730"/>
      <c r="P28" s="382"/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52</v>
      </c>
      <c r="F30" s="501">
        <v>134</v>
      </c>
      <c r="G30" s="502">
        <f>E30*F30</f>
        <v>6968</v>
      </c>
      <c r="H30" s="460">
        <f>G30+'13'!H30</f>
        <v>114704</v>
      </c>
      <c r="I30" s="505"/>
      <c r="J30" s="553">
        <f>H30/DAY(B2)</f>
        <v>8193.1428571428569</v>
      </c>
      <c r="K30" s="373"/>
      <c r="L30" s="443"/>
      <c r="N30" s="723"/>
      <c r="O30" s="730"/>
      <c r="P30" s="382"/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180</v>
      </c>
      <c r="F31" s="501">
        <v>80</v>
      </c>
      <c r="G31" s="502">
        <f>E31*F31</f>
        <v>14400</v>
      </c>
      <c r="H31" s="460">
        <f>G31+'13'!H31</f>
        <v>149440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252385.4</v>
      </c>
      <c r="H32" s="460">
        <f>G32+'13'!H32</f>
        <v>3573307.1431999947</v>
      </c>
      <c r="I32" s="509"/>
      <c r="J32" s="553">
        <f>H32/DAY(B2)</f>
        <v>255236.22451428534</v>
      </c>
      <c r="K32" s="373"/>
      <c r="L32" s="443"/>
      <c r="N32" s="723"/>
      <c r="O32" s="730"/>
      <c r="P32" s="382"/>
    </row>
    <row r="33" spans="1:16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723"/>
      <c r="O33" s="730"/>
      <c r="P33" s="382"/>
    </row>
    <row r="34" spans="1:16">
      <c r="A34" s="599" t="s">
        <v>163</v>
      </c>
      <c r="B34" s="1194"/>
      <c r="C34" s="1194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>
      <c r="A35" s="579" t="s">
        <v>164</v>
      </c>
      <c r="B35" s="580"/>
      <c r="C35" s="580"/>
      <c r="D35" s="523" t="s">
        <v>132</v>
      </c>
      <c r="E35" s="510">
        <f>'13'!F35</f>
        <v>738125</v>
      </c>
      <c r="F35" s="510">
        <v>741608</v>
      </c>
      <c r="G35" s="473">
        <f t="shared" ref="G35:G46" si="3">F35-E35</f>
        <v>3483</v>
      </c>
      <c r="H35" s="460">
        <f>G35+'13'!H35</f>
        <v>48520.410000000033</v>
      </c>
      <c r="I35" s="455"/>
      <c r="J35" s="553">
        <f>H35/DAY(B2)</f>
        <v>3465.7435714285739</v>
      </c>
      <c r="K35" s="428"/>
      <c r="L35" s="377"/>
      <c r="N35" s="723"/>
      <c r="O35" s="731" t="s">
        <v>269</v>
      </c>
      <c r="P35" s="382"/>
    </row>
    <row r="36" spans="1:16">
      <c r="A36" s="579" t="s">
        <v>165</v>
      </c>
      <c r="B36" s="580"/>
      <c r="C36" s="580"/>
      <c r="D36" s="523" t="s">
        <v>132</v>
      </c>
      <c r="E36" s="510">
        <f>'13'!F36</f>
        <v>304874</v>
      </c>
      <c r="F36" s="510">
        <v>305533</v>
      </c>
      <c r="G36" s="473">
        <f t="shared" si="3"/>
        <v>659</v>
      </c>
      <c r="H36" s="460">
        <f>G36+'13'!H36</f>
        <v>9087.429999999993</v>
      </c>
      <c r="I36" s="455"/>
      <c r="J36" s="553">
        <f>H36/DAY(B2)</f>
        <v>649.10214285714233</v>
      </c>
      <c r="K36" s="428"/>
      <c r="L36" s="377"/>
      <c r="N36" s="724"/>
      <c r="O36" s="731" t="s">
        <v>274</v>
      </c>
      <c r="P36" s="382"/>
    </row>
    <row r="37" spans="1:16">
      <c r="A37" s="579" t="s">
        <v>166</v>
      </c>
      <c r="B37" s="580"/>
      <c r="C37" s="580"/>
      <c r="D37" s="523" t="s">
        <v>132</v>
      </c>
      <c r="E37" s="510">
        <f>'13'!F37</f>
        <v>35167</v>
      </c>
      <c r="F37" s="510">
        <v>35167</v>
      </c>
      <c r="G37" s="473">
        <f t="shared" si="3"/>
        <v>0</v>
      </c>
      <c r="H37" s="460">
        <f>G37+'13'!H37</f>
        <v>38272.080000000002</v>
      </c>
      <c r="I37" s="455"/>
      <c r="J37" s="553">
        <f>H37/DAY(B2)</f>
        <v>2733.7200000000003</v>
      </c>
      <c r="K37" s="428"/>
      <c r="L37" s="377"/>
      <c r="N37" s="724"/>
      <c r="O37" s="731"/>
      <c r="P37" s="382"/>
    </row>
    <row r="38" spans="1:16">
      <c r="A38" s="579" t="s">
        <v>167</v>
      </c>
      <c r="B38" s="580"/>
      <c r="C38" s="580"/>
      <c r="D38" s="523" t="s">
        <v>132</v>
      </c>
      <c r="E38" s="510">
        <f>'13'!F38</f>
        <v>48333</v>
      </c>
      <c r="F38" s="469">
        <v>48333</v>
      </c>
      <c r="G38" s="473">
        <f t="shared" si="3"/>
        <v>0</v>
      </c>
      <c r="H38" s="460">
        <f>G38+'13'!H38</f>
        <v>4519.510000000002</v>
      </c>
      <c r="I38" s="455"/>
      <c r="J38" s="553">
        <f>H38/DAY(B2)</f>
        <v>322.82214285714298</v>
      </c>
      <c r="K38" s="428"/>
      <c r="L38" s="377"/>
      <c r="N38" s="723"/>
      <c r="O38" s="730"/>
      <c r="P38" s="382"/>
    </row>
    <row r="39" spans="1:16">
      <c r="A39" s="579" t="s">
        <v>168</v>
      </c>
      <c r="B39" s="580"/>
      <c r="C39" s="580"/>
      <c r="D39" s="523" t="s">
        <v>132</v>
      </c>
      <c r="E39" s="510">
        <f>'13'!F39</f>
        <v>100066</v>
      </c>
      <c r="F39" s="510">
        <v>100066</v>
      </c>
      <c r="G39" s="473">
        <f t="shared" si="3"/>
        <v>0</v>
      </c>
      <c r="H39" s="460">
        <f>G39+'13'!H39</f>
        <v>109458.89</v>
      </c>
      <c r="I39" s="455"/>
      <c r="J39" s="553">
        <f>H39/DAY(B2)</f>
        <v>7818.4921428571424</v>
      </c>
      <c r="K39" s="428"/>
      <c r="L39" s="377"/>
      <c r="N39" s="723"/>
      <c r="O39" s="731"/>
      <c r="P39" s="382"/>
    </row>
    <row r="40" spans="1:16">
      <c r="A40" s="600" t="s">
        <v>169</v>
      </c>
      <c r="B40" s="601"/>
      <c r="C40" s="601"/>
      <c r="D40" s="523" t="s">
        <v>132</v>
      </c>
      <c r="E40" s="510">
        <f>'13'!F40</f>
        <v>0.23</v>
      </c>
      <c r="F40" s="510">
        <v>0.23</v>
      </c>
      <c r="G40" s="473">
        <f t="shared" si="3"/>
        <v>0</v>
      </c>
      <c r="H40" s="460">
        <f>G40+'13'!H40</f>
        <v>0</v>
      </c>
      <c r="I40" s="455"/>
      <c r="J40" s="553">
        <f>H40/DAY(B2)</f>
        <v>0</v>
      </c>
      <c r="K40" s="429"/>
      <c r="L40" s="377"/>
      <c r="N40" s="723"/>
      <c r="O40" s="730"/>
      <c r="P40" s="382"/>
    </row>
    <row r="41" spans="1:16">
      <c r="A41" s="579" t="s">
        <v>170</v>
      </c>
      <c r="B41" s="580"/>
      <c r="C41" s="580" t="s">
        <v>215</v>
      </c>
      <c r="D41" s="523" t="s">
        <v>132</v>
      </c>
      <c r="E41" s="510">
        <f>'13'!F41</f>
        <v>64767</v>
      </c>
      <c r="F41" s="510">
        <v>64767</v>
      </c>
      <c r="G41" s="473">
        <f t="shared" si="3"/>
        <v>0</v>
      </c>
      <c r="H41" s="460">
        <f>G41+'13'!H41</f>
        <v>884.62999999999738</v>
      </c>
      <c r="I41" s="455"/>
      <c r="J41" s="553">
        <f>H41/DAY(B2)</f>
        <v>63.187857142856956</v>
      </c>
      <c r="K41" s="428"/>
      <c r="L41" s="377"/>
      <c r="N41" s="723"/>
      <c r="O41" s="732"/>
      <c r="P41" s="726"/>
    </row>
    <row r="42" spans="1:16">
      <c r="A42" s="579" t="s">
        <v>171</v>
      </c>
      <c r="B42" s="580"/>
      <c r="C42" s="580"/>
      <c r="D42" s="523" t="s">
        <v>132</v>
      </c>
      <c r="E42" s="510">
        <f>'13'!F42</f>
        <v>59128</v>
      </c>
      <c r="F42" s="510">
        <v>59128</v>
      </c>
      <c r="G42" s="473">
        <f t="shared" si="3"/>
        <v>0</v>
      </c>
      <c r="H42" s="460">
        <f>G42+'13'!H42</f>
        <v>-0.84999999999854481</v>
      </c>
      <c r="I42" s="455"/>
      <c r="J42" s="553">
        <f>H42/DAY(B2)</f>
        <v>-6.0714285714181769E-2</v>
      </c>
      <c r="K42" s="428"/>
      <c r="L42" s="377"/>
      <c r="N42" s="723"/>
      <c r="O42" s="730"/>
      <c r="P42" s="382"/>
    </row>
    <row r="43" spans="1:16">
      <c r="A43" s="579" t="s">
        <v>172</v>
      </c>
      <c r="B43" s="580"/>
      <c r="C43" s="580"/>
      <c r="D43" s="523" t="s">
        <v>132</v>
      </c>
      <c r="E43" s="510">
        <f>'13'!F43</f>
        <v>857588</v>
      </c>
      <c r="F43" s="510">
        <v>859995</v>
      </c>
      <c r="G43" s="473">
        <f t="shared" si="3"/>
        <v>2407</v>
      </c>
      <c r="H43" s="460">
        <f>G43+'13'!H43</f>
        <v>34097.170000000042</v>
      </c>
      <c r="I43" s="455"/>
      <c r="J43" s="553">
        <f>H43/DAY(B2)</f>
        <v>2435.512142857146</v>
      </c>
      <c r="K43" s="428"/>
      <c r="L43" s="377"/>
      <c r="N43" s="723"/>
      <c r="O43" s="731"/>
      <c r="P43" s="382"/>
    </row>
    <row r="44" spans="1:16">
      <c r="A44" s="579" t="s">
        <v>173</v>
      </c>
      <c r="B44" s="580"/>
      <c r="C44" s="580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>
      <c r="A45" s="579" t="s">
        <v>174</v>
      </c>
      <c r="B45" s="580"/>
      <c r="C45" s="580"/>
      <c r="D45" s="523" t="s">
        <v>132</v>
      </c>
      <c r="E45" s="510">
        <f>'13'!F45</f>
        <v>614</v>
      </c>
      <c r="F45" s="510">
        <v>614</v>
      </c>
      <c r="G45" s="473">
        <f t="shared" si="3"/>
        <v>0</v>
      </c>
      <c r="H45" s="460">
        <f>G45+'13'!H45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>
      <c r="A46" s="579" t="s">
        <v>175</v>
      </c>
      <c r="B46" s="580"/>
      <c r="C46" s="580"/>
      <c r="D46" s="523" t="s">
        <v>132</v>
      </c>
      <c r="E46" s="510">
        <f>'13'!F46</f>
        <v>187.49</v>
      </c>
      <c r="F46" s="510">
        <v>187.49</v>
      </c>
      <c r="G46" s="473">
        <f t="shared" si="3"/>
        <v>0</v>
      </c>
      <c r="H46" s="460">
        <f>G46+'13'!H46</f>
        <v>0.49000000000000909</v>
      </c>
      <c r="I46" s="455"/>
      <c r="J46" s="553">
        <f>H46/DAY(B2)</f>
        <v>3.5000000000000649E-2</v>
      </c>
      <c r="K46" s="428"/>
      <c r="L46" s="377"/>
      <c r="N46" s="723"/>
      <c r="O46" s="730"/>
      <c r="P46" s="382"/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6549</v>
      </c>
      <c r="H47" s="460">
        <f>G47+'13'!H47</f>
        <v>244839.76000000007</v>
      </c>
      <c r="I47" s="455"/>
      <c r="J47" s="553">
        <f>H47/DAY(B2)</f>
        <v>17488.55428571429</v>
      </c>
      <c r="K47" s="428"/>
      <c r="L47" s="377"/>
      <c r="N47" s="723"/>
      <c r="O47" s="730"/>
      <c r="P47" s="382"/>
    </row>
    <row r="48" spans="1:16">
      <c r="A48" s="599" t="s">
        <v>177</v>
      </c>
      <c r="B48" s="1194"/>
      <c r="C48" s="1194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>
      <c r="A49" s="579" t="s">
        <v>164</v>
      </c>
      <c r="B49" s="602"/>
      <c r="C49" s="602"/>
      <c r="D49" s="523" t="s">
        <v>132</v>
      </c>
      <c r="E49" s="510">
        <f>'13'!F49</f>
        <v>260732</v>
      </c>
      <c r="F49" s="510">
        <v>260732</v>
      </c>
      <c r="G49" s="473">
        <f t="shared" ref="G49:G58" si="4">F49-E49</f>
        <v>0</v>
      </c>
      <c r="H49" s="460">
        <f>G49+'13'!H49</f>
        <v>-0.13000000000465661</v>
      </c>
      <c r="I49" s="455"/>
      <c r="J49" s="553">
        <f>H49/DAY(B2)</f>
        <v>-9.2857142860469002E-3</v>
      </c>
      <c r="K49" s="428"/>
      <c r="L49" s="377"/>
      <c r="N49" s="723"/>
      <c r="O49" s="730"/>
      <c r="P49" s="382"/>
    </row>
    <row r="50" spans="1:16">
      <c r="A50" s="579" t="s">
        <v>178</v>
      </c>
      <c r="B50" s="602"/>
      <c r="C50" s="602"/>
      <c r="D50" s="523" t="s">
        <v>132</v>
      </c>
      <c r="E50" s="510">
        <f>'13'!F50</f>
        <v>418225</v>
      </c>
      <c r="F50" s="510">
        <v>419409</v>
      </c>
      <c r="G50" s="473">
        <f t="shared" si="4"/>
        <v>1184</v>
      </c>
      <c r="H50" s="460">
        <f>G50+'13'!H50</f>
        <v>15751.969999999972</v>
      </c>
      <c r="I50" s="455"/>
      <c r="J50" s="553">
        <f>H50/DAY(B2)</f>
        <v>1125.1407142857122</v>
      </c>
      <c r="K50" s="428"/>
      <c r="L50" s="377"/>
      <c r="N50" s="723"/>
      <c r="O50" s="731"/>
      <c r="P50" s="382"/>
    </row>
    <row r="51" spans="1:16">
      <c r="A51" s="579" t="s">
        <v>166</v>
      </c>
      <c r="B51" s="602"/>
      <c r="C51" s="602"/>
      <c r="D51" s="523" t="s">
        <v>132</v>
      </c>
      <c r="E51" s="510">
        <f>'13'!F51</f>
        <v>136570</v>
      </c>
      <c r="F51" s="510">
        <v>138133</v>
      </c>
      <c r="G51" s="473">
        <f t="shared" si="4"/>
        <v>1563</v>
      </c>
      <c r="H51" s="460">
        <f>G51+'13'!H51</f>
        <v>16533.080000000002</v>
      </c>
      <c r="I51" s="455"/>
      <c r="J51" s="553">
        <f>H51/DAY(B2)</f>
        <v>1180.9342857142858</v>
      </c>
      <c r="K51" s="428"/>
      <c r="L51" s="377"/>
      <c r="N51" s="723"/>
      <c r="O51" s="730"/>
      <c r="P51" s="382"/>
    </row>
    <row r="52" spans="1:16">
      <c r="A52" s="579" t="s">
        <v>179</v>
      </c>
      <c r="B52" s="602"/>
      <c r="C52" s="602"/>
      <c r="D52" s="523" t="s">
        <v>132</v>
      </c>
      <c r="E52" s="510">
        <f>'13'!F52</f>
        <v>530344</v>
      </c>
      <c r="F52" s="510">
        <v>532354</v>
      </c>
      <c r="G52" s="473">
        <f t="shared" si="4"/>
        <v>2010</v>
      </c>
      <c r="H52" s="460">
        <f>G52+'13'!H52</f>
        <v>22395.289999999979</v>
      </c>
      <c r="I52" s="455"/>
      <c r="J52" s="553">
        <f>H52/DAY(B2)</f>
        <v>1599.6635714285699</v>
      </c>
      <c r="K52" s="428"/>
      <c r="L52" s="377"/>
      <c r="N52" s="723"/>
      <c r="O52" s="730"/>
      <c r="P52" s="382"/>
    </row>
    <row r="53" spans="1:16">
      <c r="A53" s="579" t="s">
        <v>168</v>
      </c>
      <c r="B53" s="602"/>
      <c r="C53" s="602"/>
      <c r="D53" s="523" t="s">
        <v>132</v>
      </c>
      <c r="E53" s="510">
        <f>'13'!F53</f>
        <v>377576</v>
      </c>
      <c r="F53" s="510">
        <v>381709</v>
      </c>
      <c r="G53" s="473">
        <f t="shared" si="4"/>
        <v>4133</v>
      </c>
      <c r="H53" s="460">
        <f>G53+'13'!H53</f>
        <v>45669.489999999991</v>
      </c>
      <c r="I53" s="455"/>
      <c r="J53" s="553">
        <f>H53/DAY(B2)</f>
        <v>3262.1064285714278</v>
      </c>
      <c r="K53" s="428"/>
      <c r="L53" s="377"/>
      <c r="N53" s="723"/>
      <c r="O53" s="730"/>
      <c r="P53" s="382"/>
    </row>
    <row r="54" spans="1:16">
      <c r="A54" s="579" t="s">
        <v>180</v>
      </c>
      <c r="B54" s="602"/>
      <c r="C54" s="602"/>
      <c r="D54" s="523" t="s">
        <v>132</v>
      </c>
      <c r="E54" s="510">
        <f>'13'!F54</f>
        <v>8200</v>
      </c>
      <c r="F54" s="510">
        <v>8200</v>
      </c>
      <c r="G54" s="473">
        <f t="shared" si="4"/>
        <v>0</v>
      </c>
      <c r="H54" s="460">
        <f>G54+'13'!H54</f>
        <v>104.40000000000055</v>
      </c>
      <c r="I54" s="455"/>
      <c r="J54" s="553">
        <f>H54/DAY(B2)</f>
        <v>7.4571428571428964</v>
      </c>
      <c r="K54" s="428"/>
      <c r="L54" s="377"/>
      <c r="N54" s="723"/>
      <c r="O54" s="730"/>
      <c r="P54" s="382"/>
    </row>
    <row r="55" spans="1:16">
      <c r="A55" s="579" t="s">
        <v>181</v>
      </c>
      <c r="B55" s="602"/>
      <c r="C55" s="602"/>
      <c r="D55" s="523" t="s">
        <v>132</v>
      </c>
      <c r="E55" s="510">
        <f>'13'!F55</f>
        <v>182335</v>
      </c>
      <c r="F55" s="658">
        <v>187345</v>
      </c>
      <c r="G55" s="657">
        <f t="shared" si="4"/>
        <v>5010</v>
      </c>
      <c r="H55" s="710">
        <f>G55+'13'!H55</f>
        <v>64760.31</v>
      </c>
      <c r="I55" s="711"/>
      <c r="J55" s="712">
        <f>H55/DAY(B2)</f>
        <v>4625.7364285714284</v>
      </c>
      <c r="K55" s="428"/>
      <c r="L55" s="377"/>
      <c r="N55" s="723"/>
      <c r="O55" s="730"/>
      <c r="P55" s="382"/>
    </row>
    <row r="56" spans="1:16">
      <c r="A56" s="579" t="s">
        <v>182</v>
      </c>
      <c r="B56" s="602"/>
      <c r="C56" s="602"/>
      <c r="D56" s="523" t="s">
        <v>183</v>
      </c>
      <c r="E56" s="510">
        <f>'13'!F56</f>
        <v>588761</v>
      </c>
      <c r="F56" s="658">
        <v>588761</v>
      </c>
      <c r="G56" s="473">
        <f t="shared" si="4"/>
        <v>0</v>
      </c>
      <c r="H56" s="460">
        <f>G56+'13'!H56</f>
        <v>2709.9699999999721</v>
      </c>
      <c r="I56" s="455"/>
      <c r="J56" s="553">
        <f>H56/DAY(B2)</f>
        <v>193.56928571428372</v>
      </c>
      <c r="K56" s="427"/>
      <c r="L56" s="377"/>
      <c r="N56" s="723"/>
      <c r="O56" s="732"/>
      <c r="P56" s="382"/>
    </row>
    <row r="57" spans="1:16">
      <c r="A57" s="579" t="s">
        <v>172</v>
      </c>
      <c r="B57" s="602"/>
      <c r="C57" s="602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>
      <c r="A58" s="579" t="s">
        <v>184</v>
      </c>
      <c r="B58" s="602"/>
      <c r="C58" s="602"/>
      <c r="D58" s="523" t="s">
        <v>132</v>
      </c>
      <c r="E58" s="510">
        <f>'13'!F58</f>
        <v>38352</v>
      </c>
      <c r="F58" s="658">
        <v>38525</v>
      </c>
      <c r="G58" s="473">
        <f t="shared" si="4"/>
        <v>173</v>
      </c>
      <c r="H58" s="460">
        <f>G58+'13'!H58</f>
        <v>2460.3000000000029</v>
      </c>
      <c r="I58" s="455"/>
      <c r="J58" s="553">
        <f>H58/DAY(B2)</f>
        <v>175.73571428571449</v>
      </c>
      <c r="K58" s="428"/>
      <c r="L58" s="377"/>
      <c r="N58" s="723"/>
      <c r="O58" s="730"/>
      <c r="P58" s="382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14073</v>
      </c>
      <c r="H59" s="460">
        <f>G59+'13'!H59</f>
        <v>170384.67999999991</v>
      </c>
      <c r="I59" s="455">
        <f>G7-G60</f>
        <v>346</v>
      </c>
      <c r="J59" s="553">
        <f>H59/DAY(B2)</f>
        <v>12170.33428571428</v>
      </c>
      <c r="K59" s="428"/>
      <c r="L59" s="377"/>
      <c r="N59" s="723"/>
      <c r="O59" s="730"/>
      <c r="P59" s="382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20622</v>
      </c>
      <c r="H60" s="460">
        <f>G60+'13'!H60</f>
        <v>429393.44</v>
      </c>
      <c r="I60" s="455">
        <f>G13-G60</f>
        <v>-411</v>
      </c>
      <c r="J60" s="553">
        <f>H60/DAY(B2)</f>
        <v>30670.959999999999</v>
      </c>
      <c r="K60" s="428"/>
      <c r="L60" s="377"/>
      <c r="N60" s="723"/>
      <c r="O60" s="730"/>
      <c r="P60" s="382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>
      <c r="A62" s="604" t="s">
        <v>98</v>
      </c>
      <c r="B62" s="605"/>
      <c r="C62" s="605"/>
      <c r="D62" s="511" t="s">
        <v>187</v>
      </c>
      <c r="E62" s="514">
        <f>'13'!F62</f>
        <v>20419.18</v>
      </c>
      <c r="F62" s="514">
        <v>20419.18</v>
      </c>
      <c r="G62" s="473">
        <f t="shared" ref="G62:G69" si="5">F62-E62</f>
        <v>0</v>
      </c>
      <c r="H62" s="460">
        <f>G62+'13'!H62</f>
        <v>-7.0000000014260877E-3</v>
      </c>
      <c r="I62" s="515"/>
      <c r="J62" s="553">
        <f>H62/DAY(B2)</f>
        <v>-5.0000000010186341E-4</v>
      </c>
      <c r="K62" s="428"/>
      <c r="L62" s="377"/>
      <c r="N62" s="723"/>
      <c r="O62" s="730"/>
      <c r="P62" s="382"/>
    </row>
    <row r="63" spans="1:16">
      <c r="A63" s="604" t="s">
        <v>188</v>
      </c>
      <c r="B63" s="605"/>
      <c r="C63" s="605"/>
      <c r="D63" s="511" t="s">
        <v>187</v>
      </c>
      <c r="E63" s="514">
        <f>'13'!F63</f>
        <v>1877</v>
      </c>
      <c r="F63" s="514">
        <v>1892</v>
      </c>
      <c r="G63" s="473">
        <f t="shared" si="5"/>
        <v>15</v>
      </c>
      <c r="H63" s="460">
        <f>G63+'13'!H63</f>
        <v>184.6400000000001</v>
      </c>
      <c r="I63" s="515"/>
      <c r="J63" s="553">
        <f>H63/DAY(B2)</f>
        <v>13.188571428571436</v>
      </c>
      <c r="K63" s="428"/>
      <c r="L63" s="377"/>
      <c r="N63" s="723"/>
      <c r="O63" s="730"/>
      <c r="P63" s="382"/>
    </row>
    <row r="64" spans="1:16" ht="27.75">
      <c r="A64" s="1408" t="s">
        <v>99</v>
      </c>
      <c r="B64" s="1409"/>
      <c r="C64" s="1410"/>
      <c r="D64" s="523" t="s">
        <v>187</v>
      </c>
      <c r="E64" s="514">
        <f>'13'!F64</f>
        <v>130341</v>
      </c>
      <c r="F64" s="478">
        <v>130829</v>
      </c>
      <c r="G64" s="473">
        <f t="shared" si="5"/>
        <v>488</v>
      </c>
      <c r="H64" s="460">
        <f>G64+'13'!H64</f>
        <v>7201.6999999999971</v>
      </c>
      <c r="I64" s="480"/>
      <c r="J64" s="553">
        <f>H64/DAY(B2)</f>
        <v>514.40714285714262</v>
      </c>
      <c r="K64" s="428"/>
      <c r="L64" s="377"/>
      <c r="N64" s="723"/>
      <c r="O64" s="730"/>
      <c r="P64" s="382"/>
    </row>
    <row r="65" spans="1:16" ht="27.75">
      <c r="A65" s="1408" t="s">
        <v>100</v>
      </c>
      <c r="B65" s="1409"/>
      <c r="C65" s="1410"/>
      <c r="D65" s="523" t="s">
        <v>187</v>
      </c>
      <c r="E65" s="514">
        <f>'13'!F65</f>
        <v>137422</v>
      </c>
      <c r="F65" s="656">
        <v>137804</v>
      </c>
      <c r="G65" s="473">
        <f t="shared" si="5"/>
        <v>382</v>
      </c>
      <c r="H65" s="460">
        <f>G65+'13'!H65</f>
        <v>5206.7000000000116</v>
      </c>
      <c r="I65" s="489"/>
      <c r="J65" s="553">
        <f>H65/DAY(B2)</f>
        <v>371.9071428571437</v>
      </c>
      <c r="K65" s="428"/>
      <c r="L65" s="377"/>
      <c r="N65" s="723"/>
      <c r="O65" s="731"/>
      <c r="P65" s="382"/>
    </row>
    <row r="66" spans="1:16" ht="27.75">
      <c r="A66" s="1408" t="s">
        <v>101</v>
      </c>
      <c r="B66" s="1409"/>
      <c r="C66" s="1410"/>
      <c r="D66" s="523" t="s">
        <v>187</v>
      </c>
      <c r="E66" s="514">
        <f>'13'!F66</f>
        <v>30159</v>
      </c>
      <c r="F66" s="478">
        <v>30530</v>
      </c>
      <c r="G66" s="473">
        <f t="shared" si="5"/>
        <v>371</v>
      </c>
      <c r="H66" s="460">
        <f>G66+'13'!H66</f>
        <v>5370.25</v>
      </c>
      <c r="I66" s="480"/>
      <c r="J66" s="553">
        <f>H66/DAY(B2)</f>
        <v>383.58928571428572</v>
      </c>
      <c r="K66" s="428"/>
      <c r="L66" s="377"/>
      <c r="N66" s="723"/>
      <c r="O66" s="730"/>
      <c r="P66" s="382"/>
    </row>
    <row r="67" spans="1:16" ht="27.75">
      <c r="A67" s="1408" t="s">
        <v>102</v>
      </c>
      <c r="B67" s="1409"/>
      <c r="C67" s="1410"/>
      <c r="D67" s="523" t="s">
        <v>187</v>
      </c>
      <c r="E67" s="514">
        <f>'13'!F67</f>
        <v>216677</v>
      </c>
      <c r="F67" s="478">
        <v>217323</v>
      </c>
      <c r="G67" s="473">
        <f t="shared" si="5"/>
        <v>646</v>
      </c>
      <c r="H67" s="460">
        <f>G67+'13'!H67</f>
        <v>9481.1700000000128</v>
      </c>
      <c r="I67" s="489"/>
      <c r="J67" s="553">
        <f>H67/DAY(B2)</f>
        <v>677.22642857142944</v>
      </c>
      <c r="K67" s="429"/>
      <c r="L67" s="377"/>
      <c r="N67" s="723"/>
      <c r="O67" s="730"/>
      <c r="P67" s="382"/>
    </row>
    <row r="68" spans="1:16" ht="27.75">
      <c r="A68" s="1408" t="s">
        <v>103</v>
      </c>
      <c r="B68" s="1409"/>
      <c r="C68" s="1410"/>
      <c r="D68" s="523" t="s">
        <v>187</v>
      </c>
      <c r="E68" s="514">
        <f>'13'!F68</f>
        <v>77068</v>
      </c>
      <c r="F68" s="478">
        <v>77418</v>
      </c>
      <c r="G68" s="473">
        <f t="shared" si="5"/>
        <v>350</v>
      </c>
      <c r="H68" s="460">
        <f>G68+'13'!H68</f>
        <v>4739.4799999999959</v>
      </c>
      <c r="I68" s="516"/>
      <c r="J68" s="553">
        <f>H68/DAY(B2)</f>
        <v>338.53428571428543</v>
      </c>
      <c r="K68" s="430"/>
      <c r="L68" s="377"/>
      <c r="N68" s="723"/>
      <c r="O68" s="730"/>
      <c r="P68" s="382"/>
    </row>
    <row r="69" spans="1:16" ht="27.75">
      <c r="A69" s="1408" t="s">
        <v>104</v>
      </c>
      <c r="B69" s="1409"/>
      <c r="C69" s="1410"/>
      <c r="D69" s="523" t="s">
        <v>187</v>
      </c>
      <c r="E69" s="514">
        <f>'13'!F69</f>
        <v>68699</v>
      </c>
      <c r="F69" s="478">
        <v>69012</v>
      </c>
      <c r="G69" s="473">
        <f t="shared" si="5"/>
        <v>313</v>
      </c>
      <c r="H69" s="460">
        <f>G69+'13'!H69</f>
        <v>4559.9100000000035</v>
      </c>
      <c r="I69" s="516"/>
      <c r="J69" s="553">
        <f>H69/DAY(B2)</f>
        <v>325.70785714285739</v>
      </c>
      <c r="K69" s="431"/>
      <c r="L69" s="377"/>
      <c r="N69" s="723"/>
      <c r="O69" s="730"/>
      <c r="P69" s="382"/>
    </row>
    <row r="70" spans="1:16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723"/>
      <c r="O70" s="730"/>
      <c r="P70" s="382"/>
    </row>
    <row r="71" spans="1:16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723"/>
      <c r="O71" s="730"/>
      <c r="P71" s="382"/>
    </row>
    <row r="72" spans="1:16" ht="27.75">
      <c r="A72" s="1408" t="s">
        <v>191</v>
      </c>
      <c r="B72" s="1409"/>
      <c r="C72" s="1410"/>
      <c r="D72" s="523" t="s">
        <v>187</v>
      </c>
      <c r="E72" s="519">
        <f>'13'!F72</f>
        <v>851710</v>
      </c>
      <c r="F72" s="659">
        <v>851800</v>
      </c>
      <c r="G72" s="473">
        <f t="shared" ref="G72" si="6">F72-E72</f>
        <v>90</v>
      </c>
      <c r="H72" s="460">
        <f>G72+'12'!H72</f>
        <v>1118</v>
      </c>
      <c r="I72" s="480"/>
      <c r="J72" s="553">
        <f>H72/DAY(B2)</f>
        <v>79.857142857142861</v>
      </c>
      <c r="K72" s="431"/>
      <c r="L72" s="377"/>
      <c r="N72" s="723"/>
      <c r="O72" s="730"/>
      <c r="P72" s="382"/>
    </row>
    <row r="73" spans="1:16" ht="27.75">
      <c r="A73" s="1408" t="s">
        <v>192</v>
      </c>
      <c r="B73" s="1409"/>
      <c r="C73" s="1410"/>
      <c r="D73" s="523" t="s">
        <v>187</v>
      </c>
      <c r="E73" s="519">
        <f>'13'!F73</f>
        <v>885776</v>
      </c>
      <c r="F73" s="660">
        <v>885776</v>
      </c>
      <c r="G73" s="657">
        <f t="shared" ref="G73:G84" si="7">F73-E73</f>
        <v>0</v>
      </c>
      <c r="H73" s="460">
        <f>G73+'13'!H72</f>
        <v>1118</v>
      </c>
      <c r="I73" s="480"/>
      <c r="J73" s="553">
        <f>H73/DAY(B2)</f>
        <v>79.857142857142861</v>
      </c>
      <c r="K73" s="430"/>
      <c r="L73" s="377"/>
      <c r="N73" s="723"/>
      <c r="O73" s="730"/>
      <c r="P73" s="382"/>
    </row>
    <row r="74" spans="1:16" ht="27.75">
      <c r="A74" s="1408" t="s">
        <v>193</v>
      </c>
      <c r="B74" s="1409"/>
      <c r="C74" s="1410"/>
      <c r="D74" s="523" t="s">
        <v>187</v>
      </c>
      <c r="E74" s="519">
        <f>'13'!F74</f>
        <v>957</v>
      </c>
      <c r="F74" s="660">
        <v>1006</v>
      </c>
      <c r="G74" s="473">
        <f t="shared" si="7"/>
        <v>49</v>
      </c>
      <c r="H74" s="460">
        <f>G74+'13'!H74</f>
        <v>419.83000000000004</v>
      </c>
      <c r="I74" s="480"/>
      <c r="J74" s="553">
        <f>H74/DAY(B2)</f>
        <v>29.987857142857145</v>
      </c>
      <c r="K74" s="431"/>
      <c r="L74" s="377"/>
      <c r="N74" s="723"/>
      <c r="O74" s="730"/>
      <c r="P74" s="382"/>
    </row>
    <row r="75" spans="1:16" ht="27.75">
      <c r="A75" s="1457" t="s">
        <v>194</v>
      </c>
      <c r="B75" s="1458"/>
      <c r="C75" s="1459"/>
      <c r="D75" s="523" t="s">
        <v>187</v>
      </c>
      <c r="E75" s="519">
        <f>'13'!F75</f>
        <v>5658</v>
      </c>
      <c r="F75" s="660">
        <v>5845</v>
      </c>
      <c r="G75" s="473">
        <f t="shared" si="7"/>
        <v>187</v>
      </c>
      <c r="H75" s="460">
        <f>G75+'13'!H75</f>
        <v>2325.7800000000002</v>
      </c>
      <c r="I75" s="480"/>
      <c r="J75" s="553">
        <f>H75/DAY(B2)</f>
        <v>166.12714285714287</v>
      </c>
      <c r="K75" s="430"/>
      <c r="L75" s="377"/>
      <c r="N75" s="723"/>
      <c r="O75" s="730"/>
      <c r="P75" s="382"/>
    </row>
    <row r="76" spans="1:16" ht="27.75">
      <c r="A76" s="1457" t="s">
        <v>195</v>
      </c>
      <c r="B76" s="1458"/>
      <c r="C76" s="1459"/>
      <c r="D76" s="523" t="s">
        <v>187</v>
      </c>
      <c r="E76" s="519">
        <f>'13'!F76</f>
        <v>2614</v>
      </c>
      <c r="F76" s="660">
        <v>2690</v>
      </c>
      <c r="G76" s="473">
        <f t="shared" si="7"/>
        <v>76</v>
      </c>
      <c r="H76" s="460">
        <f>G76+'13'!H75</f>
        <v>2214.7800000000002</v>
      </c>
      <c r="I76" s="505"/>
      <c r="J76" s="553">
        <f>H76/DAY(B2)</f>
        <v>158.19857142857146</v>
      </c>
      <c r="K76" s="430"/>
      <c r="L76" s="377"/>
      <c r="N76" s="723"/>
      <c r="O76" s="730"/>
      <c r="P76" s="382"/>
    </row>
    <row r="77" spans="1:16" ht="27.75">
      <c r="A77" s="1408" t="s">
        <v>196</v>
      </c>
      <c r="B77" s="1409"/>
      <c r="C77" s="1410"/>
      <c r="D77" s="523" t="s">
        <v>187</v>
      </c>
      <c r="E77" s="519">
        <f>'13'!F77</f>
        <v>699275</v>
      </c>
      <c r="F77" s="660">
        <v>699324</v>
      </c>
      <c r="G77" s="657">
        <f t="shared" si="7"/>
        <v>49</v>
      </c>
      <c r="H77" s="460">
        <f>G77+'13'!H77</f>
        <v>736</v>
      </c>
      <c r="I77" s="505"/>
      <c r="J77" s="553">
        <f>H77/DAY(B2)</f>
        <v>52.571428571428569</v>
      </c>
      <c r="K77" s="430"/>
      <c r="L77" s="377"/>
      <c r="N77" s="723"/>
      <c r="O77" s="730"/>
      <c r="P77" s="382"/>
    </row>
    <row r="78" spans="1:16" ht="27.75">
      <c r="A78" s="1195" t="s">
        <v>197</v>
      </c>
      <c r="B78" s="1191"/>
      <c r="C78" s="1191"/>
      <c r="D78" s="523" t="s">
        <v>187</v>
      </c>
      <c r="E78" s="519">
        <f>'13'!F78</f>
        <v>658064</v>
      </c>
      <c r="F78" s="661">
        <v>658452</v>
      </c>
      <c r="G78" s="473">
        <f t="shared" si="7"/>
        <v>388</v>
      </c>
      <c r="H78" s="460">
        <f>G78+'13'!H78</f>
        <v>5589</v>
      </c>
      <c r="I78" s="505"/>
      <c r="J78" s="553">
        <f>H78/DAY(B2)</f>
        <v>399.21428571428572</v>
      </c>
      <c r="K78" s="430"/>
      <c r="L78" s="377"/>
      <c r="N78" s="723"/>
      <c r="O78" s="730"/>
      <c r="P78" s="382"/>
    </row>
    <row r="79" spans="1:16" ht="27.75">
      <c r="A79" s="1457" t="s">
        <v>92</v>
      </c>
      <c r="B79" s="1458"/>
      <c r="C79" s="1459"/>
      <c r="D79" s="524" t="s">
        <v>187</v>
      </c>
      <c r="E79" s="519">
        <f>'13'!F79</f>
        <v>817800</v>
      </c>
      <c r="F79" s="661">
        <v>818000</v>
      </c>
      <c r="G79" s="473">
        <f t="shared" si="7"/>
        <v>200</v>
      </c>
      <c r="H79" s="460">
        <f>G79+'13'!H78</f>
        <v>5401</v>
      </c>
      <c r="I79" s="505"/>
      <c r="J79" s="553">
        <f>H79/DAY(B2)</f>
        <v>385.78571428571428</v>
      </c>
      <c r="K79" s="430"/>
      <c r="L79" s="377"/>
      <c r="N79" s="723"/>
      <c r="O79" s="730"/>
      <c r="P79" s="382"/>
    </row>
    <row r="80" spans="1:16" ht="27.75">
      <c r="A80" s="1457" t="s">
        <v>198</v>
      </c>
      <c r="B80" s="1458"/>
      <c r="C80" s="1459"/>
      <c r="D80" s="524" t="s">
        <v>187</v>
      </c>
      <c r="E80" s="519">
        <f>'13'!F80</f>
        <v>499305</v>
      </c>
      <c r="F80" s="660">
        <v>499667</v>
      </c>
      <c r="G80" s="473">
        <f t="shared" si="7"/>
        <v>362</v>
      </c>
      <c r="H80" s="460">
        <f>G80+'13'!H79</f>
        <v>3053</v>
      </c>
      <c r="I80" s="505"/>
      <c r="J80" s="553">
        <f>H80/DAY(B2)</f>
        <v>218.07142857142858</v>
      </c>
      <c r="K80" s="430"/>
      <c r="L80" s="377"/>
      <c r="N80" s="723"/>
      <c r="O80" s="730"/>
      <c r="P80" s="382"/>
    </row>
    <row r="81" spans="1:16" ht="27.75">
      <c r="A81" s="1457" t="s">
        <v>199</v>
      </c>
      <c r="B81" s="1458"/>
      <c r="C81" s="1459"/>
      <c r="D81" s="524" t="s">
        <v>187</v>
      </c>
      <c r="E81" s="519">
        <f>'13'!F81</f>
        <v>627293</v>
      </c>
      <c r="F81" s="660">
        <v>627425</v>
      </c>
      <c r="G81" s="473">
        <f t="shared" si="7"/>
        <v>132</v>
      </c>
      <c r="H81" s="460">
        <f>G81+'13'!H81</f>
        <v>1481.1600000000326</v>
      </c>
      <c r="I81" s="505"/>
      <c r="J81" s="553">
        <f>H81/DAY(B2)</f>
        <v>105.79714285714519</v>
      </c>
      <c r="K81" s="430"/>
      <c r="L81" s="377"/>
      <c r="N81" s="723"/>
      <c r="O81" s="730"/>
      <c r="P81" s="382"/>
    </row>
    <row r="82" spans="1:16" ht="27.75">
      <c r="A82" s="1457" t="s">
        <v>93</v>
      </c>
      <c r="B82" s="1458"/>
      <c r="C82" s="1459"/>
      <c r="D82" s="485" t="s">
        <v>132</v>
      </c>
      <c r="E82" s="519">
        <f>'13'!F82</f>
        <v>106492</v>
      </c>
      <c r="F82" s="656">
        <v>106517</v>
      </c>
      <c r="G82" s="473">
        <f t="shared" si="7"/>
        <v>25</v>
      </c>
      <c r="H82" s="460">
        <f>G82+'13'!H82</f>
        <v>314.52000000000407</v>
      </c>
      <c r="I82" s="486"/>
      <c r="J82" s="553">
        <f>H82/DAY(B2)</f>
        <v>22.465714285714576</v>
      </c>
      <c r="K82" s="430"/>
      <c r="L82" s="377"/>
      <c r="N82" s="723"/>
      <c r="O82" s="730"/>
      <c r="P82" s="382"/>
    </row>
    <row r="83" spans="1:16" ht="27.75">
      <c r="A83" s="1457" t="s">
        <v>200</v>
      </c>
      <c r="B83" s="1458"/>
      <c r="C83" s="1459"/>
      <c r="D83" s="621" t="s">
        <v>132</v>
      </c>
      <c r="E83" s="519">
        <f>'13'!F83</f>
        <v>2156</v>
      </c>
      <c r="F83" s="511">
        <v>2405</v>
      </c>
      <c r="G83" s="473">
        <f t="shared" si="7"/>
        <v>249</v>
      </c>
      <c r="H83" s="460">
        <f>G83+'13'!H83</f>
        <v>5808</v>
      </c>
      <c r="I83" s="481"/>
      <c r="J83" s="553">
        <f>H83/DAY(B2)</f>
        <v>414.85714285714283</v>
      </c>
      <c r="K83" s="429"/>
      <c r="L83" s="377"/>
      <c r="N83" s="723"/>
      <c r="O83" s="730"/>
      <c r="P83" s="382"/>
    </row>
    <row r="84" spans="1:16">
      <c r="A84" s="1198" t="s">
        <v>201</v>
      </c>
      <c r="B84" s="572"/>
      <c r="C84" s="572"/>
      <c r="D84" s="478" t="s">
        <v>132</v>
      </c>
      <c r="E84" s="519">
        <f>'13'!F84</f>
        <v>441207</v>
      </c>
      <c r="F84" s="628">
        <v>441949</v>
      </c>
      <c r="G84" s="473">
        <f t="shared" si="7"/>
        <v>742</v>
      </c>
      <c r="H84" s="460">
        <f>G84+'13'!H84</f>
        <v>11151</v>
      </c>
      <c r="I84" s="481"/>
      <c r="J84" s="553">
        <f>H84/DAY(B2)</f>
        <v>796.5</v>
      </c>
      <c r="K84" s="380"/>
      <c r="L84" s="377"/>
      <c r="N84" s="723"/>
      <c r="O84" s="730"/>
      <c r="P84" s="382"/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2549</v>
      </c>
      <c r="H85" s="460">
        <f>G85+'13'!H85</f>
        <v>36071.929999999964</v>
      </c>
      <c r="I85" s="481"/>
      <c r="J85" s="553">
        <f>H85/DAY(B2)</f>
        <v>2576.5664285714261</v>
      </c>
      <c r="K85" s="380"/>
      <c r="L85" s="378"/>
      <c r="N85" s="723"/>
      <c r="O85" s="730"/>
      <c r="P85" s="382"/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'13'!F86</f>
        <v>452054</v>
      </c>
      <c r="F86" s="652">
        <v>452114</v>
      </c>
      <c r="G86" s="710">
        <f t="shared" ref="G86:G90" si="8">F86-E86</f>
        <v>60</v>
      </c>
      <c r="H86" s="710">
        <f t="shared" ref="H86:H88" si="9">G86</f>
        <v>60</v>
      </c>
      <c r="I86" s="657"/>
      <c r="J86" s="712">
        <f>H86/DAY(B2)</f>
        <v>4.2857142857142856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'13'!F87</f>
        <v>79596</v>
      </c>
      <c r="F87" s="652">
        <v>79611</v>
      </c>
      <c r="G87" s="710">
        <f t="shared" si="8"/>
        <v>15</v>
      </c>
      <c r="H87" s="710">
        <f t="shared" si="9"/>
        <v>15</v>
      </c>
      <c r="I87" s="657"/>
      <c r="J87" s="712">
        <f>H87/DAY(B2)</f>
        <v>1.0714285714285714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'13'!F88</f>
        <v>149235</v>
      </c>
      <c r="F88" s="652">
        <v>149266</v>
      </c>
      <c r="G88" s="710">
        <f t="shared" si="8"/>
        <v>31</v>
      </c>
      <c r="H88" s="710">
        <f t="shared" si="9"/>
        <v>31</v>
      </c>
      <c r="I88" s="657"/>
      <c r="J88" s="712">
        <f>H88/DAY(B2)</f>
        <v>2.2142857142857144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'13'!F89</f>
        <v>62609</v>
      </c>
      <c r="F89" s="652">
        <v>62657</v>
      </c>
      <c r="G89" s="710">
        <f t="shared" si="8"/>
        <v>48</v>
      </c>
      <c r="H89" s="710">
        <f>G89</f>
        <v>48</v>
      </c>
      <c r="I89" s="657"/>
      <c r="J89" s="712">
        <f>H89/DAY(B2)</f>
        <v>3.4285714285714284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'13'!F90</f>
        <v>3220</v>
      </c>
      <c r="F90" s="652">
        <v>3221</v>
      </c>
      <c r="G90" s="710">
        <f t="shared" si="8"/>
        <v>1</v>
      </c>
      <c r="H90" s="710">
        <f>G90</f>
        <v>1</v>
      </c>
      <c r="I90" s="657"/>
      <c r="J90" s="712">
        <f>H90/DAY(B2)</f>
        <v>7.1428571428571425E-2</v>
      </c>
      <c r="K90" s="738"/>
      <c r="L90" s="739"/>
      <c r="N90" s="783"/>
      <c r="O90" s="382"/>
    </row>
    <row r="91" spans="1:16" s="379" customFormat="1">
      <c r="A91" s="607" t="s">
        <v>205</v>
      </c>
      <c r="B91" s="1196"/>
      <c r="C91" s="1196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>
      <c r="A92" s="1411" t="s">
        <v>206</v>
      </c>
      <c r="B92" s="1412"/>
      <c r="C92" s="1413"/>
      <c r="D92" s="523" t="s">
        <v>144</v>
      </c>
      <c r="E92" s="484">
        <f>'13'!F92</f>
        <v>240946</v>
      </c>
      <c r="F92" s="478">
        <v>241056</v>
      </c>
      <c r="G92" s="473">
        <f t="shared" ref="G92:G93" si="10">F92-E92</f>
        <v>110</v>
      </c>
      <c r="H92" s="460">
        <f>G92+'13'!H92</f>
        <v>1361</v>
      </c>
      <c r="I92" s="480"/>
      <c r="J92" s="553">
        <f>H92/DAY(B2)</f>
        <v>97.214285714285708</v>
      </c>
      <c r="K92" s="429"/>
      <c r="L92" s="377"/>
      <c r="N92" s="723"/>
      <c r="O92" s="730"/>
      <c r="P92" s="382"/>
    </row>
    <row r="93" spans="1:16" ht="27.75">
      <c r="A93" s="1411" t="s">
        <v>207</v>
      </c>
      <c r="B93" s="1412"/>
      <c r="C93" s="1413"/>
      <c r="D93" s="523" t="s">
        <v>144</v>
      </c>
      <c r="E93" s="484">
        <f>'13'!F93</f>
        <v>177314</v>
      </c>
      <c r="F93" s="656">
        <v>177419</v>
      </c>
      <c r="G93" s="473">
        <f t="shared" si="10"/>
        <v>105</v>
      </c>
      <c r="H93" s="460">
        <f>G93+'13'!H93</f>
        <v>1758</v>
      </c>
      <c r="I93" s="480"/>
      <c r="J93" s="553">
        <f>H93/DAY(B2)</f>
        <v>125.57142857142857</v>
      </c>
      <c r="K93" s="380"/>
      <c r="L93" s="377"/>
      <c r="N93" s="723"/>
      <c r="O93" s="730"/>
      <c r="P93" s="382"/>
    </row>
    <row r="94" spans="1:16">
      <c r="A94" s="1405" t="s">
        <v>208</v>
      </c>
      <c r="B94" s="1406"/>
      <c r="C94" s="1407"/>
      <c r="D94" s="523"/>
      <c r="E94" s="484">
        <f>'13'!F94</f>
        <v>0</v>
      </c>
      <c r="F94" s="478"/>
      <c r="G94" s="473">
        <f>G92+G93</f>
        <v>215</v>
      </c>
      <c r="H94" s="460">
        <f>G94+'13'!H94</f>
        <v>2853</v>
      </c>
      <c r="I94" s="480"/>
      <c r="J94" s="553">
        <f>H94/DAY(B2)</f>
        <v>203.78571428571428</v>
      </c>
      <c r="K94" s="380"/>
      <c r="L94" s="377"/>
      <c r="N94" s="723"/>
      <c r="O94" s="730"/>
      <c r="P94" s="382"/>
    </row>
    <row r="95" spans="1:16" ht="27.75">
      <c r="A95" s="1411" t="s">
        <v>209</v>
      </c>
      <c r="B95" s="1412"/>
      <c r="C95" s="1413"/>
      <c r="D95" s="523" t="s">
        <v>144</v>
      </c>
      <c r="E95" s="484">
        <f>'13'!F95</f>
        <v>409299</v>
      </c>
      <c r="F95" s="478">
        <v>409373</v>
      </c>
      <c r="G95" s="473">
        <f t="shared" ref="G95:G100" si="11">F95-E95</f>
        <v>74</v>
      </c>
      <c r="H95" s="460">
        <f>G95+'13'!H95</f>
        <v>1217</v>
      </c>
      <c r="I95" s="480"/>
      <c r="J95" s="553">
        <f>H95/DAY(B2)</f>
        <v>86.928571428571431</v>
      </c>
      <c r="K95" s="380"/>
      <c r="L95" s="377"/>
      <c r="N95" s="723"/>
      <c r="O95" s="730"/>
      <c r="P95" s="382"/>
    </row>
    <row r="96" spans="1:16" ht="27.75">
      <c r="A96" s="1192" t="s">
        <v>210</v>
      </c>
      <c r="B96" s="1193"/>
      <c r="C96" s="1193"/>
      <c r="D96" s="523" t="s">
        <v>144</v>
      </c>
      <c r="E96" s="484">
        <f>'13'!F96</f>
        <v>101530</v>
      </c>
      <c r="F96" s="478">
        <v>101552</v>
      </c>
      <c r="G96" s="473">
        <f t="shared" si="11"/>
        <v>22</v>
      </c>
      <c r="H96" s="460">
        <f>G96+'13'!H96</f>
        <v>220</v>
      </c>
      <c r="I96" s="480"/>
      <c r="J96" s="553">
        <f>H96/DAY(B2)</f>
        <v>15.714285714285714</v>
      </c>
      <c r="K96" s="427"/>
      <c r="L96" s="377"/>
      <c r="N96" s="723"/>
      <c r="O96" s="730"/>
      <c r="P96" s="382"/>
    </row>
    <row r="97" spans="1:16" ht="27.75">
      <c r="A97" s="1192" t="s">
        <v>211</v>
      </c>
      <c r="B97" s="1193"/>
      <c r="C97" s="1193"/>
      <c r="D97" s="523" t="s">
        <v>144</v>
      </c>
      <c r="E97" s="484">
        <f>'13'!F97</f>
        <v>96697</v>
      </c>
      <c r="F97" s="478">
        <v>96723</v>
      </c>
      <c r="G97" s="473">
        <f t="shared" si="11"/>
        <v>26</v>
      </c>
      <c r="H97" s="460">
        <f>G97+'13'!H97</f>
        <v>274</v>
      </c>
      <c r="I97" s="480"/>
      <c r="J97" s="553">
        <f>H97/DAY(B2)</f>
        <v>19.571428571428573</v>
      </c>
      <c r="K97" s="432"/>
      <c r="L97" s="377"/>
      <c r="N97" s="723"/>
      <c r="O97" s="730"/>
      <c r="P97" s="382"/>
    </row>
    <row r="98" spans="1:16" ht="27.75">
      <c r="A98" s="1192" t="s">
        <v>212</v>
      </c>
      <c r="B98" s="1193"/>
      <c r="C98" s="1193"/>
      <c r="D98" s="523" t="s">
        <v>144</v>
      </c>
      <c r="E98" s="484">
        <f>'13'!F98</f>
        <v>148347</v>
      </c>
      <c r="F98" s="478">
        <v>148376</v>
      </c>
      <c r="G98" s="473">
        <f t="shared" si="11"/>
        <v>29</v>
      </c>
      <c r="H98" s="460">
        <f>G98+'13'!H98</f>
        <v>768</v>
      </c>
      <c r="I98" s="480"/>
      <c r="J98" s="553">
        <f>H98/DAY(B2)</f>
        <v>54.857142857142854</v>
      </c>
      <c r="K98" s="380"/>
      <c r="L98" s="377"/>
      <c r="N98" s="725"/>
      <c r="O98" s="730"/>
      <c r="P98" s="382"/>
    </row>
    <row r="99" spans="1:16" ht="27.75">
      <c r="A99" s="1192" t="s">
        <v>213</v>
      </c>
      <c r="B99" s="1193"/>
      <c r="C99" s="1193"/>
      <c r="D99" s="523" t="s">
        <v>144</v>
      </c>
      <c r="E99" s="484">
        <f>'13'!F99</f>
        <v>6578</v>
      </c>
      <c r="F99" s="478">
        <v>6598</v>
      </c>
      <c r="G99" s="473">
        <f t="shared" si="11"/>
        <v>20</v>
      </c>
      <c r="H99" s="460">
        <f>G99+'13'!H99</f>
        <v>190</v>
      </c>
      <c r="I99" s="480"/>
      <c r="J99" s="553">
        <f>H99/DAY(B2)</f>
        <v>13.571428571428571</v>
      </c>
      <c r="K99" s="380"/>
      <c r="L99" s="377"/>
      <c r="N99" s="723"/>
      <c r="O99" s="730"/>
      <c r="P99" s="382"/>
    </row>
    <row r="100" spans="1:16" ht="27.75">
      <c r="A100" s="1192" t="s">
        <v>214</v>
      </c>
      <c r="B100" s="1193"/>
      <c r="C100" s="1193"/>
      <c r="D100" s="523" t="s">
        <v>144</v>
      </c>
      <c r="E100" s="484">
        <f>'13'!F100</f>
        <v>4692</v>
      </c>
      <c r="F100" s="478">
        <v>4724</v>
      </c>
      <c r="G100" s="473">
        <f t="shared" si="11"/>
        <v>32</v>
      </c>
      <c r="H100" s="460">
        <f>G100+'13'!H100</f>
        <v>181</v>
      </c>
      <c r="I100" s="480"/>
      <c r="J100" s="553">
        <f>H100/DAY(B2)</f>
        <v>12.928571428571429</v>
      </c>
      <c r="K100" s="380"/>
      <c r="L100" s="377"/>
      <c r="N100" s="723"/>
      <c r="O100" s="730"/>
      <c r="P100" s="382"/>
    </row>
    <row r="101" spans="1:16">
      <c r="A101" s="1405" t="s">
        <v>216</v>
      </c>
      <c r="B101" s="1406"/>
      <c r="C101" s="1407"/>
      <c r="D101" s="524"/>
      <c r="E101" s="484"/>
      <c r="F101" s="524"/>
      <c r="G101" s="525">
        <f>SUM(G95:G100)</f>
        <v>203</v>
      </c>
      <c r="H101" s="460">
        <f>G101+'13'!H101</f>
        <v>2850</v>
      </c>
      <c r="I101" s="526"/>
      <c r="J101" s="553">
        <f>H101/DAY(B2)</f>
        <v>203.57142857142858</v>
      </c>
      <c r="K101" s="380"/>
      <c r="L101" s="377"/>
      <c r="N101" s="723"/>
      <c r="O101" s="730"/>
      <c r="P101" s="382"/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>
      <c r="A103" s="1414" t="s">
        <v>218</v>
      </c>
      <c r="B103" s="1415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>
      <c r="A104" s="1416" t="s">
        <v>219</v>
      </c>
      <c r="B104" s="1417"/>
      <c r="C104" s="1197"/>
      <c r="D104" s="623" t="s">
        <v>144</v>
      </c>
      <c r="E104" s="484">
        <f>'13'!F104</f>
        <v>7236</v>
      </c>
      <c r="F104" s="663">
        <v>7240</v>
      </c>
      <c r="G104" s="532">
        <f>F104-E104</f>
        <v>4</v>
      </c>
      <c r="H104" s="533">
        <f>SUM(G104+'1'!G76)</f>
        <v>83.150000000000091</v>
      </c>
      <c r="I104" s="532"/>
      <c r="J104" s="559">
        <f>H104/DAY(B2)</f>
        <v>5.9392857142857212</v>
      </c>
      <c r="N104" s="723"/>
      <c r="O104" s="730"/>
      <c r="P104" s="382"/>
    </row>
    <row r="105" spans="1:16" s="442" customFormat="1" ht="27.75">
      <c r="A105" s="1416" t="s">
        <v>77</v>
      </c>
      <c r="B105" s="1417"/>
      <c r="C105" s="1197"/>
      <c r="D105" s="623" t="s">
        <v>144</v>
      </c>
      <c r="E105" s="484">
        <f>'13'!F105</f>
        <v>35508</v>
      </c>
      <c r="F105" s="664">
        <v>35515</v>
      </c>
      <c r="G105" s="532">
        <f t="shared" ref="G105:G106" si="12">F105-E105</f>
        <v>7</v>
      </c>
      <c r="H105" s="533">
        <f>SUM(G105+'1'!G77)</f>
        <v>52</v>
      </c>
      <c r="I105" s="532"/>
      <c r="J105" s="559">
        <f>H105/DAY(B2)</f>
        <v>3.7142857142857144</v>
      </c>
      <c r="N105" s="723"/>
      <c r="O105" s="730"/>
      <c r="P105" s="382"/>
    </row>
    <row r="106" spans="1:16" s="442" customFormat="1" ht="27.75">
      <c r="A106" s="1416" t="s">
        <v>78</v>
      </c>
      <c r="B106" s="1418"/>
      <c r="C106" s="1417"/>
      <c r="D106" s="623" t="s">
        <v>144</v>
      </c>
      <c r="E106" s="484">
        <f>'13'!F106</f>
        <v>19318</v>
      </c>
      <c r="F106" s="664">
        <v>19323</v>
      </c>
      <c r="G106" s="532">
        <f t="shared" si="12"/>
        <v>5</v>
      </c>
      <c r="H106" s="533">
        <f>SUM(G106+'1'!G78)</f>
        <v>395</v>
      </c>
      <c r="I106" s="532"/>
      <c r="J106" s="559">
        <f>H106/DAY(B2)</f>
        <v>28.214285714285715</v>
      </c>
      <c r="N106" s="723"/>
      <c r="O106" s="730"/>
      <c r="P106" s="382"/>
    </row>
    <row r="107" spans="1:16" s="442" customFormat="1" ht="27.75">
      <c r="A107" s="1419" t="s">
        <v>202</v>
      </c>
      <c r="B107" s="1420"/>
      <c r="C107" s="1197"/>
      <c r="D107" s="623"/>
      <c r="E107" s="484">
        <f>'13'!F107</f>
        <v>0</v>
      </c>
      <c r="F107" s="664"/>
      <c r="G107" s="532">
        <f>SUM(G104:G106)</f>
        <v>16</v>
      </c>
      <c r="H107" s="533">
        <f>SUM(G107+'1'!G79)</f>
        <v>208</v>
      </c>
      <c r="I107" s="532"/>
      <c r="J107" s="559">
        <f>H107/DAY(B2)</f>
        <v>14.857142857142858</v>
      </c>
      <c r="N107" s="723"/>
      <c r="O107" s="730"/>
      <c r="P107" s="382"/>
    </row>
    <row r="108" spans="1:16" s="442" customFormat="1" ht="27.75">
      <c r="A108" s="1421" t="s">
        <v>79</v>
      </c>
      <c r="B108" s="1422"/>
      <c r="C108" s="1197"/>
      <c r="D108" s="623" t="s">
        <v>144</v>
      </c>
      <c r="E108" s="484">
        <f>'13'!F108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>
      <c r="A109" s="1416" t="s">
        <v>220</v>
      </c>
      <c r="B109" s="1417"/>
      <c r="C109" s="1197"/>
      <c r="D109" s="623" t="s">
        <v>144</v>
      </c>
      <c r="E109" s="484">
        <f>'13'!F109</f>
        <v>57365</v>
      </c>
      <c r="F109" s="664">
        <v>57443</v>
      </c>
      <c r="G109" s="532">
        <f>F109-E109</f>
        <v>78</v>
      </c>
      <c r="H109" s="533">
        <f>SUM(G109+'1'!G81)</f>
        <v>190.56000000005588</v>
      </c>
      <c r="I109" s="532"/>
      <c r="J109" s="559">
        <f>H109/DAY(B2)</f>
        <v>13.611428571432564</v>
      </c>
      <c r="N109" s="723"/>
      <c r="O109" s="730"/>
      <c r="P109" s="382"/>
    </row>
    <row r="110" spans="1:16" s="442" customFormat="1" ht="27.75">
      <c r="A110" s="1416" t="s">
        <v>221</v>
      </c>
      <c r="B110" s="1417"/>
      <c r="C110" s="1197"/>
      <c r="D110" s="623" t="s">
        <v>144</v>
      </c>
      <c r="E110" s="484">
        <f>'13'!F110</f>
        <v>31212</v>
      </c>
      <c r="F110" s="664">
        <v>31235</v>
      </c>
      <c r="G110" s="532">
        <f t="shared" ref="G110:G111" si="13">F110-E110</f>
        <v>23</v>
      </c>
      <c r="H110" s="533">
        <f>SUM(G110+'1'!G82)</f>
        <v>41.169999999998254</v>
      </c>
      <c r="I110" s="532"/>
      <c r="J110" s="559">
        <f>H110/DAY(B2)</f>
        <v>2.940714285714161</v>
      </c>
      <c r="N110" s="723"/>
      <c r="O110" s="730"/>
      <c r="P110" s="382"/>
    </row>
    <row r="111" spans="1:16" s="442" customFormat="1" ht="27.75">
      <c r="A111" s="1416" t="s">
        <v>222</v>
      </c>
      <c r="B111" s="1417"/>
      <c r="C111" s="1197"/>
      <c r="D111" s="623" t="s">
        <v>144</v>
      </c>
      <c r="E111" s="484">
        <f>'13'!F111</f>
        <v>4054</v>
      </c>
      <c r="F111" s="664">
        <v>4054</v>
      </c>
      <c r="G111" s="532">
        <f t="shared" si="13"/>
        <v>0</v>
      </c>
      <c r="H111" s="533">
        <f>SUM(G111+'1'!G83)</f>
        <v>520</v>
      </c>
      <c r="I111" s="532"/>
      <c r="J111" s="559">
        <f>H111/DAY(B2)</f>
        <v>37.142857142857146</v>
      </c>
      <c r="N111" s="723"/>
      <c r="O111" s="730"/>
      <c r="P111" s="382"/>
    </row>
    <row r="112" spans="1:16" s="442" customFormat="1" ht="27.75">
      <c r="A112" s="1419" t="s">
        <v>110</v>
      </c>
      <c r="B112" s="1420"/>
      <c r="C112" s="1197"/>
      <c r="D112" s="623"/>
      <c r="E112" s="484">
        <f>'13'!F112</f>
        <v>0</v>
      </c>
      <c r="F112" s="664"/>
      <c r="G112" s="532">
        <f>SUM(G109:G111)</f>
        <v>101</v>
      </c>
      <c r="H112" s="533">
        <f>SUM(G112+'1'!G84)</f>
        <v>791</v>
      </c>
      <c r="I112" s="532"/>
      <c r="J112" s="559">
        <f>H112/DAY(B2)</f>
        <v>56.5</v>
      </c>
      <c r="N112" s="723"/>
      <c r="O112" s="730"/>
      <c r="P112" s="382"/>
    </row>
    <row r="113" spans="1:16" s="442" customFormat="1" ht="27.75">
      <c r="A113" s="1421" t="s">
        <v>223</v>
      </c>
      <c r="B113" s="1422"/>
      <c r="C113" s="1197"/>
      <c r="D113" s="623"/>
      <c r="E113" s="484">
        <f>'13'!F113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>
      <c r="A114" s="1416" t="s">
        <v>224</v>
      </c>
      <c r="B114" s="1417"/>
      <c r="C114" s="575"/>
      <c r="D114" s="623" t="s">
        <v>144</v>
      </c>
      <c r="E114" s="484">
        <f>'13'!F114</f>
        <v>10527</v>
      </c>
      <c r="F114" s="664">
        <v>10553</v>
      </c>
      <c r="G114" s="534">
        <f>F114-E114</f>
        <v>26</v>
      </c>
      <c r="H114" s="533">
        <f>SUM(G114+'1'!G91)</f>
        <v>26</v>
      </c>
      <c r="I114" s="532"/>
      <c r="J114" s="559">
        <f>H114/DAY(B2)</f>
        <v>1.8571428571428572</v>
      </c>
      <c r="N114" s="723"/>
      <c r="O114" s="730"/>
      <c r="P114" s="382"/>
    </row>
    <row r="115" spans="1:16" s="442" customFormat="1" ht="27.75">
      <c r="A115" s="1416" t="s">
        <v>225</v>
      </c>
      <c r="B115" s="1417"/>
      <c r="C115" s="575"/>
      <c r="D115" s="623" t="s">
        <v>144</v>
      </c>
      <c r="E115" s="484">
        <f>'13'!F115</f>
        <v>7782</v>
      </c>
      <c r="F115" s="664">
        <v>7808</v>
      </c>
      <c r="G115" s="534">
        <f t="shared" ref="G115:G116" si="14">F115-E115</f>
        <v>26</v>
      </c>
      <c r="H115" s="533">
        <f>SUM(G115+'1'!G92)</f>
        <v>148</v>
      </c>
      <c r="I115" s="532"/>
      <c r="J115" s="559">
        <f>H115/DAY(B2)</f>
        <v>10.571428571428571</v>
      </c>
      <c r="N115" s="723"/>
      <c r="O115" s="730"/>
      <c r="P115" s="382"/>
    </row>
    <row r="116" spans="1:16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4"/>
        <v>0</v>
      </c>
      <c r="H116" s="533">
        <f>SUM(G116+'1'!G93)</f>
        <v>144</v>
      </c>
      <c r="I116" s="532"/>
      <c r="J116" s="559">
        <f>H116/DAY(B2)</f>
        <v>10.285714285714286</v>
      </c>
      <c r="N116" s="723"/>
      <c r="O116" s="730"/>
      <c r="P116" s="382"/>
    </row>
    <row r="117" spans="1:16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52</v>
      </c>
      <c r="H117" s="533">
        <f>SUM(G117+'1'!G95)</f>
        <v>128</v>
      </c>
      <c r="I117" s="534"/>
      <c r="J117" s="559">
        <f>H117/DAY(B2)</f>
        <v>9.1428571428571423</v>
      </c>
      <c r="N117" s="723"/>
      <c r="O117" s="730"/>
      <c r="P117" s="382"/>
    </row>
    <row r="118" spans="1:16" s="446" customFormat="1" ht="27.75">
      <c r="A118" s="1450" t="s">
        <v>227</v>
      </c>
      <c r="B118" s="1451"/>
      <c r="C118" s="1200"/>
      <c r="D118" s="625" t="s">
        <v>144</v>
      </c>
      <c r="E118" s="536"/>
      <c r="F118" s="665"/>
      <c r="G118" s="536">
        <f>SUM(G19+G92)</f>
        <v>162</v>
      </c>
      <c r="H118" s="533">
        <f>SUM(G118+'1'!G96)</f>
        <v>175</v>
      </c>
      <c r="I118" s="535"/>
      <c r="J118" s="560">
        <f>H118/DAY(B2)</f>
        <v>12.5</v>
      </c>
      <c r="N118" s="723"/>
      <c r="O118" s="730"/>
      <c r="P118" s="382"/>
    </row>
    <row r="119" spans="1:16" s="446" customFormat="1" ht="27.75">
      <c r="A119" s="1450" t="s">
        <v>228</v>
      </c>
      <c r="B119" s="1451"/>
      <c r="C119" s="1200"/>
      <c r="D119" s="625" t="s">
        <v>144</v>
      </c>
      <c r="E119" s="536"/>
      <c r="F119" s="665">
        <f>SUM(G95,G96,G97,G99,G100)</f>
        <v>174</v>
      </c>
      <c r="G119" s="536">
        <f>SUM(G95,G96,G97,G99,G100)</f>
        <v>174</v>
      </c>
      <c r="H119" s="533">
        <f>SUM(G119+'1'!G98)</f>
        <v>244</v>
      </c>
      <c r="I119" s="535"/>
      <c r="J119" s="560">
        <f>H119/DAY(B2)</f>
        <v>17.428571428571427</v>
      </c>
      <c r="N119" s="723"/>
      <c r="O119" s="730"/>
      <c r="P119" s="382"/>
    </row>
    <row r="120" spans="1:16" s="446" customFormat="1" ht="27.75">
      <c r="A120" s="1450" t="s">
        <v>229</v>
      </c>
      <c r="B120" s="1451"/>
      <c r="C120" s="1200"/>
      <c r="D120" s="625" t="s">
        <v>144</v>
      </c>
      <c r="E120" s="534"/>
      <c r="F120" s="664">
        <f>SUM(G112)</f>
        <v>101</v>
      </c>
      <c r="G120" s="534">
        <f>SUM(G112)</f>
        <v>101</v>
      </c>
      <c r="H120" s="533">
        <f>SUM(G120+'1'!G100)</f>
        <v>115</v>
      </c>
      <c r="I120" s="535"/>
      <c r="J120" s="560">
        <f>H120/DAY(B2)</f>
        <v>8.2142857142857135</v>
      </c>
      <c r="N120" s="723"/>
      <c r="O120" s="730"/>
      <c r="P120" s="382"/>
    </row>
    <row r="121" spans="1:16" s="442" customFormat="1" ht="27.75">
      <c r="A121" s="1452"/>
      <c r="B121" s="1453"/>
      <c r="C121" s="1201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>
      <c r="A123" s="1192" t="s">
        <v>231</v>
      </c>
      <c r="B123" s="1193"/>
      <c r="C123" s="1193"/>
      <c r="D123" s="523" t="s">
        <v>141</v>
      </c>
      <c r="E123" s="478">
        <f>'13'!F123</f>
        <v>814291</v>
      </c>
      <c r="F123" s="478">
        <f>814291+245</f>
        <v>814536</v>
      </c>
      <c r="G123" s="473">
        <f t="shared" ref="G123:G127" si="15">F123-E123</f>
        <v>245</v>
      </c>
      <c r="H123" s="460">
        <f>G123+'13'!H123</f>
        <v>3529.1600000000326</v>
      </c>
      <c r="I123" s="526"/>
      <c r="J123" s="553">
        <f>H123/DAY(B2)</f>
        <v>252.08285714285947</v>
      </c>
      <c r="K123" s="380"/>
      <c r="L123" s="377"/>
      <c r="N123" s="723"/>
      <c r="O123" s="730"/>
      <c r="P123" s="382"/>
    </row>
    <row r="124" spans="1:16" ht="27.75">
      <c r="A124" s="1192" t="s">
        <v>232</v>
      </c>
      <c r="B124" s="1193"/>
      <c r="C124" s="1193"/>
      <c r="D124" s="523" t="s">
        <v>141</v>
      </c>
      <c r="E124" s="627">
        <f>'13'!F124</f>
        <v>73583.399999999994</v>
      </c>
      <c r="F124" s="627">
        <v>73583.399999999994</v>
      </c>
      <c r="G124" s="473">
        <f t="shared" si="15"/>
        <v>0</v>
      </c>
      <c r="H124" s="460">
        <f>G124+'13'!H124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>
      <c r="A125" s="1408" t="s">
        <v>233</v>
      </c>
      <c r="B125" s="1409"/>
      <c r="C125" s="1410"/>
      <c r="D125" s="523" t="s">
        <v>141</v>
      </c>
      <c r="E125" s="478">
        <f>'13'!F125</f>
        <v>140837</v>
      </c>
      <c r="F125" s="478">
        <v>140898.21</v>
      </c>
      <c r="G125" s="473">
        <f t="shared" si="15"/>
        <v>61.209999999991851</v>
      </c>
      <c r="H125" s="460">
        <f>G125+'13'!H125</f>
        <v>918.86999999999534</v>
      </c>
      <c r="I125" s="526"/>
      <c r="J125" s="553">
        <f>H125/DAY(B2)</f>
        <v>65.633571428571102</v>
      </c>
      <c r="K125" s="380"/>
      <c r="L125" s="377"/>
      <c r="N125" s="723"/>
      <c r="O125" s="730"/>
      <c r="P125" s="382"/>
    </row>
    <row r="126" spans="1:16" ht="27.75">
      <c r="A126" s="610" t="s">
        <v>234</v>
      </c>
      <c r="B126" s="1193"/>
      <c r="C126" s="1193"/>
      <c r="D126" s="523" t="s">
        <v>141</v>
      </c>
      <c r="E126" s="627">
        <f>'13'!F126</f>
        <v>59715</v>
      </c>
      <c r="F126" s="627">
        <v>59648.5</v>
      </c>
      <c r="G126" s="473">
        <f t="shared" si="15"/>
        <v>-66.5</v>
      </c>
      <c r="H126" s="460">
        <f>G126+'13'!H126</f>
        <v>341.59999999999854</v>
      </c>
      <c r="I126" s="526"/>
      <c r="J126" s="553">
        <f>H126/DAY(B2)</f>
        <v>24.399999999999896</v>
      </c>
      <c r="K126" s="380"/>
      <c r="L126" s="377"/>
      <c r="N126" s="723"/>
      <c r="O126" s="730"/>
      <c r="P126" s="382"/>
    </row>
    <row r="127" spans="1:16" ht="27.75">
      <c r="A127" s="610" t="s">
        <v>235</v>
      </c>
      <c r="B127" s="1193"/>
      <c r="C127" s="1193"/>
      <c r="D127" s="523" t="s">
        <v>141</v>
      </c>
      <c r="E127" s="627">
        <f>'13'!F127</f>
        <v>8920</v>
      </c>
      <c r="F127" s="627">
        <v>8923.2999999999993</v>
      </c>
      <c r="G127" s="473">
        <f t="shared" si="15"/>
        <v>3.2999999999992724</v>
      </c>
      <c r="H127" s="460">
        <f>G127+'13'!H127</f>
        <v>35.5</v>
      </c>
      <c r="I127" s="480"/>
      <c r="J127" s="553">
        <f>H127/DAY(B2)</f>
        <v>2.5357142857142856</v>
      </c>
      <c r="K127" s="380"/>
      <c r="L127" s="377"/>
      <c r="N127" s="723"/>
      <c r="O127" s="730"/>
      <c r="P127" s="382"/>
    </row>
    <row r="128" spans="1:16" s="281" customFormat="1" ht="27.75">
      <c r="A128" s="610" t="s">
        <v>236</v>
      </c>
      <c r="B128" s="1193"/>
      <c r="C128" s="1193"/>
      <c r="D128" s="523"/>
      <c r="E128" s="478"/>
      <c r="F128" s="478"/>
      <c r="G128" s="473">
        <f>G15-SUM(G123:G127)</f>
        <v>611.99000000000888</v>
      </c>
      <c r="H128" s="460"/>
      <c r="I128" s="480"/>
      <c r="J128" s="553"/>
      <c r="K128" s="364"/>
      <c r="L128" s="292"/>
      <c r="N128" s="723"/>
      <c r="O128" s="730"/>
      <c r="P128" s="382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>
      <c r="A130" s="1192" t="s">
        <v>238</v>
      </c>
      <c r="B130" s="1193"/>
      <c r="C130" s="1193"/>
      <c r="D130" s="523" t="s">
        <v>239</v>
      </c>
      <c r="E130" s="484">
        <f>'13'!F130</f>
        <v>0</v>
      </c>
      <c r="F130" s="478">
        <v>0</v>
      </c>
      <c r="G130" s="473">
        <f t="shared" ref="G130:G140" si="16">F130-E130</f>
        <v>0</v>
      </c>
      <c r="H130" s="460">
        <f>G130+'13'!H130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>
      <c r="A131" s="1192" t="s">
        <v>240</v>
      </c>
      <c r="B131" s="1193"/>
      <c r="C131" s="1193"/>
      <c r="D131" s="523" t="s">
        <v>239</v>
      </c>
      <c r="E131" s="484">
        <f>'13'!F131</f>
        <v>0</v>
      </c>
      <c r="F131" s="478">
        <v>0</v>
      </c>
      <c r="G131" s="473">
        <f t="shared" si="16"/>
        <v>0</v>
      </c>
      <c r="H131" s="460">
        <f>G131+'13'!H131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>
      <c r="A132" s="1192" t="s">
        <v>241</v>
      </c>
      <c r="B132" s="1193"/>
      <c r="C132" s="1193"/>
      <c r="D132" s="523" t="s">
        <v>239</v>
      </c>
      <c r="E132" s="542">
        <f>'13'!F132</f>
        <v>39219</v>
      </c>
      <c r="F132" s="656">
        <v>39219</v>
      </c>
      <c r="G132" s="473">
        <f t="shared" si="16"/>
        <v>0</v>
      </c>
      <c r="H132" s="460">
        <f>G132+'13'!H132</f>
        <v>390</v>
      </c>
      <c r="I132" s="480"/>
      <c r="J132" s="553">
        <f>H132/DAY(B2)</f>
        <v>27.857142857142858</v>
      </c>
      <c r="N132" s="723"/>
      <c r="O132" s="730"/>
      <c r="P132" s="382"/>
    </row>
    <row r="133" spans="1:16" ht="27.75">
      <c r="A133" s="1192" t="s">
        <v>242</v>
      </c>
      <c r="B133" s="1193"/>
      <c r="C133" s="1193"/>
      <c r="D133" s="523" t="s">
        <v>239</v>
      </c>
      <c r="E133" s="706">
        <f>'13'!F133</f>
        <v>299</v>
      </c>
      <c r="F133" s="627">
        <v>299</v>
      </c>
      <c r="G133" s="473">
        <f t="shared" si="16"/>
        <v>0</v>
      </c>
      <c r="H133" s="460">
        <f>G133+'13'!H133</f>
        <v>-1</v>
      </c>
      <c r="I133" s="480">
        <f>G130+G131+G132+G133</f>
        <v>0</v>
      </c>
      <c r="J133" s="553">
        <f>H133/DAY(B2)</f>
        <v>-7.1428571428571425E-2</v>
      </c>
      <c r="N133" s="723"/>
      <c r="O133" s="730"/>
      <c r="P133" s="382"/>
    </row>
    <row r="134" spans="1:16" ht="27.75">
      <c r="A134" s="1192" t="s">
        <v>243</v>
      </c>
      <c r="B134" s="1193"/>
      <c r="C134" s="1193"/>
      <c r="D134" s="523" t="s">
        <v>239</v>
      </c>
      <c r="E134" s="706">
        <f>'13'!F134</f>
        <v>40675</v>
      </c>
      <c r="F134" s="627">
        <v>40699</v>
      </c>
      <c r="G134" s="473">
        <f t="shared" si="16"/>
        <v>24</v>
      </c>
      <c r="H134" s="460">
        <f>G134+'13'!H134</f>
        <v>331.86000000000058</v>
      </c>
      <c r="I134" s="480"/>
      <c r="J134" s="553">
        <f>H134/DAY(B2)</f>
        <v>23.704285714285756</v>
      </c>
      <c r="N134" s="723"/>
      <c r="O134" s="730"/>
      <c r="P134" s="382"/>
    </row>
    <row r="135" spans="1:16" ht="27.75">
      <c r="A135" s="1192" t="s">
        <v>244</v>
      </c>
      <c r="B135" s="1193"/>
      <c r="C135" s="1193"/>
      <c r="D135" s="523" t="s">
        <v>239</v>
      </c>
      <c r="E135" s="542">
        <f>'13'!F135</f>
        <v>32582.560000000001</v>
      </c>
      <c r="F135" s="656">
        <v>32582.98</v>
      </c>
      <c r="G135" s="473">
        <f t="shared" si="16"/>
        <v>0.41999999999825377</v>
      </c>
      <c r="H135" s="460">
        <f>G135+'13'!H135</f>
        <v>11.979999999999563</v>
      </c>
      <c r="I135" s="480"/>
      <c r="J135" s="553">
        <f>H135/DAY(B2)</f>
        <v>0.85571428571425456</v>
      </c>
      <c r="N135" s="723"/>
      <c r="O135" s="730"/>
      <c r="P135" s="382"/>
    </row>
    <row r="136" spans="1:16" ht="27.75">
      <c r="A136" s="1192" t="s">
        <v>245</v>
      </c>
      <c r="B136" s="1193"/>
      <c r="C136" s="1193"/>
      <c r="D136" s="523" t="s">
        <v>239</v>
      </c>
      <c r="E136" s="542">
        <f>'13'!F136</f>
        <v>22334.98</v>
      </c>
      <c r="F136" s="656">
        <v>22343.34</v>
      </c>
      <c r="G136" s="473">
        <f t="shared" si="16"/>
        <v>8.3600000000005821</v>
      </c>
      <c r="H136" s="460">
        <f>G136+'13'!H136</f>
        <v>121.13000000000102</v>
      </c>
      <c r="I136" s="480">
        <f>G134+G135+G136</f>
        <v>32.779999999998836</v>
      </c>
      <c r="J136" s="553">
        <f>H136/DAY(B2)</f>
        <v>8.6521428571429304</v>
      </c>
      <c r="N136" s="723"/>
      <c r="O136" s="730"/>
      <c r="P136" s="382"/>
    </row>
    <row r="137" spans="1:16" ht="27.75">
      <c r="A137" s="1192" t="s">
        <v>246</v>
      </c>
      <c r="B137" s="1193"/>
      <c r="C137" s="1193"/>
      <c r="D137" s="523" t="s">
        <v>239</v>
      </c>
      <c r="E137" s="542">
        <f>'13'!F137</f>
        <v>25044</v>
      </c>
      <c r="F137" s="656">
        <v>25044.31</v>
      </c>
      <c r="G137" s="473">
        <f t="shared" si="16"/>
        <v>0.31000000000130967</v>
      </c>
      <c r="H137" s="460">
        <f>G137+'13'!H137</f>
        <v>0</v>
      </c>
      <c r="I137" s="480"/>
      <c r="J137" s="553">
        <f>H137/DAY(B2)</f>
        <v>0</v>
      </c>
      <c r="N137" s="723"/>
      <c r="O137" s="730"/>
      <c r="P137" s="382"/>
    </row>
    <row r="138" spans="1:16" ht="27.75">
      <c r="A138" s="1192" t="s">
        <v>247</v>
      </c>
      <c r="B138" s="1193"/>
      <c r="C138" s="1193"/>
      <c r="D138" s="523" t="s">
        <v>239</v>
      </c>
      <c r="E138" s="542">
        <f>'13'!F138</f>
        <v>70202</v>
      </c>
      <c r="F138" s="656">
        <v>70205.67</v>
      </c>
      <c r="G138" s="473">
        <f t="shared" si="16"/>
        <v>3.6699999999982538</v>
      </c>
      <c r="H138" s="460">
        <f>G138+'13'!H138</f>
        <v>58.330000000001746</v>
      </c>
      <c r="I138" s="480">
        <f>G137+G138</f>
        <v>3.9799999999995634</v>
      </c>
      <c r="J138" s="553">
        <f>H138/DAY(B2)</f>
        <v>4.1664285714286962</v>
      </c>
      <c r="N138" s="723"/>
      <c r="O138" s="730"/>
      <c r="P138" s="382"/>
    </row>
    <row r="139" spans="1:16" ht="27.75">
      <c r="A139" s="1192" t="s">
        <v>248</v>
      </c>
      <c r="B139" s="1193"/>
      <c r="C139" s="1193"/>
      <c r="D139" s="523" t="s">
        <v>239</v>
      </c>
      <c r="E139" s="706">
        <f>'13'!F139</f>
        <v>1518</v>
      </c>
      <c r="F139" s="627">
        <v>1525</v>
      </c>
      <c r="G139" s="473">
        <f t="shared" si="16"/>
        <v>7</v>
      </c>
      <c r="H139" s="460">
        <f>G139+'13'!H139</f>
        <v>101.8599999999999</v>
      </c>
      <c r="I139" s="543"/>
      <c r="J139" s="553">
        <f>H139/DAY(B2)</f>
        <v>7.2757142857142787</v>
      </c>
      <c r="N139" s="723"/>
      <c r="O139" s="730"/>
      <c r="P139" s="382"/>
    </row>
    <row r="140" spans="1:16" ht="27.75">
      <c r="A140" s="1192" t="s">
        <v>249</v>
      </c>
      <c r="B140" s="1193"/>
      <c r="C140" s="1193"/>
      <c r="D140" s="523" t="s">
        <v>239</v>
      </c>
      <c r="E140" s="484">
        <f>'13'!F140</f>
        <v>4334</v>
      </c>
      <c r="F140" s="478">
        <v>4334</v>
      </c>
      <c r="G140" s="473">
        <f t="shared" si="16"/>
        <v>0</v>
      </c>
      <c r="H140" s="460">
        <f>G140+'13'!H140</f>
        <v>0</v>
      </c>
      <c r="I140" s="543"/>
      <c r="J140" s="553">
        <f>H140/DAY(B2)</f>
        <v>0</v>
      </c>
      <c r="N140" s="723"/>
      <c r="O140" s="730"/>
      <c r="P140" s="382"/>
    </row>
    <row r="141" spans="1:16">
      <c r="A141" s="1446" t="s">
        <v>250</v>
      </c>
      <c r="B141" s="1447"/>
      <c r="C141" s="1196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5890</v>
      </c>
      <c r="H142" s="460">
        <f>G142+'13'!H142</f>
        <v>82617.45000000007</v>
      </c>
      <c r="I142" s="480"/>
      <c r="J142" s="553">
        <f>H142/DAY(B2)</f>
        <v>5901.2464285714332</v>
      </c>
      <c r="K142" s="380"/>
      <c r="L142" s="377"/>
      <c r="N142" s="723"/>
      <c r="O142" s="730"/>
      <c r="P142" s="382"/>
    </row>
    <row r="143" spans="1:16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0.28090423502479972</v>
      </c>
      <c r="H143" s="460">
        <f>G143+'13'!H143</f>
        <v>3.6750769621281614</v>
      </c>
      <c r="I143" s="545"/>
      <c r="J143" s="553">
        <f>H143/DAY(B2)</f>
        <v>0.26250549729486866</v>
      </c>
      <c r="K143" s="380"/>
      <c r="L143" s="377"/>
      <c r="N143" s="723"/>
      <c r="O143" s="730"/>
      <c r="P143" s="382"/>
    </row>
    <row r="144" spans="1:16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5010</v>
      </c>
      <c r="H144" s="460">
        <f>G144+'13'!H144</f>
        <v>73353.059999999969</v>
      </c>
      <c r="I144" s="480"/>
      <c r="J144" s="553">
        <f>H144/DAY(B2)</f>
        <v>5239.5042857142835</v>
      </c>
      <c r="K144" s="380"/>
      <c r="L144" s="377"/>
      <c r="N144" s="723"/>
      <c r="O144" s="730"/>
      <c r="P144" s="382"/>
    </row>
    <row r="145" spans="1:16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0.23893552079359023</v>
      </c>
      <c r="H145" s="460">
        <f>G145+'13'!H145</f>
        <v>3.4208575891779072</v>
      </c>
      <c r="I145" s="545"/>
      <c r="J145" s="553">
        <f>H145/DAY(B2)</f>
        <v>0.24434697065556479</v>
      </c>
      <c r="K145" s="380"/>
      <c r="L145" s="377"/>
      <c r="N145" s="723"/>
      <c r="O145" s="730"/>
      <c r="P145" s="382"/>
    </row>
    <row r="146" spans="1:16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4133</v>
      </c>
      <c r="H146" s="460">
        <f>G146+'13'!H146</f>
        <v>159313.38</v>
      </c>
      <c r="I146" s="546"/>
      <c r="J146" s="553">
        <f>H146/DAY(B2)</f>
        <v>11379.527142857143</v>
      </c>
      <c r="K146" s="380"/>
      <c r="L146" s="377"/>
      <c r="N146" s="723"/>
      <c r="O146" s="730"/>
      <c r="P146" s="382"/>
    </row>
    <row r="147" spans="1:16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0.19710988172453262</v>
      </c>
      <c r="H147" s="460">
        <f>G147+'13'!H147</f>
        <v>7.6769442972920769</v>
      </c>
      <c r="I147" s="546"/>
      <c r="J147" s="553">
        <f>H147/DAY(B2)</f>
        <v>0.54835316409229118</v>
      </c>
      <c r="N147" s="723"/>
      <c r="O147" s="730"/>
      <c r="P147" s="382"/>
    </row>
    <row r="148" spans="1:16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2010</v>
      </c>
      <c r="H148" s="460">
        <f>G148+'13'!H148</f>
        <v>28960.799999999981</v>
      </c>
      <c r="I148" s="480"/>
      <c r="J148" s="553">
        <f>H148/DAY(B2)</f>
        <v>2068.62857142857</v>
      </c>
      <c r="K148" s="381"/>
      <c r="N148" s="723"/>
      <c r="O148" s="730"/>
      <c r="P148" s="382"/>
    </row>
    <row r="149" spans="1:16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9.5860358641739793E-2</v>
      </c>
      <c r="H149" s="460">
        <f>G149+'13'!H149</f>
        <v>1.3528257030549329</v>
      </c>
      <c r="I149" s="546"/>
      <c r="J149" s="553">
        <f>H149/DAY(B2)</f>
        <v>9.6630407361066636E-2</v>
      </c>
      <c r="N149" s="723"/>
      <c r="O149" s="730"/>
      <c r="P149" s="382"/>
    </row>
    <row r="150" spans="1:16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1843</v>
      </c>
      <c r="H150" s="460">
        <f>G150+'13'!H150</f>
        <v>26033.399999999965</v>
      </c>
      <c r="I150" s="546"/>
      <c r="J150" s="553">
        <f>H150/DAY(B2)</f>
        <v>1859.528571428569</v>
      </c>
      <c r="N150" s="723"/>
      <c r="O150" s="730"/>
      <c r="P150" s="382"/>
    </row>
    <row r="151" spans="1:16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8.7895841281953449E-2</v>
      </c>
      <c r="H151" s="460">
        <f>G151+'13'!H151</f>
        <v>1.2129886333489643</v>
      </c>
      <c r="I151" s="480"/>
      <c r="J151" s="553">
        <f>H151/DAY(B2)</f>
        <v>8.6642045239211735E-2</v>
      </c>
      <c r="N151" s="723"/>
      <c r="O151" s="730"/>
      <c r="P151" s="382"/>
    </row>
    <row r="152" spans="1:16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1563</v>
      </c>
      <c r="H152" s="460">
        <f>G152+'13'!H152</f>
        <v>56354.16</v>
      </c>
      <c r="I152" s="480"/>
      <c r="J152" s="553">
        <f>H152/DAY(B2)</f>
        <v>4025.2971428571432</v>
      </c>
      <c r="N152" s="723"/>
      <c r="O152" s="730"/>
      <c r="P152" s="382"/>
    </row>
    <row r="153" spans="1:16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7.4542159481114076E-2</v>
      </c>
      <c r="H153" s="460">
        <f>G153+'13'!H153</f>
        <v>2.7154968733444025</v>
      </c>
      <c r="I153" s="569"/>
      <c r="J153" s="570">
        <f>H153/DAY(B2)</f>
        <v>0.19396406238174305</v>
      </c>
      <c r="N153" s="723"/>
      <c r="O153" s="730"/>
      <c r="P153" s="382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800" t="s">
        <v>263</v>
      </c>
      <c r="B160" s="801"/>
      <c r="C160" s="801"/>
      <c r="D160" s="621" t="s">
        <v>187</v>
      </c>
      <c r="E160" s="522">
        <f>'13'!F160</f>
        <v>31906</v>
      </c>
      <c r="F160" s="809">
        <v>31990</v>
      </c>
      <c r="G160" s="473">
        <f t="shared" ref="G160:G163" si="17">F160-E160</f>
        <v>84</v>
      </c>
      <c r="N160" s="723"/>
    </row>
    <row r="161" spans="1:14" ht="21.75" customHeight="1">
      <c r="A161" s="800" t="s">
        <v>264</v>
      </c>
      <c r="B161" s="801"/>
      <c r="C161" s="801"/>
      <c r="D161" s="621" t="s">
        <v>187</v>
      </c>
      <c r="E161" s="522">
        <f>'13'!F161</f>
        <v>61036</v>
      </c>
      <c r="F161" s="809">
        <v>61428</v>
      </c>
      <c r="G161" s="473">
        <f t="shared" si="17"/>
        <v>392</v>
      </c>
      <c r="N161" s="723"/>
    </row>
    <row r="162" spans="1:14" ht="21.75" customHeight="1">
      <c r="A162" s="800" t="s">
        <v>265</v>
      </c>
      <c r="B162" s="801"/>
      <c r="C162" s="801"/>
      <c r="D162" s="621" t="s">
        <v>187</v>
      </c>
      <c r="E162" s="522">
        <f>'13'!F162</f>
        <v>24223</v>
      </c>
      <c r="F162" s="809">
        <v>24501</v>
      </c>
      <c r="G162" s="473">
        <f t="shared" si="17"/>
        <v>278</v>
      </c>
      <c r="N162" s="723"/>
    </row>
    <row r="163" spans="1:14" ht="21.75" customHeight="1">
      <c r="A163" s="800" t="s">
        <v>266</v>
      </c>
      <c r="B163" s="801"/>
      <c r="C163" s="801"/>
      <c r="D163" s="621" t="s">
        <v>187</v>
      </c>
      <c r="E163" s="522">
        <f>'13'!F163</f>
        <v>5578</v>
      </c>
      <c r="F163" s="809">
        <v>5588</v>
      </c>
      <c r="G163" s="473">
        <f t="shared" si="17"/>
        <v>10</v>
      </c>
      <c r="N163" s="723"/>
    </row>
    <row r="164" spans="1:14" ht="21.75" customHeight="1">
      <c r="A164" s="802" t="s">
        <v>98</v>
      </c>
      <c r="B164" s="803"/>
      <c r="C164" s="803"/>
      <c r="D164" s="621" t="s">
        <v>187</v>
      </c>
      <c r="E164" s="514">
        <f>E62</f>
        <v>20419.18</v>
      </c>
      <c r="F164" s="514">
        <f>F62</f>
        <v>20419.18</v>
      </c>
      <c r="G164" s="473">
        <f t="shared" ref="G164:G171" si="18">F164-E164</f>
        <v>0</v>
      </c>
      <c r="N164" s="723"/>
    </row>
    <row r="165" spans="1:14" ht="21.75" customHeight="1">
      <c r="A165" s="802" t="s">
        <v>188</v>
      </c>
      <c r="B165" s="803"/>
      <c r="C165" s="803"/>
      <c r="D165" s="621" t="s">
        <v>187</v>
      </c>
      <c r="E165" s="514">
        <f t="shared" ref="E165:E171" si="19">E63</f>
        <v>1877</v>
      </c>
      <c r="F165" s="514">
        <f t="shared" ref="F165:F171" si="20">F63</f>
        <v>1892</v>
      </c>
      <c r="G165" s="473">
        <f t="shared" si="18"/>
        <v>15</v>
      </c>
      <c r="N165" s="723"/>
    </row>
    <row r="166" spans="1:14" ht="21.75" customHeight="1">
      <c r="A166" s="1470" t="s">
        <v>99</v>
      </c>
      <c r="B166" s="1470"/>
      <c r="C166" s="1470"/>
      <c r="D166" s="524" t="s">
        <v>187</v>
      </c>
      <c r="E166" s="514">
        <f t="shared" si="19"/>
        <v>130341</v>
      </c>
      <c r="F166" s="514">
        <f t="shared" si="20"/>
        <v>130829</v>
      </c>
      <c r="G166" s="473">
        <f t="shared" si="18"/>
        <v>488</v>
      </c>
      <c r="N166" s="723"/>
    </row>
    <row r="167" spans="1:14" ht="21.75" customHeight="1">
      <c r="A167" s="1470" t="s">
        <v>100</v>
      </c>
      <c r="B167" s="1470"/>
      <c r="C167" s="1470"/>
      <c r="D167" s="524" t="s">
        <v>187</v>
      </c>
      <c r="E167" s="514">
        <f t="shared" si="19"/>
        <v>137422</v>
      </c>
      <c r="F167" s="514">
        <f t="shared" si="20"/>
        <v>137804</v>
      </c>
      <c r="G167" s="473">
        <f t="shared" si="18"/>
        <v>382</v>
      </c>
      <c r="N167" s="723"/>
    </row>
    <row r="168" spans="1:14" ht="21.75" customHeight="1">
      <c r="A168" s="1470" t="s">
        <v>101</v>
      </c>
      <c r="B168" s="1470"/>
      <c r="C168" s="1470"/>
      <c r="D168" s="524" t="s">
        <v>187</v>
      </c>
      <c r="E168" s="514">
        <f t="shared" si="19"/>
        <v>30159</v>
      </c>
      <c r="F168" s="514">
        <f t="shared" si="20"/>
        <v>30530</v>
      </c>
      <c r="G168" s="473">
        <f t="shared" si="18"/>
        <v>371</v>
      </c>
      <c r="N168" s="723"/>
    </row>
    <row r="169" spans="1:14" ht="21.75" customHeight="1">
      <c r="A169" s="1470" t="s">
        <v>102</v>
      </c>
      <c r="B169" s="1470"/>
      <c r="C169" s="1470"/>
      <c r="D169" s="524" t="s">
        <v>187</v>
      </c>
      <c r="E169" s="514">
        <f t="shared" si="19"/>
        <v>216677</v>
      </c>
      <c r="F169" s="514">
        <f t="shared" si="20"/>
        <v>217323</v>
      </c>
      <c r="G169" s="473">
        <f t="shared" si="18"/>
        <v>646</v>
      </c>
      <c r="N169" s="723"/>
    </row>
    <row r="170" spans="1:14" ht="24" customHeight="1">
      <c r="A170" s="1470" t="s">
        <v>103</v>
      </c>
      <c r="B170" s="1470"/>
      <c r="C170" s="1470"/>
      <c r="D170" s="524" t="s">
        <v>187</v>
      </c>
      <c r="E170" s="514">
        <f t="shared" si="19"/>
        <v>77068</v>
      </c>
      <c r="F170" s="514">
        <f t="shared" si="20"/>
        <v>77418</v>
      </c>
      <c r="G170" s="473">
        <f t="shared" si="18"/>
        <v>350</v>
      </c>
      <c r="N170" s="723"/>
    </row>
    <row r="171" spans="1:14" ht="27.75">
      <c r="A171" s="1470" t="s">
        <v>104</v>
      </c>
      <c r="B171" s="1470"/>
      <c r="C171" s="1470"/>
      <c r="D171" s="524" t="s">
        <v>187</v>
      </c>
      <c r="E171" s="514">
        <f t="shared" si="19"/>
        <v>68699</v>
      </c>
      <c r="F171" s="514">
        <f t="shared" si="20"/>
        <v>69012</v>
      </c>
      <c r="G171" s="473">
        <f t="shared" si="18"/>
        <v>313</v>
      </c>
      <c r="N171" s="723"/>
    </row>
    <row r="172" spans="1:14">
      <c r="A172" s="804"/>
      <c r="B172" s="805"/>
      <c r="C172" s="805"/>
      <c r="D172" s="806"/>
      <c r="E172" s="806"/>
      <c r="F172" s="807"/>
      <c r="G172" s="808">
        <f>SUM(G160:G171)</f>
        <v>3329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22.5" customHeight="1">
      <c r="N177" s="723"/>
    </row>
    <row r="178" spans="14:14" ht="22.5" customHeight="1">
      <c r="N178" s="723"/>
    </row>
    <row r="179" spans="14:14" ht="22.5" customHeight="1">
      <c r="N179" s="723"/>
    </row>
    <row r="180" spans="14:14" ht="22.5" customHeight="1">
      <c r="N180" s="723"/>
    </row>
    <row r="181" spans="14:14" ht="22.5" customHeight="1">
      <c r="N181" s="723"/>
    </row>
    <row r="182" spans="14:14" ht="22.5" customHeight="1">
      <c r="N182" s="723"/>
    </row>
    <row r="183" spans="14:14" ht="22.5" customHeight="1">
      <c r="N183" s="723"/>
    </row>
    <row r="184" spans="14:14" ht="22.5" customHeight="1">
      <c r="N184" s="723"/>
    </row>
    <row r="185" spans="14:14" ht="22.5" customHeight="1">
      <c r="N185" s="723"/>
    </row>
    <row r="186" spans="14:14" ht="22.5" customHeight="1">
      <c r="N186" s="723"/>
    </row>
    <row r="187" spans="14:14" ht="22.5" customHeight="1">
      <c r="N187" s="723"/>
    </row>
    <row r="188" spans="14:14" ht="22.5" customHeight="1">
      <c r="N188" s="723"/>
    </row>
    <row r="189" spans="14:14" ht="22.5" customHeight="1">
      <c r="N189" s="723"/>
    </row>
    <row r="190" spans="14:14" ht="22.5" customHeight="1">
      <c r="N190" s="723"/>
    </row>
    <row r="191" spans="14:14" ht="22.5" customHeight="1">
      <c r="N191" s="723"/>
    </row>
    <row r="192" spans="14:14" ht="22.5" customHeight="1">
      <c r="N192" s="723"/>
    </row>
    <row r="193" spans="14:14" ht="22.5" customHeight="1">
      <c r="N193" s="723"/>
    </row>
    <row r="194" spans="14:14" ht="22.5" customHeight="1">
      <c r="N194" s="723"/>
    </row>
    <row r="195" spans="14:14" ht="22.5" customHeight="1">
      <c r="N195" s="723"/>
    </row>
    <row r="196" spans="14:14" ht="22.5" customHeight="1">
      <c r="N196" s="723"/>
    </row>
    <row r="197" spans="14:14" ht="22.5" customHeight="1">
      <c r="N197" s="723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31" zoomScale="55" zoomScaleNormal="80" zoomScaleSheetLayoutView="55" workbookViewId="0">
      <selection activeCell="F38" sqref="F3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6" s="281" customFormat="1" ht="27">
      <c r="A2" s="576" t="s">
        <v>279</v>
      </c>
      <c r="B2" s="1038">
        <v>44270</v>
      </c>
      <c r="C2" s="1208" t="s">
        <v>69</v>
      </c>
      <c r="D2" s="612">
        <v>0.67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>
      <c r="A3" s="571"/>
      <c r="B3" s="615"/>
      <c r="C3" s="1208" t="s">
        <v>120</v>
      </c>
      <c r="D3" s="613">
        <v>24</v>
      </c>
      <c r="E3" s="1432" t="s">
        <v>121</v>
      </c>
      <c r="F3" s="1433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>
      <c r="A4" s="577"/>
      <c r="B4" s="617"/>
      <c r="C4" s="1208" t="s">
        <v>122</v>
      </c>
      <c r="D4" s="612">
        <v>0.64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'14'!F7</f>
        <v>4744847</v>
      </c>
      <c r="F7" s="455">
        <v>4765832</v>
      </c>
      <c r="G7" s="683">
        <f t="shared" ref="G7:G12" si="0">F7-E7</f>
        <v>20985</v>
      </c>
      <c r="H7" s="684">
        <f>G7+'14'!H7</f>
        <v>320755</v>
      </c>
      <c r="I7" s="685">
        <f>'1'!I7</f>
        <v>12000</v>
      </c>
      <c r="J7" s="686">
        <f>H7/DAY(B2)</f>
        <v>21383.666666666668</v>
      </c>
      <c r="K7" s="550"/>
      <c r="L7" s="377"/>
      <c r="N7" s="734"/>
      <c r="O7" s="730"/>
      <c r="P7" s="733"/>
    </row>
    <row r="8" spans="1:16" ht="27.75" thickBot="1">
      <c r="A8" s="687" t="s">
        <v>133</v>
      </c>
      <c r="B8" s="688"/>
      <c r="C8" s="689"/>
      <c r="D8" s="690" t="s">
        <v>25</v>
      </c>
      <c r="E8" s="634">
        <f>'14'!F8</f>
        <v>4774628</v>
      </c>
      <c r="F8" s="475">
        <v>4795702</v>
      </c>
      <c r="G8" s="694">
        <f t="shared" si="0"/>
        <v>21074</v>
      </c>
      <c r="H8" s="684">
        <f>G8+'14'!H8</f>
        <v>322546</v>
      </c>
      <c r="I8" s="691">
        <f>'1'!I8</f>
        <v>12000</v>
      </c>
      <c r="J8" s="686">
        <f>H8/DAY(B2)</f>
        <v>21503.066666666666</v>
      </c>
      <c r="K8" s="550"/>
      <c r="L8" s="425"/>
      <c r="M8" s="440"/>
      <c r="N8" s="723"/>
      <c r="O8" s="730"/>
      <c r="P8" s="382"/>
    </row>
    <row r="9" spans="1:16">
      <c r="A9" s="692" t="s">
        <v>134</v>
      </c>
      <c r="B9" s="693"/>
      <c r="C9" s="693"/>
      <c r="D9" s="639" t="s">
        <v>132</v>
      </c>
      <c r="E9" s="634">
        <f>'14'!F9</f>
        <v>124354</v>
      </c>
      <c r="F9" s="478">
        <v>124353.81</v>
      </c>
      <c r="G9" s="707">
        <f t="shared" si="0"/>
        <v>-0.19000000000232831</v>
      </c>
      <c r="H9" s="684">
        <f>G9+'14'!H9</f>
        <v>37444.800000000003</v>
      </c>
      <c r="I9" s="695">
        <f>I7-J7</f>
        <v>-9383.6666666666679</v>
      </c>
      <c r="J9" s="686">
        <f>H9/DAY(B2)</f>
        <v>2496.3200000000002</v>
      </c>
      <c r="K9" s="428"/>
      <c r="L9" s="377"/>
      <c r="N9" s="723"/>
      <c r="O9" s="730"/>
      <c r="P9" s="382"/>
    </row>
    <row r="10" spans="1:16">
      <c r="A10" s="681" t="s">
        <v>135</v>
      </c>
      <c r="B10" s="682"/>
      <c r="C10" s="682"/>
      <c r="D10" s="639" t="s">
        <v>132</v>
      </c>
      <c r="E10" s="634">
        <f>'14'!F10</f>
        <v>277550</v>
      </c>
      <c r="F10" s="478">
        <v>297852.51</v>
      </c>
      <c r="G10" s="694">
        <f t="shared" si="0"/>
        <v>20302.510000000009</v>
      </c>
      <c r="H10" s="684">
        <f>G10+'14'!H10</f>
        <v>272156.95</v>
      </c>
      <c r="I10" s="696"/>
      <c r="J10" s="686">
        <f>H10/DAY(B2)</f>
        <v>18143.796666666669</v>
      </c>
      <c r="K10" s="428"/>
      <c r="L10" s="377"/>
      <c r="N10" s="723"/>
      <c r="O10" s="730"/>
      <c r="P10" s="382"/>
    </row>
    <row r="11" spans="1:16">
      <c r="A11" s="681" t="s">
        <v>136</v>
      </c>
      <c r="B11" s="682"/>
      <c r="C11" s="682"/>
      <c r="D11" s="639" t="s">
        <v>132</v>
      </c>
      <c r="E11" s="634">
        <f>'14'!F11</f>
        <v>37000</v>
      </c>
      <c r="F11" s="455">
        <v>37000</v>
      </c>
      <c r="G11" s="694">
        <f t="shared" si="0"/>
        <v>0</v>
      </c>
      <c r="H11" s="684">
        <f>G11+'14'!H11</f>
        <v>0</v>
      </c>
      <c r="I11" s="696"/>
      <c r="J11" s="686">
        <f>H11/DAY(B2)</f>
        <v>0</v>
      </c>
      <c r="K11" s="428"/>
      <c r="L11" s="377"/>
      <c r="N11" s="723"/>
      <c r="O11" s="730"/>
      <c r="P11" s="382"/>
    </row>
    <row r="12" spans="1:16">
      <c r="A12" s="681" t="s">
        <v>137</v>
      </c>
      <c r="B12" s="682"/>
      <c r="C12" s="682"/>
      <c r="D12" s="639" t="s">
        <v>132</v>
      </c>
      <c r="E12" s="634">
        <f>'14'!F12</f>
        <v>40010</v>
      </c>
      <c r="F12" s="478">
        <v>40010</v>
      </c>
      <c r="G12" s="694">
        <f t="shared" si="0"/>
        <v>0</v>
      </c>
      <c r="H12" s="684">
        <f>G12+'14'!H12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20302.320000000007</v>
      </c>
      <c r="H13" s="684">
        <f>G13+'14'!H13</f>
        <v>288607.75</v>
      </c>
      <c r="I13" s="700">
        <f>G7-G13</f>
        <v>682.67999999999302</v>
      </c>
      <c r="J13" s="686">
        <f>H13/DAY(B2)</f>
        <v>19240.516666666666</v>
      </c>
      <c r="K13" s="428"/>
      <c r="L13" s="377"/>
      <c r="N13" s="723"/>
      <c r="O13" s="730"/>
      <c r="P13" s="382"/>
    </row>
    <row r="14" spans="1:16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1226"/>
      <c r="K14" s="429"/>
      <c r="L14" s="377"/>
      <c r="N14" s="723"/>
      <c r="O14" s="730"/>
      <c r="P14" s="382"/>
    </row>
    <row r="15" spans="1:16">
      <c r="A15" s="798" t="s">
        <v>140</v>
      </c>
      <c r="B15" s="799"/>
      <c r="C15" s="799"/>
      <c r="D15" s="524" t="s">
        <v>141</v>
      </c>
      <c r="E15" s="485">
        <f>'14'!F15</f>
        <v>1632070</v>
      </c>
      <c r="F15" s="485">
        <v>1632897.709</v>
      </c>
      <c r="G15" s="669">
        <f>(F15-E15)</f>
        <v>827.70900000003166</v>
      </c>
      <c r="H15" s="486">
        <f>G15+'14'!H15</f>
        <v>13019.098999999929</v>
      </c>
      <c r="I15" s="474">
        <v>800</v>
      </c>
      <c r="J15" s="554">
        <f>H15/DAY(B2)</f>
        <v>867.93993333332867</v>
      </c>
      <c r="K15" s="428"/>
      <c r="L15" s="377"/>
      <c r="N15" s="723"/>
      <c r="O15" s="730"/>
      <c r="P15" s="382"/>
    </row>
    <row r="16" spans="1:16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-67.939933333328668</v>
      </c>
      <c r="J16" s="554"/>
      <c r="K16" s="428"/>
      <c r="L16" s="377"/>
      <c r="N16" s="723"/>
      <c r="O16" s="730"/>
      <c r="P16" s="382"/>
    </row>
    <row r="17" spans="1:16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>
      <c r="A18" s="1464" t="s">
        <v>143</v>
      </c>
      <c r="B18" s="1465"/>
      <c r="C18" s="1466"/>
      <c r="D18" s="639" t="s">
        <v>144</v>
      </c>
      <c r="E18" s="636">
        <f>'14'!F18</f>
        <v>18</v>
      </c>
      <c r="F18" s="478">
        <v>12</v>
      </c>
      <c r="G18" s="699">
        <f>F18*10</f>
        <v>120</v>
      </c>
      <c r="H18" s="684">
        <f>G18+'14'!H18</f>
        <v>2120</v>
      </c>
      <c r="I18" s="685">
        <f>'1'!I18</f>
        <v>65</v>
      </c>
      <c r="J18" s="686">
        <f>H18/DAY(B2)</f>
        <v>141.33333333333334</v>
      </c>
      <c r="K18" s="428"/>
      <c r="L18" s="377"/>
      <c r="N18" s="723"/>
      <c r="O18" s="730"/>
      <c r="P18" s="382"/>
    </row>
    <row r="19" spans="1:16" ht="27.75">
      <c r="A19" s="1464" t="s">
        <v>71</v>
      </c>
      <c r="B19" s="1465"/>
      <c r="C19" s="1466"/>
      <c r="D19" s="639" t="s">
        <v>144</v>
      </c>
      <c r="E19" s="636">
        <f>'14'!F19</f>
        <v>135192</v>
      </c>
      <c r="F19" s="478">
        <v>135247</v>
      </c>
      <c r="G19" s="694">
        <f t="shared" ref="G19" si="1">F19-E19</f>
        <v>55</v>
      </c>
      <c r="H19" s="684">
        <f>G19+'14'!H19</f>
        <v>779</v>
      </c>
      <c r="I19" s="701"/>
      <c r="J19" s="686">
        <f>H19/DAY(B2)</f>
        <v>51.93333333333333</v>
      </c>
      <c r="K19" s="428"/>
      <c r="L19" s="377"/>
      <c r="N19" s="723"/>
      <c r="O19" s="730"/>
      <c r="P19" s="382"/>
    </row>
    <row r="20" spans="1:16">
      <c r="A20" s="697" t="s">
        <v>145</v>
      </c>
      <c r="B20" s="698"/>
      <c r="C20" s="698"/>
      <c r="D20" s="639"/>
      <c r="E20" s="639"/>
      <c r="F20" s="714"/>
      <c r="G20" s="702">
        <f>G18+G19</f>
        <v>175</v>
      </c>
      <c r="H20" s="684">
        <f>G20+'14'!H20</f>
        <v>2899</v>
      </c>
      <c r="I20" s="703">
        <f>I18-J20</f>
        <v>-128.26666666666668</v>
      </c>
      <c r="J20" s="686">
        <f>H20/DAY(B2)</f>
        <v>193.26666666666668</v>
      </c>
      <c r="K20" s="428"/>
      <c r="L20" s="377"/>
      <c r="N20" s="723"/>
      <c r="O20" s="730"/>
      <c r="P20" s="382"/>
    </row>
    <row r="21" spans="1:16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>
      <c r="A22" s="1206" t="s">
        <v>147</v>
      </c>
      <c r="B22" s="590"/>
      <c r="C22" s="590"/>
      <c r="D22" s="523" t="s">
        <v>148</v>
      </c>
      <c r="E22" s="636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>
      <c r="A23" s="1206" t="s">
        <v>149</v>
      </c>
      <c r="B23" s="590"/>
      <c r="C23" s="590"/>
      <c r="D23" s="523" t="s">
        <v>148</v>
      </c>
      <c r="E23" s="636">
        <f>'14'!F23</f>
        <v>2900</v>
      </c>
      <c r="F23" s="478">
        <v>2000</v>
      </c>
      <c r="G23" s="481">
        <v>0</v>
      </c>
      <c r="H23" s="460">
        <f>G23+'14'!H23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>
      <c r="A24" s="591" t="s">
        <v>150</v>
      </c>
      <c r="B24" s="592"/>
      <c r="C24" s="592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21074</v>
      </c>
      <c r="F27" s="501">
        <v>9</v>
      </c>
      <c r="G27" s="502">
        <f>E27*F27</f>
        <v>189666</v>
      </c>
      <c r="H27" s="460">
        <f>G27+'14'!H27</f>
        <v>2902914</v>
      </c>
      <c r="I27" s="503"/>
      <c r="J27" s="553">
        <f>H27/DAY(B2)</f>
        <v>193527.6</v>
      </c>
      <c r="K27" s="373"/>
      <c r="L27" s="443"/>
      <c r="N27" s="723"/>
      <c r="O27" s="730"/>
      <c r="P27" s="382"/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827.70900000003166</v>
      </c>
      <c r="F28" s="501">
        <v>43.5</v>
      </c>
      <c r="G28" s="502">
        <f>E28*F28</f>
        <v>36005.341500001377</v>
      </c>
      <c r="H28" s="460">
        <f>G28+'14'!H28</f>
        <v>631920.48469999642</v>
      </c>
      <c r="I28" s="505"/>
      <c r="J28" s="553">
        <f>H28/DAY(B2)</f>
        <v>42128.032313333097</v>
      </c>
      <c r="K28" s="373"/>
      <c r="L28" s="443"/>
      <c r="N28" s="723"/>
      <c r="O28" s="730"/>
      <c r="P28" s="382"/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55</v>
      </c>
      <c r="F30" s="501">
        <v>134</v>
      </c>
      <c r="G30" s="502">
        <f>E30*F30</f>
        <v>7370</v>
      </c>
      <c r="H30" s="460">
        <f>G30+'14'!H30</f>
        <v>122074</v>
      </c>
      <c r="I30" s="505"/>
      <c r="J30" s="553">
        <f>H30/DAY(B2)</f>
        <v>8138.2666666666664</v>
      </c>
      <c r="K30" s="373"/>
      <c r="L30" s="443"/>
      <c r="N30" s="723"/>
      <c r="O30" s="730"/>
      <c r="P30" s="382"/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120</v>
      </c>
      <c r="F31" s="501">
        <v>80</v>
      </c>
      <c r="G31" s="502">
        <f>E31*F31</f>
        <v>9600</v>
      </c>
      <c r="H31" s="460">
        <f>G31+'14'!H31</f>
        <v>159040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242641.34150000138</v>
      </c>
      <c r="H32" s="460">
        <f>G32+'14'!H32</f>
        <v>3815948.4846999962</v>
      </c>
      <c r="I32" s="509"/>
      <c r="J32" s="553">
        <f>H32/DAY(B2)</f>
        <v>254396.56564666642</v>
      </c>
      <c r="K32" s="373"/>
      <c r="L32" s="443"/>
      <c r="N32" s="723"/>
      <c r="O32" s="730"/>
      <c r="P32" s="382"/>
    </row>
    <row r="33" spans="1:16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723"/>
      <c r="O33" s="730"/>
      <c r="P33" s="382"/>
    </row>
    <row r="34" spans="1:16">
      <c r="A34" s="599" t="s">
        <v>163</v>
      </c>
      <c r="B34" s="1211"/>
      <c r="C34" s="1211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>
      <c r="A35" s="579" t="s">
        <v>164</v>
      </c>
      <c r="B35" s="580"/>
      <c r="C35" s="580"/>
      <c r="D35" s="523" t="s">
        <v>132</v>
      </c>
      <c r="E35" s="510">
        <f>'14'!F35</f>
        <v>741608</v>
      </c>
      <c r="F35" s="510">
        <v>745070.63</v>
      </c>
      <c r="G35" s="473">
        <f t="shared" ref="G35:G46" si="3">F35-E35</f>
        <v>3462.6300000000047</v>
      </c>
      <c r="H35" s="460">
        <f>G35+'14'!H35</f>
        <v>51983.040000000037</v>
      </c>
      <c r="I35" s="455"/>
      <c r="J35" s="553">
        <f>H35/DAY(B2)</f>
        <v>3465.5360000000023</v>
      </c>
      <c r="K35" s="428"/>
      <c r="L35" s="377"/>
      <c r="N35" s="723"/>
      <c r="O35" s="731"/>
      <c r="P35" s="382"/>
    </row>
    <row r="36" spans="1:16">
      <c r="A36" s="579" t="s">
        <v>165</v>
      </c>
      <c r="B36" s="580"/>
      <c r="C36" s="580"/>
      <c r="D36" s="523" t="s">
        <v>132</v>
      </c>
      <c r="E36" s="510">
        <f>'14'!F36</f>
        <v>305533</v>
      </c>
      <c r="F36" s="510">
        <v>306251</v>
      </c>
      <c r="G36" s="473">
        <f t="shared" si="3"/>
        <v>718</v>
      </c>
      <c r="H36" s="460">
        <f>G36+'14'!H36</f>
        <v>9805.429999999993</v>
      </c>
      <c r="I36" s="455"/>
      <c r="J36" s="553">
        <f>H36/DAY(B2)</f>
        <v>653.69533333333288</v>
      </c>
      <c r="K36" s="428"/>
      <c r="L36" s="377"/>
      <c r="N36" s="724"/>
      <c r="O36" s="731"/>
      <c r="P36" s="382"/>
    </row>
    <row r="37" spans="1:16">
      <c r="A37" s="579" t="s">
        <v>166</v>
      </c>
      <c r="B37" s="580"/>
      <c r="C37" s="580"/>
      <c r="D37" s="523" t="s">
        <v>132</v>
      </c>
      <c r="E37" s="510">
        <f>'14'!F37</f>
        <v>35167</v>
      </c>
      <c r="F37" s="510">
        <v>35167</v>
      </c>
      <c r="G37" s="473">
        <f t="shared" si="3"/>
        <v>0</v>
      </c>
      <c r="H37" s="460">
        <f>G37+'14'!H37</f>
        <v>38272.080000000002</v>
      </c>
      <c r="I37" s="455"/>
      <c r="J37" s="553">
        <f>H37/DAY(B2)</f>
        <v>2551.4720000000002</v>
      </c>
      <c r="K37" s="428"/>
      <c r="L37" s="377"/>
      <c r="N37" s="724"/>
      <c r="O37" s="731"/>
      <c r="P37" s="382"/>
    </row>
    <row r="38" spans="1:16">
      <c r="A38" s="579" t="s">
        <v>167</v>
      </c>
      <c r="B38" s="580"/>
      <c r="C38" s="580"/>
      <c r="D38" s="523" t="s">
        <v>132</v>
      </c>
      <c r="E38" s="510">
        <f>'14'!F38</f>
        <v>48333</v>
      </c>
      <c r="F38" s="469">
        <v>48333</v>
      </c>
      <c r="G38" s="473">
        <f t="shared" si="3"/>
        <v>0</v>
      </c>
      <c r="H38" s="460">
        <f>G38+'14'!H38</f>
        <v>4519.510000000002</v>
      </c>
      <c r="I38" s="455"/>
      <c r="J38" s="553">
        <f>H38/DAY(B2)</f>
        <v>301.30066666666681</v>
      </c>
      <c r="K38" s="428"/>
      <c r="L38" s="377"/>
      <c r="N38" s="723"/>
      <c r="O38" s="730"/>
      <c r="P38" s="382"/>
    </row>
    <row r="39" spans="1:16">
      <c r="A39" s="579" t="s">
        <v>168</v>
      </c>
      <c r="B39" s="580"/>
      <c r="C39" s="580"/>
      <c r="D39" s="523" t="s">
        <v>132</v>
      </c>
      <c r="E39" s="510">
        <f>'14'!F39</f>
        <v>100066</v>
      </c>
      <c r="F39" s="510">
        <v>100066</v>
      </c>
      <c r="G39" s="473">
        <f t="shared" si="3"/>
        <v>0</v>
      </c>
      <c r="H39" s="460">
        <f>G39+'14'!H39</f>
        <v>109458.89</v>
      </c>
      <c r="I39" s="455"/>
      <c r="J39" s="553">
        <f>H39/DAY(B2)</f>
        <v>7297.2593333333334</v>
      </c>
      <c r="K39" s="428"/>
      <c r="L39" s="377"/>
      <c r="N39" s="723"/>
      <c r="O39" s="731"/>
      <c r="P39" s="382"/>
    </row>
    <row r="40" spans="1:16">
      <c r="A40" s="600" t="s">
        <v>169</v>
      </c>
      <c r="B40" s="601"/>
      <c r="C40" s="601"/>
      <c r="D40" s="523" t="s">
        <v>132</v>
      </c>
      <c r="E40" s="510">
        <f>'14'!F40</f>
        <v>0.23</v>
      </c>
      <c r="F40" s="510">
        <v>0.17</v>
      </c>
      <c r="G40" s="473">
        <f t="shared" si="3"/>
        <v>-0.06</v>
      </c>
      <c r="H40" s="460">
        <f>G40+'14'!H40</f>
        <v>-0.06</v>
      </c>
      <c r="I40" s="455"/>
      <c r="J40" s="553">
        <f>H40/DAY(B2)</f>
        <v>-4.0000000000000001E-3</v>
      </c>
      <c r="K40" s="429"/>
      <c r="L40" s="377"/>
      <c r="N40" s="723"/>
      <c r="O40" s="730"/>
      <c r="P40" s="382"/>
    </row>
    <row r="41" spans="1:16">
      <c r="A41" s="579" t="s">
        <v>170</v>
      </c>
      <c r="B41" s="580"/>
      <c r="C41" s="580"/>
      <c r="D41" s="523" t="s">
        <v>132</v>
      </c>
      <c r="E41" s="510">
        <f>'14'!F41</f>
        <v>64767</v>
      </c>
      <c r="F41" s="510">
        <v>65379.01</v>
      </c>
      <c r="G41" s="473">
        <f t="shared" si="3"/>
        <v>612.01000000000204</v>
      </c>
      <c r="H41" s="460">
        <f>G41+'14'!H41</f>
        <v>1496.6399999999994</v>
      </c>
      <c r="I41" s="455"/>
      <c r="J41" s="553">
        <f>H41/DAY(B2)</f>
        <v>99.775999999999968</v>
      </c>
      <c r="K41" s="428"/>
      <c r="L41" s="377"/>
      <c r="N41" s="723"/>
      <c r="O41" s="732"/>
      <c r="P41" s="726"/>
    </row>
    <row r="42" spans="1:16">
      <c r="A42" s="579" t="s">
        <v>171</v>
      </c>
      <c r="B42" s="580"/>
      <c r="C42" s="580"/>
      <c r="D42" s="523" t="s">
        <v>132</v>
      </c>
      <c r="E42" s="510">
        <f>'14'!F42</f>
        <v>59128</v>
      </c>
      <c r="F42" s="510">
        <v>59128.163</v>
      </c>
      <c r="G42" s="473">
        <f t="shared" si="3"/>
        <v>0.16300000000046566</v>
      </c>
      <c r="H42" s="460">
        <f>G42+'14'!H42</f>
        <v>-0.68699999999807915</v>
      </c>
      <c r="I42" s="455"/>
      <c r="J42" s="553">
        <f>H42/DAY(B2)</f>
        <v>-4.5799999999871943E-2</v>
      </c>
      <c r="K42" s="428"/>
      <c r="L42" s="377"/>
      <c r="N42" s="723"/>
      <c r="O42" s="730"/>
      <c r="P42" s="382"/>
    </row>
    <row r="43" spans="1:16">
      <c r="A43" s="579" t="s">
        <v>172</v>
      </c>
      <c r="B43" s="580"/>
      <c r="C43" s="580"/>
      <c r="D43" s="523" t="s">
        <v>132</v>
      </c>
      <c r="E43" s="510">
        <f>'14'!F43</f>
        <v>859995</v>
      </c>
      <c r="F43" s="510">
        <v>862426.55</v>
      </c>
      <c r="G43" s="473">
        <f t="shared" si="3"/>
        <v>2431.5500000000466</v>
      </c>
      <c r="H43" s="460">
        <f>G43+'14'!H43</f>
        <v>36528.720000000088</v>
      </c>
      <c r="I43" s="455"/>
      <c r="J43" s="553">
        <f>H43/DAY(B2)</f>
        <v>2435.248000000006</v>
      </c>
      <c r="K43" s="428"/>
      <c r="L43" s="377"/>
      <c r="N43" s="723"/>
      <c r="O43" s="731"/>
      <c r="P43" s="382"/>
    </row>
    <row r="44" spans="1:16">
      <c r="A44" s="579" t="s">
        <v>173</v>
      </c>
      <c r="B44" s="580"/>
      <c r="C44" s="580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>
      <c r="A45" s="579" t="s">
        <v>174</v>
      </c>
      <c r="B45" s="580"/>
      <c r="C45" s="580"/>
      <c r="D45" s="523" t="s">
        <v>132</v>
      </c>
      <c r="E45" s="510">
        <f>'14'!F45</f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>
      <c r="A46" s="579" t="s">
        <v>175</v>
      </c>
      <c r="B46" s="580"/>
      <c r="C46" s="580"/>
      <c r="D46" s="523" t="s">
        <v>132</v>
      </c>
      <c r="E46" s="510">
        <f>'14'!F46</f>
        <v>187.49</v>
      </c>
      <c r="F46" s="510">
        <v>187.49</v>
      </c>
      <c r="G46" s="473">
        <f t="shared" si="3"/>
        <v>0</v>
      </c>
      <c r="H46" s="460">
        <f>G46+'14'!H46</f>
        <v>0.49000000000000909</v>
      </c>
      <c r="I46" s="455"/>
      <c r="J46" s="553">
        <f>H46/DAY(B2)</f>
        <v>3.2666666666667274E-2</v>
      </c>
      <c r="K46" s="428"/>
      <c r="L46" s="377"/>
      <c r="N46" s="723"/>
      <c r="O46" s="730"/>
      <c r="P46" s="382"/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7224.2930000000533</v>
      </c>
      <c r="H47" s="460">
        <f>G47+'14'!H47</f>
        <v>252064.05300000013</v>
      </c>
      <c r="I47" s="455"/>
      <c r="J47" s="553">
        <f>H47/DAY(B2)</f>
        <v>16804.27020000001</v>
      </c>
      <c r="K47" s="428"/>
      <c r="L47" s="377"/>
      <c r="N47" s="723"/>
      <c r="O47" s="730"/>
      <c r="P47" s="382"/>
    </row>
    <row r="48" spans="1:16">
      <c r="A48" s="599" t="s">
        <v>177</v>
      </c>
      <c r="B48" s="1211"/>
      <c r="C48" s="1211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>
      <c r="A49" s="579" t="s">
        <v>164</v>
      </c>
      <c r="B49" s="602"/>
      <c r="C49" s="602"/>
      <c r="D49" s="523" t="s">
        <v>132</v>
      </c>
      <c r="E49" s="510">
        <f>'14'!F49</f>
        <v>260732</v>
      </c>
      <c r="F49" s="510">
        <v>260732.13</v>
      </c>
      <c r="G49" s="473">
        <f t="shared" ref="G49:G58" si="4">F49-E49</f>
        <v>0.13000000000465661</v>
      </c>
      <c r="H49" s="460">
        <f>G49+'14'!H49</f>
        <v>0</v>
      </c>
      <c r="I49" s="455"/>
      <c r="J49" s="553">
        <f>H49/DAY(B2)</f>
        <v>0</v>
      </c>
      <c r="K49" s="428">
        <f>E49+242</f>
        <v>260974</v>
      </c>
      <c r="L49" s="377"/>
      <c r="N49" s="723"/>
      <c r="O49" s="730"/>
      <c r="P49" s="382"/>
    </row>
    <row r="50" spans="1:16">
      <c r="A50" s="579" t="s">
        <v>178</v>
      </c>
      <c r="B50" s="602"/>
      <c r="C50" s="602"/>
      <c r="D50" s="523" t="s">
        <v>132</v>
      </c>
      <c r="E50" s="510">
        <f>'14'!F50</f>
        <v>419409</v>
      </c>
      <c r="F50" s="510">
        <v>420577.67</v>
      </c>
      <c r="G50" s="473">
        <f t="shared" si="4"/>
        <v>1168.6699999999837</v>
      </c>
      <c r="H50" s="460">
        <f>G50+'14'!H50</f>
        <v>16920.639999999956</v>
      </c>
      <c r="I50" s="455"/>
      <c r="J50" s="553">
        <f>H50/DAY(B2)</f>
        <v>1128.0426666666638</v>
      </c>
      <c r="K50" s="428"/>
      <c r="L50" s="377"/>
      <c r="N50" s="723"/>
      <c r="O50" s="731"/>
      <c r="P50" s="382"/>
    </row>
    <row r="51" spans="1:16">
      <c r="A51" s="579" t="s">
        <v>166</v>
      </c>
      <c r="B51" s="602"/>
      <c r="C51" s="602"/>
      <c r="D51" s="523" t="s">
        <v>132</v>
      </c>
      <c r="E51" s="510">
        <f>'14'!F51</f>
        <v>138133</v>
      </c>
      <c r="F51" s="510">
        <v>139757.67000000001</v>
      </c>
      <c r="G51" s="473">
        <f t="shared" si="4"/>
        <v>1624.6700000000128</v>
      </c>
      <c r="H51" s="460">
        <f>G51+'14'!H51</f>
        <v>18157.750000000015</v>
      </c>
      <c r="I51" s="455"/>
      <c r="J51" s="553">
        <f>H51/DAY(B2)</f>
        <v>1210.5166666666676</v>
      </c>
      <c r="K51" s="428"/>
      <c r="L51" s="377"/>
      <c r="N51" s="723"/>
      <c r="O51" s="730"/>
      <c r="P51" s="382"/>
    </row>
    <row r="52" spans="1:16">
      <c r="A52" s="579" t="s">
        <v>179</v>
      </c>
      <c r="B52" s="602"/>
      <c r="C52" s="602"/>
      <c r="D52" s="523" t="s">
        <v>132</v>
      </c>
      <c r="E52" s="510">
        <f>'14'!F52</f>
        <v>532354</v>
      </c>
      <c r="F52" s="510">
        <v>534241.91</v>
      </c>
      <c r="G52" s="473">
        <f t="shared" si="4"/>
        <v>1887.9100000000326</v>
      </c>
      <c r="H52" s="460">
        <f>G52+'14'!H52</f>
        <v>24283.200000000012</v>
      </c>
      <c r="I52" s="455"/>
      <c r="J52" s="553">
        <f>H52/DAY(B2)</f>
        <v>1618.8800000000008</v>
      </c>
      <c r="K52" s="428"/>
      <c r="L52" s="377"/>
      <c r="N52" s="723"/>
      <c r="O52" s="730"/>
      <c r="P52" s="382"/>
    </row>
    <row r="53" spans="1:16">
      <c r="A53" s="579" t="s">
        <v>168</v>
      </c>
      <c r="B53" s="602"/>
      <c r="C53" s="602"/>
      <c r="D53" s="523" t="s">
        <v>132</v>
      </c>
      <c r="E53" s="510">
        <f>'14'!F53</f>
        <v>381709</v>
      </c>
      <c r="F53" s="510">
        <v>385971.21</v>
      </c>
      <c r="G53" s="473">
        <f t="shared" si="4"/>
        <v>4262.210000000021</v>
      </c>
      <c r="H53" s="460">
        <f>G53+'14'!H53</f>
        <v>49931.700000000012</v>
      </c>
      <c r="I53" s="455"/>
      <c r="J53" s="553">
        <f>H53/DAY(B2)</f>
        <v>3328.7800000000007</v>
      </c>
      <c r="K53" s="428"/>
      <c r="L53" s="377"/>
      <c r="N53" s="723"/>
      <c r="O53" s="730"/>
      <c r="P53" s="382"/>
    </row>
    <row r="54" spans="1:16">
      <c r="A54" s="579" t="s">
        <v>180</v>
      </c>
      <c r="B54" s="602"/>
      <c r="C54" s="602"/>
      <c r="D54" s="523" t="s">
        <v>132</v>
      </c>
      <c r="E54" s="510">
        <f>'14'!F54</f>
        <v>8200</v>
      </c>
      <c r="F54" s="510">
        <v>8200.2900000000009</v>
      </c>
      <c r="G54" s="473">
        <f t="shared" si="4"/>
        <v>0.29000000000087311</v>
      </c>
      <c r="H54" s="460">
        <f>G54+'14'!H54</f>
        <v>104.69000000000142</v>
      </c>
      <c r="I54" s="455"/>
      <c r="J54" s="553">
        <f>H54/DAY(B2)</f>
        <v>6.979333333333428</v>
      </c>
      <c r="K54" s="428"/>
      <c r="L54" s="377"/>
      <c r="N54" s="723"/>
      <c r="O54" s="730"/>
      <c r="P54" s="382"/>
    </row>
    <row r="55" spans="1:16">
      <c r="A55" s="579" t="s">
        <v>181</v>
      </c>
      <c r="B55" s="602"/>
      <c r="C55" s="602"/>
      <c r="D55" s="523" t="s">
        <v>132</v>
      </c>
      <c r="E55" s="510">
        <f>'14'!F55</f>
        <v>187345</v>
      </c>
      <c r="F55" s="658">
        <v>192357.17</v>
      </c>
      <c r="G55" s="657">
        <f t="shared" si="4"/>
        <v>5012.1700000000128</v>
      </c>
      <c r="H55" s="710">
        <f>G55+'14'!H55</f>
        <v>69772.48000000001</v>
      </c>
      <c r="I55" s="711"/>
      <c r="J55" s="712">
        <f>H55/DAY(B2)</f>
        <v>4651.4986666666673</v>
      </c>
      <c r="K55" s="428"/>
      <c r="L55" s="377"/>
      <c r="N55" s="723"/>
      <c r="O55" s="730"/>
      <c r="P55" s="382"/>
    </row>
    <row r="56" spans="1:16">
      <c r="A56" s="579" t="s">
        <v>182</v>
      </c>
      <c r="B56" s="602"/>
      <c r="C56" s="602"/>
      <c r="D56" s="523" t="s">
        <v>183</v>
      </c>
      <c r="E56" s="510">
        <f>'14'!F56</f>
        <v>588761</v>
      </c>
      <c r="F56" s="658">
        <v>588833.11</v>
      </c>
      <c r="G56" s="473">
        <f t="shared" si="4"/>
        <v>72.10999999998603</v>
      </c>
      <c r="H56" s="460">
        <f>G56+'14'!H56</f>
        <v>2782.0799999999581</v>
      </c>
      <c r="I56" s="455"/>
      <c r="J56" s="553">
        <f>H56/DAY(B2)</f>
        <v>185.47199999999719</v>
      </c>
      <c r="K56" s="427"/>
      <c r="L56" s="377"/>
      <c r="N56" s="723"/>
      <c r="O56" s="732"/>
      <c r="P56" s="382"/>
    </row>
    <row r="57" spans="1:16">
      <c r="A57" s="579" t="s">
        <v>172</v>
      </c>
      <c r="B57" s="602"/>
      <c r="C57" s="602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>
      <c r="A58" s="579" t="s">
        <v>184</v>
      </c>
      <c r="B58" s="602"/>
      <c r="C58" s="602"/>
      <c r="D58" s="523" t="s">
        <v>132</v>
      </c>
      <c r="E58" s="510">
        <f>'14'!F58</f>
        <v>38525</v>
      </c>
      <c r="F58" s="658">
        <v>38686.550000000003</v>
      </c>
      <c r="G58" s="473">
        <f t="shared" si="4"/>
        <v>161.55000000000291</v>
      </c>
      <c r="H58" s="460">
        <f>G58+'14'!H58</f>
        <v>2621.8500000000058</v>
      </c>
      <c r="I58" s="455"/>
      <c r="J58" s="553">
        <f>H58/DAY(B2)</f>
        <v>174.79000000000039</v>
      </c>
      <c r="K58" s="428"/>
      <c r="L58" s="377"/>
      <c r="N58" s="723"/>
      <c r="O58" s="730"/>
      <c r="P58" s="382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14189.710000000057</v>
      </c>
      <c r="H59" s="460">
        <f>G59+'14'!H59</f>
        <v>184574.38999999996</v>
      </c>
      <c r="I59" s="455">
        <f>G7-G60</f>
        <v>-429.00300000010975</v>
      </c>
      <c r="J59" s="553">
        <f>H59/DAY(B2)</f>
        <v>12304.959333333331</v>
      </c>
      <c r="K59" s="428"/>
      <c r="L59" s="377"/>
      <c r="N59" s="723"/>
      <c r="O59" s="730"/>
      <c r="P59" s="382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21414.00300000011</v>
      </c>
      <c r="H60" s="460">
        <f>G60+'14'!H60</f>
        <v>450807.44300000009</v>
      </c>
      <c r="I60" s="455">
        <f>G13-G60</f>
        <v>-1111.6830000001028</v>
      </c>
      <c r="J60" s="553">
        <f>H60/DAY(B2)</f>
        <v>30053.829533333341</v>
      </c>
      <c r="K60" s="428"/>
      <c r="L60" s="377"/>
      <c r="N60" s="723"/>
      <c r="O60" s="730"/>
      <c r="P60" s="382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>
      <c r="A62" s="604" t="s">
        <v>98</v>
      </c>
      <c r="B62" s="605"/>
      <c r="C62" s="605"/>
      <c r="D62" s="511" t="s">
        <v>187</v>
      </c>
      <c r="E62" s="514">
        <f>'14'!F62</f>
        <v>20419.18</v>
      </c>
      <c r="F62" s="514">
        <v>20419.18</v>
      </c>
      <c r="G62" s="473">
        <f t="shared" ref="G62:G69" si="5">F62-E62</f>
        <v>0</v>
      </c>
      <c r="H62" s="460">
        <f>G62+'14'!H62</f>
        <v>-7.0000000014260877E-3</v>
      </c>
      <c r="I62" s="515"/>
      <c r="J62" s="553">
        <f>H62/DAY(B2)</f>
        <v>-4.6666666676173916E-4</v>
      </c>
      <c r="K62" s="428"/>
      <c r="L62" s="377"/>
      <c r="N62" s="723"/>
      <c r="O62" s="730"/>
      <c r="P62" s="382"/>
    </row>
    <row r="63" spans="1:16">
      <c r="A63" s="604" t="s">
        <v>188</v>
      </c>
      <c r="B63" s="605"/>
      <c r="C63" s="605"/>
      <c r="D63" s="511" t="s">
        <v>187</v>
      </c>
      <c r="E63" s="514">
        <f>'14'!F63</f>
        <v>1892</v>
      </c>
      <c r="F63" s="514">
        <v>1906.77</v>
      </c>
      <c r="G63" s="473">
        <f t="shared" si="5"/>
        <v>14.769999999999982</v>
      </c>
      <c r="H63" s="460">
        <f>G63+'14'!H63</f>
        <v>199.41000000000008</v>
      </c>
      <c r="I63" s="515"/>
      <c r="J63" s="553">
        <f>H63/DAY(B2)</f>
        <v>13.294000000000006</v>
      </c>
      <c r="K63" s="428"/>
      <c r="L63" s="377"/>
      <c r="N63" s="723"/>
      <c r="O63" s="730"/>
      <c r="P63" s="382"/>
    </row>
    <row r="64" spans="1:16" ht="27.75">
      <c r="A64" s="1408" t="s">
        <v>99</v>
      </c>
      <c r="B64" s="1409"/>
      <c r="C64" s="1410"/>
      <c r="D64" s="523" t="s">
        <v>187</v>
      </c>
      <c r="E64" s="514">
        <f>'14'!F64</f>
        <v>130829</v>
      </c>
      <c r="F64" s="478">
        <v>131347.10999999999</v>
      </c>
      <c r="G64" s="473">
        <f t="shared" si="5"/>
        <v>518.10999999998603</v>
      </c>
      <c r="H64" s="460">
        <f>G64+'14'!H64</f>
        <v>7719.8099999999831</v>
      </c>
      <c r="I64" s="480"/>
      <c r="J64" s="553">
        <f>H64/DAY(B2)</f>
        <v>514.65399999999886</v>
      </c>
      <c r="K64" s="428"/>
      <c r="L64" s="377"/>
      <c r="N64" s="723"/>
      <c r="O64" s="730"/>
      <c r="P64" s="382"/>
    </row>
    <row r="65" spans="1:16" ht="27.75">
      <c r="A65" s="1408" t="s">
        <v>100</v>
      </c>
      <c r="B65" s="1409"/>
      <c r="C65" s="1410"/>
      <c r="D65" s="523" t="s">
        <v>187</v>
      </c>
      <c r="E65" s="514">
        <f>'14'!F65</f>
        <v>137804</v>
      </c>
      <c r="F65" s="656">
        <v>138183.46</v>
      </c>
      <c r="G65" s="473">
        <f t="shared" si="5"/>
        <v>379.45999999999185</v>
      </c>
      <c r="H65" s="460">
        <f>G65+'14'!H65</f>
        <v>5586.1600000000035</v>
      </c>
      <c r="I65" s="489"/>
      <c r="J65" s="553">
        <f>H65/DAY(B2)</f>
        <v>372.41066666666688</v>
      </c>
      <c r="K65" s="428"/>
      <c r="L65" s="377"/>
      <c r="N65" s="723"/>
      <c r="O65" s="731"/>
      <c r="P65" s="382"/>
    </row>
    <row r="66" spans="1:16" ht="27.75">
      <c r="A66" s="1408" t="s">
        <v>101</v>
      </c>
      <c r="B66" s="1409"/>
      <c r="C66" s="1410"/>
      <c r="D66" s="523" t="s">
        <v>187</v>
      </c>
      <c r="E66" s="514">
        <f>'14'!F66</f>
        <v>30530</v>
      </c>
      <c r="F66" s="478">
        <v>30923.73</v>
      </c>
      <c r="G66" s="473">
        <f t="shared" si="5"/>
        <v>393.72999999999956</v>
      </c>
      <c r="H66" s="460">
        <f>G66+'14'!H66</f>
        <v>5763.98</v>
      </c>
      <c r="I66" s="480"/>
      <c r="J66" s="553">
        <f>H66/DAY(B2)</f>
        <v>384.26533333333333</v>
      </c>
      <c r="K66" s="428"/>
      <c r="L66" s="377"/>
      <c r="N66" s="723"/>
      <c r="O66" s="730"/>
      <c r="P66" s="382"/>
    </row>
    <row r="67" spans="1:16" ht="27.75">
      <c r="A67" s="1408" t="s">
        <v>102</v>
      </c>
      <c r="B67" s="1409"/>
      <c r="C67" s="1410"/>
      <c r="D67" s="523" t="s">
        <v>187</v>
      </c>
      <c r="E67" s="514">
        <f>'14'!F67</f>
        <v>217323</v>
      </c>
      <c r="F67" s="478">
        <v>218039.53</v>
      </c>
      <c r="G67" s="473">
        <f t="shared" si="5"/>
        <v>716.52999999999884</v>
      </c>
      <c r="H67" s="460">
        <f>G67+'14'!H67</f>
        <v>10197.700000000012</v>
      </c>
      <c r="I67" s="489"/>
      <c r="J67" s="553">
        <f>H67/DAY(B2)</f>
        <v>679.84666666666749</v>
      </c>
      <c r="K67" s="429"/>
      <c r="L67" s="377"/>
      <c r="N67" s="723"/>
      <c r="O67" s="730"/>
      <c r="P67" s="382"/>
    </row>
    <row r="68" spans="1:16" ht="27.75">
      <c r="A68" s="1408" t="s">
        <v>103</v>
      </c>
      <c r="B68" s="1409"/>
      <c r="C68" s="1410"/>
      <c r="D68" s="523" t="s">
        <v>187</v>
      </c>
      <c r="E68" s="514">
        <f>'14'!F68</f>
        <v>77418</v>
      </c>
      <c r="F68" s="478">
        <v>77764.17</v>
      </c>
      <c r="G68" s="473">
        <f t="shared" si="5"/>
        <v>346.16999999999825</v>
      </c>
      <c r="H68" s="460">
        <f>G68+'14'!H68</f>
        <v>5085.6499999999942</v>
      </c>
      <c r="I68" s="516"/>
      <c r="J68" s="553">
        <f>H68/DAY(B2)</f>
        <v>339.04333333333295</v>
      </c>
      <c r="K68" s="430"/>
      <c r="L68" s="377"/>
      <c r="N68" s="723"/>
      <c r="O68" s="730"/>
      <c r="P68" s="382"/>
    </row>
    <row r="69" spans="1:16" ht="27.75">
      <c r="A69" s="1408" t="s">
        <v>104</v>
      </c>
      <c r="B69" s="1409"/>
      <c r="C69" s="1410"/>
      <c r="D69" s="523" t="s">
        <v>187</v>
      </c>
      <c r="E69" s="514">
        <f>'14'!F69</f>
        <v>69012</v>
      </c>
      <c r="F69" s="478">
        <v>69319.399999999994</v>
      </c>
      <c r="G69" s="473">
        <f t="shared" si="5"/>
        <v>307.39999999999418</v>
      </c>
      <c r="H69" s="460">
        <f>G69+'14'!H69</f>
        <v>4867.3099999999977</v>
      </c>
      <c r="I69" s="516"/>
      <c r="J69" s="553">
        <f>H69/DAY(B2)</f>
        <v>324.4873333333332</v>
      </c>
      <c r="K69" s="431"/>
      <c r="L69" s="377"/>
      <c r="N69" s="723"/>
      <c r="O69" s="730"/>
      <c r="P69" s="382"/>
    </row>
    <row r="70" spans="1:16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723"/>
      <c r="O70" s="730"/>
      <c r="P70" s="382"/>
    </row>
    <row r="71" spans="1:16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723"/>
      <c r="O71" s="730"/>
      <c r="P71" s="382"/>
    </row>
    <row r="72" spans="1:16" ht="27.75">
      <c r="A72" s="1408" t="s">
        <v>191</v>
      </c>
      <c r="B72" s="1409"/>
      <c r="C72" s="1410"/>
      <c r="D72" s="523" t="s">
        <v>187</v>
      </c>
      <c r="E72" s="519">
        <f>'14'!F72</f>
        <v>851800</v>
      </c>
      <c r="F72" s="659">
        <v>851903</v>
      </c>
      <c r="G72" s="473">
        <f t="shared" ref="G72:G84" si="6">F72-E72</f>
        <v>103</v>
      </c>
      <c r="H72" s="460">
        <f>G72+'14'!H72</f>
        <v>1221</v>
      </c>
      <c r="I72" s="480"/>
      <c r="J72" s="553">
        <f>H72/DAY(B2)</f>
        <v>81.400000000000006</v>
      </c>
      <c r="K72" s="431"/>
      <c r="L72" s="377"/>
      <c r="N72" s="723"/>
      <c r="O72" s="730"/>
      <c r="P72" s="382"/>
    </row>
    <row r="73" spans="1:16" ht="27.75">
      <c r="A73" s="1408" t="s">
        <v>192</v>
      </c>
      <c r="B73" s="1409"/>
      <c r="C73" s="1410"/>
      <c r="D73" s="523" t="s">
        <v>187</v>
      </c>
      <c r="E73" s="519">
        <f>'14'!F73</f>
        <v>885776</v>
      </c>
      <c r="F73" s="660">
        <v>885777</v>
      </c>
      <c r="G73" s="657">
        <f t="shared" si="6"/>
        <v>1</v>
      </c>
      <c r="H73" s="460">
        <f>G73+'14'!H73</f>
        <v>1119</v>
      </c>
      <c r="I73" s="480"/>
      <c r="J73" s="553">
        <f>H73/DAY(B2)</f>
        <v>74.599999999999994</v>
      </c>
      <c r="K73" s="430"/>
      <c r="L73" s="377"/>
      <c r="N73" s="723"/>
      <c r="O73" s="730"/>
      <c r="P73" s="382"/>
    </row>
    <row r="74" spans="1:16" ht="27.75">
      <c r="A74" s="1408" t="s">
        <v>193</v>
      </c>
      <c r="B74" s="1409"/>
      <c r="C74" s="1410"/>
      <c r="D74" s="523" t="s">
        <v>187</v>
      </c>
      <c r="E74" s="519">
        <f>'14'!F74</f>
        <v>1006</v>
      </c>
      <c r="F74" s="660">
        <v>1026.95</v>
      </c>
      <c r="G74" s="473">
        <f t="shared" si="6"/>
        <v>20.950000000000045</v>
      </c>
      <c r="H74" s="460">
        <f>G74+'14'!H74</f>
        <v>440.78000000000009</v>
      </c>
      <c r="I74" s="480"/>
      <c r="J74" s="553">
        <f>H74/DAY(B2)</f>
        <v>29.385333333333339</v>
      </c>
      <c r="K74" s="431"/>
      <c r="L74" s="377"/>
      <c r="N74" s="723"/>
      <c r="O74" s="730"/>
      <c r="P74" s="382"/>
    </row>
    <row r="75" spans="1:16" ht="27.75">
      <c r="A75" s="1457" t="s">
        <v>194</v>
      </c>
      <c r="B75" s="1458"/>
      <c r="C75" s="1459"/>
      <c r="D75" s="523" t="s">
        <v>187</v>
      </c>
      <c r="E75" s="519">
        <f>'14'!F75</f>
        <v>5845</v>
      </c>
      <c r="F75" s="660">
        <v>6013.29</v>
      </c>
      <c r="G75" s="473">
        <f t="shared" si="6"/>
        <v>168.28999999999996</v>
      </c>
      <c r="H75" s="460">
        <f>G75+'14'!H75</f>
        <v>2494.0700000000002</v>
      </c>
      <c r="I75" s="480"/>
      <c r="J75" s="553">
        <f>H75/DAY(B2)</f>
        <v>166.27133333333333</v>
      </c>
      <c r="K75" s="430"/>
      <c r="L75" s="377"/>
      <c r="N75" s="723"/>
      <c r="O75" s="730"/>
      <c r="P75" s="382"/>
    </row>
    <row r="76" spans="1:16" ht="27.75">
      <c r="A76" s="1457" t="s">
        <v>195</v>
      </c>
      <c r="B76" s="1458"/>
      <c r="C76" s="1459"/>
      <c r="D76" s="523" t="s">
        <v>187</v>
      </c>
      <c r="E76" s="519">
        <f>'14'!F76</f>
        <v>2690</v>
      </c>
      <c r="F76" s="660">
        <v>2762.62</v>
      </c>
      <c r="G76" s="473">
        <f t="shared" si="6"/>
        <v>72.619999999999891</v>
      </c>
      <c r="H76" s="460">
        <f>G76+'14'!H76</f>
        <v>2287.4</v>
      </c>
      <c r="I76" s="505"/>
      <c r="J76" s="553">
        <f>H76/DAY(B2)</f>
        <v>152.49333333333334</v>
      </c>
      <c r="K76" s="430"/>
      <c r="L76" s="377"/>
      <c r="N76" s="723"/>
      <c r="O76" s="730"/>
      <c r="P76" s="382"/>
    </row>
    <row r="77" spans="1:16" ht="27.75">
      <c r="A77" s="1408" t="s">
        <v>196</v>
      </c>
      <c r="B77" s="1409"/>
      <c r="C77" s="1410"/>
      <c r="D77" s="523" t="s">
        <v>187</v>
      </c>
      <c r="E77" s="519">
        <f>'14'!F77</f>
        <v>699324</v>
      </c>
      <c r="F77" s="660">
        <v>699381</v>
      </c>
      <c r="G77" s="657">
        <f t="shared" si="6"/>
        <v>57</v>
      </c>
      <c r="H77" s="460">
        <f>G77+'14'!H77</f>
        <v>793</v>
      </c>
      <c r="I77" s="505"/>
      <c r="J77" s="553">
        <f>H77/DAY(B2)</f>
        <v>52.866666666666667</v>
      </c>
      <c r="K77" s="430"/>
      <c r="L77" s="377"/>
      <c r="N77" s="723"/>
      <c r="O77" s="730"/>
      <c r="P77" s="382"/>
    </row>
    <row r="78" spans="1:16" ht="27.75">
      <c r="A78" s="1209" t="s">
        <v>197</v>
      </c>
      <c r="B78" s="1202"/>
      <c r="C78" s="1202"/>
      <c r="D78" s="523" t="s">
        <v>187</v>
      </c>
      <c r="E78" s="519">
        <f>'14'!F78</f>
        <v>658452</v>
      </c>
      <c r="F78" s="661">
        <v>658895</v>
      </c>
      <c r="G78" s="473">
        <f t="shared" si="6"/>
        <v>443</v>
      </c>
      <c r="H78" s="460">
        <f>G78+'14'!H78</f>
        <v>6032</v>
      </c>
      <c r="I78" s="505"/>
      <c r="J78" s="553">
        <f>H78/DAY(B2)</f>
        <v>402.13333333333333</v>
      </c>
      <c r="K78" s="430"/>
      <c r="L78" s="377"/>
      <c r="N78" s="723"/>
      <c r="O78" s="730"/>
      <c r="P78" s="382"/>
    </row>
    <row r="79" spans="1:16" ht="27.75">
      <c r="A79" s="1457" t="s">
        <v>92</v>
      </c>
      <c r="B79" s="1458"/>
      <c r="C79" s="1459"/>
      <c r="D79" s="524" t="s">
        <v>187</v>
      </c>
      <c r="E79" s="519">
        <f>'14'!F79</f>
        <v>818000</v>
      </c>
      <c r="F79" s="661">
        <v>818194</v>
      </c>
      <c r="G79" s="473">
        <f t="shared" si="6"/>
        <v>194</v>
      </c>
      <c r="H79" s="460">
        <f>G79+'14'!H79</f>
        <v>5595</v>
      </c>
      <c r="I79" s="505"/>
      <c r="J79" s="553">
        <f>H79/DAY(B2)</f>
        <v>373</v>
      </c>
      <c r="K79" s="430"/>
      <c r="L79" s="377"/>
      <c r="N79" s="723"/>
      <c r="O79" s="730"/>
      <c r="P79" s="382"/>
    </row>
    <row r="80" spans="1:16" ht="27.75">
      <c r="A80" s="1457" t="s">
        <v>198</v>
      </c>
      <c r="B80" s="1458"/>
      <c r="C80" s="1459"/>
      <c r="D80" s="524" t="s">
        <v>187</v>
      </c>
      <c r="E80" s="519">
        <f>'14'!F80</f>
        <v>499667</v>
      </c>
      <c r="F80" s="660">
        <v>500014.52</v>
      </c>
      <c r="G80" s="473">
        <f t="shared" si="6"/>
        <v>347.52000000001863</v>
      </c>
      <c r="H80" s="460">
        <f>G80+'14'!H80</f>
        <v>3400.5200000000186</v>
      </c>
      <c r="I80" s="505"/>
      <c r="J80" s="553">
        <f>H80/DAY(B2)</f>
        <v>226.70133333333459</v>
      </c>
      <c r="K80" s="430"/>
      <c r="L80" s="377"/>
      <c r="N80" s="723"/>
      <c r="O80" s="730"/>
      <c r="P80" s="382"/>
    </row>
    <row r="81" spans="1:16" ht="27.75">
      <c r="A81" s="1457" t="s">
        <v>199</v>
      </c>
      <c r="B81" s="1458"/>
      <c r="C81" s="1459"/>
      <c r="D81" s="524" t="s">
        <v>187</v>
      </c>
      <c r="E81" s="519">
        <f>'14'!F81</f>
        <v>627425</v>
      </c>
      <c r="F81" s="660">
        <v>627559.16</v>
      </c>
      <c r="G81" s="473">
        <f t="shared" si="6"/>
        <v>134.1600000000326</v>
      </c>
      <c r="H81" s="460">
        <f>G81+'14'!H81</f>
        <v>1615.3200000000652</v>
      </c>
      <c r="I81" s="505"/>
      <c r="J81" s="553">
        <f>H81/DAY(B2)</f>
        <v>107.68800000000435</v>
      </c>
      <c r="K81" s="430"/>
      <c r="L81" s="377"/>
      <c r="N81" s="723"/>
      <c r="O81" s="730"/>
      <c r="P81" s="382"/>
    </row>
    <row r="82" spans="1:16" s="781" customFormat="1" ht="27.75">
      <c r="A82" s="1471" t="s">
        <v>93</v>
      </c>
      <c r="B82" s="1472"/>
      <c r="C82" s="1473"/>
      <c r="D82" s="485" t="s">
        <v>132</v>
      </c>
      <c r="E82" s="519">
        <f>'14'!F82</f>
        <v>106517</v>
      </c>
      <c r="F82" s="485">
        <v>106537.94</v>
      </c>
      <c r="G82" s="473">
        <f t="shared" si="6"/>
        <v>20.940000000002328</v>
      </c>
      <c r="H82" s="486">
        <f>G82+'14'!H82</f>
        <v>335.4600000000064</v>
      </c>
      <c r="I82" s="486"/>
      <c r="J82" s="554">
        <f>H82/DAY(B2)</f>
        <v>22.364000000000427</v>
      </c>
      <c r="K82" s="1224"/>
      <c r="L82" s="1225"/>
      <c r="N82" s="727"/>
      <c r="O82" s="731"/>
      <c r="P82" s="726"/>
    </row>
    <row r="83" spans="1:16" s="781" customFormat="1" ht="27.75">
      <c r="A83" s="1474" t="s">
        <v>200</v>
      </c>
      <c r="B83" s="1475"/>
      <c r="C83" s="1476"/>
      <c r="D83" s="1324" t="s">
        <v>132</v>
      </c>
      <c r="E83" s="788">
        <f>'14'!F83</f>
        <v>2405</v>
      </c>
      <c r="F83" s="1324">
        <v>2685</v>
      </c>
      <c r="G83" s="779">
        <f t="shared" si="6"/>
        <v>280</v>
      </c>
      <c r="H83" s="479">
        <f>G83+'14'!H83</f>
        <v>6088</v>
      </c>
      <c r="I83" s="779"/>
      <c r="J83" s="780">
        <f>H83/DAY(B2)</f>
        <v>405.86666666666667</v>
      </c>
      <c r="K83" s="1325"/>
      <c r="L83" s="1225"/>
      <c r="N83" s="727"/>
      <c r="O83" s="731"/>
      <c r="P83" s="726"/>
    </row>
    <row r="84" spans="1:16">
      <c r="A84" s="1210" t="s">
        <v>201</v>
      </c>
      <c r="B84" s="572"/>
      <c r="C84" s="572"/>
      <c r="D84" s="478" t="s">
        <v>132</v>
      </c>
      <c r="E84" s="519">
        <f>'14'!F84</f>
        <v>441949</v>
      </c>
      <c r="F84" s="628">
        <v>442680</v>
      </c>
      <c r="G84" s="473">
        <f t="shared" si="6"/>
        <v>731</v>
      </c>
      <c r="H84" s="460">
        <f>G84+'14'!H84</f>
        <v>11882</v>
      </c>
      <c r="I84" s="481"/>
      <c r="J84" s="553">
        <f>H84/DAY(B2)</f>
        <v>792.13333333333333</v>
      </c>
      <c r="K84" s="380"/>
      <c r="L84" s="377"/>
      <c r="N84" s="723"/>
      <c r="O84" s="730"/>
      <c r="P84" s="382"/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2573.4800000000532</v>
      </c>
      <c r="H85" s="460">
        <f>G85+'14'!H85</f>
        <v>38645.410000000018</v>
      </c>
      <c r="I85" s="481"/>
      <c r="J85" s="553">
        <f>H85/DAY(B2)</f>
        <v>2576.3606666666678</v>
      </c>
      <c r="K85" s="380"/>
      <c r="L85" s="378"/>
      <c r="N85" s="723"/>
      <c r="O85" s="730"/>
      <c r="P85" s="382"/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'14'!F86</f>
        <v>452114</v>
      </c>
      <c r="F86" s="652">
        <v>452220.52</v>
      </c>
      <c r="G86" s="710">
        <f t="shared" ref="G86:G90" si="7">F86-E86</f>
        <v>106.52000000001863</v>
      </c>
      <c r="H86" s="710">
        <f t="shared" ref="H86:H88" si="8">G86</f>
        <v>106.52000000001863</v>
      </c>
      <c r="I86" s="657"/>
      <c r="J86" s="712">
        <f>H86/DAY(B2)</f>
        <v>7.1013333333345754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'14'!F87</f>
        <v>79611</v>
      </c>
      <c r="F87" s="652">
        <v>79643.5</v>
      </c>
      <c r="G87" s="710">
        <f t="shared" si="7"/>
        <v>32.5</v>
      </c>
      <c r="H87" s="710">
        <f t="shared" si="8"/>
        <v>32.5</v>
      </c>
      <c r="I87" s="657"/>
      <c r="J87" s="712">
        <f>H87/DAY(B2)</f>
        <v>2.1666666666666665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'14'!F88</f>
        <v>149266</v>
      </c>
      <c r="F88" s="652">
        <v>149355.45000000001</v>
      </c>
      <c r="G88" s="710">
        <f t="shared" si="7"/>
        <v>89.450000000011642</v>
      </c>
      <c r="H88" s="710">
        <f t="shared" si="8"/>
        <v>89.450000000011642</v>
      </c>
      <c r="I88" s="657"/>
      <c r="J88" s="712">
        <f>H88/DAY(B2)</f>
        <v>5.9633333333341092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'14'!F89</f>
        <v>62657</v>
      </c>
      <c r="F89" s="652">
        <v>62715.4</v>
      </c>
      <c r="G89" s="710">
        <f t="shared" si="7"/>
        <v>58.400000000001455</v>
      </c>
      <c r="H89" s="710">
        <f>G89</f>
        <v>58.400000000001455</v>
      </c>
      <c r="I89" s="657"/>
      <c r="J89" s="712">
        <f>H89/DAY(B2)</f>
        <v>3.8933333333334303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'14'!F90</f>
        <v>3221</v>
      </c>
      <c r="F90" s="652">
        <v>3226.2</v>
      </c>
      <c r="G90" s="710">
        <f t="shared" si="7"/>
        <v>5.1999999999998181</v>
      </c>
      <c r="H90" s="710">
        <f>G90</f>
        <v>5.1999999999998181</v>
      </c>
      <c r="I90" s="657"/>
      <c r="J90" s="712">
        <f>H90/DAY(B2)</f>
        <v>0.34666666666665452</v>
      </c>
      <c r="K90" s="738"/>
      <c r="L90" s="739"/>
      <c r="N90" s="783"/>
      <c r="O90" s="382"/>
    </row>
    <row r="91" spans="1:16" s="379" customFormat="1">
      <c r="A91" s="607" t="s">
        <v>205</v>
      </c>
      <c r="B91" s="1212"/>
      <c r="C91" s="1212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>
      <c r="A92" s="1411" t="s">
        <v>206</v>
      </c>
      <c r="B92" s="1412"/>
      <c r="C92" s="1413"/>
      <c r="D92" s="523" t="s">
        <v>144</v>
      </c>
      <c r="E92" s="484">
        <f>'14'!F92</f>
        <v>241056</v>
      </c>
      <c r="F92" s="478">
        <v>241139</v>
      </c>
      <c r="G92" s="473">
        <f t="shared" ref="G92:G93" si="9">F92-E92</f>
        <v>83</v>
      </c>
      <c r="H92" s="460">
        <f>G92+'14'!H92</f>
        <v>1444</v>
      </c>
      <c r="I92" s="480"/>
      <c r="J92" s="553">
        <f>H92/DAY(B2)</f>
        <v>96.266666666666666</v>
      </c>
      <c r="K92" s="429"/>
      <c r="L92" s="377"/>
      <c r="N92" s="723"/>
      <c r="O92" s="730"/>
      <c r="P92" s="382"/>
    </row>
    <row r="93" spans="1:16" ht="27.75">
      <c r="A93" s="1411" t="s">
        <v>207</v>
      </c>
      <c r="B93" s="1412"/>
      <c r="C93" s="1413"/>
      <c r="D93" s="523" t="s">
        <v>144</v>
      </c>
      <c r="E93" s="484">
        <f>'14'!F93</f>
        <v>177419</v>
      </c>
      <c r="F93" s="478">
        <v>177563</v>
      </c>
      <c r="G93" s="473">
        <f t="shared" si="9"/>
        <v>144</v>
      </c>
      <c r="H93" s="460">
        <f>G93+'14'!H93</f>
        <v>1902</v>
      </c>
      <c r="I93" s="480"/>
      <c r="J93" s="553">
        <f>H93/DAY(B2)</f>
        <v>126.8</v>
      </c>
      <c r="K93" s="380"/>
      <c r="L93" s="377"/>
      <c r="N93" s="723"/>
      <c r="O93" s="730"/>
      <c r="P93" s="382"/>
    </row>
    <row r="94" spans="1:16">
      <c r="A94" s="1405" t="s">
        <v>208</v>
      </c>
      <c r="B94" s="1406"/>
      <c r="C94" s="1407"/>
      <c r="D94" s="523"/>
      <c r="E94" s="484"/>
      <c r="F94" s="478"/>
      <c r="G94" s="473">
        <f>G92+G93</f>
        <v>227</v>
      </c>
      <c r="H94" s="460">
        <f>G94+'14'!H94</f>
        <v>3080</v>
      </c>
      <c r="I94" s="480"/>
      <c r="J94" s="553">
        <f>H94/DAY(B2)</f>
        <v>205.33333333333334</v>
      </c>
      <c r="K94" s="380"/>
      <c r="L94" s="377"/>
      <c r="N94" s="723"/>
      <c r="O94" s="730"/>
      <c r="P94" s="382"/>
    </row>
    <row r="95" spans="1:16" ht="27.75">
      <c r="A95" s="1411" t="s">
        <v>209</v>
      </c>
      <c r="B95" s="1412"/>
      <c r="C95" s="1413"/>
      <c r="D95" s="523" t="s">
        <v>144</v>
      </c>
      <c r="E95" s="484">
        <f>'14'!F95</f>
        <v>409373</v>
      </c>
      <c r="F95" s="478">
        <v>409445</v>
      </c>
      <c r="G95" s="473">
        <f t="shared" ref="G95:G100" si="10">F95-E95</f>
        <v>72</v>
      </c>
      <c r="H95" s="460">
        <f>G95+'14'!H95</f>
        <v>1289</v>
      </c>
      <c r="I95" s="480"/>
      <c r="J95" s="553">
        <f>H95/DAY(B2)</f>
        <v>85.933333333333337</v>
      </c>
      <c r="K95" s="380"/>
      <c r="L95" s="377"/>
      <c r="N95" s="723"/>
      <c r="O95" s="730"/>
      <c r="P95" s="382"/>
    </row>
    <row r="96" spans="1:16" ht="27.75">
      <c r="A96" s="1206" t="s">
        <v>210</v>
      </c>
      <c r="B96" s="1207"/>
      <c r="C96" s="1207"/>
      <c r="D96" s="523" t="s">
        <v>144</v>
      </c>
      <c r="E96" s="484">
        <f>'14'!F96</f>
        <v>101552</v>
      </c>
      <c r="F96" s="478">
        <v>101560</v>
      </c>
      <c r="G96" s="473">
        <f t="shared" si="10"/>
        <v>8</v>
      </c>
      <c r="H96" s="460">
        <f>G96+'14'!H96</f>
        <v>228</v>
      </c>
      <c r="I96" s="480"/>
      <c r="J96" s="553">
        <f>H96/DAY(B2)</f>
        <v>15.2</v>
      </c>
      <c r="K96" s="427"/>
      <c r="L96" s="377"/>
      <c r="N96" s="723"/>
      <c r="O96" s="730"/>
      <c r="P96" s="382"/>
    </row>
    <row r="97" spans="1:16" ht="27.75">
      <c r="A97" s="1206" t="s">
        <v>211</v>
      </c>
      <c r="B97" s="1207"/>
      <c r="C97" s="1207"/>
      <c r="D97" s="523" t="s">
        <v>144</v>
      </c>
      <c r="E97" s="484">
        <f>'14'!F97</f>
        <v>96723</v>
      </c>
      <c r="F97" s="478">
        <v>96723</v>
      </c>
      <c r="G97" s="473">
        <f t="shared" si="10"/>
        <v>0</v>
      </c>
      <c r="H97" s="460">
        <f>G97+'14'!H97</f>
        <v>274</v>
      </c>
      <c r="I97" s="480"/>
      <c r="J97" s="553">
        <f>H97/DAY(B2)</f>
        <v>18.266666666666666</v>
      </c>
      <c r="K97" s="432"/>
      <c r="L97" s="377"/>
      <c r="N97" s="723"/>
      <c r="O97" s="730"/>
      <c r="P97" s="382"/>
    </row>
    <row r="98" spans="1:16" ht="27.75">
      <c r="A98" s="1206" t="s">
        <v>212</v>
      </c>
      <c r="B98" s="1207"/>
      <c r="C98" s="1207"/>
      <c r="D98" s="523" t="s">
        <v>144</v>
      </c>
      <c r="E98" s="484">
        <f>'14'!F98</f>
        <v>148376</v>
      </c>
      <c r="F98" s="478">
        <v>148415</v>
      </c>
      <c r="G98" s="473">
        <f t="shared" si="10"/>
        <v>39</v>
      </c>
      <c r="H98" s="460">
        <f>G98+'14'!H98</f>
        <v>807</v>
      </c>
      <c r="I98" s="480"/>
      <c r="J98" s="553">
        <f>H98/DAY(B2)</f>
        <v>53.8</v>
      </c>
      <c r="K98" s="380"/>
      <c r="L98" s="377"/>
      <c r="N98" s="725"/>
      <c r="O98" s="730"/>
      <c r="P98" s="382"/>
    </row>
    <row r="99" spans="1:16" ht="27.75">
      <c r="A99" s="1206" t="s">
        <v>213</v>
      </c>
      <c r="B99" s="1207"/>
      <c r="C99" s="1207"/>
      <c r="D99" s="523" t="s">
        <v>144</v>
      </c>
      <c r="E99" s="484">
        <f>'14'!F99</f>
        <v>6598</v>
      </c>
      <c r="F99" s="478">
        <v>6616</v>
      </c>
      <c r="G99" s="473">
        <f t="shared" si="10"/>
        <v>18</v>
      </c>
      <c r="H99" s="460">
        <f>G99+'14'!H99</f>
        <v>208</v>
      </c>
      <c r="I99" s="480"/>
      <c r="J99" s="553">
        <f>H99/DAY(B2)</f>
        <v>13.866666666666667</v>
      </c>
      <c r="K99" s="380"/>
      <c r="L99" s="377"/>
      <c r="N99" s="723"/>
      <c r="O99" s="730"/>
      <c r="P99" s="382"/>
    </row>
    <row r="100" spans="1:16" ht="27.75">
      <c r="A100" s="1206" t="s">
        <v>214</v>
      </c>
      <c r="B100" s="1207"/>
      <c r="C100" s="1207"/>
      <c r="D100" s="523" t="s">
        <v>144</v>
      </c>
      <c r="E100" s="484">
        <f>'14'!F100</f>
        <v>4724</v>
      </c>
      <c r="F100" s="478">
        <v>4739</v>
      </c>
      <c r="G100" s="473">
        <f t="shared" si="10"/>
        <v>15</v>
      </c>
      <c r="H100" s="460">
        <f>G100+'14'!H100</f>
        <v>196</v>
      </c>
      <c r="I100" s="480"/>
      <c r="J100" s="553">
        <f>H100/DAY(B2)</f>
        <v>13.066666666666666</v>
      </c>
      <c r="K100" s="380"/>
      <c r="L100" s="377"/>
      <c r="N100" s="723"/>
      <c r="O100" s="730"/>
      <c r="P100" s="382"/>
    </row>
    <row r="101" spans="1:16">
      <c r="A101" s="1405" t="s">
        <v>216</v>
      </c>
      <c r="B101" s="1406"/>
      <c r="C101" s="1407"/>
      <c r="D101" s="524"/>
      <c r="E101" s="484"/>
      <c r="F101" s="524"/>
      <c r="G101" s="525">
        <f>SUM(G95:G100)</f>
        <v>152</v>
      </c>
      <c r="H101" s="460">
        <f>G101+'14'!H101</f>
        <v>3002</v>
      </c>
      <c r="I101" s="526"/>
      <c r="J101" s="553">
        <f>H101/DAY(B2)</f>
        <v>200.13333333333333</v>
      </c>
      <c r="K101" s="380"/>
      <c r="L101" s="377"/>
      <c r="N101" s="723"/>
      <c r="O101" s="730"/>
      <c r="P101" s="382"/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>
      <c r="A103" s="1414" t="s">
        <v>218</v>
      </c>
      <c r="B103" s="1415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>
      <c r="A104" s="1416" t="s">
        <v>219</v>
      </c>
      <c r="B104" s="1417"/>
      <c r="C104" s="1205"/>
      <c r="D104" s="623" t="s">
        <v>144</v>
      </c>
      <c r="E104" s="484">
        <f>'14'!F104</f>
        <v>7240</v>
      </c>
      <c r="F104" s="663">
        <v>7240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5.2766666666666726</v>
      </c>
      <c r="N104" s="723"/>
      <c r="O104" s="730"/>
      <c r="P104" s="382"/>
    </row>
    <row r="105" spans="1:16" s="442" customFormat="1" ht="27.75">
      <c r="A105" s="1416" t="s">
        <v>77</v>
      </c>
      <c r="B105" s="1417"/>
      <c r="C105" s="1205"/>
      <c r="D105" s="623" t="s">
        <v>144</v>
      </c>
      <c r="E105" s="484">
        <f>'14'!F105</f>
        <v>35515</v>
      </c>
      <c r="F105" s="664">
        <v>35521</v>
      </c>
      <c r="G105" s="532">
        <f t="shared" ref="G105:G106" si="11">F105-E105</f>
        <v>6</v>
      </c>
      <c r="H105" s="533">
        <f>SUM(G105+'1'!G77)</f>
        <v>51</v>
      </c>
      <c r="I105" s="532"/>
      <c r="J105" s="559">
        <f>H105/DAY(B2)</f>
        <v>3.4</v>
      </c>
      <c r="N105" s="723"/>
      <c r="O105" s="730"/>
      <c r="P105" s="382"/>
    </row>
    <row r="106" spans="1:16" s="442" customFormat="1" ht="27.75">
      <c r="A106" s="1416" t="s">
        <v>78</v>
      </c>
      <c r="B106" s="1418"/>
      <c r="C106" s="1417"/>
      <c r="D106" s="623" t="s">
        <v>144</v>
      </c>
      <c r="E106" s="484">
        <f>'14'!F106</f>
        <v>19323</v>
      </c>
      <c r="F106" s="664">
        <v>19329</v>
      </c>
      <c r="G106" s="532">
        <f t="shared" si="11"/>
        <v>6</v>
      </c>
      <c r="H106" s="533">
        <f>SUM(G106+'1'!G78)</f>
        <v>396</v>
      </c>
      <c r="I106" s="532"/>
      <c r="J106" s="559">
        <f>H106/DAY(B2)</f>
        <v>26.4</v>
      </c>
      <c r="N106" s="723"/>
      <c r="O106" s="730"/>
      <c r="P106" s="382"/>
    </row>
    <row r="107" spans="1:16" s="442" customFormat="1" ht="27.75">
      <c r="A107" s="1419" t="s">
        <v>202</v>
      </c>
      <c r="B107" s="1420"/>
      <c r="C107" s="1205"/>
      <c r="D107" s="623"/>
      <c r="E107" s="484">
        <f>'14'!F107</f>
        <v>0</v>
      </c>
      <c r="F107" s="664"/>
      <c r="G107" s="532">
        <f>SUM(G104:G106)</f>
        <v>12</v>
      </c>
      <c r="H107" s="533">
        <f>SUM(G107+'1'!G79)</f>
        <v>204</v>
      </c>
      <c r="I107" s="532"/>
      <c r="J107" s="559">
        <f>H107/DAY(B2)</f>
        <v>13.6</v>
      </c>
      <c r="N107" s="723"/>
      <c r="O107" s="730"/>
      <c r="P107" s="382"/>
    </row>
    <row r="108" spans="1:16" s="442" customFormat="1" ht="27.75">
      <c r="A108" s="1421" t="s">
        <v>79</v>
      </c>
      <c r="B108" s="1422"/>
      <c r="C108" s="1205"/>
      <c r="D108" s="623" t="s">
        <v>144</v>
      </c>
      <c r="E108" s="484">
        <f>'14'!F108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>
      <c r="A109" s="1416" t="s">
        <v>220</v>
      </c>
      <c r="B109" s="1417"/>
      <c r="C109" s="1205"/>
      <c r="D109" s="623" t="s">
        <v>144</v>
      </c>
      <c r="E109" s="484">
        <f>'14'!F109</f>
        <v>57443</v>
      </c>
      <c r="F109" s="664">
        <v>57524</v>
      </c>
      <c r="G109" s="532">
        <f>F109-E109</f>
        <v>81</v>
      </c>
      <c r="H109" s="533">
        <f>SUM(G109+'1'!G81)</f>
        <v>193.56000000005588</v>
      </c>
      <c r="I109" s="532"/>
      <c r="J109" s="559">
        <f>H109/DAY(B2)</f>
        <v>12.904000000003725</v>
      </c>
      <c r="N109" s="723"/>
      <c r="O109" s="730"/>
      <c r="P109" s="382"/>
    </row>
    <row r="110" spans="1:16" s="442" customFormat="1" ht="27.75">
      <c r="A110" s="1416" t="s">
        <v>221</v>
      </c>
      <c r="B110" s="1417"/>
      <c r="C110" s="1205"/>
      <c r="D110" s="623" t="s">
        <v>144</v>
      </c>
      <c r="E110" s="484">
        <f>'14'!F110</f>
        <v>31235</v>
      </c>
      <c r="F110" s="664">
        <v>31256</v>
      </c>
      <c r="G110" s="532">
        <f t="shared" ref="G110:G111" si="12">F110-E110</f>
        <v>21</v>
      </c>
      <c r="H110" s="533">
        <f>SUM(G110+'1'!G82)</f>
        <v>39.169999999998254</v>
      </c>
      <c r="I110" s="532"/>
      <c r="J110" s="559">
        <f>H110/DAY(B2)</f>
        <v>2.6113333333332167</v>
      </c>
      <c r="N110" s="723"/>
      <c r="O110" s="730"/>
      <c r="P110" s="382"/>
    </row>
    <row r="111" spans="1:16" s="442" customFormat="1" ht="27.75">
      <c r="A111" s="1416" t="s">
        <v>222</v>
      </c>
      <c r="B111" s="1417"/>
      <c r="C111" s="1205"/>
      <c r="D111" s="623" t="s">
        <v>144</v>
      </c>
      <c r="E111" s="484">
        <f>'14'!F111</f>
        <v>4054</v>
      </c>
      <c r="F111" s="664">
        <v>4064</v>
      </c>
      <c r="G111" s="532">
        <f t="shared" si="12"/>
        <v>10</v>
      </c>
      <c r="H111" s="533">
        <f>SUM(G111+'1'!G83)</f>
        <v>530</v>
      </c>
      <c r="I111" s="532"/>
      <c r="J111" s="559">
        <f>H111/DAY(B2)</f>
        <v>35.333333333333336</v>
      </c>
      <c r="N111" s="723"/>
      <c r="O111" s="730"/>
      <c r="P111" s="382"/>
    </row>
    <row r="112" spans="1:16" s="442" customFormat="1" ht="27.75">
      <c r="A112" s="1419" t="s">
        <v>110</v>
      </c>
      <c r="B112" s="1420"/>
      <c r="C112" s="1205"/>
      <c r="D112" s="623"/>
      <c r="E112" s="484">
        <f>'14'!F112</f>
        <v>0</v>
      </c>
      <c r="F112" s="664"/>
      <c r="G112" s="532">
        <f>SUM(G109:G111)</f>
        <v>112</v>
      </c>
      <c r="H112" s="533">
        <f>SUM(G112+'1'!G84)</f>
        <v>802</v>
      </c>
      <c r="I112" s="532"/>
      <c r="J112" s="559">
        <f>H112/DAY(B2)</f>
        <v>53.466666666666669</v>
      </c>
      <c r="N112" s="723"/>
      <c r="O112" s="730"/>
      <c r="P112" s="382"/>
    </row>
    <row r="113" spans="1:16" s="442" customFormat="1" ht="27.75">
      <c r="A113" s="1421" t="s">
        <v>223</v>
      </c>
      <c r="B113" s="1422"/>
      <c r="C113" s="1205"/>
      <c r="D113" s="623"/>
      <c r="E113" s="484">
        <f>'14'!F113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>
      <c r="A114" s="1416" t="s">
        <v>224</v>
      </c>
      <c r="B114" s="1417"/>
      <c r="C114" s="575"/>
      <c r="D114" s="623" t="s">
        <v>144</v>
      </c>
      <c r="E114" s="484">
        <f>'14'!F114</f>
        <v>10553</v>
      </c>
      <c r="F114" s="664">
        <v>10575</v>
      </c>
      <c r="G114" s="534">
        <f>F114-E114</f>
        <v>22</v>
      </c>
      <c r="H114" s="533">
        <f>SUM(G114+'1'!G91)</f>
        <v>22</v>
      </c>
      <c r="I114" s="532"/>
      <c r="J114" s="559">
        <f>H114/DAY(B2)</f>
        <v>1.4666666666666666</v>
      </c>
      <c r="N114" s="723"/>
      <c r="O114" s="730"/>
      <c r="P114" s="382"/>
    </row>
    <row r="115" spans="1:16" s="442" customFormat="1" ht="27.75">
      <c r="A115" s="1416" t="s">
        <v>225</v>
      </c>
      <c r="B115" s="1417"/>
      <c r="C115" s="575"/>
      <c r="D115" s="623" t="s">
        <v>144</v>
      </c>
      <c r="E115" s="484">
        <f>'14'!F115</f>
        <v>7808</v>
      </c>
      <c r="F115" s="664">
        <v>7825</v>
      </c>
      <c r="G115" s="534">
        <f t="shared" ref="G115:G116" si="13">F115-E115</f>
        <v>17</v>
      </c>
      <c r="H115" s="533">
        <f>SUM(G115+'1'!G92)</f>
        <v>139</v>
      </c>
      <c r="I115" s="532"/>
      <c r="J115" s="559">
        <f>H115/DAY(B2)</f>
        <v>9.2666666666666675</v>
      </c>
      <c r="N115" s="723"/>
      <c r="O115" s="730"/>
      <c r="P115" s="382"/>
    </row>
    <row r="116" spans="1:16" s="442" customFormat="1" ht="27.75">
      <c r="A116" s="1416" t="s">
        <v>226</v>
      </c>
      <c r="B116" s="1417"/>
      <c r="C116" s="575"/>
      <c r="D116" s="623" t="s">
        <v>144</v>
      </c>
      <c r="E116" s="534">
        <f>'14'!F116</f>
        <v>0</v>
      </c>
      <c r="F116" s="664">
        <v>0</v>
      </c>
      <c r="G116" s="534">
        <f t="shared" si="13"/>
        <v>0</v>
      </c>
      <c r="H116" s="533">
        <f>SUM(G116+'1'!G93)</f>
        <v>144</v>
      </c>
      <c r="I116" s="532"/>
      <c r="J116" s="559">
        <f>H116/DAY(B2)</f>
        <v>9.6</v>
      </c>
      <c r="N116" s="723"/>
      <c r="O116" s="730"/>
      <c r="P116" s="382"/>
    </row>
    <row r="117" spans="1:16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39</v>
      </c>
      <c r="H117" s="533">
        <f>SUM(G117+'1'!G95)</f>
        <v>115</v>
      </c>
      <c r="I117" s="534"/>
      <c r="J117" s="559">
        <f>H117/DAY(B2)</f>
        <v>7.666666666666667</v>
      </c>
      <c r="N117" s="723"/>
      <c r="O117" s="730"/>
      <c r="P117" s="382"/>
    </row>
    <row r="118" spans="1:16" s="446" customFormat="1" ht="27.75">
      <c r="A118" s="1450" t="s">
        <v>227</v>
      </c>
      <c r="B118" s="1451"/>
      <c r="C118" s="1203"/>
      <c r="D118" s="625" t="s">
        <v>144</v>
      </c>
      <c r="E118" s="536"/>
      <c r="F118" s="665">
        <f>SUM(G19+G92)</f>
        <v>138</v>
      </c>
      <c r="G118" s="536">
        <f>SUM(G19+G92)</f>
        <v>138</v>
      </c>
      <c r="H118" s="533">
        <f>SUM(G118+'1'!G96)</f>
        <v>151</v>
      </c>
      <c r="I118" s="535"/>
      <c r="J118" s="560">
        <f>H118/DAY(B2)</f>
        <v>10.066666666666666</v>
      </c>
      <c r="N118" s="723"/>
      <c r="O118" s="730"/>
      <c r="P118" s="382"/>
    </row>
    <row r="119" spans="1:16" s="446" customFormat="1" ht="27.75">
      <c r="A119" s="1450" t="s">
        <v>228</v>
      </c>
      <c r="B119" s="1451"/>
      <c r="C119" s="1203"/>
      <c r="D119" s="625" t="s">
        <v>144</v>
      </c>
      <c r="E119" s="536"/>
      <c r="F119" s="665">
        <f>SUM(G95,G96,G97,G99,G100)</f>
        <v>113</v>
      </c>
      <c r="G119" s="536">
        <f>SUM(G95,G96,G97,G99,G100)</f>
        <v>113</v>
      </c>
      <c r="H119" s="533">
        <f>SUM(G119+'1'!G98)</f>
        <v>183</v>
      </c>
      <c r="I119" s="535"/>
      <c r="J119" s="560">
        <f>H119/DAY(B2)</f>
        <v>12.2</v>
      </c>
      <c r="N119" s="723"/>
      <c r="O119" s="730"/>
      <c r="P119" s="382"/>
    </row>
    <row r="120" spans="1:16" s="446" customFormat="1" ht="27.75">
      <c r="A120" s="1450" t="s">
        <v>229</v>
      </c>
      <c r="B120" s="1451"/>
      <c r="C120" s="1203"/>
      <c r="D120" s="625" t="s">
        <v>144</v>
      </c>
      <c r="E120" s="534"/>
      <c r="F120" s="664">
        <f>SUM(G112)</f>
        <v>112</v>
      </c>
      <c r="G120" s="534">
        <f>SUM(G112)</f>
        <v>112</v>
      </c>
      <c r="H120" s="533">
        <f>SUM(G120+'1'!G100)</f>
        <v>126</v>
      </c>
      <c r="I120" s="535"/>
      <c r="J120" s="560">
        <f>H120/DAY(B2)</f>
        <v>8.4</v>
      </c>
      <c r="N120" s="723"/>
      <c r="O120" s="730"/>
      <c r="P120" s="382"/>
    </row>
    <row r="121" spans="1:16" s="442" customFormat="1" ht="27.75">
      <c r="A121" s="1452"/>
      <c r="B121" s="1453"/>
      <c r="C121" s="1204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>
      <c r="A123" s="1206" t="s">
        <v>231</v>
      </c>
      <c r="B123" s="1207"/>
      <c r="C123" s="1207"/>
      <c r="D123" s="523" t="s">
        <v>141</v>
      </c>
      <c r="E123" s="478">
        <f>'14'!F123</f>
        <v>814536</v>
      </c>
      <c r="F123" s="478">
        <v>814784.97</v>
      </c>
      <c r="G123" s="473">
        <f>F123-E123</f>
        <v>248.96999999997206</v>
      </c>
      <c r="H123" s="460">
        <f>G123+'14'!H123</f>
        <v>3778.1300000000047</v>
      </c>
      <c r="I123" s="526"/>
      <c r="J123" s="553">
        <f>H123/DAY(B2)</f>
        <v>251.87533333333366</v>
      </c>
      <c r="K123" s="380"/>
      <c r="L123" s="377"/>
      <c r="N123" s="723"/>
      <c r="O123" s="730"/>
      <c r="P123" s="382"/>
    </row>
    <row r="124" spans="1:16" ht="27.75">
      <c r="A124" s="1206" t="s">
        <v>232</v>
      </c>
      <c r="B124" s="1207"/>
      <c r="C124" s="1207"/>
      <c r="D124" s="523" t="s">
        <v>141</v>
      </c>
      <c r="E124" s="627">
        <f>'14'!F124</f>
        <v>73583.399999999994</v>
      </c>
      <c r="F124" s="627">
        <v>73583.399999999994</v>
      </c>
      <c r="G124" s="473">
        <f t="shared" ref="G124:G127" si="14">F124-E124</f>
        <v>0</v>
      </c>
      <c r="H124" s="460">
        <f>G124+'14'!H124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>
      <c r="A125" s="1408" t="s">
        <v>233</v>
      </c>
      <c r="B125" s="1409"/>
      <c r="C125" s="1410"/>
      <c r="D125" s="523" t="s">
        <v>141</v>
      </c>
      <c r="E125" s="478">
        <f>'14'!F125</f>
        <v>140898.21</v>
      </c>
      <c r="F125" s="478">
        <v>140959.88</v>
      </c>
      <c r="G125" s="473">
        <f t="shared" si="14"/>
        <v>61.670000000012806</v>
      </c>
      <c r="H125" s="460">
        <f>G125+'14'!H125</f>
        <v>980.54000000000815</v>
      </c>
      <c r="I125" s="526"/>
      <c r="J125" s="553">
        <f>H125/DAY(B2)</f>
        <v>65.36933333333387</v>
      </c>
      <c r="K125" s="380"/>
      <c r="L125" s="377"/>
      <c r="N125" s="723"/>
      <c r="O125" s="730"/>
      <c r="P125" s="382"/>
    </row>
    <row r="126" spans="1:16" ht="27.75">
      <c r="A126" s="610" t="s">
        <v>234</v>
      </c>
      <c r="B126" s="1207"/>
      <c r="C126" s="1207"/>
      <c r="D126" s="523" t="s">
        <v>141</v>
      </c>
      <c r="E126" s="627">
        <f>'14'!F126</f>
        <v>59648.5</v>
      </c>
      <c r="F126" s="627">
        <v>59662.9</v>
      </c>
      <c r="G126" s="473">
        <f t="shared" si="14"/>
        <v>14.400000000001455</v>
      </c>
      <c r="H126" s="460">
        <f>G126+'14'!H126</f>
        <v>356</v>
      </c>
      <c r="I126" s="526"/>
      <c r="J126" s="553">
        <f>H126/DAY(B2)</f>
        <v>23.733333333333334</v>
      </c>
      <c r="K126" s="380"/>
      <c r="L126" s="377"/>
      <c r="N126" s="723"/>
      <c r="O126" s="730"/>
      <c r="P126" s="382"/>
    </row>
    <row r="127" spans="1:16" ht="27.75">
      <c r="A127" s="610" t="s">
        <v>235</v>
      </c>
      <c r="B127" s="1207"/>
      <c r="C127" s="1207"/>
      <c r="D127" s="523" t="s">
        <v>141</v>
      </c>
      <c r="E127" s="627">
        <f>'14'!F127</f>
        <v>8923.2999999999993</v>
      </c>
      <c r="F127" s="627">
        <v>8925.7999999999993</v>
      </c>
      <c r="G127" s="473">
        <f t="shared" si="14"/>
        <v>2.5</v>
      </c>
      <c r="H127" s="460">
        <f>G127+'14'!H127</f>
        <v>38</v>
      </c>
      <c r="I127" s="480"/>
      <c r="J127" s="553">
        <f>H127/DAY(B2)</f>
        <v>2.5333333333333332</v>
      </c>
      <c r="K127" s="380"/>
      <c r="L127" s="377"/>
      <c r="N127" s="723"/>
      <c r="O127" s="730"/>
      <c r="P127" s="382"/>
    </row>
    <row r="128" spans="1:16" s="281" customFormat="1" ht="27.75">
      <c r="A128" s="610" t="s">
        <v>236</v>
      </c>
      <c r="B128" s="1207"/>
      <c r="C128" s="1207"/>
      <c r="D128" s="523"/>
      <c r="E128" s="478"/>
      <c r="F128" s="478"/>
      <c r="G128" s="473">
        <f>G15-SUM(G123:G127)</f>
        <v>500.16900000004534</v>
      </c>
      <c r="H128" s="460"/>
      <c r="I128" s="480"/>
      <c r="J128" s="553"/>
      <c r="K128" s="364"/>
      <c r="L128" s="292"/>
      <c r="N128" s="723"/>
      <c r="O128" s="730"/>
      <c r="P128" s="382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>
      <c r="A130" s="1206" t="s">
        <v>238</v>
      </c>
      <c r="B130" s="1207"/>
      <c r="C130" s="1207"/>
      <c r="D130" s="523" t="s">
        <v>239</v>
      </c>
      <c r="E130" s="484">
        <f>'14'!F130</f>
        <v>0</v>
      </c>
      <c r="F130" s="478">
        <v>0</v>
      </c>
      <c r="G130" s="473">
        <f t="shared" ref="G130:G140" si="15">F130-E130</f>
        <v>0</v>
      </c>
      <c r="H130" s="460">
        <f>G130+'14'!H130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>
      <c r="A131" s="1206" t="s">
        <v>240</v>
      </c>
      <c r="B131" s="1207"/>
      <c r="C131" s="1207"/>
      <c r="D131" s="523" t="s">
        <v>239</v>
      </c>
      <c r="E131" s="484">
        <f>'14'!F131</f>
        <v>0</v>
      </c>
      <c r="F131" s="478">
        <v>0</v>
      </c>
      <c r="G131" s="473">
        <f t="shared" si="15"/>
        <v>0</v>
      </c>
      <c r="H131" s="460">
        <f>G131+'14'!H131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>
      <c r="A132" s="1206" t="s">
        <v>241</v>
      </c>
      <c r="B132" s="1207"/>
      <c r="C132" s="1207"/>
      <c r="D132" s="523" t="s">
        <v>239</v>
      </c>
      <c r="E132" s="542">
        <f>'14'!F132</f>
        <v>39219</v>
      </c>
      <c r="F132" s="656">
        <v>39219</v>
      </c>
      <c r="G132" s="473">
        <f t="shared" si="15"/>
        <v>0</v>
      </c>
      <c r="H132" s="460">
        <f>G132+'14'!H132</f>
        <v>390</v>
      </c>
      <c r="I132" s="480"/>
      <c r="J132" s="553">
        <f>H132/DAY(B2)</f>
        <v>26</v>
      </c>
      <c r="N132" s="723"/>
      <c r="O132" s="730"/>
      <c r="P132" s="382"/>
    </row>
    <row r="133" spans="1:16" ht="27.75">
      <c r="A133" s="1206" t="s">
        <v>242</v>
      </c>
      <c r="B133" s="1207"/>
      <c r="C133" s="1207"/>
      <c r="D133" s="523" t="s">
        <v>239</v>
      </c>
      <c r="E133" s="706">
        <f>'14'!F133</f>
        <v>299</v>
      </c>
      <c r="F133" s="627">
        <v>299</v>
      </c>
      <c r="G133" s="473">
        <f t="shared" si="15"/>
        <v>0</v>
      </c>
      <c r="H133" s="460">
        <f>G133+'14'!H133</f>
        <v>-1</v>
      </c>
      <c r="I133" s="480">
        <f>G130+G131+G132+G133</f>
        <v>0</v>
      </c>
      <c r="J133" s="553">
        <f>H133/DAY(B2)</f>
        <v>-6.6666666666666666E-2</v>
      </c>
      <c r="N133" s="723"/>
      <c r="O133" s="730"/>
      <c r="P133" s="382"/>
    </row>
    <row r="134" spans="1:16" ht="27.75">
      <c r="A134" s="1206" t="s">
        <v>243</v>
      </c>
      <c r="B134" s="1207"/>
      <c r="C134" s="1207"/>
      <c r="D134" s="523" t="s">
        <v>239</v>
      </c>
      <c r="E134" s="706">
        <f>'14'!F134</f>
        <v>40699</v>
      </c>
      <c r="F134" s="627">
        <v>40723</v>
      </c>
      <c r="G134" s="473">
        <f t="shared" si="15"/>
        <v>24</v>
      </c>
      <c r="H134" s="460">
        <f>G134+'14'!H134</f>
        <v>355.86000000000058</v>
      </c>
      <c r="I134" s="480"/>
      <c r="J134" s="553">
        <f>H134/DAY(B2)</f>
        <v>23.724000000000039</v>
      </c>
      <c r="N134" s="723"/>
      <c r="O134" s="730"/>
      <c r="P134" s="382"/>
    </row>
    <row r="135" spans="1:16" ht="27.75">
      <c r="A135" s="1206" t="s">
        <v>244</v>
      </c>
      <c r="B135" s="1207"/>
      <c r="C135" s="1207"/>
      <c r="D135" s="523" t="s">
        <v>239</v>
      </c>
      <c r="E135" s="542">
        <f>'14'!F135</f>
        <v>32582.98</v>
      </c>
      <c r="F135" s="656">
        <v>32582.98</v>
      </c>
      <c r="G135" s="473">
        <f t="shared" si="15"/>
        <v>0</v>
      </c>
      <c r="H135" s="460">
        <f>G135+'14'!H135</f>
        <v>11.979999999999563</v>
      </c>
      <c r="I135" s="480"/>
      <c r="J135" s="553">
        <f>H135/DAY(B2)</f>
        <v>0.79866666666663755</v>
      </c>
      <c r="N135" s="723"/>
      <c r="O135" s="730"/>
      <c r="P135" s="382"/>
    </row>
    <row r="136" spans="1:16" ht="27.75">
      <c r="A136" s="1206" t="s">
        <v>245</v>
      </c>
      <c r="B136" s="1207"/>
      <c r="C136" s="1207"/>
      <c r="D136" s="523" t="s">
        <v>239</v>
      </c>
      <c r="E136" s="542">
        <f>'14'!F136</f>
        <v>22343.34</v>
      </c>
      <c r="F136" s="656">
        <v>22351.279999999999</v>
      </c>
      <c r="G136" s="473">
        <f t="shared" si="15"/>
        <v>7.9399999999986903</v>
      </c>
      <c r="H136" s="460">
        <f>G136+'14'!H136</f>
        <v>129.06999999999971</v>
      </c>
      <c r="I136" s="480">
        <f>G134+G135+G136</f>
        <v>31.93999999999869</v>
      </c>
      <c r="J136" s="553">
        <f>H136/DAY(B2)</f>
        <v>8.6046666666666471</v>
      </c>
      <c r="N136" s="723"/>
      <c r="O136" s="730"/>
      <c r="P136" s="382"/>
    </row>
    <row r="137" spans="1:16" ht="27.75">
      <c r="A137" s="1206" t="s">
        <v>246</v>
      </c>
      <c r="B137" s="1207"/>
      <c r="C137" s="1207"/>
      <c r="D137" s="523" t="s">
        <v>239</v>
      </c>
      <c r="E137" s="542">
        <f>'14'!F137</f>
        <v>25044.31</v>
      </c>
      <c r="F137" s="656">
        <v>25044.37</v>
      </c>
      <c r="G137" s="473">
        <f t="shared" si="15"/>
        <v>5.9999999997671694E-2</v>
      </c>
      <c r="H137" s="460">
        <f>G137+'14'!H137</f>
        <v>5.9999999997671694E-2</v>
      </c>
      <c r="I137" s="480"/>
      <c r="J137" s="553">
        <f>H137/DAY(B2)</f>
        <v>3.9999999998447796E-3</v>
      </c>
      <c r="N137" s="723"/>
      <c r="O137" s="730"/>
      <c r="P137" s="382"/>
    </row>
    <row r="138" spans="1:16" ht="27.75">
      <c r="A138" s="1206" t="s">
        <v>247</v>
      </c>
      <c r="B138" s="1207"/>
      <c r="C138" s="1207"/>
      <c r="D138" s="523" t="s">
        <v>239</v>
      </c>
      <c r="E138" s="542">
        <f>'14'!F138</f>
        <v>70205.67</v>
      </c>
      <c r="F138" s="656">
        <v>70210.460000000006</v>
      </c>
      <c r="G138" s="473">
        <f t="shared" si="15"/>
        <v>4.7900000000081491</v>
      </c>
      <c r="H138" s="460">
        <f>G138+'14'!H138</f>
        <v>63.120000000009895</v>
      </c>
      <c r="I138" s="480">
        <f>G137+G138</f>
        <v>4.8500000000058208</v>
      </c>
      <c r="J138" s="553">
        <f>H138/DAY(B2)</f>
        <v>4.2080000000006601</v>
      </c>
      <c r="N138" s="723"/>
      <c r="O138" s="730"/>
      <c r="P138" s="382"/>
    </row>
    <row r="139" spans="1:16" ht="27.75">
      <c r="A139" s="1206" t="s">
        <v>248</v>
      </c>
      <c r="B139" s="1207"/>
      <c r="C139" s="1207"/>
      <c r="D139" s="523" t="s">
        <v>239</v>
      </c>
      <c r="E139" s="706">
        <f>'14'!F139</f>
        <v>1525</v>
      </c>
      <c r="F139" s="627">
        <v>1532.37</v>
      </c>
      <c r="G139" s="473">
        <f t="shared" si="15"/>
        <v>7.3699999999998909</v>
      </c>
      <c r="H139" s="460">
        <f>G139+'14'!H139</f>
        <v>109.22999999999979</v>
      </c>
      <c r="I139" s="543"/>
      <c r="J139" s="553">
        <f>H139/DAY(B2)</f>
        <v>7.2819999999999858</v>
      </c>
      <c r="N139" s="723"/>
      <c r="O139" s="730"/>
      <c r="P139" s="382"/>
    </row>
    <row r="140" spans="1:16" ht="27.75">
      <c r="A140" s="1206" t="s">
        <v>249</v>
      </c>
      <c r="B140" s="1207"/>
      <c r="C140" s="1207"/>
      <c r="D140" s="523" t="s">
        <v>239</v>
      </c>
      <c r="E140" s="484">
        <f>'14'!F140</f>
        <v>4334</v>
      </c>
      <c r="F140" s="478">
        <v>4333.53</v>
      </c>
      <c r="G140" s="473">
        <f t="shared" si="15"/>
        <v>-0.47000000000025466</v>
      </c>
      <c r="H140" s="460">
        <f>G140+'14'!H140</f>
        <v>-0.47000000000025466</v>
      </c>
      <c r="I140" s="543"/>
      <c r="J140" s="553">
        <f>H140/DAY(B2)</f>
        <v>-3.1333333333350311E-2</v>
      </c>
      <c r="N140" s="723"/>
      <c r="O140" s="730"/>
      <c r="P140" s="382"/>
    </row>
    <row r="141" spans="1:16">
      <c r="A141" s="1446" t="s">
        <v>250</v>
      </c>
      <c r="B141" s="1447"/>
      <c r="C141" s="1212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5894.3100000000559</v>
      </c>
      <c r="H142" s="460">
        <f>G142+'14'!H142</f>
        <v>88511.760000000126</v>
      </c>
      <c r="I142" s="480"/>
      <c r="J142" s="553">
        <f>H142/DAY(B2)</f>
        <v>5900.7840000000087</v>
      </c>
      <c r="K142" s="380"/>
      <c r="L142" s="377"/>
      <c r="N142" s="723"/>
      <c r="O142" s="730"/>
      <c r="P142" s="382"/>
    </row>
    <row r="143" spans="1:16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0.28088205861329785</v>
      </c>
      <c r="H143" s="460">
        <f>G143+'14'!H143</f>
        <v>3.9559590207414592</v>
      </c>
      <c r="I143" s="545"/>
      <c r="J143" s="553">
        <f>H143/DAY(B2)</f>
        <v>0.26373060138276394</v>
      </c>
      <c r="K143" s="380"/>
      <c r="L143" s="377"/>
      <c r="N143" s="723"/>
      <c r="O143" s="730"/>
      <c r="P143" s="382"/>
    </row>
    <row r="144" spans="1:16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5696.4530000000013</v>
      </c>
      <c r="H144" s="460">
        <f>G144+'14'!H144</f>
        <v>79049.512999999977</v>
      </c>
      <c r="I144" s="480"/>
      <c r="J144" s="553">
        <f>H144/DAY(B2)</f>
        <v>5269.9675333333316</v>
      </c>
      <c r="K144" s="380"/>
      <c r="L144" s="377"/>
      <c r="N144" s="723"/>
      <c r="O144" s="730"/>
      <c r="P144" s="382"/>
    </row>
    <row r="145" spans="1:16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0.27145356206814397</v>
      </c>
      <c r="H145" s="460">
        <f>G145+'14'!H145</f>
        <v>3.6923111512460514</v>
      </c>
      <c r="I145" s="545"/>
      <c r="J145" s="553">
        <f>H145/DAY(B2)</f>
        <v>0.24615407674973674</v>
      </c>
      <c r="K145" s="380"/>
      <c r="L145" s="377"/>
      <c r="N145" s="723"/>
      <c r="O145" s="730"/>
      <c r="P145" s="382"/>
    </row>
    <row r="146" spans="1:16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4262.210000000021</v>
      </c>
      <c r="H146" s="460">
        <f>G146+'14'!H146</f>
        <v>163575.59000000003</v>
      </c>
      <c r="I146" s="546"/>
      <c r="J146" s="553">
        <f>H146/DAY(B2)</f>
        <v>10905.039333333336</v>
      </c>
      <c r="K146" s="380"/>
      <c r="L146" s="377"/>
      <c r="N146" s="723"/>
      <c r="O146" s="730"/>
      <c r="P146" s="382"/>
    </row>
    <row r="147" spans="1:16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0.20310745770788757</v>
      </c>
      <c r="H147" s="460">
        <f>G147+'14'!H147</f>
        <v>7.8800517549999647</v>
      </c>
      <c r="I147" s="546"/>
      <c r="J147" s="553">
        <f>H147/DAY(B2)</f>
        <v>0.52533678366666436</v>
      </c>
      <c r="N147" s="723"/>
      <c r="O147" s="730"/>
      <c r="P147" s="382"/>
    </row>
    <row r="148" spans="1:16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1887.9100000000326</v>
      </c>
      <c r="H148" s="460">
        <f>G148+'14'!H148</f>
        <v>30848.710000000014</v>
      </c>
      <c r="I148" s="480"/>
      <c r="J148" s="553">
        <f>H148/DAY(B2)</f>
        <v>2056.5806666666676</v>
      </c>
      <c r="K148" s="381"/>
      <c r="N148" s="723"/>
      <c r="O148" s="730"/>
      <c r="P148" s="382"/>
    </row>
    <row r="149" spans="1:16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8.9964736716703964E-2</v>
      </c>
      <c r="H149" s="460">
        <f>G149+'14'!H149</f>
        <v>1.4427904397716369</v>
      </c>
      <c r="I149" s="546"/>
      <c r="J149" s="553">
        <f>H149/DAY(B2)</f>
        <v>9.6186029318109129E-2</v>
      </c>
      <c r="N149" s="723"/>
      <c r="O149" s="730"/>
      <c r="P149" s="382"/>
    </row>
    <row r="150" spans="1:16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1886.6699999999837</v>
      </c>
      <c r="H150" s="460">
        <f>G150+'14'!H150</f>
        <v>27920.069999999949</v>
      </c>
      <c r="I150" s="546"/>
      <c r="J150" s="553">
        <f>H150/DAY(B2)</f>
        <v>1861.3379999999966</v>
      </c>
      <c r="N150" s="723"/>
      <c r="O150" s="730"/>
      <c r="P150" s="382"/>
    </row>
    <row r="151" spans="1:16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8.9905646890635391E-2</v>
      </c>
      <c r="H151" s="460">
        <f>G151+'14'!H151</f>
        <v>1.3028942802395997</v>
      </c>
      <c r="I151" s="480"/>
      <c r="J151" s="553">
        <f>H151/DAY(B2)</f>
        <v>8.6859618682639986E-2</v>
      </c>
      <c r="N151" s="723"/>
      <c r="O151" s="730"/>
      <c r="P151" s="382"/>
    </row>
    <row r="152" spans="1:16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1624.6700000000128</v>
      </c>
      <c r="H152" s="460">
        <f>G152+'14'!H152</f>
        <v>57978.830000000016</v>
      </c>
      <c r="I152" s="480"/>
      <c r="J152" s="553">
        <f>H152/DAY(B2)</f>
        <v>3865.2553333333344</v>
      </c>
      <c r="N152" s="723"/>
      <c r="O152" s="730"/>
      <c r="P152" s="382"/>
    </row>
    <row r="153" spans="1:16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7.7420538479867185E-2</v>
      </c>
      <c r="H153" s="460">
        <f>G153+'14'!H153</f>
        <v>2.7929174118242699</v>
      </c>
      <c r="I153" s="569"/>
      <c r="J153" s="570">
        <f>H153/DAY(B2)</f>
        <v>0.18619449412161798</v>
      </c>
      <c r="N153" s="723"/>
      <c r="O153" s="730"/>
      <c r="P153" s="382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800" t="s">
        <v>263</v>
      </c>
      <c r="B160" s="801"/>
      <c r="C160" s="801"/>
      <c r="D160" s="621" t="s">
        <v>187</v>
      </c>
      <c r="E160" s="522">
        <f>'14'!F160</f>
        <v>31990</v>
      </c>
      <c r="F160" s="809">
        <v>32075.31</v>
      </c>
      <c r="G160" s="473">
        <f t="shared" ref="G160:G163" si="16">F160-E160</f>
        <v>85.31000000000131</v>
      </c>
      <c r="N160" s="723"/>
    </row>
    <row r="161" spans="1:14" ht="21.75" customHeight="1">
      <c r="A161" s="800" t="s">
        <v>264</v>
      </c>
      <c r="B161" s="801"/>
      <c r="C161" s="801"/>
      <c r="D161" s="621" t="s">
        <v>187</v>
      </c>
      <c r="E161" s="522">
        <f>'14'!F161</f>
        <v>61428</v>
      </c>
      <c r="F161" s="809">
        <v>61874.59</v>
      </c>
      <c r="G161" s="473">
        <f t="shared" si="16"/>
        <v>446.58999999999651</v>
      </c>
      <c r="N161" s="723"/>
    </row>
    <row r="162" spans="1:14" ht="21.75" customHeight="1">
      <c r="A162" s="800" t="s">
        <v>265</v>
      </c>
      <c r="B162" s="801"/>
      <c r="C162" s="801"/>
      <c r="D162" s="621" t="s">
        <v>187</v>
      </c>
      <c r="E162" s="522">
        <f>'14'!F162</f>
        <v>24501</v>
      </c>
      <c r="F162" s="809">
        <v>24786.014999999999</v>
      </c>
      <c r="G162" s="473">
        <f t="shared" si="16"/>
        <v>285.01499999999942</v>
      </c>
      <c r="N162" s="723"/>
    </row>
    <row r="163" spans="1:14" ht="21.75" customHeight="1">
      <c r="A163" s="800" t="s">
        <v>266</v>
      </c>
      <c r="B163" s="801"/>
      <c r="C163" s="801"/>
      <c r="D163" s="621" t="s">
        <v>187</v>
      </c>
      <c r="E163" s="522">
        <f>'14'!F163</f>
        <v>5588</v>
      </c>
      <c r="F163" s="809">
        <v>5606.2</v>
      </c>
      <c r="G163" s="473">
        <f t="shared" si="16"/>
        <v>18.199999999999818</v>
      </c>
      <c r="N163" s="723"/>
    </row>
    <row r="164" spans="1:14" ht="21.75" customHeight="1">
      <c r="A164" s="802" t="s">
        <v>98</v>
      </c>
      <c r="B164" s="803"/>
      <c r="C164" s="803"/>
      <c r="D164" s="621" t="s">
        <v>187</v>
      </c>
      <c r="E164" s="514">
        <f>E62</f>
        <v>20419.18</v>
      </c>
      <c r="F164" s="514">
        <f>F62</f>
        <v>20419.18</v>
      </c>
      <c r="G164" s="473">
        <f t="shared" ref="G164:G171" si="17">F164-E164</f>
        <v>0</v>
      </c>
      <c r="N164" s="723"/>
    </row>
    <row r="165" spans="1:14" ht="21.75" customHeight="1">
      <c r="A165" s="802" t="s">
        <v>188</v>
      </c>
      <c r="B165" s="803"/>
      <c r="C165" s="803"/>
      <c r="D165" s="621" t="s">
        <v>187</v>
      </c>
      <c r="E165" s="514">
        <f t="shared" ref="E165:E171" si="18">E63</f>
        <v>1892</v>
      </c>
      <c r="F165" s="514">
        <f t="shared" ref="F165:F171" si="19">F63</f>
        <v>1906.77</v>
      </c>
      <c r="G165" s="473">
        <f t="shared" si="17"/>
        <v>14.769999999999982</v>
      </c>
      <c r="N165" s="723"/>
    </row>
    <row r="166" spans="1:14" ht="21.75" customHeight="1">
      <c r="A166" s="1470" t="s">
        <v>99</v>
      </c>
      <c r="B166" s="1470"/>
      <c r="C166" s="1470"/>
      <c r="D166" s="524" t="s">
        <v>187</v>
      </c>
      <c r="E166" s="514">
        <f t="shared" si="18"/>
        <v>130829</v>
      </c>
      <c r="F166" s="514">
        <f t="shared" si="19"/>
        <v>131347.10999999999</v>
      </c>
      <c r="G166" s="473">
        <f t="shared" si="17"/>
        <v>518.10999999998603</v>
      </c>
      <c r="N166" s="723"/>
    </row>
    <row r="167" spans="1:14" ht="21.75" customHeight="1">
      <c r="A167" s="1470" t="s">
        <v>100</v>
      </c>
      <c r="B167" s="1470"/>
      <c r="C167" s="1470"/>
      <c r="D167" s="524" t="s">
        <v>187</v>
      </c>
      <c r="E167" s="514">
        <f t="shared" si="18"/>
        <v>137804</v>
      </c>
      <c r="F167" s="514">
        <f t="shared" si="19"/>
        <v>138183.46</v>
      </c>
      <c r="G167" s="473">
        <f t="shared" si="17"/>
        <v>379.45999999999185</v>
      </c>
      <c r="N167" s="723"/>
    </row>
    <row r="168" spans="1:14" ht="21.75" customHeight="1">
      <c r="A168" s="1470" t="s">
        <v>101</v>
      </c>
      <c r="B168" s="1470"/>
      <c r="C168" s="1470"/>
      <c r="D168" s="524" t="s">
        <v>187</v>
      </c>
      <c r="E168" s="514">
        <f t="shared" si="18"/>
        <v>30530</v>
      </c>
      <c r="F168" s="514">
        <f t="shared" si="19"/>
        <v>30923.73</v>
      </c>
      <c r="G168" s="473">
        <f t="shared" si="17"/>
        <v>393.72999999999956</v>
      </c>
      <c r="N168" s="723"/>
    </row>
    <row r="169" spans="1:14" ht="23.25" customHeight="1">
      <c r="A169" s="1470" t="s">
        <v>102</v>
      </c>
      <c r="B169" s="1470"/>
      <c r="C169" s="1470"/>
      <c r="D169" s="524" t="s">
        <v>187</v>
      </c>
      <c r="E169" s="514">
        <f t="shared" si="18"/>
        <v>217323</v>
      </c>
      <c r="F169" s="514">
        <f t="shared" si="19"/>
        <v>218039.53</v>
      </c>
      <c r="G169" s="473">
        <f t="shared" si="17"/>
        <v>716.52999999999884</v>
      </c>
      <c r="N169" s="723"/>
    </row>
    <row r="170" spans="1:14" ht="24" customHeight="1">
      <c r="A170" s="1470" t="s">
        <v>103</v>
      </c>
      <c r="B170" s="1470"/>
      <c r="C170" s="1470"/>
      <c r="D170" s="524" t="s">
        <v>187</v>
      </c>
      <c r="E170" s="514">
        <f t="shared" si="18"/>
        <v>77418</v>
      </c>
      <c r="F170" s="514">
        <f t="shared" si="19"/>
        <v>77764.17</v>
      </c>
      <c r="G170" s="473">
        <f t="shared" si="17"/>
        <v>346.16999999999825</v>
      </c>
      <c r="N170" s="723"/>
    </row>
    <row r="171" spans="1:14" ht="27.75">
      <c r="A171" s="1470" t="s">
        <v>104</v>
      </c>
      <c r="B171" s="1470"/>
      <c r="C171" s="1470"/>
      <c r="D171" s="524" t="s">
        <v>187</v>
      </c>
      <c r="E171" s="514">
        <f t="shared" si="18"/>
        <v>69012</v>
      </c>
      <c r="F171" s="514">
        <f t="shared" si="19"/>
        <v>69319.399999999994</v>
      </c>
      <c r="G171" s="473">
        <f t="shared" si="17"/>
        <v>307.39999999999418</v>
      </c>
      <c r="N171" s="723"/>
    </row>
    <row r="172" spans="1:14">
      <c r="A172" s="804"/>
      <c r="B172" s="805"/>
      <c r="C172" s="805"/>
      <c r="D172" s="806"/>
      <c r="E172" s="806"/>
      <c r="F172" s="807"/>
      <c r="G172" s="808">
        <f>SUM(G160:G171)</f>
        <v>3511.2849999999657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27" customHeight="1">
      <c r="N177" s="723"/>
    </row>
    <row r="178" spans="14:14" ht="27" customHeight="1">
      <c r="N178" s="723"/>
    </row>
    <row r="179" spans="14:14" ht="27" customHeight="1">
      <c r="N179" s="723"/>
    </row>
    <row r="180" spans="14:14" ht="27" customHeight="1">
      <c r="N180" s="723"/>
    </row>
    <row r="181" spans="14:14" ht="27" customHeight="1">
      <c r="N181" s="723"/>
    </row>
    <row r="182" spans="14:14" ht="27" customHeight="1">
      <c r="N182" s="723"/>
    </row>
    <row r="183" spans="14:14" ht="27" customHeight="1">
      <c r="N183" s="723"/>
    </row>
    <row r="184" spans="14:14" ht="27" customHeight="1">
      <c r="N184" s="723"/>
    </row>
    <row r="185" spans="14:14" ht="27" customHeight="1">
      <c r="N185" s="723"/>
    </row>
    <row r="186" spans="14:14" ht="27" customHeight="1">
      <c r="N186" s="723"/>
    </row>
    <row r="187" spans="14:14" ht="27" customHeight="1">
      <c r="N187" s="723"/>
    </row>
    <row r="188" spans="14:14" ht="27" customHeight="1">
      <c r="N188" s="723"/>
    </row>
    <row r="189" spans="14:14" ht="27" customHeight="1">
      <c r="N189" s="723"/>
    </row>
    <row r="190" spans="14:14" ht="27" customHeight="1">
      <c r="N190" s="723"/>
    </row>
    <row r="191" spans="14:14" ht="27" customHeight="1">
      <c r="N191" s="723"/>
    </row>
    <row r="192" spans="14:14" ht="27" customHeight="1">
      <c r="N192" s="723"/>
    </row>
    <row r="193" spans="14:14" ht="27" customHeight="1">
      <c r="N193" s="723"/>
    </row>
    <row r="194" spans="14:14" ht="27" customHeight="1">
      <c r="N194" s="723"/>
    </row>
    <row r="195" spans="14:14" ht="27" customHeight="1">
      <c r="N195" s="723"/>
    </row>
    <row r="196" spans="14:14" ht="27" customHeight="1">
      <c r="N196" s="723"/>
    </row>
    <row r="197" spans="14:14" ht="27" customHeight="1">
      <c r="N197" s="723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42" zoomScale="55" zoomScaleNormal="90" zoomScaleSheetLayoutView="55" workbookViewId="0">
      <selection activeCell="G80" sqref="G80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8" bestFit="1" customWidth="1"/>
    <col min="5" max="5" width="27.21875" style="538" customWidth="1"/>
    <col min="6" max="6" width="25.5546875" style="668" customWidth="1"/>
    <col min="7" max="7" width="27" style="538" customWidth="1"/>
    <col min="8" max="8" width="21.88671875" style="539" customWidth="1"/>
    <col min="9" max="9" width="24.77734375" style="538" customWidth="1"/>
    <col min="10" max="10" width="23.5546875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6" s="281" customFormat="1" ht="27">
      <c r="A2" s="576" t="s">
        <v>353</v>
      </c>
      <c r="B2" s="1038">
        <v>44271</v>
      </c>
      <c r="C2" s="1221" t="s">
        <v>69</v>
      </c>
      <c r="D2" s="612">
        <v>0.63449999999999995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>
      <c r="A3" s="571"/>
      <c r="B3" s="615"/>
      <c r="C3" s="1221" t="s">
        <v>120</v>
      </c>
      <c r="D3" s="613">
        <v>24</v>
      </c>
      <c r="E3" s="1432" t="s">
        <v>121</v>
      </c>
      <c r="F3" s="1433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>
      <c r="A4" s="577"/>
      <c r="B4" s="617"/>
      <c r="C4" s="1221" t="s">
        <v>122</v>
      </c>
      <c r="D4" s="612">
        <v>0.64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'15'!F7</f>
        <v>4765832</v>
      </c>
      <c r="F7" s="455">
        <v>4786281</v>
      </c>
      <c r="G7" s="683">
        <f>F7-E7</f>
        <v>20449</v>
      </c>
      <c r="H7" s="684">
        <f>G7+'15'!H7</f>
        <v>341204</v>
      </c>
      <c r="I7" s="685">
        <f>'1'!I7</f>
        <v>12000</v>
      </c>
      <c r="J7" s="686">
        <f>H7/DAY(B2)</f>
        <v>21325.25</v>
      </c>
      <c r="K7" s="550">
        <f>'1'!E7-'16'!F7</f>
        <v>-341204</v>
      </c>
      <c r="L7" s="377"/>
      <c r="N7" s="734"/>
      <c r="O7" s="730"/>
      <c r="P7" s="733"/>
    </row>
    <row r="8" spans="1:16" ht="27.75" thickBot="1">
      <c r="A8" s="687" t="s">
        <v>133</v>
      </c>
      <c r="B8" s="688"/>
      <c r="C8" s="689"/>
      <c r="D8" s="690" t="s">
        <v>25</v>
      </c>
      <c r="E8" s="634">
        <f>'15'!F8</f>
        <v>4795702</v>
      </c>
      <c r="F8" s="475">
        <v>4816223</v>
      </c>
      <c r="G8" s="694">
        <f>F8-E8</f>
        <v>20521</v>
      </c>
      <c r="H8" s="684">
        <f>G8+'15'!H8</f>
        <v>343067</v>
      </c>
      <c r="I8" s="691">
        <f>'1'!I8</f>
        <v>12000</v>
      </c>
      <c r="J8" s="686">
        <f>H8/DAY(B2)</f>
        <v>21441.6875</v>
      </c>
      <c r="K8" s="550">
        <f>'1'!E8-'16'!F8</f>
        <v>-343067</v>
      </c>
      <c r="L8" s="425"/>
      <c r="M8" s="440"/>
      <c r="N8" s="723"/>
      <c r="O8" s="730"/>
      <c r="P8" s="382"/>
    </row>
    <row r="9" spans="1:16">
      <c r="A9" s="692" t="s">
        <v>134</v>
      </c>
      <c r="B9" s="693"/>
      <c r="C9" s="693"/>
      <c r="D9" s="639" t="s">
        <v>132</v>
      </c>
      <c r="E9" s="634">
        <f>'15'!F9</f>
        <v>124353.81</v>
      </c>
      <c r="F9" s="478">
        <v>124353.81</v>
      </c>
      <c r="G9" s="707">
        <f t="shared" ref="G9:G12" si="0">F9-E9</f>
        <v>0</v>
      </c>
      <c r="H9" s="684">
        <f>G9+'15'!H9</f>
        <v>37444.800000000003</v>
      </c>
      <c r="I9" s="695">
        <f>I7-J7</f>
        <v>-9325.25</v>
      </c>
      <c r="J9" s="686">
        <f>H9/DAY(B2)</f>
        <v>2340.3000000000002</v>
      </c>
      <c r="K9" s="428">
        <f>'1'!E9-'16'!F9</f>
        <v>-37444.800000000003</v>
      </c>
      <c r="L9" s="377"/>
      <c r="N9" s="723"/>
      <c r="O9" s="730"/>
      <c r="P9" s="382"/>
    </row>
    <row r="10" spans="1:16">
      <c r="A10" s="681" t="s">
        <v>135</v>
      </c>
      <c r="B10" s="682"/>
      <c r="C10" s="682"/>
      <c r="D10" s="639" t="s">
        <v>132</v>
      </c>
      <c r="E10" s="634">
        <f>'15'!F10</f>
        <v>297852.51</v>
      </c>
      <c r="F10" s="478">
        <v>317507.67</v>
      </c>
      <c r="G10" s="694">
        <f t="shared" si="0"/>
        <v>19655.159999999974</v>
      </c>
      <c r="H10" s="684">
        <f>G10+'15'!H10</f>
        <v>291812.11</v>
      </c>
      <c r="I10" s="696"/>
      <c r="J10" s="686">
        <f>H10/DAY(B2)</f>
        <v>18238.256874999999</v>
      </c>
      <c r="K10" s="428"/>
      <c r="L10" s="377"/>
      <c r="N10" s="723"/>
      <c r="O10" s="730"/>
      <c r="P10" s="382"/>
    </row>
    <row r="11" spans="1:16">
      <c r="A11" s="681" t="s">
        <v>136</v>
      </c>
      <c r="B11" s="682"/>
      <c r="C11" s="682"/>
      <c r="D11" s="639" t="s">
        <v>132</v>
      </c>
      <c r="E11" s="634">
        <f>'15'!F11</f>
        <v>37000</v>
      </c>
      <c r="F11" s="455">
        <v>37000</v>
      </c>
      <c r="G11" s="694">
        <f t="shared" si="0"/>
        <v>0</v>
      </c>
      <c r="H11" s="684">
        <f>G11+'15'!H11</f>
        <v>0</v>
      </c>
      <c r="I11" s="696"/>
      <c r="J11" s="686">
        <f>H11/DAY(B2)</f>
        <v>0</v>
      </c>
      <c r="K11" s="428"/>
      <c r="L11" s="377"/>
      <c r="N11" s="723">
        <f>G8-G10</f>
        <v>865.84000000002561</v>
      </c>
      <c r="O11" s="730"/>
      <c r="P11" s="382"/>
    </row>
    <row r="12" spans="1:16">
      <c r="A12" s="681" t="s">
        <v>137</v>
      </c>
      <c r="B12" s="682"/>
      <c r="C12" s="682"/>
      <c r="D12" s="639" t="s">
        <v>132</v>
      </c>
      <c r="E12" s="634">
        <f>'15'!F12</f>
        <v>40010</v>
      </c>
      <c r="F12" s="478">
        <v>40010</v>
      </c>
      <c r="G12" s="694">
        <f t="shared" si="0"/>
        <v>0</v>
      </c>
      <c r="H12" s="684">
        <f>G12+'15'!H12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19655.159999999974</v>
      </c>
      <c r="H13" s="684">
        <f>G13+'15'!H13</f>
        <v>308262.90999999997</v>
      </c>
      <c r="I13" s="700">
        <f>G7-G13</f>
        <v>793.84000000002561</v>
      </c>
      <c r="J13" s="686">
        <f>H13/DAY(B2)</f>
        <v>19266.431874999998</v>
      </c>
      <c r="K13" s="428"/>
      <c r="L13" s="377"/>
      <c r="N13" s="723"/>
      <c r="O13" s="730"/>
      <c r="P13" s="382"/>
    </row>
    <row r="14" spans="1:16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1226"/>
      <c r="K14" s="429"/>
      <c r="L14" s="377"/>
      <c r="N14" s="723"/>
      <c r="O14" s="730"/>
      <c r="P14" s="382"/>
    </row>
    <row r="15" spans="1:16">
      <c r="A15" s="798" t="s">
        <v>140</v>
      </c>
      <c r="B15" s="799"/>
      <c r="C15" s="799"/>
      <c r="D15" s="524" t="s">
        <v>141</v>
      </c>
      <c r="E15" s="485">
        <f>'15'!F15</f>
        <v>1632897.709</v>
      </c>
      <c r="F15" s="485">
        <v>1633718.82</v>
      </c>
      <c r="G15" s="669">
        <f>(F15-E15)</f>
        <v>821.11100000003353</v>
      </c>
      <c r="H15" s="486">
        <f>G15+'15'!H15</f>
        <v>13840.209999999963</v>
      </c>
      <c r="I15" s="474">
        <f>'1'!I15</f>
        <v>800</v>
      </c>
      <c r="J15" s="554">
        <f>H15/DAY(B2)</f>
        <v>865.01312499999767</v>
      </c>
      <c r="K15" s="428"/>
      <c r="L15" s="377"/>
      <c r="N15" s="723"/>
      <c r="O15" s="730"/>
      <c r="P15" s="382"/>
    </row>
    <row r="16" spans="1:16">
      <c r="A16" s="588"/>
      <c r="B16" s="589"/>
      <c r="C16" s="589"/>
      <c r="D16" s="524"/>
      <c r="E16" s="485"/>
      <c r="F16" s="485" t="s">
        <v>275</v>
      </c>
      <c r="G16" s="674"/>
      <c r="H16" s="486"/>
      <c r="I16" s="482">
        <f>I15-J15</f>
        <v>-65.013124999997672</v>
      </c>
      <c r="J16" s="554"/>
      <c r="K16" s="428"/>
      <c r="L16" s="377"/>
      <c r="N16" s="723"/>
      <c r="O16" s="730"/>
      <c r="P16" s="382"/>
    </row>
    <row r="17" spans="1:16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>
      <c r="A18" s="1464" t="s">
        <v>143</v>
      </c>
      <c r="B18" s="1465"/>
      <c r="C18" s="1466"/>
      <c r="D18" s="639" t="s">
        <v>144</v>
      </c>
      <c r="E18" s="636">
        <f>'15'!F18</f>
        <v>12</v>
      </c>
      <c r="F18" s="478">
        <v>10</v>
      </c>
      <c r="G18" s="699">
        <f>F18*10</f>
        <v>100</v>
      </c>
      <c r="H18" s="684">
        <f>G18+'15'!H18</f>
        <v>2220</v>
      </c>
      <c r="I18" s="685">
        <f>'1'!I18</f>
        <v>65</v>
      </c>
      <c r="J18" s="686">
        <f>H18/DAY(B2)</f>
        <v>138.75</v>
      </c>
      <c r="K18" s="428"/>
      <c r="L18" s="377"/>
      <c r="N18" s="723"/>
      <c r="O18" s="730"/>
      <c r="P18" s="382"/>
    </row>
    <row r="19" spans="1:16" ht="27.75">
      <c r="A19" s="1464" t="s">
        <v>71</v>
      </c>
      <c r="B19" s="1465"/>
      <c r="C19" s="1466"/>
      <c r="D19" s="639" t="s">
        <v>144</v>
      </c>
      <c r="E19" s="636">
        <f>'15'!F19</f>
        <v>135247</v>
      </c>
      <c r="F19" s="478">
        <v>135301</v>
      </c>
      <c r="G19" s="694">
        <f t="shared" ref="G19" si="1">F19-E19</f>
        <v>54</v>
      </c>
      <c r="H19" s="684">
        <f>G19+'15'!H19</f>
        <v>833</v>
      </c>
      <c r="I19" s="701"/>
      <c r="J19" s="686">
        <f>H19/DAY(B2)</f>
        <v>52.0625</v>
      </c>
      <c r="K19" s="428"/>
      <c r="L19" s="377"/>
      <c r="N19" s="723"/>
      <c r="O19" s="730"/>
      <c r="P19" s="382"/>
    </row>
    <row r="20" spans="1:16">
      <c r="A20" s="697" t="s">
        <v>145</v>
      </c>
      <c r="B20" s="698"/>
      <c r="C20" s="698"/>
      <c r="D20" s="639"/>
      <c r="E20" s="639"/>
      <c r="F20" s="714"/>
      <c r="G20" s="702">
        <f>G18+G19</f>
        <v>154</v>
      </c>
      <c r="H20" s="684">
        <f>G20+'15'!H20</f>
        <v>3053</v>
      </c>
      <c r="I20" s="703">
        <f>I18-J20</f>
        <v>-125.8125</v>
      </c>
      <c r="J20" s="686">
        <f>H20/DAY(B2)</f>
        <v>190.8125</v>
      </c>
      <c r="K20" s="428"/>
      <c r="L20" s="377"/>
      <c r="N20" s="723"/>
      <c r="O20" s="730"/>
      <c r="P20" s="382"/>
    </row>
    <row r="21" spans="1:16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>
      <c r="A22" s="1214" t="s">
        <v>147</v>
      </c>
      <c r="B22" s="590"/>
      <c r="C22" s="590"/>
      <c r="D22" s="523" t="s">
        <v>148</v>
      </c>
      <c r="E22" s="636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>
      <c r="A23" s="1214" t="s">
        <v>149</v>
      </c>
      <c r="B23" s="590"/>
      <c r="C23" s="590"/>
      <c r="D23" s="523" t="s">
        <v>148</v>
      </c>
      <c r="E23" s="636">
        <f>'15'!F23</f>
        <v>2000</v>
      </c>
      <c r="F23" s="478">
        <v>2000</v>
      </c>
      <c r="G23" s="481">
        <v>0</v>
      </c>
      <c r="H23" s="460">
        <f>G23+'15'!H23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>
      <c r="A24" s="591" t="s">
        <v>150</v>
      </c>
      <c r="B24" s="592"/>
      <c r="C24" s="592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20521</v>
      </c>
      <c r="F27" s="501">
        <v>9</v>
      </c>
      <c r="G27" s="502">
        <f>E27*F27</f>
        <v>184689</v>
      </c>
      <c r="H27" s="460">
        <f>G27+'15'!H27</f>
        <v>3087603</v>
      </c>
      <c r="I27" s="503"/>
      <c r="J27" s="553">
        <f>H27/DAY(B2)</f>
        <v>192975.1875</v>
      </c>
      <c r="K27" s="373"/>
      <c r="L27" s="443"/>
      <c r="N27" s="723"/>
      <c r="O27" s="730"/>
      <c r="P27" s="382"/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821.11100000003353</v>
      </c>
      <c r="F28" s="501">
        <v>43.5</v>
      </c>
      <c r="G28" s="502">
        <f>E28*F28</f>
        <v>35718.328500001458</v>
      </c>
      <c r="H28" s="460">
        <f>G28+'15'!H28</f>
        <v>667638.81319999788</v>
      </c>
      <c r="I28" s="505"/>
      <c r="J28" s="553">
        <f>H28/DAY(B2)</f>
        <v>41727.425824999867</v>
      </c>
      <c r="K28" s="373"/>
      <c r="L28" s="443"/>
      <c r="N28" s="723"/>
      <c r="O28" s="730"/>
      <c r="P28" s="382"/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54</v>
      </c>
      <c r="F30" s="501">
        <v>134</v>
      </c>
      <c r="G30" s="502">
        <f>E30*F30</f>
        <v>7236</v>
      </c>
      <c r="H30" s="460">
        <f>G30+'15'!H30</f>
        <v>129310</v>
      </c>
      <c r="I30" s="505"/>
      <c r="J30" s="553">
        <f>H30/DAY(B2)</f>
        <v>8081.875</v>
      </c>
      <c r="K30" s="373"/>
      <c r="L30" s="443"/>
      <c r="N30" s="723"/>
      <c r="O30" s="730"/>
      <c r="P30" s="382"/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100</v>
      </c>
      <c r="F31" s="501">
        <v>80</v>
      </c>
      <c r="G31" s="502">
        <f>E31*F31</f>
        <v>8000</v>
      </c>
      <c r="H31" s="460">
        <f>G31+'15'!H31</f>
        <v>167040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235643.32850000146</v>
      </c>
      <c r="H32" s="460">
        <f>G32+'15'!H32</f>
        <v>4051591.8131999979</v>
      </c>
      <c r="I32" s="509"/>
      <c r="J32" s="553">
        <f>H32/DAY(B2)</f>
        <v>253224.48832499987</v>
      </c>
      <c r="K32" s="373"/>
      <c r="L32" s="443"/>
      <c r="N32" s="723"/>
      <c r="O32" s="730"/>
      <c r="P32" s="382"/>
    </row>
    <row r="33" spans="1:16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723"/>
      <c r="O33" s="730"/>
      <c r="P33" s="382"/>
    </row>
    <row r="34" spans="1:16">
      <c r="A34" s="599" t="s">
        <v>163</v>
      </c>
      <c r="B34" s="1216"/>
      <c r="C34" s="1216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>
      <c r="A35" s="579" t="s">
        <v>164</v>
      </c>
      <c r="B35" s="580"/>
      <c r="C35" s="580"/>
      <c r="D35" s="523" t="s">
        <v>132</v>
      </c>
      <c r="E35" s="510">
        <f>'15'!F35</f>
        <v>745070.63</v>
      </c>
      <c r="F35" s="510">
        <v>748293.11</v>
      </c>
      <c r="G35" s="473">
        <f t="shared" ref="G35:G46" si="3">F35-E35</f>
        <v>3222.4799999999814</v>
      </c>
      <c r="H35" s="460">
        <f>G35+'15'!H35</f>
        <v>55205.520000000019</v>
      </c>
      <c r="I35" s="455"/>
      <c r="J35" s="553">
        <f>H35/DAY(B2)</f>
        <v>3450.3450000000012</v>
      </c>
      <c r="K35" s="428"/>
      <c r="L35" s="377"/>
      <c r="N35" s="723"/>
      <c r="O35" s="731"/>
      <c r="P35" s="382"/>
    </row>
    <row r="36" spans="1:16">
      <c r="A36" s="579" t="s">
        <v>165</v>
      </c>
      <c r="B36" s="580"/>
      <c r="C36" s="580"/>
      <c r="D36" s="523" t="s">
        <v>132</v>
      </c>
      <c r="E36" s="510">
        <f>'15'!F36</f>
        <v>306251</v>
      </c>
      <c r="F36" s="510">
        <v>306867.75</v>
      </c>
      <c r="G36" s="473">
        <f t="shared" si="3"/>
        <v>616.75</v>
      </c>
      <c r="H36" s="460">
        <f>G36+'15'!H36</f>
        <v>10422.179999999993</v>
      </c>
      <c r="I36" s="455"/>
      <c r="J36" s="553">
        <f>H36/DAY(B2)</f>
        <v>651.38624999999956</v>
      </c>
      <c r="K36" s="428"/>
      <c r="L36" s="377"/>
      <c r="N36" s="724"/>
      <c r="O36" s="731"/>
      <c r="P36" s="382"/>
    </row>
    <row r="37" spans="1:16">
      <c r="A37" s="579" t="s">
        <v>166</v>
      </c>
      <c r="B37" s="580"/>
      <c r="C37" s="580"/>
      <c r="D37" s="523" t="s">
        <v>132</v>
      </c>
      <c r="E37" s="510">
        <f>'15'!F37</f>
        <v>35167</v>
      </c>
      <c r="F37" s="510">
        <v>35167</v>
      </c>
      <c r="G37" s="473">
        <f t="shared" si="3"/>
        <v>0</v>
      </c>
      <c r="H37" s="460">
        <f>G37+'15'!H37</f>
        <v>38272.080000000002</v>
      </c>
      <c r="I37" s="455"/>
      <c r="J37" s="553">
        <f>H37/DAY(B2)</f>
        <v>2392.0050000000001</v>
      </c>
      <c r="K37" s="428"/>
      <c r="L37" s="377"/>
      <c r="N37" s="724"/>
      <c r="O37" s="731"/>
      <c r="P37" s="382"/>
    </row>
    <row r="38" spans="1:16">
      <c r="A38" s="579" t="s">
        <v>167</v>
      </c>
      <c r="B38" s="580"/>
      <c r="C38" s="580"/>
      <c r="D38" s="523" t="s">
        <v>132</v>
      </c>
      <c r="E38" s="510">
        <f>'15'!F38</f>
        <v>48333</v>
      </c>
      <c r="F38" s="469">
        <v>48333</v>
      </c>
      <c r="G38" s="473">
        <f t="shared" si="3"/>
        <v>0</v>
      </c>
      <c r="H38" s="460">
        <f>G38+'15'!H38</f>
        <v>4519.510000000002</v>
      </c>
      <c r="I38" s="455"/>
      <c r="J38" s="553">
        <f>H38/DAY(B2)</f>
        <v>282.46937500000013</v>
      </c>
      <c r="K38" s="428"/>
      <c r="L38" s="377"/>
      <c r="N38" s="723"/>
      <c r="O38" s="730"/>
      <c r="P38" s="382"/>
    </row>
    <row r="39" spans="1:16">
      <c r="A39" s="579" t="s">
        <v>168</v>
      </c>
      <c r="B39" s="580"/>
      <c r="C39" s="580"/>
      <c r="D39" s="523" t="s">
        <v>132</v>
      </c>
      <c r="E39" s="510">
        <f>'15'!F39</f>
        <v>100066</v>
      </c>
      <c r="F39" s="510">
        <v>100066</v>
      </c>
      <c r="G39" s="473">
        <f t="shared" si="3"/>
        <v>0</v>
      </c>
      <c r="H39" s="460">
        <f>G39+'15'!H39</f>
        <v>109458.89</v>
      </c>
      <c r="I39" s="455"/>
      <c r="J39" s="553">
        <f>H39/DAY(B2)</f>
        <v>6841.180625</v>
      </c>
      <c r="K39" s="428"/>
      <c r="L39" s="377"/>
      <c r="N39" s="723"/>
      <c r="O39" s="731"/>
      <c r="P39" s="382"/>
    </row>
    <row r="40" spans="1:16">
      <c r="A40" s="600" t="s">
        <v>169</v>
      </c>
      <c r="B40" s="601"/>
      <c r="C40" s="601"/>
      <c r="D40" s="523" t="s">
        <v>132</v>
      </c>
      <c r="E40" s="510">
        <f>'15'!F40</f>
        <v>0.17</v>
      </c>
      <c r="F40" s="510">
        <v>0.17</v>
      </c>
      <c r="G40" s="473">
        <f t="shared" si="3"/>
        <v>0</v>
      </c>
      <c r="H40" s="460">
        <f>G40+'15'!H40</f>
        <v>-0.06</v>
      </c>
      <c r="I40" s="455"/>
      <c r="J40" s="553">
        <f>H40/DAY(B2)</f>
        <v>-3.7499999999999999E-3</v>
      </c>
      <c r="K40" s="429"/>
      <c r="L40" s="377"/>
      <c r="N40" s="723"/>
      <c r="O40" s="730"/>
      <c r="P40" s="382"/>
    </row>
    <row r="41" spans="1:16">
      <c r="A41" s="579" t="s">
        <v>170</v>
      </c>
      <c r="B41" s="580"/>
      <c r="C41" s="580"/>
      <c r="D41" s="523" t="s">
        <v>132</v>
      </c>
      <c r="E41" s="510">
        <f>'15'!F41</f>
        <v>65379.01</v>
      </c>
      <c r="F41" s="510">
        <v>65379.01</v>
      </c>
      <c r="G41" s="473">
        <f t="shared" si="3"/>
        <v>0</v>
      </c>
      <c r="H41" s="460">
        <f>G41+'15'!H41</f>
        <v>1496.6399999999994</v>
      </c>
      <c r="I41" s="455"/>
      <c r="J41" s="553">
        <f>H41/DAY(B2)</f>
        <v>93.539999999999964</v>
      </c>
      <c r="K41" s="428"/>
      <c r="L41" s="377"/>
      <c r="N41" s="723"/>
      <c r="O41" s="732"/>
      <c r="P41" s="726"/>
    </row>
    <row r="42" spans="1:16">
      <c r="A42" s="579" t="s">
        <v>171</v>
      </c>
      <c r="B42" s="580"/>
      <c r="C42" s="580"/>
      <c r="D42" s="523" t="s">
        <v>132</v>
      </c>
      <c r="E42" s="510">
        <f>'15'!F42</f>
        <v>59128.163</v>
      </c>
      <c r="F42" s="510">
        <v>59128.163</v>
      </c>
      <c r="G42" s="473">
        <f>F42-E42</f>
        <v>0</v>
      </c>
      <c r="H42" s="460">
        <f>G42+'15'!H42</f>
        <v>-0.68699999999807915</v>
      </c>
      <c r="I42" s="455"/>
      <c r="J42" s="553">
        <f>H42/DAY(B2)</f>
        <v>-4.2937499999879947E-2</v>
      </c>
      <c r="K42" s="428"/>
      <c r="L42" s="377"/>
      <c r="N42" s="723"/>
      <c r="O42" s="730"/>
      <c r="P42" s="382"/>
    </row>
    <row r="43" spans="1:16">
      <c r="A43" s="579" t="s">
        <v>172</v>
      </c>
      <c r="B43" s="580"/>
      <c r="C43" s="580"/>
      <c r="D43" s="523" t="s">
        <v>132</v>
      </c>
      <c r="E43" s="510">
        <f>'15'!F43</f>
        <v>862426.55</v>
      </c>
      <c r="F43" s="510">
        <v>864807.99</v>
      </c>
      <c r="G43" s="473">
        <f t="shared" si="3"/>
        <v>2381.4399999999441</v>
      </c>
      <c r="H43" s="460">
        <f>G43+'15'!H43</f>
        <v>38910.160000000033</v>
      </c>
      <c r="I43" s="455"/>
      <c r="J43" s="553">
        <f>H43/DAY(B2)</f>
        <v>2431.885000000002</v>
      </c>
      <c r="K43" s="428"/>
      <c r="L43" s="377"/>
      <c r="N43" s="723"/>
      <c r="O43" s="731"/>
      <c r="P43" s="382"/>
    </row>
    <row r="44" spans="1:16">
      <c r="A44" s="579" t="s">
        <v>173</v>
      </c>
      <c r="B44" s="580"/>
      <c r="C44" s="580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>
      <c r="A45" s="579" t="s">
        <v>174</v>
      </c>
      <c r="B45" s="580"/>
      <c r="C45" s="580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>
      <c r="A46" s="579" t="s">
        <v>175</v>
      </c>
      <c r="B46" s="580"/>
      <c r="C46" s="580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0.49000000000000909</v>
      </c>
      <c r="I46" s="455"/>
      <c r="J46" s="553">
        <f>H46/DAY(B2)</f>
        <v>3.0625000000000568E-2</v>
      </c>
      <c r="K46" s="428"/>
      <c r="L46" s="377"/>
      <c r="N46" s="723"/>
      <c r="O46" s="730"/>
      <c r="P46" s="382"/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6220.6699999999255</v>
      </c>
      <c r="H47" s="460">
        <f>G47+'15'!H47</f>
        <v>258284.72300000006</v>
      </c>
      <c r="I47" s="455"/>
      <c r="J47" s="553">
        <f>H47/DAY(B2)</f>
        <v>16142.795187500004</v>
      </c>
      <c r="K47" s="428"/>
      <c r="L47" s="377"/>
      <c r="N47" s="723"/>
      <c r="O47" s="730"/>
      <c r="P47" s="382"/>
    </row>
    <row r="48" spans="1:16">
      <c r="A48" s="599" t="s">
        <v>177</v>
      </c>
      <c r="B48" s="1216"/>
      <c r="C48" s="1216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>
      <c r="A49" s="579" t="s">
        <v>164</v>
      </c>
      <c r="B49" s="602"/>
      <c r="C49" s="602"/>
      <c r="D49" s="523" t="s">
        <v>132</v>
      </c>
      <c r="E49" s="510">
        <f>'15'!F49</f>
        <v>260732.13</v>
      </c>
      <c r="F49" s="510">
        <v>260732.13</v>
      </c>
      <c r="G49" s="473">
        <f t="shared" ref="G49:G58" si="4">F49-E49</f>
        <v>0</v>
      </c>
      <c r="H49" s="460">
        <f>G49+'15'!H49</f>
        <v>0</v>
      </c>
      <c r="I49" s="455"/>
      <c r="J49" s="553">
        <f>H49/DAY(B2)</f>
        <v>0</v>
      </c>
      <c r="K49" s="428">
        <f>E49+244</f>
        <v>260976.13</v>
      </c>
      <c r="L49" s="377"/>
      <c r="N49" s="723"/>
      <c r="O49" s="730"/>
      <c r="P49" s="382"/>
    </row>
    <row r="50" spans="1:16">
      <c r="A50" s="579" t="s">
        <v>178</v>
      </c>
      <c r="B50" s="602"/>
      <c r="C50" s="602"/>
      <c r="D50" s="523" t="s">
        <v>132</v>
      </c>
      <c r="E50" s="510">
        <f>'15'!F50</f>
        <v>420577.67</v>
      </c>
      <c r="F50" s="510">
        <v>421645.91</v>
      </c>
      <c r="G50" s="473">
        <f t="shared" si="4"/>
        <v>1068.2399999999907</v>
      </c>
      <c r="H50" s="460">
        <f>G50+'15'!H50</f>
        <v>17988.879999999946</v>
      </c>
      <c r="I50" s="455"/>
      <c r="J50" s="553">
        <f>H50/DAY(B2)</f>
        <v>1124.3049999999967</v>
      </c>
      <c r="K50" s="428"/>
      <c r="L50" s="377"/>
      <c r="N50" s="723"/>
      <c r="O50" s="731"/>
      <c r="P50" s="382"/>
    </row>
    <row r="51" spans="1:16">
      <c r="A51" s="579" t="s">
        <v>166</v>
      </c>
      <c r="B51" s="602"/>
      <c r="C51" s="602"/>
      <c r="D51" s="523" t="s">
        <v>132</v>
      </c>
      <c r="E51" s="510">
        <f>'15'!F51</f>
        <v>139757.67000000001</v>
      </c>
      <c r="F51" s="510">
        <v>141342.76999999999</v>
      </c>
      <c r="G51" s="473">
        <f t="shared" si="4"/>
        <v>1585.0999999999767</v>
      </c>
      <c r="H51" s="460">
        <f>G51+'15'!H51</f>
        <v>19742.849999999991</v>
      </c>
      <c r="I51" s="455"/>
      <c r="J51" s="553">
        <f>H51/DAY(B2)</f>
        <v>1233.9281249999995</v>
      </c>
      <c r="K51" s="428"/>
      <c r="L51" s="377"/>
      <c r="N51" s="723"/>
      <c r="O51" s="730"/>
      <c r="P51" s="382"/>
    </row>
    <row r="52" spans="1:16">
      <c r="A52" s="579" t="s">
        <v>179</v>
      </c>
      <c r="B52" s="602"/>
      <c r="C52" s="602"/>
      <c r="D52" s="523" t="s">
        <v>132</v>
      </c>
      <c r="E52" s="510">
        <f>'15'!F52</f>
        <v>534241.91</v>
      </c>
      <c r="F52" s="510">
        <v>536002.23</v>
      </c>
      <c r="G52" s="473">
        <f t="shared" si="4"/>
        <v>1760.3199999999488</v>
      </c>
      <c r="H52" s="460">
        <f>G52+'15'!H52</f>
        <v>26043.51999999996</v>
      </c>
      <c r="I52" s="455"/>
      <c r="J52" s="553">
        <f>H52/DAY(B2)</f>
        <v>1627.7199999999975</v>
      </c>
      <c r="K52" s="428"/>
      <c r="L52" s="377"/>
      <c r="N52" s="723"/>
      <c r="O52" s="730"/>
      <c r="P52" s="382"/>
    </row>
    <row r="53" spans="1:16">
      <c r="A53" s="579" t="s">
        <v>168</v>
      </c>
      <c r="B53" s="602"/>
      <c r="C53" s="602"/>
      <c r="D53" s="523" t="s">
        <v>132</v>
      </c>
      <c r="E53" s="510">
        <f>'15'!F53</f>
        <v>385971.21</v>
      </c>
      <c r="F53" s="510">
        <v>390124.67</v>
      </c>
      <c r="G53" s="473">
        <f t="shared" si="4"/>
        <v>4153.4599999999627</v>
      </c>
      <c r="H53" s="460">
        <f>G53+'15'!H53</f>
        <v>54085.159999999974</v>
      </c>
      <c r="I53" s="455"/>
      <c r="J53" s="553">
        <f>H53/DAY(B2)</f>
        <v>3380.3224999999984</v>
      </c>
      <c r="K53" s="428"/>
      <c r="L53" s="377"/>
      <c r="N53" s="723"/>
      <c r="O53" s="730"/>
      <c r="P53" s="382"/>
    </row>
    <row r="54" spans="1:16">
      <c r="A54" s="579" t="s">
        <v>180</v>
      </c>
      <c r="B54" s="602"/>
      <c r="C54" s="602"/>
      <c r="D54" s="523" t="s">
        <v>132</v>
      </c>
      <c r="E54" s="510">
        <f>'15'!F54</f>
        <v>8200.2900000000009</v>
      </c>
      <c r="F54" s="510">
        <v>8200.2900000000009</v>
      </c>
      <c r="G54" s="473">
        <f t="shared" si="4"/>
        <v>0</v>
      </c>
      <c r="H54" s="460">
        <f>G54+'15'!H54</f>
        <v>104.69000000000142</v>
      </c>
      <c r="I54" s="455"/>
      <c r="J54" s="553">
        <f>H54/DAY(B2)</f>
        <v>6.5431250000000887</v>
      </c>
      <c r="K54" s="428"/>
      <c r="L54" s="377"/>
      <c r="N54" s="723"/>
      <c r="O54" s="730"/>
      <c r="P54" s="382"/>
    </row>
    <row r="55" spans="1:16">
      <c r="A55" s="579" t="s">
        <v>181</v>
      </c>
      <c r="B55" s="602"/>
      <c r="C55" s="602"/>
      <c r="D55" s="523" t="s">
        <v>132</v>
      </c>
      <c r="E55" s="510">
        <f>'15'!F55</f>
        <v>192357.17</v>
      </c>
      <c r="F55" s="658">
        <v>197432.77</v>
      </c>
      <c r="G55" s="657">
        <f t="shared" si="4"/>
        <v>5075.5999999999767</v>
      </c>
      <c r="H55" s="710">
        <f>G55+'15'!H55</f>
        <v>74848.079999999987</v>
      </c>
      <c r="I55" s="711"/>
      <c r="J55" s="712">
        <f>H55/DAY(B2)</f>
        <v>4678.0049999999992</v>
      </c>
      <c r="K55" s="428"/>
      <c r="L55" s="377"/>
      <c r="N55" s="723"/>
      <c r="O55" s="730"/>
      <c r="P55" s="382"/>
    </row>
    <row r="56" spans="1:16">
      <c r="A56" s="579" t="s">
        <v>182</v>
      </c>
      <c r="B56" s="602"/>
      <c r="C56" s="602"/>
      <c r="D56" s="523" t="s">
        <v>183</v>
      </c>
      <c r="E56" s="510">
        <f>'15'!F56</f>
        <v>588833.11</v>
      </c>
      <c r="F56" s="658">
        <v>588841.67000000004</v>
      </c>
      <c r="G56" s="473">
        <f t="shared" si="4"/>
        <v>8.5600000000558794</v>
      </c>
      <c r="H56" s="460">
        <f>G56+'15'!H56</f>
        <v>2790.640000000014</v>
      </c>
      <c r="I56" s="455"/>
      <c r="J56" s="553">
        <f>H56/DAY(B2)</f>
        <v>174.41500000000087</v>
      </c>
      <c r="K56" s="427"/>
      <c r="L56" s="377"/>
      <c r="N56" s="723"/>
      <c r="O56" s="732"/>
      <c r="P56" s="382"/>
    </row>
    <row r="57" spans="1:16">
      <c r="A57" s="579" t="s">
        <v>172</v>
      </c>
      <c r="B57" s="602"/>
      <c r="C57" s="602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>
      <c r="A58" s="579" t="s">
        <v>184</v>
      </c>
      <c r="B58" s="602"/>
      <c r="C58" s="602"/>
      <c r="D58" s="523" t="s">
        <v>132</v>
      </c>
      <c r="E58" s="510">
        <f>'15'!F58</f>
        <v>38686.550000000003</v>
      </c>
      <c r="F58" s="658">
        <v>38860.85</v>
      </c>
      <c r="G58" s="473">
        <f t="shared" si="4"/>
        <v>174.29999999999563</v>
      </c>
      <c r="H58" s="460">
        <f>G58+'15'!H58</f>
        <v>2796.1500000000015</v>
      </c>
      <c r="I58" s="455"/>
      <c r="J58" s="553">
        <f>H58/DAY(B2)</f>
        <v>174.75937500000009</v>
      </c>
      <c r="K58" s="428"/>
      <c r="L58" s="377"/>
      <c r="N58" s="723"/>
      <c r="O58" s="730"/>
      <c r="P58" s="382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13825.579999999907</v>
      </c>
      <c r="H59" s="460">
        <f>G59+'15'!H59</f>
        <v>198399.96999999986</v>
      </c>
      <c r="I59" s="455">
        <f>G7-G60</f>
        <v>402.75000000016735</v>
      </c>
      <c r="J59" s="553">
        <f>H59/DAY(B2)</f>
        <v>12399.998124999991</v>
      </c>
      <c r="K59" s="428"/>
      <c r="L59" s="377"/>
      <c r="N59" s="723"/>
      <c r="O59" s="730"/>
      <c r="P59" s="382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20046.249999999833</v>
      </c>
      <c r="H60" s="460">
        <f>G60+'15'!H60</f>
        <v>470853.69299999991</v>
      </c>
      <c r="I60" s="455">
        <f>G13-G60</f>
        <v>-391.08999999985826</v>
      </c>
      <c r="J60" s="553">
        <f>H60/DAY(B2)</f>
        <v>29428.355812499994</v>
      </c>
      <c r="K60" s="428"/>
      <c r="L60" s="377"/>
      <c r="N60" s="723"/>
      <c r="O60" s="730"/>
      <c r="P60" s="382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>
      <c r="A62" s="604" t="s">
        <v>98</v>
      </c>
      <c r="B62" s="605"/>
      <c r="C62" s="605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-7.0000000014260877E-3</v>
      </c>
      <c r="I62" s="515"/>
      <c r="J62" s="553">
        <f>H62/DAY(B2)</f>
        <v>-4.3750000008913048E-4</v>
      </c>
      <c r="K62" s="428"/>
      <c r="L62" s="377"/>
      <c r="N62" s="723"/>
      <c r="O62" s="730"/>
      <c r="P62" s="382"/>
    </row>
    <row r="63" spans="1:16">
      <c r="A63" s="604" t="s">
        <v>188</v>
      </c>
      <c r="B63" s="605"/>
      <c r="C63" s="605"/>
      <c r="D63" s="511" t="s">
        <v>187</v>
      </c>
      <c r="E63" s="514">
        <f>'15'!F63</f>
        <v>1906.77</v>
      </c>
      <c r="F63" s="514">
        <v>1921.72</v>
      </c>
      <c r="G63" s="473">
        <f t="shared" si="5"/>
        <v>14.950000000000045</v>
      </c>
      <c r="H63" s="460">
        <f>G63+'15'!H63</f>
        <v>214.36000000000013</v>
      </c>
      <c r="I63" s="515"/>
      <c r="J63" s="553">
        <f>H63/DAY(B2)</f>
        <v>13.397500000000008</v>
      </c>
      <c r="K63" s="428"/>
      <c r="L63" s="377"/>
      <c r="N63" s="723"/>
      <c r="O63" s="730"/>
      <c r="P63" s="382"/>
    </row>
    <row r="64" spans="1:16" ht="27.75">
      <c r="A64" s="1408" t="s">
        <v>99</v>
      </c>
      <c r="B64" s="1409"/>
      <c r="C64" s="1410"/>
      <c r="D64" s="523" t="s">
        <v>187</v>
      </c>
      <c r="E64" s="1238">
        <f>'15'!F64</f>
        <v>131347.10999999999</v>
      </c>
      <c r="F64" s="627">
        <v>131840.94</v>
      </c>
      <c r="G64" s="779">
        <f t="shared" si="5"/>
        <v>493.8300000000163</v>
      </c>
      <c r="H64" s="460">
        <f>G64+'15'!H64</f>
        <v>8213.64</v>
      </c>
      <c r="I64" s="480"/>
      <c r="J64" s="553">
        <f>H64/DAY(B2)</f>
        <v>513.35249999999996</v>
      </c>
      <c r="K64" s="428"/>
      <c r="L64" s="377"/>
      <c r="N64" s="723"/>
      <c r="O64" s="730"/>
      <c r="P64" s="382"/>
    </row>
    <row r="65" spans="1:16" ht="27.75">
      <c r="A65" s="1408" t="s">
        <v>100</v>
      </c>
      <c r="B65" s="1409"/>
      <c r="C65" s="1410"/>
      <c r="D65" s="523" t="s">
        <v>187</v>
      </c>
      <c r="E65" s="514">
        <f>'15'!F65</f>
        <v>138183.46</v>
      </c>
      <c r="F65" s="656">
        <v>138559.16</v>
      </c>
      <c r="G65" s="473">
        <f t="shared" si="5"/>
        <v>375.70000000001164</v>
      </c>
      <c r="H65" s="460">
        <f>G65+'15'!H65</f>
        <v>5961.8600000000151</v>
      </c>
      <c r="I65" s="489"/>
      <c r="J65" s="553">
        <f>H65/DAY(B2)</f>
        <v>372.61625000000095</v>
      </c>
      <c r="K65" s="428"/>
      <c r="L65" s="377"/>
      <c r="N65" s="723"/>
      <c r="O65" s="731"/>
      <c r="P65" s="382"/>
    </row>
    <row r="66" spans="1:16" ht="27.75">
      <c r="A66" s="1408" t="s">
        <v>101</v>
      </c>
      <c r="B66" s="1409"/>
      <c r="C66" s="1410"/>
      <c r="D66" s="523" t="s">
        <v>187</v>
      </c>
      <c r="E66" s="514">
        <f>'15'!F66</f>
        <v>30923.73</v>
      </c>
      <c r="F66" s="478">
        <v>31315.13</v>
      </c>
      <c r="G66" s="473">
        <f t="shared" si="5"/>
        <v>391.40000000000146</v>
      </c>
      <c r="H66" s="460">
        <f>G66+'15'!H66</f>
        <v>6155.380000000001</v>
      </c>
      <c r="I66" s="480"/>
      <c r="J66" s="553">
        <f>H66/DAY(B2)</f>
        <v>384.71125000000006</v>
      </c>
      <c r="K66" s="428"/>
      <c r="L66" s="377"/>
      <c r="N66" s="723"/>
      <c r="O66" s="730"/>
      <c r="P66" s="382"/>
    </row>
    <row r="67" spans="1:16" ht="27.75">
      <c r="A67" s="1408" t="s">
        <v>102</v>
      </c>
      <c r="B67" s="1409"/>
      <c r="C67" s="1410"/>
      <c r="D67" s="523" t="s">
        <v>187</v>
      </c>
      <c r="E67" s="514">
        <f>'15'!F67</f>
        <v>218039.53</v>
      </c>
      <c r="F67" s="478">
        <v>218709.71</v>
      </c>
      <c r="G67" s="473">
        <f t="shared" si="5"/>
        <v>670.17999999999302</v>
      </c>
      <c r="H67" s="460">
        <f>G67+'15'!H67</f>
        <v>10867.880000000005</v>
      </c>
      <c r="I67" s="489"/>
      <c r="J67" s="553">
        <f>H67/DAY(B2)</f>
        <v>679.24250000000029</v>
      </c>
      <c r="K67" s="429"/>
      <c r="L67" s="377"/>
      <c r="N67" s="723"/>
      <c r="O67" s="730"/>
      <c r="P67" s="382"/>
    </row>
    <row r="68" spans="1:16" ht="27.75">
      <c r="A68" s="1408" t="s">
        <v>103</v>
      </c>
      <c r="B68" s="1409"/>
      <c r="C68" s="1410"/>
      <c r="D68" s="523" t="s">
        <v>187</v>
      </c>
      <c r="E68" s="514">
        <f>'15'!F68</f>
        <v>77764.17</v>
      </c>
      <c r="F68" s="478">
        <v>78087.59</v>
      </c>
      <c r="G68" s="473">
        <f t="shared" si="5"/>
        <v>323.41999999999825</v>
      </c>
      <c r="H68" s="460">
        <f>G68+'15'!H68</f>
        <v>5409.0699999999924</v>
      </c>
      <c r="I68" s="516"/>
      <c r="J68" s="553">
        <f>H68/DAY(B2)</f>
        <v>338.06687499999953</v>
      </c>
      <c r="K68" s="430"/>
      <c r="L68" s="377"/>
      <c r="N68" s="723"/>
      <c r="O68" s="730"/>
      <c r="P68" s="382"/>
    </row>
    <row r="69" spans="1:16" ht="27.75">
      <c r="A69" s="1408" t="s">
        <v>104</v>
      </c>
      <c r="B69" s="1409"/>
      <c r="C69" s="1410"/>
      <c r="D69" s="523" t="s">
        <v>187</v>
      </c>
      <c r="E69" s="514">
        <f>'15'!F69</f>
        <v>69319.399999999994</v>
      </c>
      <c r="F69" s="478">
        <v>69624.479999999996</v>
      </c>
      <c r="G69" s="473">
        <f t="shared" si="5"/>
        <v>305.08000000000175</v>
      </c>
      <c r="H69" s="460">
        <f>G69+'15'!H69</f>
        <v>5172.3899999999994</v>
      </c>
      <c r="I69" s="516"/>
      <c r="J69" s="553">
        <f>H69/DAY(B2)</f>
        <v>323.27437499999996</v>
      </c>
      <c r="K69" s="431"/>
      <c r="L69" s="377"/>
      <c r="N69" s="723"/>
      <c r="O69" s="730"/>
      <c r="P69" s="382"/>
    </row>
    <row r="70" spans="1:16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723"/>
      <c r="O70" s="730"/>
      <c r="P70" s="382"/>
    </row>
    <row r="71" spans="1:16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723"/>
      <c r="O71" s="730"/>
      <c r="P71" s="382"/>
    </row>
    <row r="72" spans="1:16" ht="27.75">
      <c r="A72" s="1408" t="s">
        <v>191</v>
      </c>
      <c r="B72" s="1409"/>
      <c r="C72" s="1410"/>
      <c r="D72" s="523" t="s">
        <v>187</v>
      </c>
      <c r="E72" s="519">
        <f>'15'!F72</f>
        <v>851903</v>
      </c>
      <c r="F72" s="659">
        <v>852003</v>
      </c>
      <c r="G72" s="473">
        <f t="shared" ref="G72:G84" si="6">F72-E72</f>
        <v>100</v>
      </c>
      <c r="H72" s="460">
        <f>G72+'15'!H72</f>
        <v>1321</v>
      </c>
      <c r="I72" s="480"/>
      <c r="J72" s="553">
        <f>H72/DAY(B2)</f>
        <v>82.5625</v>
      </c>
      <c r="K72" s="431"/>
      <c r="L72" s="377"/>
      <c r="N72" s="723"/>
      <c r="O72" s="730"/>
      <c r="P72" s="382"/>
    </row>
    <row r="73" spans="1:16" ht="27.75">
      <c r="A73" s="1408" t="s">
        <v>192</v>
      </c>
      <c r="B73" s="1409"/>
      <c r="C73" s="1410"/>
      <c r="D73" s="523" t="s">
        <v>187</v>
      </c>
      <c r="E73" s="519">
        <f>'15'!F73</f>
        <v>885777</v>
      </c>
      <c r="F73" s="660">
        <v>885777</v>
      </c>
      <c r="G73" s="657">
        <f t="shared" si="6"/>
        <v>0</v>
      </c>
      <c r="H73" s="460">
        <f>G73+'15'!H73</f>
        <v>1119</v>
      </c>
      <c r="I73" s="480"/>
      <c r="J73" s="553">
        <f>H73/DAY(B2)</f>
        <v>69.9375</v>
      </c>
      <c r="K73" s="430"/>
      <c r="L73" s="377"/>
      <c r="N73" s="723"/>
      <c r="O73" s="730"/>
      <c r="P73" s="382"/>
    </row>
    <row r="74" spans="1:16" ht="27.75">
      <c r="A74" s="1408" t="s">
        <v>193</v>
      </c>
      <c r="B74" s="1409"/>
      <c r="C74" s="1410"/>
      <c r="D74" s="523" t="s">
        <v>187</v>
      </c>
      <c r="E74" s="519">
        <f>'15'!F74</f>
        <v>1026.95</v>
      </c>
      <c r="F74" s="660">
        <v>1045.3900000000001</v>
      </c>
      <c r="G74" s="473">
        <f t="shared" si="6"/>
        <v>18.440000000000055</v>
      </c>
      <c r="H74" s="460">
        <f>G74+'15'!H74</f>
        <v>459.22000000000014</v>
      </c>
      <c r="I74" s="480"/>
      <c r="J74" s="553">
        <f>H74/DAY(B2)</f>
        <v>28.701250000000009</v>
      </c>
      <c r="K74" s="431"/>
      <c r="L74" s="377"/>
      <c r="N74" s="723"/>
      <c r="O74" s="730"/>
      <c r="P74" s="382"/>
    </row>
    <row r="75" spans="1:16" ht="27.75">
      <c r="A75" s="1457" t="s">
        <v>194</v>
      </c>
      <c r="B75" s="1458"/>
      <c r="C75" s="1459"/>
      <c r="D75" s="523" t="s">
        <v>187</v>
      </c>
      <c r="E75" s="519">
        <f>'15'!F75</f>
        <v>6013.29</v>
      </c>
      <c r="F75" s="660">
        <v>6177.22</v>
      </c>
      <c r="G75" s="473">
        <f t="shared" si="6"/>
        <v>163.93000000000029</v>
      </c>
      <c r="H75" s="460">
        <f>G75+'15'!H75</f>
        <v>2658.0000000000005</v>
      </c>
      <c r="I75" s="480"/>
      <c r="J75" s="553">
        <f>H75/DAY(B2)</f>
        <v>166.12500000000003</v>
      </c>
      <c r="K75" s="430"/>
      <c r="L75" s="377"/>
      <c r="N75" s="723"/>
      <c r="O75" s="730"/>
      <c r="P75" s="382"/>
    </row>
    <row r="76" spans="1:16" ht="27.75">
      <c r="A76" s="1457" t="s">
        <v>195</v>
      </c>
      <c r="B76" s="1458"/>
      <c r="C76" s="1459"/>
      <c r="D76" s="523" t="s">
        <v>187</v>
      </c>
      <c r="E76" s="519">
        <f>'15'!F76</f>
        <v>2762.62</v>
      </c>
      <c r="F76" s="660">
        <v>2830.3</v>
      </c>
      <c r="G76" s="473">
        <f t="shared" si="6"/>
        <v>67.680000000000291</v>
      </c>
      <c r="H76" s="460">
        <f>G76+'15'!H76</f>
        <v>2355.0800000000004</v>
      </c>
      <c r="I76" s="505"/>
      <c r="J76" s="553">
        <f>H76/DAY(B2)</f>
        <v>147.19250000000002</v>
      </c>
      <c r="K76" s="430"/>
      <c r="L76" s="377"/>
      <c r="N76" s="723"/>
      <c r="O76" s="730"/>
      <c r="P76" s="382"/>
    </row>
    <row r="77" spans="1:16" ht="27.75">
      <c r="A77" s="1408" t="s">
        <v>196</v>
      </c>
      <c r="B77" s="1409"/>
      <c r="C77" s="1410"/>
      <c r="D77" s="523" t="s">
        <v>187</v>
      </c>
      <c r="E77" s="519">
        <f>'15'!F77</f>
        <v>699381</v>
      </c>
      <c r="F77" s="660">
        <v>699439</v>
      </c>
      <c r="G77" s="657">
        <f t="shared" si="6"/>
        <v>58</v>
      </c>
      <c r="H77" s="460">
        <f>G77+'15'!H77</f>
        <v>851</v>
      </c>
      <c r="I77" s="505"/>
      <c r="J77" s="553">
        <f>H77/DAY(B2)</f>
        <v>53.1875</v>
      </c>
      <c r="K77" s="430"/>
      <c r="L77" s="377"/>
      <c r="N77" s="723"/>
      <c r="O77" s="730"/>
      <c r="P77" s="382"/>
    </row>
    <row r="78" spans="1:16" ht="27.75">
      <c r="A78" s="1217" t="s">
        <v>197</v>
      </c>
      <c r="B78" s="1213"/>
      <c r="C78" s="1213"/>
      <c r="D78" s="523" t="s">
        <v>187</v>
      </c>
      <c r="E78" s="519">
        <f>'15'!F78</f>
        <v>658895</v>
      </c>
      <c r="F78" s="661">
        <v>659318</v>
      </c>
      <c r="G78" s="473">
        <f t="shared" si="6"/>
        <v>423</v>
      </c>
      <c r="H78" s="460">
        <f>G78+'15'!H78</f>
        <v>6455</v>
      </c>
      <c r="I78" s="505"/>
      <c r="J78" s="553">
        <f>H78/DAY(B2)</f>
        <v>403.4375</v>
      </c>
      <c r="K78" s="430"/>
      <c r="L78" s="377"/>
      <c r="N78" s="723"/>
      <c r="O78" s="730"/>
      <c r="P78" s="382"/>
    </row>
    <row r="79" spans="1:16" ht="27.75">
      <c r="A79" s="1457" t="s">
        <v>92</v>
      </c>
      <c r="B79" s="1458"/>
      <c r="C79" s="1459"/>
      <c r="D79" s="524" t="s">
        <v>187</v>
      </c>
      <c r="E79" s="519">
        <f>'15'!F79</f>
        <v>818194</v>
      </c>
      <c r="F79" s="661">
        <v>818400</v>
      </c>
      <c r="G79" s="473">
        <f t="shared" si="6"/>
        <v>206</v>
      </c>
      <c r="H79" s="460">
        <f>G79+'15'!H79</f>
        <v>5801</v>
      </c>
      <c r="I79" s="505"/>
      <c r="J79" s="553">
        <f>H79/DAY(B2)</f>
        <v>362.5625</v>
      </c>
      <c r="K79" s="430"/>
      <c r="L79" s="377"/>
      <c r="N79" s="723"/>
      <c r="O79" s="730"/>
      <c r="P79" s="382"/>
    </row>
    <row r="80" spans="1:16" ht="27.75">
      <c r="A80" s="1457" t="s">
        <v>198</v>
      </c>
      <c r="B80" s="1458"/>
      <c r="C80" s="1459"/>
      <c r="D80" s="524" t="s">
        <v>187</v>
      </c>
      <c r="E80" s="519">
        <f>'15'!F80</f>
        <v>500014.52</v>
      </c>
      <c r="F80" s="660">
        <v>500368.36</v>
      </c>
      <c r="G80" s="473">
        <f t="shared" si="6"/>
        <v>353.8399999999674</v>
      </c>
      <c r="H80" s="460">
        <f>G80+'15'!H80</f>
        <v>3754.359999999986</v>
      </c>
      <c r="I80" s="505"/>
      <c r="J80" s="553">
        <f>H80/DAY(B2)</f>
        <v>234.64749999999913</v>
      </c>
      <c r="K80" s="430"/>
      <c r="L80" s="377"/>
      <c r="N80" s="723"/>
      <c r="O80" s="730"/>
      <c r="P80" s="382"/>
    </row>
    <row r="81" spans="1:16" ht="27.75">
      <c r="A81" s="1457" t="s">
        <v>199</v>
      </c>
      <c r="B81" s="1458"/>
      <c r="C81" s="1459"/>
      <c r="D81" s="524" t="s">
        <v>187</v>
      </c>
      <c r="E81" s="519">
        <f>'15'!F81</f>
        <v>627559.16</v>
      </c>
      <c r="F81" s="660">
        <v>627667.31999999995</v>
      </c>
      <c r="G81" s="473">
        <f t="shared" si="6"/>
        <v>108.15999999991618</v>
      </c>
      <c r="H81" s="460">
        <f>G81+'15'!H81</f>
        <v>1723.4799999999814</v>
      </c>
      <c r="I81" s="505"/>
      <c r="J81" s="553">
        <f>H81/DAY(B2)</f>
        <v>107.71749999999884</v>
      </c>
      <c r="K81" s="430"/>
      <c r="L81" s="377"/>
      <c r="N81" s="723"/>
      <c r="O81" s="730"/>
      <c r="P81" s="382"/>
    </row>
    <row r="82" spans="1:16" s="441" customFormat="1" ht="27.75">
      <c r="A82" s="1477" t="s">
        <v>93</v>
      </c>
      <c r="B82" s="1478"/>
      <c r="C82" s="1479"/>
      <c r="D82" s="656" t="s">
        <v>132</v>
      </c>
      <c r="E82" s="520">
        <f>'15'!F82</f>
        <v>106537.94</v>
      </c>
      <c r="F82" s="656">
        <v>106562.23</v>
      </c>
      <c r="G82" s="657">
        <f t="shared" si="6"/>
        <v>24.289999999993597</v>
      </c>
      <c r="H82" s="710">
        <f>G82+'15'!H82</f>
        <v>359.75</v>
      </c>
      <c r="I82" s="710"/>
      <c r="J82" s="712">
        <f>H82/DAY(B2)</f>
        <v>22.484375</v>
      </c>
      <c r="K82" s="1327"/>
      <c r="L82" s="1114"/>
      <c r="N82" s="723"/>
      <c r="O82" s="732"/>
      <c r="P82" s="718"/>
    </row>
    <row r="83" spans="1:16" ht="27.75">
      <c r="A83" s="1457" t="s">
        <v>200</v>
      </c>
      <c r="B83" s="1458"/>
      <c r="C83" s="1459"/>
      <c r="D83" s="621" t="s">
        <v>132</v>
      </c>
      <c r="E83" s="519">
        <f>'15'!F83</f>
        <v>2685</v>
      </c>
      <c r="F83" s="511">
        <v>2926</v>
      </c>
      <c r="G83" s="473">
        <f t="shared" si="6"/>
        <v>241</v>
      </c>
      <c r="H83" s="460">
        <f>G83+'15'!H83</f>
        <v>6329</v>
      </c>
      <c r="I83" s="481"/>
      <c r="J83" s="553">
        <f>H83/DAY(B2)</f>
        <v>395.5625</v>
      </c>
      <c r="K83" s="429"/>
      <c r="L83" s="377"/>
      <c r="N83" s="723"/>
      <c r="O83" s="730"/>
      <c r="P83" s="382"/>
    </row>
    <row r="84" spans="1:16">
      <c r="A84" s="1220" t="s">
        <v>201</v>
      </c>
      <c r="B84" s="572"/>
      <c r="C84" s="572"/>
      <c r="D84" s="478" t="s">
        <v>132</v>
      </c>
      <c r="E84" s="519">
        <f>'15'!F84</f>
        <v>442680</v>
      </c>
      <c r="F84" s="628">
        <v>443372</v>
      </c>
      <c r="G84" s="473">
        <f t="shared" si="6"/>
        <v>692</v>
      </c>
      <c r="H84" s="460">
        <f>G84+'15'!H84</f>
        <v>12574</v>
      </c>
      <c r="I84" s="481"/>
      <c r="J84" s="553">
        <f>H84/DAY(B2)</f>
        <v>785.875</v>
      </c>
      <c r="K84" s="380"/>
      <c r="L84" s="377"/>
      <c r="N84" s="723"/>
      <c r="O84" s="730"/>
      <c r="P84" s="382"/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2456.3399999998778</v>
      </c>
      <c r="H85" s="460">
        <f>G85+'15'!H85</f>
        <v>41101.749999999898</v>
      </c>
      <c r="I85" s="481"/>
      <c r="J85" s="553">
        <f>H85/DAY(B2)</f>
        <v>2568.8593749999936</v>
      </c>
      <c r="K85" s="380"/>
      <c r="L85" s="378"/>
      <c r="N85" s="723"/>
      <c r="O85" s="730"/>
      <c r="P85" s="382"/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'15'!F86</f>
        <v>452220.52</v>
      </c>
      <c r="F86" s="652">
        <v>452333.56</v>
      </c>
      <c r="G86" s="710">
        <f t="shared" ref="G86:G90" si="7">F86-E86</f>
        <v>113.03999999997905</v>
      </c>
      <c r="H86" s="710">
        <f t="shared" ref="H86:H88" si="8">G86</f>
        <v>113.03999999997905</v>
      </c>
      <c r="I86" s="657"/>
      <c r="J86" s="712">
        <f>H86/DAY(B2)</f>
        <v>7.0649999999986903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'15'!F87</f>
        <v>79643.5</v>
      </c>
      <c r="F87" s="652">
        <v>79673.399999999994</v>
      </c>
      <c r="G87" s="710">
        <f t="shared" si="7"/>
        <v>29.899999999994179</v>
      </c>
      <c r="H87" s="710">
        <f t="shared" si="8"/>
        <v>29.899999999994179</v>
      </c>
      <c r="I87" s="657"/>
      <c r="J87" s="712">
        <f>H87/DAY(B2)</f>
        <v>1.8687499999996362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'15'!F88</f>
        <v>149355.45000000001</v>
      </c>
      <c r="F88" s="652">
        <v>149472.95999999999</v>
      </c>
      <c r="G88" s="710">
        <f t="shared" si="7"/>
        <v>117.50999999998021</v>
      </c>
      <c r="H88" s="710">
        <f t="shared" si="8"/>
        <v>117.50999999998021</v>
      </c>
      <c r="I88" s="657"/>
      <c r="J88" s="712">
        <f>H88/DAY(B2)</f>
        <v>7.3443749999987631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'15'!F89</f>
        <v>62715.4</v>
      </c>
      <c r="F89" s="652">
        <v>62774.6</v>
      </c>
      <c r="G89" s="710">
        <f t="shared" si="7"/>
        <v>59.19999999999709</v>
      </c>
      <c r="H89" s="710">
        <f>G89</f>
        <v>59.19999999999709</v>
      </c>
      <c r="I89" s="657"/>
      <c r="J89" s="712">
        <f>H89/DAY(B2)</f>
        <v>3.6999999999998181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'15'!F90</f>
        <v>3226.2</v>
      </c>
      <c r="F90" s="652">
        <v>3229.8</v>
      </c>
      <c r="G90" s="710">
        <f t="shared" si="7"/>
        <v>3.6000000000003638</v>
      </c>
      <c r="H90" s="710">
        <f>G90</f>
        <v>3.6000000000003638</v>
      </c>
      <c r="I90" s="657"/>
      <c r="J90" s="712">
        <f>H90/DAY(B2)</f>
        <v>0.22500000000002274</v>
      </c>
      <c r="K90" s="738"/>
      <c r="L90" s="739"/>
      <c r="N90" s="783"/>
      <c r="O90" s="382"/>
    </row>
    <row r="91" spans="1:16" s="379" customFormat="1">
      <c r="A91" s="607" t="s">
        <v>205</v>
      </c>
      <c r="B91" s="1218"/>
      <c r="C91" s="1218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>
      <c r="A92" s="1411" t="s">
        <v>206</v>
      </c>
      <c r="B92" s="1412"/>
      <c r="C92" s="1413"/>
      <c r="D92" s="523" t="s">
        <v>144</v>
      </c>
      <c r="E92" s="484">
        <f>'15'!F92</f>
        <v>241139</v>
      </c>
      <c r="F92" s="478">
        <v>241214</v>
      </c>
      <c r="G92" s="473">
        <f t="shared" ref="G92:G93" si="9">F92-E92</f>
        <v>75</v>
      </c>
      <c r="H92" s="460">
        <f>G92+'15'!H92</f>
        <v>1519</v>
      </c>
      <c r="I92" s="480"/>
      <c r="J92" s="553">
        <f>H92/DAY(B2)</f>
        <v>94.9375</v>
      </c>
      <c r="K92" s="429"/>
      <c r="L92" s="377"/>
      <c r="N92" s="723"/>
      <c r="O92" s="730"/>
      <c r="P92" s="382"/>
    </row>
    <row r="93" spans="1:16" ht="27.75">
      <c r="A93" s="1411" t="s">
        <v>207</v>
      </c>
      <c r="B93" s="1412"/>
      <c r="C93" s="1413"/>
      <c r="D93" s="523" t="s">
        <v>144</v>
      </c>
      <c r="E93" s="484">
        <f>'15'!F93</f>
        <v>177563</v>
      </c>
      <c r="F93" s="478">
        <v>177708</v>
      </c>
      <c r="G93" s="473">
        <f t="shared" si="9"/>
        <v>145</v>
      </c>
      <c r="H93" s="460">
        <f>G93+'15'!H93</f>
        <v>2047</v>
      </c>
      <c r="I93" s="480"/>
      <c r="J93" s="553">
        <f>H93/DAY(B2)</f>
        <v>127.9375</v>
      </c>
      <c r="K93" s="380"/>
      <c r="L93" s="377"/>
      <c r="N93" s="723"/>
      <c r="O93" s="730"/>
      <c r="P93" s="382"/>
    </row>
    <row r="94" spans="1:16">
      <c r="A94" s="1405" t="s">
        <v>208</v>
      </c>
      <c r="B94" s="1406"/>
      <c r="C94" s="1407"/>
      <c r="D94" s="523"/>
      <c r="E94" s="484">
        <f>'15'!F94</f>
        <v>0</v>
      </c>
      <c r="F94" s="478">
        <v>0</v>
      </c>
      <c r="G94" s="473">
        <f>G92+G93</f>
        <v>220</v>
      </c>
      <c r="H94" s="460">
        <f>G94+'15'!H94</f>
        <v>3300</v>
      </c>
      <c r="I94" s="480"/>
      <c r="J94" s="553">
        <f>H94/DAY(B2)</f>
        <v>206.25</v>
      </c>
      <c r="K94" s="380"/>
      <c r="L94" s="377"/>
      <c r="N94" s="723"/>
      <c r="O94" s="730"/>
      <c r="P94" s="382"/>
    </row>
    <row r="95" spans="1:16" ht="27.75">
      <c r="A95" s="1411" t="s">
        <v>209</v>
      </c>
      <c r="B95" s="1412"/>
      <c r="C95" s="1413"/>
      <c r="D95" s="523" t="s">
        <v>144</v>
      </c>
      <c r="E95" s="484">
        <f>'15'!F95</f>
        <v>409445</v>
      </c>
      <c r="F95" s="478">
        <v>409517</v>
      </c>
      <c r="G95" s="473">
        <f t="shared" ref="G95:G100" si="10">F95-E95</f>
        <v>72</v>
      </c>
      <c r="H95" s="460">
        <f>G95+'15'!H95</f>
        <v>1361</v>
      </c>
      <c r="I95" s="480"/>
      <c r="J95" s="553">
        <f>H95/DAY(B2)</f>
        <v>85.0625</v>
      </c>
      <c r="K95" s="380"/>
      <c r="L95" s="377"/>
      <c r="N95" s="723"/>
      <c r="O95" s="730"/>
      <c r="P95" s="382"/>
    </row>
    <row r="96" spans="1:16" ht="27.75">
      <c r="A96" s="1214" t="s">
        <v>210</v>
      </c>
      <c r="B96" s="1215"/>
      <c r="C96" s="1215"/>
      <c r="D96" s="523" t="s">
        <v>144</v>
      </c>
      <c r="E96" s="484">
        <f>'15'!F96</f>
        <v>101560</v>
      </c>
      <c r="F96" s="478">
        <v>101567</v>
      </c>
      <c r="G96" s="473">
        <f t="shared" si="10"/>
        <v>7</v>
      </c>
      <c r="H96" s="460">
        <f>G96+'15'!H96</f>
        <v>235</v>
      </c>
      <c r="I96" s="480"/>
      <c r="J96" s="553">
        <f>H96/DAY(B2)</f>
        <v>14.6875</v>
      </c>
      <c r="K96" s="427"/>
      <c r="L96" s="377"/>
      <c r="N96" s="723"/>
      <c r="O96" s="730"/>
      <c r="P96" s="382"/>
    </row>
    <row r="97" spans="1:16" ht="27.75">
      <c r="A97" s="1214" t="s">
        <v>211</v>
      </c>
      <c r="B97" s="1215"/>
      <c r="C97" s="1215"/>
      <c r="D97" s="523" t="s">
        <v>144</v>
      </c>
      <c r="E97" s="484">
        <f>'15'!F97</f>
        <v>96723</v>
      </c>
      <c r="F97" s="478">
        <v>96632</v>
      </c>
      <c r="G97" s="473">
        <f t="shared" si="10"/>
        <v>-91</v>
      </c>
      <c r="H97" s="460">
        <f>G97+'15'!H97</f>
        <v>183</v>
      </c>
      <c r="I97" s="480"/>
      <c r="J97" s="553">
        <f>H97/DAY(B2)</f>
        <v>11.4375</v>
      </c>
      <c r="K97" s="432"/>
      <c r="L97" s="377"/>
      <c r="N97" s="723">
        <v>96617</v>
      </c>
      <c r="O97" s="730"/>
      <c r="P97" s="382"/>
    </row>
    <row r="98" spans="1:16" ht="27.75">
      <c r="A98" s="1214" t="s">
        <v>212</v>
      </c>
      <c r="B98" s="1215"/>
      <c r="C98" s="1215"/>
      <c r="D98" s="523" t="s">
        <v>144</v>
      </c>
      <c r="E98" s="484">
        <f>'15'!F98</f>
        <v>148415</v>
      </c>
      <c r="F98" s="478">
        <v>148425</v>
      </c>
      <c r="G98" s="473">
        <f t="shared" si="10"/>
        <v>10</v>
      </c>
      <c r="H98" s="460">
        <f>G98+'15'!H98</f>
        <v>817</v>
      </c>
      <c r="I98" s="480"/>
      <c r="J98" s="553">
        <f>H98/DAY(B2)</f>
        <v>51.0625</v>
      </c>
      <c r="K98" s="380"/>
      <c r="L98" s="377"/>
      <c r="N98" s="725"/>
      <c r="O98" s="730"/>
      <c r="P98" s="382"/>
    </row>
    <row r="99" spans="1:16" ht="27.75">
      <c r="A99" s="1214" t="s">
        <v>213</v>
      </c>
      <c r="B99" s="1215"/>
      <c r="C99" s="1215"/>
      <c r="D99" s="523" t="s">
        <v>144</v>
      </c>
      <c r="E99" s="484">
        <f>'15'!F99</f>
        <v>6616</v>
      </c>
      <c r="F99" s="478">
        <v>6646</v>
      </c>
      <c r="G99" s="473">
        <f t="shared" si="10"/>
        <v>30</v>
      </c>
      <c r="H99" s="460">
        <f>G99+'15'!H99</f>
        <v>238</v>
      </c>
      <c r="I99" s="480"/>
      <c r="J99" s="553">
        <f>H99/DAY(B2)</f>
        <v>14.875</v>
      </c>
      <c r="K99" s="380"/>
      <c r="L99" s="377"/>
      <c r="N99" s="723"/>
      <c r="O99" s="730"/>
      <c r="P99" s="382"/>
    </row>
    <row r="100" spans="1:16" ht="27.75">
      <c r="A100" s="1214" t="s">
        <v>214</v>
      </c>
      <c r="B100" s="1215"/>
      <c r="C100" s="1215"/>
      <c r="D100" s="523" t="s">
        <v>144</v>
      </c>
      <c r="E100" s="484">
        <f>'15'!F100</f>
        <v>4739</v>
      </c>
      <c r="F100" s="478">
        <v>4744</v>
      </c>
      <c r="G100" s="473">
        <f t="shared" si="10"/>
        <v>5</v>
      </c>
      <c r="H100" s="460">
        <f>G100+'15'!H100</f>
        <v>201</v>
      </c>
      <c r="I100" s="480"/>
      <c r="J100" s="553">
        <f>H100/DAY(B2)</f>
        <v>12.5625</v>
      </c>
      <c r="K100" s="380"/>
      <c r="L100" s="377"/>
      <c r="N100" s="723"/>
      <c r="O100" s="730"/>
      <c r="P100" s="382"/>
    </row>
    <row r="101" spans="1:16">
      <c r="A101" s="1405" t="s">
        <v>216</v>
      </c>
      <c r="B101" s="1406"/>
      <c r="C101" s="1407"/>
      <c r="D101" s="524"/>
      <c r="E101" s="484"/>
      <c r="F101" s="524"/>
      <c r="G101" s="525">
        <f>SUM(G95:G100)</f>
        <v>33</v>
      </c>
      <c r="H101" s="460">
        <f>G101+'15'!H101</f>
        <v>3035</v>
      </c>
      <c r="I101" s="526"/>
      <c r="J101" s="553">
        <f>H101/DAY(B2)</f>
        <v>189.6875</v>
      </c>
      <c r="K101" s="380"/>
      <c r="L101" s="377"/>
      <c r="N101" s="723"/>
      <c r="O101" s="730"/>
      <c r="P101" s="382"/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>
      <c r="A103" s="1414" t="s">
        <v>218</v>
      </c>
      <c r="B103" s="1415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>
      <c r="A104" s="1416" t="s">
        <v>219</v>
      </c>
      <c r="B104" s="1417"/>
      <c r="C104" s="1219"/>
      <c r="D104" s="623" t="s">
        <v>144</v>
      </c>
      <c r="E104" s="484">
        <f>'15'!F104</f>
        <v>7240</v>
      </c>
      <c r="F104" s="1326">
        <v>7240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4.9468750000000057</v>
      </c>
      <c r="N104" s="723"/>
      <c r="O104" s="730"/>
      <c r="P104" s="382"/>
    </row>
    <row r="105" spans="1:16" s="442" customFormat="1" ht="27.75">
      <c r="A105" s="1416" t="s">
        <v>77</v>
      </c>
      <c r="B105" s="1417"/>
      <c r="C105" s="1219"/>
      <c r="D105" s="623" t="s">
        <v>144</v>
      </c>
      <c r="E105" s="484">
        <f>'15'!F105</f>
        <v>35521</v>
      </c>
      <c r="F105" s="664">
        <v>35529</v>
      </c>
      <c r="G105" s="532">
        <f t="shared" ref="G105:G106" si="11">F105-E105</f>
        <v>8</v>
      </c>
      <c r="H105" s="533">
        <f>SUM(G105+'1'!G77)</f>
        <v>53</v>
      </c>
      <c r="I105" s="532"/>
      <c r="J105" s="559">
        <f>H105/DAY(B2)</f>
        <v>3.3125</v>
      </c>
      <c r="N105" s="723"/>
      <c r="O105" s="730"/>
      <c r="P105" s="382"/>
    </row>
    <row r="106" spans="1:16" s="442" customFormat="1" ht="27.75">
      <c r="A106" s="1416" t="s">
        <v>78</v>
      </c>
      <c r="B106" s="1418"/>
      <c r="C106" s="1417"/>
      <c r="D106" s="623" t="s">
        <v>144</v>
      </c>
      <c r="E106" s="484">
        <f>'15'!F106</f>
        <v>19329</v>
      </c>
      <c r="F106" s="664">
        <v>19336</v>
      </c>
      <c r="G106" s="532">
        <f t="shared" si="11"/>
        <v>7</v>
      </c>
      <c r="H106" s="533">
        <f>SUM(G106+'1'!G78)</f>
        <v>397</v>
      </c>
      <c r="I106" s="532"/>
      <c r="J106" s="559">
        <f>H106/DAY(B2)</f>
        <v>24.8125</v>
      </c>
      <c r="N106" s="723"/>
      <c r="O106" s="730"/>
      <c r="P106" s="382"/>
    </row>
    <row r="107" spans="1:16" s="442" customFormat="1" ht="27.75">
      <c r="A107" s="1419" t="s">
        <v>202</v>
      </c>
      <c r="B107" s="1420"/>
      <c r="C107" s="1219"/>
      <c r="D107" s="623"/>
      <c r="E107" s="484">
        <f>'15'!F107</f>
        <v>0</v>
      </c>
      <c r="F107" s="664"/>
      <c r="G107" s="532">
        <f>SUM(G104:G106)</f>
        <v>15</v>
      </c>
      <c r="H107" s="533">
        <f>SUM(G107+'1'!G79)</f>
        <v>207</v>
      </c>
      <c r="I107" s="532"/>
      <c r="J107" s="559">
        <f>H107/DAY(B2)</f>
        <v>12.9375</v>
      </c>
      <c r="N107" s="723"/>
      <c r="O107" s="730"/>
      <c r="P107" s="382"/>
    </row>
    <row r="108" spans="1:16" s="442" customFormat="1" ht="27.75">
      <c r="A108" s="1421" t="s">
        <v>79</v>
      </c>
      <c r="B108" s="1422"/>
      <c r="C108" s="1219"/>
      <c r="D108" s="623" t="s">
        <v>144</v>
      </c>
      <c r="E108" s="484">
        <f>'15'!F108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>
      <c r="A109" s="1416" t="s">
        <v>220</v>
      </c>
      <c r="B109" s="1417"/>
      <c r="C109" s="1219"/>
      <c r="D109" s="623" t="s">
        <v>144</v>
      </c>
      <c r="E109" s="484">
        <f>'15'!F109</f>
        <v>57524</v>
      </c>
      <c r="F109" s="664">
        <v>57577</v>
      </c>
      <c r="G109" s="532">
        <f>F109-E109</f>
        <v>53</v>
      </c>
      <c r="H109" s="533">
        <f>SUM(G109+'1'!G81)</f>
        <v>165.56000000005588</v>
      </c>
      <c r="I109" s="532"/>
      <c r="J109" s="559">
        <f>H109/DAY(B2)</f>
        <v>10.347500000003492</v>
      </c>
      <c r="N109" s="723"/>
      <c r="O109" s="730"/>
      <c r="P109" s="382"/>
    </row>
    <row r="110" spans="1:16" s="442" customFormat="1" ht="27.75">
      <c r="A110" s="1416" t="s">
        <v>221</v>
      </c>
      <c r="B110" s="1417"/>
      <c r="C110" s="1219"/>
      <c r="D110" s="623" t="s">
        <v>144</v>
      </c>
      <c r="E110" s="484">
        <f>'15'!F110</f>
        <v>31256</v>
      </c>
      <c r="F110" s="664">
        <v>31282</v>
      </c>
      <c r="G110" s="532">
        <f t="shared" ref="G110:G111" si="12">F110-E110</f>
        <v>26</v>
      </c>
      <c r="H110" s="533">
        <f>SUM(G110+'1'!G82)</f>
        <v>44.169999999998254</v>
      </c>
      <c r="I110" s="532"/>
      <c r="J110" s="559">
        <f>H110/DAY(B2)</f>
        <v>2.7606249999998909</v>
      </c>
      <c r="N110" s="723"/>
      <c r="O110" s="730"/>
      <c r="P110" s="382"/>
    </row>
    <row r="111" spans="1:16" s="442" customFormat="1" ht="27.75">
      <c r="A111" s="1416" t="s">
        <v>222</v>
      </c>
      <c r="B111" s="1417"/>
      <c r="C111" s="1219"/>
      <c r="D111" s="623" t="s">
        <v>144</v>
      </c>
      <c r="E111" s="484">
        <f>'15'!F111</f>
        <v>4064</v>
      </c>
      <c r="F111" s="664">
        <v>4064</v>
      </c>
      <c r="G111" s="532">
        <f t="shared" si="12"/>
        <v>0</v>
      </c>
      <c r="H111" s="533">
        <f>SUM(G111+'1'!G83)</f>
        <v>520</v>
      </c>
      <c r="I111" s="532"/>
      <c r="J111" s="559">
        <f>H111/DAY(B2)</f>
        <v>32.5</v>
      </c>
      <c r="N111" s="723"/>
      <c r="O111" s="730"/>
      <c r="P111" s="382"/>
    </row>
    <row r="112" spans="1:16" s="442" customFormat="1" ht="27.75">
      <c r="A112" s="1419" t="s">
        <v>110</v>
      </c>
      <c r="B112" s="1420"/>
      <c r="C112" s="1219"/>
      <c r="D112" s="623"/>
      <c r="E112" s="484">
        <f>'15'!F112</f>
        <v>0</v>
      </c>
      <c r="F112" s="664"/>
      <c r="G112" s="532">
        <f>SUM(G109:G111)</f>
        <v>79</v>
      </c>
      <c r="H112" s="533">
        <f>SUM(G112+'1'!G84)</f>
        <v>769</v>
      </c>
      <c r="I112" s="532"/>
      <c r="J112" s="559">
        <f>H112/DAY(B2)</f>
        <v>48.0625</v>
      </c>
      <c r="N112" s="723"/>
      <c r="O112" s="730"/>
      <c r="P112" s="382"/>
    </row>
    <row r="113" spans="1:16" s="442" customFormat="1" ht="27.75">
      <c r="A113" s="1421" t="s">
        <v>223</v>
      </c>
      <c r="B113" s="1422"/>
      <c r="C113" s="1219"/>
      <c r="D113" s="623"/>
      <c r="E113" s="484">
        <f>'15'!F113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>
      <c r="A114" s="1416" t="s">
        <v>224</v>
      </c>
      <c r="B114" s="1417"/>
      <c r="C114" s="575"/>
      <c r="D114" s="623" t="s">
        <v>144</v>
      </c>
      <c r="E114" s="484">
        <f>'15'!F114</f>
        <v>10575</v>
      </c>
      <c r="F114" s="664">
        <v>10607</v>
      </c>
      <c r="G114" s="534">
        <f>F114-E114</f>
        <v>32</v>
      </c>
      <c r="H114" s="533">
        <f>SUM(G114+'1'!G91)</f>
        <v>32</v>
      </c>
      <c r="I114" s="532"/>
      <c r="J114" s="559">
        <f>H114/DAY(B2)</f>
        <v>2</v>
      </c>
      <c r="N114" s="723"/>
      <c r="O114" s="730"/>
      <c r="P114" s="382"/>
    </row>
    <row r="115" spans="1:16" s="442" customFormat="1" ht="27.75">
      <c r="A115" s="1416" t="s">
        <v>225</v>
      </c>
      <c r="B115" s="1417"/>
      <c r="C115" s="575"/>
      <c r="D115" s="623" t="s">
        <v>144</v>
      </c>
      <c r="E115" s="484">
        <f>'15'!F115</f>
        <v>7825</v>
      </c>
      <c r="F115" s="664">
        <v>7825</v>
      </c>
      <c r="G115" s="534">
        <f t="shared" ref="G115:G116" si="13">F115-E115</f>
        <v>0</v>
      </c>
      <c r="H115" s="533">
        <f>SUM(G115+'1'!G92)</f>
        <v>122</v>
      </c>
      <c r="I115" s="532"/>
      <c r="J115" s="559">
        <f>H115/DAY(B2)</f>
        <v>7.625</v>
      </c>
      <c r="N115" s="723"/>
      <c r="O115" s="730"/>
      <c r="P115" s="382"/>
    </row>
    <row r="116" spans="1:16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9</v>
      </c>
      <c r="N116" s="723"/>
      <c r="O116" s="730"/>
      <c r="P116" s="382"/>
    </row>
    <row r="117" spans="1:16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32</v>
      </c>
      <c r="H117" s="533">
        <f>SUM(G117+'1'!G95)</f>
        <v>108</v>
      </c>
      <c r="I117" s="534"/>
      <c r="J117" s="559">
        <f>H117/DAY(B2)</f>
        <v>6.75</v>
      </c>
      <c r="N117" s="723"/>
      <c r="O117" s="730"/>
      <c r="P117" s="382"/>
    </row>
    <row r="118" spans="1:16" s="446" customFormat="1" ht="27.75">
      <c r="A118" s="1450" t="s">
        <v>227</v>
      </c>
      <c r="B118" s="1451"/>
      <c r="C118" s="1222"/>
      <c r="D118" s="625" t="s">
        <v>144</v>
      </c>
      <c r="E118" s="536"/>
      <c r="F118" s="665">
        <f>SUM(G19+G92)</f>
        <v>129</v>
      </c>
      <c r="G118" s="536">
        <f>SUM(G19+G92)</f>
        <v>129</v>
      </c>
      <c r="H118" s="533">
        <f>SUM(G118+'1'!G96)</f>
        <v>142</v>
      </c>
      <c r="I118" s="535"/>
      <c r="J118" s="560">
        <f>H118/DAY(B2)</f>
        <v>8.875</v>
      </c>
      <c r="N118" s="723"/>
      <c r="O118" s="730"/>
      <c r="P118" s="382"/>
    </row>
    <row r="119" spans="1:16" s="446" customFormat="1" ht="27.75">
      <c r="A119" s="1450" t="s">
        <v>228</v>
      </c>
      <c r="B119" s="1451"/>
      <c r="C119" s="1222"/>
      <c r="D119" s="625" t="s">
        <v>144</v>
      </c>
      <c r="E119" s="536"/>
      <c r="F119" s="665">
        <f>SUM(G95,G96,G97,G99,G100)</f>
        <v>23</v>
      </c>
      <c r="G119" s="536">
        <f>SUM(G95,G96,G97,G99,G100)</f>
        <v>23</v>
      </c>
      <c r="H119" s="533">
        <f>SUM(G119+'1'!G98)</f>
        <v>93</v>
      </c>
      <c r="I119" s="535"/>
      <c r="J119" s="560">
        <f>H119/DAY(B2)</f>
        <v>5.8125</v>
      </c>
      <c r="N119" s="723"/>
      <c r="O119" s="730"/>
      <c r="P119" s="382"/>
    </row>
    <row r="120" spans="1:16" s="446" customFormat="1" ht="27.75">
      <c r="A120" s="1450" t="s">
        <v>229</v>
      </c>
      <c r="B120" s="1451"/>
      <c r="C120" s="1222"/>
      <c r="D120" s="625" t="s">
        <v>144</v>
      </c>
      <c r="E120" s="534"/>
      <c r="F120" s="664">
        <f>SUM(G112)</f>
        <v>79</v>
      </c>
      <c r="G120" s="534">
        <f>SUM(G112)</f>
        <v>79</v>
      </c>
      <c r="H120" s="533">
        <f>SUM(G120+'1'!G100)</f>
        <v>93</v>
      </c>
      <c r="I120" s="535"/>
      <c r="J120" s="560">
        <f>H120/DAY(B2)</f>
        <v>5.8125</v>
      </c>
      <c r="N120" s="723"/>
      <c r="O120" s="730"/>
      <c r="P120" s="382"/>
    </row>
    <row r="121" spans="1:16" s="442" customFormat="1" ht="27.75">
      <c r="A121" s="1452"/>
      <c r="B121" s="1453"/>
      <c r="C121" s="1223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>
      <c r="A123" s="1214" t="s">
        <v>231</v>
      </c>
      <c r="B123" s="1215"/>
      <c r="C123" s="1215"/>
      <c r="D123" s="523" t="s">
        <v>141</v>
      </c>
      <c r="E123" s="478">
        <f>'15'!F123</f>
        <v>814784.97</v>
      </c>
      <c r="F123" s="478">
        <v>815020.91</v>
      </c>
      <c r="G123" s="473">
        <f t="shared" ref="G123:G127" si="14">F123-E123</f>
        <v>235.94000000006054</v>
      </c>
      <c r="H123" s="460">
        <f>G123+'15'!H123</f>
        <v>4014.0700000000652</v>
      </c>
      <c r="I123" s="526"/>
      <c r="J123" s="553">
        <f>H123/DAY(B2)</f>
        <v>250.87937500000407</v>
      </c>
      <c r="K123" s="380"/>
      <c r="L123" s="377"/>
      <c r="N123" s="723"/>
      <c r="O123" s="730"/>
      <c r="P123" s="382"/>
    </row>
    <row r="124" spans="1:16" ht="27.75">
      <c r="A124" s="1214" t="s">
        <v>232</v>
      </c>
      <c r="B124" s="1215"/>
      <c r="C124" s="1215"/>
      <c r="D124" s="523" t="s">
        <v>141</v>
      </c>
      <c r="E124" s="627">
        <f>'15'!F124</f>
        <v>73583.399999999994</v>
      </c>
      <c r="F124" s="627">
        <v>73583.399999999994</v>
      </c>
      <c r="G124" s="473">
        <f t="shared" si="14"/>
        <v>0</v>
      </c>
      <c r="H124" s="460">
        <f>G124+'15'!H124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>
      <c r="A125" s="1408" t="s">
        <v>233</v>
      </c>
      <c r="B125" s="1409"/>
      <c r="C125" s="1410"/>
      <c r="D125" s="523" t="s">
        <v>141</v>
      </c>
      <c r="E125" s="478">
        <f>'15'!F125</f>
        <v>140959.88</v>
      </c>
      <c r="F125" s="478">
        <v>141010.18</v>
      </c>
      <c r="G125" s="473">
        <f t="shared" si="14"/>
        <v>50.299999999988358</v>
      </c>
      <c r="H125" s="460">
        <f>G125+'15'!H125</f>
        <v>1030.8399999999965</v>
      </c>
      <c r="I125" s="526"/>
      <c r="J125" s="553">
        <f>H125/DAY(B2)</f>
        <v>64.427499999999782</v>
      </c>
      <c r="K125" s="380"/>
      <c r="L125" s="377"/>
      <c r="N125" s="723"/>
      <c r="O125" s="730"/>
      <c r="P125" s="382"/>
    </row>
    <row r="126" spans="1:16" ht="27.75">
      <c r="A126" s="610" t="s">
        <v>234</v>
      </c>
      <c r="B126" s="1215"/>
      <c r="C126" s="1215"/>
      <c r="D126" s="523" t="s">
        <v>141</v>
      </c>
      <c r="E126" s="627">
        <f>'15'!F126</f>
        <v>59662.9</v>
      </c>
      <c r="F126" s="627">
        <v>59679</v>
      </c>
      <c r="G126" s="473">
        <f t="shared" si="14"/>
        <v>16.099999999998545</v>
      </c>
      <c r="H126" s="460">
        <f>G126+'15'!H126</f>
        <v>372.09999999999854</v>
      </c>
      <c r="I126" s="526"/>
      <c r="J126" s="553">
        <f>H126/DAY(B2)</f>
        <v>23.256249999999909</v>
      </c>
      <c r="K126" s="380"/>
      <c r="L126" s="377"/>
      <c r="N126" s="723"/>
      <c r="O126" s="730"/>
      <c r="P126" s="382"/>
    </row>
    <row r="127" spans="1:16" ht="27.75">
      <c r="A127" s="610" t="s">
        <v>235</v>
      </c>
      <c r="B127" s="1215"/>
      <c r="C127" s="1215"/>
      <c r="D127" s="523" t="s">
        <v>141</v>
      </c>
      <c r="E127" s="627">
        <f>'15'!F127</f>
        <v>8925.7999999999993</v>
      </c>
      <c r="F127" s="627">
        <v>8926.4</v>
      </c>
      <c r="G127" s="473">
        <f t="shared" si="14"/>
        <v>0.6000000000003638</v>
      </c>
      <c r="H127" s="460">
        <f>G127+'15'!H127</f>
        <v>38.600000000000364</v>
      </c>
      <c r="I127" s="480"/>
      <c r="J127" s="553">
        <f>H127/DAY(B2)</f>
        <v>2.4125000000000227</v>
      </c>
      <c r="K127" s="380"/>
      <c r="L127" s="377"/>
      <c r="N127" s="723"/>
      <c r="O127" s="730"/>
      <c r="P127" s="382"/>
    </row>
    <row r="128" spans="1:16" s="281" customFormat="1" ht="27.75">
      <c r="A128" s="610" t="s">
        <v>236</v>
      </c>
      <c r="B128" s="1215"/>
      <c r="C128" s="1215"/>
      <c r="D128" s="523"/>
      <c r="E128" s="478"/>
      <c r="F128" s="478"/>
      <c r="G128" s="473">
        <f>G15-SUM(G123:G127)</f>
        <v>518.17099999998572</v>
      </c>
      <c r="H128" s="460">
        <f>G128+'15'!H128</f>
        <v>518.17099999998572</v>
      </c>
      <c r="I128" s="480"/>
      <c r="J128" s="553">
        <f>H128/DAY(B2)</f>
        <v>32.385687499999108</v>
      </c>
      <c r="K128" s="364"/>
      <c r="L128" s="292"/>
      <c r="N128" s="723"/>
      <c r="O128" s="730"/>
      <c r="P128" s="382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>
      <c r="A130" s="1214" t="s">
        <v>238</v>
      </c>
      <c r="B130" s="1215"/>
      <c r="C130" s="1215"/>
      <c r="D130" s="523" t="s">
        <v>239</v>
      </c>
      <c r="E130" s="484">
        <f>'15'!F130</f>
        <v>0</v>
      </c>
      <c r="F130" s="478">
        <v>0</v>
      </c>
      <c r="G130" s="473">
        <f t="shared" ref="G130:G140" si="15">F130-E130</f>
        <v>0</v>
      </c>
      <c r="H130" s="460">
        <f>G130+'15'!H130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>
      <c r="A131" s="1214" t="s">
        <v>240</v>
      </c>
      <c r="B131" s="1215"/>
      <c r="C131" s="1215"/>
      <c r="D131" s="523" t="s">
        <v>239</v>
      </c>
      <c r="E131" s="484">
        <f>'15'!F131</f>
        <v>0</v>
      </c>
      <c r="F131" s="478">
        <v>0</v>
      </c>
      <c r="G131" s="473">
        <f t="shared" si="15"/>
        <v>0</v>
      </c>
      <c r="H131" s="460">
        <f>G131+'15'!H131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>
      <c r="A132" s="1214" t="s">
        <v>241</v>
      </c>
      <c r="B132" s="1215"/>
      <c r="C132" s="1215"/>
      <c r="D132" s="523" t="s">
        <v>239</v>
      </c>
      <c r="E132" s="542">
        <f>'15'!F132</f>
        <v>39219</v>
      </c>
      <c r="F132" s="656">
        <v>39219</v>
      </c>
      <c r="G132" s="473">
        <f t="shared" si="15"/>
        <v>0</v>
      </c>
      <c r="H132" s="460">
        <f>G132+'15'!H132</f>
        <v>390</v>
      </c>
      <c r="I132" s="480"/>
      <c r="J132" s="553">
        <f>H132/DAY(B2)</f>
        <v>24.375</v>
      </c>
      <c r="N132" s="723"/>
      <c r="O132" s="730"/>
      <c r="P132" s="382"/>
    </row>
    <row r="133" spans="1:16" ht="27.75">
      <c r="A133" s="1214" t="s">
        <v>242</v>
      </c>
      <c r="B133" s="1215"/>
      <c r="C133" s="1215"/>
      <c r="D133" s="523" t="s">
        <v>239</v>
      </c>
      <c r="E133" s="706">
        <f>'15'!F133</f>
        <v>299</v>
      </c>
      <c r="F133" s="627">
        <v>299</v>
      </c>
      <c r="G133" s="473">
        <f t="shared" si="15"/>
        <v>0</v>
      </c>
      <c r="H133" s="460">
        <f>G133+'15'!H133</f>
        <v>-1</v>
      </c>
      <c r="I133" s="480">
        <f>G130+G131+G132+G133</f>
        <v>0</v>
      </c>
      <c r="J133" s="553">
        <f>H133/DAY(B2)</f>
        <v>-6.25E-2</v>
      </c>
      <c r="N133" s="723"/>
      <c r="O133" s="730"/>
      <c r="P133" s="382"/>
    </row>
    <row r="134" spans="1:16" ht="27.75">
      <c r="A134" s="1214" t="s">
        <v>243</v>
      </c>
      <c r="B134" s="1215"/>
      <c r="C134" s="1215"/>
      <c r="D134" s="523" t="s">
        <v>239</v>
      </c>
      <c r="E134" s="706">
        <f>'15'!F134</f>
        <v>40723</v>
      </c>
      <c r="F134" s="627">
        <v>40747.29</v>
      </c>
      <c r="G134" s="473">
        <f t="shared" si="15"/>
        <v>24.290000000000873</v>
      </c>
      <c r="H134" s="460">
        <f>G134+'15'!H134</f>
        <v>380.15000000000146</v>
      </c>
      <c r="I134" s="480"/>
      <c r="J134" s="553">
        <f>H134/DAY(B2)</f>
        <v>23.759375000000091</v>
      </c>
      <c r="N134" s="723"/>
      <c r="O134" s="730"/>
      <c r="P134" s="382"/>
    </row>
    <row r="135" spans="1:16" ht="27.75">
      <c r="A135" s="1214" t="s">
        <v>244</v>
      </c>
      <c r="B135" s="1215"/>
      <c r="C135" s="1215"/>
      <c r="D135" s="523" t="s">
        <v>239</v>
      </c>
      <c r="E135" s="542">
        <f>'15'!F135</f>
        <v>32582.98</v>
      </c>
      <c r="F135" s="656">
        <v>32582.92</v>
      </c>
      <c r="G135" s="473">
        <f t="shared" si="15"/>
        <v>-6.0000000001309672E-2</v>
      </c>
      <c r="H135" s="460">
        <f>G135+'15'!H135</f>
        <v>11.919999999998254</v>
      </c>
      <c r="I135" s="480"/>
      <c r="J135" s="553">
        <f>H135/DAY(B2)</f>
        <v>0.74499999999989086</v>
      </c>
      <c r="N135" s="723"/>
      <c r="O135" s="730"/>
      <c r="P135" s="382"/>
    </row>
    <row r="136" spans="1:16" ht="27.75">
      <c r="A136" s="1214" t="s">
        <v>245</v>
      </c>
      <c r="B136" s="1215"/>
      <c r="C136" s="1215"/>
      <c r="D136" s="523" t="s">
        <v>239</v>
      </c>
      <c r="E136" s="542">
        <f>'15'!F136</f>
        <v>22351.279999999999</v>
      </c>
      <c r="F136" s="656">
        <v>22360.01</v>
      </c>
      <c r="G136" s="473">
        <f t="shared" si="15"/>
        <v>8.7299999999995634</v>
      </c>
      <c r="H136" s="460">
        <f>G136+'15'!H136</f>
        <v>137.79999999999927</v>
      </c>
      <c r="I136" s="480">
        <f>G134+G135+G136</f>
        <v>32.959999999999127</v>
      </c>
      <c r="J136" s="553">
        <f>H136/DAY(B2)</f>
        <v>8.6124999999999545</v>
      </c>
      <c r="N136" s="723"/>
      <c r="O136" s="730"/>
      <c r="P136" s="382"/>
    </row>
    <row r="137" spans="1:16" ht="27.75">
      <c r="A137" s="1214" t="s">
        <v>246</v>
      </c>
      <c r="B137" s="1215"/>
      <c r="C137" s="1215"/>
      <c r="D137" s="523" t="s">
        <v>239</v>
      </c>
      <c r="E137" s="542">
        <f>'15'!F137</f>
        <v>25044.37</v>
      </c>
      <c r="F137" s="656">
        <v>25044.31</v>
      </c>
      <c r="G137" s="473">
        <f t="shared" si="15"/>
        <v>-5.9999999997671694E-2</v>
      </c>
      <c r="H137" s="460">
        <f>G137+'15'!H137</f>
        <v>0</v>
      </c>
      <c r="I137" s="480"/>
      <c r="J137" s="553">
        <f>H137/DAY(B2)</f>
        <v>0</v>
      </c>
      <c r="N137" s="723"/>
      <c r="O137" s="730"/>
      <c r="P137" s="382"/>
    </row>
    <row r="138" spans="1:16" ht="27.75">
      <c r="A138" s="1214" t="s">
        <v>247</v>
      </c>
      <c r="B138" s="1215"/>
      <c r="C138" s="1215"/>
      <c r="D138" s="523" t="s">
        <v>239</v>
      </c>
      <c r="E138" s="542">
        <f>'15'!F138</f>
        <v>70210.460000000006</v>
      </c>
      <c r="F138" s="656">
        <v>70213.56</v>
      </c>
      <c r="G138" s="473">
        <f t="shared" si="15"/>
        <v>3.0999999999912689</v>
      </c>
      <c r="H138" s="460">
        <f>G138+'15'!H138</f>
        <v>66.220000000001164</v>
      </c>
      <c r="I138" s="480">
        <f>G137+G138</f>
        <v>3.0399999999935972</v>
      </c>
      <c r="J138" s="553">
        <f>H138/DAY(B2)</f>
        <v>4.1387500000000728</v>
      </c>
      <c r="N138" s="723"/>
      <c r="O138" s="730"/>
      <c r="P138" s="382"/>
    </row>
    <row r="139" spans="1:16" ht="27.75">
      <c r="A139" s="1214" t="s">
        <v>248</v>
      </c>
      <c r="B139" s="1215"/>
      <c r="C139" s="1215"/>
      <c r="D139" s="523" t="s">
        <v>239</v>
      </c>
      <c r="E139" s="706">
        <f>'15'!F139</f>
        <v>1532.37</v>
      </c>
      <c r="F139" s="627">
        <v>1536.52</v>
      </c>
      <c r="G139" s="473">
        <f t="shared" si="15"/>
        <v>4.1500000000000909</v>
      </c>
      <c r="H139" s="460">
        <f>G139+'15'!H139</f>
        <v>113.37999999999988</v>
      </c>
      <c r="I139" s="543"/>
      <c r="J139" s="553">
        <f>H139/DAY(B2)</f>
        <v>7.0862499999999926</v>
      </c>
      <c r="N139" s="723"/>
      <c r="O139" s="730"/>
      <c r="P139" s="382"/>
    </row>
    <row r="140" spans="1:16" ht="27.75">
      <c r="A140" s="1214" t="s">
        <v>249</v>
      </c>
      <c r="B140" s="1215"/>
      <c r="C140" s="1215"/>
      <c r="D140" s="523" t="s">
        <v>239</v>
      </c>
      <c r="E140" s="484">
        <f>'15'!F140</f>
        <v>4333.53</v>
      </c>
      <c r="F140" s="478">
        <v>4336.49</v>
      </c>
      <c r="G140" s="473">
        <f t="shared" si="15"/>
        <v>2.9600000000000364</v>
      </c>
      <c r="H140" s="460">
        <f>G140+'15'!H140</f>
        <v>2.4899999999997817</v>
      </c>
      <c r="I140" s="543"/>
      <c r="J140" s="553">
        <f>H140/DAY(B2)</f>
        <v>0.15562499999998636</v>
      </c>
      <c r="N140" s="723"/>
      <c r="O140" s="730"/>
      <c r="P140" s="382"/>
    </row>
    <row r="141" spans="1:16">
      <c r="A141" s="1446" t="s">
        <v>315</v>
      </c>
      <c r="B141" s="1447"/>
      <c r="C141" s="1218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5603.9199999999255</v>
      </c>
      <c r="H142" s="460">
        <f>G142+'15'!H142</f>
        <v>94115.680000000051</v>
      </c>
      <c r="I142" s="480"/>
      <c r="J142" s="553">
        <f>H142/DAY(B2)</f>
        <v>5882.2300000000032</v>
      </c>
      <c r="K142" s="380"/>
      <c r="L142" s="377"/>
      <c r="N142" s="723"/>
      <c r="O142" s="730"/>
      <c r="P142" s="382"/>
    </row>
    <row r="143" spans="1:16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0.27404371851923937</v>
      </c>
      <c r="H143" s="460">
        <f>G143+'15'!H143</f>
        <v>4.2300027392606987</v>
      </c>
      <c r="I143" s="545"/>
      <c r="J143" s="553">
        <f>H143/DAY(B2)</f>
        <v>0.26437517120379367</v>
      </c>
      <c r="K143" s="380"/>
      <c r="L143" s="377"/>
      <c r="N143" s="723"/>
      <c r="O143" s="730"/>
      <c r="P143" s="382"/>
    </row>
    <row r="144" spans="1:16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5084.1600000000326</v>
      </c>
      <c r="H144" s="460">
        <f>G144+'15'!H144</f>
        <v>84133.67300000001</v>
      </c>
      <c r="I144" s="480"/>
      <c r="J144" s="553">
        <f>H144/DAY(B2)</f>
        <v>5258.3545625000006</v>
      </c>
      <c r="K144" s="380"/>
      <c r="L144" s="377"/>
      <c r="N144" s="723"/>
      <c r="O144" s="730"/>
      <c r="P144" s="382"/>
    </row>
    <row r="145" spans="1:16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0.24862633869627035</v>
      </c>
      <c r="H145" s="460">
        <f>G145+'15'!H145</f>
        <v>3.9409374899423217</v>
      </c>
      <c r="I145" s="545"/>
      <c r="J145" s="553">
        <f>H145/DAY(B2)</f>
        <v>0.24630859312139511</v>
      </c>
      <c r="K145" s="380"/>
      <c r="L145" s="377"/>
      <c r="N145" s="723"/>
      <c r="O145" s="730"/>
      <c r="P145" s="382"/>
    </row>
    <row r="146" spans="1:16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4153.4599999999627</v>
      </c>
      <c r="H146" s="460">
        <f>G146+'15'!H146</f>
        <v>167729.04999999999</v>
      </c>
      <c r="I146" s="546"/>
      <c r="J146" s="553">
        <f>H146/DAY(B2)</f>
        <v>10483.065624999999</v>
      </c>
      <c r="K146" s="380"/>
      <c r="L146" s="377"/>
      <c r="N146" s="723"/>
      <c r="O146" s="730"/>
      <c r="P146" s="382"/>
    </row>
    <row r="147" spans="1:16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0.2031131106655564</v>
      </c>
      <c r="H147" s="460">
        <f>G147+'15'!H147</f>
        <v>8.0831648656655215</v>
      </c>
      <c r="I147" s="546"/>
      <c r="J147" s="553">
        <f>H147/DAY(B2)</f>
        <v>0.50519780410409509</v>
      </c>
      <c r="N147" s="723"/>
      <c r="O147" s="730"/>
      <c r="P147" s="382"/>
    </row>
    <row r="148" spans="1:16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1760.3199999999488</v>
      </c>
      <c r="H148" s="460">
        <f>G148+'15'!H148</f>
        <v>32609.029999999962</v>
      </c>
      <c r="I148" s="480"/>
      <c r="J148" s="553">
        <f>H148/DAY(B2)</f>
        <v>2038.0643749999977</v>
      </c>
      <c r="K148" s="381"/>
      <c r="N148" s="723"/>
      <c r="O148" s="730"/>
      <c r="P148" s="382"/>
    </row>
    <row r="149" spans="1:16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8.6083427062445539E-2</v>
      </c>
      <c r="H149" s="460">
        <f>G149+'15'!H149</f>
        <v>1.5288738668340824</v>
      </c>
      <c r="I149" s="546"/>
      <c r="J149" s="553">
        <f>H149/DAY(B2)</f>
        <v>9.5554616677130153E-2</v>
      </c>
      <c r="N149" s="723"/>
      <c r="O149" s="730"/>
      <c r="P149" s="382"/>
    </row>
    <row r="150" spans="1:16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1684.9899999999907</v>
      </c>
      <c r="H150" s="460">
        <f>G150+'15'!H150</f>
        <v>29605.059999999939</v>
      </c>
      <c r="I150" s="546"/>
      <c r="J150" s="553">
        <f>H150/DAY(B2)</f>
        <v>1850.3162499999962</v>
      </c>
      <c r="N150" s="723"/>
      <c r="O150" s="730"/>
      <c r="P150" s="382"/>
    </row>
    <row r="151" spans="1:16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8.2399628343683834E-2</v>
      </c>
      <c r="H151" s="460">
        <f>G151+'15'!H151</f>
        <v>1.3852939085832836</v>
      </c>
      <c r="I151" s="480"/>
      <c r="J151" s="553">
        <f>H151/DAY(B2)</f>
        <v>8.6580869286455225E-2</v>
      </c>
      <c r="N151" s="723"/>
      <c r="O151" s="730"/>
      <c r="P151" s="382"/>
    </row>
    <row r="152" spans="1:16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1585.0999999999767</v>
      </c>
      <c r="H152" s="460">
        <f>G152+'15'!H152</f>
        <v>59563.929999999993</v>
      </c>
      <c r="I152" s="480"/>
      <c r="J152" s="553">
        <f>H152/DAY(B2)</f>
        <v>3722.7456249999996</v>
      </c>
      <c r="N152" s="723"/>
      <c r="O152" s="730"/>
      <c r="P152" s="382"/>
    </row>
    <row r="153" spans="1:16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7.7514792899407145E-2</v>
      </c>
      <c r="H153" s="460">
        <f>G153+'15'!H153</f>
        <v>2.8704322047236772</v>
      </c>
      <c r="I153" s="569"/>
      <c r="J153" s="570">
        <f>H153/DAY(B2)</f>
        <v>0.17940201279522983</v>
      </c>
      <c r="N153" s="723"/>
      <c r="O153" s="730"/>
      <c r="P153" s="382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800" t="s">
        <v>263</v>
      </c>
      <c r="B160" s="801"/>
      <c r="C160" s="801"/>
      <c r="D160" s="621" t="s">
        <v>187</v>
      </c>
      <c r="E160" s="522">
        <f>'15'!F160</f>
        <v>32075.31</v>
      </c>
      <c r="F160" s="809">
        <v>32159.5</v>
      </c>
      <c r="G160" s="473">
        <f t="shared" ref="G160:G163" si="16">F160-E160</f>
        <v>84.18999999999869</v>
      </c>
      <c r="N160" s="723"/>
    </row>
    <row r="161" spans="1:14">
      <c r="A161" s="800" t="s">
        <v>264</v>
      </c>
      <c r="B161" s="801"/>
      <c r="C161" s="801"/>
      <c r="D161" s="621" t="s">
        <v>187</v>
      </c>
      <c r="E161" s="522">
        <f>'15'!F161</f>
        <v>61874.59</v>
      </c>
      <c r="F161" s="809">
        <v>62295.29</v>
      </c>
      <c r="G161" s="473">
        <f t="shared" si="16"/>
        <v>420.70000000000437</v>
      </c>
      <c r="N161" s="723"/>
    </row>
    <row r="162" spans="1:14">
      <c r="A162" s="800" t="s">
        <v>265</v>
      </c>
      <c r="B162" s="801"/>
      <c r="C162" s="801"/>
      <c r="D162" s="621" t="s">
        <v>187</v>
      </c>
      <c r="E162" s="522">
        <f>'15'!F162</f>
        <v>24786.014999999999</v>
      </c>
      <c r="F162" s="789">
        <v>25060.05</v>
      </c>
      <c r="G162" s="473">
        <f t="shared" si="16"/>
        <v>274.03499999999985</v>
      </c>
      <c r="N162" s="723"/>
    </row>
    <row r="163" spans="1:14">
      <c r="A163" s="800" t="s">
        <v>266</v>
      </c>
      <c r="B163" s="801"/>
      <c r="C163" s="801"/>
      <c r="D163" s="621" t="s">
        <v>187</v>
      </c>
      <c r="E163" s="522">
        <f>'15'!F163</f>
        <v>5606.2</v>
      </c>
      <c r="F163" s="809">
        <v>5614</v>
      </c>
      <c r="G163" s="473">
        <f t="shared" si="16"/>
        <v>7.8000000000001819</v>
      </c>
      <c r="N163" s="723"/>
    </row>
    <row r="164" spans="1:14">
      <c r="A164" s="802" t="s">
        <v>98</v>
      </c>
      <c r="B164" s="803"/>
      <c r="C164" s="803"/>
      <c r="D164" s="621" t="s">
        <v>187</v>
      </c>
      <c r="E164" s="522">
        <f>'15'!F164</f>
        <v>20419.18</v>
      </c>
      <c r="F164" s="514">
        <f>F62</f>
        <v>20419.18</v>
      </c>
      <c r="G164" s="473">
        <f t="shared" ref="G164:G171" si="17">F164-E164</f>
        <v>0</v>
      </c>
      <c r="N164" s="723"/>
    </row>
    <row r="165" spans="1:14">
      <c r="A165" s="802" t="s">
        <v>188</v>
      </c>
      <c r="B165" s="803"/>
      <c r="C165" s="803"/>
      <c r="D165" s="621" t="s">
        <v>187</v>
      </c>
      <c r="E165" s="522">
        <f>'15'!F165</f>
        <v>1906.77</v>
      </c>
      <c r="F165" s="514">
        <f t="shared" ref="F165:F171" si="18">F63</f>
        <v>1921.72</v>
      </c>
      <c r="G165" s="473">
        <f t="shared" si="17"/>
        <v>14.950000000000045</v>
      </c>
      <c r="N165" s="723"/>
    </row>
    <row r="166" spans="1:14" ht="27.75">
      <c r="A166" s="1470" t="s">
        <v>99</v>
      </c>
      <c r="B166" s="1470"/>
      <c r="C166" s="1470"/>
      <c r="D166" s="524" t="s">
        <v>187</v>
      </c>
      <c r="E166" s="522">
        <f>'15'!F166</f>
        <v>131347.10999999999</v>
      </c>
      <c r="F166" s="514">
        <f t="shared" si="18"/>
        <v>131840.94</v>
      </c>
      <c r="G166" s="473">
        <f t="shared" si="17"/>
        <v>493.8300000000163</v>
      </c>
      <c r="N166" s="723"/>
    </row>
    <row r="167" spans="1:14" ht="27.75">
      <c r="A167" s="1470" t="s">
        <v>100</v>
      </c>
      <c r="B167" s="1470"/>
      <c r="C167" s="1470"/>
      <c r="D167" s="524" t="s">
        <v>187</v>
      </c>
      <c r="E167" s="522">
        <f>'15'!F167</f>
        <v>138183.46</v>
      </c>
      <c r="F167" s="514">
        <f t="shared" si="18"/>
        <v>138559.16</v>
      </c>
      <c r="G167" s="473">
        <f t="shared" si="17"/>
        <v>375.70000000001164</v>
      </c>
      <c r="N167" s="723"/>
    </row>
    <row r="168" spans="1:14" ht="27.75">
      <c r="A168" s="1470" t="s">
        <v>101</v>
      </c>
      <c r="B168" s="1470"/>
      <c r="C168" s="1470"/>
      <c r="D168" s="524" t="s">
        <v>187</v>
      </c>
      <c r="E168" s="522">
        <f>'15'!F168</f>
        <v>30923.73</v>
      </c>
      <c r="F168" s="514">
        <f t="shared" si="18"/>
        <v>31315.13</v>
      </c>
      <c r="G168" s="473">
        <f t="shared" si="17"/>
        <v>391.40000000000146</v>
      </c>
      <c r="N168" s="723"/>
    </row>
    <row r="169" spans="1:14" ht="27.75">
      <c r="A169" s="1470" t="s">
        <v>102</v>
      </c>
      <c r="B169" s="1470"/>
      <c r="C169" s="1470"/>
      <c r="D169" s="524" t="s">
        <v>187</v>
      </c>
      <c r="E169" s="522">
        <f>'15'!F169</f>
        <v>218039.53</v>
      </c>
      <c r="F169" s="514">
        <f t="shared" si="18"/>
        <v>218709.71</v>
      </c>
      <c r="G169" s="473">
        <f t="shared" si="17"/>
        <v>670.17999999999302</v>
      </c>
      <c r="N169" s="723"/>
    </row>
    <row r="170" spans="1:14" ht="27.75">
      <c r="A170" s="1470" t="s">
        <v>103</v>
      </c>
      <c r="B170" s="1470"/>
      <c r="C170" s="1470"/>
      <c r="D170" s="524" t="s">
        <v>187</v>
      </c>
      <c r="E170" s="522">
        <f>'15'!F170</f>
        <v>77764.17</v>
      </c>
      <c r="F170" s="514">
        <f t="shared" si="18"/>
        <v>78087.59</v>
      </c>
      <c r="G170" s="473">
        <f t="shared" si="17"/>
        <v>323.41999999999825</v>
      </c>
      <c r="N170" s="723"/>
    </row>
    <row r="171" spans="1:14" ht="27.75">
      <c r="A171" s="1470" t="s">
        <v>104</v>
      </c>
      <c r="B171" s="1470"/>
      <c r="C171" s="1470"/>
      <c r="D171" s="524" t="s">
        <v>187</v>
      </c>
      <c r="E171" s="522">
        <f>'15'!F171</f>
        <v>69319.399999999994</v>
      </c>
      <c r="F171" s="514">
        <f t="shared" si="18"/>
        <v>69624.479999999996</v>
      </c>
      <c r="G171" s="473">
        <f t="shared" si="17"/>
        <v>305.08000000000175</v>
      </c>
      <c r="N171" s="723"/>
    </row>
    <row r="172" spans="1:14">
      <c r="A172" s="804"/>
      <c r="B172" s="805"/>
      <c r="C172" s="805"/>
      <c r="D172" s="806"/>
      <c r="E172" s="806"/>
      <c r="F172" s="807"/>
      <c r="G172" s="808">
        <f>SUM(G160:G171)</f>
        <v>3361.2850000000253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23.25" customHeight="1">
      <c r="N177" s="723"/>
    </row>
    <row r="178" spans="14:14" ht="23.25" customHeight="1">
      <c r="N178" s="723"/>
    </row>
    <row r="179" spans="14:14" ht="23.25" customHeight="1">
      <c r="N179" s="723"/>
    </row>
    <row r="180" spans="14:14" ht="23.25" customHeight="1">
      <c r="N180" s="723"/>
    </row>
    <row r="181" spans="14:14" ht="23.25" customHeight="1">
      <c r="N181" s="723"/>
    </row>
    <row r="182" spans="14:14" ht="23.25" customHeight="1">
      <c r="N182" s="723"/>
    </row>
    <row r="183" spans="14:14" ht="23.25" customHeight="1">
      <c r="N183" s="723"/>
    </row>
    <row r="184" spans="14:14" ht="23.25" customHeight="1">
      <c r="N184" s="723"/>
    </row>
    <row r="185" spans="14:14" ht="23.25" customHeight="1">
      <c r="N185" s="723"/>
    </row>
    <row r="186" spans="14:14" ht="23.25" customHeight="1">
      <c r="N186" s="723"/>
    </row>
    <row r="187" spans="14:14" ht="23.25" customHeight="1">
      <c r="N187" s="723"/>
    </row>
    <row r="188" spans="14:14" ht="23.25" customHeight="1">
      <c r="N188" s="723"/>
    </row>
    <row r="189" spans="14:14" ht="23.25" customHeight="1">
      <c r="N189" s="723"/>
    </row>
    <row r="190" spans="14:14" ht="23.25" customHeight="1">
      <c r="N190" s="723"/>
    </row>
    <row r="191" spans="14:14" ht="23.25" customHeight="1">
      <c r="N191" s="723"/>
    </row>
    <row r="192" spans="14:14" ht="23.25" customHeight="1">
      <c r="N192" s="723"/>
    </row>
    <row r="193" spans="14:14" ht="23.25" customHeight="1">
      <c r="N193" s="723"/>
    </row>
    <row r="194" spans="14:14" ht="23.25" customHeight="1">
      <c r="N194" s="723"/>
    </row>
    <row r="195" spans="14:14" ht="23.25" customHeight="1">
      <c r="N195" s="723"/>
    </row>
    <row r="196" spans="14:14" ht="23.25" customHeight="1">
      <c r="N196" s="723"/>
    </row>
    <row r="197" spans="14:14" ht="23.25" customHeight="1">
      <c r="N197" s="723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0" zoomScale="55" zoomScaleSheetLayoutView="55" zoomScalePageLayoutView="60" workbookViewId="0">
      <selection activeCell="G86" sqref="G8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8" customWidth="1"/>
    <col min="5" max="5" width="27.21875" style="538" customWidth="1"/>
    <col min="6" max="6" width="26.21875" style="668" customWidth="1"/>
    <col min="7" max="7" width="24.44140625" style="538" customWidth="1"/>
    <col min="8" max="8" width="22.88671875" style="539" customWidth="1"/>
    <col min="9" max="9" width="16.88671875" style="538" bestFit="1" customWidth="1"/>
    <col min="10" max="10" width="23.21875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6" s="281" customFormat="1" ht="27">
      <c r="A2" s="576" t="s">
        <v>279</v>
      </c>
      <c r="B2" s="1038">
        <v>44272</v>
      </c>
      <c r="C2" s="1233" t="s">
        <v>69</v>
      </c>
      <c r="D2" s="612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>
      <c r="A3" s="571"/>
      <c r="B3" s="615"/>
      <c r="C3" s="1233" t="s">
        <v>120</v>
      </c>
      <c r="D3" s="613">
        <v>28</v>
      </c>
      <c r="E3" s="1432" t="s">
        <v>121</v>
      </c>
      <c r="F3" s="1433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>
      <c r="A4" s="577"/>
      <c r="B4" s="617"/>
      <c r="C4" s="1233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'16'!F7</f>
        <v>4786281</v>
      </c>
      <c r="F7" s="455">
        <v>4806529</v>
      </c>
      <c r="G7" s="683">
        <f>F7-E7</f>
        <v>20248</v>
      </c>
      <c r="H7" s="684">
        <f>G7+'16'!H7</f>
        <v>361452</v>
      </c>
      <c r="I7" s="685">
        <f>'1'!I7</f>
        <v>12000</v>
      </c>
      <c r="J7" s="686">
        <f>H7/DAY(B2)</f>
        <v>21261.882352941175</v>
      </c>
      <c r="K7" s="550"/>
      <c r="L7" s="377"/>
      <c r="N7" s="734"/>
      <c r="O7" s="730"/>
      <c r="P7" s="733"/>
    </row>
    <row r="8" spans="1:16" ht="27.75" thickBot="1">
      <c r="A8" s="687" t="s">
        <v>133</v>
      </c>
      <c r="B8" s="688"/>
      <c r="C8" s="689"/>
      <c r="D8" s="690" t="s">
        <v>25</v>
      </c>
      <c r="E8" s="634">
        <f>'16'!F8</f>
        <v>4816223</v>
      </c>
      <c r="F8" s="475">
        <v>4836548</v>
      </c>
      <c r="G8" s="694">
        <f>F8-E8</f>
        <v>20325</v>
      </c>
      <c r="H8" s="684">
        <f>G8+'16'!H8</f>
        <v>363392</v>
      </c>
      <c r="I8" s="691">
        <f>'1'!I8</f>
        <v>12000</v>
      </c>
      <c r="J8" s="686">
        <f>H8/DAY(B2)</f>
        <v>21376</v>
      </c>
      <c r="K8" s="550"/>
      <c r="L8" s="425"/>
      <c r="M8" s="440"/>
      <c r="N8" s="723"/>
      <c r="O8" s="730"/>
      <c r="P8" s="382"/>
    </row>
    <row r="9" spans="1:16">
      <c r="A9" s="692" t="s">
        <v>134</v>
      </c>
      <c r="B9" s="693"/>
      <c r="C9" s="693"/>
      <c r="D9" s="639" t="s">
        <v>132</v>
      </c>
      <c r="E9" s="634">
        <f>'16'!F9</f>
        <v>124353.81</v>
      </c>
      <c r="F9" s="478">
        <v>124353.81</v>
      </c>
      <c r="G9" s="707">
        <f t="shared" ref="G9:G12" si="0">F9-E9</f>
        <v>0</v>
      </c>
      <c r="H9" s="684">
        <f>G9+'16'!H9</f>
        <v>37444.800000000003</v>
      </c>
      <c r="I9" s="695">
        <f>I7-J7</f>
        <v>-9261.8823529411748</v>
      </c>
      <c r="J9" s="686">
        <f>H9/DAY(B2)</f>
        <v>2202.6352941176474</v>
      </c>
      <c r="K9" s="428"/>
      <c r="L9" s="377"/>
      <c r="N9" s="723"/>
      <c r="O9" s="730"/>
      <c r="P9" s="382"/>
    </row>
    <row r="10" spans="1:16">
      <c r="A10" s="681" t="s">
        <v>135</v>
      </c>
      <c r="B10" s="682"/>
      <c r="C10" s="682"/>
      <c r="D10" s="639" t="s">
        <v>132</v>
      </c>
      <c r="E10" s="634">
        <f>'16'!F10</f>
        <v>317507.67</v>
      </c>
      <c r="F10" s="478">
        <v>336966.67</v>
      </c>
      <c r="G10" s="694">
        <f t="shared" si="0"/>
        <v>19459</v>
      </c>
      <c r="H10" s="684">
        <f>G10+'16'!H10</f>
        <v>311271.11</v>
      </c>
      <c r="I10" s="696"/>
      <c r="J10" s="686">
        <f>H10/DAY(B2)</f>
        <v>18310.065294117645</v>
      </c>
      <c r="K10" s="428"/>
      <c r="L10" s="377"/>
      <c r="N10" s="723"/>
      <c r="O10" s="730"/>
      <c r="P10" s="382"/>
    </row>
    <row r="11" spans="1:16">
      <c r="A11" s="681" t="s">
        <v>136</v>
      </c>
      <c r="B11" s="682"/>
      <c r="C11" s="682"/>
      <c r="D11" s="639" t="s">
        <v>132</v>
      </c>
      <c r="E11" s="634">
        <f>'16'!F11</f>
        <v>37000</v>
      </c>
      <c r="F11" s="455">
        <v>37000</v>
      </c>
      <c r="G11" s="694">
        <f t="shared" si="0"/>
        <v>0</v>
      </c>
      <c r="H11" s="684">
        <f>G11+'16'!H11</f>
        <v>0</v>
      </c>
      <c r="I11" s="696"/>
      <c r="J11" s="686">
        <f>H11/DAY(B2)</f>
        <v>0</v>
      </c>
      <c r="K11" s="428"/>
      <c r="L11" s="377"/>
      <c r="N11" s="723">
        <f>G8-866</f>
        <v>19459</v>
      </c>
      <c r="O11" s="730"/>
      <c r="P11" s="382"/>
    </row>
    <row r="12" spans="1:16">
      <c r="A12" s="681" t="s">
        <v>137</v>
      </c>
      <c r="B12" s="682"/>
      <c r="C12" s="682"/>
      <c r="D12" s="639" t="s">
        <v>132</v>
      </c>
      <c r="E12" s="634">
        <f>'16'!F12</f>
        <v>40010</v>
      </c>
      <c r="F12" s="478">
        <v>40010</v>
      </c>
      <c r="G12" s="694">
        <f t="shared" si="0"/>
        <v>0</v>
      </c>
      <c r="H12" s="684">
        <f>G12+'16'!H12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19459</v>
      </c>
      <c r="H13" s="684">
        <f>G13+'16'!H13</f>
        <v>327721.90999999997</v>
      </c>
      <c r="I13" s="700">
        <f>G7-G13</f>
        <v>789</v>
      </c>
      <c r="J13" s="686">
        <f>H13/DAY(B2)</f>
        <v>19277.759411764706</v>
      </c>
      <c r="K13" s="428"/>
      <c r="L13" s="377"/>
      <c r="N13" s="723"/>
      <c r="O13" s="730"/>
      <c r="P13" s="382"/>
    </row>
    <row r="14" spans="1:16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1226"/>
      <c r="K14" s="429"/>
      <c r="L14" s="377"/>
      <c r="N14" s="723"/>
      <c r="O14" s="730"/>
      <c r="P14" s="382"/>
    </row>
    <row r="15" spans="1:16">
      <c r="A15" s="798" t="s">
        <v>140</v>
      </c>
      <c r="B15" s="799"/>
      <c r="C15" s="799"/>
      <c r="D15" s="524" t="s">
        <v>141</v>
      </c>
      <c r="E15" s="485">
        <f>'16'!F15</f>
        <v>1633718.82</v>
      </c>
      <c r="F15" s="485">
        <v>1634499.5290000001</v>
      </c>
      <c r="G15" s="669">
        <f>(F15-E15)</f>
        <v>780.70900000003166</v>
      </c>
      <c r="H15" s="486">
        <f>G15+'16'!H15</f>
        <v>14620.918999999994</v>
      </c>
      <c r="I15" s="474">
        <f>'1'!I15</f>
        <v>800</v>
      </c>
      <c r="J15" s="554">
        <f>H15/DAY(B2)</f>
        <v>860.05405882352909</v>
      </c>
      <c r="K15" s="428"/>
      <c r="L15" s="377"/>
      <c r="N15" s="723"/>
      <c r="O15" s="730"/>
      <c r="P15" s="382"/>
    </row>
    <row r="16" spans="1:16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-60.05405882352909</v>
      </c>
      <c r="J16" s="554"/>
      <c r="K16" s="428"/>
      <c r="L16" s="377"/>
      <c r="N16" s="723"/>
      <c r="O16" s="730"/>
      <c r="P16" s="382"/>
    </row>
    <row r="17" spans="1:16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>
      <c r="A18" s="1464" t="s">
        <v>143</v>
      </c>
      <c r="B18" s="1465"/>
      <c r="C18" s="1466"/>
      <c r="D18" s="639" t="s">
        <v>144</v>
      </c>
      <c r="E18" s="636">
        <f>'16'!F18</f>
        <v>10</v>
      </c>
      <c r="F18" s="478">
        <v>12</v>
      </c>
      <c r="G18" s="699">
        <f>F18*10</f>
        <v>120</v>
      </c>
      <c r="H18" s="684">
        <f>G18+'16'!H18</f>
        <v>2340</v>
      </c>
      <c r="I18" s="685">
        <f>'1'!I18</f>
        <v>65</v>
      </c>
      <c r="J18" s="686">
        <f>H18/DAY(B2)</f>
        <v>137.64705882352942</v>
      </c>
      <c r="K18" s="428"/>
      <c r="L18" s="377"/>
      <c r="N18" s="723"/>
      <c r="O18" s="730"/>
      <c r="P18" s="382"/>
    </row>
    <row r="19" spans="1:16" ht="27.75">
      <c r="A19" s="1464" t="s">
        <v>71</v>
      </c>
      <c r="B19" s="1465"/>
      <c r="C19" s="1466"/>
      <c r="D19" s="639" t="s">
        <v>144</v>
      </c>
      <c r="E19" s="636">
        <f>'16'!F19</f>
        <v>135301</v>
      </c>
      <c r="F19" s="478">
        <v>135354</v>
      </c>
      <c r="G19" s="694">
        <f>F19-E19</f>
        <v>53</v>
      </c>
      <c r="H19" s="684">
        <f>G19+'16'!H19</f>
        <v>886</v>
      </c>
      <c r="I19" s="701"/>
      <c r="J19" s="686">
        <f>H19/DAY(B2)</f>
        <v>52.117647058823529</v>
      </c>
      <c r="K19" s="428"/>
      <c r="L19" s="377"/>
      <c r="N19" s="723"/>
      <c r="O19" s="730"/>
      <c r="P19" s="382"/>
    </row>
    <row r="20" spans="1:16">
      <c r="A20" s="697" t="s">
        <v>145</v>
      </c>
      <c r="B20" s="698"/>
      <c r="C20" s="698"/>
      <c r="D20" s="639"/>
      <c r="E20" s="639"/>
      <c r="F20" s="714"/>
      <c r="G20" s="702">
        <f>G18+G19</f>
        <v>173</v>
      </c>
      <c r="H20" s="684">
        <f>G20+'16'!H20</f>
        <v>3226</v>
      </c>
      <c r="I20" s="703">
        <f>I18-J20</f>
        <v>-124.76470588235293</v>
      </c>
      <c r="J20" s="686">
        <f>H20/DAY(B2)</f>
        <v>189.76470588235293</v>
      </c>
      <c r="K20" s="428"/>
      <c r="L20" s="377"/>
      <c r="N20" s="723"/>
      <c r="O20" s="730"/>
      <c r="P20" s="382"/>
    </row>
    <row r="21" spans="1:16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>
      <c r="A22" s="1231" t="s">
        <v>147</v>
      </c>
      <c r="B22" s="590"/>
      <c r="C22" s="590"/>
      <c r="D22" s="523" t="s">
        <v>148</v>
      </c>
      <c r="E22" s="636">
        <f>'16'!F22</f>
        <v>2970</v>
      </c>
      <c r="F22" s="478">
        <v>2250</v>
      </c>
      <c r="G22" s="481">
        <v>0</v>
      </c>
      <c r="H22" s="460">
        <f>G22+'16'!H22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>
      <c r="A23" s="1231" t="s">
        <v>149</v>
      </c>
      <c r="B23" s="590"/>
      <c r="C23" s="590"/>
      <c r="D23" s="523" t="s">
        <v>148</v>
      </c>
      <c r="E23" s="636">
        <f>'16'!F23</f>
        <v>2000</v>
      </c>
      <c r="F23" s="478">
        <v>2000</v>
      </c>
      <c r="G23" s="481">
        <v>0</v>
      </c>
      <c r="H23" s="460">
        <f>G23+'16'!H23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>
      <c r="A24" s="591" t="s">
        <v>150</v>
      </c>
      <c r="B24" s="592"/>
      <c r="C24" s="592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20325</v>
      </c>
      <c r="F27" s="501">
        <v>9</v>
      </c>
      <c r="G27" s="502">
        <f>E27*F27</f>
        <v>182925</v>
      </c>
      <c r="H27" s="460">
        <f>G27+'16'!H27</f>
        <v>3270528</v>
      </c>
      <c r="I27" s="503"/>
      <c r="J27" s="553">
        <f>H27/DAY(B2)</f>
        <v>192384</v>
      </c>
      <c r="K27" s="373"/>
      <c r="L27" s="443"/>
      <c r="N27" s="723"/>
      <c r="O27" s="730"/>
      <c r="P27" s="382"/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780.70900000003166</v>
      </c>
      <c r="F28" s="501">
        <v>43.5</v>
      </c>
      <c r="G28" s="502">
        <f>E28*F28</f>
        <v>33960.841500001377</v>
      </c>
      <c r="H28" s="460">
        <f>G28+'16'!H28</f>
        <v>701599.65469999926</v>
      </c>
      <c r="I28" s="505"/>
      <c r="J28" s="553">
        <f>H28/DAY(B2)</f>
        <v>41270.567923529365</v>
      </c>
      <c r="K28" s="373"/>
      <c r="L28" s="443"/>
      <c r="N28" s="723"/>
      <c r="O28" s="730"/>
      <c r="P28" s="382"/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53</v>
      </c>
      <c r="F30" s="501">
        <v>134</v>
      </c>
      <c r="G30" s="502">
        <f>E30*F30</f>
        <v>7102</v>
      </c>
      <c r="H30" s="460">
        <f>G30+'16'!H30</f>
        <v>136412</v>
      </c>
      <c r="I30" s="505"/>
      <c r="J30" s="553">
        <f>H30/DAY(B2)</f>
        <v>8024.2352941176468</v>
      </c>
      <c r="K30" s="373"/>
      <c r="L30" s="443"/>
      <c r="N30" s="723"/>
      <c r="O30" s="730"/>
      <c r="P30" s="382"/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120</v>
      </c>
      <c r="F31" s="501">
        <v>80</v>
      </c>
      <c r="G31" s="502">
        <f>E31*F31</f>
        <v>9600</v>
      </c>
      <c r="H31" s="460">
        <f>G31+'16'!H31</f>
        <v>176640</v>
      </c>
      <c r="I31" s="505"/>
      <c r="J31" s="553"/>
      <c r="K31" s="373">
        <f>E31*80%</f>
        <v>96</v>
      </c>
      <c r="L31" s="443"/>
      <c r="N31" s="723"/>
      <c r="O31" s="730"/>
      <c r="P31" s="382"/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233587.84150000138</v>
      </c>
      <c r="H32" s="460">
        <f>G32+'16'!H32</f>
        <v>4285179.6546999989</v>
      </c>
      <c r="I32" s="509"/>
      <c r="J32" s="553">
        <f>H32/DAY(B2)</f>
        <v>252069.39145294111</v>
      </c>
      <c r="K32" s="373"/>
      <c r="L32" s="443"/>
      <c r="N32" s="723"/>
      <c r="O32" s="730"/>
      <c r="P32" s="382"/>
    </row>
    <row r="33" spans="1:16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723"/>
      <c r="O33" s="730"/>
      <c r="P33" s="382"/>
    </row>
    <row r="34" spans="1:16">
      <c r="A34" s="599" t="s">
        <v>163</v>
      </c>
      <c r="B34" s="1236"/>
      <c r="C34" s="1236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>
      <c r="A35" s="579" t="s">
        <v>164</v>
      </c>
      <c r="B35" s="580"/>
      <c r="C35" s="580"/>
      <c r="D35" s="523" t="s">
        <v>132</v>
      </c>
      <c r="E35" s="510">
        <f>'16'!F35</f>
        <v>748293.11</v>
      </c>
      <c r="F35" s="510">
        <v>751599.75</v>
      </c>
      <c r="G35" s="473">
        <f t="shared" ref="G35:G46" si="1">F35-E35</f>
        <v>3306.640000000014</v>
      </c>
      <c r="H35" s="460">
        <f>G35+'16'!H35</f>
        <v>58512.160000000033</v>
      </c>
      <c r="I35" s="455"/>
      <c r="J35" s="553">
        <f>H35/DAY(B2)</f>
        <v>3441.8917647058843</v>
      </c>
      <c r="K35" s="428"/>
      <c r="L35" s="377"/>
      <c r="N35" s="723"/>
      <c r="O35" s="731"/>
      <c r="P35" s="382"/>
    </row>
    <row r="36" spans="1:16">
      <c r="A36" s="579" t="s">
        <v>165</v>
      </c>
      <c r="B36" s="580"/>
      <c r="C36" s="580"/>
      <c r="D36" s="523" t="s">
        <v>132</v>
      </c>
      <c r="E36" s="510">
        <f>'16'!F36</f>
        <v>306867.75</v>
      </c>
      <c r="F36" s="510">
        <v>307509.69</v>
      </c>
      <c r="G36" s="473">
        <f t="shared" si="1"/>
        <v>641.94000000000233</v>
      </c>
      <c r="H36" s="460">
        <f>G36+'16'!H36</f>
        <v>11064.119999999995</v>
      </c>
      <c r="I36" s="455"/>
      <c r="J36" s="553">
        <f>H36/DAY(B2)</f>
        <v>650.83058823529382</v>
      </c>
      <c r="K36" s="428"/>
      <c r="L36" s="377"/>
      <c r="N36" s="724"/>
      <c r="O36" s="731"/>
      <c r="P36" s="382"/>
    </row>
    <row r="37" spans="1:16">
      <c r="A37" s="579" t="s">
        <v>166</v>
      </c>
      <c r="B37" s="580"/>
      <c r="C37" s="580"/>
      <c r="D37" s="523" t="s">
        <v>132</v>
      </c>
      <c r="E37" s="510">
        <f>'16'!F37</f>
        <v>35167</v>
      </c>
      <c r="F37" s="510">
        <v>35167</v>
      </c>
      <c r="G37" s="473">
        <f t="shared" si="1"/>
        <v>0</v>
      </c>
      <c r="H37" s="460">
        <f>G37+'16'!H37</f>
        <v>38272.080000000002</v>
      </c>
      <c r="I37" s="455"/>
      <c r="J37" s="553">
        <f>H37/DAY(B2)</f>
        <v>2251.2988235294119</v>
      </c>
      <c r="K37" s="428"/>
      <c r="L37" s="377"/>
      <c r="N37" s="724"/>
      <c r="O37" s="731"/>
      <c r="P37" s="382"/>
    </row>
    <row r="38" spans="1:16">
      <c r="A38" s="579" t="s">
        <v>167</v>
      </c>
      <c r="B38" s="580"/>
      <c r="C38" s="580"/>
      <c r="D38" s="523" t="s">
        <v>132</v>
      </c>
      <c r="E38" s="510">
        <f>'16'!F38</f>
        <v>48333</v>
      </c>
      <c r="F38" s="469">
        <v>48333</v>
      </c>
      <c r="G38" s="473">
        <f t="shared" si="1"/>
        <v>0</v>
      </c>
      <c r="H38" s="460">
        <f>G38+'16'!H38</f>
        <v>4519.510000000002</v>
      </c>
      <c r="I38" s="455"/>
      <c r="J38" s="553">
        <f>H38/DAY(B2)</f>
        <v>265.85352941176484</v>
      </c>
      <c r="K38" s="428"/>
      <c r="L38" s="377"/>
      <c r="N38" s="723"/>
      <c r="O38" s="730"/>
      <c r="P38" s="382"/>
    </row>
    <row r="39" spans="1:16">
      <c r="A39" s="579" t="s">
        <v>168</v>
      </c>
      <c r="B39" s="580"/>
      <c r="C39" s="580"/>
      <c r="D39" s="523" t="s">
        <v>132</v>
      </c>
      <c r="E39" s="510">
        <f>'16'!F39</f>
        <v>100066</v>
      </c>
      <c r="F39" s="510">
        <v>100066</v>
      </c>
      <c r="G39" s="473">
        <f>F39-E39</f>
        <v>0</v>
      </c>
      <c r="H39" s="460">
        <f>G39+'16'!H39</f>
        <v>109458.89</v>
      </c>
      <c r="I39" s="455"/>
      <c r="J39" s="553">
        <f>H39/DAY(B2)</f>
        <v>6438.7582352941172</v>
      </c>
      <c r="K39" s="428"/>
      <c r="L39" s="377"/>
      <c r="N39" s="723"/>
      <c r="O39" s="731"/>
      <c r="P39" s="382"/>
    </row>
    <row r="40" spans="1:16">
      <c r="A40" s="600" t="s">
        <v>169</v>
      </c>
      <c r="B40" s="601"/>
      <c r="C40" s="601"/>
      <c r="D40" s="523" t="s">
        <v>132</v>
      </c>
      <c r="E40" s="510">
        <f>'16'!F40</f>
        <v>0.17</v>
      </c>
      <c r="F40" s="510">
        <v>0.17</v>
      </c>
      <c r="G40" s="473">
        <f t="shared" si="1"/>
        <v>0</v>
      </c>
      <c r="H40" s="460">
        <f>G40+'16'!H40</f>
        <v>-0.06</v>
      </c>
      <c r="I40" s="455"/>
      <c r="J40" s="553">
        <f>H40/DAY(B2)</f>
        <v>-3.529411764705882E-3</v>
      </c>
      <c r="K40" s="429"/>
      <c r="L40" s="377"/>
      <c r="N40" s="723"/>
      <c r="O40" s="730"/>
      <c r="P40" s="382"/>
    </row>
    <row r="41" spans="1:16">
      <c r="A41" s="579" t="s">
        <v>170</v>
      </c>
      <c r="B41" s="580"/>
      <c r="C41" s="580"/>
      <c r="D41" s="523" t="s">
        <v>132</v>
      </c>
      <c r="E41" s="510">
        <f>'16'!F41</f>
        <v>65379.01</v>
      </c>
      <c r="F41" s="510">
        <v>65379.01</v>
      </c>
      <c r="G41" s="473">
        <f t="shared" si="1"/>
        <v>0</v>
      </c>
      <c r="H41" s="460">
        <f>G41+'16'!H41</f>
        <v>1496.6399999999994</v>
      </c>
      <c r="I41" s="455"/>
      <c r="J41" s="553">
        <f>H41/DAY(B2)</f>
        <v>88.037647058823495</v>
      </c>
      <c r="K41" s="428"/>
      <c r="L41" s="377"/>
      <c r="N41" s="723"/>
      <c r="O41" s="732"/>
      <c r="P41" s="726"/>
    </row>
    <row r="42" spans="1:16">
      <c r="A42" s="579" t="s">
        <v>171</v>
      </c>
      <c r="B42" s="580"/>
      <c r="C42" s="580"/>
      <c r="D42" s="523" t="s">
        <v>132</v>
      </c>
      <c r="E42" s="510">
        <f>'16'!F42</f>
        <v>59128.163</v>
      </c>
      <c r="F42" s="510">
        <v>59128.160000000003</v>
      </c>
      <c r="G42" s="473">
        <f>F42-E42</f>
        <v>-2.9999999969732016E-3</v>
      </c>
      <c r="H42" s="460">
        <f>G42+'16'!H42</f>
        <v>-0.68999999999505235</v>
      </c>
      <c r="I42" s="455"/>
      <c r="J42" s="553">
        <f>H42/DAY(B2)</f>
        <v>-4.0588235293826609E-2</v>
      </c>
      <c r="K42" s="428"/>
      <c r="L42" s="377"/>
      <c r="N42" s="723"/>
      <c r="O42" s="730"/>
      <c r="P42" s="382"/>
    </row>
    <row r="43" spans="1:16">
      <c r="A43" s="579" t="s">
        <v>172</v>
      </c>
      <c r="B43" s="580"/>
      <c r="C43" s="580"/>
      <c r="D43" s="523" t="s">
        <v>132</v>
      </c>
      <c r="E43" s="510">
        <f>'16'!F43</f>
        <v>864807.99</v>
      </c>
      <c r="F43" s="510">
        <v>867165.99</v>
      </c>
      <c r="G43" s="473">
        <f t="shared" si="1"/>
        <v>2358</v>
      </c>
      <c r="H43" s="460">
        <f>G43+'16'!H43</f>
        <v>41268.160000000033</v>
      </c>
      <c r="I43" s="455"/>
      <c r="J43" s="553">
        <f>H43/DAY(B2)</f>
        <v>2427.5388235294135</v>
      </c>
      <c r="K43" s="428"/>
      <c r="L43" s="377"/>
      <c r="N43" s="723"/>
      <c r="O43" s="731"/>
      <c r="P43" s="382"/>
    </row>
    <row r="44" spans="1:16">
      <c r="A44" s="579" t="s">
        <v>173</v>
      </c>
      <c r="B44" s="580"/>
      <c r="C44" s="580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>
      <c r="A45" s="579" t="s">
        <v>174</v>
      </c>
      <c r="B45" s="580"/>
      <c r="C45" s="580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>
      <c r="A46" s="579" t="s">
        <v>175</v>
      </c>
      <c r="B46" s="580"/>
      <c r="C46" s="580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0.49000000000000909</v>
      </c>
      <c r="I46" s="455"/>
      <c r="J46" s="553">
        <f>H46/DAY(B2)</f>
        <v>2.882352941176524E-2</v>
      </c>
      <c r="K46" s="428"/>
      <c r="L46" s="377"/>
      <c r="N46" s="723"/>
      <c r="O46" s="730"/>
      <c r="P46" s="382"/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6306.5770000000193</v>
      </c>
      <c r="H47" s="460">
        <f>G47+'16'!H47</f>
        <v>264591.30000000005</v>
      </c>
      <c r="I47" s="455"/>
      <c r="J47" s="553">
        <f>H47/DAY(B2)</f>
        <v>15564.194117647061</v>
      </c>
      <c r="K47" s="428"/>
      <c r="L47" s="377"/>
      <c r="N47" s="723"/>
      <c r="O47" s="730"/>
      <c r="P47" s="382"/>
    </row>
    <row r="48" spans="1:16">
      <c r="A48" s="599" t="s">
        <v>177</v>
      </c>
      <c r="B48" s="1236"/>
      <c r="C48" s="1236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>
      <c r="A49" s="579" t="s">
        <v>164</v>
      </c>
      <c r="B49" s="602"/>
      <c r="C49" s="602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</v>
      </c>
      <c r="I49" s="455"/>
      <c r="J49" s="553">
        <f>H49/DAY(B2)</f>
        <v>0</v>
      </c>
      <c r="K49" s="428">
        <f>E49+242</f>
        <v>260974.13</v>
      </c>
      <c r="L49" s="377"/>
      <c r="N49" s="723"/>
      <c r="O49" s="730"/>
      <c r="P49" s="382"/>
    </row>
    <row r="50" spans="1:16">
      <c r="A50" s="579" t="s">
        <v>178</v>
      </c>
      <c r="B50" s="602"/>
      <c r="C50" s="602"/>
      <c r="D50" s="523" t="s">
        <v>132</v>
      </c>
      <c r="E50" s="510">
        <f>'16'!F50</f>
        <v>421645.91</v>
      </c>
      <c r="F50" s="510">
        <v>422813.47</v>
      </c>
      <c r="G50" s="473">
        <f t="shared" si="2"/>
        <v>1167.5599999999977</v>
      </c>
      <c r="H50" s="460">
        <f>G50+'16'!H50</f>
        <v>19156.439999999944</v>
      </c>
      <c r="I50" s="455"/>
      <c r="J50" s="553">
        <f>H50/DAY(B2)</f>
        <v>1126.8494117647026</v>
      </c>
      <c r="K50" s="428"/>
      <c r="L50" s="377"/>
      <c r="N50" s="723"/>
      <c r="O50" s="731"/>
      <c r="P50" s="382"/>
    </row>
    <row r="51" spans="1:16">
      <c r="A51" s="579" t="s">
        <v>166</v>
      </c>
      <c r="B51" s="602"/>
      <c r="C51" s="602"/>
      <c r="D51" s="523" t="s">
        <v>132</v>
      </c>
      <c r="E51" s="510">
        <f>'16'!F51</f>
        <v>141342.76999999999</v>
      </c>
      <c r="F51" s="510">
        <v>142917.29999999999</v>
      </c>
      <c r="G51" s="473">
        <f t="shared" si="2"/>
        <v>1574.5299999999988</v>
      </c>
      <c r="H51" s="460">
        <f>G51+'16'!H51</f>
        <v>21317.37999999999</v>
      </c>
      <c r="I51" s="455"/>
      <c r="J51" s="553">
        <f>H51/DAY(B2)</f>
        <v>1253.9635294117641</v>
      </c>
      <c r="K51" s="428"/>
      <c r="L51" s="377"/>
      <c r="N51" s="723"/>
      <c r="O51" s="730"/>
      <c r="P51" s="382"/>
    </row>
    <row r="52" spans="1:16">
      <c r="A52" s="579" t="s">
        <v>179</v>
      </c>
      <c r="B52" s="602"/>
      <c r="C52" s="602"/>
      <c r="D52" s="523" t="s">
        <v>132</v>
      </c>
      <c r="E52" s="510">
        <f>'16'!F52</f>
        <v>536002.23</v>
      </c>
      <c r="F52" s="510">
        <v>537738.63</v>
      </c>
      <c r="G52" s="473">
        <f t="shared" si="2"/>
        <v>1736.4000000000233</v>
      </c>
      <c r="H52" s="460">
        <f>G52+'16'!H52</f>
        <v>27779.919999999984</v>
      </c>
      <c r="I52" s="455"/>
      <c r="J52" s="553">
        <f>H52/DAY(B2)</f>
        <v>1634.1129411764696</v>
      </c>
      <c r="K52" s="428"/>
      <c r="L52" s="377"/>
      <c r="N52" s="723"/>
      <c r="O52" s="730"/>
      <c r="P52" s="382"/>
    </row>
    <row r="53" spans="1:16">
      <c r="A53" s="579" t="s">
        <v>168</v>
      </c>
      <c r="B53" s="602"/>
      <c r="C53" s="602"/>
      <c r="D53" s="523" t="s">
        <v>132</v>
      </c>
      <c r="E53" s="510">
        <f>'16'!F53</f>
        <v>390124.67</v>
      </c>
      <c r="F53" s="510">
        <v>394229.15</v>
      </c>
      <c r="G53" s="473">
        <f t="shared" si="2"/>
        <v>4104.4800000000396</v>
      </c>
      <c r="H53" s="460">
        <f>G53+'16'!H53</f>
        <v>58189.640000000014</v>
      </c>
      <c r="I53" s="455"/>
      <c r="J53" s="553">
        <f>H53/DAY(B2)</f>
        <v>3422.920000000001</v>
      </c>
      <c r="K53" s="428"/>
      <c r="L53" s="377"/>
      <c r="N53" s="723"/>
      <c r="O53" s="730"/>
      <c r="P53" s="382"/>
    </row>
    <row r="54" spans="1:16">
      <c r="A54" s="579" t="s">
        <v>180</v>
      </c>
      <c r="B54" s="602"/>
      <c r="C54" s="602"/>
      <c r="D54" s="523" t="s">
        <v>132</v>
      </c>
      <c r="E54" s="510">
        <f>'16'!F54</f>
        <v>8200.2900000000009</v>
      </c>
      <c r="F54" s="510">
        <v>8200.2900000000009</v>
      </c>
      <c r="G54" s="473">
        <f t="shared" si="2"/>
        <v>0</v>
      </c>
      <c r="H54" s="460">
        <f>G54+'16'!H54</f>
        <v>104.69000000000142</v>
      </c>
      <c r="I54" s="455"/>
      <c r="J54" s="553">
        <f>H54/DAY(B2)</f>
        <v>6.1582352941177305</v>
      </c>
      <c r="K54" s="428"/>
      <c r="L54" s="377"/>
      <c r="N54" s="723"/>
      <c r="O54" s="730"/>
      <c r="P54" s="382"/>
    </row>
    <row r="55" spans="1:16">
      <c r="A55" s="579" t="s">
        <v>181</v>
      </c>
      <c r="B55" s="602"/>
      <c r="C55" s="602"/>
      <c r="D55" s="523" t="s">
        <v>132</v>
      </c>
      <c r="E55" s="510">
        <f>'16'!F55</f>
        <v>197432.77</v>
      </c>
      <c r="F55" s="658">
        <v>202331.73</v>
      </c>
      <c r="G55" s="657">
        <f t="shared" si="2"/>
        <v>4898.960000000021</v>
      </c>
      <c r="H55" s="710">
        <f>G55+'16'!H55</f>
        <v>79747.040000000008</v>
      </c>
      <c r="I55" s="711"/>
      <c r="J55" s="712">
        <f>H55/DAY(B2)</f>
        <v>4691.0023529411774</v>
      </c>
      <c r="K55" s="428"/>
      <c r="L55" s="377"/>
      <c r="N55" s="723"/>
      <c r="O55" s="730"/>
      <c r="P55" s="382"/>
    </row>
    <row r="56" spans="1:16">
      <c r="A56" s="579" t="s">
        <v>182</v>
      </c>
      <c r="B56" s="602"/>
      <c r="C56" s="602"/>
      <c r="D56" s="523" t="s">
        <v>183</v>
      </c>
      <c r="E56" s="510">
        <f>'16'!F56</f>
        <v>588841.67000000004</v>
      </c>
      <c r="F56" s="658">
        <v>588850.23</v>
      </c>
      <c r="G56" s="473">
        <f>F56-E56</f>
        <v>8.559999999939464</v>
      </c>
      <c r="H56" s="460">
        <f>G56+'16'!H56</f>
        <v>2799.1999999999534</v>
      </c>
      <c r="I56" s="455"/>
      <c r="J56" s="553">
        <f>H56/DAY(B2)</f>
        <v>164.65882352940903</v>
      </c>
      <c r="K56" s="427"/>
      <c r="L56" s="377"/>
      <c r="N56" s="723"/>
      <c r="O56" s="732"/>
      <c r="P56" s="382"/>
    </row>
    <row r="57" spans="1:16">
      <c r="A57" s="579" t="s">
        <v>172</v>
      </c>
      <c r="B57" s="602"/>
      <c r="C57" s="602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>
      <c r="A58" s="579" t="s">
        <v>184</v>
      </c>
      <c r="B58" s="602"/>
      <c r="C58" s="602"/>
      <c r="D58" s="523" t="s">
        <v>132</v>
      </c>
      <c r="E58" s="510">
        <f>'16'!F58</f>
        <v>38860.85</v>
      </c>
      <c r="F58" s="658">
        <v>39009.839999999997</v>
      </c>
      <c r="G58" s="473">
        <f t="shared" si="2"/>
        <v>148.98999999999796</v>
      </c>
      <c r="H58" s="460">
        <f>G58+'16'!H58</f>
        <v>2945.1399999999994</v>
      </c>
      <c r="I58" s="455"/>
      <c r="J58" s="553">
        <f>H58/DAY(B2)</f>
        <v>173.24352941176468</v>
      </c>
      <c r="K58" s="428"/>
      <c r="L58" s="377"/>
      <c r="N58" s="723"/>
      <c r="O58" s="730"/>
      <c r="P58" s="382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13639.480000000018</v>
      </c>
      <c r="H59" s="460">
        <f>G59+'16'!H59</f>
        <v>212039.44999999987</v>
      </c>
      <c r="I59" s="455">
        <f>G7-G60</f>
        <v>301.94299999996292</v>
      </c>
      <c r="J59" s="553">
        <f>H59/DAY(B2)</f>
        <v>12472.908823529404</v>
      </c>
      <c r="K59" s="428"/>
      <c r="L59" s="377"/>
      <c r="N59" s="723"/>
      <c r="O59" s="730"/>
      <c r="P59" s="382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19946.057000000037</v>
      </c>
      <c r="H60" s="460">
        <f>G60+'16'!H60</f>
        <v>490799.74999999994</v>
      </c>
      <c r="I60" s="455">
        <f>G13-G60</f>
        <v>-487.05700000003708</v>
      </c>
      <c r="J60" s="553">
        <f>H60/DAY(B2)</f>
        <v>28870.573529411762</v>
      </c>
      <c r="K60" s="428"/>
      <c r="L60" s="377"/>
      <c r="N60" s="723"/>
      <c r="O60" s="730"/>
      <c r="P60" s="382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>
      <c r="A62" s="604" t="s">
        <v>98</v>
      </c>
      <c r="B62" s="605"/>
      <c r="C62" s="605"/>
      <c r="D62" s="511" t="s">
        <v>187</v>
      </c>
      <c r="E62" s="514">
        <f>'16'!F62</f>
        <v>20419.18</v>
      </c>
      <c r="F62" s="514">
        <v>20419.18</v>
      </c>
      <c r="G62" s="473">
        <f t="shared" ref="G62:G69" si="3">F62-E62</f>
        <v>0</v>
      </c>
      <c r="H62" s="460">
        <f>G62+'16'!H62</f>
        <v>-7.0000000014260877E-3</v>
      </c>
      <c r="I62" s="515"/>
      <c r="J62" s="553">
        <f>H62/DAY(B2)</f>
        <v>-4.1176470596624045E-4</v>
      </c>
      <c r="K62" s="428"/>
      <c r="L62" s="377"/>
      <c r="N62" s="723"/>
      <c r="O62" s="730"/>
      <c r="P62" s="382"/>
    </row>
    <row r="63" spans="1:16">
      <c r="A63" s="604" t="s">
        <v>188</v>
      </c>
      <c r="B63" s="605"/>
      <c r="C63" s="605"/>
      <c r="D63" s="511" t="s">
        <v>187</v>
      </c>
      <c r="E63" s="514">
        <f>'16'!F63</f>
        <v>1921.72</v>
      </c>
      <c r="F63" s="514">
        <v>1934.1</v>
      </c>
      <c r="G63" s="473">
        <f t="shared" si="3"/>
        <v>12.379999999999882</v>
      </c>
      <c r="H63" s="460">
        <f>G63+'16'!H63</f>
        <v>226.74</v>
      </c>
      <c r="I63" s="515"/>
      <c r="J63" s="553">
        <f>H63/DAY(B2)</f>
        <v>13.33764705882353</v>
      </c>
      <c r="K63" s="428"/>
      <c r="L63" s="377"/>
      <c r="N63" s="723"/>
      <c r="O63" s="730"/>
      <c r="P63" s="382"/>
    </row>
    <row r="64" spans="1:16" ht="27.75">
      <c r="A64" s="1408" t="s">
        <v>99</v>
      </c>
      <c r="B64" s="1409"/>
      <c r="C64" s="1410"/>
      <c r="D64" s="523" t="s">
        <v>187</v>
      </c>
      <c r="E64" s="1238">
        <f>'16'!F64</f>
        <v>131840.94</v>
      </c>
      <c r="F64" s="627">
        <v>132346.76</v>
      </c>
      <c r="G64" s="779">
        <f t="shared" si="3"/>
        <v>505.82000000000698</v>
      </c>
      <c r="H64" s="460">
        <f>G64+'16'!H64</f>
        <v>8719.4600000000064</v>
      </c>
      <c r="I64" s="480"/>
      <c r="J64" s="553">
        <f>H64/DAY(B2)</f>
        <v>512.90941176470631</v>
      </c>
      <c r="K64" s="428"/>
      <c r="L64" s="377"/>
      <c r="N64" s="723"/>
      <c r="O64" s="730"/>
      <c r="P64" s="382"/>
    </row>
    <row r="65" spans="1:16" ht="27.75">
      <c r="A65" s="1408" t="s">
        <v>100</v>
      </c>
      <c r="B65" s="1409"/>
      <c r="C65" s="1410"/>
      <c r="D65" s="523" t="s">
        <v>187</v>
      </c>
      <c r="E65" s="514">
        <f>'16'!F65</f>
        <v>138559.16</v>
      </c>
      <c r="F65" s="656">
        <v>138932.74</v>
      </c>
      <c r="G65" s="473">
        <f t="shared" si="3"/>
        <v>373.57999999998719</v>
      </c>
      <c r="H65" s="460">
        <f>G65+'16'!H65</f>
        <v>6335.4400000000023</v>
      </c>
      <c r="I65" s="489"/>
      <c r="J65" s="553">
        <f>H65/DAY(B2)</f>
        <v>372.67294117647072</v>
      </c>
      <c r="K65" s="428"/>
      <c r="L65" s="377"/>
      <c r="N65" s="723"/>
      <c r="O65" s="731"/>
      <c r="P65" s="382"/>
    </row>
    <row r="66" spans="1:16" ht="27.75">
      <c r="A66" s="1408" t="s">
        <v>101</v>
      </c>
      <c r="B66" s="1409"/>
      <c r="C66" s="1410"/>
      <c r="D66" s="523" t="s">
        <v>187</v>
      </c>
      <c r="E66" s="514">
        <f>'16'!F66</f>
        <v>31315.13</v>
      </c>
      <c r="F66" s="478">
        <v>31699.43</v>
      </c>
      <c r="G66" s="473">
        <f t="shared" si="3"/>
        <v>384.29999999999927</v>
      </c>
      <c r="H66" s="460">
        <f>G66+'16'!H66</f>
        <v>6539.68</v>
      </c>
      <c r="I66" s="480"/>
      <c r="J66" s="553">
        <f>H66/DAY(B2)</f>
        <v>384.68705882352941</v>
      </c>
      <c r="K66" s="428"/>
      <c r="L66" s="377"/>
      <c r="N66" s="723"/>
      <c r="O66" s="730"/>
      <c r="P66" s="382"/>
    </row>
    <row r="67" spans="1:16" ht="27.75">
      <c r="A67" s="1408" t="s">
        <v>102</v>
      </c>
      <c r="B67" s="1409"/>
      <c r="C67" s="1410"/>
      <c r="D67" s="523" t="s">
        <v>187</v>
      </c>
      <c r="E67" s="514">
        <f>'16'!F67</f>
        <v>218709.71</v>
      </c>
      <c r="F67" s="478">
        <v>219352.23</v>
      </c>
      <c r="G67" s="473">
        <f t="shared" si="3"/>
        <v>642.52000000001863</v>
      </c>
      <c r="H67" s="460">
        <f>G67+'16'!H67</f>
        <v>11510.400000000023</v>
      </c>
      <c r="I67" s="489"/>
      <c r="J67" s="553">
        <f>H67/DAY(B2)</f>
        <v>677.08235294117787</v>
      </c>
      <c r="K67" s="429"/>
      <c r="L67" s="377"/>
      <c r="N67" s="723"/>
      <c r="O67" s="730"/>
      <c r="P67" s="382"/>
    </row>
    <row r="68" spans="1:16" ht="27.75">
      <c r="A68" s="1408" t="s">
        <v>103</v>
      </c>
      <c r="B68" s="1409"/>
      <c r="C68" s="1410"/>
      <c r="D68" s="523" t="s">
        <v>187</v>
      </c>
      <c r="E68" s="514">
        <f>'16'!F68</f>
        <v>78087.59</v>
      </c>
      <c r="F68" s="478">
        <v>78400.81</v>
      </c>
      <c r="G68" s="473">
        <f t="shared" si="3"/>
        <v>313.22000000000116</v>
      </c>
      <c r="H68" s="460">
        <f>G68+'16'!H68</f>
        <v>5722.2899999999936</v>
      </c>
      <c r="I68" s="516"/>
      <c r="J68" s="553">
        <f>H68/DAY(B2)</f>
        <v>336.60529411764668</v>
      </c>
      <c r="K68" s="430"/>
      <c r="L68" s="377"/>
      <c r="N68" s="723"/>
      <c r="O68" s="730"/>
      <c r="P68" s="382"/>
    </row>
    <row r="69" spans="1:16" ht="27.75">
      <c r="A69" s="1408" t="s">
        <v>104</v>
      </c>
      <c r="B69" s="1409"/>
      <c r="C69" s="1410"/>
      <c r="D69" s="523" t="s">
        <v>187</v>
      </c>
      <c r="E69" s="514">
        <f>'16'!F69</f>
        <v>69624.479999999996</v>
      </c>
      <c r="F69" s="478">
        <v>69933.5</v>
      </c>
      <c r="G69" s="473">
        <f t="shared" si="3"/>
        <v>309.02000000000407</v>
      </c>
      <c r="H69" s="460">
        <f>G69+'16'!H69</f>
        <v>5481.4100000000035</v>
      </c>
      <c r="I69" s="516"/>
      <c r="J69" s="553">
        <f>H69/DAY(B2)</f>
        <v>322.43588235294141</v>
      </c>
      <c r="K69" s="431"/>
      <c r="L69" s="377"/>
      <c r="N69" s="723"/>
      <c r="O69" s="730"/>
      <c r="P69" s="382"/>
    </row>
    <row r="70" spans="1:16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723"/>
      <c r="O70" s="730"/>
      <c r="P70" s="382"/>
    </row>
    <row r="71" spans="1:16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723"/>
      <c r="O71" s="730"/>
      <c r="P71" s="382"/>
    </row>
    <row r="72" spans="1:16" ht="27.75">
      <c r="A72" s="1408" t="s">
        <v>191</v>
      </c>
      <c r="B72" s="1409"/>
      <c r="C72" s="1410"/>
      <c r="D72" s="523" t="s">
        <v>187</v>
      </c>
      <c r="E72" s="519">
        <f>'16'!F72</f>
        <v>852003</v>
      </c>
      <c r="F72" s="659">
        <v>852084</v>
      </c>
      <c r="G72" s="473">
        <f t="shared" ref="G72:G84" si="4">F72-E72</f>
        <v>81</v>
      </c>
      <c r="H72" s="460">
        <f>G72+'16'!H72</f>
        <v>1402</v>
      </c>
      <c r="I72" s="480"/>
      <c r="J72" s="553">
        <f>H72/DAY(B2)</f>
        <v>82.470588235294116</v>
      </c>
      <c r="K72" s="431"/>
      <c r="L72" s="377"/>
      <c r="N72" s="723"/>
      <c r="O72" s="730"/>
      <c r="P72" s="382"/>
    </row>
    <row r="73" spans="1:16" ht="27.75">
      <c r="A73" s="1408" t="s">
        <v>192</v>
      </c>
      <c r="B73" s="1409"/>
      <c r="C73" s="1410"/>
      <c r="D73" s="523" t="s">
        <v>187</v>
      </c>
      <c r="E73" s="519">
        <f>'16'!F73</f>
        <v>885777</v>
      </c>
      <c r="F73" s="660">
        <v>885777</v>
      </c>
      <c r="G73" s="657">
        <f t="shared" si="4"/>
        <v>0</v>
      </c>
      <c r="H73" s="460">
        <f>G73+'16'!H73</f>
        <v>1119</v>
      </c>
      <c r="I73" s="480"/>
      <c r="J73" s="553">
        <f>H73/DAY(B2)</f>
        <v>65.82352941176471</v>
      </c>
      <c r="K73" s="430"/>
      <c r="L73" s="377"/>
      <c r="N73" s="723"/>
      <c r="O73" s="730"/>
      <c r="P73" s="382"/>
    </row>
    <row r="74" spans="1:16" ht="27.75">
      <c r="A74" s="1408" t="s">
        <v>193</v>
      </c>
      <c r="B74" s="1409"/>
      <c r="C74" s="1410"/>
      <c r="D74" s="523" t="s">
        <v>187</v>
      </c>
      <c r="E74" s="519">
        <f>'16'!F74</f>
        <v>1045.3900000000001</v>
      </c>
      <c r="F74" s="660">
        <v>1062.95</v>
      </c>
      <c r="G74" s="473">
        <f t="shared" si="4"/>
        <v>17.559999999999945</v>
      </c>
      <c r="H74" s="460">
        <f>G74+'16'!H74</f>
        <v>476.78000000000009</v>
      </c>
      <c r="I74" s="480"/>
      <c r="J74" s="553">
        <f>H74/DAY(B2)</f>
        <v>28.045882352941181</v>
      </c>
      <c r="K74" s="431"/>
      <c r="L74" s="377"/>
      <c r="N74" s="723"/>
      <c r="O74" s="730"/>
      <c r="P74" s="382"/>
    </row>
    <row r="75" spans="1:16" ht="27.75">
      <c r="A75" s="1457" t="s">
        <v>194</v>
      </c>
      <c r="B75" s="1458"/>
      <c r="C75" s="1459"/>
      <c r="D75" s="523" t="s">
        <v>187</v>
      </c>
      <c r="E75" s="519">
        <f>'16'!F75</f>
        <v>6177.22</v>
      </c>
      <c r="F75" s="660">
        <v>6330.31</v>
      </c>
      <c r="G75" s="473">
        <f t="shared" si="4"/>
        <v>153.09000000000015</v>
      </c>
      <c r="H75" s="460">
        <f>G75+'16'!H75</f>
        <v>2811.0900000000006</v>
      </c>
      <c r="I75" s="480"/>
      <c r="J75" s="553">
        <f>H75/DAY(B2)</f>
        <v>165.35823529411769</v>
      </c>
      <c r="K75" s="430"/>
      <c r="L75" s="377"/>
      <c r="N75" s="723"/>
      <c r="O75" s="730"/>
      <c r="P75" s="382"/>
    </row>
    <row r="76" spans="1:16" ht="27.75">
      <c r="A76" s="1457" t="s">
        <v>195</v>
      </c>
      <c r="B76" s="1458"/>
      <c r="C76" s="1459"/>
      <c r="D76" s="523" t="s">
        <v>187</v>
      </c>
      <c r="E76" s="519">
        <f>'16'!F76</f>
        <v>2830.3</v>
      </c>
      <c r="F76" s="660">
        <v>2895.63</v>
      </c>
      <c r="G76" s="473">
        <f t="shared" si="4"/>
        <v>65.329999999999927</v>
      </c>
      <c r="H76" s="460">
        <f>G76+'16'!H76</f>
        <v>2420.4100000000003</v>
      </c>
      <c r="I76" s="505"/>
      <c r="J76" s="553">
        <f>H76/DAY(B2)</f>
        <v>142.37705882352944</v>
      </c>
      <c r="K76" s="430"/>
      <c r="L76" s="377"/>
      <c r="N76" s="723"/>
      <c r="O76" s="730"/>
      <c r="P76" s="382"/>
    </row>
    <row r="77" spans="1:16" ht="27.75">
      <c r="A77" s="1408" t="s">
        <v>196</v>
      </c>
      <c r="B77" s="1409"/>
      <c r="C77" s="1410"/>
      <c r="D77" s="523" t="s">
        <v>187</v>
      </c>
      <c r="E77" s="519">
        <f>'16'!F77</f>
        <v>699439</v>
      </c>
      <c r="F77" s="660">
        <v>699498</v>
      </c>
      <c r="G77" s="657">
        <f t="shared" si="4"/>
        <v>59</v>
      </c>
      <c r="H77" s="460">
        <f>G77+'16'!H77</f>
        <v>910</v>
      </c>
      <c r="I77" s="505"/>
      <c r="J77" s="553">
        <f>H77/DAY(B2)</f>
        <v>53.529411764705884</v>
      </c>
      <c r="K77" s="430"/>
      <c r="L77" s="377"/>
      <c r="N77" s="723"/>
      <c r="O77" s="730"/>
      <c r="P77" s="382"/>
    </row>
    <row r="78" spans="1:16" ht="27.75">
      <c r="A78" s="1234" t="s">
        <v>197</v>
      </c>
      <c r="B78" s="1227"/>
      <c r="C78" s="1227"/>
      <c r="D78" s="523" t="s">
        <v>187</v>
      </c>
      <c r="E78" s="519">
        <f>'16'!F78</f>
        <v>659318</v>
      </c>
      <c r="F78" s="661">
        <v>659709</v>
      </c>
      <c r="G78" s="473">
        <f t="shared" si="4"/>
        <v>391</v>
      </c>
      <c r="H78" s="460">
        <f>G78+'16'!H78</f>
        <v>6846</v>
      </c>
      <c r="I78" s="505"/>
      <c r="J78" s="553">
        <f>H78/DAY(B2)</f>
        <v>402.70588235294116</v>
      </c>
      <c r="K78" s="430"/>
      <c r="L78" s="377"/>
      <c r="N78" s="723"/>
      <c r="O78" s="730"/>
      <c r="P78" s="382"/>
    </row>
    <row r="79" spans="1:16" ht="27.75">
      <c r="A79" s="1457" t="s">
        <v>92</v>
      </c>
      <c r="B79" s="1458"/>
      <c r="C79" s="1459"/>
      <c r="D79" s="524" t="s">
        <v>187</v>
      </c>
      <c r="E79" s="519">
        <f>'16'!F79</f>
        <v>818400</v>
      </c>
      <c r="F79" s="661">
        <v>818601</v>
      </c>
      <c r="G79" s="473">
        <f t="shared" si="4"/>
        <v>201</v>
      </c>
      <c r="H79" s="460">
        <f>G79+'16'!H79</f>
        <v>6002</v>
      </c>
      <c r="I79" s="505"/>
      <c r="J79" s="553">
        <f>H79/DAY(B2)</f>
        <v>353.05882352941177</v>
      </c>
      <c r="K79" s="430"/>
      <c r="L79" s="377"/>
      <c r="N79" s="723"/>
      <c r="O79" s="730"/>
      <c r="P79" s="382"/>
    </row>
    <row r="80" spans="1:16" ht="27.75">
      <c r="A80" s="1457" t="s">
        <v>198</v>
      </c>
      <c r="B80" s="1458"/>
      <c r="C80" s="1459"/>
      <c r="D80" s="524" t="s">
        <v>187</v>
      </c>
      <c r="E80" s="519">
        <f>'16'!F80</f>
        <v>500368.36</v>
      </c>
      <c r="F80" s="660">
        <v>500703.16</v>
      </c>
      <c r="G80" s="473">
        <f t="shared" si="4"/>
        <v>334.79999999998836</v>
      </c>
      <c r="H80" s="460">
        <f>G80+'16'!H80</f>
        <v>4089.1599999999744</v>
      </c>
      <c r="I80" s="505"/>
      <c r="J80" s="553">
        <f>H80/DAY(B2)</f>
        <v>240.53882352941025</v>
      </c>
      <c r="K80" s="430"/>
      <c r="L80" s="377"/>
      <c r="N80" s="723"/>
      <c r="O80" s="730"/>
      <c r="P80" s="382"/>
    </row>
    <row r="81" spans="1:16" ht="27.75">
      <c r="A81" s="1457" t="s">
        <v>199</v>
      </c>
      <c r="B81" s="1458"/>
      <c r="C81" s="1459"/>
      <c r="D81" s="524" t="s">
        <v>187</v>
      </c>
      <c r="E81" s="519">
        <f>'16'!F81</f>
        <v>627667.31999999995</v>
      </c>
      <c r="F81" s="660">
        <v>627779.96</v>
      </c>
      <c r="G81" s="473">
        <f t="shared" si="4"/>
        <v>112.64000000001397</v>
      </c>
      <c r="H81" s="460">
        <f>G81+'16'!H81</f>
        <v>1836.1199999999953</v>
      </c>
      <c r="I81" s="505"/>
      <c r="J81" s="553">
        <f>H81/DAY(B2)</f>
        <v>108.00705882352914</v>
      </c>
      <c r="K81" s="430"/>
      <c r="L81" s="377"/>
      <c r="N81" s="723"/>
      <c r="O81" s="730"/>
      <c r="P81" s="382"/>
    </row>
    <row r="82" spans="1:16" s="781" customFormat="1" ht="27.75">
      <c r="A82" s="1474" t="s">
        <v>93</v>
      </c>
      <c r="B82" s="1475"/>
      <c r="C82" s="1476"/>
      <c r="D82" s="627" t="s">
        <v>132</v>
      </c>
      <c r="E82" s="788">
        <f>'16'!F82</f>
        <v>106562.23</v>
      </c>
      <c r="F82" s="627">
        <v>106583.51</v>
      </c>
      <c r="G82" s="779">
        <f t="shared" si="4"/>
        <v>21.279999999998836</v>
      </c>
      <c r="H82" s="479">
        <f>G82+'16'!H82</f>
        <v>381.02999999999884</v>
      </c>
      <c r="I82" s="479"/>
      <c r="J82" s="780">
        <f>H82/DAY(B2)</f>
        <v>22.413529411764639</v>
      </c>
      <c r="K82" s="1224"/>
      <c r="L82" s="1225"/>
      <c r="N82" s="727"/>
      <c r="O82" s="731"/>
      <c r="P82" s="726"/>
    </row>
    <row r="83" spans="1:16" ht="27.75">
      <c r="A83" s="1457" t="s">
        <v>200</v>
      </c>
      <c r="B83" s="1458"/>
      <c r="C83" s="1459"/>
      <c r="D83" s="621" t="s">
        <v>132</v>
      </c>
      <c r="E83" s="519">
        <f>'16'!F83</f>
        <v>2926</v>
      </c>
      <c r="F83" s="511">
        <v>3166</v>
      </c>
      <c r="G83" s="473">
        <f t="shared" si="4"/>
        <v>240</v>
      </c>
      <c r="H83" s="460">
        <f>G83+'16'!H83</f>
        <v>6569</v>
      </c>
      <c r="I83" s="481"/>
      <c r="J83" s="553">
        <f>H83/DAY(B2)</f>
        <v>386.41176470588238</v>
      </c>
      <c r="K83" s="429"/>
      <c r="L83" s="377"/>
      <c r="N83" s="723"/>
      <c r="O83" s="730"/>
      <c r="P83" s="382"/>
    </row>
    <row r="84" spans="1:16">
      <c r="A84" s="1235" t="s">
        <v>201</v>
      </c>
      <c r="B84" s="572"/>
      <c r="C84" s="572"/>
      <c r="D84" s="478" t="s">
        <v>132</v>
      </c>
      <c r="E84" s="519">
        <f>'16'!F84</f>
        <v>443372</v>
      </c>
      <c r="F84" s="628">
        <v>444033</v>
      </c>
      <c r="G84" s="473">
        <f t="shared" si="4"/>
        <v>661</v>
      </c>
      <c r="H84" s="460">
        <f>G84+'16'!H84</f>
        <v>13235</v>
      </c>
      <c r="I84" s="481"/>
      <c r="J84" s="553">
        <f>H84/DAY(B2)</f>
        <v>778.52941176470586</v>
      </c>
      <c r="K84" s="380"/>
      <c r="L84" s="377"/>
      <c r="N84" s="723"/>
      <c r="O84" s="730"/>
      <c r="P84" s="382"/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2337.7000000000012</v>
      </c>
      <c r="H85" s="460">
        <f>G85+'16'!H85</f>
        <v>43439.449999999903</v>
      </c>
      <c r="I85" s="481"/>
      <c r="J85" s="553">
        <f>H85/DAY(B2)</f>
        <v>2555.2617647058764</v>
      </c>
      <c r="K85" s="380"/>
      <c r="L85" s="378"/>
      <c r="N85" s="723"/>
      <c r="O85" s="730"/>
      <c r="P85" s="382"/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'16'!F86</f>
        <v>452333.56</v>
      </c>
      <c r="F86" s="652">
        <v>452448.68</v>
      </c>
      <c r="G86" s="710">
        <f t="shared" ref="G86:G90" si="5">F86-E86</f>
        <v>115.11999999999534</v>
      </c>
      <c r="H86" s="710">
        <f t="shared" ref="H86:H88" si="6">G86</f>
        <v>115.11999999999534</v>
      </c>
      <c r="I86" s="657"/>
      <c r="J86" s="712">
        <f>H86/DAY(B2)</f>
        <v>6.7717647058820791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'16'!F87</f>
        <v>79673.399999999994</v>
      </c>
      <c r="F87" s="652">
        <v>79701.8</v>
      </c>
      <c r="G87" s="710">
        <f t="shared" si="5"/>
        <v>28.400000000008731</v>
      </c>
      <c r="H87" s="710">
        <f t="shared" si="6"/>
        <v>28.400000000008731</v>
      </c>
      <c r="I87" s="657"/>
      <c r="J87" s="712">
        <f>H87/DAY(B2)</f>
        <v>1.6705882352946313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'16'!F88</f>
        <v>149472.95999999999</v>
      </c>
      <c r="F88" s="652">
        <v>149555.70000000001</v>
      </c>
      <c r="G88" s="710">
        <f t="shared" si="5"/>
        <v>82.740000000019791</v>
      </c>
      <c r="H88" s="710">
        <f t="shared" si="6"/>
        <v>82.740000000019791</v>
      </c>
      <c r="I88" s="657"/>
      <c r="J88" s="712">
        <f>H88/DAY(B2)</f>
        <v>4.8670588235305763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'16'!F89</f>
        <v>62774.6</v>
      </c>
      <c r="F89" s="652">
        <v>62833.1</v>
      </c>
      <c r="G89" s="710">
        <f t="shared" si="5"/>
        <v>58.5</v>
      </c>
      <c r="H89" s="710">
        <f>G89</f>
        <v>58.5</v>
      </c>
      <c r="I89" s="657"/>
      <c r="J89" s="712">
        <f>H89/DAY(B2)</f>
        <v>3.4411764705882355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'16'!F90</f>
        <v>3229.8</v>
      </c>
      <c r="F90" s="652">
        <v>3234.6</v>
      </c>
      <c r="G90" s="710">
        <f t="shared" si="5"/>
        <v>4.7999999999997272</v>
      </c>
      <c r="H90" s="710">
        <f>G90</f>
        <v>4.7999999999997272</v>
      </c>
      <c r="I90" s="657"/>
      <c r="J90" s="712">
        <f>H90/DAY(B2)</f>
        <v>0.28235294117645454</v>
      </c>
      <c r="K90" s="738"/>
      <c r="L90" s="739"/>
      <c r="N90" s="783"/>
      <c r="O90" s="382"/>
    </row>
    <row r="91" spans="1:16" s="379" customFormat="1">
      <c r="A91" s="607" t="s">
        <v>205</v>
      </c>
      <c r="B91" s="1237"/>
      <c r="C91" s="1237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>
      <c r="A92" s="1411" t="s">
        <v>206</v>
      </c>
      <c r="B92" s="1412"/>
      <c r="C92" s="1413"/>
      <c r="D92" s="523" t="s">
        <v>144</v>
      </c>
      <c r="E92" s="484">
        <f>'16'!F92</f>
        <v>241214</v>
      </c>
      <c r="F92" s="478">
        <v>241291</v>
      </c>
      <c r="G92" s="473">
        <f t="shared" ref="G92:G93" si="7">F92-E92</f>
        <v>77</v>
      </c>
      <c r="H92" s="460">
        <f>G92+'16'!H92</f>
        <v>1596</v>
      </c>
      <c r="I92" s="480"/>
      <c r="J92" s="553">
        <f>H92/DAY(B2)</f>
        <v>93.882352941176464</v>
      </c>
      <c r="K92" s="429"/>
      <c r="L92" s="377"/>
      <c r="N92" s="723"/>
      <c r="O92" s="730"/>
      <c r="P92" s="382"/>
    </row>
    <row r="93" spans="1:16" ht="27.75">
      <c r="A93" s="1411" t="s">
        <v>207</v>
      </c>
      <c r="B93" s="1412"/>
      <c r="C93" s="1413"/>
      <c r="D93" s="523" t="s">
        <v>144</v>
      </c>
      <c r="E93" s="484">
        <f>'16'!F93</f>
        <v>177708</v>
      </c>
      <c r="F93" s="478">
        <v>177812</v>
      </c>
      <c r="G93" s="473">
        <f t="shared" si="7"/>
        <v>104</v>
      </c>
      <c r="H93" s="460">
        <f>G93+'16'!H93</f>
        <v>2151</v>
      </c>
      <c r="I93" s="480"/>
      <c r="J93" s="553">
        <f>H93/DAY(B2)</f>
        <v>126.52941176470588</v>
      </c>
      <c r="K93" s="380"/>
      <c r="L93" s="377"/>
      <c r="N93" s="723"/>
      <c r="O93" s="730"/>
      <c r="P93" s="382"/>
    </row>
    <row r="94" spans="1:16">
      <c r="A94" s="1405" t="s">
        <v>208</v>
      </c>
      <c r="B94" s="1406"/>
      <c r="C94" s="1407"/>
      <c r="D94" s="523"/>
      <c r="E94" s="484">
        <f>'16'!F94</f>
        <v>0</v>
      </c>
      <c r="F94" s="478"/>
      <c r="G94" s="473">
        <f>G92+G93</f>
        <v>181</v>
      </c>
      <c r="H94" s="460">
        <f>G94+'16'!H94</f>
        <v>3481</v>
      </c>
      <c r="I94" s="480"/>
      <c r="J94" s="553">
        <f>H94/DAY(B2)</f>
        <v>204.76470588235293</v>
      </c>
      <c r="K94" s="380"/>
      <c r="L94" s="377"/>
      <c r="N94" s="723"/>
      <c r="O94" s="730"/>
      <c r="P94" s="382"/>
    </row>
    <row r="95" spans="1:16" ht="27.75">
      <c r="A95" s="1411" t="s">
        <v>209</v>
      </c>
      <c r="B95" s="1412"/>
      <c r="C95" s="1413"/>
      <c r="D95" s="523" t="s">
        <v>144</v>
      </c>
      <c r="E95" s="484">
        <f>'16'!F95</f>
        <v>409517</v>
      </c>
      <c r="F95" s="478">
        <v>409614</v>
      </c>
      <c r="G95" s="473">
        <f t="shared" ref="G95:G100" si="8">F95-E95</f>
        <v>97</v>
      </c>
      <c r="H95" s="460">
        <f>G95+'16'!H95</f>
        <v>1458</v>
      </c>
      <c r="I95" s="480"/>
      <c r="J95" s="553">
        <f>H95/DAY(B2)</f>
        <v>85.764705882352942</v>
      </c>
      <c r="K95" s="380"/>
      <c r="L95" s="377"/>
      <c r="N95" s="723"/>
      <c r="O95" s="730"/>
      <c r="P95" s="382"/>
    </row>
    <row r="96" spans="1:16" ht="27.75">
      <c r="A96" s="1231" t="s">
        <v>210</v>
      </c>
      <c r="B96" s="1232"/>
      <c r="C96" s="1232"/>
      <c r="D96" s="523" t="s">
        <v>144</v>
      </c>
      <c r="E96" s="484">
        <f>'16'!F96</f>
        <v>101567</v>
      </c>
      <c r="F96" s="478">
        <v>101581</v>
      </c>
      <c r="G96" s="473">
        <f t="shared" si="8"/>
        <v>14</v>
      </c>
      <c r="H96" s="460">
        <f>G96+'16'!H96</f>
        <v>249</v>
      </c>
      <c r="I96" s="480"/>
      <c r="J96" s="553">
        <f>H96/DAY(B2)</f>
        <v>14.647058823529411</v>
      </c>
      <c r="K96" s="427"/>
      <c r="L96" s="377"/>
      <c r="N96" s="723"/>
      <c r="O96" s="730"/>
      <c r="P96" s="382"/>
    </row>
    <row r="97" spans="1:16" ht="27.75">
      <c r="A97" s="1231" t="s">
        <v>211</v>
      </c>
      <c r="B97" s="1232"/>
      <c r="C97" s="1232"/>
      <c r="D97" s="523" t="s">
        <v>144</v>
      </c>
      <c r="E97" s="484">
        <f>'16'!F97</f>
        <v>96632</v>
      </c>
      <c r="F97" s="478">
        <v>96632</v>
      </c>
      <c r="G97" s="473">
        <f t="shared" si="8"/>
        <v>0</v>
      </c>
      <c r="H97" s="460">
        <f>G97+'16'!H97</f>
        <v>183</v>
      </c>
      <c r="I97" s="480"/>
      <c r="J97" s="553">
        <f>H97/DAY(B2)</f>
        <v>10.764705882352942</v>
      </c>
      <c r="K97" s="432"/>
      <c r="L97" s="377"/>
      <c r="N97" s="723"/>
      <c r="O97" s="730"/>
      <c r="P97" s="382"/>
    </row>
    <row r="98" spans="1:16" ht="27.75">
      <c r="A98" s="1231" t="s">
        <v>212</v>
      </c>
      <c r="B98" s="1232"/>
      <c r="C98" s="1232"/>
      <c r="D98" s="523" t="s">
        <v>144</v>
      </c>
      <c r="E98" s="484">
        <f>'16'!F98</f>
        <v>148425</v>
      </c>
      <c r="F98" s="478">
        <v>148443</v>
      </c>
      <c r="G98" s="473">
        <f t="shared" si="8"/>
        <v>18</v>
      </c>
      <c r="H98" s="460">
        <f>G98+'16'!H98</f>
        <v>835</v>
      </c>
      <c r="I98" s="480"/>
      <c r="J98" s="553">
        <f>H98/DAY(B2)</f>
        <v>49.117647058823529</v>
      </c>
      <c r="K98" s="380"/>
      <c r="L98" s="377"/>
      <c r="N98" s="725"/>
      <c r="O98" s="730"/>
      <c r="P98" s="382"/>
    </row>
    <row r="99" spans="1:16" ht="27.75">
      <c r="A99" s="1231" t="s">
        <v>213</v>
      </c>
      <c r="B99" s="1232"/>
      <c r="C99" s="1232"/>
      <c r="D99" s="523" t="s">
        <v>144</v>
      </c>
      <c r="E99" s="484">
        <f>'16'!F99</f>
        <v>6646</v>
      </c>
      <c r="F99" s="478">
        <v>6654</v>
      </c>
      <c r="G99" s="473">
        <f t="shared" si="8"/>
        <v>8</v>
      </c>
      <c r="H99" s="460">
        <f>G99+'16'!H99</f>
        <v>246</v>
      </c>
      <c r="I99" s="480"/>
      <c r="J99" s="553">
        <f>H99/DAY(B2)</f>
        <v>14.470588235294118</v>
      </c>
      <c r="K99" s="380"/>
      <c r="L99" s="377"/>
      <c r="N99" s="723"/>
      <c r="O99" s="730"/>
      <c r="P99" s="382"/>
    </row>
    <row r="100" spans="1:16" ht="27.75">
      <c r="A100" s="1231" t="s">
        <v>214</v>
      </c>
      <c r="B100" s="1232"/>
      <c r="C100" s="1232"/>
      <c r="D100" s="523" t="s">
        <v>144</v>
      </c>
      <c r="E100" s="484">
        <f>'16'!F100</f>
        <v>4744</v>
      </c>
      <c r="F100" s="478">
        <v>4751</v>
      </c>
      <c r="G100" s="473">
        <f t="shared" si="8"/>
        <v>7</v>
      </c>
      <c r="H100" s="460">
        <f>G100+'16'!H100</f>
        <v>208</v>
      </c>
      <c r="I100" s="480"/>
      <c r="J100" s="553">
        <f>H100/DAY(B2)</f>
        <v>12.235294117647058</v>
      </c>
      <c r="K100" s="380"/>
      <c r="L100" s="377"/>
      <c r="N100" s="723"/>
      <c r="O100" s="730"/>
      <c r="P100" s="382"/>
    </row>
    <row r="101" spans="1:16">
      <c r="A101" s="1405" t="s">
        <v>216</v>
      </c>
      <c r="B101" s="1406"/>
      <c r="C101" s="1407"/>
      <c r="D101" s="524"/>
      <c r="E101" s="484"/>
      <c r="F101" s="524"/>
      <c r="G101" s="525">
        <f>SUM(G95:G100)</f>
        <v>144</v>
      </c>
      <c r="H101" s="460">
        <f>G101+'16'!H101</f>
        <v>3179</v>
      </c>
      <c r="I101" s="526"/>
      <c r="J101" s="553">
        <f>H101/DAY(B2)</f>
        <v>187</v>
      </c>
      <c r="K101" s="380"/>
      <c r="L101" s="377"/>
      <c r="N101" s="723"/>
      <c r="O101" s="730"/>
      <c r="P101" s="382"/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>
      <c r="A103" s="1414" t="s">
        <v>218</v>
      </c>
      <c r="B103" s="1415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>
      <c r="A104" s="1416" t="s">
        <v>219</v>
      </c>
      <c r="B104" s="1417"/>
      <c r="C104" s="1230"/>
      <c r="D104" s="623" t="s">
        <v>144</v>
      </c>
      <c r="E104" s="484">
        <f>'16'!F104</f>
        <v>7240</v>
      </c>
      <c r="F104" s="663">
        <v>7240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4.6558823529411821</v>
      </c>
      <c r="N104" s="723"/>
      <c r="O104" s="730"/>
      <c r="P104" s="382"/>
    </row>
    <row r="105" spans="1:16" s="442" customFormat="1" ht="27.75">
      <c r="A105" s="1416" t="s">
        <v>77</v>
      </c>
      <c r="B105" s="1417"/>
      <c r="C105" s="1230"/>
      <c r="D105" s="623" t="s">
        <v>144</v>
      </c>
      <c r="E105" s="484">
        <f>'16'!F105</f>
        <v>35529</v>
      </c>
      <c r="F105" s="664">
        <v>35534</v>
      </c>
      <c r="G105" s="532">
        <f t="shared" ref="G105:G106" si="9">F105-E105</f>
        <v>5</v>
      </c>
      <c r="H105" s="533">
        <f>SUM(G105+'1'!G77)</f>
        <v>50</v>
      </c>
      <c r="I105" s="532"/>
      <c r="J105" s="559">
        <f>H105/DAY(B2)</f>
        <v>2.9411764705882355</v>
      </c>
      <c r="N105" s="723"/>
      <c r="O105" s="730"/>
      <c r="P105" s="382"/>
    </row>
    <row r="106" spans="1:16" s="442" customFormat="1" ht="27.75">
      <c r="A106" s="1416" t="s">
        <v>78</v>
      </c>
      <c r="B106" s="1418"/>
      <c r="C106" s="1417"/>
      <c r="D106" s="623" t="s">
        <v>144</v>
      </c>
      <c r="E106" s="484">
        <f>'16'!F106</f>
        <v>19336</v>
      </c>
      <c r="F106" s="664">
        <v>19340</v>
      </c>
      <c r="G106" s="532">
        <f t="shared" si="9"/>
        <v>4</v>
      </c>
      <c r="H106" s="533">
        <f>SUM(G106+'1'!G78)</f>
        <v>394</v>
      </c>
      <c r="I106" s="532"/>
      <c r="J106" s="559">
        <f>H106/DAY(B2)</f>
        <v>23.176470588235293</v>
      </c>
      <c r="N106" s="723"/>
      <c r="O106" s="730"/>
      <c r="P106" s="382"/>
    </row>
    <row r="107" spans="1:16" s="442" customFormat="1" ht="27.75">
      <c r="A107" s="1419" t="s">
        <v>202</v>
      </c>
      <c r="B107" s="1420"/>
      <c r="C107" s="1230"/>
      <c r="D107" s="623"/>
      <c r="E107" s="484">
        <f>'16'!F107</f>
        <v>0</v>
      </c>
      <c r="F107" s="664"/>
      <c r="G107" s="532">
        <f>SUM(G104:G106)</f>
        <v>9</v>
      </c>
      <c r="H107" s="533">
        <f>SUM(G107+'1'!G79)</f>
        <v>201</v>
      </c>
      <c r="I107" s="532"/>
      <c r="J107" s="559">
        <f>H107/DAY(B2)</f>
        <v>11.823529411764707</v>
      </c>
      <c r="N107" s="723"/>
      <c r="O107" s="730"/>
      <c r="P107" s="382"/>
    </row>
    <row r="108" spans="1:16" s="442" customFormat="1" ht="27.75">
      <c r="A108" s="1421" t="s">
        <v>79</v>
      </c>
      <c r="B108" s="1422"/>
      <c r="C108" s="1230"/>
      <c r="D108" s="623" t="s">
        <v>144</v>
      </c>
      <c r="E108" s="484">
        <f>'16'!F108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>
      <c r="A109" s="1416" t="s">
        <v>220</v>
      </c>
      <c r="B109" s="1417"/>
      <c r="C109" s="1230"/>
      <c r="D109" s="623" t="s">
        <v>144</v>
      </c>
      <c r="E109" s="484">
        <f>'16'!F109</f>
        <v>57577</v>
      </c>
      <c r="F109" s="664">
        <v>57641</v>
      </c>
      <c r="G109" s="532">
        <f>F109-E109</f>
        <v>64</v>
      </c>
      <c r="H109" s="533">
        <f>SUM(G109+'1'!G81)</f>
        <v>176.56000000005588</v>
      </c>
      <c r="I109" s="532"/>
      <c r="J109" s="559">
        <f>H109/DAY(B2)</f>
        <v>10.385882352944463</v>
      </c>
      <c r="N109" s="723"/>
      <c r="O109" s="730"/>
      <c r="P109" s="382"/>
    </row>
    <row r="110" spans="1:16" s="442" customFormat="1" ht="27.75">
      <c r="A110" s="1416" t="s">
        <v>221</v>
      </c>
      <c r="B110" s="1417"/>
      <c r="C110" s="1230"/>
      <c r="D110" s="623" t="s">
        <v>144</v>
      </c>
      <c r="E110" s="484">
        <f>'16'!F110</f>
        <v>31282</v>
      </c>
      <c r="F110" s="664">
        <v>31282</v>
      </c>
      <c r="G110" s="532">
        <f t="shared" ref="G110:G111" si="10">F110-E110</f>
        <v>0</v>
      </c>
      <c r="H110" s="533">
        <f>SUM(G110+'1'!G82)</f>
        <v>18.169999999998254</v>
      </c>
      <c r="I110" s="532"/>
      <c r="J110" s="559">
        <f>H110/DAY(B2)</f>
        <v>1.0688235294116619</v>
      </c>
      <c r="N110" s="723"/>
      <c r="O110" s="730"/>
      <c r="P110" s="382"/>
    </row>
    <row r="111" spans="1:16" s="442" customFormat="1" ht="27.75">
      <c r="A111" s="1416" t="s">
        <v>222</v>
      </c>
      <c r="B111" s="1417"/>
      <c r="C111" s="1230"/>
      <c r="D111" s="623" t="s">
        <v>144</v>
      </c>
      <c r="E111" s="484">
        <f>'16'!F111</f>
        <v>4064</v>
      </c>
      <c r="F111" s="664">
        <v>4084</v>
      </c>
      <c r="G111" s="532">
        <f t="shared" si="10"/>
        <v>20</v>
      </c>
      <c r="H111" s="533">
        <f>SUM(G111+'1'!G83)</f>
        <v>540</v>
      </c>
      <c r="I111" s="532"/>
      <c r="J111" s="559">
        <f>H111/DAY(B2)</f>
        <v>31.764705882352942</v>
      </c>
      <c r="N111" s="723"/>
      <c r="O111" s="730"/>
      <c r="P111" s="382"/>
    </row>
    <row r="112" spans="1:16" s="442" customFormat="1" ht="27.75">
      <c r="A112" s="1419" t="s">
        <v>110</v>
      </c>
      <c r="B112" s="1420"/>
      <c r="C112" s="1230"/>
      <c r="D112" s="623"/>
      <c r="E112" s="484">
        <f>'16'!F112</f>
        <v>0</v>
      </c>
      <c r="F112" s="664"/>
      <c r="G112" s="532">
        <f>SUM(G109:G111)</f>
        <v>84</v>
      </c>
      <c r="H112" s="533">
        <f>SUM(G112+'1'!G84)</f>
        <v>774</v>
      </c>
      <c r="I112" s="532"/>
      <c r="J112" s="559">
        <f>H112/DAY(B2)</f>
        <v>45.529411764705884</v>
      </c>
      <c r="N112" s="723"/>
      <c r="O112" s="730"/>
      <c r="P112" s="382"/>
    </row>
    <row r="113" spans="1:16" s="442" customFormat="1" ht="27.75">
      <c r="A113" s="1421" t="s">
        <v>223</v>
      </c>
      <c r="B113" s="1422"/>
      <c r="C113" s="1230"/>
      <c r="D113" s="623"/>
      <c r="E113" s="484">
        <f>'16'!F113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>
      <c r="A114" s="1416" t="s">
        <v>224</v>
      </c>
      <c r="B114" s="1417"/>
      <c r="C114" s="575"/>
      <c r="D114" s="623" t="s">
        <v>144</v>
      </c>
      <c r="E114" s="484">
        <f>'16'!F114</f>
        <v>10607</v>
      </c>
      <c r="F114" s="664">
        <v>10618</v>
      </c>
      <c r="G114" s="534">
        <f>F114-E114</f>
        <v>11</v>
      </c>
      <c r="H114" s="533">
        <f>SUM(G114+'1'!G91)</f>
        <v>11</v>
      </c>
      <c r="I114" s="532"/>
      <c r="J114" s="559">
        <f>H114/DAY(B2)</f>
        <v>0.6470588235294118</v>
      </c>
      <c r="N114" s="723"/>
      <c r="O114" s="730"/>
      <c r="P114" s="382"/>
    </row>
    <row r="115" spans="1:16" s="442" customFormat="1" ht="27.75">
      <c r="A115" s="1416" t="s">
        <v>225</v>
      </c>
      <c r="B115" s="1417"/>
      <c r="C115" s="575"/>
      <c r="D115" s="623" t="s">
        <v>144</v>
      </c>
      <c r="E115" s="484">
        <f>'16'!F115</f>
        <v>7825</v>
      </c>
      <c r="F115" s="664">
        <v>7831</v>
      </c>
      <c r="G115" s="534">
        <f t="shared" ref="G115:G116" si="11">F115-E115</f>
        <v>6</v>
      </c>
      <c r="H115" s="533">
        <f>SUM(G115+'1'!G92)</f>
        <v>128</v>
      </c>
      <c r="I115" s="532"/>
      <c r="J115" s="559">
        <f>H115/DAY(B2)</f>
        <v>7.5294117647058822</v>
      </c>
      <c r="N115" s="723"/>
      <c r="O115" s="730"/>
      <c r="P115" s="382"/>
    </row>
    <row r="116" spans="1:16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1"/>
        <v>0</v>
      </c>
      <c r="H116" s="533">
        <f>SUM(G116+'1'!G93)</f>
        <v>144</v>
      </c>
      <c r="I116" s="532"/>
      <c r="J116" s="559">
        <f>H116/DAY(B2)</f>
        <v>8.4705882352941178</v>
      </c>
      <c r="N116" s="723"/>
      <c r="O116" s="730"/>
      <c r="P116" s="382"/>
    </row>
    <row r="117" spans="1:16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17</v>
      </c>
      <c r="H117" s="533">
        <f>SUM(G117+'1'!G95)</f>
        <v>93</v>
      </c>
      <c r="I117" s="534"/>
      <c r="J117" s="559">
        <f>H117/DAY(B2)</f>
        <v>5.4705882352941178</v>
      </c>
      <c r="N117" s="723"/>
      <c r="O117" s="730"/>
      <c r="P117" s="382"/>
    </row>
    <row r="118" spans="1:16" s="446" customFormat="1" ht="27.75">
      <c r="A118" s="1450" t="s">
        <v>227</v>
      </c>
      <c r="B118" s="1451"/>
      <c r="C118" s="1228"/>
      <c r="D118" s="625" t="s">
        <v>144</v>
      </c>
      <c r="E118" s="536"/>
      <c r="F118" s="665">
        <f>SUM(G19+G92)</f>
        <v>130</v>
      </c>
      <c r="G118" s="536">
        <f>SUM(G19+G92)</f>
        <v>130</v>
      </c>
      <c r="H118" s="533">
        <f>SUM(G118+'1'!G96)</f>
        <v>143</v>
      </c>
      <c r="I118" s="535"/>
      <c r="J118" s="560">
        <f>H118/DAY(B2)</f>
        <v>8.4117647058823533</v>
      </c>
      <c r="N118" s="723"/>
      <c r="O118" s="730"/>
      <c r="P118" s="382"/>
    </row>
    <row r="119" spans="1:16" s="446" customFormat="1" ht="27.75">
      <c r="A119" s="1450" t="s">
        <v>228</v>
      </c>
      <c r="B119" s="1451"/>
      <c r="C119" s="1228"/>
      <c r="D119" s="625" t="s">
        <v>144</v>
      </c>
      <c r="E119" s="536"/>
      <c r="F119" s="665">
        <f>SUM(G95,G96,G97,G99,G100)</f>
        <v>126</v>
      </c>
      <c r="G119" s="536">
        <f>SUM(G95,G96,G97,G99,G100)</f>
        <v>126</v>
      </c>
      <c r="H119" s="533">
        <f>SUM(G119+'1'!G98)</f>
        <v>196</v>
      </c>
      <c r="I119" s="535"/>
      <c r="J119" s="560">
        <f>H119/DAY(B2)</f>
        <v>11.529411764705882</v>
      </c>
      <c r="N119" s="723"/>
      <c r="O119" s="730"/>
      <c r="P119" s="382"/>
    </row>
    <row r="120" spans="1:16" s="446" customFormat="1" ht="27.75">
      <c r="A120" s="1450" t="s">
        <v>229</v>
      </c>
      <c r="B120" s="1451"/>
      <c r="C120" s="1228"/>
      <c r="D120" s="625" t="s">
        <v>144</v>
      </c>
      <c r="E120" s="534"/>
      <c r="F120" s="664">
        <f>SUM(G112)</f>
        <v>84</v>
      </c>
      <c r="G120" s="534">
        <f>SUM(G112)</f>
        <v>84</v>
      </c>
      <c r="H120" s="533">
        <f>SUM(G120+'1'!G100)</f>
        <v>98</v>
      </c>
      <c r="I120" s="535"/>
      <c r="J120" s="560">
        <f>H120/DAY(B2)</f>
        <v>5.7647058823529411</v>
      </c>
      <c r="N120" s="723"/>
      <c r="O120" s="730"/>
      <c r="P120" s="382"/>
    </row>
    <row r="121" spans="1:16" s="442" customFormat="1" ht="27.75">
      <c r="A121" s="1452"/>
      <c r="B121" s="1453"/>
      <c r="C121" s="1229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>
      <c r="A123" s="1231" t="s">
        <v>231</v>
      </c>
      <c r="B123" s="1232"/>
      <c r="C123" s="1232"/>
      <c r="D123" s="523" t="s">
        <v>141</v>
      </c>
      <c r="E123" s="478">
        <f>'16'!F123</f>
        <v>815020.91</v>
      </c>
      <c r="F123" s="478">
        <v>815257.01</v>
      </c>
      <c r="G123" s="473">
        <f t="shared" ref="G123:G127" si="12">F123-E123</f>
        <v>236.09999999997672</v>
      </c>
      <c r="H123" s="460">
        <f>G123+'16'!H123</f>
        <v>4250.1700000000419</v>
      </c>
      <c r="I123" s="526"/>
      <c r="J123" s="553">
        <f>H123/DAY(B2)</f>
        <v>250.01000000000246</v>
      </c>
      <c r="K123" s="380"/>
      <c r="L123" s="377"/>
      <c r="N123" s="723"/>
      <c r="O123" s="730"/>
      <c r="P123" s="382"/>
    </row>
    <row r="124" spans="1:16" ht="27.75">
      <c r="A124" s="1231" t="s">
        <v>232</v>
      </c>
      <c r="B124" s="1232"/>
      <c r="C124" s="1232"/>
      <c r="D124" s="523" t="s">
        <v>141</v>
      </c>
      <c r="E124" s="627">
        <f>'16'!F124</f>
        <v>73583.399999999994</v>
      </c>
      <c r="F124" s="627">
        <v>73583.399999999994</v>
      </c>
      <c r="G124" s="473">
        <f t="shared" si="12"/>
        <v>0</v>
      </c>
      <c r="H124" s="460">
        <f>G124+'16'!H124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>
      <c r="A125" s="1408" t="s">
        <v>233</v>
      </c>
      <c r="B125" s="1409"/>
      <c r="C125" s="1410"/>
      <c r="D125" s="523" t="s">
        <v>141</v>
      </c>
      <c r="E125" s="478">
        <f>'16'!F125</f>
        <v>141010.18</v>
      </c>
      <c r="F125" s="478">
        <v>141082.43</v>
      </c>
      <c r="G125" s="473">
        <f t="shared" si="12"/>
        <v>72.25</v>
      </c>
      <c r="H125" s="460">
        <f>G125+'16'!H125</f>
        <v>1103.0899999999965</v>
      </c>
      <c r="I125" s="526"/>
      <c r="J125" s="553">
        <f>H125/DAY(B2)</f>
        <v>64.887647058823319</v>
      </c>
      <c r="K125" s="380"/>
      <c r="L125" s="377"/>
      <c r="N125" s="723"/>
      <c r="O125" s="730"/>
      <c r="P125" s="382"/>
    </row>
    <row r="126" spans="1:16" ht="27.75">
      <c r="A126" s="610" t="s">
        <v>234</v>
      </c>
      <c r="B126" s="1232"/>
      <c r="C126" s="1232"/>
      <c r="D126" s="523" t="s">
        <v>141</v>
      </c>
      <c r="E126" s="627">
        <f>'16'!F126</f>
        <v>59679</v>
      </c>
      <c r="F126" s="627">
        <v>59695.8</v>
      </c>
      <c r="G126" s="473">
        <f t="shared" si="12"/>
        <v>16.80000000000291</v>
      </c>
      <c r="H126" s="460">
        <f>G126+'16'!H126</f>
        <v>388.90000000000146</v>
      </c>
      <c r="I126" s="526"/>
      <c r="J126" s="553">
        <f>H126/DAY(B2)</f>
        <v>22.876470588235378</v>
      </c>
      <c r="K126" s="380"/>
      <c r="L126" s="377"/>
      <c r="N126" s="723"/>
      <c r="O126" s="730"/>
      <c r="P126" s="382"/>
    </row>
    <row r="127" spans="1:16" ht="27.75">
      <c r="A127" s="610" t="s">
        <v>235</v>
      </c>
      <c r="B127" s="1232"/>
      <c r="C127" s="1232"/>
      <c r="D127" s="523" t="s">
        <v>141</v>
      </c>
      <c r="E127" s="627">
        <f>'16'!F127</f>
        <v>8926.4</v>
      </c>
      <c r="F127" s="627">
        <v>8930.9</v>
      </c>
      <c r="G127" s="473">
        <f t="shared" si="12"/>
        <v>4.5</v>
      </c>
      <c r="H127" s="460">
        <f>G127+'16'!H127</f>
        <v>43.100000000000364</v>
      </c>
      <c r="I127" s="480"/>
      <c r="J127" s="553">
        <f>H127/DAY(B2)</f>
        <v>2.53529411764708</v>
      </c>
      <c r="K127" s="380"/>
      <c r="L127" s="377"/>
      <c r="N127" s="723"/>
      <c r="O127" s="730"/>
      <c r="P127" s="382"/>
    </row>
    <row r="128" spans="1:16" s="281" customFormat="1" ht="27.75">
      <c r="A128" s="610" t="s">
        <v>236</v>
      </c>
      <c r="B128" s="1232"/>
      <c r="C128" s="1232"/>
      <c r="D128" s="523"/>
      <c r="E128" s="478"/>
      <c r="F128" s="478"/>
      <c r="G128" s="473">
        <f>G15-SUM(G123:G127)</f>
        <v>451.05900000005204</v>
      </c>
      <c r="H128" s="460">
        <f>G128+'16'!H128</f>
        <v>969.23000000003776</v>
      </c>
      <c r="I128" s="480"/>
      <c r="J128" s="553">
        <f>H128/DAY(B2)</f>
        <v>57.013529411766925</v>
      </c>
      <c r="K128" s="364"/>
      <c r="L128" s="292"/>
      <c r="N128" s="723"/>
      <c r="O128" s="730"/>
      <c r="P128" s="382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>
      <c r="A130" s="1231" t="s">
        <v>238</v>
      </c>
      <c r="B130" s="1232"/>
      <c r="C130" s="1232"/>
      <c r="D130" s="523" t="s">
        <v>239</v>
      </c>
      <c r="E130" s="484">
        <f>'16'!F130</f>
        <v>0</v>
      </c>
      <c r="F130" s="478">
        <v>0</v>
      </c>
      <c r="G130" s="473">
        <f t="shared" ref="G130:G140" si="13">F130-E130</f>
        <v>0</v>
      </c>
      <c r="H130" s="460">
        <f>G130+'16'!H130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>
      <c r="A131" s="1231" t="s">
        <v>240</v>
      </c>
      <c r="B131" s="1232"/>
      <c r="C131" s="1232"/>
      <c r="D131" s="523" t="s">
        <v>239</v>
      </c>
      <c r="E131" s="484">
        <f>'16'!F131</f>
        <v>0</v>
      </c>
      <c r="F131" s="478">
        <v>0</v>
      </c>
      <c r="G131" s="473">
        <f t="shared" si="13"/>
        <v>0</v>
      </c>
      <c r="H131" s="460">
        <f>G131+'16'!H131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>
      <c r="A132" s="1231" t="s">
        <v>241</v>
      </c>
      <c r="B132" s="1232"/>
      <c r="C132" s="1232"/>
      <c r="D132" s="523" t="s">
        <v>239</v>
      </c>
      <c r="E132" s="542">
        <f>'16'!F132</f>
        <v>39219</v>
      </c>
      <c r="F132" s="656">
        <v>39219</v>
      </c>
      <c r="G132" s="473">
        <f t="shared" si="13"/>
        <v>0</v>
      </c>
      <c r="H132" s="460">
        <f>G132+'16'!H132</f>
        <v>390</v>
      </c>
      <c r="I132" s="480"/>
      <c r="J132" s="553">
        <f>H132/DAY(B2)</f>
        <v>22.941176470588236</v>
      </c>
      <c r="N132" s="723"/>
      <c r="O132" s="730"/>
      <c r="P132" s="382"/>
    </row>
    <row r="133" spans="1:16" ht="27.75">
      <c r="A133" s="1231" t="s">
        <v>242</v>
      </c>
      <c r="B133" s="1232"/>
      <c r="C133" s="1232"/>
      <c r="D133" s="523" t="s">
        <v>239</v>
      </c>
      <c r="E133" s="706">
        <f>'16'!F133</f>
        <v>299</v>
      </c>
      <c r="F133" s="627">
        <v>299</v>
      </c>
      <c r="G133" s="473">
        <f t="shared" si="13"/>
        <v>0</v>
      </c>
      <c r="H133" s="460">
        <f>G133+'16'!H133</f>
        <v>-1</v>
      </c>
      <c r="I133" s="480">
        <f>G130+G131+G132+G133</f>
        <v>0</v>
      </c>
      <c r="J133" s="553">
        <f>H133/DAY(B2)</f>
        <v>-5.8823529411764705E-2</v>
      </c>
      <c r="N133" s="723"/>
      <c r="O133" s="730"/>
      <c r="P133" s="382"/>
    </row>
    <row r="134" spans="1:16" ht="27.75">
      <c r="A134" s="1231" t="s">
        <v>243</v>
      </c>
      <c r="B134" s="1232"/>
      <c r="C134" s="1232"/>
      <c r="D134" s="523" t="s">
        <v>239</v>
      </c>
      <c r="E134" s="706">
        <f>'16'!F134</f>
        <v>40747.29</v>
      </c>
      <c r="F134" s="627">
        <v>40771.14</v>
      </c>
      <c r="G134" s="473">
        <f t="shared" si="13"/>
        <v>23.849999999998545</v>
      </c>
      <c r="H134" s="460">
        <f>G134+'16'!H134</f>
        <v>404</v>
      </c>
      <c r="I134" s="480"/>
      <c r="J134" s="553">
        <f>H134/DAY(B2)</f>
        <v>23.764705882352942</v>
      </c>
      <c r="N134" s="723"/>
      <c r="O134" s="730"/>
      <c r="P134" s="382"/>
    </row>
    <row r="135" spans="1:16" ht="27.75">
      <c r="A135" s="1231" t="s">
        <v>244</v>
      </c>
      <c r="B135" s="1232"/>
      <c r="C135" s="1232"/>
      <c r="D135" s="523" t="s">
        <v>239</v>
      </c>
      <c r="E135" s="542">
        <f>'16'!F135</f>
        <v>32582.92</v>
      </c>
      <c r="F135" s="656">
        <v>32582.92</v>
      </c>
      <c r="G135" s="473">
        <f t="shared" si="13"/>
        <v>0</v>
      </c>
      <c r="H135" s="460">
        <f>G135+'16'!H135</f>
        <v>11.919999999998254</v>
      </c>
      <c r="I135" s="480"/>
      <c r="J135" s="553">
        <f>H135/DAY(B2)</f>
        <v>0.70117647058813259</v>
      </c>
      <c r="N135" s="723"/>
      <c r="O135" s="730"/>
      <c r="P135" s="382"/>
    </row>
    <row r="136" spans="1:16" ht="27.75">
      <c r="A136" s="1231" t="s">
        <v>245</v>
      </c>
      <c r="B136" s="1232"/>
      <c r="C136" s="1232"/>
      <c r="D136" s="523" t="s">
        <v>239</v>
      </c>
      <c r="E136" s="542">
        <f>'16'!F136</f>
        <v>22360.01</v>
      </c>
      <c r="F136" s="656">
        <v>22366.75</v>
      </c>
      <c r="G136" s="473">
        <f t="shared" si="13"/>
        <v>6.7400000000016007</v>
      </c>
      <c r="H136" s="460">
        <f>G136+'16'!H136</f>
        <v>144.54000000000087</v>
      </c>
      <c r="I136" s="480">
        <f>G134+G135+G136</f>
        <v>30.590000000000146</v>
      </c>
      <c r="J136" s="553">
        <f>H136/DAY(B2)</f>
        <v>8.5023529411765217</v>
      </c>
      <c r="N136" s="723"/>
      <c r="O136" s="730"/>
      <c r="P136" s="382"/>
    </row>
    <row r="137" spans="1:16" ht="27.75">
      <c r="A137" s="1231" t="s">
        <v>246</v>
      </c>
      <c r="B137" s="1232"/>
      <c r="C137" s="1232"/>
      <c r="D137" s="523" t="s">
        <v>239</v>
      </c>
      <c r="E137" s="542">
        <f>'16'!F137</f>
        <v>25044.31</v>
      </c>
      <c r="F137" s="656">
        <v>25044.31</v>
      </c>
      <c r="G137" s="473">
        <f t="shared" si="13"/>
        <v>0</v>
      </c>
      <c r="H137" s="460">
        <f>G137+'16'!H137</f>
        <v>0</v>
      </c>
      <c r="I137" s="480"/>
      <c r="J137" s="553">
        <f>H137/DAY(B2)</f>
        <v>0</v>
      </c>
      <c r="N137" s="723"/>
      <c r="O137" s="730"/>
      <c r="P137" s="382"/>
    </row>
    <row r="138" spans="1:16" ht="27.75">
      <c r="A138" s="1231" t="s">
        <v>247</v>
      </c>
      <c r="B138" s="1232"/>
      <c r="C138" s="1232"/>
      <c r="D138" s="523" t="s">
        <v>239</v>
      </c>
      <c r="E138" s="542">
        <f>'16'!F138</f>
        <v>70213.56</v>
      </c>
      <c r="F138" s="656">
        <v>70218.17</v>
      </c>
      <c r="G138" s="473">
        <f t="shared" si="13"/>
        <v>4.6100000000005821</v>
      </c>
      <c r="H138" s="460">
        <f>G138+'16'!H138</f>
        <v>70.830000000001746</v>
      </c>
      <c r="I138" s="480">
        <f>G137+G138</f>
        <v>4.6100000000005821</v>
      </c>
      <c r="J138" s="553">
        <f>H138/DAY(B2)</f>
        <v>4.1664705882353967</v>
      </c>
      <c r="N138" s="723"/>
      <c r="O138" s="730"/>
      <c r="P138" s="382"/>
    </row>
    <row r="139" spans="1:16" ht="27.75">
      <c r="A139" s="1231" t="s">
        <v>248</v>
      </c>
      <c r="B139" s="1232"/>
      <c r="C139" s="1232"/>
      <c r="D139" s="523" t="s">
        <v>239</v>
      </c>
      <c r="E139" s="706">
        <f>'16'!F139</f>
        <v>1536.52</v>
      </c>
      <c r="F139" s="627">
        <v>1536.52</v>
      </c>
      <c r="G139" s="473">
        <f t="shared" si="13"/>
        <v>0</v>
      </c>
      <c r="H139" s="460">
        <f>G139+'16'!H139</f>
        <v>113.37999999999988</v>
      </c>
      <c r="I139" s="543"/>
      <c r="J139" s="553">
        <f>H139/DAY(B2)</f>
        <v>6.6694117647058757</v>
      </c>
      <c r="N139" s="723"/>
      <c r="O139" s="730"/>
      <c r="P139" s="382"/>
    </row>
    <row r="140" spans="1:16" ht="27.75">
      <c r="A140" s="1231" t="s">
        <v>249</v>
      </c>
      <c r="B140" s="1232"/>
      <c r="C140" s="1232"/>
      <c r="D140" s="523" t="s">
        <v>239</v>
      </c>
      <c r="E140" s="484">
        <f>'16'!F140</f>
        <v>4336.49</v>
      </c>
      <c r="F140" s="478">
        <v>4344.43</v>
      </c>
      <c r="G140" s="473">
        <f t="shared" si="13"/>
        <v>7.9400000000005093</v>
      </c>
      <c r="H140" s="460">
        <f>G140+'16'!H140</f>
        <v>10.430000000000291</v>
      </c>
      <c r="I140" s="543"/>
      <c r="J140" s="553">
        <f>H140/DAY(B2)</f>
        <v>0.61352941176472298</v>
      </c>
      <c r="N140" s="723"/>
      <c r="O140" s="730"/>
      <c r="P140" s="382"/>
    </row>
    <row r="141" spans="1:16">
      <c r="A141" s="1446" t="s">
        <v>250</v>
      </c>
      <c r="B141" s="1447"/>
      <c r="C141" s="1237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v>3349</v>
      </c>
      <c r="H142" s="460">
        <f>G142+'16'!H142</f>
        <v>97464.680000000051</v>
      </c>
      <c r="I142" s="480"/>
      <c r="J142" s="553">
        <f>H142/DAY(B2)</f>
        <v>5733.2164705882387</v>
      </c>
      <c r="K142" s="380"/>
      <c r="L142" s="377"/>
      <c r="N142" s="723"/>
      <c r="O142" s="730"/>
      <c r="P142" s="382"/>
    </row>
    <row r="143" spans="1:16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0.16539905175819833</v>
      </c>
      <c r="H143" s="460">
        <f>G143+'16'!H143</f>
        <v>4.3954017910188972</v>
      </c>
      <c r="I143" s="545"/>
      <c r="J143" s="553">
        <f>H143/DAY(B2)</f>
        <v>0.25855304653052336</v>
      </c>
      <c r="K143" s="380"/>
      <c r="L143" s="377"/>
      <c r="N143" s="723"/>
      <c r="O143" s="730"/>
      <c r="P143" s="382"/>
    </row>
    <row r="144" spans="1:16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4907.5169999999634</v>
      </c>
      <c r="H144" s="460">
        <f>G144+'16'!H144</f>
        <v>89041.189999999973</v>
      </c>
      <c r="I144" s="480"/>
      <c r="J144" s="553">
        <f>H144/DAY(B2)</f>
        <v>5237.7170588235276</v>
      </c>
      <c r="K144" s="380"/>
      <c r="L144" s="377"/>
      <c r="N144" s="723"/>
      <c r="O144" s="730"/>
      <c r="P144" s="382"/>
    </row>
    <row r="145" spans="1:16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0.24237045634136525</v>
      </c>
      <c r="H145" s="460">
        <f>G145+'16'!H145</f>
        <v>4.1833079462836871</v>
      </c>
      <c r="I145" s="545"/>
      <c r="J145" s="553">
        <f>H145/DAY(B2)</f>
        <v>0.24607693801668748</v>
      </c>
      <c r="K145" s="380"/>
      <c r="L145" s="377"/>
      <c r="N145" s="723"/>
      <c r="O145" s="730"/>
      <c r="P145" s="382"/>
    </row>
    <row r="146" spans="1:16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4104.4800000000396</v>
      </c>
      <c r="H146" s="460">
        <f>G146+'16'!H146</f>
        <v>171833.53000000003</v>
      </c>
      <c r="I146" s="546"/>
      <c r="J146" s="553">
        <f>H146/DAY(B2)</f>
        <v>10107.854705882355</v>
      </c>
      <c r="K146" s="380"/>
      <c r="L146" s="377"/>
      <c r="N146" s="723"/>
      <c r="O146" s="730"/>
      <c r="P146" s="382"/>
    </row>
    <row r="147" spans="1:16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0.20271039114974515</v>
      </c>
      <c r="H147" s="460">
        <f>G147+'16'!H147</f>
        <v>8.2858752568152667</v>
      </c>
      <c r="I147" s="546"/>
      <c r="J147" s="553">
        <f>H147/DAY(B2)</f>
        <v>0.48740442687148627</v>
      </c>
      <c r="N147" s="723"/>
      <c r="O147" s="730"/>
      <c r="P147" s="382"/>
    </row>
    <row r="148" spans="1:16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1736.4000000000233</v>
      </c>
      <c r="H148" s="460">
        <f>G148+'16'!H148</f>
        <v>34345.429999999986</v>
      </c>
      <c r="I148" s="480"/>
      <c r="J148" s="553">
        <f>H148/DAY(B2)</f>
        <v>2020.3194117647051</v>
      </c>
      <c r="K148" s="381"/>
      <c r="N148" s="723"/>
      <c r="O148" s="730"/>
      <c r="P148" s="382"/>
    </row>
    <row r="149" spans="1:16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8.5756617937575233E-2</v>
      </c>
      <c r="H149" s="460">
        <f>G149+'16'!H149</f>
        <v>1.6146304847716577</v>
      </c>
      <c r="I149" s="546"/>
      <c r="J149" s="553">
        <f>H149/DAY(B2)</f>
        <v>9.497826381009751E-2</v>
      </c>
      <c r="N149" s="723"/>
      <c r="O149" s="730"/>
      <c r="P149" s="382"/>
    </row>
    <row r="150" spans="1:16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1809.5</v>
      </c>
      <c r="H150" s="460">
        <f>G150+'16'!H150</f>
        <v>31414.559999999939</v>
      </c>
      <c r="I150" s="546"/>
      <c r="J150" s="553">
        <f>H150/DAY(B2)</f>
        <v>1847.9152941176435</v>
      </c>
      <c r="N150" s="723"/>
      <c r="O150" s="730"/>
      <c r="P150" s="382"/>
    </row>
    <row r="151" spans="1:16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8.9366851047016985E-2</v>
      </c>
      <c r="H151" s="460">
        <f>G151+'16'!H151</f>
        <v>1.4746607596303005</v>
      </c>
      <c r="I151" s="480"/>
      <c r="J151" s="553">
        <f>H151/DAY(B2)</f>
        <v>8.6744750566488268E-2</v>
      </c>
      <c r="N151" s="723"/>
      <c r="O151" s="730"/>
      <c r="P151" s="382"/>
    </row>
    <row r="152" spans="1:16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1574.5299999999988</v>
      </c>
      <c r="H152" s="460">
        <f>G152+'16'!H152</f>
        <v>61138.459999999992</v>
      </c>
      <c r="I152" s="480"/>
      <c r="J152" s="553">
        <f>H152/DAY(B2)</f>
        <v>3596.3799999999997</v>
      </c>
      <c r="N152" s="723"/>
      <c r="O152" s="730"/>
      <c r="P152" s="382"/>
    </row>
    <row r="153" spans="1:16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7.7762248123271371E-2</v>
      </c>
      <c r="H153" s="460">
        <f>G153+'16'!H153</f>
        <v>2.9481944528469484</v>
      </c>
      <c r="I153" s="569"/>
      <c r="J153" s="570">
        <f>H153/DAY(B2)</f>
        <v>0.17342320310864401</v>
      </c>
      <c r="N153" s="723"/>
      <c r="O153" s="730"/>
      <c r="P153" s="382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800" t="s">
        <v>263</v>
      </c>
      <c r="B160" s="801"/>
      <c r="C160" s="801"/>
      <c r="D160" s="621" t="s">
        <v>187</v>
      </c>
      <c r="E160" s="522">
        <f>'16'!F160</f>
        <v>32159.5</v>
      </c>
      <c r="F160" s="809">
        <v>32243.46</v>
      </c>
      <c r="G160" s="473">
        <f t="shared" ref="G160:G163" si="14">F160-E160</f>
        <v>83.959999999999127</v>
      </c>
      <c r="N160" s="723"/>
    </row>
    <row r="161" spans="1:14">
      <c r="A161" s="800" t="s">
        <v>264</v>
      </c>
      <c r="B161" s="801"/>
      <c r="C161" s="801"/>
      <c r="D161" s="621" t="s">
        <v>187</v>
      </c>
      <c r="E161" s="522">
        <f>'16'!F161</f>
        <v>62295.29</v>
      </c>
      <c r="F161" s="809">
        <v>62723.81</v>
      </c>
      <c r="G161" s="473">
        <f t="shared" si="14"/>
        <v>428.5199999999968</v>
      </c>
      <c r="N161" s="723"/>
    </row>
    <row r="162" spans="1:14">
      <c r="A162" s="800" t="s">
        <v>265</v>
      </c>
      <c r="B162" s="801"/>
      <c r="C162" s="801"/>
      <c r="D162" s="621" t="s">
        <v>187</v>
      </c>
      <c r="E162" s="522">
        <f>'16'!F162</f>
        <v>25060.05</v>
      </c>
      <c r="F162" s="789">
        <v>25337.13</v>
      </c>
      <c r="G162" s="473">
        <f t="shared" si="14"/>
        <v>277.08000000000175</v>
      </c>
      <c r="N162" s="723"/>
    </row>
    <row r="163" spans="1:14">
      <c r="A163" s="800" t="s">
        <v>266</v>
      </c>
      <c r="B163" s="801"/>
      <c r="C163" s="801"/>
      <c r="D163" s="621" t="s">
        <v>187</v>
      </c>
      <c r="E163" s="522">
        <f>'16'!F163</f>
        <v>5614</v>
      </c>
      <c r="F163" s="809">
        <v>5616</v>
      </c>
      <c r="G163" s="473">
        <f t="shared" si="14"/>
        <v>2</v>
      </c>
      <c r="N163" s="723"/>
    </row>
    <row r="164" spans="1:14">
      <c r="A164" s="802" t="s">
        <v>98</v>
      </c>
      <c r="B164" s="803"/>
      <c r="C164" s="803"/>
      <c r="D164" s="621" t="s">
        <v>187</v>
      </c>
      <c r="E164" s="522">
        <f>E62</f>
        <v>20419.18</v>
      </c>
      <c r="F164" s="514">
        <f>F62</f>
        <v>20419.18</v>
      </c>
      <c r="G164" s="473">
        <f t="shared" ref="G164:G171" si="15">F164-E164</f>
        <v>0</v>
      </c>
      <c r="N164" s="723"/>
    </row>
    <row r="165" spans="1:14">
      <c r="A165" s="802" t="s">
        <v>188</v>
      </c>
      <c r="B165" s="803"/>
      <c r="C165" s="803"/>
      <c r="D165" s="621" t="s">
        <v>187</v>
      </c>
      <c r="E165" s="522">
        <f t="shared" ref="E165:E171" si="16">E63</f>
        <v>1921.72</v>
      </c>
      <c r="F165" s="514">
        <f t="shared" ref="F165:F171" si="17">F63</f>
        <v>1934.1</v>
      </c>
      <c r="G165" s="473">
        <f t="shared" si="15"/>
        <v>12.379999999999882</v>
      </c>
      <c r="N165" s="723"/>
    </row>
    <row r="166" spans="1:14" ht="27.75">
      <c r="A166" s="1470" t="s">
        <v>99</v>
      </c>
      <c r="B166" s="1470"/>
      <c r="C166" s="1470"/>
      <c r="D166" s="524" t="s">
        <v>187</v>
      </c>
      <c r="E166" s="522">
        <f t="shared" si="16"/>
        <v>131840.94</v>
      </c>
      <c r="F166" s="514">
        <f t="shared" si="17"/>
        <v>132346.76</v>
      </c>
      <c r="G166" s="473">
        <f t="shared" si="15"/>
        <v>505.82000000000698</v>
      </c>
      <c r="N166" s="723"/>
    </row>
    <row r="167" spans="1:14" ht="27.75">
      <c r="A167" s="1470" t="s">
        <v>100</v>
      </c>
      <c r="B167" s="1470"/>
      <c r="C167" s="1470"/>
      <c r="D167" s="524" t="s">
        <v>187</v>
      </c>
      <c r="E167" s="522">
        <f t="shared" si="16"/>
        <v>138559.16</v>
      </c>
      <c r="F167" s="514">
        <f t="shared" si="17"/>
        <v>138932.74</v>
      </c>
      <c r="G167" s="473">
        <f t="shared" si="15"/>
        <v>373.57999999998719</v>
      </c>
      <c r="N167" s="723"/>
    </row>
    <row r="168" spans="1:14" ht="27.75">
      <c r="A168" s="1470" t="s">
        <v>101</v>
      </c>
      <c r="B168" s="1470"/>
      <c r="C168" s="1470"/>
      <c r="D168" s="524" t="s">
        <v>187</v>
      </c>
      <c r="E168" s="522">
        <f t="shared" si="16"/>
        <v>31315.13</v>
      </c>
      <c r="F168" s="514">
        <f t="shared" si="17"/>
        <v>31699.43</v>
      </c>
      <c r="G168" s="473">
        <f t="shared" si="15"/>
        <v>384.29999999999927</v>
      </c>
      <c r="N168" s="723"/>
    </row>
    <row r="169" spans="1:14" ht="27.75">
      <c r="A169" s="1470" t="s">
        <v>102</v>
      </c>
      <c r="B169" s="1470"/>
      <c r="C169" s="1470"/>
      <c r="D169" s="524" t="s">
        <v>187</v>
      </c>
      <c r="E169" s="522">
        <f t="shared" si="16"/>
        <v>218709.71</v>
      </c>
      <c r="F169" s="514">
        <f t="shared" si="17"/>
        <v>219352.23</v>
      </c>
      <c r="G169" s="473">
        <f t="shared" si="15"/>
        <v>642.52000000001863</v>
      </c>
      <c r="N169" s="723"/>
    </row>
    <row r="170" spans="1:14" ht="27.75">
      <c r="A170" s="1470" t="s">
        <v>103</v>
      </c>
      <c r="B170" s="1470"/>
      <c r="C170" s="1470"/>
      <c r="D170" s="524" t="s">
        <v>187</v>
      </c>
      <c r="E170" s="522">
        <f t="shared" si="16"/>
        <v>78087.59</v>
      </c>
      <c r="F170" s="514">
        <f t="shared" si="17"/>
        <v>78400.81</v>
      </c>
      <c r="G170" s="473">
        <f t="shared" si="15"/>
        <v>313.22000000000116</v>
      </c>
      <c r="N170" s="723"/>
    </row>
    <row r="171" spans="1:14" ht="27.75">
      <c r="A171" s="1470" t="s">
        <v>104</v>
      </c>
      <c r="B171" s="1470"/>
      <c r="C171" s="1470"/>
      <c r="D171" s="524" t="s">
        <v>187</v>
      </c>
      <c r="E171" s="522">
        <f t="shared" si="16"/>
        <v>69624.479999999996</v>
      </c>
      <c r="F171" s="514">
        <f t="shared" si="17"/>
        <v>69933.5</v>
      </c>
      <c r="G171" s="473">
        <f t="shared" si="15"/>
        <v>309.02000000000407</v>
      </c>
      <c r="N171" s="723"/>
    </row>
    <row r="172" spans="1:14">
      <c r="A172" s="804"/>
      <c r="B172" s="805"/>
      <c r="C172" s="805"/>
      <c r="D172" s="806"/>
      <c r="E172" s="806"/>
      <c r="F172" s="807"/>
      <c r="G172" s="808">
        <f>SUM(G160:G171)</f>
        <v>3332.4000000000151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18.75" customHeight="1">
      <c r="N177" s="723"/>
    </row>
    <row r="178" spans="14:14" ht="17.25" customHeight="1">
      <c r="N178" s="723"/>
    </row>
    <row r="179" spans="14:14" ht="18.75" customHeight="1">
      <c r="N179" s="723"/>
    </row>
    <row r="180" spans="14:14" ht="18.75" customHeight="1">
      <c r="N180" s="723"/>
    </row>
    <row r="181" spans="14:14" ht="17.25" customHeight="1">
      <c r="N181" s="723"/>
    </row>
    <row r="182" spans="14:14" ht="18.75" customHeight="1">
      <c r="N182" s="723"/>
    </row>
    <row r="183" spans="14:14" ht="18.75" customHeight="1">
      <c r="N183" s="723"/>
    </row>
    <row r="184" spans="14:14" ht="17.25" customHeight="1">
      <c r="N184" s="723"/>
    </row>
    <row r="185" spans="14:14" ht="17.25" customHeight="1">
      <c r="N185" s="723"/>
    </row>
    <row r="186" spans="14:14" ht="17.25" customHeight="1">
      <c r="N186" s="723"/>
    </row>
    <row r="187" spans="14:14" ht="17.25" customHeight="1">
      <c r="N187" s="723"/>
    </row>
    <row r="188" spans="14:14" ht="17.25" customHeight="1">
      <c r="N188" s="723"/>
    </row>
    <row r="189" spans="14:14" ht="17.25" customHeight="1">
      <c r="N189" s="723"/>
    </row>
    <row r="190" spans="14:14" ht="17.25" customHeight="1">
      <c r="N190" s="723"/>
    </row>
    <row r="191" spans="14:14" ht="18.75" customHeight="1">
      <c r="N191" s="723"/>
    </row>
    <row r="192" spans="14:14" ht="18.75" customHeight="1">
      <c r="N192" s="723"/>
    </row>
    <row r="193" spans="14:14" ht="18.75" customHeight="1">
      <c r="N193" s="723"/>
    </row>
    <row r="194" spans="14:14" ht="18.75" customHeight="1">
      <c r="N194" s="723"/>
    </row>
    <row r="195" spans="14:14" ht="18.75" customHeight="1">
      <c r="N195" s="723"/>
    </row>
    <row r="196" spans="14:14" ht="18.75" customHeight="1">
      <c r="N196" s="723"/>
    </row>
    <row r="197" spans="14:14" ht="18.75" customHeight="1">
      <c r="N197" s="723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9" zoomScale="55" zoomScaleNormal="68" zoomScaleSheetLayoutView="55" workbookViewId="0">
      <selection activeCell="F38" sqref="F38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8" customWidth="1"/>
    <col min="5" max="5" width="27.21875" style="538" customWidth="1"/>
    <col min="6" max="6" width="26.21875" style="668" customWidth="1"/>
    <col min="7" max="7" width="24.44140625" style="538" customWidth="1"/>
    <col min="8" max="8" width="22.88671875" style="539" customWidth="1"/>
    <col min="9" max="9" width="18.109375" style="538" bestFit="1" customWidth="1"/>
    <col min="10" max="10" width="23.21875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6" s="281" customFormat="1" ht="27">
      <c r="A2" s="576" t="s">
        <v>276</v>
      </c>
      <c r="B2" s="1038">
        <v>44273</v>
      </c>
      <c r="C2" s="1335" t="s">
        <v>69</v>
      </c>
      <c r="D2" s="612">
        <v>0.46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>
      <c r="A3" s="571"/>
      <c r="B3" s="615"/>
      <c r="C3" s="1335" t="s">
        <v>120</v>
      </c>
      <c r="D3" s="613">
        <v>29</v>
      </c>
      <c r="E3" s="1432" t="s">
        <v>121</v>
      </c>
      <c r="F3" s="1433"/>
      <c r="G3" s="462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  <c r="N3" s="722"/>
      <c r="O3" s="729"/>
    </row>
    <row r="4" spans="1:16" s="281" customFormat="1" ht="27">
      <c r="A4" s="577"/>
      <c r="B4" s="617"/>
      <c r="C4" s="1335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'17'!F7</f>
        <v>4806529</v>
      </c>
      <c r="F7" s="455">
        <v>4829938</v>
      </c>
      <c r="G7" s="683">
        <f>F7-E7</f>
        <v>23409</v>
      </c>
      <c r="H7" s="684">
        <f>G7+'17'!H7</f>
        <v>384861</v>
      </c>
      <c r="I7" s="685">
        <f>'1'!I7</f>
        <v>12000</v>
      </c>
      <c r="J7" s="686">
        <f>H7/DAY(B2)</f>
        <v>21381.166666666668</v>
      </c>
      <c r="K7" s="550"/>
      <c r="L7" s="377"/>
      <c r="N7" s="734"/>
      <c r="O7" s="730"/>
      <c r="P7" s="733"/>
    </row>
    <row r="8" spans="1:16" ht="27.75" thickBot="1">
      <c r="A8" s="687" t="s">
        <v>133</v>
      </c>
      <c r="B8" s="688"/>
      <c r="C8" s="689"/>
      <c r="D8" s="690" t="s">
        <v>25</v>
      </c>
      <c r="E8" s="634">
        <f>'17'!F8</f>
        <v>4836548</v>
      </c>
      <c r="F8" s="475">
        <v>4860125</v>
      </c>
      <c r="G8" s="694">
        <f>F8-E8</f>
        <v>23577</v>
      </c>
      <c r="H8" s="684">
        <f>G8+'17'!H8</f>
        <v>386969</v>
      </c>
      <c r="I8" s="691">
        <f>'1'!I8</f>
        <v>12000</v>
      </c>
      <c r="J8" s="686">
        <f>H8/DAY(B2)</f>
        <v>21498.277777777777</v>
      </c>
      <c r="K8" s="550"/>
      <c r="L8" s="425"/>
      <c r="M8" s="440"/>
      <c r="N8" s="723"/>
      <c r="O8" s="730"/>
      <c r="P8" s="382"/>
    </row>
    <row r="9" spans="1:16">
      <c r="A9" s="692" t="s">
        <v>134</v>
      </c>
      <c r="B9" s="693"/>
      <c r="C9" s="693"/>
      <c r="D9" s="639" t="s">
        <v>132</v>
      </c>
      <c r="E9" s="634">
        <f>'17'!F9</f>
        <v>124353.81</v>
      </c>
      <c r="F9" s="478">
        <v>124353.81</v>
      </c>
      <c r="G9" s="707">
        <f t="shared" ref="G9:G12" si="0">F9-E9</f>
        <v>0</v>
      </c>
      <c r="H9" s="684">
        <f>G9+'17'!H9</f>
        <v>37444.800000000003</v>
      </c>
      <c r="I9" s="695">
        <f>I7-J7</f>
        <v>-9381.1666666666679</v>
      </c>
      <c r="J9" s="686">
        <f>H9/DAY(B2)</f>
        <v>2080.2666666666669</v>
      </c>
      <c r="K9" s="428"/>
      <c r="L9" s="377"/>
      <c r="N9" s="723"/>
      <c r="O9" s="730"/>
      <c r="P9" s="382"/>
    </row>
    <row r="10" spans="1:16">
      <c r="A10" s="681" t="s">
        <v>135</v>
      </c>
      <c r="B10" s="682"/>
      <c r="C10" s="682"/>
      <c r="D10" s="639" t="s">
        <v>132</v>
      </c>
      <c r="E10" s="634">
        <f>'17'!F10</f>
        <v>336966.67</v>
      </c>
      <c r="F10" s="478">
        <f>336966.67+22711</f>
        <v>359677.67</v>
      </c>
      <c r="G10" s="694">
        <f t="shared" si="0"/>
        <v>22711</v>
      </c>
      <c r="H10" s="684">
        <f>G10+'17'!H10</f>
        <v>333982.11</v>
      </c>
      <c r="I10" s="696"/>
      <c r="J10" s="686">
        <f>H10/DAY(B2)</f>
        <v>18554.561666666665</v>
      </c>
      <c r="K10" s="428"/>
      <c r="L10" s="377"/>
      <c r="N10" s="723"/>
      <c r="O10" s="730"/>
      <c r="P10" s="382"/>
    </row>
    <row r="11" spans="1:16">
      <c r="A11" s="681" t="s">
        <v>136</v>
      </c>
      <c r="B11" s="682"/>
      <c r="C11" s="682"/>
      <c r="D11" s="639" t="s">
        <v>132</v>
      </c>
      <c r="E11" s="634">
        <f>'17'!F11</f>
        <v>37000</v>
      </c>
      <c r="F11" s="455">
        <v>37000</v>
      </c>
      <c r="G11" s="694">
        <f t="shared" si="0"/>
        <v>0</v>
      </c>
      <c r="H11" s="684">
        <f>G11+'17'!H11</f>
        <v>0</v>
      </c>
      <c r="I11" s="696"/>
      <c r="J11" s="686">
        <f>H11/DAY(B2)</f>
        <v>0</v>
      </c>
      <c r="K11" s="428"/>
      <c r="L11" s="377"/>
      <c r="N11" s="723">
        <f>G8-866</f>
        <v>22711</v>
      </c>
      <c r="O11" s="730"/>
      <c r="P11" s="382"/>
    </row>
    <row r="12" spans="1:16">
      <c r="A12" s="681" t="s">
        <v>137</v>
      </c>
      <c r="B12" s="682"/>
      <c r="C12" s="682"/>
      <c r="D12" s="639" t="s">
        <v>132</v>
      </c>
      <c r="E12" s="634">
        <f>'17'!F12</f>
        <v>40010</v>
      </c>
      <c r="F12" s="478">
        <v>40010</v>
      </c>
      <c r="G12" s="694">
        <f t="shared" si="0"/>
        <v>0</v>
      </c>
      <c r="H12" s="684">
        <f>G12+'17'!H12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22711</v>
      </c>
      <c r="H13" s="684">
        <f>G13+'17'!H13</f>
        <v>350432.91</v>
      </c>
      <c r="I13" s="700">
        <f>G7-G13</f>
        <v>698</v>
      </c>
      <c r="J13" s="686">
        <f>H13/DAY(B2)</f>
        <v>19468.494999999999</v>
      </c>
      <c r="K13" s="428"/>
      <c r="L13" s="377"/>
      <c r="N13" s="723"/>
      <c r="O13" s="730"/>
      <c r="P13" s="382"/>
    </row>
    <row r="14" spans="1:16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1226"/>
      <c r="K14" s="429"/>
      <c r="L14" s="377"/>
      <c r="N14" s="723"/>
      <c r="O14" s="730"/>
      <c r="P14" s="382"/>
    </row>
    <row r="15" spans="1:16">
      <c r="A15" s="798" t="s">
        <v>140</v>
      </c>
      <c r="B15" s="799"/>
      <c r="C15" s="799"/>
      <c r="D15" s="524" t="s">
        <v>141</v>
      </c>
      <c r="E15" s="485">
        <f>'17'!F15</f>
        <v>1634499.5290000001</v>
      </c>
      <c r="F15" s="485">
        <v>1635310.004</v>
      </c>
      <c r="G15" s="669">
        <f>(F15-E15)</f>
        <v>810.4749999998603</v>
      </c>
      <c r="H15" s="486">
        <f>G15+'17'!H15</f>
        <v>15431.393999999855</v>
      </c>
      <c r="I15" s="474">
        <f>'1'!I15</f>
        <v>800</v>
      </c>
      <c r="J15" s="554">
        <f>H15/DAY(B2)</f>
        <v>857.2996666666586</v>
      </c>
      <c r="K15" s="428"/>
      <c r="L15" s="377"/>
      <c r="N15" s="723"/>
      <c r="O15" s="730"/>
      <c r="P15" s="382"/>
    </row>
    <row r="16" spans="1:16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-57.299666666658595</v>
      </c>
      <c r="J16" s="554"/>
      <c r="K16" s="428"/>
      <c r="L16" s="377"/>
      <c r="N16" s="723"/>
      <c r="O16" s="730"/>
      <c r="P16" s="382"/>
    </row>
    <row r="17" spans="1:16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>
      <c r="A18" s="1464" t="s">
        <v>143</v>
      </c>
      <c r="B18" s="1465"/>
      <c r="C18" s="1466"/>
      <c r="D18" s="639" t="s">
        <v>144</v>
      </c>
      <c r="E18" s="636">
        <f>'17'!F18</f>
        <v>12</v>
      </c>
      <c r="F18" s="478">
        <v>8</v>
      </c>
      <c r="G18" s="699">
        <f>F18*10</f>
        <v>80</v>
      </c>
      <c r="H18" s="684">
        <f>G18+'17'!H18</f>
        <v>2420</v>
      </c>
      <c r="I18" s="685">
        <f>'1'!I18</f>
        <v>65</v>
      </c>
      <c r="J18" s="686">
        <f>H18/DAY(B2)</f>
        <v>134.44444444444446</v>
      </c>
      <c r="K18" s="428"/>
      <c r="L18" s="377"/>
      <c r="N18" s="723"/>
      <c r="O18" s="730"/>
      <c r="P18" s="382"/>
    </row>
    <row r="19" spans="1:16" ht="27.75">
      <c r="A19" s="1464" t="s">
        <v>71</v>
      </c>
      <c r="B19" s="1465"/>
      <c r="C19" s="1466"/>
      <c r="D19" s="639" t="s">
        <v>144</v>
      </c>
      <c r="E19" s="636">
        <f>'17'!F19</f>
        <v>135354</v>
      </c>
      <c r="F19" s="478">
        <v>135407</v>
      </c>
      <c r="G19" s="694">
        <f t="shared" ref="G19" si="1">F19-E19</f>
        <v>53</v>
      </c>
      <c r="H19" s="684">
        <f>G19+'17'!H19</f>
        <v>939</v>
      </c>
      <c r="I19" s="701"/>
      <c r="J19" s="686">
        <f>H19/DAY(B2)</f>
        <v>52.166666666666664</v>
      </c>
      <c r="K19" s="428"/>
      <c r="L19" s="377"/>
      <c r="N19" s="723"/>
      <c r="O19" s="730"/>
      <c r="P19" s="382"/>
    </row>
    <row r="20" spans="1:16">
      <c r="A20" s="697" t="s">
        <v>145</v>
      </c>
      <c r="B20" s="698"/>
      <c r="C20" s="698"/>
      <c r="D20" s="639"/>
      <c r="E20" s="639"/>
      <c r="F20" s="714"/>
      <c r="G20" s="702">
        <f>G18+G19</f>
        <v>133</v>
      </c>
      <c r="H20" s="684">
        <f>G20+'17'!H20</f>
        <v>3359</v>
      </c>
      <c r="I20" s="703">
        <f>I18-J20</f>
        <v>-121.61111111111111</v>
      </c>
      <c r="J20" s="686">
        <f>H20/DAY(B2)</f>
        <v>186.61111111111111</v>
      </c>
      <c r="K20" s="428"/>
      <c r="L20" s="377"/>
      <c r="N20" s="723"/>
      <c r="O20" s="730"/>
      <c r="P20" s="382"/>
    </row>
    <row r="21" spans="1:16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>
      <c r="A22" s="1333" t="s">
        <v>147</v>
      </c>
      <c r="B22" s="590"/>
      <c r="C22" s="590"/>
      <c r="D22" s="523" t="s">
        <v>148</v>
      </c>
      <c r="E22" s="636">
        <f>'17'!F22</f>
        <v>2250</v>
      </c>
      <c r="F22" s="478">
        <v>2250</v>
      </c>
      <c r="G22" s="481">
        <f t="shared" ref="G22" si="2">F22-E22</f>
        <v>0</v>
      </c>
      <c r="H22" s="460">
        <f>G22+'17'!H22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>
      <c r="A23" s="1333" t="s">
        <v>149</v>
      </c>
      <c r="B23" s="590"/>
      <c r="C23" s="590"/>
      <c r="D23" s="523" t="s">
        <v>148</v>
      </c>
      <c r="E23" s="636">
        <f>'17'!F23</f>
        <v>2000</v>
      </c>
      <c r="F23" s="478">
        <v>2000</v>
      </c>
      <c r="G23" s="481">
        <v>0</v>
      </c>
      <c r="H23" s="460">
        <f>G23+'17'!H23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>
      <c r="A24" s="591" t="s">
        <v>150</v>
      </c>
      <c r="B24" s="592"/>
      <c r="C24" s="592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23577</v>
      </c>
      <c r="F27" s="501">
        <v>9</v>
      </c>
      <c r="G27" s="502">
        <f>E27*F27</f>
        <v>212193</v>
      </c>
      <c r="H27" s="460">
        <f>G27+'17'!H27</f>
        <v>3482721</v>
      </c>
      <c r="I27" s="503"/>
      <c r="J27" s="553">
        <f>H27/DAY(B2)</f>
        <v>193484.5</v>
      </c>
      <c r="K27" s="373"/>
      <c r="L27" s="443"/>
      <c r="N27" s="723"/>
      <c r="O27" s="730"/>
      <c r="P27" s="382"/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810.4749999998603</v>
      </c>
      <c r="F28" s="501">
        <v>43.5</v>
      </c>
      <c r="G28" s="502">
        <f>E28*F28</f>
        <v>35255.662499993923</v>
      </c>
      <c r="H28" s="460">
        <f>G28+'17'!H28</f>
        <v>736855.31719999318</v>
      </c>
      <c r="I28" s="505"/>
      <c r="J28" s="553">
        <f>H28/DAY(B2)</f>
        <v>40936.406511110734</v>
      </c>
      <c r="K28" s="373"/>
      <c r="L28" s="443"/>
      <c r="N28" s="723"/>
      <c r="O28" s="730"/>
      <c r="P28" s="382"/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53</v>
      </c>
      <c r="F30" s="501">
        <v>134</v>
      </c>
      <c r="G30" s="502">
        <f>E30*F30</f>
        <v>7102</v>
      </c>
      <c r="H30" s="460">
        <f>G30+'17'!H30</f>
        <v>143514</v>
      </c>
      <c r="I30" s="505"/>
      <c r="J30" s="553">
        <f>H30/DAY(B2)</f>
        <v>7973</v>
      </c>
      <c r="K30" s="373"/>
      <c r="L30" s="443"/>
      <c r="N30" s="723"/>
      <c r="O30" s="730"/>
      <c r="P30" s="382"/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80</v>
      </c>
      <c r="F31" s="501">
        <v>80</v>
      </c>
      <c r="G31" s="502">
        <f>E31*F31</f>
        <v>6400</v>
      </c>
      <c r="H31" s="460">
        <f>G31+'17'!H31</f>
        <v>183040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260950.66249999392</v>
      </c>
      <c r="H32" s="460">
        <f>G32+'17'!H32</f>
        <v>4546130.3171999929</v>
      </c>
      <c r="I32" s="509"/>
      <c r="J32" s="553">
        <f>H32/DAY(B2)</f>
        <v>252562.7953999996</v>
      </c>
      <c r="K32" s="373"/>
      <c r="L32" s="443"/>
      <c r="N32" s="723"/>
      <c r="O32" s="730"/>
      <c r="P32" s="382"/>
    </row>
    <row r="33" spans="1:16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723"/>
      <c r="O33" s="730"/>
      <c r="P33" s="382"/>
    </row>
    <row r="34" spans="1:16">
      <c r="A34" s="599" t="s">
        <v>163</v>
      </c>
      <c r="B34" s="1338"/>
      <c r="C34" s="1338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>
      <c r="A35" s="579" t="s">
        <v>164</v>
      </c>
      <c r="B35" s="580"/>
      <c r="C35" s="580"/>
      <c r="D35" s="523" t="s">
        <v>132</v>
      </c>
      <c r="E35" s="510">
        <f>'17'!F35</f>
        <v>751599.75</v>
      </c>
      <c r="F35" s="510">
        <v>755124.39</v>
      </c>
      <c r="G35" s="473">
        <f>F35-E35</f>
        <v>3524.640000000014</v>
      </c>
      <c r="H35" s="460">
        <f>G35+'17'!H35</f>
        <v>62036.800000000047</v>
      </c>
      <c r="I35" s="455"/>
      <c r="J35" s="553">
        <f>H35/DAY(B2)</f>
        <v>3446.4888888888913</v>
      </c>
      <c r="K35" s="428"/>
      <c r="L35" s="377"/>
      <c r="N35" s="723"/>
      <c r="O35" s="731"/>
      <c r="P35" s="382"/>
    </row>
    <row r="36" spans="1:16">
      <c r="A36" s="579" t="s">
        <v>165</v>
      </c>
      <c r="B36" s="580"/>
      <c r="C36" s="580"/>
      <c r="D36" s="523" t="s">
        <v>132</v>
      </c>
      <c r="E36" s="510">
        <f>'17'!F36</f>
        <v>307509.69</v>
      </c>
      <c r="F36" s="510">
        <v>308299</v>
      </c>
      <c r="G36" s="473">
        <f t="shared" ref="G36:G46" si="3">F36-E36</f>
        <v>789.30999999999767</v>
      </c>
      <c r="H36" s="460">
        <f>G36+'17'!H36</f>
        <v>11853.429999999993</v>
      </c>
      <c r="I36" s="455"/>
      <c r="J36" s="553">
        <f>H36/DAY(B2)</f>
        <v>658.52388888888845</v>
      </c>
      <c r="K36" s="428"/>
      <c r="L36" s="377"/>
      <c r="N36" s="724"/>
      <c r="O36" s="731"/>
      <c r="P36" s="382"/>
    </row>
    <row r="37" spans="1:16">
      <c r="A37" s="579" t="s">
        <v>166</v>
      </c>
      <c r="B37" s="580"/>
      <c r="C37" s="580"/>
      <c r="D37" s="523" t="s">
        <v>132</v>
      </c>
      <c r="E37" s="510">
        <f>'17'!F37</f>
        <v>35167</v>
      </c>
      <c r="F37" s="510">
        <v>35167.07</v>
      </c>
      <c r="G37" s="473">
        <f>F37-E37</f>
        <v>6.9999999999708962E-2</v>
      </c>
      <c r="H37" s="460">
        <f>G37+'17'!H37</f>
        <v>38272.15</v>
      </c>
      <c r="I37" s="455"/>
      <c r="J37" s="553">
        <f>H37/DAY(B2)</f>
        <v>2126.2305555555558</v>
      </c>
      <c r="K37" s="428"/>
      <c r="L37" s="377"/>
      <c r="N37" s="724"/>
      <c r="O37" s="731"/>
      <c r="P37" s="382"/>
    </row>
    <row r="38" spans="1:16">
      <c r="A38" s="579" t="s">
        <v>167</v>
      </c>
      <c r="B38" s="580"/>
      <c r="C38" s="580"/>
      <c r="D38" s="523" t="s">
        <v>132</v>
      </c>
      <c r="E38" s="510">
        <f>'17'!F38</f>
        <v>48333</v>
      </c>
      <c r="F38" s="469">
        <v>48333</v>
      </c>
      <c r="G38" s="473">
        <f t="shared" si="3"/>
        <v>0</v>
      </c>
      <c r="H38" s="460">
        <f>G38+'17'!H38</f>
        <v>4519.510000000002</v>
      </c>
      <c r="I38" s="455"/>
      <c r="J38" s="553">
        <f>H38/DAY(B2)</f>
        <v>251.08388888888899</v>
      </c>
      <c r="K38" s="428"/>
      <c r="L38" s="377"/>
      <c r="N38" s="723"/>
      <c r="O38" s="730"/>
      <c r="P38" s="382"/>
    </row>
    <row r="39" spans="1:16">
      <c r="A39" s="579" t="s">
        <v>168</v>
      </c>
      <c r="B39" s="580"/>
      <c r="C39" s="580"/>
      <c r="D39" s="523" t="s">
        <v>132</v>
      </c>
      <c r="E39" s="510">
        <f>'17'!F39</f>
        <v>100066</v>
      </c>
      <c r="F39" s="510">
        <v>100066</v>
      </c>
      <c r="G39" s="473">
        <f>F39-E39</f>
        <v>0</v>
      </c>
      <c r="H39" s="460">
        <f>G39+'17'!H39</f>
        <v>109458.89</v>
      </c>
      <c r="I39" s="455"/>
      <c r="J39" s="553">
        <f>H39/DAY(B2)</f>
        <v>6081.0494444444448</v>
      </c>
      <c r="K39" s="428"/>
      <c r="L39" s="377"/>
      <c r="N39" s="723"/>
      <c r="O39" s="731"/>
      <c r="P39" s="382"/>
    </row>
    <row r="40" spans="1:16">
      <c r="A40" s="600" t="s">
        <v>169</v>
      </c>
      <c r="B40" s="601"/>
      <c r="C40" s="601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G40+'17'!H40</f>
        <v>-0.06</v>
      </c>
      <c r="I40" s="455"/>
      <c r="J40" s="553">
        <f>H40/DAY(B2)</f>
        <v>-3.3333333333333331E-3</v>
      </c>
      <c r="K40" s="429"/>
      <c r="L40" s="377"/>
      <c r="N40" s="723"/>
      <c r="O40" s="730"/>
      <c r="P40" s="382"/>
    </row>
    <row r="41" spans="1:16">
      <c r="A41" s="579" t="s">
        <v>170</v>
      </c>
      <c r="B41" s="580"/>
      <c r="C41" s="580"/>
      <c r="D41" s="523" t="s">
        <v>132</v>
      </c>
      <c r="E41" s="510">
        <f>'17'!F41</f>
        <v>65379.01</v>
      </c>
      <c r="F41" s="510">
        <v>67301.600000000006</v>
      </c>
      <c r="G41" s="473">
        <f t="shared" si="3"/>
        <v>1922.5900000000038</v>
      </c>
      <c r="H41" s="460">
        <f>G41+'17'!H41</f>
        <v>3419.2300000000032</v>
      </c>
      <c r="I41" s="455"/>
      <c r="J41" s="553">
        <f>H41/DAY(B2)</f>
        <v>189.95722222222241</v>
      </c>
      <c r="K41" s="428"/>
      <c r="L41" s="377"/>
      <c r="N41" s="723"/>
      <c r="O41" s="732"/>
      <c r="P41" s="726"/>
    </row>
    <row r="42" spans="1:16">
      <c r="A42" s="579" t="s">
        <v>171</v>
      </c>
      <c r="B42" s="580"/>
      <c r="C42" s="580"/>
      <c r="D42" s="523" t="s">
        <v>132</v>
      </c>
      <c r="E42" s="510">
        <f>'17'!F42</f>
        <v>59128.160000000003</v>
      </c>
      <c r="F42" s="510">
        <v>59128.163</v>
      </c>
      <c r="G42" s="473">
        <f t="shared" si="3"/>
        <v>2.9999999969732016E-3</v>
      </c>
      <c r="H42" s="460">
        <f>G42+'17'!H42</f>
        <v>-0.68699999999807915</v>
      </c>
      <c r="I42" s="455"/>
      <c r="J42" s="553">
        <f>H42/DAY(B2)</f>
        <v>-3.8166666666559955E-2</v>
      </c>
      <c r="K42" s="428"/>
      <c r="L42" s="377"/>
      <c r="N42" s="723"/>
      <c r="O42" s="730"/>
      <c r="P42" s="382"/>
    </row>
    <row r="43" spans="1:16">
      <c r="A43" s="579" t="s">
        <v>172</v>
      </c>
      <c r="B43" s="580"/>
      <c r="C43" s="580"/>
      <c r="D43" s="523" t="s">
        <v>132</v>
      </c>
      <c r="E43" s="510">
        <f>'17'!F43</f>
        <v>867165.99</v>
      </c>
      <c r="F43" s="510">
        <v>869783.35</v>
      </c>
      <c r="G43" s="473">
        <f t="shared" si="3"/>
        <v>2617.359999999986</v>
      </c>
      <c r="H43" s="460">
        <f>G43+'17'!H43</f>
        <v>43885.520000000019</v>
      </c>
      <c r="I43" s="455"/>
      <c r="J43" s="553">
        <f>H43/DAY(B2)</f>
        <v>2438.0844444444456</v>
      </c>
      <c r="K43" s="428"/>
      <c r="L43" s="377"/>
      <c r="N43" s="723"/>
      <c r="O43" s="731"/>
      <c r="P43" s="382"/>
    </row>
    <row r="44" spans="1:16">
      <c r="A44" s="579" t="s">
        <v>173</v>
      </c>
      <c r="B44" s="580"/>
      <c r="C44" s="580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>
      <c r="A45" s="579" t="s">
        <v>174</v>
      </c>
      <c r="B45" s="580"/>
      <c r="C45" s="580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>
      <c r="A46" s="579" t="s">
        <v>175</v>
      </c>
      <c r="B46" s="580"/>
      <c r="C46" s="580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0.43999999999999773</v>
      </c>
      <c r="I46" s="455"/>
      <c r="J46" s="553">
        <f>H46/DAY(B2)</f>
        <v>2.4444444444444317E-2</v>
      </c>
      <c r="K46" s="428"/>
      <c r="L46" s="377"/>
      <c r="N46" s="723"/>
      <c r="O46" s="730"/>
      <c r="P46" s="382"/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8853.9229999999989</v>
      </c>
      <c r="H47" s="460">
        <f>G47+'17'!H47</f>
        <v>273445.22300000006</v>
      </c>
      <c r="I47" s="455"/>
      <c r="J47" s="553">
        <f>H47/DAY(B2)</f>
        <v>15191.401277777781</v>
      </c>
      <c r="K47" s="428"/>
      <c r="L47" s="377"/>
      <c r="N47" s="723"/>
      <c r="O47" s="730"/>
      <c r="P47" s="382"/>
    </row>
    <row r="48" spans="1:16">
      <c r="A48" s="599" t="s">
        <v>177</v>
      </c>
      <c r="B48" s="1338"/>
      <c r="C48" s="1338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>
      <c r="A49" s="579" t="s">
        <v>164</v>
      </c>
      <c r="B49" s="602"/>
      <c r="C49" s="602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</v>
      </c>
      <c r="I49" s="455"/>
      <c r="J49" s="553">
        <f>H49/DAY(B2)</f>
        <v>0</v>
      </c>
      <c r="K49" s="428">
        <f>E49+247</f>
        <v>260979.13</v>
      </c>
      <c r="L49" s="377"/>
      <c r="N49" s="723"/>
      <c r="O49" s="730"/>
      <c r="P49" s="382"/>
    </row>
    <row r="50" spans="1:16">
      <c r="A50" s="579" t="s">
        <v>178</v>
      </c>
      <c r="B50" s="602"/>
      <c r="C50" s="602"/>
      <c r="D50" s="523" t="s">
        <v>132</v>
      </c>
      <c r="E50" s="510">
        <f>'17'!F50</f>
        <v>422813.47</v>
      </c>
      <c r="F50" s="510">
        <v>424381.39</v>
      </c>
      <c r="G50" s="473">
        <f t="shared" si="4"/>
        <v>1567.9200000000419</v>
      </c>
      <c r="H50" s="460">
        <f>G50+'17'!H50</f>
        <v>20724.359999999986</v>
      </c>
      <c r="I50" s="455"/>
      <c r="J50" s="553">
        <f>H50/DAY(B2)</f>
        <v>1151.3533333333326</v>
      </c>
      <c r="K50" s="428"/>
      <c r="L50" s="377"/>
      <c r="N50" s="723"/>
      <c r="O50" s="731"/>
      <c r="P50" s="382"/>
    </row>
    <row r="51" spans="1:16">
      <c r="A51" s="579" t="s">
        <v>166</v>
      </c>
      <c r="B51" s="602"/>
      <c r="C51" s="602"/>
      <c r="D51" s="523" t="s">
        <v>132</v>
      </c>
      <c r="E51" s="510">
        <f>'17'!F51</f>
        <v>142917.29999999999</v>
      </c>
      <c r="F51" s="510">
        <v>144557.49</v>
      </c>
      <c r="G51" s="473">
        <f t="shared" si="4"/>
        <v>1640.1900000000023</v>
      </c>
      <c r="H51" s="460">
        <f>G51+'17'!H51</f>
        <v>22957.569999999992</v>
      </c>
      <c r="I51" s="455"/>
      <c r="J51" s="553">
        <f>H51/DAY(B2)</f>
        <v>1275.4205555555552</v>
      </c>
      <c r="K51" s="428"/>
      <c r="L51" s="377"/>
      <c r="N51" s="723"/>
      <c r="O51" s="730"/>
      <c r="P51" s="382"/>
    </row>
    <row r="52" spans="1:16">
      <c r="A52" s="579" t="s">
        <v>179</v>
      </c>
      <c r="B52" s="602"/>
      <c r="C52" s="602"/>
      <c r="D52" s="523" t="s">
        <v>132</v>
      </c>
      <c r="E52" s="510">
        <f>'17'!F52</f>
        <v>537738.63</v>
      </c>
      <c r="F52" s="510">
        <v>539507.99</v>
      </c>
      <c r="G52" s="473">
        <f t="shared" si="4"/>
        <v>1769.359999999986</v>
      </c>
      <c r="H52" s="460">
        <f>G52+'17'!H52</f>
        <v>29549.27999999997</v>
      </c>
      <c r="I52" s="455"/>
      <c r="J52" s="553">
        <f>H52/DAY(B2)</f>
        <v>1641.626666666665</v>
      </c>
      <c r="K52" s="428"/>
      <c r="L52" s="377"/>
      <c r="N52" s="723"/>
      <c r="O52" s="730"/>
      <c r="P52" s="382"/>
    </row>
    <row r="53" spans="1:16">
      <c r="A53" s="579" t="s">
        <v>168</v>
      </c>
      <c r="B53" s="602"/>
      <c r="C53" s="602"/>
      <c r="D53" s="523" t="s">
        <v>132</v>
      </c>
      <c r="E53" s="510">
        <f>'17'!F53</f>
        <v>394229.15</v>
      </c>
      <c r="F53" s="510">
        <v>398594.55</v>
      </c>
      <c r="G53" s="473">
        <f t="shared" si="4"/>
        <v>4365.3999999999651</v>
      </c>
      <c r="H53" s="460">
        <f>G53+'17'!H53</f>
        <v>62555.039999999979</v>
      </c>
      <c r="I53" s="455"/>
      <c r="J53" s="553">
        <f>H53/DAY(B2)</f>
        <v>3475.2799999999988</v>
      </c>
      <c r="K53" s="428"/>
      <c r="L53" s="377"/>
      <c r="N53" s="723"/>
      <c r="O53" s="730"/>
      <c r="P53" s="382"/>
    </row>
    <row r="54" spans="1:16">
      <c r="A54" s="579" t="s">
        <v>180</v>
      </c>
      <c r="B54" s="602"/>
      <c r="C54" s="602"/>
      <c r="D54" s="523" t="s">
        <v>132</v>
      </c>
      <c r="E54" s="510">
        <f>'17'!F54</f>
        <v>8200.2900000000009</v>
      </c>
      <c r="F54" s="510">
        <v>8200.2900000000009</v>
      </c>
      <c r="G54" s="473">
        <f t="shared" si="4"/>
        <v>0</v>
      </c>
      <c r="H54" s="460">
        <f>G54+'17'!H54</f>
        <v>104.69000000000142</v>
      </c>
      <c r="I54" s="455"/>
      <c r="J54" s="553">
        <f>H54/DAY(B2)</f>
        <v>5.8161111111111898</v>
      </c>
      <c r="K54" s="428"/>
      <c r="L54" s="377"/>
      <c r="N54" s="723"/>
      <c r="O54" s="730"/>
      <c r="P54" s="382"/>
    </row>
    <row r="55" spans="1:16">
      <c r="A55" s="579" t="s">
        <v>181</v>
      </c>
      <c r="B55" s="602"/>
      <c r="C55" s="602"/>
      <c r="D55" s="523" t="s">
        <v>132</v>
      </c>
      <c r="E55" s="510">
        <f>'17'!F55</f>
        <v>202331.73</v>
      </c>
      <c r="F55" s="658">
        <v>206998.61</v>
      </c>
      <c r="G55" s="657">
        <f t="shared" si="4"/>
        <v>4666.8799999999756</v>
      </c>
      <c r="H55" s="710">
        <f>G55+'17'!H55</f>
        <v>84413.919999999984</v>
      </c>
      <c r="I55" s="711"/>
      <c r="J55" s="712">
        <f>H55/DAY(B2)</f>
        <v>4689.6622222222213</v>
      </c>
      <c r="K55" s="428"/>
      <c r="L55" s="377"/>
      <c r="N55" s="723"/>
      <c r="O55" s="730"/>
      <c r="P55" s="382"/>
    </row>
    <row r="56" spans="1:16">
      <c r="A56" s="579" t="s">
        <v>182</v>
      </c>
      <c r="B56" s="602"/>
      <c r="C56" s="602"/>
      <c r="D56" s="523" t="s">
        <v>183</v>
      </c>
      <c r="E56" s="510">
        <f>'17'!F56</f>
        <v>588850.23</v>
      </c>
      <c r="F56" s="658">
        <v>588859.03</v>
      </c>
      <c r="G56" s="473">
        <f t="shared" si="4"/>
        <v>8.8000000000465661</v>
      </c>
      <c r="H56" s="460">
        <f>G56+'17'!H56</f>
        <v>2808</v>
      </c>
      <c r="I56" s="455"/>
      <c r="J56" s="553">
        <f>H56/DAY(B2)</f>
        <v>156</v>
      </c>
      <c r="K56" s="427"/>
      <c r="L56" s="377"/>
      <c r="N56" s="723"/>
      <c r="O56" s="732"/>
      <c r="P56" s="382"/>
    </row>
    <row r="57" spans="1:16">
      <c r="A57" s="579" t="s">
        <v>172</v>
      </c>
      <c r="B57" s="602"/>
      <c r="C57" s="602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>
      <c r="A58" s="579" t="s">
        <v>184</v>
      </c>
      <c r="B58" s="602"/>
      <c r="C58" s="602"/>
      <c r="D58" s="523" t="s">
        <v>132</v>
      </c>
      <c r="E58" s="510">
        <f>'17'!F58</f>
        <v>39009.839999999997</v>
      </c>
      <c r="F58" s="658">
        <v>39165.1</v>
      </c>
      <c r="G58" s="473">
        <f t="shared" si="4"/>
        <v>155.26000000000204</v>
      </c>
      <c r="H58" s="460">
        <f>G58+'17'!H58</f>
        <v>3100.4000000000015</v>
      </c>
      <c r="I58" s="455"/>
      <c r="J58" s="553">
        <f>H58/DAY(B2)</f>
        <v>172.24444444444453</v>
      </c>
      <c r="K58" s="428"/>
      <c r="L58" s="377"/>
      <c r="N58" s="723"/>
      <c r="O58" s="730"/>
      <c r="P58" s="382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14173.810000000019</v>
      </c>
      <c r="H59" s="460">
        <f>G59+'17'!H59</f>
        <v>226213.25999999989</v>
      </c>
      <c r="I59" s="455">
        <f>G7-G60</f>
        <v>381.26699999998164</v>
      </c>
      <c r="J59" s="553">
        <f>H59/DAY(B2)</f>
        <v>12567.403333333328</v>
      </c>
      <c r="K59" s="428"/>
      <c r="L59" s="377"/>
      <c r="N59" s="723"/>
      <c r="O59" s="730"/>
      <c r="P59" s="382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23027.733000000018</v>
      </c>
      <c r="H60" s="460">
        <f>G60+'17'!H60</f>
        <v>513827.48299999995</v>
      </c>
      <c r="I60" s="455">
        <f>G13-G60</f>
        <v>-316.73300000001836</v>
      </c>
      <c r="J60" s="553">
        <f>H60/DAY(B2)</f>
        <v>28545.971277777775</v>
      </c>
      <c r="K60" s="428"/>
      <c r="L60" s="377"/>
      <c r="N60" s="723"/>
      <c r="O60" s="730"/>
      <c r="P60" s="382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>
      <c r="A62" s="604" t="s">
        <v>98</v>
      </c>
      <c r="B62" s="605"/>
      <c r="C62" s="605"/>
      <c r="D62" s="511" t="s">
        <v>187</v>
      </c>
      <c r="E62" s="514">
        <f>'17'!F62</f>
        <v>20419.18</v>
      </c>
      <c r="F62" s="514">
        <v>20419.18</v>
      </c>
      <c r="G62" s="473">
        <f t="shared" ref="G62:G69" si="5">F62-E62</f>
        <v>0</v>
      </c>
      <c r="H62" s="460">
        <f>G62+'17'!H62</f>
        <v>-7.0000000014260877E-3</v>
      </c>
      <c r="I62" s="515"/>
      <c r="J62" s="553">
        <f>H62/DAY(B2)</f>
        <v>-3.8888888896811596E-4</v>
      </c>
      <c r="K62" s="428"/>
      <c r="L62" s="377"/>
      <c r="N62" s="723"/>
      <c r="O62" s="730"/>
      <c r="P62" s="382"/>
    </row>
    <row r="63" spans="1:16">
      <c r="A63" s="604" t="s">
        <v>188</v>
      </c>
      <c r="B63" s="605"/>
      <c r="C63" s="605"/>
      <c r="D63" s="511" t="s">
        <v>187</v>
      </c>
      <c r="E63" s="514">
        <f>'17'!F63</f>
        <v>1934.1</v>
      </c>
      <c r="F63" s="514">
        <v>1946.58</v>
      </c>
      <c r="G63" s="473">
        <f t="shared" si="5"/>
        <v>12.480000000000018</v>
      </c>
      <c r="H63" s="460">
        <f>G63+'17'!H63</f>
        <v>239.22000000000003</v>
      </c>
      <c r="I63" s="515"/>
      <c r="J63" s="553">
        <f>H63/DAY(B2)</f>
        <v>13.290000000000001</v>
      </c>
      <c r="K63" s="428"/>
      <c r="L63" s="377"/>
      <c r="N63" s="723"/>
      <c r="O63" s="730"/>
      <c r="P63" s="382"/>
    </row>
    <row r="64" spans="1:16" ht="27.75">
      <c r="A64" s="1408" t="s">
        <v>99</v>
      </c>
      <c r="B64" s="1409"/>
      <c r="C64" s="1410"/>
      <c r="D64" s="523" t="s">
        <v>187</v>
      </c>
      <c r="E64" s="1238">
        <f>'17'!F64</f>
        <v>132346.76</v>
      </c>
      <c r="F64" s="627">
        <v>132862.85</v>
      </c>
      <c r="G64" s="779">
        <f t="shared" si="5"/>
        <v>516.08999999999651</v>
      </c>
      <c r="H64" s="460">
        <f>G64+'17'!H64</f>
        <v>9235.5500000000029</v>
      </c>
      <c r="I64" s="480"/>
      <c r="J64" s="553">
        <f>H64/DAY(B2)</f>
        <v>513.08611111111122</v>
      </c>
      <c r="K64" s="428"/>
      <c r="L64" s="377"/>
      <c r="N64" s="723"/>
      <c r="O64" s="730"/>
      <c r="P64" s="382"/>
    </row>
    <row r="65" spans="1:16" ht="27.75">
      <c r="A65" s="1408" t="s">
        <v>100</v>
      </c>
      <c r="B65" s="1409"/>
      <c r="C65" s="1410"/>
      <c r="D65" s="523" t="s">
        <v>187</v>
      </c>
      <c r="E65" s="514">
        <f>'17'!F65</f>
        <v>138932.74</v>
      </c>
      <c r="F65" s="656">
        <v>139317.76999999999</v>
      </c>
      <c r="G65" s="473">
        <f t="shared" si="5"/>
        <v>385.02999999999884</v>
      </c>
      <c r="H65" s="460">
        <f>G65+'17'!H65</f>
        <v>6720.4700000000012</v>
      </c>
      <c r="I65" s="489"/>
      <c r="J65" s="553">
        <f>H65/DAY(B2)</f>
        <v>373.35944444444453</v>
      </c>
      <c r="K65" s="428"/>
      <c r="L65" s="377"/>
      <c r="N65" s="723"/>
      <c r="O65" s="731"/>
      <c r="P65" s="382"/>
    </row>
    <row r="66" spans="1:16" ht="27.75">
      <c r="A66" s="1408" t="s">
        <v>101</v>
      </c>
      <c r="B66" s="1409"/>
      <c r="C66" s="1410"/>
      <c r="D66" s="523" t="s">
        <v>187</v>
      </c>
      <c r="E66" s="514">
        <f>'17'!F66</f>
        <v>31699.43</v>
      </c>
      <c r="F66" s="478">
        <v>32100.9</v>
      </c>
      <c r="G66" s="473">
        <f t="shared" si="5"/>
        <v>401.47000000000116</v>
      </c>
      <c r="H66" s="460">
        <f>G66+'17'!H66</f>
        <v>6941.1500000000015</v>
      </c>
      <c r="I66" s="480"/>
      <c r="J66" s="553">
        <f>H66/DAY(B2)</f>
        <v>385.61944444444453</v>
      </c>
      <c r="K66" s="428"/>
      <c r="L66" s="377"/>
      <c r="N66" s="723"/>
      <c r="O66" s="730"/>
      <c r="P66" s="382"/>
    </row>
    <row r="67" spans="1:16" ht="27.75">
      <c r="A67" s="1408" t="s">
        <v>102</v>
      </c>
      <c r="B67" s="1409"/>
      <c r="C67" s="1410"/>
      <c r="D67" s="523" t="s">
        <v>187</v>
      </c>
      <c r="E67" s="514">
        <f>'17'!F67</f>
        <v>219352.23</v>
      </c>
      <c r="F67" s="478">
        <v>220090.11</v>
      </c>
      <c r="G67" s="473">
        <f t="shared" si="5"/>
        <v>737.87999999997555</v>
      </c>
      <c r="H67" s="460">
        <f>G67+'17'!H67</f>
        <v>12248.279999999999</v>
      </c>
      <c r="I67" s="489"/>
      <c r="J67" s="553">
        <f>H67/DAY(B2)</f>
        <v>680.45999999999992</v>
      </c>
      <c r="K67" s="429"/>
      <c r="L67" s="377"/>
      <c r="N67" s="723"/>
      <c r="O67" s="730"/>
      <c r="P67" s="382"/>
    </row>
    <row r="68" spans="1:16" ht="27.75">
      <c r="A68" s="1408" t="s">
        <v>103</v>
      </c>
      <c r="B68" s="1409"/>
      <c r="C68" s="1410"/>
      <c r="D68" s="523" t="s">
        <v>187</v>
      </c>
      <c r="E68" s="514">
        <f>'17'!F68</f>
        <v>78400.81</v>
      </c>
      <c r="F68" s="478">
        <v>78736.27</v>
      </c>
      <c r="G68" s="473">
        <f t="shared" si="5"/>
        <v>335.4600000000064</v>
      </c>
      <c r="H68" s="460">
        <f>G68+'17'!H68</f>
        <v>6057.75</v>
      </c>
      <c r="I68" s="516"/>
      <c r="J68" s="553">
        <f>H68/DAY(B2)</f>
        <v>336.54166666666669</v>
      </c>
      <c r="K68" s="430"/>
      <c r="L68" s="377"/>
      <c r="N68" s="723"/>
      <c r="O68" s="730"/>
      <c r="P68" s="382"/>
    </row>
    <row r="69" spans="1:16" ht="27.75">
      <c r="A69" s="1408" t="s">
        <v>104</v>
      </c>
      <c r="B69" s="1409"/>
      <c r="C69" s="1410"/>
      <c r="D69" s="523" t="s">
        <v>187</v>
      </c>
      <c r="E69" s="514">
        <f>'17'!F69</f>
        <v>69933.5</v>
      </c>
      <c r="F69" s="478">
        <v>70255.09</v>
      </c>
      <c r="G69" s="473">
        <f t="shared" si="5"/>
        <v>321.58999999999651</v>
      </c>
      <c r="H69" s="460">
        <f>G69+'17'!H69</f>
        <v>5803</v>
      </c>
      <c r="I69" s="516"/>
      <c r="J69" s="553">
        <f>H69/DAY(B2)</f>
        <v>322.38888888888891</v>
      </c>
      <c r="K69" s="431"/>
      <c r="L69" s="377"/>
      <c r="N69" s="723"/>
      <c r="O69" s="730"/>
      <c r="P69" s="382"/>
    </row>
    <row r="70" spans="1:16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723"/>
      <c r="O70" s="730"/>
      <c r="P70" s="382"/>
    </row>
    <row r="71" spans="1:16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723"/>
      <c r="O71" s="730"/>
      <c r="P71" s="382"/>
    </row>
    <row r="72" spans="1:16" ht="27.75">
      <c r="A72" s="1408" t="s">
        <v>191</v>
      </c>
      <c r="B72" s="1409"/>
      <c r="C72" s="1410"/>
      <c r="D72" s="523" t="s">
        <v>187</v>
      </c>
      <c r="E72" s="519">
        <f>'17'!F72</f>
        <v>852084</v>
      </c>
      <c r="F72" s="659">
        <v>852170</v>
      </c>
      <c r="G72" s="473">
        <f t="shared" ref="G72:G84" si="6">F72-E72</f>
        <v>86</v>
      </c>
      <c r="H72" s="460">
        <f>G72+'17'!H72</f>
        <v>1488</v>
      </c>
      <c r="I72" s="480"/>
      <c r="J72" s="553">
        <f>H72/DAY(B2)</f>
        <v>82.666666666666671</v>
      </c>
      <c r="K72" s="431"/>
      <c r="L72" s="377"/>
      <c r="N72" s="723"/>
      <c r="O72" s="730"/>
      <c r="P72" s="382"/>
    </row>
    <row r="73" spans="1:16" ht="27.75">
      <c r="A73" s="1408" t="s">
        <v>192</v>
      </c>
      <c r="B73" s="1409"/>
      <c r="C73" s="1410"/>
      <c r="D73" s="523" t="s">
        <v>187</v>
      </c>
      <c r="E73" s="519">
        <f>'17'!F73</f>
        <v>885777</v>
      </c>
      <c r="F73" s="660">
        <v>885778</v>
      </c>
      <c r="G73" s="657">
        <f t="shared" si="6"/>
        <v>1</v>
      </c>
      <c r="H73" s="460">
        <f>G73+'17'!H73</f>
        <v>1120</v>
      </c>
      <c r="I73" s="480"/>
      <c r="J73" s="553">
        <f>H73/DAY(B2)</f>
        <v>62.222222222222221</v>
      </c>
      <c r="K73" s="430"/>
      <c r="L73" s="377"/>
      <c r="N73" s="723"/>
      <c r="O73" s="730"/>
      <c r="P73" s="382"/>
    </row>
    <row r="74" spans="1:16" ht="27.75">
      <c r="A74" s="1408" t="s">
        <v>193</v>
      </c>
      <c r="B74" s="1409"/>
      <c r="C74" s="1410"/>
      <c r="D74" s="523" t="s">
        <v>187</v>
      </c>
      <c r="E74" s="519">
        <f>'17'!F74</f>
        <v>1062.95</v>
      </c>
      <c r="F74" s="660">
        <v>1083.04</v>
      </c>
      <c r="G74" s="473">
        <f t="shared" si="6"/>
        <v>20.089999999999918</v>
      </c>
      <c r="H74" s="460">
        <f>G74+'17'!H74</f>
        <v>496.87</v>
      </c>
      <c r="I74" s="480"/>
      <c r="J74" s="553">
        <f>H74/DAY(B2)</f>
        <v>27.603888888888889</v>
      </c>
      <c r="K74" s="431"/>
      <c r="L74" s="377"/>
      <c r="N74" s="723"/>
      <c r="O74" s="730"/>
      <c r="P74" s="382"/>
    </row>
    <row r="75" spans="1:16" ht="27.75">
      <c r="A75" s="1457" t="s">
        <v>194</v>
      </c>
      <c r="B75" s="1458"/>
      <c r="C75" s="1459"/>
      <c r="D75" s="523" t="s">
        <v>187</v>
      </c>
      <c r="E75" s="519">
        <f>'17'!F75</f>
        <v>6330.31</v>
      </c>
      <c r="F75" s="660">
        <v>6501.5</v>
      </c>
      <c r="G75" s="473">
        <f t="shared" si="6"/>
        <v>171.1899999999996</v>
      </c>
      <c r="H75" s="460">
        <f>G75+'17'!H75</f>
        <v>2982.28</v>
      </c>
      <c r="I75" s="480"/>
      <c r="J75" s="553">
        <f>H75/DAY(B2)</f>
        <v>165.68222222222224</v>
      </c>
      <c r="K75" s="430"/>
      <c r="L75" s="377"/>
      <c r="N75" s="723"/>
      <c r="O75" s="730"/>
      <c r="P75" s="382"/>
    </row>
    <row r="76" spans="1:16" ht="27.75">
      <c r="A76" s="1457" t="s">
        <v>195</v>
      </c>
      <c r="B76" s="1458"/>
      <c r="C76" s="1459"/>
      <c r="D76" s="523" t="s">
        <v>187</v>
      </c>
      <c r="E76" s="519">
        <f>'17'!F76</f>
        <v>2895.63</v>
      </c>
      <c r="F76" s="660">
        <v>2977.35</v>
      </c>
      <c r="G76" s="473">
        <f t="shared" si="6"/>
        <v>81.7199999999998</v>
      </c>
      <c r="H76" s="460">
        <f>G76+'17'!H76</f>
        <v>2502.13</v>
      </c>
      <c r="I76" s="505"/>
      <c r="J76" s="553">
        <f>H76/DAY(B2)</f>
        <v>139.00722222222223</v>
      </c>
      <c r="K76" s="430"/>
      <c r="L76" s="377"/>
      <c r="N76" s="723"/>
      <c r="O76" s="730"/>
      <c r="P76" s="382"/>
    </row>
    <row r="77" spans="1:16" ht="27.75">
      <c r="A77" s="1408" t="s">
        <v>196</v>
      </c>
      <c r="B77" s="1409"/>
      <c r="C77" s="1410"/>
      <c r="D77" s="523" t="s">
        <v>187</v>
      </c>
      <c r="E77" s="519">
        <f>'17'!F77</f>
        <v>699498</v>
      </c>
      <c r="F77" s="660">
        <v>699552</v>
      </c>
      <c r="G77" s="657">
        <f t="shared" si="6"/>
        <v>54</v>
      </c>
      <c r="H77" s="460">
        <f>G77+'17'!H77</f>
        <v>964</v>
      </c>
      <c r="I77" s="505"/>
      <c r="J77" s="553">
        <f>H77/DAY(B2)</f>
        <v>53.555555555555557</v>
      </c>
      <c r="K77" s="430"/>
      <c r="L77" s="377"/>
      <c r="N77" s="723"/>
      <c r="O77" s="730"/>
      <c r="P77" s="382"/>
    </row>
    <row r="78" spans="1:16" ht="27.75">
      <c r="A78" s="1336" t="s">
        <v>197</v>
      </c>
      <c r="B78" s="1329"/>
      <c r="C78" s="1329"/>
      <c r="D78" s="523" t="s">
        <v>187</v>
      </c>
      <c r="E78" s="519">
        <f>'17'!F78</f>
        <v>659709</v>
      </c>
      <c r="F78" s="661">
        <v>660174</v>
      </c>
      <c r="G78" s="473">
        <f t="shared" si="6"/>
        <v>465</v>
      </c>
      <c r="H78" s="460">
        <f>G78+'17'!H78</f>
        <v>7311</v>
      </c>
      <c r="I78" s="505"/>
      <c r="J78" s="553">
        <f>H78/DAY(B2)</f>
        <v>406.16666666666669</v>
      </c>
      <c r="K78" s="430"/>
      <c r="L78" s="377"/>
      <c r="N78" s="723"/>
      <c r="O78" s="730"/>
      <c r="P78" s="382"/>
    </row>
    <row r="79" spans="1:16" ht="27.75">
      <c r="A79" s="1457" t="s">
        <v>92</v>
      </c>
      <c r="B79" s="1458"/>
      <c r="C79" s="1459"/>
      <c r="D79" s="524" t="s">
        <v>187</v>
      </c>
      <c r="E79" s="519">
        <f>'17'!F79</f>
        <v>818601</v>
      </c>
      <c r="F79" s="661">
        <v>818800</v>
      </c>
      <c r="G79" s="473">
        <f t="shared" si="6"/>
        <v>199</v>
      </c>
      <c r="H79" s="460">
        <f>G79+'17'!H79</f>
        <v>6201</v>
      </c>
      <c r="I79" s="505"/>
      <c r="J79" s="553">
        <f>H79/DAY(B2)</f>
        <v>344.5</v>
      </c>
      <c r="K79" s="430"/>
      <c r="L79" s="377"/>
      <c r="N79" s="723"/>
      <c r="O79" s="730"/>
      <c r="P79" s="382"/>
    </row>
    <row r="80" spans="1:16" ht="27.75">
      <c r="A80" s="1457" t="s">
        <v>198</v>
      </c>
      <c r="B80" s="1458"/>
      <c r="C80" s="1459"/>
      <c r="D80" s="524" t="s">
        <v>187</v>
      </c>
      <c r="E80" s="519">
        <f>'17'!F80</f>
        <v>500703.16</v>
      </c>
      <c r="F80" s="660">
        <v>500959</v>
      </c>
      <c r="G80" s="473">
        <f t="shared" si="6"/>
        <v>255.84000000002561</v>
      </c>
      <c r="H80" s="460">
        <f>G80+'17'!H80</f>
        <v>4345</v>
      </c>
      <c r="I80" s="505"/>
      <c r="J80" s="553">
        <f>H80/DAY(B2)</f>
        <v>241.38888888888889</v>
      </c>
      <c r="K80" s="430"/>
      <c r="L80" s="377"/>
      <c r="N80" s="723"/>
      <c r="O80" s="730"/>
      <c r="P80" s="382"/>
    </row>
    <row r="81" spans="1:16" ht="27.75">
      <c r="A81" s="1457" t="s">
        <v>199</v>
      </c>
      <c r="B81" s="1458"/>
      <c r="C81" s="1459"/>
      <c r="D81" s="524" t="s">
        <v>187</v>
      </c>
      <c r="E81" s="519">
        <f>'17'!F81</f>
        <v>627779.96</v>
      </c>
      <c r="F81" s="660">
        <v>627909.04</v>
      </c>
      <c r="G81" s="473">
        <f t="shared" si="6"/>
        <v>129.08000000007451</v>
      </c>
      <c r="H81" s="460">
        <f>G81+'17'!H81</f>
        <v>1965.2000000000698</v>
      </c>
      <c r="I81" s="505"/>
      <c r="J81" s="553">
        <f>H81/DAY(B2)</f>
        <v>109.17777777778166</v>
      </c>
      <c r="K81" s="430"/>
      <c r="L81" s="377"/>
      <c r="N81" s="723"/>
      <c r="O81" s="730"/>
      <c r="P81" s="382"/>
    </row>
    <row r="82" spans="1:16" s="781" customFormat="1" ht="27.75">
      <c r="A82" s="1474" t="s">
        <v>93</v>
      </c>
      <c r="B82" s="1475"/>
      <c r="C82" s="1476"/>
      <c r="D82" s="627" t="s">
        <v>132</v>
      </c>
      <c r="E82" s="788">
        <f>'17'!F82</f>
        <v>106583.51</v>
      </c>
      <c r="F82" s="627">
        <v>106604.87</v>
      </c>
      <c r="G82" s="779">
        <f t="shared" si="6"/>
        <v>21.360000000000582</v>
      </c>
      <c r="H82" s="479">
        <f>G82+'17'!H82</f>
        <v>402.38999999999942</v>
      </c>
      <c r="I82" s="479"/>
      <c r="J82" s="780">
        <f>H82/DAY(B2)</f>
        <v>22.354999999999968</v>
      </c>
      <c r="K82" s="1224"/>
      <c r="L82" s="1225"/>
      <c r="N82" s="727"/>
      <c r="O82" s="731"/>
      <c r="P82" s="726"/>
    </row>
    <row r="83" spans="1:16" ht="27.75">
      <c r="A83" s="1457" t="s">
        <v>200</v>
      </c>
      <c r="B83" s="1458"/>
      <c r="C83" s="1459"/>
      <c r="D83" s="621" t="s">
        <v>132</v>
      </c>
      <c r="E83" s="519">
        <f>'17'!F83</f>
        <v>3166</v>
      </c>
      <c r="F83" s="511">
        <v>3405</v>
      </c>
      <c r="G83" s="473">
        <f t="shared" si="6"/>
        <v>239</v>
      </c>
      <c r="H83" s="460">
        <f>G83+'17'!H83</f>
        <v>6808</v>
      </c>
      <c r="I83" s="481"/>
      <c r="J83" s="553">
        <f>H83/DAY(B2)</f>
        <v>378.22222222222223</v>
      </c>
      <c r="K83" s="429"/>
      <c r="L83" s="377"/>
      <c r="N83" s="723"/>
      <c r="O83" s="730"/>
      <c r="P83" s="382"/>
    </row>
    <row r="84" spans="1:16">
      <c r="A84" s="1337" t="s">
        <v>201</v>
      </c>
      <c r="B84" s="572"/>
      <c r="C84" s="572"/>
      <c r="D84" s="478" t="s">
        <v>132</v>
      </c>
      <c r="E84" s="519">
        <f>'17'!F84</f>
        <v>444033</v>
      </c>
      <c r="F84" s="628">
        <v>444760</v>
      </c>
      <c r="G84" s="473">
        <f t="shared" si="6"/>
        <v>727</v>
      </c>
      <c r="H84" s="460">
        <f>G84+'17'!H84</f>
        <v>13962</v>
      </c>
      <c r="I84" s="481"/>
      <c r="J84" s="553">
        <f>H84/DAY(B2)</f>
        <v>775.66666666666663</v>
      </c>
      <c r="K84" s="380"/>
      <c r="L84" s="377"/>
      <c r="N84" s="723"/>
      <c r="O84" s="730"/>
      <c r="P84" s="382"/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2450.2800000000998</v>
      </c>
      <c r="H85" s="460">
        <f>G85+'17'!H85</f>
        <v>45889.73</v>
      </c>
      <c r="I85" s="481"/>
      <c r="J85" s="553">
        <f>H85/DAY(B2)</f>
        <v>2549.4294444444445</v>
      </c>
      <c r="K85" s="380"/>
      <c r="L85" s="378"/>
      <c r="N85" s="723"/>
      <c r="O85" s="730"/>
      <c r="P85" s="382"/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'17'!F86</f>
        <v>452448.68</v>
      </c>
      <c r="F86" s="652">
        <v>452597.24</v>
      </c>
      <c r="G86" s="710">
        <f t="shared" ref="G86:G90" si="7">F86-E86</f>
        <v>148.55999999999767</v>
      </c>
      <c r="H86" s="710">
        <f t="shared" ref="H86:H88" si="8">G86</f>
        <v>148.55999999999767</v>
      </c>
      <c r="I86" s="657"/>
      <c r="J86" s="712">
        <f>H86/DAY(B2)</f>
        <v>8.2533333333332042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'17'!F87</f>
        <v>79701.8</v>
      </c>
      <c r="F87" s="652">
        <v>79740.7</v>
      </c>
      <c r="G87" s="710">
        <f t="shared" si="7"/>
        <v>38.899999999994179</v>
      </c>
      <c r="H87" s="710">
        <f t="shared" si="8"/>
        <v>38.899999999994179</v>
      </c>
      <c r="I87" s="657"/>
      <c r="J87" s="712">
        <f>H87/DAY(B2)</f>
        <v>2.1611111111107877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'17'!F88</f>
        <v>149555.70000000001</v>
      </c>
      <c r="F88" s="652">
        <v>149638.23000000001</v>
      </c>
      <c r="G88" s="710">
        <f t="shared" si="7"/>
        <v>82.529999999998836</v>
      </c>
      <c r="H88" s="710">
        <f t="shared" si="8"/>
        <v>82.529999999998836</v>
      </c>
      <c r="I88" s="657"/>
      <c r="J88" s="712">
        <f>H88/DAY(B2)</f>
        <v>4.5849999999999351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'17'!F89</f>
        <v>62833.1</v>
      </c>
      <c r="F89" s="652">
        <v>62900</v>
      </c>
      <c r="G89" s="710">
        <f t="shared" si="7"/>
        <v>66.900000000001455</v>
      </c>
      <c r="H89" s="710">
        <f>G89</f>
        <v>66.900000000001455</v>
      </c>
      <c r="I89" s="657"/>
      <c r="J89" s="712">
        <f>H89/DAY(B2)</f>
        <v>3.7166666666667476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'17'!F90</f>
        <v>3234.6</v>
      </c>
      <c r="F90" s="652">
        <v>3238.7</v>
      </c>
      <c r="G90" s="710">
        <f t="shared" si="7"/>
        <v>4.0999999999999091</v>
      </c>
      <c r="H90" s="710">
        <f>G90</f>
        <v>4.0999999999999091</v>
      </c>
      <c r="I90" s="657"/>
      <c r="J90" s="712">
        <f>H90/DAY(B2)</f>
        <v>0.22777777777777272</v>
      </c>
      <c r="K90" s="738"/>
      <c r="L90" s="739"/>
      <c r="N90" s="783"/>
      <c r="O90" s="382"/>
    </row>
    <row r="91" spans="1:16" s="379" customFormat="1">
      <c r="A91" s="607" t="s">
        <v>205</v>
      </c>
      <c r="B91" s="1339"/>
      <c r="C91" s="1339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>
      <c r="A92" s="1411" t="s">
        <v>206</v>
      </c>
      <c r="B92" s="1412"/>
      <c r="C92" s="1413"/>
      <c r="D92" s="523" t="s">
        <v>144</v>
      </c>
      <c r="E92" s="484">
        <f>'17'!F92</f>
        <v>241291</v>
      </c>
      <c r="F92" s="478">
        <v>241350</v>
      </c>
      <c r="G92" s="473">
        <f t="shared" ref="G92:G93" si="9">F92-E92</f>
        <v>59</v>
      </c>
      <c r="H92" s="460">
        <f>G92+'17'!H92</f>
        <v>1655</v>
      </c>
      <c r="I92" s="480"/>
      <c r="J92" s="553">
        <f>H92/DAY(B2)</f>
        <v>91.944444444444443</v>
      </c>
      <c r="K92" s="429"/>
      <c r="L92" s="377"/>
      <c r="N92" s="723"/>
      <c r="O92" s="730"/>
      <c r="P92" s="382"/>
    </row>
    <row r="93" spans="1:16" ht="27.75">
      <c r="A93" s="1411"/>
      <c r="B93" s="1412"/>
      <c r="C93" s="1413"/>
      <c r="D93" s="523" t="s">
        <v>144</v>
      </c>
      <c r="E93" s="484">
        <f>'17'!F93</f>
        <v>177812</v>
      </c>
      <c r="F93" s="478">
        <v>177929</v>
      </c>
      <c r="G93" s="473">
        <f t="shared" si="9"/>
        <v>117</v>
      </c>
      <c r="H93" s="460">
        <f>G93+'17'!H93</f>
        <v>2268</v>
      </c>
      <c r="I93" s="480"/>
      <c r="J93" s="553">
        <f>H93/DAY(B2)</f>
        <v>126</v>
      </c>
      <c r="K93" s="380"/>
      <c r="L93" s="377"/>
      <c r="N93" s="723"/>
      <c r="O93" s="730"/>
      <c r="P93" s="382"/>
    </row>
    <row r="94" spans="1:16">
      <c r="A94" s="1405" t="s">
        <v>208</v>
      </c>
      <c r="B94" s="1406"/>
      <c r="C94" s="1407"/>
      <c r="D94" s="523"/>
      <c r="E94" s="484">
        <f>'17'!F94</f>
        <v>0</v>
      </c>
      <c r="F94" s="478"/>
      <c r="G94" s="473">
        <f>G92+G93</f>
        <v>176</v>
      </c>
      <c r="H94" s="460">
        <f>G94+'17'!H94</f>
        <v>3657</v>
      </c>
      <c r="I94" s="480"/>
      <c r="J94" s="553">
        <f>H94/DAY(B2)</f>
        <v>203.16666666666666</v>
      </c>
      <c r="K94" s="380"/>
      <c r="L94" s="377"/>
      <c r="N94" s="723"/>
      <c r="O94" s="730"/>
      <c r="P94" s="382"/>
    </row>
    <row r="95" spans="1:16" ht="27.75">
      <c r="A95" s="1411" t="s">
        <v>209</v>
      </c>
      <c r="B95" s="1412"/>
      <c r="C95" s="1413"/>
      <c r="D95" s="523" t="s">
        <v>144</v>
      </c>
      <c r="E95" s="484">
        <f>'17'!F95</f>
        <v>409614</v>
      </c>
      <c r="F95" s="478">
        <v>409685</v>
      </c>
      <c r="G95" s="473">
        <f t="shared" ref="G95:G100" si="10">F95-E95</f>
        <v>71</v>
      </c>
      <c r="H95" s="460">
        <f>G95+'17'!H95</f>
        <v>1529</v>
      </c>
      <c r="I95" s="480"/>
      <c r="J95" s="553">
        <f>H95/DAY(B2)</f>
        <v>84.944444444444443</v>
      </c>
      <c r="K95" s="380"/>
      <c r="L95" s="377"/>
      <c r="N95" s="723"/>
      <c r="O95" s="730"/>
      <c r="P95" s="382"/>
    </row>
    <row r="96" spans="1:16" ht="27.75">
      <c r="A96" s="1333" t="s">
        <v>210</v>
      </c>
      <c r="B96" s="1334"/>
      <c r="C96" s="1334"/>
      <c r="D96" s="523" t="s">
        <v>144</v>
      </c>
      <c r="E96" s="484">
        <f>'17'!F96</f>
        <v>101581</v>
      </c>
      <c r="F96" s="478">
        <v>101594</v>
      </c>
      <c r="G96" s="473">
        <f t="shared" si="10"/>
        <v>13</v>
      </c>
      <c r="H96" s="460">
        <f>G96+'17'!H96</f>
        <v>262</v>
      </c>
      <c r="I96" s="480"/>
      <c r="J96" s="553">
        <f>H96/DAY(B2)</f>
        <v>14.555555555555555</v>
      </c>
      <c r="K96" s="427"/>
      <c r="L96" s="377"/>
      <c r="N96" s="723"/>
      <c r="O96" s="730"/>
      <c r="P96" s="382"/>
    </row>
    <row r="97" spans="1:16" ht="27.75">
      <c r="A97" s="1333" t="s">
        <v>211</v>
      </c>
      <c r="B97" s="1334"/>
      <c r="C97" s="1334"/>
      <c r="D97" s="523" t="s">
        <v>144</v>
      </c>
      <c r="E97" s="484">
        <f>'17'!F97</f>
        <v>96632</v>
      </c>
      <c r="F97" s="478">
        <v>96645</v>
      </c>
      <c r="G97" s="473">
        <f t="shared" si="10"/>
        <v>13</v>
      </c>
      <c r="H97" s="460">
        <f>G97+'17'!H97</f>
        <v>196</v>
      </c>
      <c r="I97" s="480"/>
      <c r="J97" s="553">
        <f>H97/DAY(B2)</f>
        <v>10.888888888888889</v>
      </c>
      <c r="K97" s="432"/>
      <c r="L97" s="377"/>
      <c r="N97" s="723"/>
      <c r="O97" s="730"/>
      <c r="P97" s="382"/>
    </row>
    <row r="98" spans="1:16" ht="27.75">
      <c r="A98" s="1333" t="s">
        <v>212</v>
      </c>
      <c r="B98" s="1334"/>
      <c r="C98" s="1334"/>
      <c r="D98" s="523" t="s">
        <v>144</v>
      </c>
      <c r="E98" s="484">
        <f>'17'!F98</f>
        <v>148443</v>
      </c>
      <c r="F98" s="478">
        <v>148459</v>
      </c>
      <c r="G98" s="473">
        <f t="shared" si="10"/>
        <v>16</v>
      </c>
      <c r="H98" s="460">
        <f>G98+'17'!H98</f>
        <v>851</v>
      </c>
      <c r="I98" s="480"/>
      <c r="J98" s="553">
        <f>H98/DAY(B2)</f>
        <v>47.277777777777779</v>
      </c>
      <c r="K98" s="380"/>
      <c r="L98" s="377"/>
      <c r="N98" s="725"/>
      <c r="O98" s="730"/>
      <c r="P98" s="382"/>
    </row>
    <row r="99" spans="1:16" ht="27.75">
      <c r="A99" s="1333" t="s">
        <v>213</v>
      </c>
      <c r="B99" s="1334"/>
      <c r="C99" s="1334"/>
      <c r="D99" s="523" t="s">
        <v>144</v>
      </c>
      <c r="E99" s="484">
        <f>'17'!F99</f>
        <v>6654</v>
      </c>
      <c r="F99" s="478">
        <v>6659</v>
      </c>
      <c r="G99" s="473">
        <f t="shared" si="10"/>
        <v>5</v>
      </c>
      <c r="H99" s="460">
        <f>G99+'17'!H99</f>
        <v>251</v>
      </c>
      <c r="I99" s="480"/>
      <c r="J99" s="553">
        <f>H99/DAY(B2)</f>
        <v>13.944444444444445</v>
      </c>
      <c r="K99" s="380"/>
      <c r="L99" s="377"/>
      <c r="N99" s="723"/>
      <c r="O99" s="730"/>
      <c r="P99" s="382"/>
    </row>
    <row r="100" spans="1:16" ht="27.75">
      <c r="A100" s="1333" t="s">
        <v>214</v>
      </c>
      <c r="B100" s="1334"/>
      <c r="C100" s="1334"/>
      <c r="D100" s="523" t="s">
        <v>144</v>
      </c>
      <c r="E100" s="484">
        <f>'17'!F100</f>
        <v>4751</v>
      </c>
      <c r="F100" s="478">
        <v>4756</v>
      </c>
      <c r="G100" s="473">
        <f t="shared" si="10"/>
        <v>5</v>
      </c>
      <c r="H100" s="460">
        <f>G100+'17'!H100</f>
        <v>213</v>
      </c>
      <c r="I100" s="480"/>
      <c r="J100" s="553">
        <f>H100/DAY(B2)</f>
        <v>11.833333333333334</v>
      </c>
      <c r="K100" s="380"/>
      <c r="L100" s="377"/>
      <c r="N100" s="723"/>
      <c r="O100" s="730"/>
      <c r="P100" s="382"/>
    </row>
    <row r="101" spans="1:16">
      <c r="A101" s="1405" t="s">
        <v>216</v>
      </c>
      <c r="B101" s="1406"/>
      <c r="C101" s="1407"/>
      <c r="D101" s="524"/>
      <c r="E101" s="484"/>
      <c r="F101" s="524"/>
      <c r="G101" s="525">
        <f>SUM(G95:G100)</f>
        <v>123</v>
      </c>
      <c r="H101" s="460">
        <f>G101+'17'!H101</f>
        <v>3302</v>
      </c>
      <c r="I101" s="526"/>
      <c r="J101" s="553">
        <f>H101/DAY(B2)</f>
        <v>183.44444444444446</v>
      </c>
      <c r="K101" s="380"/>
      <c r="L101" s="377"/>
      <c r="N101" s="723"/>
      <c r="O101" s="730"/>
      <c r="P101" s="382"/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>
      <c r="A103" s="1414" t="s">
        <v>218</v>
      </c>
      <c r="B103" s="1415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>
      <c r="A104" s="1416" t="s">
        <v>219</v>
      </c>
      <c r="B104" s="1417"/>
      <c r="C104" s="1332"/>
      <c r="D104" s="623" t="s">
        <v>144</v>
      </c>
      <c r="E104" s="484">
        <f>'17'!F104</f>
        <v>7240</v>
      </c>
      <c r="F104" s="663">
        <v>7281</v>
      </c>
      <c r="G104" s="532">
        <f>F104-E104</f>
        <v>41</v>
      </c>
      <c r="H104" s="533">
        <f>SUM(G104+'1'!G76)</f>
        <v>120.15000000000009</v>
      </c>
      <c r="I104" s="532"/>
      <c r="J104" s="559">
        <f>H104/DAY(B2)</f>
        <v>6.6750000000000052</v>
      </c>
      <c r="N104" s="723"/>
      <c r="O104" s="730"/>
      <c r="P104" s="382"/>
    </row>
    <row r="105" spans="1:16" s="442" customFormat="1" ht="27.75">
      <c r="A105" s="1416" t="s">
        <v>77</v>
      </c>
      <c r="B105" s="1417"/>
      <c r="C105" s="1332"/>
      <c r="D105" s="623" t="s">
        <v>144</v>
      </c>
      <c r="E105" s="484">
        <f>'17'!F105</f>
        <v>35534</v>
      </c>
      <c r="F105" s="664">
        <v>35541</v>
      </c>
      <c r="G105" s="532">
        <f t="shared" ref="G105:G106" si="11">F105-E105</f>
        <v>7</v>
      </c>
      <c r="H105" s="533">
        <f>SUM(G105+'1'!G77)</f>
        <v>52</v>
      </c>
      <c r="I105" s="532"/>
      <c r="J105" s="559">
        <f>H105/DAY(B2)</f>
        <v>2.8888888888888888</v>
      </c>
      <c r="N105" s="723"/>
      <c r="O105" s="730"/>
      <c r="P105" s="382"/>
    </row>
    <row r="106" spans="1:16" s="442" customFormat="1" ht="27.75">
      <c r="A106" s="1416" t="s">
        <v>78</v>
      </c>
      <c r="B106" s="1418"/>
      <c r="C106" s="1417"/>
      <c r="D106" s="623" t="s">
        <v>144</v>
      </c>
      <c r="E106" s="484">
        <f>'17'!F106</f>
        <v>19340</v>
      </c>
      <c r="F106" s="664">
        <v>19345</v>
      </c>
      <c r="G106" s="532">
        <f t="shared" si="11"/>
        <v>5</v>
      </c>
      <c r="H106" s="533">
        <f>SUM(G106+'1'!G78)</f>
        <v>395</v>
      </c>
      <c r="I106" s="532"/>
      <c r="J106" s="559">
        <f>H106/DAY(B2)</f>
        <v>21.944444444444443</v>
      </c>
      <c r="N106" s="723"/>
      <c r="O106" s="730"/>
      <c r="P106" s="382"/>
    </row>
    <row r="107" spans="1:16" s="442" customFormat="1" ht="27.75">
      <c r="A107" s="1419" t="s">
        <v>202</v>
      </c>
      <c r="B107" s="1420"/>
      <c r="C107" s="1332"/>
      <c r="D107" s="623"/>
      <c r="E107" s="484">
        <f>'17'!F107</f>
        <v>0</v>
      </c>
      <c r="F107" s="664"/>
      <c r="G107" s="532">
        <f>SUM(G104:G106)</f>
        <v>53</v>
      </c>
      <c r="H107" s="533">
        <f>SUM(G107+'1'!G79)</f>
        <v>245</v>
      </c>
      <c r="I107" s="532"/>
      <c r="J107" s="559">
        <f>H107/DAY(B2)</f>
        <v>13.611111111111111</v>
      </c>
      <c r="N107" s="723"/>
      <c r="O107" s="730"/>
      <c r="P107" s="382"/>
    </row>
    <row r="108" spans="1:16" s="442" customFormat="1" ht="27.75">
      <c r="A108" s="1421" t="s">
        <v>79</v>
      </c>
      <c r="B108" s="1422"/>
      <c r="C108" s="1332"/>
      <c r="D108" s="623" t="s">
        <v>144</v>
      </c>
      <c r="E108" s="484">
        <f>'17'!F108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>
      <c r="A109" s="1416" t="s">
        <v>220</v>
      </c>
      <c r="B109" s="1417"/>
      <c r="C109" s="1332"/>
      <c r="D109" s="623" t="s">
        <v>144</v>
      </c>
      <c r="E109" s="484">
        <f>'17'!F109</f>
        <v>57641</v>
      </c>
      <c r="F109" s="664">
        <v>57717</v>
      </c>
      <c r="G109" s="532">
        <f>F109-E109</f>
        <v>76</v>
      </c>
      <c r="H109" s="533">
        <f>SUM(G109+'1'!G81)</f>
        <v>188.56000000005588</v>
      </c>
      <c r="I109" s="532"/>
      <c r="J109" s="559">
        <f>H109/DAY(B2)</f>
        <v>10.47555555555866</v>
      </c>
      <c r="N109" s="723"/>
      <c r="O109" s="730"/>
      <c r="P109" s="382"/>
    </row>
    <row r="110" spans="1:16" s="442" customFormat="1" ht="27.75">
      <c r="A110" s="1416" t="s">
        <v>221</v>
      </c>
      <c r="B110" s="1417"/>
      <c r="C110" s="1332"/>
      <c r="D110" s="623" t="s">
        <v>144</v>
      </c>
      <c r="E110" s="484">
        <f>'17'!F110</f>
        <v>31282</v>
      </c>
      <c r="F110" s="664">
        <v>31282</v>
      </c>
      <c r="G110" s="532">
        <f t="shared" ref="G110:G111" si="12">F110-E110</f>
        <v>0</v>
      </c>
      <c r="H110" s="533">
        <f>SUM(G110+'1'!G82)</f>
        <v>18.169999999998254</v>
      </c>
      <c r="I110" s="532"/>
      <c r="J110" s="559">
        <f>H110/DAY(B2)</f>
        <v>1.0094444444443473</v>
      </c>
      <c r="N110" s="723"/>
      <c r="O110" s="730"/>
      <c r="P110" s="382"/>
    </row>
    <row r="111" spans="1:16" s="442" customFormat="1" ht="27.75">
      <c r="A111" s="1416" t="s">
        <v>222</v>
      </c>
      <c r="B111" s="1417"/>
      <c r="C111" s="1332"/>
      <c r="D111" s="623" t="s">
        <v>144</v>
      </c>
      <c r="E111" s="484">
        <f>'17'!F111</f>
        <v>4084</v>
      </c>
      <c r="F111" s="664">
        <v>4084</v>
      </c>
      <c r="G111" s="532">
        <f t="shared" si="12"/>
        <v>0</v>
      </c>
      <c r="H111" s="533">
        <f>SUM(G111+'1'!G83)</f>
        <v>520</v>
      </c>
      <c r="I111" s="532"/>
      <c r="J111" s="559">
        <f>H111/DAY(B2)</f>
        <v>28.888888888888889</v>
      </c>
      <c r="N111" s="723"/>
      <c r="O111" s="730"/>
      <c r="P111" s="382"/>
    </row>
    <row r="112" spans="1:16" s="442" customFormat="1" ht="27.75">
      <c r="A112" s="1419" t="s">
        <v>110</v>
      </c>
      <c r="B112" s="1420"/>
      <c r="C112" s="1332"/>
      <c r="D112" s="623"/>
      <c r="E112" s="484">
        <f>'17'!F112</f>
        <v>0</v>
      </c>
      <c r="F112" s="664"/>
      <c r="G112" s="532">
        <f>SUM(G109:G111)</f>
        <v>76</v>
      </c>
      <c r="H112" s="533">
        <f>SUM(G112+'1'!G84)</f>
        <v>766</v>
      </c>
      <c r="I112" s="532"/>
      <c r="J112" s="559">
        <f>H112/DAY(B2)</f>
        <v>42.555555555555557</v>
      </c>
      <c r="N112" s="723"/>
      <c r="O112" s="730"/>
      <c r="P112" s="382"/>
    </row>
    <row r="113" spans="1:16" s="442" customFormat="1" ht="27.75">
      <c r="A113" s="1421" t="s">
        <v>223</v>
      </c>
      <c r="B113" s="1422"/>
      <c r="C113" s="1332"/>
      <c r="D113" s="623"/>
      <c r="E113" s="484">
        <f>'17'!F113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>
      <c r="A114" s="1416" t="s">
        <v>224</v>
      </c>
      <c r="B114" s="1417"/>
      <c r="C114" s="575"/>
      <c r="D114" s="623" t="s">
        <v>144</v>
      </c>
      <c r="E114" s="484">
        <f>'17'!F114</f>
        <v>10618</v>
      </c>
      <c r="F114" s="664">
        <v>10625</v>
      </c>
      <c r="G114" s="534">
        <f>F114-E114</f>
        <v>7</v>
      </c>
      <c r="H114" s="533">
        <f>SUM(G114+'1'!G91)</f>
        <v>7</v>
      </c>
      <c r="I114" s="532"/>
      <c r="J114" s="559">
        <f>H114/DAY(B2)</f>
        <v>0.3888888888888889</v>
      </c>
      <c r="N114" s="723"/>
      <c r="O114" s="730"/>
      <c r="P114" s="382"/>
    </row>
    <row r="115" spans="1:16" s="442" customFormat="1" ht="27.75">
      <c r="A115" s="1416" t="s">
        <v>225</v>
      </c>
      <c r="B115" s="1417"/>
      <c r="C115" s="575"/>
      <c r="D115" s="623" t="s">
        <v>144</v>
      </c>
      <c r="E115" s="484">
        <f>'17'!F115</f>
        <v>7831</v>
      </c>
      <c r="F115" s="664">
        <v>7837</v>
      </c>
      <c r="G115" s="534">
        <f t="shared" ref="G115:G116" si="13">F115-E115</f>
        <v>6</v>
      </c>
      <c r="H115" s="533">
        <f>SUM(G115+'1'!G92)</f>
        <v>128</v>
      </c>
      <c r="I115" s="532"/>
      <c r="J115" s="559">
        <f>H115/DAY(B2)</f>
        <v>7.1111111111111107</v>
      </c>
      <c r="N115" s="723"/>
      <c r="O115" s="730"/>
      <c r="P115" s="382"/>
    </row>
    <row r="116" spans="1:16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8</v>
      </c>
      <c r="N116" s="723"/>
      <c r="O116" s="730"/>
      <c r="P116" s="382"/>
    </row>
    <row r="117" spans="1:16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13</v>
      </c>
      <c r="H117" s="533">
        <f>SUM(G117+'1'!G95)</f>
        <v>89</v>
      </c>
      <c r="I117" s="534"/>
      <c r="J117" s="559">
        <f>H117/DAY(B2)</f>
        <v>4.9444444444444446</v>
      </c>
      <c r="N117" s="723"/>
      <c r="O117" s="730"/>
      <c r="P117" s="382"/>
    </row>
    <row r="118" spans="1:16" s="446" customFormat="1" ht="27.75">
      <c r="A118" s="1450" t="s">
        <v>227</v>
      </c>
      <c r="B118" s="1451"/>
      <c r="C118" s="1330"/>
      <c r="D118" s="625" t="s">
        <v>144</v>
      </c>
      <c r="E118" s="536"/>
      <c r="F118" s="665">
        <f>SUM(G19+G92)</f>
        <v>112</v>
      </c>
      <c r="G118" s="536">
        <f>SUM(G19+G92)</f>
        <v>112</v>
      </c>
      <c r="H118" s="533">
        <f>SUM(G118+'1'!G96)</f>
        <v>125</v>
      </c>
      <c r="I118" s="535"/>
      <c r="J118" s="560">
        <f>H118/DAY(B2)</f>
        <v>6.9444444444444446</v>
      </c>
      <c r="N118" s="723"/>
      <c r="O118" s="730"/>
      <c r="P118" s="382"/>
    </row>
    <row r="119" spans="1:16" s="446" customFormat="1" ht="27.75">
      <c r="A119" s="1450" t="s">
        <v>228</v>
      </c>
      <c r="B119" s="1451"/>
      <c r="C119" s="1330"/>
      <c r="D119" s="625" t="s">
        <v>144</v>
      </c>
      <c r="E119" s="536"/>
      <c r="F119" s="665">
        <f>SUM(G95,G96,G97,G99,G100)</f>
        <v>107</v>
      </c>
      <c r="G119" s="536">
        <f>SUM(G95,G96,G97,G99,G100)</f>
        <v>107</v>
      </c>
      <c r="H119" s="533">
        <f>SUM(G119+'1'!G98)</f>
        <v>177</v>
      </c>
      <c r="I119" s="535"/>
      <c r="J119" s="560">
        <f>H119/DAY(B2)</f>
        <v>9.8333333333333339</v>
      </c>
      <c r="N119" s="723"/>
      <c r="O119" s="730"/>
      <c r="P119" s="382"/>
    </row>
    <row r="120" spans="1:16" s="446" customFormat="1" ht="27.75">
      <c r="A120" s="1450" t="s">
        <v>229</v>
      </c>
      <c r="B120" s="1451"/>
      <c r="C120" s="1330"/>
      <c r="D120" s="625" t="s">
        <v>144</v>
      </c>
      <c r="E120" s="534"/>
      <c r="F120" s="664">
        <f>SUM(G112)</f>
        <v>76</v>
      </c>
      <c r="G120" s="534">
        <f>SUM(G112)</f>
        <v>76</v>
      </c>
      <c r="H120" s="533">
        <f>SUM(G120+'1'!G100)</f>
        <v>90</v>
      </c>
      <c r="I120" s="535"/>
      <c r="J120" s="560">
        <f>H120/DAY(B2)</f>
        <v>5</v>
      </c>
      <c r="N120" s="723"/>
      <c r="O120" s="730"/>
      <c r="P120" s="382"/>
    </row>
    <row r="121" spans="1:16" s="442" customFormat="1" ht="27.75">
      <c r="A121" s="1452"/>
      <c r="B121" s="1453"/>
      <c r="C121" s="1331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>
      <c r="A123" s="1333" t="s">
        <v>231</v>
      </c>
      <c r="B123" s="1334"/>
      <c r="C123" s="1334"/>
      <c r="D123" s="523" t="s">
        <v>141</v>
      </c>
      <c r="E123" s="478">
        <f>'17'!F123</f>
        <v>815257.01</v>
      </c>
      <c r="F123" s="478">
        <v>815518.29</v>
      </c>
      <c r="G123" s="473">
        <f t="shared" ref="G123:G127" si="14">F123-E123</f>
        <v>261.28000000002794</v>
      </c>
      <c r="H123" s="460">
        <f>G123+'17'!H123</f>
        <v>4511.4500000000698</v>
      </c>
      <c r="I123" s="526"/>
      <c r="J123" s="553">
        <f>H123/DAY(B2)</f>
        <v>250.63611111111499</v>
      </c>
      <c r="K123" s="380"/>
      <c r="L123" s="377"/>
      <c r="N123" s="723"/>
      <c r="O123" s="730"/>
      <c r="P123" s="382"/>
    </row>
    <row r="124" spans="1:16" ht="27.75">
      <c r="A124" s="1333" t="s">
        <v>232</v>
      </c>
      <c r="B124" s="1334"/>
      <c r="C124" s="1334"/>
      <c r="D124" s="523" t="s">
        <v>141</v>
      </c>
      <c r="E124" s="627">
        <f>'17'!F124</f>
        <v>73583.399999999994</v>
      </c>
      <c r="F124" s="627">
        <v>73583.399999999994</v>
      </c>
      <c r="G124" s="473">
        <f t="shared" si="14"/>
        <v>0</v>
      </c>
      <c r="H124" s="460">
        <f>G124+'17'!H124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>
      <c r="A125" s="1408" t="s">
        <v>233</v>
      </c>
      <c r="B125" s="1409"/>
      <c r="C125" s="1410"/>
      <c r="D125" s="523" t="s">
        <v>141</v>
      </c>
      <c r="E125" s="478">
        <f>'17'!F125</f>
        <v>141082.43</v>
      </c>
      <c r="F125" s="478">
        <v>141155.48000000001</v>
      </c>
      <c r="G125" s="473">
        <f t="shared" si="14"/>
        <v>73.050000000017462</v>
      </c>
      <c r="H125" s="460">
        <f>G125+'17'!H125</f>
        <v>1176.140000000014</v>
      </c>
      <c r="I125" s="526"/>
      <c r="J125" s="553">
        <f>H125/DAY(B2)</f>
        <v>65.341111111111886</v>
      </c>
      <c r="K125" s="380"/>
      <c r="L125" s="377"/>
      <c r="N125" s="723"/>
      <c r="O125" s="730"/>
      <c r="P125" s="382"/>
    </row>
    <row r="126" spans="1:16" ht="27.75">
      <c r="A126" s="610" t="s">
        <v>234</v>
      </c>
      <c r="B126" s="1334"/>
      <c r="C126" s="1334"/>
      <c r="D126" s="523" t="s">
        <v>141</v>
      </c>
      <c r="E126" s="627">
        <f>'17'!F126</f>
        <v>59695.8</v>
      </c>
      <c r="F126" s="627">
        <v>59712.3</v>
      </c>
      <c r="G126" s="473">
        <f t="shared" si="14"/>
        <v>16.5</v>
      </c>
      <c r="H126" s="460">
        <f>G126+'17'!H126</f>
        <v>405.40000000000146</v>
      </c>
      <c r="I126" s="526"/>
      <c r="J126" s="553">
        <f>H126/DAY(B2)</f>
        <v>22.522222222222304</v>
      </c>
      <c r="K126" s="380"/>
      <c r="L126" s="377"/>
      <c r="N126" s="723"/>
      <c r="O126" s="730"/>
      <c r="P126" s="382"/>
    </row>
    <row r="127" spans="1:16" ht="27.75">
      <c r="A127" s="610" t="s">
        <v>235</v>
      </c>
      <c r="B127" s="1334"/>
      <c r="C127" s="1334"/>
      <c r="D127" s="523" t="s">
        <v>141</v>
      </c>
      <c r="E127" s="627">
        <f>'17'!F127</f>
        <v>8930.9</v>
      </c>
      <c r="F127" s="627">
        <v>8932.2999999999993</v>
      </c>
      <c r="G127" s="473">
        <f t="shared" si="14"/>
        <v>1.3999999999996362</v>
      </c>
      <c r="H127" s="460">
        <f>G127+'17'!H127</f>
        <v>44.5</v>
      </c>
      <c r="I127" s="480"/>
      <c r="J127" s="553">
        <f>H127/DAY(B2)</f>
        <v>2.4722222222222223</v>
      </c>
      <c r="K127" s="380"/>
      <c r="L127" s="377"/>
      <c r="N127" s="723"/>
      <c r="O127" s="730"/>
      <c r="P127" s="382"/>
    </row>
    <row r="128" spans="1:16" s="281" customFormat="1" ht="27.75">
      <c r="A128" s="610" t="s">
        <v>236</v>
      </c>
      <c r="B128" s="1334"/>
      <c r="C128" s="1334"/>
      <c r="D128" s="523"/>
      <c r="E128" s="478"/>
      <c r="F128" s="478"/>
      <c r="G128" s="473">
        <f>G15-SUM(G123:G127)</f>
        <v>458.24499999981526</v>
      </c>
      <c r="H128" s="460">
        <f>G128+'17'!H128</f>
        <v>1427.474999999853</v>
      </c>
      <c r="I128" s="480"/>
      <c r="J128" s="553">
        <f>H128/DAY(B2)</f>
        <v>79.304166666658503</v>
      </c>
      <c r="K128" s="364"/>
      <c r="L128" s="292"/>
      <c r="N128" s="723"/>
      <c r="O128" s="730"/>
      <c r="P128" s="382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>
      <c r="A130" s="1333" t="s">
        <v>238</v>
      </c>
      <c r="B130" s="1334"/>
      <c r="C130" s="1334"/>
      <c r="D130" s="523" t="s">
        <v>239</v>
      </c>
      <c r="E130" s="484">
        <f>'17'!F130</f>
        <v>0</v>
      </c>
      <c r="F130" s="478">
        <v>0</v>
      </c>
      <c r="G130" s="473">
        <f t="shared" ref="G130:G140" si="15">F130-E130</f>
        <v>0</v>
      </c>
      <c r="H130" s="460">
        <f>G130+'17'!H130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>
      <c r="A131" s="1333" t="s">
        <v>240</v>
      </c>
      <c r="B131" s="1334"/>
      <c r="C131" s="1334"/>
      <c r="D131" s="523" t="s">
        <v>239</v>
      </c>
      <c r="E131" s="484">
        <f>'17'!F131</f>
        <v>0</v>
      </c>
      <c r="F131" s="478">
        <v>0</v>
      </c>
      <c r="G131" s="473">
        <f t="shared" si="15"/>
        <v>0</v>
      </c>
      <c r="H131" s="460">
        <f>G131+'17'!H131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>
      <c r="A132" s="1333" t="s">
        <v>241</v>
      </c>
      <c r="B132" s="1334"/>
      <c r="C132" s="1334"/>
      <c r="D132" s="523" t="s">
        <v>239</v>
      </c>
      <c r="E132" s="542">
        <f>'17'!F132</f>
        <v>39219</v>
      </c>
      <c r="F132" s="656">
        <v>39230.33</v>
      </c>
      <c r="G132" s="473">
        <v>2</v>
      </c>
      <c r="H132" s="460">
        <f>G132+'17'!H132</f>
        <v>392</v>
      </c>
      <c r="I132" s="480"/>
      <c r="J132" s="553">
        <f>H132/DAY(B2)</f>
        <v>21.777777777777779</v>
      </c>
      <c r="N132" s="723"/>
      <c r="O132" s="730"/>
      <c r="P132" s="382"/>
    </row>
    <row r="133" spans="1:16" ht="27.75">
      <c r="A133" s="1333" t="s">
        <v>242</v>
      </c>
      <c r="B133" s="1334"/>
      <c r="C133" s="1334"/>
      <c r="D133" s="523" t="s">
        <v>239</v>
      </c>
      <c r="E133" s="706">
        <f>'17'!F133</f>
        <v>299</v>
      </c>
      <c r="F133" s="627">
        <v>299</v>
      </c>
      <c r="G133" s="473">
        <f t="shared" si="15"/>
        <v>0</v>
      </c>
      <c r="H133" s="460">
        <f>G133+'17'!H133</f>
        <v>-1</v>
      </c>
      <c r="I133" s="480">
        <f>G130+G131+G132+G133</f>
        <v>2</v>
      </c>
      <c r="J133" s="553">
        <f>H133/DAY(B2)</f>
        <v>-5.5555555555555552E-2</v>
      </c>
      <c r="N133" s="723"/>
      <c r="O133" s="730"/>
      <c r="P133" s="382"/>
    </row>
    <row r="134" spans="1:16" ht="27.75">
      <c r="A134" s="1333" t="s">
        <v>243</v>
      </c>
      <c r="B134" s="1334"/>
      <c r="C134" s="1334"/>
      <c r="D134" s="523" t="s">
        <v>239</v>
      </c>
      <c r="E134" s="706">
        <f>'17'!F134</f>
        <v>40771.14</v>
      </c>
      <c r="F134" s="627">
        <v>40793.03</v>
      </c>
      <c r="G134" s="473">
        <f t="shared" si="15"/>
        <v>21.889999999999418</v>
      </c>
      <c r="H134" s="460">
        <f>G134+'17'!H134</f>
        <v>425.88999999999942</v>
      </c>
      <c r="I134" s="480"/>
      <c r="J134" s="553">
        <f>H134/DAY(B2)</f>
        <v>23.660555555555522</v>
      </c>
      <c r="N134" s="723"/>
      <c r="O134" s="730"/>
      <c r="P134" s="382"/>
    </row>
    <row r="135" spans="1:16" ht="27.75">
      <c r="A135" s="1333" t="s">
        <v>244</v>
      </c>
      <c r="B135" s="1334"/>
      <c r="C135" s="1334"/>
      <c r="D135" s="523" t="s">
        <v>239</v>
      </c>
      <c r="E135" s="542">
        <f>'17'!F135</f>
        <v>32582.92</v>
      </c>
      <c r="F135" s="656">
        <v>32582.92</v>
      </c>
      <c r="G135" s="473">
        <f t="shared" si="15"/>
        <v>0</v>
      </c>
      <c r="H135" s="460">
        <f>G135+'17'!H135</f>
        <v>11.919999999998254</v>
      </c>
      <c r="I135" s="480"/>
      <c r="J135" s="553">
        <f>H135/DAY(B2)</f>
        <v>0.66222222222212523</v>
      </c>
      <c r="N135" s="723"/>
      <c r="O135" s="730"/>
      <c r="P135" s="382"/>
    </row>
    <row r="136" spans="1:16" ht="27.75">
      <c r="A136" s="1333" t="s">
        <v>245</v>
      </c>
      <c r="B136" s="1334"/>
      <c r="C136" s="1334"/>
      <c r="D136" s="523" t="s">
        <v>239</v>
      </c>
      <c r="E136" s="542">
        <f>'17'!F136</f>
        <v>22366.75</v>
      </c>
      <c r="F136" s="656">
        <v>22373.31</v>
      </c>
      <c r="G136" s="473">
        <f t="shared" si="15"/>
        <v>6.5600000000013097</v>
      </c>
      <c r="H136" s="460">
        <f>G136+'17'!H136</f>
        <v>151.10000000000218</v>
      </c>
      <c r="I136" s="480">
        <f>G134+G135+G136</f>
        <v>28.450000000000728</v>
      </c>
      <c r="J136" s="553">
        <f>H136/DAY(B2)</f>
        <v>8.3944444444445665</v>
      </c>
      <c r="N136" s="723"/>
      <c r="O136" s="730"/>
      <c r="P136" s="382"/>
    </row>
    <row r="137" spans="1:16" ht="27.75">
      <c r="A137" s="1333" t="s">
        <v>246</v>
      </c>
      <c r="B137" s="1334"/>
      <c r="C137" s="1334"/>
      <c r="D137" s="523" t="s">
        <v>239</v>
      </c>
      <c r="E137" s="542">
        <f>'17'!F137</f>
        <v>25044.31</v>
      </c>
      <c r="F137" s="656">
        <v>25044.31</v>
      </c>
      <c r="G137" s="473">
        <f t="shared" si="15"/>
        <v>0</v>
      </c>
      <c r="H137" s="460">
        <f>G137+'17'!H137</f>
        <v>0</v>
      </c>
      <c r="I137" s="480"/>
      <c r="J137" s="553">
        <f>H137/DAY(B2)</f>
        <v>0</v>
      </c>
      <c r="N137" s="723"/>
      <c r="O137" s="730"/>
      <c r="P137" s="382"/>
    </row>
    <row r="138" spans="1:16" ht="27.75">
      <c r="A138" s="1333" t="s">
        <v>247</v>
      </c>
      <c r="B138" s="1334"/>
      <c r="C138" s="1334"/>
      <c r="D138" s="523" t="s">
        <v>239</v>
      </c>
      <c r="E138" s="542">
        <f>'17'!F138</f>
        <v>70218.17</v>
      </c>
      <c r="F138" s="656">
        <v>70223.350000000006</v>
      </c>
      <c r="G138" s="473">
        <f t="shared" si="15"/>
        <v>5.180000000007567</v>
      </c>
      <c r="H138" s="460">
        <f>G138+'17'!H138</f>
        <v>76.010000000009313</v>
      </c>
      <c r="I138" s="480">
        <f>G137+G138</f>
        <v>5.180000000007567</v>
      </c>
      <c r="J138" s="553">
        <f>H138/DAY(B2)</f>
        <v>4.2227777777782949</v>
      </c>
      <c r="N138" s="723"/>
      <c r="O138" s="730"/>
      <c r="P138" s="382"/>
    </row>
    <row r="139" spans="1:16" ht="27.75">
      <c r="A139" s="1333" t="s">
        <v>248</v>
      </c>
      <c r="B139" s="1334"/>
      <c r="C139" s="1334"/>
      <c r="D139" s="523" t="s">
        <v>239</v>
      </c>
      <c r="E139" s="706">
        <f>'17'!F139</f>
        <v>1536.52</v>
      </c>
      <c r="F139" s="627">
        <v>1536.52</v>
      </c>
      <c r="G139" s="473">
        <f t="shared" si="15"/>
        <v>0</v>
      </c>
      <c r="H139" s="460">
        <f>G139+'17'!H139</f>
        <v>113.37999999999988</v>
      </c>
      <c r="I139" s="543"/>
      <c r="J139" s="553">
        <f>H139/DAY(B2)</f>
        <v>6.2988888888888823</v>
      </c>
      <c r="N139" s="723"/>
      <c r="O139" s="730"/>
      <c r="P139" s="382"/>
    </row>
    <row r="140" spans="1:16" ht="27.75">
      <c r="A140" s="1333" t="s">
        <v>249</v>
      </c>
      <c r="B140" s="1334"/>
      <c r="C140" s="1334"/>
      <c r="D140" s="523" t="s">
        <v>239</v>
      </c>
      <c r="E140" s="484">
        <f>'17'!F140</f>
        <v>4344.43</v>
      </c>
      <c r="F140" s="478">
        <v>4353.2299999999996</v>
      </c>
      <c r="G140" s="473">
        <f t="shared" si="15"/>
        <v>8.7999999999992724</v>
      </c>
      <c r="H140" s="460">
        <f>G140+'17'!H140</f>
        <v>19.229999999999563</v>
      </c>
      <c r="I140" s="543"/>
      <c r="J140" s="553">
        <f>H140/DAY(B2)</f>
        <v>1.0683333333333092</v>
      </c>
      <c r="N140" s="723"/>
      <c r="O140" s="730"/>
      <c r="P140" s="382"/>
    </row>
    <row r="141" spans="1:16">
      <c r="A141" s="1446" t="s">
        <v>250</v>
      </c>
      <c r="B141" s="1447"/>
      <c r="C141" s="1339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6142</v>
      </c>
      <c r="H142" s="460">
        <f>G142+'17'!H142</f>
        <v>103606.68000000005</v>
      </c>
      <c r="I142" s="480"/>
      <c r="J142" s="553">
        <f>H142/DAY(B2)</f>
        <v>5755.9266666666699</v>
      </c>
      <c r="K142" s="380"/>
      <c r="L142" s="377"/>
      <c r="N142" s="723"/>
      <c r="O142" s="730"/>
      <c r="P142" s="382"/>
    </row>
    <row r="143" spans="1:16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0.26237771797172027</v>
      </c>
      <c r="H143" s="460">
        <f>G143+'17'!H143</f>
        <v>4.6577795089906173</v>
      </c>
      <c r="I143" s="545"/>
      <c r="J143" s="553">
        <f>H143/DAY(B2)</f>
        <v>0.25876552827725652</v>
      </c>
      <c r="K143" s="380"/>
      <c r="L143" s="377"/>
      <c r="N143" s="723"/>
      <c r="O143" s="730"/>
      <c r="P143" s="382"/>
    </row>
    <row r="144" spans="1:16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6598.2730000000229</v>
      </c>
      <c r="H144" s="460">
        <f>G144+'17'!H144</f>
        <v>95639.462999999989</v>
      </c>
      <c r="I144" s="480"/>
      <c r="J144" s="553">
        <f>H144/DAY(B2)</f>
        <v>5313.3034999999991</v>
      </c>
      <c r="K144" s="380"/>
      <c r="L144" s="377"/>
      <c r="N144" s="723"/>
      <c r="O144" s="730"/>
      <c r="P144" s="382"/>
    </row>
    <row r="145" spans="1:16" ht="27.75">
      <c r="A145" s="1411" t="s">
        <v>254</v>
      </c>
      <c r="B145" s="1412"/>
      <c r="C145" s="1413"/>
      <c r="D145" s="523" t="s">
        <v>24</v>
      </c>
      <c r="E145" s="455"/>
      <c r="F145" s="455" t="s">
        <v>277</v>
      </c>
      <c r="G145" s="544">
        <f>G144/G7</f>
        <v>0.28186906745269014</v>
      </c>
      <c r="H145" s="460">
        <f>G145+'17'!H145</f>
        <v>4.4651770137363771</v>
      </c>
      <c r="I145" s="545"/>
      <c r="J145" s="553">
        <f>H145/DAY(B2)</f>
        <v>0.24806538965202096</v>
      </c>
      <c r="K145" s="380"/>
      <c r="L145" s="377"/>
      <c r="N145" s="723"/>
      <c r="O145" s="730"/>
      <c r="P145" s="382"/>
    </row>
    <row r="146" spans="1:16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4365.3999999999651</v>
      </c>
      <c r="H146" s="460">
        <f>G146+'17'!H146</f>
        <v>176198.93</v>
      </c>
      <c r="I146" s="546"/>
      <c r="J146" s="553">
        <f>H146/DAY(B2)</f>
        <v>9788.8294444444437</v>
      </c>
      <c r="K146" s="380"/>
      <c r="L146" s="377"/>
      <c r="N146" s="723"/>
      <c r="O146" s="730"/>
      <c r="P146" s="382"/>
    </row>
    <row r="147" spans="1:16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0.18648383100516747</v>
      </c>
      <c r="H147" s="460">
        <f>G147+'17'!H147</f>
        <v>8.4723590878204345</v>
      </c>
      <c r="I147" s="546"/>
      <c r="J147" s="553">
        <f>H147/DAY(B2)</f>
        <v>0.47068661599002415</v>
      </c>
      <c r="N147" s="723"/>
      <c r="O147" s="730"/>
      <c r="P147" s="382"/>
    </row>
    <row r="148" spans="1:16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1769.359999999986</v>
      </c>
      <c r="H148" s="460">
        <f>G148+'17'!H148</f>
        <v>36114.789999999972</v>
      </c>
      <c r="I148" s="480"/>
      <c r="J148" s="553">
        <f>H148/DAY(B2)</f>
        <v>2006.3772222222206</v>
      </c>
      <c r="K148" s="381"/>
      <c r="N148" s="723"/>
      <c r="O148" s="730"/>
      <c r="P148" s="382"/>
    </row>
    <row r="149" spans="1:16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7.5584604212054596E-2</v>
      </c>
      <c r="H149" s="460">
        <f>G149+'17'!H149</f>
        <v>1.6902150889837122</v>
      </c>
      <c r="I149" s="546"/>
      <c r="J149" s="553">
        <f>H149/DAY(B2)</f>
        <v>9.39008382768729E-2</v>
      </c>
      <c r="N149" s="723"/>
      <c r="O149" s="730"/>
      <c r="P149" s="382"/>
    </row>
    <row r="150" spans="1:16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2357.2300000000396</v>
      </c>
      <c r="H150" s="460">
        <f>G150+'17'!H150</f>
        <v>33771.789999999979</v>
      </c>
      <c r="I150" s="546"/>
      <c r="J150" s="553">
        <f>H150/DAY(B2)</f>
        <v>1876.2105555555545</v>
      </c>
      <c r="N150" s="723"/>
      <c r="O150" s="730"/>
      <c r="P150" s="382"/>
    </row>
    <row r="151" spans="1:16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0.10069759494211797</v>
      </c>
      <c r="H151" s="460">
        <f>G151+'17'!H151</f>
        <v>1.5753583545724186</v>
      </c>
      <c r="I151" s="480"/>
      <c r="J151" s="553">
        <f>H151/DAY(B2)</f>
        <v>8.7519908587356587E-2</v>
      </c>
      <c r="N151" s="723"/>
      <c r="O151" s="730"/>
      <c r="P151" s="382"/>
    </row>
    <row r="152" spans="1:16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1640.260000000002</v>
      </c>
      <c r="H152" s="460">
        <f>G152+'17'!H152</f>
        <v>62778.719999999994</v>
      </c>
      <c r="I152" s="480"/>
      <c r="J152" s="553">
        <f>H152/DAY(B2)</f>
        <v>3487.7066666666665</v>
      </c>
      <c r="N152" s="723"/>
      <c r="O152" s="730"/>
      <c r="P152" s="382"/>
    </row>
    <row r="153" spans="1:16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7.0069631338374211E-2</v>
      </c>
      <c r="H153" s="460">
        <f>G153+'17'!H153</f>
        <v>3.0182640841853225</v>
      </c>
      <c r="I153" s="569"/>
      <c r="J153" s="570">
        <f>H153/DAY(B2)</f>
        <v>0.16768133801029569</v>
      </c>
      <c r="N153" s="723"/>
      <c r="O153" s="730"/>
      <c r="P153" s="382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800" t="s">
        <v>263</v>
      </c>
      <c r="B160" s="801"/>
      <c r="C160" s="801"/>
      <c r="D160" s="621" t="s">
        <v>187</v>
      </c>
      <c r="E160" s="522">
        <f>'17'!F160</f>
        <v>32243.46</v>
      </c>
      <c r="F160" s="809">
        <v>32330.94</v>
      </c>
      <c r="G160" s="473">
        <f t="shared" ref="G160:G165" si="16">F160-E160</f>
        <v>87.479999999999563</v>
      </c>
      <c r="N160" s="723"/>
    </row>
    <row r="161" spans="1:14">
      <c r="A161" s="800" t="s">
        <v>264</v>
      </c>
      <c r="B161" s="801"/>
      <c r="C161" s="801"/>
      <c r="D161" s="621" t="s">
        <v>187</v>
      </c>
      <c r="E161" s="522">
        <f>'17'!F161</f>
        <v>62723.81</v>
      </c>
      <c r="F161" s="809">
        <v>63163.163</v>
      </c>
      <c r="G161" s="473">
        <f t="shared" si="16"/>
        <v>439.35300000000279</v>
      </c>
      <c r="N161" s="723"/>
    </row>
    <row r="162" spans="1:14">
      <c r="A162" s="800" t="s">
        <v>265</v>
      </c>
      <c r="B162" s="801"/>
      <c r="C162" s="801"/>
      <c r="D162" s="621" t="s">
        <v>187</v>
      </c>
      <c r="E162" s="522">
        <f>'17'!F162</f>
        <v>25337.13</v>
      </c>
      <c r="F162" s="789">
        <v>25627.64</v>
      </c>
      <c r="G162" s="473">
        <f t="shared" si="16"/>
        <v>290.5099999999984</v>
      </c>
      <c r="N162" s="723"/>
    </row>
    <row r="163" spans="1:14">
      <c r="A163" s="800" t="s">
        <v>266</v>
      </c>
      <c r="B163" s="801"/>
      <c r="C163" s="801"/>
      <c r="D163" s="621" t="s">
        <v>187</v>
      </c>
      <c r="E163" s="522">
        <f>'17'!F163</f>
        <v>5616</v>
      </c>
      <c r="F163" s="809">
        <v>5629.77</v>
      </c>
      <c r="G163" s="473">
        <f t="shared" si="16"/>
        <v>13.770000000000437</v>
      </c>
      <c r="N163" s="723"/>
    </row>
    <row r="164" spans="1:14">
      <c r="A164" s="802" t="s">
        <v>98</v>
      </c>
      <c r="B164" s="803"/>
      <c r="C164" s="803"/>
      <c r="D164" s="621" t="s">
        <v>187</v>
      </c>
      <c r="E164" s="522">
        <f>E62</f>
        <v>20419.18</v>
      </c>
      <c r="F164" s="514">
        <v>20419</v>
      </c>
      <c r="G164" s="473">
        <f t="shared" si="16"/>
        <v>-0.18000000000029104</v>
      </c>
      <c r="N164" s="723"/>
    </row>
    <row r="165" spans="1:14">
      <c r="A165" s="802" t="s">
        <v>188</v>
      </c>
      <c r="B165" s="803"/>
      <c r="C165" s="803"/>
      <c r="D165" s="621" t="s">
        <v>187</v>
      </c>
      <c r="E165" s="522">
        <f t="shared" ref="E165:F171" si="17">E63</f>
        <v>1934.1</v>
      </c>
      <c r="F165" s="514">
        <f>F63</f>
        <v>1946.58</v>
      </c>
      <c r="G165" s="473">
        <f t="shared" si="16"/>
        <v>12.480000000000018</v>
      </c>
      <c r="N165" s="723"/>
    </row>
    <row r="166" spans="1:14" ht="27.75">
      <c r="A166" s="1470" t="s">
        <v>99</v>
      </c>
      <c r="B166" s="1470"/>
      <c r="C166" s="1470"/>
      <c r="D166" s="524" t="s">
        <v>187</v>
      </c>
      <c r="E166" s="522">
        <f t="shared" si="17"/>
        <v>132346.76</v>
      </c>
      <c r="F166" s="514">
        <f t="shared" si="17"/>
        <v>132862.85</v>
      </c>
      <c r="G166" s="473">
        <f>F64-E64</f>
        <v>516.08999999999651</v>
      </c>
      <c r="N166" s="723"/>
    </row>
    <row r="167" spans="1:14" ht="27.75">
      <c r="A167" s="1470" t="s">
        <v>100</v>
      </c>
      <c r="B167" s="1470"/>
      <c r="C167" s="1470"/>
      <c r="D167" s="524" t="s">
        <v>187</v>
      </c>
      <c r="E167" s="522">
        <f t="shared" si="17"/>
        <v>138932.74</v>
      </c>
      <c r="F167" s="514">
        <f t="shared" si="17"/>
        <v>139317.76999999999</v>
      </c>
      <c r="G167" s="473">
        <f t="shared" ref="G167:G171" si="18">F65-E65</f>
        <v>385.02999999999884</v>
      </c>
      <c r="N167" s="723"/>
    </row>
    <row r="168" spans="1:14" ht="27.75">
      <c r="A168" s="1470" t="s">
        <v>101</v>
      </c>
      <c r="B168" s="1470"/>
      <c r="C168" s="1470"/>
      <c r="D168" s="524" t="s">
        <v>187</v>
      </c>
      <c r="E168" s="522">
        <f t="shared" si="17"/>
        <v>31699.43</v>
      </c>
      <c r="F168" s="514">
        <f t="shared" si="17"/>
        <v>32100.9</v>
      </c>
      <c r="G168" s="473">
        <f t="shared" si="18"/>
        <v>401.47000000000116</v>
      </c>
      <c r="N168" s="723"/>
    </row>
    <row r="169" spans="1:14" ht="27.75">
      <c r="A169" s="1470" t="s">
        <v>102</v>
      </c>
      <c r="B169" s="1470"/>
      <c r="C169" s="1470"/>
      <c r="D169" s="524" t="s">
        <v>187</v>
      </c>
      <c r="E169" s="522">
        <f t="shared" si="17"/>
        <v>219352.23</v>
      </c>
      <c r="F169" s="514">
        <f t="shared" si="17"/>
        <v>220090.11</v>
      </c>
      <c r="G169" s="473">
        <f t="shared" si="18"/>
        <v>737.87999999997555</v>
      </c>
      <c r="N169" s="723"/>
    </row>
    <row r="170" spans="1:14" ht="27.75">
      <c r="A170" s="1470" t="s">
        <v>103</v>
      </c>
      <c r="B170" s="1470"/>
      <c r="C170" s="1470"/>
      <c r="D170" s="524" t="s">
        <v>187</v>
      </c>
      <c r="E170" s="522">
        <f t="shared" si="17"/>
        <v>78400.81</v>
      </c>
      <c r="F170" s="514">
        <f t="shared" si="17"/>
        <v>78736.27</v>
      </c>
      <c r="G170" s="473">
        <f t="shared" si="18"/>
        <v>335.4600000000064</v>
      </c>
      <c r="N170" s="723"/>
    </row>
    <row r="171" spans="1:14" ht="27.75">
      <c r="A171" s="1470" t="s">
        <v>104</v>
      </c>
      <c r="B171" s="1470"/>
      <c r="C171" s="1470"/>
      <c r="D171" s="524" t="s">
        <v>187</v>
      </c>
      <c r="E171" s="522">
        <f t="shared" si="17"/>
        <v>69933.5</v>
      </c>
      <c r="F171" s="514">
        <f t="shared" si="17"/>
        <v>70255.09</v>
      </c>
      <c r="G171" s="473">
        <f t="shared" si="18"/>
        <v>321.58999999999651</v>
      </c>
      <c r="N171" s="723"/>
    </row>
    <row r="172" spans="1:14">
      <c r="A172" s="804"/>
      <c r="B172" s="805"/>
      <c r="C172" s="805"/>
      <c r="D172" s="806"/>
      <c r="E172" s="806"/>
      <c r="F172" s="807"/>
      <c r="G172" s="808">
        <f>SUM(G160:G171)</f>
        <v>3540.9329999999759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>
      <c r="N176" s="723"/>
    </row>
    <row r="177" spans="14:14" ht="18.75" customHeight="1">
      <c r="N177" s="723"/>
    </row>
    <row r="178" spans="14:14" ht="23.25" customHeight="1">
      <c r="N178" s="723"/>
    </row>
    <row r="179" spans="14:14" ht="23.25" customHeight="1">
      <c r="N179" s="723"/>
    </row>
    <row r="180" spans="14:14" ht="23.25" customHeight="1">
      <c r="N180" s="723"/>
    </row>
    <row r="181" spans="14:14" ht="23.25" customHeight="1">
      <c r="N181" s="723"/>
    </row>
    <row r="182" spans="14:14" ht="23.25" customHeight="1">
      <c r="N182" s="723"/>
    </row>
    <row r="183" spans="14:14" ht="23.25" customHeight="1">
      <c r="N183" s="723"/>
    </row>
    <row r="184" spans="14:14" ht="23.25" customHeight="1">
      <c r="N184" s="723"/>
    </row>
    <row r="185" spans="14:14" ht="23.25" customHeight="1">
      <c r="N185" s="723"/>
    </row>
    <row r="186" spans="14:14" ht="23.25" customHeight="1">
      <c r="N186" s="723"/>
    </row>
    <row r="187" spans="14:14" ht="23.25" customHeight="1">
      <c r="N187" s="723"/>
    </row>
    <row r="188" spans="14:14" ht="23.25" customHeight="1">
      <c r="N188" s="723"/>
    </row>
    <row r="189" spans="14:14" ht="23.25" customHeight="1">
      <c r="N189" s="723"/>
    </row>
    <row r="190" spans="14:14" ht="23.25" customHeight="1">
      <c r="N190" s="723"/>
    </row>
    <row r="191" spans="14:14" ht="23.25" customHeight="1">
      <c r="N191" s="723"/>
    </row>
    <row r="192" spans="14:14" ht="23.25" customHeight="1">
      <c r="N192" s="723"/>
    </row>
    <row r="193" spans="14:14" ht="23.25" customHeight="1">
      <c r="N193" s="723"/>
    </row>
    <row r="194" spans="14:14" ht="23.25" customHeight="1">
      <c r="N194" s="723"/>
    </row>
    <row r="195" spans="14:14" ht="23.25" customHeight="1">
      <c r="N195" s="723"/>
    </row>
    <row r="196" spans="14:14" ht="23.25" customHeight="1">
      <c r="N196" s="723"/>
    </row>
    <row r="197" spans="14:14" ht="23.25" customHeight="1">
      <c r="N197" s="723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52" zoomScale="55" zoomScaleNormal="40" zoomScaleSheetLayoutView="55" zoomScalePageLayoutView="60" workbookViewId="0">
      <selection activeCell="F76" sqref="F76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5" s="281" customFormat="1" ht="27">
      <c r="A2" s="576" t="s">
        <v>354</v>
      </c>
      <c r="B2" s="1038">
        <v>44274</v>
      </c>
      <c r="C2" s="1150" t="s">
        <v>69</v>
      </c>
      <c r="D2" s="612">
        <v>0.65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150" t="s">
        <v>120</v>
      </c>
      <c r="D3" s="613">
        <v>28</v>
      </c>
      <c r="E3" s="1432" t="s">
        <v>121</v>
      </c>
      <c r="F3" s="1433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150" t="s">
        <v>122</v>
      </c>
      <c r="D4" s="612">
        <v>0.75</v>
      </c>
      <c r="E4" s="464"/>
      <c r="F4" s="464"/>
      <c r="G4" s="464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30" thickBot="1">
      <c r="A7" s="579" t="s">
        <v>131</v>
      </c>
      <c r="B7" s="580"/>
      <c r="C7" s="580"/>
      <c r="D7" s="523" t="s">
        <v>132</v>
      </c>
      <c r="E7" s="455">
        <f>'18'!F7</f>
        <v>4829938</v>
      </c>
      <c r="F7" s="455">
        <v>4849749</v>
      </c>
      <c r="G7" s="473">
        <f>F7-E7</f>
        <v>19811</v>
      </c>
      <c r="H7" s="460">
        <f>G7+'18'!H7</f>
        <v>404672</v>
      </c>
      <c r="I7" s="474">
        <f>'1'!I7</f>
        <v>12000</v>
      </c>
      <c r="J7" s="553">
        <f>H7/DAY(B2)</f>
        <v>21298.526315789473</v>
      </c>
      <c r="K7" s="550"/>
      <c r="L7" s="377"/>
      <c r="N7" s="382"/>
      <c r="O7" s="382"/>
    </row>
    <row r="8" spans="1:15" ht="27.75" thickBot="1">
      <c r="A8" s="581" t="s">
        <v>133</v>
      </c>
      <c r="B8" s="582"/>
      <c r="C8" s="583"/>
      <c r="D8" s="618" t="s">
        <v>25</v>
      </c>
      <c r="E8" s="475">
        <f>'18'!F8</f>
        <v>4860125</v>
      </c>
      <c r="F8" s="475">
        <v>4880011</v>
      </c>
      <c r="G8" s="476">
        <f>F8-E8</f>
        <v>19886</v>
      </c>
      <c r="H8" s="460">
        <f>G8+'18'!H8</f>
        <v>406855</v>
      </c>
      <c r="I8" s="477">
        <f>'1'!I8</f>
        <v>12000</v>
      </c>
      <c r="J8" s="553">
        <f>H8/DAY(B2)</f>
        <v>21413.42105263158</v>
      </c>
      <c r="K8" s="550"/>
      <c r="L8" s="425"/>
      <c r="M8" s="440"/>
      <c r="N8" s="382"/>
      <c r="O8" s="382"/>
    </row>
    <row r="9" spans="1:15">
      <c r="A9" s="584" t="s">
        <v>134</v>
      </c>
      <c r="B9" s="585"/>
      <c r="C9" s="585"/>
      <c r="D9" s="523" t="s">
        <v>132</v>
      </c>
      <c r="E9" s="478">
        <f>'18'!F9</f>
        <v>124353.81</v>
      </c>
      <c r="F9" s="1340">
        <v>141182.67000000001</v>
      </c>
      <c r="G9" s="473">
        <f t="shared" ref="G9:G12" si="0">F9-E9</f>
        <v>16828.860000000015</v>
      </c>
      <c r="H9" s="460">
        <f>G9+'18'!H9</f>
        <v>54273.660000000018</v>
      </c>
      <c r="I9" s="479">
        <f>I8-J8</f>
        <v>-9413.4210526315801</v>
      </c>
      <c r="J9" s="553">
        <f>H9/DAY(B2)</f>
        <v>2856.5084210526325</v>
      </c>
      <c r="K9" s="428"/>
      <c r="L9" s="377"/>
      <c r="N9" s="382"/>
      <c r="O9" s="382"/>
    </row>
    <row r="10" spans="1:15">
      <c r="A10" s="579" t="s">
        <v>135</v>
      </c>
      <c r="B10" s="580"/>
      <c r="C10" s="580"/>
      <c r="D10" s="523" t="s">
        <v>132</v>
      </c>
      <c r="E10" s="478">
        <f>'18'!F10</f>
        <v>359677.67</v>
      </c>
      <c r="F10" s="478">
        <v>1245.6199999999999</v>
      </c>
      <c r="G10" s="473">
        <v>0</v>
      </c>
      <c r="H10" s="460">
        <f>G10+'18'!H10</f>
        <v>333982.11</v>
      </c>
      <c r="I10" s="480"/>
      <c r="J10" s="553">
        <f>H10/DAY(B2)</f>
        <v>17578.005789473682</v>
      </c>
      <c r="K10" s="428"/>
      <c r="L10" s="377"/>
      <c r="N10" s="382"/>
      <c r="O10" s="382"/>
    </row>
    <row r="11" spans="1:15">
      <c r="A11" s="579" t="s">
        <v>136</v>
      </c>
      <c r="B11" s="580"/>
      <c r="C11" s="580"/>
      <c r="D11" s="523" t="s">
        <v>132</v>
      </c>
      <c r="E11" s="455">
        <f>'18'!F11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>
      <c r="A12" s="579" t="s">
        <v>137</v>
      </c>
      <c r="B12" s="580"/>
      <c r="C12" s="580"/>
      <c r="D12" s="523" t="s">
        <v>132</v>
      </c>
      <c r="E12" s="478">
        <f>'18'!F12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>
      <c r="A13" s="586" t="s">
        <v>138</v>
      </c>
      <c r="B13" s="587"/>
      <c r="C13" s="587"/>
      <c r="D13" s="523"/>
      <c r="E13" s="455"/>
      <c r="F13" s="455"/>
      <c r="G13" s="481">
        <f>G9+G10+G11+G12</f>
        <v>16828.860000000015</v>
      </c>
      <c r="H13" s="460">
        <f>G13+'18'!H13</f>
        <v>367261.77</v>
      </c>
      <c r="I13" s="482">
        <f>G7-G13</f>
        <v>2982.1399999999849</v>
      </c>
      <c r="J13" s="553">
        <f>H13/DAY(B2)</f>
        <v>19329.566842105265</v>
      </c>
      <c r="K13" s="428"/>
      <c r="L13" s="377"/>
      <c r="N13" s="382"/>
      <c r="O13" s="382"/>
    </row>
    <row r="14" spans="1:15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N14" s="382"/>
      <c r="O14" s="382"/>
    </row>
    <row r="15" spans="1:15">
      <c r="A15" s="1148" t="s">
        <v>140</v>
      </c>
      <c r="B15" s="590"/>
      <c r="C15" s="590"/>
      <c r="D15" s="523" t="s">
        <v>141</v>
      </c>
      <c r="E15" s="484">
        <f>'18'!F15</f>
        <v>1635310.004</v>
      </c>
      <c r="F15" s="484">
        <v>1636116.66</v>
      </c>
      <c r="G15" s="785">
        <f>(F15-E15)</f>
        <v>806.65599999995902</v>
      </c>
      <c r="H15" s="460">
        <f>G15+'18'!H15</f>
        <v>16238.049999999814</v>
      </c>
      <c r="I15" s="474">
        <v>800</v>
      </c>
      <c r="J15" s="553">
        <f>H15/DAY(B2)</f>
        <v>854.63421052630599</v>
      </c>
      <c r="K15" s="428"/>
      <c r="L15" s="377"/>
      <c r="N15" s="382"/>
      <c r="O15" s="726"/>
    </row>
    <row r="16" spans="1:15">
      <c r="A16" s="588"/>
      <c r="B16" s="589"/>
      <c r="C16" s="589"/>
      <c r="D16" s="524"/>
      <c r="E16" s="485"/>
      <c r="F16" s="485"/>
      <c r="G16" s="473"/>
      <c r="H16" s="486"/>
      <c r="I16" s="487">
        <f>I15-J15</f>
        <v>-54.634210526305992</v>
      </c>
      <c r="J16" s="554"/>
      <c r="K16" s="428"/>
      <c r="L16" s="377"/>
      <c r="N16" s="382"/>
      <c r="O16" s="382"/>
    </row>
    <row r="17" spans="1:15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382"/>
      <c r="O17" s="382"/>
    </row>
    <row r="18" spans="1:15" ht="27.75">
      <c r="A18" s="1411" t="s">
        <v>143</v>
      </c>
      <c r="B18" s="1412"/>
      <c r="C18" s="1413"/>
      <c r="D18" s="523" t="s">
        <v>144</v>
      </c>
      <c r="E18" s="484">
        <f>'18'!F18</f>
        <v>8</v>
      </c>
      <c r="F18" s="484">
        <v>12</v>
      </c>
      <c r="G18" s="481">
        <f>F18*10</f>
        <v>120</v>
      </c>
      <c r="H18" s="460">
        <f>G18+'18'!H18</f>
        <v>2540</v>
      </c>
      <c r="I18" s="474">
        <f>'1'!I18</f>
        <v>65</v>
      </c>
      <c r="J18" s="553">
        <f>H18/DAY(B2)</f>
        <v>133.68421052631578</v>
      </c>
      <c r="K18" s="428"/>
      <c r="L18" s="377"/>
      <c r="N18" s="382"/>
      <c r="O18" s="382"/>
    </row>
    <row r="19" spans="1:15" ht="27.75">
      <c r="A19" s="1411" t="s">
        <v>71</v>
      </c>
      <c r="B19" s="1412"/>
      <c r="C19" s="1413"/>
      <c r="D19" s="523" t="s">
        <v>144</v>
      </c>
      <c r="E19" s="484">
        <f>'18'!F19</f>
        <v>135407</v>
      </c>
      <c r="F19" s="484">
        <v>135458</v>
      </c>
      <c r="G19" s="473">
        <f t="shared" ref="G19" si="1">F19-E19</f>
        <v>51</v>
      </c>
      <c r="H19" s="460">
        <f>G19+'18'!H19</f>
        <v>990</v>
      </c>
      <c r="I19" s="489"/>
      <c r="J19" s="553">
        <f>H19/DAY(B2)</f>
        <v>52.10526315789474</v>
      </c>
      <c r="K19" s="428"/>
      <c r="L19" s="377"/>
      <c r="N19" s="382"/>
      <c r="O19" s="382"/>
    </row>
    <row r="20" spans="1:15">
      <c r="A20" s="586" t="s">
        <v>145</v>
      </c>
      <c r="B20" s="587"/>
      <c r="C20" s="587"/>
      <c r="D20" s="490"/>
      <c r="E20" s="490"/>
      <c r="F20" s="490"/>
      <c r="G20" s="491">
        <f>G18+G19</f>
        <v>171</v>
      </c>
      <c r="H20" s="460">
        <f>G20+'18'!H20</f>
        <v>3530</v>
      </c>
      <c r="I20" s="492">
        <f>I18-J20</f>
        <v>-120.78947368421052</v>
      </c>
      <c r="J20" s="553">
        <f>H20/DAY(B2)</f>
        <v>185.78947368421052</v>
      </c>
      <c r="K20" s="428"/>
      <c r="L20" s="377"/>
      <c r="N20" s="382"/>
      <c r="O20" s="382"/>
    </row>
    <row r="21" spans="1:15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382"/>
      <c r="O21" s="382"/>
    </row>
    <row r="22" spans="1:15">
      <c r="A22" s="1148" t="s">
        <v>147</v>
      </c>
      <c r="B22" s="590"/>
      <c r="C22" s="590"/>
      <c r="D22" s="523" t="s">
        <v>148</v>
      </c>
      <c r="E22" s="267">
        <v>2250</v>
      </c>
      <c r="F22" s="484">
        <v>2250</v>
      </c>
      <c r="G22" s="481">
        <f t="shared" ref="G22" si="2">(F22-E22)</f>
        <v>0</v>
      </c>
      <c r="H22" s="460"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>
      <c r="A23" s="1148" t="s">
        <v>149</v>
      </c>
      <c r="B23" s="590"/>
      <c r="C23" s="590"/>
      <c r="D23" s="523" t="s">
        <v>148</v>
      </c>
      <c r="E23" s="267">
        <v>2000</v>
      </c>
      <c r="F23" s="484">
        <v>2000</v>
      </c>
      <c r="G23" s="481">
        <v>0</v>
      </c>
      <c r="H23" s="460"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>
      <c r="A24" s="591" t="s">
        <v>150</v>
      </c>
      <c r="B24" s="592"/>
      <c r="C24" s="592"/>
      <c r="D24" s="511" t="s">
        <v>148</v>
      </c>
      <c r="E24" s="332">
        <v>4250</v>
      </c>
      <c r="F24" s="493">
        <v>4250</v>
      </c>
      <c r="G24" s="481">
        <v>0</v>
      </c>
      <c r="H24" s="460">
        <f>G24+'18'!H24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444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97"/>
      <c r="G26" s="498"/>
      <c r="H26" s="460"/>
      <c r="I26" s="499"/>
      <c r="J26" s="553"/>
      <c r="K26" s="374"/>
      <c r="L26" s="443"/>
      <c r="N26" s="444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1">
        <f>G8</f>
        <v>19886</v>
      </c>
      <c r="F27" s="501">
        <v>9</v>
      </c>
      <c r="G27" s="502">
        <f>E27*F27</f>
        <v>178974</v>
      </c>
      <c r="H27" s="460">
        <f>G27+'18'!H27</f>
        <v>3661695</v>
      </c>
      <c r="I27" s="503"/>
      <c r="J27" s="553">
        <f>H27/DAY(B2)</f>
        <v>192720.78947368421</v>
      </c>
      <c r="K27" s="373"/>
      <c r="L27" s="443"/>
      <c r="N27" s="444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1">
        <f>G15</f>
        <v>806.65599999995902</v>
      </c>
      <c r="F28" s="501">
        <v>43.5</v>
      </c>
      <c r="G28" s="502">
        <f>E28*F28</f>
        <v>35089.535999998217</v>
      </c>
      <c r="H28" s="460">
        <f>G28+'18'!H28</f>
        <v>771944.8531999914</v>
      </c>
      <c r="I28" s="505"/>
      <c r="J28" s="553">
        <f>H28/DAY(B2)</f>
        <v>40628.676484210075</v>
      </c>
      <c r="K28" s="373"/>
      <c r="L28" s="443"/>
      <c r="N28" s="444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1">
        <f>G19</f>
        <v>51</v>
      </c>
      <c r="F30" s="501">
        <v>134</v>
      </c>
      <c r="G30" s="502">
        <f>E30*F30</f>
        <v>6834</v>
      </c>
      <c r="H30" s="460">
        <f>G30+'18'!H30</f>
        <v>150348</v>
      </c>
      <c r="I30" s="505"/>
      <c r="J30" s="553">
        <f>H30/DAY(B2)</f>
        <v>7913.0526315789475</v>
      </c>
      <c r="K30" s="373"/>
      <c r="L30" s="443"/>
      <c r="N30" s="444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1">
        <f>G18</f>
        <v>120</v>
      </c>
      <c r="F31" s="501">
        <v>80</v>
      </c>
      <c r="G31" s="502">
        <f>E31*F31</f>
        <v>9600</v>
      </c>
      <c r="H31" s="460">
        <f>G31+'18'!H31</f>
        <v>192640</v>
      </c>
      <c r="I31" s="505"/>
      <c r="J31" s="553">
        <f>H31/DAY(B2)</f>
        <v>10138.947368421053</v>
      </c>
      <c r="K31" s="373"/>
      <c r="L31" s="443"/>
      <c r="N31" s="444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07"/>
      <c r="G32" s="508">
        <f>G27+G28+G29+G30+G31</f>
        <v>230497.53599999822</v>
      </c>
      <c r="H32" s="460">
        <f>G32+'18'!H32</f>
        <v>4776627.8531999914</v>
      </c>
      <c r="I32" s="509"/>
      <c r="J32" s="553">
        <f>H32/DAY(B2)</f>
        <v>251401.46595789428</v>
      </c>
      <c r="K32" s="373"/>
      <c r="L32" s="443"/>
      <c r="N32" s="444"/>
      <c r="O32" s="382"/>
    </row>
    <row r="33" spans="1:15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382"/>
      <c r="O33" s="382"/>
    </row>
    <row r="34" spans="1:1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382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'18'!F35</f>
        <v>755124.39</v>
      </c>
      <c r="F35" s="510">
        <v>758191.59</v>
      </c>
      <c r="G35" s="473">
        <f t="shared" ref="G35:G46" si="3">F35-E35</f>
        <v>3067.1999999999534</v>
      </c>
      <c r="H35" s="460">
        <f>G35+'18'!H35</f>
        <v>65104</v>
      </c>
      <c r="I35" s="455"/>
      <c r="J35" s="553">
        <f>H35/DAY(B2)</f>
        <v>3426.5263157894738</v>
      </c>
      <c r="K35" s="428"/>
      <c r="L35" s="377"/>
      <c r="N35" s="382"/>
      <c r="O35" s="629"/>
    </row>
    <row r="36" spans="1:15">
      <c r="A36" s="579" t="s">
        <v>165</v>
      </c>
      <c r="B36" s="580"/>
      <c r="C36" s="580"/>
      <c r="D36" s="523" t="s">
        <v>132</v>
      </c>
      <c r="E36" s="510">
        <f>'18'!F36</f>
        <v>308299</v>
      </c>
      <c r="F36" s="510">
        <v>308903.67</v>
      </c>
      <c r="G36" s="473">
        <f t="shared" si="3"/>
        <v>604.6699999999837</v>
      </c>
      <c r="H36" s="460">
        <f>G36+'18'!H36</f>
        <v>12458.099999999977</v>
      </c>
      <c r="I36" s="455"/>
      <c r="J36" s="553">
        <f>H36/DAY(B2)</f>
        <v>655.68947368420925</v>
      </c>
      <c r="K36" s="428"/>
      <c r="L36" s="377"/>
      <c r="N36" s="382"/>
      <c r="O36" s="629"/>
    </row>
    <row r="37" spans="1:15">
      <c r="A37" s="579" t="s">
        <v>166</v>
      </c>
      <c r="B37" s="580"/>
      <c r="C37" s="580"/>
      <c r="D37" s="523" t="s">
        <v>132</v>
      </c>
      <c r="E37" s="510">
        <f>'18'!F37</f>
        <v>35167.07</v>
      </c>
      <c r="F37" s="510">
        <v>36544.11</v>
      </c>
      <c r="G37" s="473">
        <f t="shared" si="3"/>
        <v>1377.0400000000009</v>
      </c>
      <c r="H37" s="460">
        <f>G37+'18'!H37</f>
        <v>39649.19</v>
      </c>
      <c r="I37" s="455"/>
      <c r="J37" s="553">
        <f>H37/DAY(B2)</f>
        <v>2086.7994736842106</v>
      </c>
      <c r="K37" s="428"/>
      <c r="L37" s="377"/>
      <c r="N37" s="382"/>
      <c r="O37" s="382"/>
    </row>
    <row r="38" spans="1:15">
      <c r="A38" s="579" t="s">
        <v>167</v>
      </c>
      <c r="B38" s="580"/>
      <c r="C38" s="580"/>
      <c r="D38" s="523" t="s">
        <v>132</v>
      </c>
      <c r="E38" s="469">
        <f>'18'!F38</f>
        <v>48333</v>
      </c>
      <c r="F38" s="469">
        <v>49959.82</v>
      </c>
      <c r="G38" s="473">
        <f t="shared" si="3"/>
        <v>1626.8199999999997</v>
      </c>
      <c r="H38" s="460">
        <f>G38+'18'!H38</f>
        <v>6146.3300000000017</v>
      </c>
      <c r="I38" s="455"/>
      <c r="J38" s="553">
        <f>H38/DAY(B2)</f>
        <v>323.49105263157907</v>
      </c>
      <c r="K38" s="428"/>
      <c r="L38" s="377"/>
      <c r="N38" s="382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'18'!F39</f>
        <v>100066</v>
      </c>
      <c r="F39" s="510">
        <v>103843.97</v>
      </c>
      <c r="G39" s="473">
        <f t="shared" si="3"/>
        <v>3777.9700000000012</v>
      </c>
      <c r="H39" s="460">
        <f>G39+'18'!H39</f>
        <v>113236.86</v>
      </c>
      <c r="I39" s="455"/>
      <c r="J39" s="553">
        <f>H39/DAY(B2)</f>
        <v>5959.8347368421055</v>
      </c>
      <c r="K39" s="428"/>
      <c r="L39" s="377"/>
      <c r="N39" s="382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f>'18'!F40</f>
        <v>0</v>
      </c>
      <c r="F40" s="510">
        <v>0.23</v>
      </c>
      <c r="G40" s="473">
        <f t="shared" si="3"/>
        <v>0.23</v>
      </c>
      <c r="H40" s="460">
        <f>G40+'18'!H40</f>
        <v>0.17</v>
      </c>
      <c r="I40" s="455"/>
      <c r="J40" s="553">
        <f>H40/DAY(B2)</f>
        <v>8.9473684210526327E-3</v>
      </c>
      <c r="K40" s="429"/>
      <c r="L40" s="377"/>
      <c r="N40" s="382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'18'!F41</f>
        <v>67301.600000000006</v>
      </c>
      <c r="F41" s="510">
        <v>71050.09</v>
      </c>
      <c r="G41" s="473">
        <f t="shared" si="3"/>
        <v>3748.4899999999907</v>
      </c>
      <c r="H41" s="460">
        <f>G41+'18'!H41</f>
        <v>7167.7199999999939</v>
      </c>
      <c r="I41" s="455"/>
      <c r="J41" s="553">
        <f>H41/DAY(B2)</f>
        <v>377.24842105263127</v>
      </c>
      <c r="K41" s="428"/>
      <c r="L41" s="377"/>
      <c r="N41" s="382"/>
      <c r="O41" s="726"/>
    </row>
    <row r="42" spans="1:15">
      <c r="A42" s="579" t="s">
        <v>171</v>
      </c>
      <c r="B42" s="580"/>
      <c r="C42" s="580"/>
      <c r="D42" s="523" t="s">
        <v>132</v>
      </c>
      <c r="E42" s="510">
        <f>'18'!F42</f>
        <v>59128.163</v>
      </c>
      <c r="F42" s="510">
        <v>59128.163</v>
      </c>
      <c r="G42" s="473">
        <f>F42-E42</f>
        <v>0</v>
      </c>
      <c r="H42" s="460">
        <f>G42+'18'!H42</f>
        <v>-0.68699999999807915</v>
      </c>
      <c r="I42" s="455"/>
      <c r="J42" s="553">
        <f>H42/DAY(B2)</f>
        <v>-3.6157894736741004E-2</v>
      </c>
      <c r="K42" s="428"/>
      <c r="L42" s="377"/>
      <c r="N42" s="382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'18'!F43</f>
        <v>869783.35</v>
      </c>
      <c r="F43" s="510">
        <v>872164.63</v>
      </c>
      <c r="G43" s="473">
        <f t="shared" si="3"/>
        <v>2381.2800000000279</v>
      </c>
      <c r="H43" s="460">
        <f>G43+'18'!H43</f>
        <v>46266.800000000047</v>
      </c>
      <c r="I43" s="455"/>
      <c r="J43" s="553">
        <f>H43/DAY(B2)</f>
        <v>2435.0947368421075</v>
      </c>
      <c r="K43" s="428"/>
      <c r="L43" s="377"/>
      <c r="N43" s="382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3">
        <f>H44/DAY(B2)</f>
        <v>0</v>
      </c>
      <c r="K44" s="428"/>
      <c r="L44" s="377"/>
      <c r="N44" s="382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'18'!F45</f>
        <v>614</v>
      </c>
      <c r="F45" s="510">
        <v>614</v>
      </c>
      <c r="G45" s="473">
        <f t="shared" si="3"/>
        <v>0</v>
      </c>
      <c r="H45" s="460">
        <f>G45+'18'!H45</f>
        <v>0</v>
      </c>
      <c r="I45" s="455"/>
      <c r="J45" s="553">
        <f>H45/DAY(B2)</f>
        <v>0</v>
      </c>
      <c r="K45" s="428"/>
      <c r="L45" s="377"/>
      <c r="N45" s="382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'18'!F46</f>
        <v>187.44</v>
      </c>
      <c r="F46" s="510">
        <v>187.44</v>
      </c>
      <c r="G46" s="473">
        <f t="shared" si="3"/>
        <v>0</v>
      </c>
      <c r="H46" s="460">
        <f>G46+'18'!H46</f>
        <v>0.43999999999999773</v>
      </c>
      <c r="I46" s="455"/>
      <c r="J46" s="553">
        <f>H46/DAY(B2)</f>
        <v>2.3157894736841985E-2</v>
      </c>
      <c r="K46" s="428"/>
      <c r="L46" s="377"/>
      <c r="N46" s="382"/>
      <c r="O46" s="382"/>
    </row>
    <row r="47" spans="1:15">
      <c r="A47" s="586" t="s">
        <v>176</v>
      </c>
      <c r="B47" s="587"/>
      <c r="C47" s="587"/>
      <c r="D47" s="470"/>
      <c r="E47" s="511">
        <f>'18'!F47</f>
        <v>0</v>
      </c>
      <c r="F47" s="511">
        <v>0</v>
      </c>
      <c r="G47" s="481">
        <f>G35+G36+G37+G38+G39+G40+G41+G42+G43+G44+G45+G46</f>
        <v>16583.699999999957</v>
      </c>
      <c r="H47" s="460">
        <f>G47+'18'!H47</f>
        <v>290028.92300000001</v>
      </c>
      <c r="I47" s="455"/>
      <c r="J47" s="553">
        <f>H47/DAY(B2)</f>
        <v>15264.680157894738</v>
      </c>
      <c r="K47" s="428"/>
      <c r="L47" s="377"/>
      <c r="N47" s="382"/>
      <c r="O47" s="382"/>
    </row>
    <row r="48" spans="1:1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382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'18'!F49</f>
        <v>260732.13</v>
      </c>
      <c r="F49" s="510">
        <v>260732.13</v>
      </c>
      <c r="G49" s="473">
        <f t="shared" ref="G49:G58" si="4">F49-E49</f>
        <v>0</v>
      </c>
      <c r="H49" s="460">
        <f>G49+'18'!H49</f>
        <v>0</v>
      </c>
      <c r="I49" s="455"/>
      <c r="J49" s="553">
        <f>H49/DAY(B2)</f>
        <v>0</v>
      </c>
      <c r="K49" s="428"/>
      <c r="L49" s="377"/>
      <c r="N49" s="382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'18'!F50</f>
        <v>424381.39</v>
      </c>
      <c r="F50" s="510">
        <v>425560.35</v>
      </c>
      <c r="G50" s="473">
        <f t="shared" si="4"/>
        <v>1178.9599999999627</v>
      </c>
      <c r="H50" s="460">
        <f>G50+'18'!H50</f>
        <v>21903.319999999949</v>
      </c>
      <c r="I50" s="455"/>
      <c r="J50" s="553">
        <f>H50/DAY(B2)</f>
        <v>1152.806315789471</v>
      </c>
      <c r="K50" s="428"/>
      <c r="L50" s="377"/>
      <c r="N50" s="382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'18'!F51</f>
        <v>144557.49</v>
      </c>
      <c r="F51" s="510">
        <v>144639.87</v>
      </c>
      <c r="G51" s="473">
        <f t="shared" si="4"/>
        <v>82.380000000004657</v>
      </c>
      <c r="H51" s="460">
        <f>G51+'18'!H51</f>
        <v>23039.949999999997</v>
      </c>
      <c r="I51" s="455"/>
      <c r="J51" s="553">
        <f>H51/DAY(B2)</f>
        <v>1212.628947368421</v>
      </c>
      <c r="K51" s="428"/>
      <c r="L51" s="377"/>
      <c r="N51" s="382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'18'!F52</f>
        <v>539507.99</v>
      </c>
      <c r="F52" s="510">
        <v>539606.06999999995</v>
      </c>
      <c r="G52" s="473">
        <f t="shared" si="4"/>
        <v>98.07999999995809</v>
      </c>
      <c r="H52" s="460">
        <f>G52+'18'!H52</f>
        <v>29647.359999999928</v>
      </c>
      <c r="I52" s="455"/>
      <c r="J52" s="553">
        <f>H52/DAY(B2)</f>
        <v>1560.3873684210489</v>
      </c>
      <c r="K52" s="428"/>
      <c r="L52" s="377"/>
      <c r="N52" s="382"/>
      <c r="O52" s="726"/>
    </row>
    <row r="53" spans="1:15">
      <c r="A53" s="579" t="s">
        <v>168</v>
      </c>
      <c r="B53" s="602"/>
      <c r="C53" s="602"/>
      <c r="D53" s="523" t="s">
        <v>132</v>
      </c>
      <c r="E53" s="510">
        <f>'18'!F53</f>
        <v>398594.55</v>
      </c>
      <c r="F53" s="510">
        <v>398838.11</v>
      </c>
      <c r="G53" s="473">
        <f t="shared" si="4"/>
        <v>243.55999999999767</v>
      </c>
      <c r="H53" s="460">
        <f>G53+'18'!H53</f>
        <v>62798.599999999977</v>
      </c>
      <c r="I53" s="455"/>
      <c r="J53" s="553">
        <f>H53/DAY(B2)</f>
        <v>3305.1894736842091</v>
      </c>
      <c r="K53" s="428"/>
      <c r="L53" s="377"/>
      <c r="N53" s="382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'18'!F54</f>
        <v>8200.2900000000009</v>
      </c>
      <c r="F54" s="510">
        <v>8273.39</v>
      </c>
      <c r="G54" s="473">
        <f t="shared" si="4"/>
        <v>73.099999999998545</v>
      </c>
      <c r="H54" s="460">
        <f>G54+'18'!H54</f>
        <v>177.78999999999996</v>
      </c>
      <c r="I54" s="455"/>
      <c r="J54" s="553">
        <f>H54/DAY(B2)</f>
        <v>9.3573684210526302</v>
      </c>
      <c r="K54" s="428"/>
      <c r="L54" s="377"/>
      <c r="N54" s="382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'18'!F55</f>
        <v>206998.61</v>
      </c>
      <c r="F55" s="510">
        <v>208055.21</v>
      </c>
      <c r="G55" s="473">
        <f t="shared" si="4"/>
        <v>1056.6000000000058</v>
      </c>
      <c r="H55" s="460">
        <f>G55+'18'!H55</f>
        <v>85470.51999999999</v>
      </c>
      <c r="I55" s="455"/>
      <c r="J55" s="553">
        <f>H55/DAY(B2)</f>
        <v>4498.4484210526307</v>
      </c>
      <c r="K55" s="428"/>
      <c r="L55" s="377"/>
      <c r="N55" s="382"/>
      <c r="O55" s="382"/>
    </row>
    <row r="56" spans="1:15">
      <c r="A56" s="579" t="s">
        <v>182</v>
      </c>
      <c r="B56" s="602"/>
      <c r="C56" s="602"/>
      <c r="D56" s="523" t="s">
        <v>183</v>
      </c>
      <c r="E56" s="510">
        <f>'18'!F56</f>
        <v>588859.03</v>
      </c>
      <c r="F56" s="510">
        <v>588867.59</v>
      </c>
      <c r="G56" s="473">
        <f t="shared" si="4"/>
        <v>8.559999999939464</v>
      </c>
      <c r="H56" s="460">
        <f>G56+'18'!H56</f>
        <v>2816.5599999999395</v>
      </c>
      <c r="I56" s="455"/>
      <c r="J56" s="553">
        <f>H56/DAY(B2)</f>
        <v>148.23999999999683</v>
      </c>
      <c r="K56" s="427"/>
      <c r="L56" s="377"/>
      <c r="N56" s="382"/>
      <c r="O56" s="382"/>
    </row>
    <row r="57" spans="1:15">
      <c r="A57" s="579" t="s">
        <v>172</v>
      </c>
      <c r="B57" s="602"/>
      <c r="C57" s="602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-0.32999999999992724</v>
      </c>
      <c r="I57" s="455"/>
      <c r="J57" s="553">
        <f>H57/DAY(B2)</f>
        <v>-1.7368421052627748E-2</v>
      </c>
      <c r="K57" s="428"/>
      <c r="L57" s="377"/>
      <c r="N57" s="382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'18'!F58</f>
        <v>39165.1</v>
      </c>
      <c r="F58" s="510">
        <v>39330.17</v>
      </c>
      <c r="G58" s="473">
        <f t="shared" si="4"/>
        <v>165.06999999999971</v>
      </c>
      <c r="H58" s="460">
        <f>G58+'18'!H58</f>
        <v>3265.4700000000012</v>
      </c>
      <c r="I58" s="455"/>
      <c r="J58" s="553">
        <f>H58/DAY(B2)</f>
        <v>171.86684210526323</v>
      </c>
      <c r="K58" s="428"/>
      <c r="L58" s="377"/>
      <c r="N58" s="382"/>
      <c r="O58" s="382"/>
    </row>
    <row r="59" spans="1:1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2905.9799999998668</v>
      </c>
      <c r="H59" s="460">
        <f>G59+'18'!H59</f>
        <v>229119.23999999976</v>
      </c>
      <c r="I59" s="455">
        <f>G7-G60</f>
        <v>321.32000000017433</v>
      </c>
      <c r="J59" s="553">
        <f>H59/DAY(B2)</f>
        <v>12058.90736842104</v>
      </c>
      <c r="K59" s="428"/>
      <c r="L59" s="377"/>
      <c r="N59" s="382"/>
      <c r="O59" s="382"/>
    </row>
    <row r="60" spans="1:15">
      <c r="A60" s="579"/>
      <c r="B60" s="580"/>
      <c r="C60" s="580"/>
      <c r="D60" s="511" t="s">
        <v>185</v>
      </c>
      <c r="E60" s="511"/>
      <c r="F60" s="511"/>
      <c r="G60" s="481">
        <f>G47+G59</f>
        <v>19489.679999999826</v>
      </c>
      <c r="H60" s="460">
        <f>G60+'18'!H60</f>
        <v>533317.16299999983</v>
      </c>
      <c r="I60" s="455">
        <f>G13-G60</f>
        <v>-2660.8199999998105</v>
      </c>
      <c r="J60" s="553">
        <f>H60/DAY(B2)</f>
        <v>28069.324368421043</v>
      </c>
      <c r="K60" s="428"/>
      <c r="L60" s="377"/>
      <c r="N60" s="382"/>
      <c r="O60" s="382"/>
    </row>
    <row r="61" spans="1:1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1.299999999901047E-2</v>
      </c>
      <c r="I62" s="515"/>
      <c r="J62" s="553">
        <f>H62/DAY(B2)</f>
        <v>6.8421052626370892E-4</v>
      </c>
      <c r="K62" s="428"/>
      <c r="L62" s="377"/>
      <c r="N62" s="382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'18'!F63</f>
        <v>1946.58</v>
      </c>
      <c r="F63" s="514">
        <v>1957.21</v>
      </c>
      <c r="G63" s="473">
        <f t="shared" si="5"/>
        <v>10.630000000000109</v>
      </c>
      <c r="H63" s="460">
        <f>G63+'18'!H63</f>
        <v>249.85000000000014</v>
      </c>
      <c r="I63" s="515"/>
      <c r="J63" s="553">
        <f>H63/DAY(B2)</f>
        <v>13.150000000000007</v>
      </c>
      <c r="K63" s="428"/>
      <c r="L63" s="377"/>
      <c r="N63" s="382"/>
      <c r="O63" s="382"/>
    </row>
    <row r="64" spans="1:15" ht="27.75">
      <c r="A64" s="1408" t="s">
        <v>99</v>
      </c>
      <c r="B64" s="1409"/>
      <c r="C64" s="1410"/>
      <c r="D64" s="523" t="s">
        <v>187</v>
      </c>
      <c r="E64" s="484">
        <f>'18'!F64</f>
        <v>132862.85</v>
      </c>
      <c r="F64" s="484">
        <v>133362.51</v>
      </c>
      <c r="G64" s="473">
        <f t="shared" si="5"/>
        <v>499.66000000000349</v>
      </c>
      <c r="H64" s="460">
        <f>G64+'18'!H64</f>
        <v>9735.2100000000064</v>
      </c>
      <c r="I64" s="480"/>
      <c r="J64" s="553">
        <f>H64/DAY(B2)</f>
        <v>512.37947368421089</v>
      </c>
      <c r="K64" s="428"/>
      <c r="L64" s="377"/>
      <c r="N64" s="382"/>
      <c r="O64" s="382"/>
    </row>
    <row r="65" spans="1:15" ht="27.75">
      <c r="A65" s="1408" t="s">
        <v>100</v>
      </c>
      <c r="B65" s="1409"/>
      <c r="C65" s="1410"/>
      <c r="D65" s="523" t="s">
        <v>187</v>
      </c>
      <c r="E65" s="484">
        <f>'18'!F65</f>
        <v>139317.76999999999</v>
      </c>
      <c r="F65" s="484">
        <v>139679.95000000001</v>
      </c>
      <c r="G65" s="473">
        <f t="shared" si="5"/>
        <v>362.18000000002212</v>
      </c>
      <c r="H65" s="460">
        <f>G65+'18'!H65</f>
        <v>7082.6500000000233</v>
      </c>
      <c r="I65" s="489"/>
      <c r="J65" s="553">
        <f>H65/DAY(B2)</f>
        <v>372.77105263158018</v>
      </c>
      <c r="K65" s="428"/>
      <c r="L65" s="377"/>
      <c r="N65" s="382"/>
      <c r="O65" s="382"/>
    </row>
    <row r="66" spans="1:15" ht="27.75">
      <c r="A66" s="1408" t="s">
        <v>101</v>
      </c>
      <c r="B66" s="1409"/>
      <c r="C66" s="1410"/>
      <c r="D66" s="523" t="s">
        <v>187</v>
      </c>
      <c r="E66" s="484">
        <f>'18'!F66</f>
        <v>32100.9</v>
      </c>
      <c r="F66" s="484">
        <v>32439.41</v>
      </c>
      <c r="G66" s="473">
        <f t="shared" si="5"/>
        <v>338.5099999999984</v>
      </c>
      <c r="H66" s="460">
        <f>G66+'18'!H66</f>
        <v>7279.66</v>
      </c>
      <c r="I66" s="480"/>
      <c r="J66" s="553">
        <f>H66/DAY(B2)</f>
        <v>383.14</v>
      </c>
      <c r="K66" s="428"/>
      <c r="L66" s="377"/>
      <c r="N66" s="382"/>
      <c r="O66" s="382"/>
    </row>
    <row r="67" spans="1:15" ht="27.75">
      <c r="A67" s="1408" t="s">
        <v>102</v>
      </c>
      <c r="B67" s="1409"/>
      <c r="C67" s="1410"/>
      <c r="D67" s="523" t="s">
        <v>187</v>
      </c>
      <c r="E67" s="484">
        <f>'18'!F67</f>
        <v>220090.11</v>
      </c>
      <c r="F67" s="484">
        <v>220778.83</v>
      </c>
      <c r="G67" s="473">
        <f t="shared" si="5"/>
        <v>688.72000000000116</v>
      </c>
      <c r="H67" s="460">
        <f>G67+'18'!H67</f>
        <v>12937</v>
      </c>
      <c r="I67" s="489"/>
      <c r="J67" s="553">
        <f>H67/DAY(B2)</f>
        <v>680.89473684210532</v>
      </c>
      <c r="K67" s="429"/>
      <c r="L67" s="377"/>
      <c r="N67" s="382"/>
      <c r="O67" s="382"/>
    </row>
    <row r="68" spans="1:15" ht="27.75">
      <c r="A68" s="1408" t="s">
        <v>103</v>
      </c>
      <c r="B68" s="1409"/>
      <c r="C68" s="1410"/>
      <c r="D68" s="523" t="s">
        <v>187</v>
      </c>
      <c r="E68" s="484">
        <f>'18'!F68</f>
        <v>78736.27</v>
      </c>
      <c r="F68" s="484">
        <v>79036.47</v>
      </c>
      <c r="G68" s="473">
        <f t="shared" si="5"/>
        <v>300.19999999999709</v>
      </c>
      <c r="H68" s="460">
        <f>G68+'18'!H68</f>
        <v>6357.9499999999971</v>
      </c>
      <c r="I68" s="516"/>
      <c r="J68" s="553">
        <f>H68/DAY(B2)</f>
        <v>334.62894736842088</v>
      </c>
      <c r="K68" s="430"/>
      <c r="L68" s="377"/>
      <c r="N68" s="382"/>
      <c r="O68" s="382"/>
    </row>
    <row r="69" spans="1:15" ht="27.75">
      <c r="A69" s="1408" t="s">
        <v>104</v>
      </c>
      <c r="B69" s="1409"/>
      <c r="C69" s="1410"/>
      <c r="D69" s="523" t="s">
        <v>187</v>
      </c>
      <c r="E69" s="484">
        <f>'18'!F69</f>
        <v>70255.09</v>
      </c>
      <c r="F69" s="484">
        <v>70549.63</v>
      </c>
      <c r="G69" s="473">
        <f t="shared" si="5"/>
        <v>294.54000000000815</v>
      </c>
      <c r="H69" s="460">
        <f>G69+'18'!H69</f>
        <v>6097.5400000000081</v>
      </c>
      <c r="I69" s="516"/>
      <c r="J69" s="553">
        <f>H69/DAY(B2)</f>
        <v>320.92315789473724</v>
      </c>
      <c r="K69" s="431"/>
      <c r="L69" s="377"/>
      <c r="N69" s="382"/>
      <c r="O69" s="382"/>
    </row>
    <row r="70" spans="1:15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382"/>
      <c r="O70" s="382"/>
    </row>
    <row r="71" spans="1:15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382"/>
      <c r="O71" s="382"/>
    </row>
    <row r="72" spans="1:15" ht="27.75">
      <c r="A72" s="1408" t="s">
        <v>191</v>
      </c>
      <c r="B72" s="1409"/>
      <c r="C72" s="1410"/>
      <c r="D72" s="523" t="s">
        <v>187</v>
      </c>
      <c r="E72" s="519">
        <f>'18'!F72</f>
        <v>852170</v>
      </c>
      <c r="F72" s="519">
        <v>852253</v>
      </c>
      <c r="G72" s="473">
        <f t="shared" ref="G72:G84" si="6">F72-E72</f>
        <v>83</v>
      </c>
      <c r="H72" s="460">
        <f>G72+'18'!H72</f>
        <v>1571</v>
      </c>
      <c r="I72" s="480"/>
      <c r="J72" s="553">
        <f>H72/DAY(B2)</f>
        <v>82.684210526315795</v>
      </c>
      <c r="K72" s="431"/>
      <c r="L72" s="377"/>
      <c r="N72" s="382"/>
      <c r="O72" s="382"/>
    </row>
    <row r="73" spans="1:15" ht="27.75">
      <c r="A73" s="1408" t="s">
        <v>192</v>
      </c>
      <c r="B73" s="1409"/>
      <c r="C73" s="1410"/>
      <c r="D73" s="523" t="s">
        <v>187</v>
      </c>
      <c r="E73" s="520">
        <f>'18'!F73</f>
        <v>885778</v>
      </c>
      <c r="F73" s="520">
        <v>885778</v>
      </c>
      <c r="G73" s="473">
        <f t="shared" si="6"/>
        <v>0</v>
      </c>
      <c r="H73" s="460">
        <f>G73+'18'!H73</f>
        <v>1120</v>
      </c>
      <c r="I73" s="480"/>
      <c r="J73" s="553">
        <f>H73/DAY(B2)</f>
        <v>58.94736842105263</v>
      </c>
      <c r="K73" s="430"/>
      <c r="L73" s="377"/>
      <c r="N73" s="382"/>
      <c r="O73" s="382"/>
    </row>
    <row r="74" spans="1:15" ht="27.75">
      <c r="A74" s="1480" t="s">
        <v>193</v>
      </c>
      <c r="B74" s="1481"/>
      <c r="C74" s="1482"/>
      <c r="D74" s="523" t="s">
        <v>187</v>
      </c>
      <c r="E74" s="521">
        <f>'18'!F74</f>
        <v>1083.04</v>
      </c>
      <c r="F74" s="521">
        <v>1101.17</v>
      </c>
      <c r="G74" s="473">
        <f t="shared" si="6"/>
        <v>18.130000000000109</v>
      </c>
      <c r="H74" s="460">
        <f>G74+'18'!H74</f>
        <v>515.00000000000011</v>
      </c>
      <c r="I74" s="480"/>
      <c r="J74" s="553">
        <f>H74/DAY(B2)</f>
        <v>27.105263157894743</v>
      </c>
      <c r="K74" s="431"/>
      <c r="L74" s="377"/>
      <c r="N74" s="382"/>
      <c r="O74" s="382"/>
    </row>
    <row r="75" spans="1:15" ht="27.75">
      <c r="A75" s="1457" t="s">
        <v>194</v>
      </c>
      <c r="B75" s="1458"/>
      <c r="C75" s="1459"/>
      <c r="D75" s="523" t="s">
        <v>187</v>
      </c>
      <c r="E75" s="521">
        <f>'18'!F75</f>
        <v>6501.5</v>
      </c>
      <c r="F75" s="521">
        <v>6661</v>
      </c>
      <c r="G75" s="473">
        <f t="shared" si="6"/>
        <v>159.5</v>
      </c>
      <c r="H75" s="460">
        <f>G75+'18'!H75</f>
        <v>3141.78</v>
      </c>
      <c r="I75" s="480"/>
      <c r="J75" s="553">
        <f>H75/DAY(B2)</f>
        <v>165.35684210526315</v>
      </c>
      <c r="K75" s="430"/>
      <c r="L75" s="377"/>
      <c r="N75" s="382"/>
      <c r="O75" s="382"/>
    </row>
    <row r="76" spans="1:15" ht="27.75">
      <c r="A76" s="1457" t="s">
        <v>195</v>
      </c>
      <c r="B76" s="1458"/>
      <c r="C76" s="1459"/>
      <c r="D76" s="523" t="s">
        <v>187</v>
      </c>
      <c r="E76" s="520">
        <f>'18'!F76</f>
        <v>2977.35</v>
      </c>
      <c r="F76" s="520">
        <v>3060.36</v>
      </c>
      <c r="G76" s="473">
        <f t="shared" si="6"/>
        <v>83.010000000000218</v>
      </c>
      <c r="H76" s="460">
        <f>G76+'18'!H76</f>
        <v>2585.1400000000003</v>
      </c>
      <c r="I76" s="505"/>
      <c r="J76" s="553">
        <f>H76/DAY(B2)</f>
        <v>136.06000000000003</v>
      </c>
      <c r="K76" s="430"/>
      <c r="L76" s="377"/>
      <c r="N76" s="382"/>
      <c r="O76" s="382"/>
    </row>
    <row r="77" spans="1:15" ht="27.75">
      <c r="A77" s="1408" t="s">
        <v>196</v>
      </c>
      <c r="B77" s="1409"/>
      <c r="C77" s="1410"/>
      <c r="D77" s="523" t="s">
        <v>187</v>
      </c>
      <c r="E77" s="521">
        <f>'18'!F77</f>
        <v>699552</v>
      </c>
      <c r="F77" s="521">
        <v>699608</v>
      </c>
      <c r="G77" s="473">
        <f t="shared" si="6"/>
        <v>56</v>
      </c>
      <c r="H77" s="460">
        <f>G77+'18'!H77</f>
        <v>1020</v>
      </c>
      <c r="I77" s="505"/>
      <c r="J77" s="553">
        <f>H77/DAY(B2)</f>
        <v>53.684210526315788</v>
      </c>
      <c r="K77" s="430"/>
      <c r="L77" s="377"/>
      <c r="N77" s="382"/>
      <c r="O77" s="382"/>
    </row>
    <row r="78" spans="1:15" ht="27.75">
      <c r="A78" s="1151" t="s">
        <v>197</v>
      </c>
      <c r="B78" s="1124"/>
      <c r="C78" s="1124"/>
      <c r="D78" s="523" t="s">
        <v>187</v>
      </c>
      <c r="E78" s="521">
        <f>'18'!F78</f>
        <v>660174</v>
      </c>
      <c r="F78" s="521">
        <v>660640</v>
      </c>
      <c r="G78" s="473">
        <f t="shared" si="6"/>
        <v>466</v>
      </c>
      <c r="H78" s="460">
        <f>G78+'18'!H78</f>
        <v>7777</v>
      </c>
      <c r="I78" s="505"/>
      <c r="J78" s="553">
        <f>H78/DAY(B2)</f>
        <v>409.31578947368422</v>
      </c>
      <c r="K78" s="430"/>
      <c r="L78" s="377"/>
      <c r="N78" s="382"/>
      <c r="O78" s="382"/>
    </row>
    <row r="79" spans="1:15" ht="27.75">
      <c r="A79" s="1457" t="s">
        <v>92</v>
      </c>
      <c r="B79" s="1458"/>
      <c r="C79" s="1459"/>
      <c r="D79" s="524" t="s">
        <v>187</v>
      </c>
      <c r="E79" s="521">
        <f>'18'!F79</f>
        <v>818800</v>
      </c>
      <c r="F79" s="521">
        <v>819000</v>
      </c>
      <c r="G79" s="473">
        <f t="shared" si="6"/>
        <v>200</v>
      </c>
      <c r="H79" s="460">
        <f>G79+'18'!H79</f>
        <v>6401</v>
      </c>
      <c r="I79" s="505"/>
      <c r="J79" s="553">
        <f>H79/DAY(B2)</f>
        <v>336.89473684210526</v>
      </c>
      <c r="K79" s="430"/>
      <c r="L79" s="377"/>
      <c r="N79" s="382"/>
      <c r="O79" s="382"/>
    </row>
    <row r="80" spans="1:15" ht="27.75">
      <c r="A80" s="1457" t="s">
        <v>198</v>
      </c>
      <c r="B80" s="1458"/>
      <c r="C80" s="1459"/>
      <c r="D80" s="524" t="s">
        <v>187</v>
      </c>
      <c r="E80" s="520">
        <f>'18'!F80</f>
        <v>500959</v>
      </c>
      <c r="F80" s="520">
        <v>501399.03999999998</v>
      </c>
      <c r="G80" s="473">
        <f t="shared" si="6"/>
        <v>440.03999999997905</v>
      </c>
      <c r="H80" s="460">
        <f>G80+'18'!H80</f>
        <v>4785.039999999979</v>
      </c>
      <c r="I80" s="505"/>
      <c r="J80" s="553">
        <f>H80/DAY(B2)</f>
        <v>251.8442105263147</v>
      </c>
      <c r="K80" s="430"/>
      <c r="L80" s="377"/>
      <c r="N80" s="382"/>
      <c r="O80" s="382"/>
    </row>
    <row r="81" spans="1:15" ht="27.75">
      <c r="A81" s="1457" t="s">
        <v>199</v>
      </c>
      <c r="B81" s="1458"/>
      <c r="C81" s="1459"/>
      <c r="D81" s="524" t="s">
        <v>187</v>
      </c>
      <c r="E81" s="520">
        <f>'18'!F81</f>
        <v>627909.04</v>
      </c>
      <c r="F81" s="520">
        <v>628016.12</v>
      </c>
      <c r="G81" s="473">
        <f t="shared" si="6"/>
        <v>107.07999999995809</v>
      </c>
      <c r="H81" s="460">
        <f>G81+'18'!H81</f>
        <v>2072.2800000000279</v>
      </c>
      <c r="I81" s="505"/>
      <c r="J81" s="553">
        <f>H81/DAY(B2)</f>
        <v>109.0673684210541</v>
      </c>
      <c r="K81" s="430"/>
      <c r="L81" s="377"/>
      <c r="N81" s="382"/>
      <c r="O81" s="382"/>
    </row>
    <row r="82" spans="1:15" ht="27.75">
      <c r="A82" s="1457" t="s">
        <v>93</v>
      </c>
      <c r="B82" s="1458"/>
      <c r="C82" s="1459"/>
      <c r="D82" s="485" t="s">
        <v>132</v>
      </c>
      <c r="E82" s="522">
        <f>'18'!F82</f>
        <v>106604.87</v>
      </c>
      <c r="F82" s="522">
        <v>106625.59</v>
      </c>
      <c r="G82" s="473">
        <f t="shared" si="6"/>
        <v>20.720000000001164</v>
      </c>
      <c r="H82" s="460">
        <f>G82+'18'!H82</f>
        <v>423.11000000000058</v>
      </c>
      <c r="I82" s="486"/>
      <c r="J82" s="553">
        <f>H82/DAY(B2)</f>
        <v>22.268947368421085</v>
      </c>
      <c r="K82" s="430"/>
      <c r="L82" s="377"/>
      <c r="N82" s="382"/>
      <c r="O82" s="382"/>
    </row>
    <row r="83" spans="1:15" ht="27.75">
      <c r="A83" s="1457" t="s">
        <v>200</v>
      </c>
      <c r="B83" s="1458"/>
      <c r="C83" s="1459"/>
      <c r="D83" s="621" t="s">
        <v>132</v>
      </c>
      <c r="E83" s="511">
        <f>'18'!F83</f>
        <v>3405</v>
      </c>
      <c r="F83" s="511">
        <v>3659</v>
      </c>
      <c r="G83" s="473">
        <f t="shared" si="6"/>
        <v>254</v>
      </c>
      <c r="H83" s="460">
        <f>G83+'18'!H83</f>
        <v>7062</v>
      </c>
      <c r="I83" s="481"/>
      <c r="J83" s="553">
        <f>H83/DAY(B2)</f>
        <v>371.68421052631578</v>
      </c>
      <c r="K83" s="429"/>
      <c r="L83" s="377"/>
      <c r="N83" s="382"/>
      <c r="O83" s="726"/>
    </row>
    <row r="84" spans="1:15">
      <c r="A84" s="1152" t="s">
        <v>201</v>
      </c>
      <c r="B84" s="572"/>
      <c r="C84" s="572"/>
      <c r="D84" s="478" t="s">
        <v>132</v>
      </c>
      <c r="E84" s="628">
        <f>'18'!F84</f>
        <v>444760</v>
      </c>
      <c r="F84" s="628">
        <v>445475</v>
      </c>
      <c r="G84" s="473">
        <f t="shared" si="6"/>
        <v>715</v>
      </c>
      <c r="H84" s="460">
        <f>G84+'18'!H84</f>
        <v>14677</v>
      </c>
      <c r="I84" s="481"/>
      <c r="J84" s="553">
        <f>H84/DAY(B2)</f>
        <v>772.47368421052636</v>
      </c>
      <c r="K84" s="380"/>
      <c r="L84" s="377"/>
      <c r="N84" s="382"/>
      <c r="O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2602.4799999999386</v>
      </c>
      <c r="H85" s="460">
        <f>G85+'18'!H85</f>
        <v>48492.209999999941</v>
      </c>
      <c r="I85" s="481"/>
      <c r="J85" s="553">
        <f>H85/DAY(B2)</f>
        <v>2552.2215789473653</v>
      </c>
      <c r="K85" s="380"/>
      <c r="L85" s="378"/>
      <c r="N85" s="782"/>
      <c r="O85" s="726"/>
    </row>
    <row r="86" spans="1:15" s="740" customFormat="1">
      <c r="A86" s="735" t="s">
        <v>94</v>
      </c>
      <c r="B86" s="736"/>
      <c r="C86" s="736"/>
      <c r="D86" s="737" t="s">
        <v>183</v>
      </c>
      <c r="E86" s="652">
        <f>'18'!F86</f>
        <v>452597.24</v>
      </c>
      <c r="F86" s="652">
        <v>452767.72</v>
      </c>
      <c r="G86" s="710">
        <f t="shared" ref="G86:G90" si="7">F86-E86</f>
        <v>170.47999999998137</v>
      </c>
      <c r="H86" s="460">
        <f>G86+'18'!H86</f>
        <v>319.03999999997905</v>
      </c>
      <c r="I86" s="657"/>
      <c r="J86" s="712">
        <f>H86/DAY(B2)</f>
        <v>16.791578947367316</v>
      </c>
      <c r="K86" s="738">
        <v>424609</v>
      </c>
      <c r="L86" s="739">
        <f>K86-F86</f>
        <v>-28158.719999999972</v>
      </c>
      <c r="N86" s="783"/>
      <c r="O86" s="382"/>
    </row>
    <row r="87" spans="1:15" s="740" customFormat="1">
      <c r="A87" s="735" t="s">
        <v>95</v>
      </c>
      <c r="B87" s="736"/>
      <c r="C87" s="736"/>
      <c r="D87" s="737" t="s">
        <v>183</v>
      </c>
      <c r="E87" s="652">
        <f>'18'!F87</f>
        <v>79740.7</v>
      </c>
      <c r="F87" s="652">
        <v>79774.13</v>
      </c>
      <c r="G87" s="710">
        <f t="shared" si="7"/>
        <v>33.430000000007567</v>
      </c>
      <c r="H87" s="460">
        <f>G87+'18'!H87</f>
        <v>72.330000000001746</v>
      </c>
      <c r="I87" s="657"/>
      <c r="J87" s="712">
        <f>H87/DAY(B2)</f>
        <v>3.8068421052632497</v>
      </c>
      <c r="K87" s="738"/>
      <c r="L87" s="739"/>
      <c r="N87" s="783"/>
      <c r="O87" s="382"/>
    </row>
    <row r="88" spans="1:15" s="740" customFormat="1">
      <c r="A88" s="735" t="s">
        <v>96</v>
      </c>
      <c r="B88" s="736"/>
      <c r="C88" s="736"/>
      <c r="D88" s="737" t="s">
        <v>183</v>
      </c>
      <c r="E88" s="652">
        <f>'18'!F88</f>
        <v>149638.23000000001</v>
      </c>
      <c r="F88" s="652">
        <v>149728.51</v>
      </c>
      <c r="G88" s="710">
        <f t="shared" si="7"/>
        <v>90.279999999998836</v>
      </c>
      <c r="H88" s="460">
        <f>G88+'18'!H88</f>
        <v>172.80999999999767</v>
      </c>
      <c r="I88" s="657"/>
      <c r="J88" s="712">
        <f>H88/DAY(B2)</f>
        <v>9.0952631578946139</v>
      </c>
      <c r="K88" s="738"/>
      <c r="L88" s="739"/>
      <c r="N88" s="783"/>
      <c r="O88" s="382"/>
    </row>
    <row r="89" spans="1:15" s="740" customFormat="1">
      <c r="A89" s="735" t="s">
        <v>204</v>
      </c>
      <c r="B89" s="736"/>
      <c r="C89" s="736"/>
      <c r="D89" s="737" t="s">
        <v>183</v>
      </c>
      <c r="E89" s="652">
        <f>'18'!F89</f>
        <v>62900</v>
      </c>
      <c r="F89" s="652">
        <v>62959.8</v>
      </c>
      <c r="G89" s="710">
        <f t="shared" si="7"/>
        <v>59.80000000000291</v>
      </c>
      <c r="H89" s="460">
        <f>G89+'18'!H89</f>
        <v>126.70000000000437</v>
      </c>
      <c r="I89" s="657"/>
      <c r="J89" s="712">
        <f>H89/DAY(B2)</f>
        <v>6.6684210526318086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52">
        <f>'18'!F90</f>
        <v>3238.7</v>
      </c>
      <c r="F90" s="652">
        <v>3242.9</v>
      </c>
      <c r="G90" s="710">
        <f t="shared" si="7"/>
        <v>4.2000000000002728</v>
      </c>
      <c r="H90" s="710">
        <f>G90</f>
        <v>4.2000000000002728</v>
      </c>
      <c r="I90" s="657"/>
      <c r="J90" s="712">
        <f>H90/DAY(B2)</f>
        <v>0.22105263157896174</v>
      </c>
      <c r="K90" s="738"/>
      <c r="L90" s="739"/>
      <c r="N90" s="783"/>
      <c r="O90" s="382"/>
    </row>
    <row r="91" spans="1:15" s="379" customFormat="1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782"/>
      <c r="O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'18'!F92</f>
        <v>241350</v>
      </c>
      <c r="F92" s="484">
        <v>241420</v>
      </c>
      <c r="G92" s="473">
        <f t="shared" ref="G92:G93" si="8">F92-E92</f>
        <v>70</v>
      </c>
      <c r="H92" s="460">
        <f>G92+'18'!H92</f>
        <v>1725</v>
      </c>
      <c r="I92" s="480"/>
      <c r="J92" s="553">
        <f>H92/DAY(B2)</f>
        <v>90.78947368421052</v>
      </c>
      <c r="K92" s="429"/>
      <c r="L92" s="377"/>
      <c r="N92" s="382"/>
      <c r="O92" s="382"/>
    </row>
    <row r="93" spans="1:15" ht="27.75">
      <c r="A93" s="1411" t="s">
        <v>207</v>
      </c>
      <c r="B93" s="1412"/>
      <c r="C93" s="1413"/>
      <c r="D93" s="523" t="s">
        <v>144</v>
      </c>
      <c r="E93" s="484">
        <f>'18'!F93</f>
        <v>177929</v>
      </c>
      <c r="F93" s="484">
        <v>178058</v>
      </c>
      <c r="G93" s="473">
        <f t="shared" si="8"/>
        <v>129</v>
      </c>
      <c r="H93" s="460">
        <f>G93+'18'!H93</f>
        <v>2397</v>
      </c>
      <c r="I93" s="480"/>
      <c r="J93" s="553">
        <f>H93/DAY(B2)</f>
        <v>126.15789473684211</v>
      </c>
      <c r="K93" s="380"/>
      <c r="L93" s="377"/>
      <c r="N93" s="382"/>
      <c r="O93" s="382"/>
    </row>
    <row r="94" spans="1:15">
      <c r="A94" s="1405" t="s">
        <v>208</v>
      </c>
      <c r="B94" s="1406"/>
      <c r="C94" s="1407"/>
      <c r="D94" s="523"/>
      <c r="E94" s="484">
        <f>'18'!F94</f>
        <v>0</v>
      </c>
      <c r="F94" s="484"/>
      <c r="G94" s="473">
        <f>G92+G93</f>
        <v>199</v>
      </c>
      <c r="H94" s="460">
        <f>G94+'18'!H94</f>
        <v>3856</v>
      </c>
      <c r="I94" s="480"/>
      <c r="J94" s="553">
        <f>H94/DAY(B2)</f>
        <v>202.94736842105263</v>
      </c>
      <c r="K94" s="380"/>
      <c r="L94" s="377"/>
      <c r="N94" s="382"/>
      <c r="O94" s="382"/>
    </row>
    <row r="95" spans="1:15" ht="27.75">
      <c r="A95" s="1411" t="s">
        <v>209</v>
      </c>
      <c r="B95" s="1412"/>
      <c r="C95" s="1413"/>
      <c r="D95" s="523" t="s">
        <v>144</v>
      </c>
      <c r="E95" s="484">
        <f>'18'!F95</f>
        <v>409685</v>
      </c>
      <c r="F95" s="484">
        <v>409761</v>
      </c>
      <c r="G95" s="473">
        <f t="shared" ref="G95:G100" si="9">F95-E95</f>
        <v>76</v>
      </c>
      <c r="H95" s="460">
        <f>G95+'18'!H95</f>
        <v>1605</v>
      </c>
      <c r="I95" s="480"/>
      <c r="J95" s="553">
        <f>H95/DAY(B2)</f>
        <v>84.473684210526315</v>
      </c>
      <c r="K95" s="380"/>
      <c r="L95" s="377"/>
      <c r="N95" s="382"/>
      <c r="O95" s="382"/>
    </row>
    <row r="96" spans="1:15" ht="27.75">
      <c r="A96" s="1148" t="s">
        <v>210</v>
      </c>
      <c r="B96" s="1149"/>
      <c r="C96" s="1149"/>
      <c r="D96" s="523" t="s">
        <v>144</v>
      </c>
      <c r="E96" s="484">
        <f>'18'!F96</f>
        <v>101594</v>
      </c>
      <c r="F96" s="484">
        <v>101609</v>
      </c>
      <c r="G96" s="473">
        <f t="shared" si="9"/>
        <v>15</v>
      </c>
      <c r="H96" s="460">
        <f>G96+'18'!H96</f>
        <v>277</v>
      </c>
      <c r="I96" s="480"/>
      <c r="J96" s="553">
        <f>H96/DAY(B2)</f>
        <v>14.578947368421053</v>
      </c>
      <c r="K96" s="427"/>
      <c r="L96" s="377"/>
      <c r="N96" s="382"/>
      <c r="O96" s="382"/>
    </row>
    <row r="97" spans="1:15" ht="27.75">
      <c r="A97" s="1148" t="s">
        <v>211</v>
      </c>
      <c r="B97" s="1149"/>
      <c r="C97" s="1149"/>
      <c r="D97" s="523" t="s">
        <v>144</v>
      </c>
      <c r="E97" s="484">
        <f>'18'!F97</f>
        <v>96645</v>
      </c>
      <c r="F97" s="484">
        <v>96661</v>
      </c>
      <c r="G97" s="473">
        <f t="shared" si="9"/>
        <v>16</v>
      </c>
      <c r="H97" s="460">
        <f>G97+'18'!H97</f>
        <v>212</v>
      </c>
      <c r="I97" s="480"/>
      <c r="J97" s="553">
        <f>H97/DAY(B2)</f>
        <v>11.157894736842104</v>
      </c>
      <c r="K97" s="432"/>
      <c r="L97" s="377"/>
      <c r="N97" s="382"/>
      <c r="O97" s="382"/>
    </row>
    <row r="98" spans="1:15" ht="27.75">
      <c r="A98" s="1148" t="s">
        <v>212</v>
      </c>
      <c r="B98" s="1149"/>
      <c r="C98" s="1149"/>
      <c r="D98" s="523" t="s">
        <v>144</v>
      </c>
      <c r="E98" s="484">
        <f>'18'!F98</f>
        <v>148459</v>
      </c>
      <c r="F98" s="484">
        <v>148491</v>
      </c>
      <c r="G98" s="473">
        <f t="shared" si="9"/>
        <v>32</v>
      </c>
      <c r="H98" s="460">
        <f>G98+'18'!H98</f>
        <v>883</v>
      </c>
      <c r="I98" s="480"/>
      <c r="J98" s="553">
        <f>H98/DAY(B2)</f>
        <v>46.473684210526315</v>
      </c>
      <c r="K98" s="380"/>
      <c r="L98" s="377"/>
      <c r="N98" s="382"/>
      <c r="O98" s="382"/>
    </row>
    <row r="99" spans="1:15" ht="27.75">
      <c r="A99" s="1148" t="s">
        <v>213</v>
      </c>
      <c r="B99" s="1149"/>
      <c r="C99" s="1149"/>
      <c r="D99" s="523" t="s">
        <v>144</v>
      </c>
      <c r="E99" s="484">
        <f>'18'!F99</f>
        <v>6659</v>
      </c>
      <c r="F99" s="484">
        <v>6674</v>
      </c>
      <c r="G99" s="473">
        <f t="shared" si="9"/>
        <v>15</v>
      </c>
      <c r="H99" s="460">
        <f>G99+'18'!H99</f>
        <v>266</v>
      </c>
      <c r="I99" s="480"/>
      <c r="J99" s="553">
        <f>H99/DAY(B2)</f>
        <v>14</v>
      </c>
      <c r="K99" s="380"/>
      <c r="L99" s="377"/>
      <c r="N99" s="382"/>
      <c r="O99" s="382"/>
    </row>
    <row r="100" spans="1:15" ht="27.75">
      <c r="A100" s="1148" t="s">
        <v>214</v>
      </c>
      <c r="B100" s="1149"/>
      <c r="C100" s="1149"/>
      <c r="D100" s="523" t="s">
        <v>144</v>
      </c>
      <c r="E100" s="484">
        <f>'18'!F100</f>
        <v>4756</v>
      </c>
      <c r="F100" s="484">
        <v>4764</v>
      </c>
      <c r="G100" s="473">
        <f t="shared" si="9"/>
        <v>8</v>
      </c>
      <c r="H100" s="460">
        <f>G100+'18'!H100</f>
        <v>221</v>
      </c>
      <c r="I100" s="480"/>
      <c r="J100" s="553">
        <f>H100/DAY(B2)</f>
        <v>11.631578947368421</v>
      </c>
      <c r="K100" s="380"/>
      <c r="L100" s="377"/>
      <c r="N100" s="382"/>
      <c r="O100" s="382"/>
    </row>
    <row r="101" spans="1:15">
      <c r="A101" s="1405" t="s">
        <v>216</v>
      </c>
      <c r="B101" s="1406"/>
      <c r="C101" s="1407"/>
      <c r="D101" s="524"/>
      <c r="E101" s="524"/>
      <c r="F101" s="524"/>
      <c r="G101" s="525">
        <f>SUM(G95:G100)</f>
        <v>162</v>
      </c>
      <c r="H101" s="460">
        <f>G101+'18'!H101</f>
        <v>3464</v>
      </c>
      <c r="I101" s="526"/>
      <c r="J101" s="553">
        <f>H101/DAY(B2)</f>
        <v>182.31578947368422</v>
      </c>
      <c r="K101" s="380"/>
      <c r="L101" s="377"/>
      <c r="N101" s="382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528"/>
      <c r="G102" s="529"/>
      <c r="H102" s="530"/>
      <c r="I102" s="531"/>
      <c r="J102" s="558"/>
      <c r="N102" s="444"/>
      <c r="O102" s="382"/>
    </row>
    <row r="103" spans="1:15" s="442" customFormat="1" ht="27.75">
      <c r="A103" s="1414" t="s">
        <v>218</v>
      </c>
      <c r="B103" s="1415"/>
      <c r="C103" s="574"/>
      <c r="D103" s="623"/>
      <c r="E103" s="532"/>
      <c r="F103" s="532"/>
      <c r="G103" s="532"/>
      <c r="H103" s="533"/>
      <c r="I103" s="532"/>
      <c r="J103" s="559"/>
      <c r="N103" s="444"/>
      <c r="O103" s="382"/>
    </row>
    <row r="104" spans="1:15" s="442" customFormat="1" ht="27.75">
      <c r="A104" s="1416" t="s">
        <v>219</v>
      </c>
      <c r="B104" s="1417"/>
      <c r="C104" s="1146"/>
      <c r="D104" s="623" t="s">
        <v>144</v>
      </c>
      <c r="E104" s="532">
        <f>'18'!F104</f>
        <v>7281</v>
      </c>
      <c r="F104" s="532">
        <v>7281</v>
      </c>
      <c r="G104" s="532">
        <f>F104-E104</f>
        <v>0</v>
      </c>
      <c r="H104" s="460">
        <f>G104+'18'!H104</f>
        <v>120.15000000000009</v>
      </c>
      <c r="I104" s="532"/>
      <c r="J104" s="559">
        <f>H104/DAY(B2)</f>
        <v>6.3236842105263209</v>
      </c>
      <c r="N104" s="444"/>
      <c r="O104" s="382"/>
    </row>
    <row r="105" spans="1:15" s="442" customFormat="1" ht="27.75">
      <c r="A105" s="1416" t="s">
        <v>77</v>
      </c>
      <c r="B105" s="1417"/>
      <c r="C105" s="1146"/>
      <c r="D105" s="623" t="s">
        <v>144</v>
      </c>
      <c r="E105" s="534">
        <f>'18'!F105</f>
        <v>35541</v>
      </c>
      <c r="F105" s="534">
        <v>35548</v>
      </c>
      <c r="G105" s="532">
        <f t="shared" ref="G105" si="10">F105-E105</f>
        <v>7</v>
      </c>
      <c r="H105" s="460">
        <f>G105+'18'!H105</f>
        <v>59</v>
      </c>
      <c r="I105" s="532"/>
      <c r="J105" s="559">
        <f>H105/DAY(B2)</f>
        <v>3.1052631578947367</v>
      </c>
      <c r="N105" s="444"/>
      <c r="O105" s="382"/>
    </row>
    <row r="106" spans="1:15" s="442" customFormat="1" ht="27.75">
      <c r="A106" s="1416" t="s">
        <v>78</v>
      </c>
      <c r="B106" s="1418"/>
      <c r="C106" s="1417"/>
      <c r="D106" s="623" t="s">
        <v>144</v>
      </c>
      <c r="E106" s="532">
        <f>'18'!F106</f>
        <v>19345</v>
      </c>
      <c r="F106" s="532">
        <v>19349</v>
      </c>
      <c r="G106" s="532">
        <f>F106-E106</f>
        <v>4</v>
      </c>
      <c r="H106" s="460">
        <f>G106+'18'!H106</f>
        <v>399</v>
      </c>
      <c r="I106" s="532"/>
      <c r="J106" s="559">
        <f>H106/DAY(B2)</f>
        <v>21</v>
      </c>
      <c r="N106" s="444"/>
      <c r="O106" s="382"/>
    </row>
    <row r="107" spans="1:15" s="442" customFormat="1" ht="27.75">
      <c r="A107" s="1419" t="s">
        <v>202</v>
      </c>
      <c r="B107" s="1420"/>
      <c r="C107" s="1146"/>
      <c r="D107" s="623"/>
      <c r="E107" s="532">
        <f>'18'!F107</f>
        <v>0</v>
      </c>
      <c r="F107" s="532"/>
      <c r="G107" s="532">
        <f>SUM(G104:G106)</f>
        <v>11</v>
      </c>
      <c r="H107" s="460">
        <f>G107+'18'!H107</f>
        <v>256</v>
      </c>
      <c r="I107" s="532"/>
      <c r="J107" s="559">
        <f>H107/DAY(B2)</f>
        <v>13.473684210526315</v>
      </c>
      <c r="N107" s="444"/>
      <c r="O107" s="382"/>
    </row>
    <row r="108" spans="1:15" s="442" customFormat="1" ht="27.75">
      <c r="A108" s="1421" t="s">
        <v>79</v>
      </c>
      <c r="B108" s="1422"/>
      <c r="C108" s="1146"/>
      <c r="D108" s="623" t="s">
        <v>144</v>
      </c>
      <c r="E108" s="532">
        <f>'18'!F108</f>
        <v>0</v>
      </c>
      <c r="F108" s="532"/>
      <c r="G108" s="532"/>
      <c r="H108" s="460"/>
      <c r="I108" s="532"/>
      <c r="J108" s="559"/>
      <c r="N108" s="444"/>
      <c r="O108" s="382"/>
    </row>
    <row r="109" spans="1:15" s="442" customFormat="1" ht="27.75">
      <c r="A109" s="1416" t="s">
        <v>220</v>
      </c>
      <c r="B109" s="1417"/>
      <c r="C109" s="1146"/>
      <c r="D109" s="623" t="s">
        <v>144</v>
      </c>
      <c r="E109" s="532">
        <f>'18'!F109</f>
        <v>57717</v>
      </c>
      <c r="F109" s="532">
        <v>57824</v>
      </c>
      <c r="G109" s="532">
        <f>F109-E109</f>
        <v>107</v>
      </c>
      <c r="H109" s="460">
        <f>G109+'18'!H109</f>
        <v>295.56000000005588</v>
      </c>
      <c r="I109" s="532"/>
      <c r="J109" s="559">
        <f>H109/DAY(B2)</f>
        <v>15.555789473687151</v>
      </c>
      <c r="N109" s="444"/>
      <c r="O109" s="382"/>
    </row>
    <row r="110" spans="1:15" s="442" customFormat="1" ht="27.75">
      <c r="A110" s="1416" t="s">
        <v>221</v>
      </c>
      <c r="B110" s="1417"/>
      <c r="C110" s="1146"/>
      <c r="D110" s="623" t="s">
        <v>144</v>
      </c>
      <c r="E110" s="532">
        <f>'18'!F110</f>
        <v>31282</v>
      </c>
      <c r="F110" s="532">
        <v>31307</v>
      </c>
      <c r="G110" s="532">
        <f t="shared" ref="G110:G111" si="11">F110-E110</f>
        <v>25</v>
      </c>
      <c r="H110" s="460">
        <f>G110+'18'!H110</f>
        <v>43.169999999998254</v>
      </c>
      <c r="I110" s="532"/>
      <c r="J110" s="559">
        <f>H110/DAY(B2)</f>
        <v>2.2721052631578029</v>
      </c>
      <c r="N110" s="444"/>
      <c r="O110" s="382"/>
    </row>
    <row r="111" spans="1:15" s="442" customFormat="1" ht="27.75">
      <c r="A111" s="1416" t="s">
        <v>222</v>
      </c>
      <c r="B111" s="1417"/>
      <c r="C111" s="1146"/>
      <c r="D111" s="623" t="s">
        <v>144</v>
      </c>
      <c r="E111" s="532">
        <f>'18'!F111</f>
        <v>4084</v>
      </c>
      <c r="F111" s="532">
        <v>4084</v>
      </c>
      <c r="G111" s="532">
        <f t="shared" si="11"/>
        <v>0</v>
      </c>
      <c r="H111" s="460">
        <f>G111+'18'!H111</f>
        <v>520</v>
      </c>
      <c r="I111" s="532"/>
      <c r="J111" s="559">
        <f>H111/DAY(B2)</f>
        <v>27.368421052631579</v>
      </c>
      <c r="N111" s="444"/>
      <c r="O111" s="382"/>
    </row>
    <row r="112" spans="1:15" s="442" customFormat="1" ht="27.75">
      <c r="A112" s="1448" t="s">
        <v>110</v>
      </c>
      <c r="B112" s="1449"/>
      <c r="C112" s="1146"/>
      <c r="D112" s="623"/>
      <c r="E112" s="532">
        <f>'18'!F112</f>
        <v>0</v>
      </c>
      <c r="F112" s="532"/>
      <c r="G112" s="532">
        <f>SUM(G109:G111)</f>
        <v>132</v>
      </c>
      <c r="H112" s="460">
        <f>G112+'18'!H112</f>
        <v>898</v>
      </c>
      <c r="I112" s="532"/>
      <c r="J112" s="559">
        <f>H112/DAY(B2)</f>
        <v>47.263157894736842</v>
      </c>
      <c r="N112" s="444"/>
      <c r="O112" s="382"/>
    </row>
    <row r="113" spans="1:15" s="442" customFormat="1" ht="27.75">
      <c r="A113" s="1421" t="s">
        <v>223</v>
      </c>
      <c r="B113" s="1422"/>
      <c r="C113" s="1146"/>
      <c r="D113" s="623"/>
      <c r="E113" s="532">
        <f>'18'!F113</f>
        <v>0</v>
      </c>
      <c r="F113" s="532"/>
      <c r="G113" s="532"/>
      <c r="H113" s="460"/>
      <c r="I113" s="532"/>
      <c r="J113" s="559">
        <f>H113/DAY(B2)</f>
        <v>0</v>
      </c>
      <c r="N113" s="444"/>
      <c r="O113" s="382"/>
    </row>
    <row r="114" spans="1:15" s="442" customFormat="1" ht="27.75">
      <c r="A114" s="1416" t="s">
        <v>224</v>
      </c>
      <c r="B114" s="1417"/>
      <c r="C114" s="575"/>
      <c r="D114" s="623" t="s">
        <v>144</v>
      </c>
      <c r="E114" s="534">
        <f>'18'!F114</f>
        <v>10625</v>
      </c>
      <c r="F114" s="534">
        <v>10639</v>
      </c>
      <c r="G114" s="534">
        <f>F114-E114</f>
        <v>14</v>
      </c>
      <c r="H114" s="460">
        <f>G114+'18'!H114</f>
        <v>21</v>
      </c>
      <c r="I114" s="532"/>
      <c r="J114" s="559">
        <f>H114/DAY(B2)</f>
        <v>1.1052631578947369</v>
      </c>
      <c r="N114" s="444"/>
      <c r="O114" s="382"/>
    </row>
    <row r="115" spans="1:15" s="442" customFormat="1" ht="27.75">
      <c r="A115" s="1416" t="s">
        <v>225</v>
      </c>
      <c r="B115" s="1417"/>
      <c r="C115" s="575"/>
      <c r="D115" s="623" t="s">
        <v>144</v>
      </c>
      <c r="E115" s="534">
        <f>'18'!F115</f>
        <v>7837</v>
      </c>
      <c r="F115" s="534">
        <v>7840</v>
      </c>
      <c r="G115" s="534">
        <f t="shared" ref="G115:G116" si="12">F115-E115</f>
        <v>3</v>
      </c>
      <c r="H115" s="460">
        <f>G115+'18'!H115</f>
        <v>131</v>
      </c>
      <c r="I115" s="532"/>
      <c r="J115" s="559">
        <f>H115/DAY(B2)</f>
        <v>6.8947368421052628</v>
      </c>
      <c r="N115" s="444"/>
      <c r="O115" s="382"/>
    </row>
    <row r="116" spans="1:15" s="442" customFormat="1" ht="27.75">
      <c r="A116" s="1416" t="s">
        <v>226</v>
      </c>
      <c r="B116" s="1417"/>
      <c r="C116" s="575"/>
      <c r="D116" s="623" t="s">
        <v>144</v>
      </c>
      <c r="E116" s="534"/>
      <c r="F116" s="534"/>
      <c r="G116" s="534">
        <f t="shared" si="12"/>
        <v>0</v>
      </c>
      <c r="H116" s="460">
        <f>G116+'18'!H116</f>
        <v>144</v>
      </c>
      <c r="I116" s="532"/>
      <c r="J116" s="559">
        <f>H116/DAY(B2)</f>
        <v>7.5789473684210522</v>
      </c>
      <c r="N116" s="444"/>
      <c r="O116" s="382"/>
    </row>
    <row r="117" spans="1:15" s="445" customFormat="1" ht="27.75">
      <c r="A117" s="1419" t="s">
        <v>202</v>
      </c>
      <c r="B117" s="1420"/>
      <c r="C117" s="575"/>
      <c r="D117" s="624"/>
      <c r="E117" s="534"/>
      <c r="F117" s="534"/>
      <c r="G117" s="534">
        <f>SUM(G114:G116)</f>
        <v>17</v>
      </c>
      <c r="H117" s="460">
        <f>G117+'18'!H117</f>
        <v>106</v>
      </c>
      <c r="I117" s="534"/>
      <c r="J117" s="559">
        <f>H117/DAY(B2)</f>
        <v>5.5789473684210522</v>
      </c>
      <c r="N117" s="447"/>
      <c r="O117" s="382"/>
    </row>
    <row r="118" spans="1:15" s="446" customFormat="1" ht="27.75">
      <c r="A118" s="1450" t="s">
        <v>227</v>
      </c>
      <c r="B118" s="1451"/>
      <c r="C118" s="1145"/>
      <c r="D118" s="625" t="s">
        <v>144</v>
      </c>
      <c r="E118" s="536"/>
      <c r="F118" s="536">
        <f>SUM(G19+G92)</f>
        <v>121</v>
      </c>
      <c r="G118" s="536">
        <f>SUM(G19+G92)</f>
        <v>121</v>
      </c>
      <c r="H118" s="460">
        <f>G118+'18'!H118</f>
        <v>246</v>
      </c>
      <c r="I118" s="535"/>
      <c r="J118" s="560">
        <f>H118/DAY(B2)</f>
        <v>12.947368421052632</v>
      </c>
      <c r="N118" s="784"/>
      <c r="O118" s="382"/>
    </row>
    <row r="119" spans="1:15" s="446" customFormat="1" ht="27.75">
      <c r="A119" s="1450" t="s">
        <v>228</v>
      </c>
      <c r="B119" s="1451"/>
      <c r="C119" s="1145"/>
      <c r="D119" s="625" t="s">
        <v>144</v>
      </c>
      <c r="E119" s="536"/>
      <c r="F119" s="536">
        <f>SUM(G95,G96,G97,G99,G100)</f>
        <v>130</v>
      </c>
      <c r="G119" s="536">
        <f>SUM(G95,G96,G97,G99,G100)</f>
        <v>130</v>
      </c>
      <c r="H119" s="460">
        <f>G119+'18'!H119</f>
        <v>307</v>
      </c>
      <c r="I119" s="535"/>
      <c r="J119" s="560">
        <f>H119/DAY(B2)</f>
        <v>16.157894736842106</v>
      </c>
      <c r="N119" s="784"/>
      <c r="O119" s="382"/>
    </row>
    <row r="120" spans="1:15" s="446" customFormat="1" ht="27.75">
      <c r="A120" s="1450" t="s">
        <v>229</v>
      </c>
      <c r="B120" s="1451"/>
      <c r="C120" s="1145"/>
      <c r="D120" s="625" t="s">
        <v>144</v>
      </c>
      <c r="E120" s="534"/>
      <c r="F120" s="534">
        <f>SUM(G112)</f>
        <v>132</v>
      </c>
      <c r="G120" s="534">
        <f>SUM(G112)</f>
        <v>132</v>
      </c>
      <c r="H120" s="460">
        <f>G120+'18'!H120</f>
        <v>222</v>
      </c>
      <c r="I120" s="535"/>
      <c r="J120" s="560">
        <f>H120/DAY(B2)</f>
        <v>11.684210526315789</v>
      </c>
      <c r="N120" s="784"/>
      <c r="O120" s="382"/>
    </row>
    <row r="121" spans="1:15" s="442" customFormat="1" ht="27.75">
      <c r="A121" s="1452"/>
      <c r="B121" s="1453"/>
      <c r="C121" s="1146"/>
      <c r="D121" s="561"/>
      <c r="E121" s="561"/>
      <c r="F121" s="561" t="s">
        <v>215</v>
      </c>
      <c r="G121" s="561"/>
      <c r="H121" s="562"/>
      <c r="I121" s="561"/>
      <c r="J121" s="563"/>
      <c r="N121" s="444"/>
      <c r="O121" s="382"/>
    </row>
    <row r="122" spans="1:15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  <c r="O122" s="382"/>
    </row>
    <row r="123" spans="1:15" ht="27.75">
      <c r="A123" s="1148" t="s">
        <v>231</v>
      </c>
      <c r="B123" s="1149"/>
      <c r="C123" s="1149"/>
      <c r="D123" s="523" t="s">
        <v>141</v>
      </c>
      <c r="E123" s="478">
        <f>'18'!F123</f>
        <v>815518.29</v>
      </c>
      <c r="F123" s="478">
        <v>815762.73</v>
      </c>
      <c r="G123" s="473">
        <f t="shared" ref="G123:G127" si="13">F123-E123</f>
        <v>244.43999999994412</v>
      </c>
      <c r="H123" s="460">
        <f>G123+'18'!H123</f>
        <v>4755.890000000014</v>
      </c>
      <c r="I123" s="526"/>
      <c r="J123" s="553">
        <f>H123/DAY(B2)</f>
        <v>250.31000000000074</v>
      </c>
      <c r="K123" s="380"/>
      <c r="L123" s="377"/>
      <c r="N123" s="382"/>
      <c r="O123" s="382"/>
    </row>
    <row r="124" spans="1:15" ht="27.75">
      <c r="A124" s="1148" t="s">
        <v>232</v>
      </c>
      <c r="B124" s="1149"/>
      <c r="C124" s="1149"/>
      <c r="D124" s="523" t="s">
        <v>141</v>
      </c>
      <c r="E124" s="627">
        <f>'18'!F124</f>
        <v>73583.399999999994</v>
      </c>
      <c r="F124" s="627">
        <v>73583</v>
      </c>
      <c r="G124" s="473">
        <f t="shared" si="13"/>
        <v>-0.39999999999417923</v>
      </c>
      <c r="H124" s="460">
        <f>G124+'18'!H124</f>
        <v>-0.39999999999417923</v>
      </c>
      <c r="I124" s="526"/>
      <c r="J124" s="553">
        <f>H124/DAY(B2)</f>
        <v>-2.1052631578641012E-2</v>
      </c>
      <c r="K124" s="380"/>
      <c r="L124" s="377"/>
      <c r="N124" s="382"/>
      <c r="O124" s="382"/>
    </row>
    <row r="125" spans="1:15" ht="27.75">
      <c r="A125" s="1408" t="s">
        <v>233</v>
      </c>
      <c r="B125" s="1409"/>
      <c r="C125" s="1410"/>
      <c r="D125" s="523" t="s">
        <v>141</v>
      </c>
      <c r="E125" s="478">
        <f>'18'!F125</f>
        <v>141155.48000000001</v>
      </c>
      <c r="F125" s="478">
        <v>141231.13</v>
      </c>
      <c r="G125" s="473">
        <f t="shared" si="13"/>
        <v>75.649999999994179</v>
      </c>
      <c r="H125" s="460">
        <f>G125+'18'!H125</f>
        <v>1251.7900000000081</v>
      </c>
      <c r="I125" s="526"/>
      <c r="J125" s="553">
        <f>H125/DAY(B2)</f>
        <v>65.883684210526738</v>
      </c>
      <c r="K125" s="380"/>
      <c r="L125" s="377"/>
      <c r="N125" s="382"/>
      <c r="O125" s="382"/>
    </row>
    <row r="126" spans="1:15" ht="27.75">
      <c r="A126" s="610" t="s">
        <v>234</v>
      </c>
      <c r="B126" s="1149"/>
      <c r="C126" s="1149"/>
      <c r="D126" s="523" t="s">
        <v>141</v>
      </c>
      <c r="E126" s="627">
        <f>'18'!F126</f>
        <v>59712.3</v>
      </c>
      <c r="F126" s="627">
        <v>59726.6</v>
      </c>
      <c r="G126" s="473">
        <f t="shared" si="13"/>
        <v>14.299999999995634</v>
      </c>
      <c r="H126" s="460">
        <f>G126+'18'!H126</f>
        <v>419.69999999999709</v>
      </c>
      <c r="I126" s="526"/>
      <c r="J126" s="553">
        <f>H126/DAY(B2)</f>
        <v>22.089473684210372</v>
      </c>
      <c r="K126" s="380"/>
      <c r="L126" s="377"/>
      <c r="N126" s="382"/>
      <c r="O126" s="382"/>
    </row>
    <row r="127" spans="1:15" ht="27.75">
      <c r="A127" s="610" t="s">
        <v>235</v>
      </c>
      <c r="B127" s="1149"/>
      <c r="C127" s="1149"/>
      <c r="D127" s="523" t="s">
        <v>141</v>
      </c>
      <c r="E127" s="627">
        <f>'18'!F127</f>
        <v>8932.2999999999993</v>
      </c>
      <c r="F127" s="627">
        <v>8933.9</v>
      </c>
      <c r="G127" s="473">
        <f t="shared" si="13"/>
        <v>1.6000000000003638</v>
      </c>
      <c r="H127" s="460">
        <f>G127+'18'!H127</f>
        <v>46.100000000000364</v>
      </c>
      <c r="I127" s="480"/>
      <c r="J127" s="553">
        <f>H127/DAY(B2)</f>
        <v>2.4263157894737035</v>
      </c>
      <c r="K127" s="380"/>
      <c r="L127" s="377"/>
      <c r="N127" s="382"/>
      <c r="O127" s="382"/>
    </row>
    <row r="128" spans="1:15" s="281" customFormat="1" ht="27.7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471.0660000000189</v>
      </c>
      <c r="H128" s="460">
        <f>G128+'18'!H128</f>
        <v>1898.5409999998719</v>
      </c>
      <c r="I128" s="480"/>
      <c r="J128" s="553">
        <f>H128/DAY(B2)</f>
        <v>99.923210526309049</v>
      </c>
      <c r="K128" s="364"/>
      <c r="L128" s="292"/>
      <c r="N128" s="365"/>
      <c r="O128" s="382"/>
    </row>
    <row r="129" spans="1:15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  <c r="O129" s="382"/>
    </row>
    <row r="130" spans="1:15" ht="27.75">
      <c r="A130" s="1148" t="s">
        <v>238</v>
      </c>
      <c r="B130" s="1149"/>
      <c r="C130" s="1149"/>
      <c r="D130" s="523" t="s">
        <v>239</v>
      </c>
      <c r="E130" s="484">
        <f>'18'!F130</f>
        <v>0</v>
      </c>
      <c r="F130" s="484">
        <v>0</v>
      </c>
      <c r="G130" s="473">
        <f t="shared" ref="G130:G140" si="14">F130-E130</f>
        <v>0</v>
      </c>
      <c r="H130" s="460">
        <f>G130+'18'!H130</f>
        <v>0</v>
      </c>
      <c r="I130" s="480"/>
      <c r="J130" s="553">
        <f>H130/DAY(B2)</f>
        <v>0</v>
      </c>
      <c r="N130" s="382"/>
      <c r="O130" s="382"/>
    </row>
    <row r="131" spans="1:15" ht="27.75">
      <c r="A131" s="1148" t="s">
        <v>240</v>
      </c>
      <c r="B131" s="1149"/>
      <c r="C131" s="1149"/>
      <c r="D131" s="523" t="s">
        <v>239</v>
      </c>
      <c r="E131" s="484">
        <f>'18'!F131</f>
        <v>0</v>
      </c>
      <c r="F131" s="484">
        <v>0</v>
      </c>
      <c r="G131" s="473">
        <f t="shared" si="14"/>
        <v>0</v>
      </c>
      <c r="H131" s="460">
        <f>G131+'18'!H131</f>
        <v>0</v>
      </c>
      <c r="I131" s="480"/>
      <c r="J131" s="553">
        <f>H131/DAY(B2)</f>
        <v>0</v>
      </c>
      <c r="N131" s="382"/>
      <c r="O131" s="382"/>
    </row>
    <row r="132" spans="1:15" ht="27.75">
      <c r="A132" s="1148" t="s">
        <v>241</v>
      </c>
      <c r="B132" s="1149"/>
      <c r="C132" s="1149"/>
      <c r="D132" s="523" t="s">
        <v>239</v>
      </c>
      <c r="E132" s="542">
        <f>'18'!F132</f>
        <v>39230.33</v>
      </c>
      <c r="F132" s="542">
        <v>39249.360000000001</v>
      </c>
      <c r="G132" s="473">
        <f t="shared" si="14"/>
        <v>19.029999999998836</v>
      </c>
      <c r="H132" s="460">
        <f>G132+'18'!H132</f>
        <v>411.02999999999884</v>
      </c>
      <c r="I132" s="480"/>
      <c r="J132" s="553">
        <f>H132/DAY(B2)</f>
        <v>21.63315789473678</v>
      </c>
      <c r="N132" s="382"/>
      <c r="O132" s="382"/>
    </row>
    <row r="133" spans="1:15" s="441" customFormat="1" ht="27.75">
      <c r="A133" s="1077" t="s">
        <v>242</v>
      </c>
      <c r="B133" s="1078"/>
      <c r="C133" s="1078"/>
      <c r="D133" s="628" t="s">
        <v>239</v>
      </c>
      <c r="E133" s="542">
        <f>'18'!F133</f>
        <v>299</v>
      </c>
      <c r="F133" s="542">
        <v>299</v>
      </c>
      <c r="G133" s="657">
        <f t="shared" si="14"/>
        <v>0</v>
      </c>
      <c r="H133" s="710">
        <f>G133+'18'!H133</f>
        <v>-1</v>
      </c>
      <c r="I133" s="1079">
        <f>G130+G131+G132+G133</f>
        <v>19.029999999998836</v>
      </c>
      <c r="J133" s="712">
        <f>H133/DAY(B2)</f>
        <v>-5.2631578947368418E-2</v>
      </c>
      <c r="N133" s="718"/>
      <c r="O133" s="718"/>
    </row>
    <row r="134" spans="1:15" ht="27.75">
      <c r="A134" s="1148" t="s">
        <v>243</v>
      </c>
      <c r="B134" s="1149"/>
      <c r="C134" s="1149"/>
      <c r="D134" s="523" t="s">
        <v>239</v>
      </c>
      <c r="E134" s="542">
        <f>'18'!F134</f>
        <v>40793.03</v>
      </c>
      <c r="F134" s="542">
        <v>40798</v>
      </c>
      <c r="G134" s="473">
        <f t="shared" si="14"/>
        <v>4.9700000000011642</v>
      </c>
      <c r="H134" s="460">
        <f>G134+'18'!H134</f>
        <v>430.86000000000058</v>
      </c>
      <c r="I134" s="480"/>
      <c r="J134" s="553">
        <f>H134/DAY(B2)</f>
        <v>22.676842105263187</v>
      </c>
      <c r="N134" s="382"/>
      <c r="O134" s="382"/>
    </row>
    <row r="135" spans="1:15" ht="27.75">
      <c r="A135" s="1148" t="s">
        <v>244</v>
      </c>
      <c r="B135" s="1149"/>
      <c r="C135" s="1149"/>
      <c r="D135" s="523" t="s">
        <v>239</v>
      </c>
      <c r="E135" s="542">
        <f>'18'!F135</f>
        <v>32582.92</v>
      </c>
      <c r="F135" s="542">
        <v>32582.92</v>
      </c>
      <c r="G135" s="473">
        <f t="shared" si="14"/>
        <v>0</v>
      </c>
      <c r="H135" s="460">
        <f>G135+'18'!H135</f>
        <v>11.919999999998254</v>
      </c>
      <c r="I135" s="480"/>
      <c r="J135" s="553">
        <f>H135/DAY(B2)</f>
        <v>0.62736842105253965</v>
      </c>
      <c r="N135" s="382"/>
      <c r="O135" s="382"/>
    </row>
    <row r="136" spans="1:15" ht="27.75">
      <c r="A136" s="1148" t="s">
        <v>245</v>
      </c>
      <c r="B136" s="1149"/>
      <c r="C136" s="1149"/>
      <c r="D136" s="523" t="s">
        <v>239</v>
      </c>
      <c r="E136" s="542">
        <f>'18'!F136</f>
        <v>22373.31</v>
      </c>
      <c r="F136" s="542">
        <v>22380.9</v>
      </c>
      <c r="G136" s="473">
        <f t="shared" si="14"/>
        <v>7.5900000000001455</v>
      </c>
      <c r="H136" s="460">
        <f>G136+'18'!H136</f>
        <v>158.69000000000233</v>
      </c>
      <c r="I136" s="480">
        <f>G134+G135+G136</f>
        <v>12.56000000000131</v>
      </c>
      <c r="J136" s="553">
        <f>H136/DAY(B2)</f>
        <v>8.3521052631580179</v>
      </c>
      <c r="N136" s="382"/>
      <c r="O136" s="382"/>
    </row>
    <row r="137" spans="1:15" ht="27.75">
      <c r="A137" s="1148" t="s">
        <v>246</v>
      </c>
      <c r="B137" s="1149"/>
      <c r="C137" s="1149"/>
      <c r="D137" s="523" t="s">
        <v>239</v>
      </c>
      <c r="E137" s="542">
        <f>'18'!F137</f>
        <v>25044.31</v>
      </c>
      <c r="F137" s="542">
        <v>25044.31</v>
      </c>
      <c r="G137" s="473">
        <f t="shared" si="14"/>
        <v>0</v>
      </c>
      <c r="H137" s="460">
        <f>G137+'18'!H137</f>
        <v>0</v>
      </c>
      <c r="I137" s="480"/>
      <c r="J137" s="553">
        <f>H137/DAY(B2)</f>
        <v>0</v>
      </c>
      <c r="N137" s="382"/>
      <c r="O137" s="382"/>
    </row>
    <row r="138" spans="1:15" ht="27.75">
      <c r="A138" s="1148" t="s">
        <v>247</v>
      </c>
      <c r="B138" s="1149"/>
      <c r="C138" s="1149"/>
      <c r="D138" s="523" t="s">
        <v>239</v>
      </c>
      <c r="E138" s="542">
        <f>'18'!F138</f>
        <v>70223.350000000006</v>
      </c>
      <c r="F138" s="542">
        <v>70227.14</v>
      </c>
      <c r="G138" s="473">
        <f t="shared" si="14"/>
        <v>3.7899999999935972</v>
      </c>
      <c r="H138" s="460">
        <f>G138+'18'!H138</f>
        <v>79.80000000000291</v>
      </c>
      <c r="I138" s="480">
        <f>G137+G138</f>
        <v>3.7899999999935972</v>
      </c>
      <c r="J138" s="553">
        <f>H138/DAY(B2)</f>
        <v>4.2000000000001529</v>
      </c>
      <c r="N138" s="382"/>
      <c r="O138" s="382"/>
    </row>
    <row r="139" spans="1:15" ht="27.75">
      <c r="A139" s="1148" t="s">
        <v>248</v>
      </c>
      <c r="B139" s="1149"/>
      <c r="C139" s="1149"/>
      <c r="D139" s="523" t="s">
        <v>239</v>
      </c>
      <c r="E139" s="484">
        <f>'18'!F139</f>
        <v>1536.52</v>
      </c>
      <c r="F139" s="484">
        <v>1536.52</v>
      </c>
      <c r="G139" s="473">
        <f t="shared" si="14"/>
        <v>0</v>
      </c>
      <c r="H139" s="460">
        <f>G139+'18'!H139</f>
        <v>113.37999999999988</v>
      </c>
      <c r="I139" s="543"/>
      <c r="J139" s="553">
        <f>H139/DAY(B2)</f>
        <v>5.9673684210526252</v>
      </c>
      <c r="N139" s="382"/>
      <c r="O139" s="382"/>
    </row>
    <row r="140" spans="1:15" ht="27.75">
      <c r="A140" s="1148" t="s">
        <v>249</v>
      </c>
      <c r="B140" s="1149"/>
      <c r="C140" s="1149"/>
      <c r="D140" s="523" t="s">
        <v>239</v>
      </c>
      <c r="E140" s="484">
        <f>'18'!F140</f>
        <v>4353.2299999999996</v>
      </c>
      <c r="F140" s="484">
        <v>4361.6899999999996</v>
      </c>
      <c r="G140" s="473">
        <f t="shared" si="14"/>
        <v>8.4600000000000364</v>
      </c>
      <c r="H140" s="460">
        <f>G140+'18'!H140</f>
        <v>27.6899999999996</v>
      </c>
      <c r="I140" s="543"/>
      <c r="J140" s="553">
        <f>H140/DAY(B2)</f>
        <v>1.4573684210526106</v>
      </c>
      <c r="N140" s="382"/>
      <c r="O140" s="382"/>
    </row>
    <row r="141" spans="1:15">
      <c r="A141" s="1446" t="s">
        <v>250</v>
      </c>
      <c r="B141" s="1447"/>
      <c r="C141" s="1154"/>
      <c r="D141" s="472"/>
      <c r="E141" s="472"/>
      <c r="F141" s="472" t="s">
        <v>277</v>
      </c>
      <c r="G141" s="483"/>
      <c r="H141" s="483"/>
      <c r="I141" s="483"/>
      <c r="J141" s="564"/>
      <c r="K141" s="380"/>
      <c r="L141" s="377"/>
      <c r="N141" s="382"/>
      <c r="O141" s="382"/>
    </row>
    <row r="142" spans="1:15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5448.1499999999814</v>
      </c>
      <c r="H142" s="460">
        <f>G142+'18'!H142</f>
        <v>109054.83000000003</v>
      </c>
      <c r="I142" s="480"/>
      <c r="J142" s="553">
        <f>H142/DAY(B2)</f>
        <v>5739.7278947368441</v>
      </c>
      <c r="K142" s="380"/>
      <c r="L142" s="377"/>
      <c r="N142" s="382"/>
      <c r="O142" s="382"/>
    </row>
    <row r="143" spans="1:15" ht="27.75">
      <c r="A143" s="1411" t="s">
        <v>252</v>
      </c>
      <c r="B143" s="1412"/>
      <c r="C143" s="1413"/>
      <c r="D143" s="523" t="s">
        <v>24</v>
      </c>
      <c r="E143" s="511"/>
      <c r="F143" s="511"/>
      <c r="G143" s="544">
        <f>G142/G7</f>
        <v>0.27500630962596445</v>
      </c>
      <c r="H143" s="460">
        <f>G143+'18'!H143</f>
        <v>4.9327858186165816</v>
      </c>
      <c r="I143" s="545"/>
      <c r="J143" s="553">
        <f>H143/DAY(B2)</f>
        <v>0.25962030624297799</v>
      </c>
      <c r="K143" s="380"/>
      <c r="L143" s="377"/>
      <c r="N143" s="382"/>
      <c r="O143" s="382"/>
    </row>
    <row r="144" spans="1:15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4813.649999999936</v>
      </c>
      <c r="H144" s="460">
        <f>G144+'18'!H144</f>
        <v>100453.11299999992</v>
      </c>
      <c r="I144" s="480"/>
      <c r="J144" s="553">
        <f>H144/DAY(B2)</f>
        <v>5287.0059473684169</v>
      </c>
      <c r="K144" s="380"/>
      <c r="L144" s="377"/>
      <c r="N144" s="382"/>
      <c r="O144" s="382"/>
    </row>
    <row r="145" spans="1:15" ht="27.75">
      <c r="A145" s="1411" t="s">
        <v>254</v>
      </c>
      <c r="B145" s="1412"/>
      <c r="C145" s="1413"/>
      <c r="D145" s="523" t="s">
        <v>24</v>
      </c>
      <c r="E145" s="455"/>
      <c r="F145" s="455"/>
      <c r="G145" s="544">
        <f>G144/G7</f>
        <v>0.24297864822572995</v>
      </c>
      <c r="H145" s="460">
        <f>G145+'18'!H145</f>
        <v>4.708155661962107</v>
      </c>
      <c r="I145" s="545"/>
      <c r="J145" s="553">
        <f>H145/DAY(B2)</f>
        <v>0.24779766641905826</v>
      </c>
      <c r="K145" s="380"/>
      <c r="L145" s="377"/>
      <c r="N145" s="382"/>
      <c r="O145" s="382"/>
    </row>
    <row r="146" spans="1:15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4021.5299999999988</v>
      </c>
      <c r="H146" s="460">
        <f>G146+'18'!H146</f>
        <v>180220.46</v>
      </c>
      <c r="I146" s="546"/>
      <c r="J146" s="553">
        <f>H146/DAY(B2)</f>
        <v>9485.2873684210517</v>
      </c>
      <c r="K146" s="380"/>
      <c r="L146" s="377"/>
      <c r="N146" s="382"/>
      <c r="O146" s="382"/>
    </row>
    <row r="147" spans="1:15" ht="27.75">
      <c r="A147" s="1411" t="s">
        <v>256</v>
      </c>
      <c r="B147" s="1412"/>
      <c r="C147" s="1413"/>
      <c r="D147" s="523" t="s">
        <v>24</v>
      </c>
      <c r="E147" s="455"/>
      <c r="F147" s="455"/>
      <c r="G147" s="544">
        <f>G146/G7</f>
        <v>0.20299480086820448</v>
      </c>
      <c r="H147" s="460">
        <f>G147+'18'!H147</f>
        <v>8.6753538886886385</v>
      </c>
      <c r="I147" s="546"/>
      <c r="J147" s="553">
        <f>H147/DAY(B2)</f>
        <v>0.45659757308887572</v>
      </c>
      <c r="N147" s="382"/>
      <c r="O147" s="382"/>
    </row>
    <row r="148" spans="1:15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1724.8999999999578</v>
      </c>
      <c r="H148" s="460">
        <f>G148+'18'!H148</f>
        <v>37839.68999999993</v>
      </c>
      <c r="I148" s="480"/>
      <c r="J148" s="553">
        <f>H148/DAY(B2)</f>
        <v>1991.5626315789436</v>
      </c>
      <c r="K148" s="381"/>
      <c r="N148" s="382"/>
      <c r="O148" s="382"/>
    </row>
    <row r="149" spans="1:15" ht="27.75">
      <c r="A149" s="1411" t="s">
        <v>258</v>
      </c>
      <c r="B149" s="1412"/>
      <c r="C149" s="1413"/>
      <c r="D149" s="523" t="s">
        <v>24</v>
      </c>
      <c r="E149" s="455"/>
      <c r="F149" s="455"/>
      <c r="G149" s="544">
        <f>G148/G7</f>
        <v>8.7067790621369837E-2</v>
      </c>
      <c r="H149" s="460">
        <f>G149+'18'!H149</f>
        <v>1.7772828796050821</v>
      </c>
      <c r="I149" s="546"/>
      <c r="J149" s="553">
        <f>H149/DAY(B2)</f>
        <v>9.354120418974117E-2</v>
      </c>
      <c r="N149" s="382"/>
      <c r="O149" s="382"/>
    </row>
    <row r="150" spans="1:15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1783.6299999999464</v>
      </c>
      <c r="H150" s="460">
        <f>G150+'18'!H150</f>
        <v>35555.419999999925</v>
      </c>
      <c r="I150" s="546"/>
      <c r="J150" s="553">
        <f>H150/DAY(B2)</f>
        <v>1871.3378947368383</v>
      </c>
      <c r="N150" s="382"/>
      <c r="O150" s="382"/>
    </row>
    <row r="151" spans="1:15" ht="27.75">
      <c r="A151" s="1411" t="s">
        <v>260</v>
      </c>
      <c r="B151" s="1412"/>
      <c r="C151" s="1413"/>
      <c r="D151" s="523" t="s">
        <v>24</v>
      </c>
      <c r="E151" s="455"/>
      <c r="F151" s="455"/>
      <c r="G151" s="544">
        <f>G150/G7</f>
        <v>9.0032305284940009E-2</v>
      </c>
      <c r="H151" s="460">
        <f>G151+'18'!H151</f>
        <v>1.6653906598573587</v>
      </c>
      <c r="I151" s="480"/>
      <c r="J151" s="553">
        <f>H151/DAY(B2)</f>
        <v>8.7652139992492564E-2</v>
      </c>
      <c r="N151" s="382"/>
      <c r="O151" s="382"/>
    </row>
    <row r="152" spans="1:15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1459.4200000000055</v>
      </c>
      <c r="H152" s="460">
        <f>G152+'18'!H152</f>
        <v>64238.14</v>
      </c>
      <c r="I152" s="480"/>
      <c r="J152" s="553">
        <f>H152/DAY(B2)</f>
        <v>3380.9547368421054</v>
      </c>
      <c r="N152" s="382"/>
      <c r="O152" s="382"/>
    </row>
    <row r="153" spans="1:15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>
        <f>G152/G7</f>
        <v>7.3667154611074939E-2</v>
      </c>
      <c r="H153" s="460">
        <f>G153+'18'!H153</f>
        <v>3.0919312387963975</v>
      </c>
      <c r="I153" s="569"/>
      <c r="J153" s="570">
        <f>H153/DAY(B2)</f>
        <v>0.16273322309454724</v>
      </c>
      <c r="N153" s="382"/>
      <c r="O153" s="382"/>
    </row>
    <row r="154" spans="1:15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  <c r="O154" s="382"/>
    </row>
    <row r="160" spans="1:15">
      <c r="A160" s="790" t="s">
        <v>263</v>
      </c>
      <c r="B160" s="791"/>
      <c r="C160" s="791"/>
      <c r="D160" s="511" t="s">
        <v>187</v>
      </c>
      <c r="E160" s="663">
        <f>'18'!F160</f>
        <v>32330.94</v>
      </c>
      <c r="F160" s="663">
        <v>32414.7</v>
      </c>
      <c r="G160" s="473">
        <f t="shared" ref="G160:G163" si="15">F160-E160</f>
        <v>83.760000000002037</v>
      </c>
    </row>
    <row r="161" spans="1:7">
      <c r="A161" s="790" t="s">
        <v>264</v>
      </c>
      <c r="B161" s="791"/>
      <c r="C161" s="791"/>
      <c r="D161" s="511" t="s">
        <v>187</v>
      </c>
      <c r="E161" s="663">
        <f>'18'!F161</f>
        <v>63163.163</v>
      </c>
      <c r="F161" s="663">
        <v>63565.36</v>
      </c>
      <c r="G161" s="473">
        <f t="shared" si="15"/>
        <v>402.19700000000012</v>
      </c>
    </row>
    <row r="162" spans="1:7">
      <c r="A162" s="790" t="s">
        <v>265</v>
      </c>
      <c r="B162" s="791"/>
      <c r="C162" s="791"/>
      <c r="D162" s="511" t="s">
        <v>187</v>
      </c>
      <c r="E162" s="663">
        <f>'18'!F162</f>
        <v>25627.64</v>
      </c>
      <c r="F162" s="663">
        <v>25895.200000000001</v>
      </c>
      <c r="G162" s="473">
        <f t="shared" si="15"/>
        <v>267.56000000000131</v>
      </c>
    </row>
    <row r="163" spans="1:7">
      <c r="A163" s="790" t="s">
        <v>266</v>
      </c>
      <c r="B163" s="791"/>
      <c r="C163" s="791"/>
      <c r="D163" s="511" t="s">
        <v>187</v>
      </c>
      <c r="E163" s="663">
        <f>'18'!F163</f>
        <v>5629.77</v>
      </c>
      <c r="F163" s="663">
        <v>5640.96</v>
      </c>
      <c r="G163" s="473">
        <f t="shared" si="15"/>
        <v>11.1899999999996</v>
      </c>
    </row>
    <row r="164" spans="1:7">
      <c r="A164" s="792" t="s">
        <v>98</v>
      </c>
      <c r="B164" s="605"/>
      <c r="C164" s="605"/>
      <c r="D164" s="511" t="s">
        <v>187</v>
      </c>
      <c r="E164" s="663">
        <f>'18'!F164</f>
        <v>20419</v>
      </c>
      <c r="F164" s="514">
        <v>20419</v>
      </c>
      <c r="G164" s="473">
        <f t="shared" ref="G164:G165" si="16">F164-E164</f>
        <v>0</v>
      </c>
    </row>
    <row r="165" spans="1:7">
      <c r="A165" s="792" t="s">
        <v>188</v>
      </c>
      <c r="B165" s="605"/>
      <c r="C165" s="605"/>
      <c r="D165" s="511" t="s">
        <v>187</v>
      </c>
      <c r="E165" s="663">
        <f>'18'!F165</f>
        <v>1946.58</v>
      </c>
      <c r="F165" s="514">
        <v>1946.58</v>
      </c>
      <c r="G165" s="473">
        <f t="shared" si="16"/>
        <v>0</v>
      </c>
    </row>
    <row r="166" spans="1:7" ht="27.75">
      <c r="A166" s="1460" t="s">
        <v>99</v>
      </c>
      <c r="B166" s="1460"/>
      <c r="C166" s="1460"/>
      <c r="D166" s="523" t="s">
        <v>187</v>
      </c>
      <c r="E166" s="663">
        <f>'18'!F166</f>
        <v>132862.85</v>
      </c>
      <c r="F166" s="514">
        <v>106166</v>
      </c>
      <c r="G166" s="473">
        <f>F64-E64</f>
        <v>499.66000000000349</v>
      </c>
    </row>
    <row r="167" spans="1:7" ht="27.75">
      <c r="A167" s="1460" t="s">
        <v>100</v>
      </c>
      <c r="B167" s="1460"/>
      <c r="C167" s="1460"/>
      <c r="D167" s="523" t="s">
        <v>187</v>
      </c>
      <c r="E167" s="663">
        <f>'18'!F167</f>
        <v>139317.76999999999</v>
      </c>
      <c r="F167" s="514">
        <v>116811.03</v>
      </c>
      <c r="G167" s="473">
        <f t="shared" ref="G167:G171" si="17">F65-E65</f>
        <v>362.18000000002212</v>
      </c>
    </row>
    <row r="168" spans="1:7" ht="27.75">
      <c r="A168" s="1460" t="s">
        <v>101</v>
      </c>
      <c r="B168" s="1460"/>
      <c r="C168" s="1460"/>
      <c r="D168" s="523" t="s">
        <v>187</v>
      </c>
      <c r="E168" s="663">
        <f>'18'!F168</f>
        <v>32100.9</v>
      </c>
      <c r="F168" s="514">
        <v>9380.09</v>
      </c>
      <c r="G168" s="473">
        <f t="shared" si="17"/>
        <v>338.5099999999984</v>
      </c>
    </row>
    <row r="169" spans="1:7" ht="27.75">
      <c r="A169" s="1460" t="s">
        <v>102</v>
      </c>
      <c r="B169" s="1460"/>
      <c r="C169" s="1460"/>
      <c r="D169" s="523" t="s">
        <v>187</v>
      </c>
      <c r="E169" s="663">
        <f>'18'!F169</f>
        <v>220090.11</v>
      </c>
      <c r="F169" s="514">
        <v>180787.83</v>
      </c>
      <c r="G169" s="473">
        <f t="shared" si="17"/>
        <v>688.72000000000116</v>
      </c>
    </row>
    <row r="170" spans="1:7" ht="27.75">
      <c r="A170" s="1460" t="s">
        <v>103</v>
      </c>
      <c r="B170" s="1460"/>
      <c r="C170" s="1460"/>
      <c r="D170" s="523" t="s">
        <v>187</v>
      </c>
      <c r="E170" s="663">
        <f>'18'!F170</f>
        <v>78736.27</v>
      </c>
      <c r="F170" s="514">
        <v>59451.31</v>
      </c>
      <c r="G170" s="473">
        <f t="shared" si="17"/>
        <v>300.19999999999709</v>
      </c>
    </row>
    <row r="171" spans="1:7" ht="27.75">
      <c r="A171" s="1460" t="s">
        <v>104</v>
      </c>
      <c r="B171" s="1460"/>
      <c r="C171" s="1460"/>
      <c r="D171" s="523" t="s">
        <v>187</v>
      </c>
      <c r="E171" s="663">
        <f>'18'!F171</f>
        <v>70255.09</v>
      </c>
      <c r="F171" s="514">
        <v>52064.98</v>
      </c>
      <c r="G171" s="473">
        <f t="shared" si="17"/>
        <v>294.54000000000815</v>
      </c>
    </row>
    <row r="172" spans="1:7">
      <c r="G172" s="538">
        <f>SUM(G160:G171)</f>
        <v>3248.5170000000335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67" zoomScale="55" zoomScaleSheetLayoutView="55" zoomScalePageLayoutView="78" workbookViewId="0">
      <selection activeCell="F76" sqref="F76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1372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5" s="281" customFormat="1" ht="27">
      <c r="A2" s="576" t="s">
        <v>355</v>
      </c>
      <c r="B2" s="1038">
        <v>44275</v>
      </c>
      <c r="C2" s="1150" t="s">
        <v>69</v>
      </c>
      <c r="D2" s="612">
        <v>0.60219999999999996</v>
      </c>
      <c r="E2" s="461"/>
      <c r="F2" s="461"/>
      <c r="G2" s="1342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150" t="s">
        <v>120</v>
      </c>
      <c r="D3" s="613">
        <v>28</v>
      </c>
      <c r="E3" s="1432" t="s">
        <v>121</v>
      </c>
      <c r="F3" s="1433"/>
      <c r="G3" s="1343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</row>
    <row r="4" spans="1:15" s="281" customFormat="1" ht="27">
      <c r="A4" s="577"/>
      <c r="B4" s="617"/>
      <c r="C4" s="1150" t="s">
        <v>122</v>
      </c>
      <c r="D4" s="612">
        <v>0.51</v>
      </c>
      <c r="E4" s="464"/>
      <c r="F4" s="464"/>
      <c r="G4" s="1343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4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26" t="s">
        <v>130</v>
      </c>
      <c r="B6" s="1427"/>
      <c r="C6" s="1428"/>
      <c r="D6" s="471"/>
      <c r="E6" s="471"/>
      <c r="F6" s="471"/>
      <c r="G6" s="1345"/>
      <c r="H6" s="472"/>
      <c r="I6" s="472"/>
      <c r="J6" s="552"/>
      <c r="K6" s="427"/>
      <c r="L6" s="377"/>
    </row>
    <row r="7" spans="1:15" ht="30" thickBot="1">
      <c r="A7" s="579" t="s">
        <v>131</v>
      </c>
      <c r="B7" s="580"/>
      <c r="C7" s="580"/>
      <c r="D7" s="523" t="s">
        <v>132</v>
      </c>
      <c r="E7" s="455">
        <f>'19'!F7</f>
        <v>4849749</v>
      </c>
      <c r="F7" s="455">
        <v>4871292</v>
      </c>
      <c r="G7" s="1346">
        <f>F7-E7</f>
        <v>21543</v>
      </c>
      <c r="H7" s="460">
        <f>G7+'19'!H7</f>
        <v>426215</v>
      </c>
      <c r="I7" s="474">
        <f>'1'!I7</f>
        <v>12000</v>
      </c>
      <c r="J7" s="553">
        <f>H7/DAY(B2)</f>
        <v>21310.75</v>
      </c>
      <c r="K7" s="550">
        <v>11998</v>
      </c>
      <c r="L7" s="377">
        <f>G7-K7</f>
        <v>9545</v>
      </c>
      <c r="N7" s="382"/>
      <c r="O7" s="382"/>
    </row>
    <row r="8" spans="1:15" ht="27.75" thickBot="1">
      <c r="A8" s="581" t="s">
        <v>133</v>
      </c>
      <c r="B8" s="582"/>
      <c r="C8" s="583"/>
      <c r="D8" s="618" t="s">
        <v>25</v>
      </c>
      <c r="E8" s="475">
        <f>'19'!F8</f>
        <v>4880011</v>
      </c>
      <c r="F8" s="475">
        <v>4901625</v>
      </c>
      <c r="G8" s="1347">
        <f>F8-E8</f>
        <v>21614</v>
      </c>
      <c r="H8" s="460">
        <f>G8+'19'!H8</f>
        <v>428469</v>
      </c>
      <c r="I8" s="477">
        <f>'1'!I8</f>
        <v>12000</v>
      </c>
      <c r="J8" s="553">
        <f>H8/DAY(B2)</f>
        <v>21423.45</v>
      </c>
      <c r="K8" s="550"/>
      <c r="L8" s="425"/>
      <c r="M8" s="440"/>
      <c r="N8" s="382"/>
      <c r="O8" s="382"/>
    </row>
    <row r="9" spans="1:15">
      <c r="A9" s="584" t="s">
        <v>134</v>
      </c>
      <c r="B9" s="585"/>
      <c r="C9" s="585"/>
      <c r="D9" s="523" t="s">
        <v>132</v>
      </c>
      <c r="E9" s="478">
        <f>'19'!F9</f>
        <v>141182.67000000001</v>
      </c>
      <c r="F9" s="478">
        <v>160986</v>
      </c>
      <c r="G9" s="1346">
        <f t="shared" ref="G9:G12" si="0">F9-E9</f>
        <v>19803.329999999987</v>
      </c>
      <c r="H9" s="460">
        <f>G9+'19'!H9</f>
        <v>74076.990000000005</v>
      </c>
      <c r="I9" s="479">
        <f>I8-J8</f>
        <v>-9423.4500000000007</v>
      </c>
      <c r="J9" s="553">
        <f>H9/DAY(B2)</f>
        <v>3703.8495000000003</v>
      </c>
      <c r="K9" s="428"/>
      <c r="L9" s="377"/>
      <c r="N9" s="382"/>
      <c r="O9" s="382"/>
    </row>
    <row r="10" spans="1:15">
      <c r="A10" s="579" t="s">
        <v>135</v>
      </c>
      <c r="B10" s="580"/>
      <c r="C10" s="580"/>
      <c r="D10" s="523" t="s">
        <v>132</v>
      </c>
      <c r="E10" s="478">
        <f>'19'!F10</f>
        <v>1245.6199999999999</v>
      </c>
      <c r="F10" s="478">
        <v>2324.48</v>
      </c>
      <c r="G10" s="1346">
        <f t="shared" si="0"/>
        <v>1078.8600000000001</v>
      </c>
      <c r="H10" s="460">
        <f>G10+'19'!H10</f>
        <v>335060.96999999997</v>
      </c>
      <c r="I10" s="480"/>
      <c r="J10" s="553">
        <f>H10/DAY(B2)</f>
        <v>16753.048499999997</v>
      </c>
      <c r="K10" s="428"/>
      <c r="L10" s="377"/>
      <c r="N10" s="382"/>
      <c r="O10" s="382"/>
    </row>
    <row r="11" spans="1:15">
      <c r="A11" s="579" t="s">
        <v>136</v>
      </c>
      <c r="B11" s="580"/>
      <c r="C11" s="580"/>
      <c r="D11" s="523" t="s">
        <v>132</v>
      </c>
      <c r="E11" s="455">
        <f>'19'!F11</f>
        <v>37000</v>
      </c>
      <c r="F11" s="455">
        <v>37000</v>
      </c>
      <c r="G11" s="1346">
        <f t="shared" si="0"/>
        <v>0</v>
      </c>
      <c r="H11" s="460">
        <f>G11+'19'!H11</f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>
      <c r="A12" s="579" t="s">
        <v>137</v>
      </c>
      <c r="B12" s="580"/>
      <c r="C12" s="580"/>
      <c r="D12" s="523" t="s">
        <v>132</v>
      </c>
      <c r="E12" s="478">
        <f>'19'!F12</f>
        <v>40010</v>
      </c>
      <c r="F12" s="478">
        <v>40010</v>
      </c>
      <c r="G12" s="1346">
        <f t="shared" si="0"/>
        <v>0</v>
      </c>
      <c r="H12" s="460">
        <f>G12+'19'!H12</f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>
      <c r="A13" s="586" t="s">
        <v>138</v>
      </c>
      <c r="B13" s="587"/>
      <c r="C13" s="587"/>
      <c r="D13" s="523"/>
      <c r="E13" s="455"/>
      <c r="F13" s="455"/>
      <c r="G13" s="1348">
        <f>G9+G10+G11+G12</f>
        <v>20882.189999999988</v>
      </c>
      <c r="H13" s="460">
        <f>G13+'19'!H13</f>
        <v>388143.96</v>
      </c>
      <c r="I13" s="482">
        <f>G7-G13</f>
        <v>660.81000000001222</v>
      </c>
      <c r="J13" s="553">
        <f>H13/DAY(B2)</f>
        <v>19407.198</v>
      </c>
      <c r="K13" s="428"/>
      <c r="L13" s="377"/>
      <c r="N13" s="382"/>
      <c r="O13" s="382"/>
    </row>
    <row r="14" spans="1:15">
      <c r="A14" s="1429" t="s">
        <v>139</v>
      </c>
      <c r="B14" s="1430"/>
      <c r="C14" s="1431"/>
      <c r="D14" s="472"/>
      <c r="E14" s="472"/>
      <c r="F14" s="472"/>
      <c r="G14" s="1349"/>
      <c r="H14" s="472"/>
      <c r="I14" s="472"/>
      <c r="J14" s="552"/>
      <c r="K14" s="429"/>
      <c r="L14" s="377"/>
      <c r="N14" s="382"/>
      <c r="O14" s="382"/>
    </row>
    <row r="15" spans="1:15">
      <c r="A15" s="1148" t="s">
        <v>140</v>
      </c>
      <c r="B15" s="590"/>
      <c r="C15" s="590"/>
      <c r="D15" s="523" t="s">
        <v>141</v>
      </c>
      <c r="E15" s="484">
        <f>'19'!F15</f>
        <v>1636116.66</v>
      </c>
      <c r="F15" s="484">
        <v>1637039</v>
      </c>
      <c r="G15" s="1350">
        <f>(F15-E15)</f>
        <v>922.34000000008382</v>
      </c>
      <c r="H15" s="460">
        <f>G15+'19'!H15</f>
        <v>17160.389999999898</v>
      </c>
      <c r="I15" s="474">
        <v>800</v>
      </c>
      <c r="J15" s="553">
        <f>H15/DAY(B2)</f>
        <v>858.01949999999488</v>
      </c>
      <c r="K15" s="428"/>
      <c r="L15" s="377"/>
      <c r="N15" s="382"/>
      <c r="O15" s="726"/>
    </row>
    <row r="16" spans="1:15">
      <c r="A16" s="588"/>
      <c r="B16" s="589"/>
      <c r="C16" s="589"/>
      <c r="D16" s="524"/>
      <c r="E16" s="485"/>
      <c r="F16" s="485"/>
      <c r="G16" s="1346"/>
      <c r="H16" s="486"/>
      <c r="I16" s="487">
        <f>I15-J15</f>
        <v>-58.019499999994878</v>
      </c>
      <c r="J16" s="554"/>
      <c r="K16" s="428"/>
      <c r="L16" s="377"/>
      <c r="N16" s="382"/>
      <c r="O16" s="382"/>
    </row>
    <row r="17" spans="1:15">
      <c r="A17" s="1429" t="s">
        <v>142</v>
      </c>
      <c r="B17" s="1430"/>
      <c r="C17" s="1431"/>
      <c r="D17" s="472"/>
      <c r="E17" s="472"/>
      <c r="F17" s="472"/>
      <c r="G17" s="1349"/>
      <c r="H17" s="472"/>
      <c r="I17" s="472"/>
      <c r="J17" s="552"/>
      <c r="K17" s="428"/>
      <c r="L17" s="377"/>
      <c r="N17" s="382"/>
      <c r="O17" s="382"/>
    </row>
    <row r="18" spans="1:15" ht="27.75">
      <c r="A18" s="1411" t="s">
        <v>143</v>
      </c>
      <c r="B18" s="1412"/>
      <c r="C18" s="1413"/>
      <c r="D18" s="523" t="s">
        <v>144</v>
      </c>
      <c r="E18" s="484">
        <f>'19'!F18</f>
        <v>12</v>
      </c>
      <c r="F18" s="484">
        <v>10</v>
      </c>
      <c r="G18" s="1348">
        <f>F18*10</f>
        <v>100</v>
      </c>
      <c r="H18" s="460">
        <f>G18+'19'!H18</f>
        <v>2640</v>
      </c>
      <c r="I18" s="474">
        <f>'1'!I18</f>
        <v>65</v>
      </c>
      <c r="J18" s="553">
        <f>H18/DAY(B2)</f>
        <v>132</v>
      </c>
      <c r="K18" s="428"/>
      <c r="L18" s="377"/>
      <c r="N18" s="382"/>
      <c r="O18" s="382"/>
    </row>
    <row r="19" spans="1:15" ht="27.75">
      <c r="A19" s="1411" t="s">
        <v>71</v>
      </c>
      <c r="B19" s="1412"/>
      <c r="C19" s="1413"/>
      <c r="D19" s="523" t="s">
        <v>144</v>
      </c>
      <c r="E19" s="484">
        <f>'19'!F19</f>
        <v>135458</v>
      </c>
      <c r="F19" s="484">
        <v>135510</v>
      </c>
      <c r="G19" s="1346">
        <f t="shared" ref="G19" si="1">F19-E19</f>
        <v>52</v>
      </c>
      <c r="H19" s="460">
        <f>G19+'19'!H19</f>
        <v>1042</v>
      </c>
      <c r="I19" s="489"/>
      <c r="J19" s="553">
        <f>H19/DAY(B2)</f>
        <v>52.1</v>
      </c>
      <c r="K19" s="428"/>
      <c r="L19" s="377"/>
      <c r="N19" s="382"/>
      <c r="O19" s="382"/>
    </row>
    <row r="20" spans="1:15">
      <c r="A20" s="586" t="s">
        <v>145</v>
      </c>
      <c r="B20" s="587"/>
      <c r="C20" s="587"/>
      <c r="D20" s="490"/>
      <c r="E20" s="490"/>
      <c r="F20" s="490"/>
      <c r="G20" s="1351">
        <f>G18+G19</f>
        <v>152</v>
      </c>
      <c r="H20" s="460">
        <f>G20+'19'!H20</f>
        <v>3682</v>
      </c>
      <c r="I20" s="492">
        <f>I18-J20</f>
        <v>-119.1</v>
      </c>
      <c r="J20" s="553">
        <f>H20/DAY(B2)</f>
        <v>184.1</v>
      </c>
      <c r="K20" s="428"/>
      <c r="L20" s="377"/>
      <c r="N20" s="382"/>
      <c r="O20" s="382"/>
    </row>
    <row r="21" spans="1:15">
      <c r="A21" s="1429" t="s">
        <v>146</v>
      </c>
      <c r="B21" s="1430"/>
      <c r="C21" s="1431"/>
      <c r="D21" s="472"/>
      <c r="E21" s="472"/>
      <c r="F21" s="472"/>
      <c r="G21" s="1349"/>
      <c r="H21" s="472"/>
      <c r="I21" s="472"/>
      <c r="J21" s="552"/>
      <c r="K21" s="428"/>
      <c r="L21" s="377"/>
      <c r="N21" s="382"/>
      <c r="O21" s="382"/>
    </row>
    <row r="22" spans="1:15">
      <c r="A22" s="1148" t="s">
        <v>147</v>
      </c>
      <c r="B22" s="590"/>
      <c r="C22" s="590"/>
      <c r="D22" s="523" t="s">
        <v>148</v>
      </c>
      <c r="E22" s="484">
        <f>'19'!F22</f>
        <v>2250</v>
      </c>
      <c r="F22" s="484">
        <v>2250</v>
      </c>
      <c r="G22" s="1348">
        <v>0</v>
      </c>
      <c r="H22" s="460">
        <f>G22+'19'!H22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>
      <c r="A23" s="1148" t="s">
        <v>149</v>
      </c>
      <c r="B23" s="590"/>
      <c r="C23" s="590"/>
      <c r="D23" s="523" t="s">
        <v>148</v>
      </c>
      <c r="E23" s="484">
        <f>'19'!F23</f>
        <v>2000</v>
      </c>
      <c r="F23" s="484">
        <v>2000</v>
      </c>
      <c r="G23" s="1348">
        <v>0</v>
      </c>
      <c r="H23" s="460">
        <f>G23+'19'!H23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>
      <c r="A24" s="591" t="s">
        <v>150</v>
      </c>
      <c r="B24" s="592"/>
      <c r="C24" s="592"/>
      <c r="D24" s="511" t="s">
        <v>148</v>
      </c>
      <c r="E24" s="332">
        <v>4250</v>
      </c>
      <c r="F24" s="332">
        <v>4250</v>
      </c>
      <c r="G24" s="1348">
        <v>0</v>
      </c>
      <c r="H24" s="460">
        <f>G24+'19'!H24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>
      <c r="A25" s="1434" t="s">
        <v>151</v>
      </c>
      <c r="B25" s="1435"/>
      <c r="C25" s="1436"/>
      <c r="D25" s="471"/>
      <c r="E25" s="471"/>
      <c r="F25" s="471"/>
      <c r="G25" s="1352"/>
      <c r="H25" s="495"/>
      <c r="I25" s="496"/>
      <c r="J25" s="555"/>
      <c r="K25" s="373"/>
      <c r="L25" s="443"/>
      <c r="N25" s="444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97"/>
      <c r="G26" s="1353"/>
      <c r="H26" s="460"/>
      <c r="I26" s="499"/>
      <c r="J26" s="553"/>
      <c r="K26" s="374"/>
      <c r="L26" s="443"/>
      <c r="N26" s="444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1">
        <f>G8</f>
        <v>21614</v>
      </c>
      <c r="F27" s="501">
        <v>9</v>
      </c>
      <c r="G27" s="1354">
        <f>E27*F27</f>
        <v>194526</v>
      </c>
      <c r="H27" s="460">
        <f>G27+'19'!H27</f>
        <v>3856221</v>
      </c>
      <c r="I27" s="503"/>
      <c r="J27" s="553">
        <f>H27/DAY(B2)</f>
        <v>192811.05</v>
      </c>
      <c r="K27" s="373"/>
      <c r="L27" s="443"/>
      <c r="N27" s="444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1">
        <f>G15</f>
        <v>922.34000000008382</v>
      </c>
      <c r="F28" s="501">
        <v>43.5</v>
      </c>
      <c r="G28" s="1354">
        <f>E28*F28</f>
        <v>40121.790000003646</v>
      </c>
      <c r="H28" s="460">
        <f>G28+'19'!H28</f>
        <v>812066.64319999504</v>
      </c>
      <c r="I28" s="505"/>
      <c r="J28" s="553">
        <f>H28/DAY(B2)</f>
        <v>40603.332159999751</v>
      </c>
      <c r="K28" s="373"/>
      <c r="L28" s="443"/>
      <c r="N28" s="444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1354">
        <f>E29*F29</f>
        <v>0</v>
      </c>
      <c r="H29" s="460">
        <f>G29+'19'!H29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1">
        <f>G19</f>
        <v>52</v>
      </c>
      <c r="F30" s="501">
        <v>134</v>
      </c>
      <c r="G30" s="1354">
        <f>E30*F30</f>
        <v>6968</v>
      </c>
      <c r="H30" s="460">
        <f>G30+'19'!H30</f>
        <v>157316</v>
      </c>
      <c r="I30" s="505"/>
      <c r="J30" s="553">
        <f>H30/DAY(B2)</f>
        <v>7865.8</v>
      </c>
      <c r="K30" s="373"/>
      <c r="L30" s="443"/>
      <c r="N30" s="444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1">
        <f>G18</f>
        <v>100</v>
      </c>
      <c r="F31" s="501">
        <v>80</v>
      </c>
      <c r="G31" s="1354">
        <f>E31*F31</f>
        <v>8000</v>
      </c>
      <c r="H31" s="460">
        <f>G31+'19'!H31</f>
        <v>200640</v>
      </c>
      <c r="I31" s="505"/>
      <c r="J31" s="553">
        <f>H31/DAY(B2)</f>
        <v>10032</v>
      </c>
      <c r="K31" s="373"/>
      <c r="L31" s="443"/>
      <c r="N31" s="444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07"/>
      <c r="G32" s="1355">
        <f>G27+G28+G29+G30+G31</f>
        <v>249615.79000000365</v>
      </c>
      <c r="H32" s="460">
        <f>G32+'19'!H32</f>
        <v>5026243.6431999952</v>
      </c>
      <c r="I32" s="509"/>
      <c r="J32" s="553">
        <f>H32/DAY(B2)</f>
        <v>251312.18215999976</v>
      </c>
      <c r="K32" s="373"/>
      <c r="L32" s="443"/>
      <c r="N32" s="444"/>
      <c r="O32" s="382"/>
    </row>
    <row r="33" spans="1:15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382"/>
      <c r="O33" s="382"/>
    </row>
    <row r="34" spans="1:15">
      <c r="A34" s="599" t="s">
        <v>163</v>
      </c>
      <c r="B34" s="1153"/>
      <c r="C34" s="1153"/>
      <c r="D34" s="472"/>
      <c r="E34" s="471"/>
      <c r="F34" s="471"/>
      <c r="G34" s="1356"/>
      <c r="H34" s="472"/>
      <c r="I34" s="472"/>
      <c r="J34" s="552" t="s">
        <v>325</v>
      </c>
      <c r="K34" s="428"/>
      <c r="L34" s="377"/>
      <c r="N34" s="382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'19'!F35</f>
        <v>758191.59</v>
      </c>
      <c r="F35" s="510">
        <v>761545.59</v>
      </c>
      <c r="G35" s="1346">
        <f t="shared" ref="G35:G46" si="2">F35-E35</f>
        <v>3354</v>
      </c>
      <c r="H35" s="460">
        <f>G35+'19'!H35</f>
        <v>68458</v>
      </c>
      <c r="I35" s="455"/>
      <c r="J35" s="553">
        <f>H35/DAY(B2)</f>
        <v>3422.9</v>
      </c>
      <c r="K35" s="428">
        <v>1457.2799999999697</v>
      </c>
      <c r="L35" s="377">
        <f>G35-K35</f>
        <v>1896.7200000000303</v>
      </c>
      <c r="N35" s="382"/>
      <c r="O35" s="629"/>
    </row>
    <row r="36" spans="1:15">
      <c r="A36" s="579" t="s">
        <v>165</v>
      </c>
      <c r="B36" s="580"/>
      <c r="C36" s="580"/>
      <c r="D36" s="523" t="s">
        <v>132</v>
      </c>
      <c r="E36" s="510">
        <f>'19'!F36</f>
        <v>308903.67</v>
      </c>
      <c r="F36" s="510">
        <v>309506.81</v>
      </c>
      <c r="G36" s="1346">
        <f t="shared" si="2"/>
        <v>603.14000000001397</v>
      </c>
      <c r="H36" s="460">
        <f>G36+'19'!H36</f>
        <v>13061.239999999991</v>
      </c>
      <c r="I36" s="455"/>
      <c r="J36" s="553">
        <f>H36/DAY(B2)</f>
        <v>653.06199999999956</v>
      </c>
      <c r="K36" s="428">
        <v>483.92999999999302</v>
      </c>
      <c r="L36" s="377">
        <f t="shared" ref="L36:L60" si="3">G36-K36</f>
        <v>119.21000000002095</v>
      </c>
      <c r="N36" s="382"/>
      <c r="O36" s="629"/>
    </row>
    <row r="37" spans="1:15">
      <c r="A37" s="579" t="s">
        <v>166</v>
      </c>
      <c r="B37" s="580"/>
      <c r="C37" s="580"/>
      <c r="D37" s="523" t="s">
        <v>132</v>
      </c>
      <c r="E37" s="510">
        <f>'19'!F37</f>
        <v>36544.11</v>
      </c>
      <c r="F37" s="510">
        <v>38112.53</v>
      </c>
      <c r="G37" s="1346">
        <f>F37-E37</f>
        <v>1568.4199999999983</v>
      </c>
      <c r="H37" s="460">
        <f>G37+'19'!H37</f>
        <v>41217.61</v>
      </c>
      <c r="I37" s="455"/>
      <c r="J37" s="553">
        <f>H37/DAY(B2)</f>
        <v>2060.8805000000002</v>
      </c>
      <c r="K37" s="428">
        <v>1173.9200000000128</v>
      </c>
      <c r="L37" s="377">
        <f>G37-K37</f>
        <v>394.49999999998545</v>
      </c>
      <c r="N37" s="382"/>
      <c r="O37" s="382"/>
    </row>
    <row r="38" spans="1:15">
      <c r="A38" s="579" t="s">
        <v>167</v>
      </c>
      <c r="B38" s="580"/>
      <c r="C38" s="580"/>
      <c r="D38" s="523" t="s">
        <v>132</v>
      </c>
      <c r="E38" s="510">
        <f>'19'!F38</f>
        <v>49959.82</v>
      </c>
      <c r="F38" s="469">
        <v>51763.73</v>
      </c>
      <c r="G38" s="1346">
        <f t="shared" si="2"/>
        <v>1803.9100000000035</v>
      </c>
      <c r="H38" s="460">
        <f>G38+'19'!H38</f>
        <v>7950.2400000000052</v>
      </c>
      <c r="I38" s="455"/>
      <c r="J38" s="553">
        <f>H38/DAY(B2)</f>
        <v>397.51200000000028</v>
      </c>
      <c r="K38" s="428">
        <v>0</v>
      </c>
      <c r="L38" s="377">
        <f t="shared" si="3"/>
        <v>1803.9100000000035</v>
      </c>
      <c r="N38" s="382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'19'!F39</f>
        <v>103843.97</v>
      </c>
      <c r="F39" s="510">
        <v>108097.37</v>
      </c>
      <c r="G39" s="1346">
        <f t="shared" si="2"/>
        <v>4253.3999999999942</v>
      </c>
      <c r="H39" s="460">
        <f>G39+'19'!H39</f>
        <v>117490.26</v>
      </c>
      <c r="I39" s="455"/>
      <c r="J39" s="553">
        <f>H39/DAY(B2)</f>
        <v>5874.5129999999999</v>
      </c>
      <c r="K39" s="428">
        <v>1987.0400000000373</v>
      </c>
      <c r="L39" s="377">
        <f t="shared" si="3"/>
        <v>2266.3599999999569</v>
      </c>
      <c r="N39" s="382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f>'19'!F40</f>
        <v>0.23</v>
      </c>
      <c r="F40" s="510">
        <v>0.23</v>
      </c>
      <c r="G40" s="1346">
        <f t="shared" si="2"/>
        <v>0</v>
      </c>
      <c r="H40" s="460">
        <f>G40+'19'!H40</f>
        <v>0.17</v>
      </c>
      <c r="I40" s="455"/>
      <c r="J40" s="553">
        <f>H40/DAY(B2)</f>
        <v>8.5000000000000006E-3</v>
      </c>
      <c r="K40" s="429">
        <v>0</v>
      </c>
      <c r="L40" s="377">
        <f t="shared" si="3"/>
        <v>0</v>
      </c>
      <c r="N40" s="382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'19'!F41</f>
        <v>71050.09</v>
      </c>
      <c r="F41" s="510">
        <v>75394.27</v>
      </c>
      <c r="G41" s="1346">
        <f t="shared" si="2"/>
        <v>4344.1800000000076</v>
      </c>
      <c r="H41" s="460">
        <f>G41+'19'!H41</f>
        <v>11511.900000000001</v>
      </c>
      <c r="I41" s="455"/>
      <c r="J41" s="553">
        <f>H41/DAY(B2)</f>
        <v>575.59500000000003</v>
      </c>
      <c r="K41" s="428">
        <v>0</v>
      </c>
      <c r="L41" s="377">
        <f t="shared" si="3"/>
        <v>4344.1800000000076</v>
      </c>
      <c r="N41" s="382"/>
      <c r="O41" s="726"/>
    </row>
    <row r="42" spans="1:15">
      <c r="A42" s="579" t="s">
        <v>171</v>
      </c>
      <c r="B42" s="580"/>
      <c r="C42" s="580"/>
      <c r="D42" s="523" t="s">
        <v>132</v>
      </c>
      <c r="E42" s="510">
        <f>'19'!F42</f>
        <v>59128.163</v>
      </c>
      <c r="F42" s="510">
        <v>59128.163</v>
      </c>
      <c r="G42" s="1346">
        <f t="shared" si="2"/>
        <v>0</v>
      </c>
      <c r="H42" s="460">
        <f>G42+'19'!H42</f>
        <v>-0.68699999999807915</v>
      </c>
      <c r="I42" s="455"/>
      <c r="J42" s="553">
        <f>H42/DAY(B2)</f>
        <v>-3.4349999999903957E-2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'19'!F43</f>
        <v>872164.63</v>
      </c>
      <c r="F43" s="510">
        <v>874608.55</v>
      </c>
      <c r="G43" s="1346">
        <f t="shared" si="2"/>
        <v>2443.9200000000419</v>
      </c>
      <c r="H43" s="460">
        <f>G43+'19'!H43</f>
        <v>48710.720000000088</v>
      </c>
      <c r="I43" s="455"/>
      <c r="J43" s="553">
        <f>H43/DAY(B2)</f>
        <v>2435.5360000000046</v>
      </c>
      <c r="K43" s="428">
        <v>1559.2000000000116</v>
      </c>
      <c r="L43" s="377">
        <f t="shared" si="3"/>
        <v>884.72000000003027</v>
      </c>
      <c r="N43" s="382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'19'!F44</f>
        <v>0</v>
      </c>
      <c r="F44" s="510">
        <v>0</v>
      </c>
      <c r="G44" s="1346">
        <f t="shared" si="2"/>
        <v>0</v>
      </c>
      <c r="H44" s="460">
        <f>G44+'19'!H44</f>
        <v>0</v>
      </c>
      <c r="I44" s="455"/>
      <c r="J44" s="553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'19'!F45</f>
        <v>614</v>
      </c>
      <c r="F45" s="510">
        <v>614</v>
      </c>
      <c r="G45" s="1346">
        <f t="shared" si="2"/>
        <v>0</v>
      </c>
      <c r="H45" s="460">
        <f>G45+'19'!H45</f>
        <v>0</v>
      </c>
      <c r="I45" s="455"/>
      <c r="J45" s="553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'19'!F46</f>
        <v>187.44</v>
      </c>
      <c r="F46" s="510">
        <v>187.44</v>
      </c>
      <c r="G46" s="1346">
        <f t="shared" si="2"/>
        <v>0</v>
      </c>
      <c r="H46" s="460">
        <f>G46+'19'!H46</f>
        <v>0.43999999999999773</v>
      </c>
      <c r="I46" s="455"/>
      <c r="J46" s="553">
        <f>H46/DAY(B2)</f>
        <v>2.1999999999999888E-2</v>
      </c>
      <c r="K46" s="428">
        <v>0</v>
      </c>
      <c r="L46" s="377">
        <f t="shared" si="3"/>
        <v>0</v>
      </c>
      <c r="N46" s="382"/>
      <c r="O46" s="382"/>
    </row>
    <row r="47" spans="1:15">
      <c r="A47" s="586" t="s">
        <v>176</v>
      </c>
      <c r="B47" s="587"/>
      <c r="C47" s="587"/>
      <c r="D47" s="470"/>
      <c r="E47" s="511"/>
      <c r="F47" s="511"/>
      <c r="G47" s="1348">
        <f>G35+G36+G37+G38+G39+G40+G41+G42+G43+G44+G45+G46</f>
        <v>18370.970000000059</v>
      </c>
      <c r="H47" s="460">
        <f>G47+'19'!H47</f>
        <v>308399.89300000004</v>
      </c>
      <c r="I47" s="455"/>
      <c r="J47" s="553">
        <f>H47/DAY(B2)</f>
        <v>15419.994650000002</v>
      </c>
      <c r="K47" s="428">
        <v>9907.8200000000252</v>
      </c>
      <c r="L47" s="377">
        <f t="shared" si="3"/>
        <v>8463.1500000000342</v>
      </c>
      <c r="N47" s="382"/>
      <c r="O47" s="382"/>
    </row>
    <row r="48" spans="1:15">
      <c r="A48" s="599" t="s">
        <v>177</v>
      </c>
      <c r="B48" s="1153"/>
      <c r="C48" s="1153"/>
      <c r="D48" s="472"/>
      <c r="E48" s="471"/>
      <c r="F48" s="471"/>
      <c r="G48" s="1356"/>
      <c r="H48" s="472"/>
      <c r="I48" s="472"/>
      <c r="J48" s="552"/>
      <c r="K48" s="428"/>
      <c r="L48" s="377">
        <f t="shared" si="3"/>
        <v>0</v>
      </c>
      <c r="N48" s="382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'19'!F49</f>
        <v>260732.13</v>
      </c>
      <c r="F49" s="510">
        <v>260732.13</v>
      </c>
      <c r="G49" s="1346">
        <f t="shared" ref="G49:G58" si="4">F49-E49</f>
        <v>0</v>
      </c>
      <c r="H49" s="460">
        <f>G49+'19'!H49</f>
        <v>0</v>
      </c>
      <c r="I49" s="455"/>
      <c r="J49" s="553">
        <f>H49/DAY(B2)</f>
        <v>0</v>
      </c>
      <c r="K49" s="428">
        <v>0</v>
      </c>
      <c r="L49" s="377">
        <f t="shared" si="3"/>
        <v>0</v>
      </c>
      <c r="N49" s="382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'19'!F50</f>
        <v>425560.35</v>
      </c>
      <c r="F50" s="510">
        <v>426965.83</v>
      </c>
      <c r="G50" s="1346">
        <f t="shared" si="4"/>
        <v>1405.4800000000396</v>
      </c>
      <c r="H50" s="460">
        <f>G50+'19'!H50</f>
        <v>23308.799999999988</v>
      </c>
      <c r="I50" s="455"/>
      <c r="J50" s="553">
        <f>H50/DAY(B2)</f>
        <v>1165.4399999999994</v>
      </c>
      <c r="K50" s="428">
        <v>631.67000000001281</v>
      </c>
      <c r="L50" s="377">
        <f t="shared" si="3"/>
        <v>773.81000000002678</v>
      </c>
      <c r="N50" s="382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'19'!F51</f>
        <v>144639.87</v>
      </c>
      <c r="F51" s="510">
        <v>144639.87</v>
      </c>
      <c r="G51" s="1346">
        <f t="shared" si="4"/>
        <v>0</v>
      </c>
      <c r="H51" s="460">
        <f>G51+'19'!H51</f>
        <v>23039.949999999997</v>
      </c>
      <c r="I51" s="455"/>
      <c r="J51" s="553">
        <f>H51/DAY(B2)</f>
        <v>1151.9974999999999</v>
      </c>
      <c r="K51" s="428">
        <v>0</v>
      </c>
      <c r="L51" s="377">
        <f t="shared" si="3"/>
        <v>0</v>
      </c>
      <c r="N51" s="382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'19'!F52</f>
        <v>539606.06999999995</v>
      </c>
      <c r="F52" s="510">
        <v>539606.06999999995</v>
      </c>
      <c r="G52" s="1346">
        <f t="shared" si="4"/>
        <v>0</v>
      </c>
      <c r="H52" s="460">
        <f>G52+'19'!H52</f>
        <v>29647.359999999928</v>
      </c>
      <c r="I52" s="455"/>
      <c r="J52" s="553">
        <f>H52/DAY(B2)</f>
        <v>1482.3679999999963</v>
      </c>
      <c r="K52" s="428">
        <v>1057.5200000000186</v>
      </c>
      <c r="L52" s="377">
        <f t="shared" si="3"/>
        <v>-1057.5200000000186</v>
      </c>
      <c r="N52" s="382"/>
      <c r="O52" s="726"/>
    </row>
    <row r="53" spans="1:15">
      <c r="A53" s="579" t="s">
        <v>168</v>
      </c>
      <c r="B53" s="602"/>
      <c r="C53" s="602"/>
      <c r="D53" s="523" t="s">
        <v>132</v>
      </c>
      <c r="E53" s="510">
        <f>'19'!F53</f>
        <v>398838.11</v>
      </c>
      <c r="F53" s="510">
        <v>399013.63</v>
      </c>
      <c r="G53" s="1346">
        <f t="shared" si="4"/>
        <v>175.52000000001863</v>
      </c>
      <c r="H53" s="460">
        <f>G53+'19'!H53</f>
        <v>62974.119999999995</v>
      </c>
      <c r="I53" s="455"/>
      <c r="J53" s="553">
        <f>H53/DAY(B2)</f>
        <v>3148.7059999999997</v>
      </c>
      <c r="K53" s="428">
        <v>106.48999999999978</v>
      </c>
      <c r="L53" s="377">
        <f t="shared" si="3"/>
        <v>69.030000000018845</v>
      </c>
      <c r="N53" s="382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'19'!F54</f>
        <v>8273.39</v>
      </c>
      <c r="F54" s="510">
        <v>8354.56</v>
      </c>
      <c r="G54" s="1346">
        <f t="shared" si="4"/>
        <v>81.170000000000073</v>
      </c>
      <c r="H54" s="460">
        <f>G54+'19'!H54</f>
        <v>258.96000000000004</v>
      </c>
      <c r="I54" s="455"/>
      <c r="J54" s="553">
        <f>H54/DAY(B2)</f>
        <v>12.948000000000002</v>
      </c>
      <c r="K54" s="428">
        <v>0</v>
      </c>
      <c r="L54" s="377">
        <f t="shared" si="3"/>
        <v>81.170000000000073</v>
      </c>
      <c r="N54" s="382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'19'!F55</f>
        <v>208055.21</v>
      </c>
      <c r="F55" s="510">
        <v>208980.55</v>
      </c>
      <c r="G55" s="1346">
        <f t="shared" si="4"/>
        <v>925.33999999999651</v>
      </c>
      <c r="H55" s="460">
        <f>G55+'19'!H55</f>
        <v>86395.859999999986</v>
      </c>
      <c r="I55" s="455"/>
      <c r="J55" s="553">
        <f>H55/DAY(B2)</f>
        <v>4319.7929999999997</v>
      </c>
      <c r="K55" s="428">
        <v>0</v>
      </c>
      <c r="L55" s="377">
        <f t="shared" si="3"/>
        <v>925.33999999999651</v>
      </c>
      <c r="N55" s="382"/>
      <c r="O55" s="382"/>
    </row>
    <row r="56" spans="1:15">
      <c r="A56" s="579" t="s">
        <v>182</v>
      </c>
      <c r="B56" s="602"/>
      <c r="C56" s="602"/>
      <c r="D56" s="523" t="s">
        <v>183</v>
      </c>
      <c r="E56" s="510">
        <f>'19'!F56</f>
        <v>588867.59</v>
      </c>
      <c r="F56" s="510">
        <v>588876.43000000005</v>
      </c>
      <c r="G56" s="1346">
        <f t="shared" si="4"/>
        <v>8.840000000083819</v>
      </c>
      <c r="H56" s="460">
        <f>G56+'19'!H56</f>
        <v>2825.4000000000233</v>
      </c>
      <c r="I56" s="455"/>
      <c r="J56" s="553">
        <f>H56/DAY(B2)</f>
        <v>141.27000000000118</v>
      </c>
      <c r="K56" s="427">
        <v>0</v>
      </c>
      <c r="L56" s="377">
        <f t="shared" si="3"/>
        <v>8.840000000083819</v>
      </c>
      <c r="N56" s="382"/>
      <c r="O56" s="382"/>
    </row>
    <row r="57" spans="1:15">
      <c r="A57" s="579" t="s">
        <v>172</v>
      </c>
      <c r="B57" s="602"/>
      <c r="C57" s="602"/>
      <c r="D57" s="523" t="s">
        <v>132</v>
      </c>
      <c r="E57" s="510">
        <f>'19'!F57</f>
        <v>7711</v>
      </c>
      <c r="F57" s="510">
        <v>7711</v>
      </c>
      <c r="G57" s="1346">
        <f t="shared" si="4"/>
        <v>0</v>
      </c>
      <c r="H57" s="460">
        <f>G57+'19'!H57</f>
        <v>-0.32999999999992724</v>
      </c>
      <c r="I57" s="455"/>
      <c r="J57" s="553">
        <f>H57/DAY(B2)</f>
        <v>-1.6499999999996361E-2</v>
      </c>
      <c r="K57" s="428">
        <v>0</v>
      </c>
      <c r="L57" s="377">
        <f t="shared" si="3"/>
        <v>0</v>
      </c>
      <c r="N57" s="382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'19'!F58</f>
        <v>39330.17</v>
      </c>
      <c r="F58" s="510">
        <v>39512.25</v>
      </c>
      <c r="G58" s="1346">
        <f t="shared" si="4"/>
        <v>182.08000000000175</v>
      </c>
      <c r="H58" s="460">
        <f>G58+'19'!H58</f>
        <v>3447.5500000000029</v>
      </c>
      <c r="I58" s="455"/>
      <c r="J58" s="553">
        <f>H58/DAY(B2)</f>
        <v>172.37750000000014</v>
      </c>
      <c r="K58" s="428">
        <v>0</v>
      </c>
      <c r="L58" s="377">
        <f t="shared" si="3"/>
        <v>182.08000000000175</v>
      </c>
      <c r="N58" s="382"/>
      <c r="O58" s="382"/>
    </row>
    <row r="59" spans="1:15">
      <c r="A59" s="586" t="s">
        <v>176</v>
      </c>
      <c r="B59" s="587"/>
      <c r="C59" s="587"/>
      <c r="D59" s="511"/>
      <c r="E59" s="511"/>
      <c r="F59" s="511"/>
      <c r="G59" s="1348">
        <f>G49+G50+G51+G52+G53+G54+G55+G56+G57+G58</f>
        <v>2778.4300000001404</v>
      </c>
      <c r="H59" s="460">
        <f>G59+'19'!H59</f>
        <v>231897.6699999999</v>
      </c>
      <c r="I59" s="455">
        <f>G7-G60</f>
        <v>393.59999999980209</v>
      </c>
      <c r="J59" s="553">
        <f>H59/DAY(B2)</f>
        <v>11594.883499999994</v>
      </c>
      <c r="K59" s="428">
        <v>1795.6800000000312</v>
      </c>
      <c r="L59" s="377">
        <f t="shared" si="3"/>
        <v>982.75000000010914</v>
      </c>
      <c r="N59" s="382"/>
      <c r="O59" s="382"/>
    </row>
    <row r="60" spans="1:15">
      <c r="A60" s="579"/>
      <c r="B60" s="580"/>
      <c r="C60" s="580"/>
      <c r="D60" s="511" t="s">
        <v>185</v>
      </c>
      <c r="E60" s="511"/>
      <c r="F60" s="511"/>
      <c r="G60" s="1348">
        <f>G47+G59</f>
        <v>21149.400000000198</v>
      </c>
      <c r="H60" s="460">
        <f>G60+'19'!H60</f>
        <v>554466.56300000008</v>
      </c>
      <c r="I60" s="455">
        <f>G13-G60</f>
        <v>-267.21000000021013</v>
      </c>
      <c r="J60" s="553">
        <f>H60/DAY(B2)</f>
        <v>27723.328150000005</v>
      </c>
      <c r="K60" s="428">
        <v>11703.500000000056</v>
      </c>
      <c r="L60" s="377">
        <f t="shared" si="3"/>
        <v>9445.9000000001415</v>
      </c>
      <c r="N60" s="382"/>
      <c r="O60" s="382"/>
    </row>
    <row r="61" spans="1:15">
      <c r="A61" s="603" t="s">
        <v>186</v>
      </c>
      <c r="B61" s="453"/>
      <c r="C61" s="453"/>
      <c r="D61" s="513"/>
      <c r="E61" s="512"/>
      <c r="F61" s="512"/>
      <c r="G61" s="1357"/>
      <c r="H61" s="513"/>
      <c r="I61" s="513"/>
      <c r="J61" s="556"/>
      <c r="K61" s="428"/>
      <c r="L61" s="377"/>
      <c r="N61" s="382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'19'!F62</f>
        <v>20419.2</v>
      </c>
      <c r="F62" s="514">
        <v>20419.2</v>
      </c>
      <c r="G62" s="1346">
        <f t="shared" ref="G62:G69" si="5">F62-E62</f>
        <v>0</v>
      </c>
      <c r="H62" s="460">
        <f>G62+'19'!H62</f>
        <v>1.299999999901047E-2</v>
      </c>
      <c r="I62" s="515"/>
      <c r="J62" s="553">
        <f>H62/DAY(B2)</f>
        <v>6.4999999995052349E-4</v>
      </c>
      <c r="K62" s="428"/>
      <c r="L62" s="377"/>
      <c r="N62" s="382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'19'!F63</f>
        <v>1957.21</v>
      </c>
      <c r="F63" s="514">
        <v>1967.95</v>
      </c>
      <c r="G63" s="1346">
        <f t="shared" si="5"/>
        <v>10.740000000000009</v>
      </c>
      <c r="H63" s="460">
        <f>G63+'19'!H63</f>
        <v>260.59000000000015</v>
      </c>
      <c r="I63" s="515"/>
      <c r="J63" s="553">
        <f>H63/DAY(B2)</f>
        <v>13.029500000000008</v>
      </c>
      <c r="K63" s="428"/>
      <c r="L63" s="377"/>
      <c r="N63" s="382"/>
      <c r="O63" s="382"/>
    </row>
    <row r="64" spans="1:15" ht="27.75">
      <c r="A64" s="1408" t="s">
        <v>99</v>
      </c>
      <c r="B64" s="1409"/>
      <c r="C64" s="1410"/>
      <c r="D64" s="523" t="s">
        <v>187</v>
      </c>
      <c r="E64" s="484">
        <f>'19'!F64</f>
        <v>133362.51</v>
      </c>
      <c r="F64" s="484">
        <v>133862.37</v>
      </c>
      <c r="G64" s="1346">
        <f t="shared" si="5"/>
        <v>499.85999999998603</v>
      </c>
      <c r="H64" s="460">
        <f>G64+'19'!H64</f>
        <v>10235.069999999992</v>
      </c>
      <c r="I64" s="480"/>
      <c r="J64" s="553">
        <f>H64/DAY(B2)</f>
        <v>511.75349999999963</v>
      </c>
      <c r="K64" s="428"/>
      <c r="L64" s="377"/>
      <c r="N64" s="382"/>
      <c r="O64" s="382"/>
    </row>
    <row r="65" spans="1:15" ht="27.75">
      <c r="A65" s="1408" t="s">
        <v>100</v>
      </c>
      <c r="B65" s="1409"/>
      <c r="C65" s="1410"/>
      <c r="D65" s="523" t="s">
        <v>187</v>
      </c>
      <c r="E65" s="484">
        <f>'19'!F65</f>
        <v>139679.95000000001</v>
      </c>
      <c r="F65" s="484">
        <v>140044.29</v>
      </c>
      <c r="G65" s="1346">
        <f t="shared" si="5"/>
        <v>364.33999999999651</v>
      </c>
      <c r="H65" s="460">
        <f>G65+'19'!H65</f>
        <v>7446.9900000000198</v>
      </c>
      <c r="I65" s="489"/>
      <c r="J65" s="553">
        <f>H65/DAY(B2)</f>
        <v>372.349500000001</v>
      </c>
      <c r="K65" s="428"/>
      <c r="L65" s="377"/>
      <c r="N65" s="382"/>
      <c r="O65" s="382"/>
    </row>
    <row r="66" spans="1:15" ht="27.75">
      <c r="A66" s="1408" t="s">
        <v>101</v>
      </c>
      <c r="B66" s="1409"/>
      <c r="C66" s="1410"/>
      <c r="D66" s="523" t="s">
        <v>187</v>
      </c>
      <c r="E66" s="484">
        <f>'19'!F66</f>
        <v>32439.41</v>
      </c>
      <c r="F66" s="484">
        <v>32782.800000000003</v>
      </c>
      <c r="G66" s="1346">
        <f t="shared" si="5"/>
        <v>343.39000000000306</v>
      </c>
      <c r="H66" s="460">
        <f>G66+'19'!H66</f>
        <v>7623.0500000000029</v>
      </c>
      <c r="I66" s="480"/>
      <c r="J66" s="553">
        <f>H66/DAY(B2)</f>
        <v>381.15250000000015</v>
      </c>
      <c r="K66" s="428"/>
      <c r="L66" s="377"/>
      <c r="N66" s="382"/>
      <c r="O66" s="382"/>
    </row>
    <row r="67" spans="1:15" ht="27.75">
      <c r="A67" s="1408" t="s">
        <v>102</v>
      </c>
      <c r="B67" s="1409"/>
      <c r="C67" s="1410"/>
      <c r="D67" s="523" t="s">
        <v>187</v>
      </c>
      <c r="E67" s="484">
        <f>'19'!F67</f>
        <v>220778.83</v>
      </c>
      <c r="F67" s="484">
        <v>221548.83</v>
      </c>
      <c r="G67" s="1346">
        <f t="shared" si="5"/>
        <v>770</v>
      </c>
      <c r="H67" s="460">
        <f>G67+'19'!H67</f>
        <v>13707</v>
      </c>
      <c r="I67" s="489"/>
      <c r="J67" s="553">
        <f>H67/DAY(B2)</f>
        <v>685.35</v>
      </c>
      <c r="K67" s="429"/>
      <c r="L67" s="377"/>
      <c r="N67" s="382"/>
      <c r="O67" s="382"/>
    </row>
    <row r="68" spans="1:15" ht="27.75">
      <c r="A68" s="1408" t="s">
        <v>103</v>
      </c>
      <c r="B68" s="1409"/>
      <c r="C68" s="1410"/>
      <c r="D68" s="523" t="s">
        <v>187</v>
      </c>
      <c r="E68" s="484">
        <f>'19'!F68</f>
        <v>79036.47</v>
      </c>
      <c r="F68" s="484">
        <v>79364.5</v>
      </c>
      <c r="G68" s="1346">
        <f t="shared" si="5"/>
        <v>328.02999999999884</v>
      </c>
      <c r="H68" s="460">
        <f>G68+'19'!H68</f>
        <v>6685.9799999999959</v>
      </c>
      <c r="I68" s="516"/>
      <c r="J68" s="553">
        <f>H68/DAY(B2)</f>
        <v>334.29899999999981</v>
      </c>
      <c r="K68" s="430"/>
      <c r="L68" s="377"/>
      <c r="N68" s="382"/>
      <c r="O68" s="382"/>
    </row>
    <row r="69" spans="1:15" ht="27.75">
      <c r="A69" s="1408" t="s">
        <v>104</v>
      </c>
      <c r="B69" s="1409"/>
      <c r="C69" s="1410"/>
      <c r="D69" s="523" t="s">
        <v>187</v>
      </c>
      <c r="E69" s="484">
        <f>'19'!F69</f>
        <v>70549.63</v>
      </c>
      <c r="F69" s="484">
        <v>70863.710000000006</v>
      </c>
      <c r="G69" s="1346">
        <f t="shared" si="5"/>
        <v>314.08000000000175</v>
      </c>
      <c r="H69" s="460">
        <f>G69+'19'!H69</f>
        <v>6411.6200000000099</v>
      </c>
      <c r="I69" s="516"/>
      <c r="J69" s="553">
        <f>H69/DAY(B2)</f>
        <v>320.58100000000047</v>
      </c>
      <c r="K69" s="431"/>
      <c r="L69" s="377"/>
      <c r="N69" s="382"/>
      <c r="O69" s="382"/>
    </row>
    <row r="70" spans="1:15" ht="27.75">
      <c r="A70" s="1440" t="s">
        <v>189</v>
      </c>
      <c r="B70" s="1441"/>
      <c r="C70" s="1442"/>
      <c r="D70" s="523" t="s">
        <v>187</v>
      </c>
      <c r="E70" s="518"/>
      <c r="F70" s="518"/>
      <c r="G70" s="1358"/>
      <c r="H70" s="460">
        <f>G70+'13'!H70</f>
        <v>0</v>
      </c>
      <c r="I70" s="518"/>
      <c r="J70" s="557"/>
      <c r="K70" s="431"/>
      <c r="L70" s="377"/>
      <c r="N70" s="382"/>
      <c r="O70" s="382"/>
    </row>
    <row r="71" spans="1:15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382"/>
      <c r="O71" s="382"/>
    </row>
    <row r="72" spans="1:15" ht="27.75">
      <c r="A72" s="1408" t="s">
        <v>191</v>
      </c>
      <c r="B72" s="1409"/>
      <c r="C72" s="1410"/>
      <c r="D72" s="523" t="s">
        <v>187</v>
      </c>
      <c r="E72" s="519">
        <f>'19'!F72</f>
        <v>852253</v>
      </c>
      <c r="F72" s="519">
        <v>852362</v>
      </c>
      <c r="G72" s="1346">
        <f t="shared" ref="G72:G84" si="6">F72-E72</f>
        <v>109</v>
      </c>
      <c r="H72" s="460">
        <f>G72+'19'!H72</f>
        <v>1680</v>
      </c>
      <c r="I72" s="480"/>
      <c r="J72" s="553">
        <f>H72/DAY(B2)</f>
        <v>84</v>
      </c>
      <c r="K72" s="431"/>
      <c r="L72" s="377"/>
      <c r="N72" s="382"/>
      <c r="O72" s="382"/>
    </row>
    <row r="73" spans="1:15" ht="27.75">
      <c r="A73" s="1408" t="s">
        <v>192</v>
      </c>
      <c r="B73" s="1409"/>
      <c r="C73" s="1410"/>
      <c r="D73" s="523" t="s">
        <v>187</v>
      </c>
      <c r="E73" s="519">
        <f>'19'!F73</f>
        <v>885778</v>
      </c>
      <c r="F73" s="520">
        <v>885786</v>
      </c>
      <c r="G73" s="1346">
        <f t="shared" si="6"/>
        <v>8</v>
      </c>
      <c r="H73" s="460">
        <f>G73+'19'!H73</f>
        <v>1128</v>
      </c>
      <c r="I73" s="480"/>
      <c r="J73" s="553">
        <f>H73/DAY(B2)</f>
        <v>56.4</v>
      </c>
      <c r="K73" s="430"/>
      <c r="L73" s="377"/>
      <c r="N73" s="382"/>
      <c r="O73" s="382"/>
    </row>
    <row r="74" spans="1:15" ht="27.75">
      <c r="A74" s="1480" t="s">
        <v>193</v>
      </c>
      <c r="B74" s="1481"/>
      <c r="C74" s="1482"/>
      <c r="D74" s="523" t="s">
        <v>187</v>
      </c>
      <c r="E74" s="519">
        <f>'19'!F74</f>
        <v>1101.17</v>
      </c>
      <c r="F74" s="521">
        <v>1120.0999999999999</v>
      </c>
      <c r="G74" s="1346">
        <f t="shared" si="6"/>
        <v>18.929999999999836</v>
      </c>
      <c r="H74" s="460">
        <f>G74+'19'!H74</f>
        <v>533.92999999999995</v>
      </c>
      <c r="I74" s="480"/>
      <c r="J74" s="553">
        <f>H74/DAY(B2)</f>
        <v>26.696499999999997</v>
      </c>
      <c r="K74" s="431"/>
      <c r="L74" s="377"/>
      <c r="N74" s="382"/>
      <c r="O74" s="382"/>
    </row>
    <row r="75" spans="1:15" ht="27.75">
      <c r="A75" s="1457" t="s">
        <v>194</v>
      </c>
      <c r="B75" s="1458"/>
      <c r="C75" s="1459"/>
      <c r="D75" s="523" t="s">
        <v>187</v>
      </c>
      <c r="E75" s="519">
        <f>'19'!F75</f>
        <v>6661</v>
      </c>
      <c r="F75" s="521">
        <v>6859</v>
      </c>
      <c r="G75" s="1346">
        <f t="shared" si="6"/>
        <v>198</v>
      </c>
      <c r="H75" s="460">
        <f>G75+'19'!H75</f>
        <v>3339.78</v>
      </c>
      <c r="I75" s="480"/>
      <c r="J75" s="553">
        <f>H75/DAY(B2)</f>
        <v>166.989</v>
      </c>
      <c r="K75" s="430"/>
      <c r="L75" s="377"/>
      <c r="N75" s="382"/>
      <c r="O75" s="382"/>
    </row>
    <row r="76" spans="1:15" ht="27.75">
      <c r="A76" s="1457" t="s">
        <v>195</v>
      </c>
      <c r="B76" s="1458"/>
      <c r="C76" s="1459"/>
      <c r="D76" s="523" t="s">
        <v>187</v>
      </c>
      <c r="E76" s="519">
        <f>'19'!F76</f>
        <v>3060.36</v>
      </c>
      <c r="F76" s="659">
        <v>3138.47</v>
      </c>
      <c r="G76" s="1346">
        <f>F76-E76</f>
        <v>78.109999999999673</v>
      </c>
      <c r="H76" s="460">
        <f>G76+'19'!H76</f>
        <v>2663.25</v>
      </c>
      <c r="I76" s="505"/>
      <c r="J76" s="553">
        <f>H76/DAY(B2)</f>
        <v>133.16249999999999</v>
      </c>
      <c r="K76" s="430"/>
      <c r="L76" s="377"/>
      <c r="N76" s="382"/>
      <c r="O76" s="382"/>
    </row>
    <row r="77" spans="1:15" ht="27.75">
      <c r="A77" s="1408" t="s">
        <v>196</v>
      </c>
      <c r="B77" s="1409"/>
      <c r="C77" s="1410"/>
      <c r="D77" s="523" t="s">
        <v>187</v>
      </c>
      <c r="E77" s="519">
        <f>'19'!F77</f>
        <v>699608</v>
      </c>
      <c r="F77" s="521">
        <v>699657</v>
      </c>
      <c r="G77" s="1346">
        <f t="shared" si="6"/>
        <v>49</v>
      </c>
      <c r="H77" s="460">
        <f>G77+'19'!H77</f>
        <v>1069</v>
      </c>
      <c r="I77" s="505"/>
      <c r="J77" s="553">
        <f>H77/DAY(B2)</f>
        <v>53.45</v>
      </c>
      <c r="K77" s="430"/>
      <c r="L77" s="377"/>
      <c r="N77" s="382"/>
      <c r="O77" s="382"/>
    </row>
    <row r="78" spans="1:15" ht="27.75">
      <c r="A78" s="1151" t="s">
        <v>197</v>
      </c>
      <c r="B78" s="1124"/>
      <c r="C78" s="1124"/>
      <c r="D78" s="523" t="s">
        <v>187</v>
      </c>
      <c r="E78" s="521">
        <f>'19'!F78</f>
        <v>660640</v>
      </c>
      <c r="F78" s="521">
        <v>661159</v>
      </c>
      <c r="G78" s="1346">
        <f t="shared" si="6"/>
        <v>519</v>
      </c>
      <c r="H78" s="460">
        <f>G78+'19'!H78</f>
        <v>8296</v>
      </c>
      <c r="I78" s="505"/>
      <c r="J78" s="553">
        <f>H78/DAY(B2)</f>
        <v>414.8</v>
      </c>
      <c r="K78" s="430"/>
      <c r="L78" s="377"/>
      <c r="N78" s="382"/>
      <c r="O78" s="382"/>
    </row>
    <row r="79" spans="1:15" ht="27.75">
      <c r="A79" s="1457" t="s">
        <v>92</v>
      </c>
      <c r="B79" s="1458"/>
      <c r="C79" s="1459"/>
      <c r="D79" s="524" t="s">
        <v>187</v>
      </c>
      <c r="E79" s="521">
        <f>'19'!F79</f>
        <v>819000</v>
      </c>
      <c r="F79" s="521">
        <v>819187</v>
      </c>
      <c r="G79" s="1346">
        <f t="shared" si="6"/>
        <v>187</v>
      </c>
      <c r="H79" s="460">
        <f>G79+'19'!H79</f>
        <v>6588</v>
      </c>
      <c r="I79" s="505"/>
      <c r="J79" s="553">
        <f>H79/DAY(B2)</f>
        <v>329.4</v>
      </c>
      <c r="K79" s="430"/>
      <c r="L79" s="377"/>
      <c r="N79" s="382"/>
      <c r="O79" s="382"/>
    </row>
    <row r="80" spans="1:15" ht="27.75">
      <c r="A80" s="1457" t="s">
        <v>198</v>
      </c>
      <c r="B80" s="1458"/>
      <c r="C80" s="1459"/>
      <c r="D80" s="524" t="s">
        <v>187</v>
      </c>
      <c r="E80" s="520">
        <f>'19'!F80</f>
        <v>501399.03999999998</v>
      </c>
      <c r="F80" s="520">
        <v>501795.55</v>
      </c>
      <c r="G80" s="1346">
        <f t="shared" si="6"/>
        <v>396.51000000000931</v>
      </c>
      <c r="H80" s="460">
        <f>G80+'19'!H80</f>
        <v>5181.5499999999884</v>
      </c>
      <c r="I80" s="505"/>
      <c r="J80" s="553">
        <f>H80/DAY(B2)</f>
        <v>259.07749999999942</v>
      </c>
      <c r="K80" s="430"/>
      <c r="L80" s="377"/>
      <c r="N80" s="382"/>
      <c r="O80" s="382"/>
    </row>
    <row r="81" spans="1:15" ht="27.75">
      <c r="A81" s="1457" t="s">
        <v>199</v>
      </c>
      <c r="B81" s="1458"/>
      <c r="C81" s="1459"/>
      <c r="D81" s="524" t="s">
        <v>187</v>
      </c>
      <c r="E81" s="520">
        <f>'19'!F81</f>
        <v>628016.12</v>
      </c>
      <c r="F81" s="520">
        <v>628110.92000000004</v>
      </c>
      <c r="G81" s="1346">
        <f t="shared" si="6"/>
        <v>94.800000000046566</v>
      </c>
      <c r="H81" s="460">
        <f>G81+'19'!H81</f>
        <v>2167.0800000000745</v>
      </c>
      <c r="I81" s="505"/>
      <c r="J81" s="553">
        <f>H81/DAY(B2)</f>
        <v>108.35400000000372</v>
      </c>
      <c r="K81" s="430"/>
      <c r="L81" s="377"/>
      <c r="N81" s="382"/>
      <c r="O81" s="382"/>
    </row>
    <row r="82" spans="1:15" ht="27.75">
      <c r="A82" s="1457" t="s">
        <v>93</v>
      </c>
      <c r="B82" s="1458"/>
      <c r="C82" s="1459"/>
      <c r="D82" s="485" t="s">
        <v>132</v>
      </c>
      <c r="E82" s="522">
        <f>'19'!F82</f>
        <v>106625.59</v>
      </c>
      <c r="F82" s="522">
        <v>106646.68</v>
      </c>
      <c r="G82" s="1346">
        <f t="shared" si="6"/>
        <v>21.089999999996508</v>
      </c>
      <c r="H82" s="460">
        <f>G82+'19'!H82</f>
        <v>444.19999999999709</v>
      </c>
      <c r="I82" s="486"/>
      <c r="J82" s="553">
        <f>H82/DAY(B2)</f>
        <v>22.209999999999855</v>
      </c>
      <c r="K82" s="430"/>
      <c r="L82" s="377"/>
      <c r="N82" s="382"/>
      <c r="O82" s="382"/>
    </row>
    <row r="83" spans="1:15" ht="27.75">
      <c r="A83" s="1457" t="s">
        <v>200</v>
      </c>
      <c r="B83" s="1458"/>
      <c r="C83" s="1459"/>
      <c r="D83" s="621" t="s">
        <v>132</v>
      </c>
      <c r="E83" s="511">
        <f>'19'!F83</f>
        <v>3659</v>
      </c>
      <c r="F83" s="511">
        <v>3888</v>
      </c>
      <c r="G83" s="1346">
        <f t="shared" si="6"/>
        <v>229</v>
      </c>
      <c r="H83" s="460">
        <f>G83+'19'!H83</f>
        <v>7291</v>
      </c>
      <c r="I83" s="481"/>
      <c r="J83" s="553">
        <f>H83/DAY(B2)</f>
        <v>364.55</v>
      </c>
      <c r="K83" s="429"/>
      <c r="L83" s="377"/>
      <c r="N83" s="382"/>
      <c r="O83" s="726"/>
    </row>
    <row r="84" spans="1:15">
      <c r="A84" s="1152" t="s">
        <v>201</v>
      </c>
      <c r="B84" s="572"/>
      <c r="C84" s="572"/>
      <c r="D84" s="478" t="s">
        <v>132</v>
      </c>
      <c r="E84" s="628">
        <f>'19'!F84</f>
        <v>445475</v>
      </c>
      <c r="F84" s="628">
        <v>446161</v>
      </c>
      <c r="G84" s="1346">
        <f t="shared" si="6"/>
        <v>686</v>
      </c>
      <c r="H84" s="460">
        <f>G84+'19'!H84</f>
        <v>15363</v>
      </c>
      <c r="I84" s="481"/>
      <c r="J84" s="553">
        <f>H84/DAY(B2)</f>
        <v>768.15</v>
      </c>
      <c r="K84" s="380"/>
      <c r="L84" s="377"/>
      <c r="N84" s="382"/>
      <c r="O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1359">
        <f xml:space="preserve"> SUM(G72:G84)</f>
        <v>2594.4400000000519</v>
      </c>
      <c r="H85" s="460">
        <f>G85+'19'!H85</f>
        <v>51086.649999999994</v>
      </c>
      <c r="I85" s="481"/>
      <c r="J85" s="553">
        <f>H85/DAY(B2)</f>
        <v>2554.3324999999995</v>
      </c>
      <c r="K85" s="380"/>
      <c r="L85" s="378"/>
      <c r="N85" s="782"/>
      <c r="O85" s="726"/>
    </row>
    <row r="86" spans="1:15" s="740" customFormat="1">
      <c r="A86" s="735" t="s">
        <v>94</v>
      </c>
      <c r="B86" s="736"/>
      <c r="C86" s="736"/>
      <c r="D86" s="737" t="s">
        <v>183</v>
      </c>
      <c r="E86" s="652">
        <f>'19'!F86</f>
        <v>452767.72</v>
      </c>
      <c r="F86" s="652">
        <v>452861.04</v>
      </c>
      <c r="G86" s="1360">
        <f>F86-E86</f>
        <v>93.320000000006985</v>
      </c>
      <c r="H86" s="460">
        <f>G86+'19'!H86</f>
        <v>412.35999999998603</v>
      </c>
      <c r="I86" s="657"/>
      <c r="J86" s="712">
        <f>H86/DAY(B2)</f>
        <v>20.617999999999302</v>
      </c>
      <c r="K86" s="738"/>
      <c r="L86" s="739"/>
      <c r="N86" s="783"/>
      <c r="O86" s="382"/>
    </row>
    <row r="87" spans="1:15" s="740" customFormat="1">
      <c r="A87" s="735" t="s">
        <v>95</v>
      </c>
      <c r="B87" s="736"/>
      <c r="C87" s="736"/>
      <c r="D87" s="737" t="s">
        <v>183</v>
      </c>
      <c r="E87" s="652">
        <f>'19'!F87</f>
        <v>79774.13</v>
      </c>
      <c r="F87" s="652">
        <v>79803.3</v>
      </c>
      <c r="G87" s="1360">
        <f t="shared" ref="G87:G90" si="7">F87-E87</f>
        <v>29.169999999998254</v>
      </c>
      <c r="H87" s="460">
        <f>G87+'19'!H87</f>
        <v>101.5</v>
      </c>
      <c r="I87" s="657"/>
      <c r="J87" s="712">
        <f>H87/DAY(B2)</f>
        <v>5.0750000000000002</v>
      </c>
      <c r="K87" s="738"/>
      <c r="L87" s="739"/>
      <c r="N87" s="783"/>
      <c r="O87" s="382"/>
    </row>
    <row r="88" spans="1:15" s="740" customFormat="1">
      <c r="A88" s="735" t="s">
        <v>96</v>
      </c>
      <c r="B88" s="736"/>
      <c r="C88" s="736"/>
      <c r="D88" s="737" t="s">
        <v>183</v>
      </c>
      <c r="E88" s="652">
        <f>'19'!F88</f>
        <v>149728.51</v>
      </c>
      <c r="F88" s="652">
        <v>149811.29</v>
      </c>
      <c r="G88" s="1360">
        <f t="shared" si="7"/>
        <v>82.779999999998836</v>
      </c>
      <c r="H88" s="460">
        <f>G88+'19'!H88</f>
        <v>255.58999999999651</v>
      </c>
      <c r="I88" s="657"/>
      <c r="J88" s="712">
        <f>H88/DAY(B2)</f>
        <v>12.779499999999825</v>
      </c>
      <c r="K88" s="738"/>
      <c r="L88" s="739"/>
      <c r="N88" s="783"/>
      <c r="O88" s="382"/>
    </row>
    <row r="89" spans="1:15" s="740" customFormat="1">
      <c r="A89" s="735" t="s">
        <v>204</v>
      </c>
      <c r="B89" s="736"/>
      <c r="C89" s="736"/>
      <c r="D89" s="737" t="s">
        <v>183</v>
      </c>
      <c r="E89" s="652">
        <f>'19'!F89</f>
        <v>62959.8</v>
      </c>
      <c r="F89" s="652">
        <v>63004.3</v>
      </c>
      <c r="G89" s="1360">
        <f t="shared" si="7"/>
        <v>44.5</v>
      </c>
      <c r="H89" s="460">
        <f>G89+'19'!H89</f>
        <v>171.20000000000437</v>
      </c>
      <c r="I89" s="657"/>
      <c r="J89" s="712">
        <f>H89/DAY(B2)</f>
        <v>8.560000000000219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52">
        <f>'19'!F90</f>
        <v>3242.9</v>
      </c>
      <c r="F90" s="652">
        <v>3244</v>
      </c>
      <c r="G90" s="1360">
        <f t="shared" si="7"/>
        <v>1.0999999999999091</v>
      </c>
      <c r="H90" s="460">
        <f>G90+'19'!H90</f>
        <v>5.3000000000001819</v>
      </c>
      <c r="I90" s="657"/>
      <c r="J90" s="712">
        <f>H90/DAY(B2)</f>
        <v>0.26500000000000912</v>
      </c>
      <c r="K90" s="738"/>
      <c r="L90" s="739"/>
      <c r="N90" s="783"/>
      <c r="O90" s="382"/>
    </row>
    <row r="91" spans="1:15" s="379" customFormat="1">
      <c r="A91" s="607" t="s">
        <v>205</v>
      </c>
      <c r="B91" s="1154"/>
      <c r="C91" s="1154"/>
      <c r="D91" s="472"/>
      <c r="E91" s="472"/>
      <c r="F91" s="472"/>
      <c r="G91" s="1349"/>
      <c r="H91" s="472"/>
      <c r="I91" s="472"/>
      <c r="J91" s="552"/>
      <c r="K91" s="380"/>
      <c r="L91" s="378"/>
      <c r="N91" s="782"/>
      <c r="O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'19'!F92</f>
        <v>241420</v>
      </c>
      <c r="F92" s="484">
        <v>241497</v>
      </c>
      <c r="G92" s="1346">
        <f t="shared" ref="G92:G93" si="8">F92-E92</f>
        <v>77</v>
      </c>
      <c r="H92" s="460">
        <f>G92+'19'!H92</f>
        <v>1802</v>
      </c>
      <c r="I92" s="480"/>
      <c r="J92" s="553">
        <f>H92/DAY(B2)</f>
        <v>90.1</v>
      </c>
      <c r="K92" s="429"/>
      <c r="L92" s="377"/>
      <c r="N92" s="382"/>
      <c r="O92" s="382"/>
    </row>
    <row r="93" spans="1:15" ht="27.75">
      <c r="A93" s="1411" t="s">
        <v>207</v>
      </c>
      <c r="B93" s="1412"/>
      <c r="C93" s="1413"/>
      <c r="D93" s="523" t="s">
        <v>144</v>
      </c>
      <c r="E93" s="484">
        <f>'19'!F93</f>
        <v>178058</v>
      </c>
      <c r="F93" s="484">
        <v>178158</v>
      </c>
      <c r="G93" s="1346">
        <f t="shared" si="8"/>
        <v>100</v>
      </c>
      <c r="H93" s="460">
        <f>G93+'19'!H93</f>
        <v>2497</v>
      </c>
      <c r="I93" s="480"/>
      <c r="J93" s="553">
        <f>H93/DAY(B2)</f>
        <v>124.85</v>
      </c>
      <c r="K93" s="380"/>
      <c r="L93" s="377"/>
      <c r="N93" s="382"/>
      <c r="O93" s="382"/>
    </row>
    <row r="94" spans="1:15">
      <c r="A94" s="1405" t="s">
        <v>208</v>
      </c>
      <c r="B94" s="1406"/>
      <c r="C94" s="1407"/>
      <c r="D94" s="523"/>
      <c r="E94" s="484">
        <f>'19'!F94</f>
        <v>0</v>
      </c>
      <c r="F94" s="484"/>
      <c r="G94" s="1346">
        <f>G92+G93</f>
        <v>177</v>
      </c>
      <c r="H94" s="460">
        <f>G94+'19'!H94</f>
        <v>4033</v>
      </c>
      <c r="I94" s="480"/>
      <c r="J94" s="553">
        <f>H94/DAY(B2)</f>
        <v>201.65</v>
      </c>
      <c r="K94" s="380"/>
      <c r="L94" s="377"/>
      <c r="N94" s="382"/>
      <c r="O94" s="382"/>
    </row>
    <row r="95" spans="1:15" ht="27.75">
      <c r="A95" s="1411" t="s">
        <v>209</v>
      </c>
      <c r="B95" s="1412"/>
      <c r="C95" s="1413"/>
      <c r="D95" s="523" t="s">
        <v>144</v>
      </c>
      <c r="E95" s="484">
        <f>'19'!F95</f>
        <v>409761</v>
      </c>
      <c r="F95" s="484">
        <v>409838</v>
      </c>
      <c r="G95" s="1346">
        <f t="shared" ref="G95:G100" si="9">F95-E95</f>
        <v>77</v>
      </c>
      <c r="H95" s="460">
        <f>G95+'19'!H95</f>
        <v>1682</v>
      </c>
      <c r="I95" s="480"/>
      <c r="J95" s="553">
        <f>H95/DAY(B2)</f>
        <v>84.1</v>
      </c>
      <c r="K95" s="380"/>
      <c r="L95" s="377"/>
      <c r="N95" s="382"/>
      <c r="O95" s="382"/>
    </row>
    <row r="96" spans="1:15" ht="27.75">
      <c r="A96" s="1148" t="s">
        <v>210</v>
      </c>
      <c r="B96" s="1149"/>
      <c r="C96" s="1149"/>
      <c r="D96" s="523" t="s">
        <v>144</v>
      </c>
      <c r="E96" s="484">
        <f>'19'!F96</f>
        <v>101609</v>
      </c>
      <c r="F96" s="484">
        <v>101625</v>
      </c>
      <c r="G96" s="1346">
        <f t="shared" si="9"/>
        <v>16</v>
      </c>
      <c r="H96" s="460">
        <f>G96+'19'!H96</f>
        <v>293</v>
      </c>
      <c r="I96" s="480"/>
      <c r="J96" s="553">
        <f>H96/DAY(B2)</f>
        <v>14.65</v>
      </c>
      <c r="K96" s="427"/>
      <c r="L96" s="377"/>
      <c r="N96" s="382"/>
      <c r="O96" s="382"/>
    </row>
    <row r="97" spans="1:15" ht="27.75">
      <c r="A97" s="1148" t="s">
        <v>211</v>
      </c>
      <c r="B97" s="1149"/>
      <c r="C97" s="1149"/>
      <c r="D97" s="523" t="s">
        <v>144</v>
      </c>
      <c r="E97" s="484">
        <f>'19'!F97</f>
        <v>96661</v>
      </c>
      <c r="F97" s="484">
        <v>96681</v>
      </c>
      <c r="G97" s="1346">
        <f t="shared" si="9"/>
        <v>20</v>
      </c>
      <c r="H97" s="460">
        <f>G97+'19'!H97</f>
        <v>232</v>
      </c>
      <c r="I97" s="480"/>
      <c r="J97" s="553">
        <f>H97/DAY(B2)</f>
        <v>11.6</v>
      </c>
      <c r="K97" s="432"/>
      <c r="L97" s="377"/>
      <c r="N97" s="382"/>
      <c r="O97" s="382"/>
    </row>
    <row r="98" spans="1:15" ht="27.75">
      <c r="A98" s="1148" t="s">
        <v>212</v>
      </c>
      <c r="B98" s="1149"/>
      <c r="C98" s="1149"/>
      <c r="D98" s="523" t="s">
        <v>144</v>
      </c>
      <c r="E98" s="484">
        <f>'19'!F98</f>
        <v>148491</v>
      </c>
      <c r="F98" s="484">
        <v>148510</v>
      </c>
      <c r="G98" s="1346">
        <f t="shared" si="9"/>
        <v>19</v>
      </c>
      <c r="H98" s="460">
        <f>G98+'19'!H98</f>
        <v>902</v>
      </c>
      <c r="I98" s="480"/>
      <c r="J98" s="553">
        <f>H98/DAY(B2)</f>
        <v>45.1</v>
      </c>
      <c r="K98" s="380"/>
      <c r="L98" s="377"/>
      <c r="N98" s="382"/>
      <c r="O98" s="382"/>
    </row>
    <row r="99" spans="1:15" ht="27.75">
      <c r="A99" s="1148" t="s">
        <v>213</v>
      </c>
      <c r="B99" s="1149"/>
      <c r="C99" s="1149"/>
      <c r="D99" s="523" t="s">
        <v>144</v>
      </c>
      <c r="E99" s="484">
        <f>'19'!F99</f>
        <v>6674</v>
      </c>
      <c r="F99" s="484">
        <v>6679</v>
      </c>
      <c r="G99" s="1346">
        <f t="shared" si="9"/>
        <v>5</v>
      </c>
      <c r="H99" s="460">
        <f>G99+'19'!H99</f>
        <v>271</v>
      </c>
      <c r="I99" s="480"/>
      <c r="J99" s="553">
        <f>H99/DAY(B2)</f>
        <v>13.55</v>
      </c>
      <c r="K99" s="380"/>
      <c r="L99" s="377"/>
      <c r="N99" s="382"/>
      <c r="O99" s="382"/>
    </row>
    <row r="100" spans="1:15" ht="27.75">
      <c r="A100" s="1148" t="s">
        <v>214</v>
      </c>
      <c r="B100" s="1149"/>
      <c r="C100" s="1149"/>
      <c r="D100" s="523" t="s">
        <v>144</v>
      </c>
      <c r="E100" s="484">
        <f>'19'!F100</f>
        <v>4764</v>
      </c>
      <c r="F100" s="484">
        <v>4774</v>
      </c>
      <c r="G100" s="1346">
        <f t="shared" si="9"/>
        <v>10</v>
      </c>
      <c r="H100" s="460">
        <f>G100+'19'!H100</f>
        <v>231</v>
      </c>
      <c r="I100" s="480"/>
      <c r="J100" s="553">
        <f>H100/DAY(B2)</f>
        <v>11.55</v>
      </c>
      <c r="K100" s="380"/>
      <c r="L100" s="377"/>
      <c r="N100" s="382"/>
      <c r="O100" s="382"/>
    </row>
    <row r="101" spans="1:15">
      <c r="A101" s="1405" t="s">
        <v>216</v>
      </c>
      <c r="B101" s="1406"/>
      <c r="C101" s="1407"/>
      <c r="D101" s="524"/>
      <c r="E101" s="524"/>
      <c r="F101" s="524"/>
      <c r="G101" s="1361">
        <f>SUM(G95:G100)</f>
        <v>147</v>
      </c>
      <c r="H101" s="460">
        <f>G101+'19'!H101</f>
        <v>3611</v>
      </c>
      <c r="I101" s="526"/>
      <c r="J101" s="553">
        <f>H101/DAY(B2)</f>
        <v>180.55</v>
      </c>
      <c r="K101" s="380"/>
      <c r="L101" s="377"/>
      <c r="N101" s="382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528"/>
      <c r="G102" s="1362"/>
      <c r="H102" s="530"/>
      <c r="I102" s="531"/>
      <c r="J102" s="558"/>
      <c r="N102" s="444"/>
      <c r="O102" s="382"/>
    </row>
    <row r="103" spans="1:15" s="442" customFormat="1" ht="27.75">
      <c r="A103" s="1414" t="s">
        <v>218</v>
      </c>
      <c r="B103" s="1415"/>
      <c r="C103" s="574"/>
      <c r="D103" s="623"/>
      <c r="E103" s="532"/>
      <c r="F103" s="532"/>
      <c r="G103" s="1363"/>
      <c r="H103" s="533"/>
      <c r="I103" s="532"/>
      <c r="J103" s="559"/>
      <c r="N103" s="444"/>
      <c r="O103" s="382"/>
    </row>
    <row r="104" spans="1:15" s="442" customFormat="1" ht="27.75">
      <c r="A104" s="1416" t="s">
        <v>219</v>
      </c>
      <c r="B104" s="1417"/>
      <c r="C104" s="1146"/>
      <c r="D104" s="623" t="s">
        <v>144</v>
      </c>
      <c r="E104" s="532">
        <f>'19'!F104</f>
        <v>7281</v>
      </c>
      <c r="F104" s="532">
        <v>7281</v>
      </c>
      <c r="G104" s="1363">
        <f>F104-E104</f>
        <v>0</v>
      </c>
      <c r="H104" s="460">
        <f>G104+'19'!H104</f>
        <v>120.15000000000009</v>
      </c>
      <c r="I104" s="532"/>
      <c r="J104" s="559">
        <f>H104/DAY(B2)</f>
        <v>6.0075000000000047</v>
      </c>
      <c r="N104" s="444"/>
      <c r="O104" s="382"/>
    </row>
    <row r="105" spans="1:15" s="442" customFormat="1" ht="27.75">
      <c r="A105" s="1416" t="s">
        <v>77</v>
      </c>
      <c r="B105" s="1417"/>
      <c r="C105" s="1146"/>
      <c r="D105" s="623" t="s">
        <v>144</v>
      </c>
      <c r="E105" s="534">
        <f>'19'!F105</f>
        <v>35548</v>
      </c>
      <c r="F105" s="534">
        <v>35558</v>
      </c>
      <c r="G105" s="1363">
        <f t="shared" ref="G105:G106" si="10">F105-E105</f>
        <v>10</v>
      </c>
      <c r="H105" s="460">
        <f>G105+'19'!H105</f>
        <v>69</v>
      </c>
      <c r="I105" s="532"/>
      <c r="J105" s="559">
        <f>H105/DAY(B2)</f>
        <v>3.45</v>
      </c>
      <c r="N105" s="444"/>
      <c r="O105" s="382"/>
    </row>
    <row r="106" spans="1:15" s="442" customFormat="1" ht="27.75">
      <c r="A106" s="1416" t="s">
        <v>78</v>
      </c>
      <c r="B106" s="1418"/>
      <c r="C106" s="1417"/>
      <c r="D106" s="623" t="s">
        <v>144</v>
      </c>
      <c r="E106" s="532">
        <f>'19'!F106</f>
        <v>19349</v>
      </c>
      <c r="F106" s="532">
        <v>19356</v>
      </c>
      <c r="G106" s="1363">
        <f t="shared" si="10"/>
        <v>7</v>
      </c>
      <c r="H106" s="460">
        <f>G106+'19'!H106</f>
        <v>406</v>
      </c>
      <c r="I106" s="532"/>
      <c r="J106" s="559">
        <f>H106/DAY(B2)</f>
        <v>20.3</v>
      </c>
      <c r="N106" s="444"/>
      <c r="O106" s="382"/>
    </row>
    <row r="107" spans="1:15" s="442" customFormat="1" ht="27.75">
      <c r="A107" s="1419" t="s">
        <v>202</v>
      </c>
      <c r="B107" s="1420"/>
      <c r="C107" s="1146"/>
      <c r="D107" s="623"/>
      <c r="E107" s="532">
        <f>'19'!F107</f>
        <v>0</v>
      </c>
      <c r="F107" s="532"/>
      <c r="G107" s="1363">
        <f>SUM(G104:G106)</f>
        <v>17</v>
      </c>
      <c r="H107" s="460">
        <f>G107+'19'!H107</f>
        <v>273</v>
      </c>
      <c r="I107" s="532"/>
      <c r="J107" s="559">
        <f>H107/DAY(B2)</f>
        <v>13.65</v>
      </c>
      <c r="N107" s="444"/>
      <c r="O107" s="382"/>
    </row>
    <row r="108" spans="1:15" s="442" customFormat="1" ht="27.75">
      <c r="A108" s="1421" t="s">
        <v>79</v>
      </c>
      <c r="B108" s="1422"/>
      <c r="C108" s="1146"/>
      <c r="D108" s="623" t="s">
        <v>144</v>
      </c>
      <c r="E108" s="532">
        <f>'19'!F108</f>
        <v>0</v>
      </c>
      <c r="F108" s="532"/>
      <c r="G108" s="1363"/>
      <c r="H108" s="460"/>
      <c r="I108" s="532"/>
      <c r="J108" s="559"/>
      <c r="N108" s="444"/>
      <c r="O108" s="382"/>
    </row>
    <row r="109" spans="1:15" s="442" customFormat="1" ht="27.75">
      <c r="A109" s="1416" t="s">
        <v>220</v>
      </c>
      <c r="B109" s="1417"/>
      <c r="C109" s="1146"/>
      <c r="D109" s="623" t="s">
        <v>144</v>
      </c>
      <c r="E109" s="532">
        <f>'19'!F109</f>
        <v>57824</v>
      </c>
      <c r="F109" s="532">
        <v>57867</v>
      </c>
      <c r="G109" s="1363">
        <f>F109-E109</f>
        <v>43</v>
      </c>
      <c r="H109" s="460">
        <f>G109+'19'!H109</f>
        <v>338.56000000005588</v>
      </c>
      <c r="I109" s="532"/>
      <c r="J109" s="559">
        <f>H109/DAY(B2)</f>
        <v>16.928000000002793</v>
      </c>
      <c r="N109" s="444"/>
      <c r="O109" s="382"/>
    </row>
    <row r="110" spans="1:15" s="442" customFormat="1" ht="27.75">
      <c r="A110" s="1416" t="s">
        <v>221</v>
      </c>
      <c r="B110" s="1417"/>
      <c r="C110" s="1146"/>
      <c r="D110" s="623" t="s">
        <v>144</v>
      </c>
      <c r="E110" s="532">
        <f>'19'!F110</f>
        <v>31307</v>
      </c>
      <c r="F110" s="532">
        <v>31335</v>
      </c>
      <c r="G110" s="1363">
        <f t="shared" ref="G110:G111" si="11">F110-E110</f>
        <v>28</v>
      </c>
      <c r="H110" s="460">
        <f>G110+'19'!H110</f>
        <v>71.169999999998254</v>
      </c>
      <c r="I110" s="532"/>
      <c r="J110" s="559">
        <f>H110/DAY(B2)</f>
        <v>3.5584999999999125</v>
      </c>
      <c r="N110" s="444"/>
      <c r="O110" s="382"/>
    </row>
    <row r="111" spans="1:15" s="442" customFormat="1" ht="27.75">
      <c r="A111" s="1416" t="s">
        <v>222</v>
      </c>
      <c r="B111" s="1417"/>
      <c r="C111" s="1146"/>
      <c r="D111" s="623" t="s">
        <v>144</v>
      </c>
      <c r="E111" s="532">
        <f>'19'!F111</f>
        <v>4084</v>
      </c>
      <c r="F111" s="532">
        <v>4098</v>
      </c>
      <c r="G111" s="1363">
        <f t="shared" si="11"/>
        <v>14</v>
      </c>
      <c r="H111" s="460">
        <f>G111+'19'!H111</f>
        <v>534</v>
      </c>
      <c r="I111" s="532"/>
      <c r="J111" s="559">
        <f>H111/DAY(B2)</f>
        <v>26.7</v>
      </c>
      <c r="N111" s="444"/>
      <c r="O111" s="382"/>
    </row>
    <row r="112" spans="1:15" s="442" customFormat="1" ht="27.75">
      <c r="A112" s="1448" t="s">
        <v>110</v>
      </c>
      <c r="B112" s="1449"/>
      <c r="C112" s="1146"/>
      <c r="D112" s="623"/>
      <c r="E112" s="532">
        <f>'19'!F112</f>
        <v>0</v>
      </c>
      <c r="F112" s="532"/>
      <c r="G112" s="1363">
        <f>SUM(G109:G111)</f>
        <v>85</v>
      </c>
      <c r="H112" s="460">
        <f>G112+'19'!H112</f>
        <v>983</v>
      </c>
      <c r="I112" s="532"/>
      <c r="J112" s="559">
        <f>H112/DAY(B2)</f>
        <v>49.15</v>
      </c>
      <c r="N112" s="444"/>
      <c r="O112" s="382"/>
    </row>
    <row r="113" spans="1:15" s="442" customFormat="1" ht="27.75">
      <c r="A113" s="1421" t="s">
        <v>223</v>
      </c>
      <c r="B113" s="1422"/>
      <c r="C113" s="1146"/>
      <c r="D113" s="623"/>
      <c r="E113" s="532">
        <f>'19'!F113</f>
        <v>0</v>
      </c>
      <c r="F113" s="532"/>
      <c r="G113" s="1363"/>
      <c r="H113" s="460"/>
      <c r="I113" s="532"/>
      <c r="J113" s="559">
        <f>H113/DAY(B2)</f>
        <v>0</v>
      </c>
      <c r="N113" s="444"/>
      <c r="O113" s="382"/>
    </row>
    <row r="114" spans="1:15" s="442" customFormat="1" ht="27.75">
      <c r="A114" s="1416" t="s">
        <v>224</v>
      </c>
      <c r="B114" s="1417"/>
      <c r="C114" s="575"/>
      <c r="D114" s="623" t="s">
        <v>144</v>
      </c>
      <c r="E114" s="534">
        <f>'19'!F114</f>
        <v>10639</v>
      </c>
      <c r="F114" s="534">
        <v>10648</v>
      </c>
      <c r="G114" s="1364">
        <f>F114-E114</f>
        <v>9</v>
      </c>
      <c r="H114" s="460">
        <f>G114+'19'!H114</f>
        <v>30</v>
      </c>
      <c r="I114" s="532"/>
      <c r="J114" s="559">
        <f>H114/DAY(B2)</f>
        <v>1.5</v>
      </c>
      <c r="N114" s="444"/>
      <c r="O114" s="382"/>
    </row>
    <row r="115" spans="1:15" s="442" customFormat="1" ht="27.75">
      <c r="A115" s="1416" t="s">
        <v>225</v>
      </c>
      <c r="B115" s="1417"/>
      <c r="C115" s="575"/>
      <c r="D115" s="623" t="s">
        <v>144</v>
      </c>
      <c r="E115" s="534">
        <f>'19'!F115</f>
        <v>7840</v>
      </c>
      <c r="F115" s="534">
        <v>7849</v>
      </c>
      <c r="G115" s="1364">
        <f t="shared" ref="G115:G116" si="12">F115-E115</f>
        <v>9</v>
      </c>
      <c r="H115" s="460">
        <f>G115+'19'!H115</f>
        <v>140</v>
      </c>
      <c r="I115" s="532"/>
      <c r="J115" s="559">
        <f>H115/DAY(B2)</f>
        <v>7</v>
      </c>
      <c r="N115" s="444"/>
      <c r="O115" s="382"/>
    </row>
    <row r="116" spans="1:15" s="442" customFormat="1" ht="27.75">
      <c r="A116" s="1416" t="s">
        <v>226</v>
      </c>
      <c r="B116" s="1417"/>
      <c r="C116" s="575"/>
      <c r="D116" s="623" t="s">
        <v>144</v>
      </c>
      <c r="E116" s="534"/>
      <c r="F116" s="534"/>
      <c r="G116" s="1364">
        <f t="shared" si="12"/>
        <v>0</v>
      </c>
      <c r="H116" s="460">
        <f>G116+'19'!H116</f>
        <v>144</v>
      </c>
      <c r="I116" s="532"/>
      <c r="J116" s="559">
        <f>H116/DAY(B2)</f>
        <v>7.2</v>
      </c>
      <c r="N116" s="444"/>
      <c r="O116" s="382"/>
    </row>
    <row r="117" spans="1:15" s="445" customFormat="1" ht="27.75">
      <c r="A117" s="1419" t="s">
        <v>202</v>
      </c>
      <c r="B117" s="1420"/>
      <c r="C117" s="575"/>
      <c r="D117" s="624"/>
      <c r="E117" s="534"/>
      <c r="F117" s="534"/>
      <c r="G117" s="1364">
        <f>SUM(G114:G116)</f>
        <v>18</v>
      </c>
      <c r="H117" s="460">
        <f>G117+'19'!H117</f>
        <v>124</v>
      </c>
      <c r="I117" s="534"/>
      <c r="J117" s="559">
        <f>H117/DAY(B2)</f>
        <v>6.2</v>
      </c>
      <c r="N117" s="447"/>
      <c r="O117" s="382"/>
    </row>
    <row r="118" spans="1:15" s="446" customFormat="1" ht="27.75">
      <c r="A118" s="1450" t="s">
        <v>227</v>
      </c>
      <c r="B118" s="1451"/>
      <c r="C118" s="1145"/>
      <c r="D118" s="625" t="s">
        <v>144</v>
      </c>
      <c r="E118" s="536"/>
      <c r="F118" s="536">
        <f>SUM(G19+G92)</f>
        <v>129</v>
      </c>
      <c r="G118" s="1364">
        <f>SUM(G19+G92)</f>
        <v>129</v>
      </c>
      <c r="H118" s="460">
        <f>G118+'19'!H118</f>
        <v>375</v>
      </c>
      <c r="I118" s="535"/>
      <c r="J118" s="560">
        <f>H118/DAY(B2)</f>
        <v>18.75</v>
      </c>
      <c r="N118" s="784"/>
      <c r="O118" s="382"/>
    </row>
    <row r="119" spans="1:15" s="446" customFormat="1" ht="27.75">
      <c r="A119" s="1450" t="s">
        <v>228</v>
      </c>
      <c r="B119" s="1451"/>
      <c r="C119" s="1145"/>
      <c r="D119" s="625" t="s">
        <v>144</v>
      </c>
      <c r="E119" s="536"/>
      <c r="F119" s="536">
        <f>SUM(G95,G96,G97,G99,G100)</f>
        <v>128</v>
      </c>
      <c r="G119" s="1364">
        <f>SUM(G95,G96,G97,G99,G100)</f>
        <v>128</v>
      </c>
      <c r="H119" s="460">
        <f>G119+'19'!H119</f>
        <v>435</v>
      </c>
      <c r="I119" s="535"/>
      <c r="J119" s="560">
        <f>H119/DAY(B2)</f>
        <v>21.75</v>
      </c>
      <c r="N119" s="784"/>
      <c r="O119" s="382"/>
    </row>
    <row r="120" spans="1:15" s="446" customFormat="1" ht="27.75">
      <c r="A120" s="1450" t="s">
        <v>229</v>
      </c>
      <c r="B120" s="1451"/>
      <c r="C120" s="1145"/>
      <c r="D120" s="625" t="s">
        <v>144</v>
      </c>
      <c r="E120" s="534"/>
      <c r="F120" s="534">
        <f>SUM(G112)</f>
        <v>85</v>
      </c>
      <c r="G120" s="1364">
        <f>SUM(G112)</f>
        <v>85</v>
      </c>
      <c r="H120" s="460">
        <f>G120+'19'!H120</f>
        <v>307</v>
      </c>
      <c r="I120" s="535"/>
      <c r="J120" s="560">
        <f>H120/DAY(B2)</f>
        <v>15.35</v>
      </c>
      <c r="N120" s="784"/>
      <c r="O120" s="382"/>
    </row>
    <row r="121" spans="1:15" s="442" customFormat="1" ht="27.75">
      <c r="A121" s="1452"/>
      <c r="B121" s="1453"/>
      <c r="C121" s="1146"/>
      <c r="D121" s="561"/>
      <c r="E121" s="561"/>
      <c r="F121" s="561" t="s">
        <v>215</v>
      </c>
      <c r="G121" s="1365"/>
      <c r="H121" s="562"/>
      <c r="I121" s="561"/>
      <c r="J121" s="563"/>
      <c r="N121" s="444"/>
      <c r="O121" s="382"/>
    </row>
    <row r="122" spans="1:15">
      <c r="A122" s="1402" t="s">
        <v>230</v>
      </c>
      <c r="B122" s="1403"/>
      <c r="C122" s="1404"/>
      <c r="D122" s="472"/>
      <c r="E122" s="472"/>
      <c r="F122" s="472"/>
      <c r="G122" s="1349"/>
      <c r="H122" s="483"/>
      <c r="I122" s="483"/>
      <c r="J122" s="564"/>
      <c r="K122" s="380"/>
      <c r="L122" s="377"/>
      <c r="N122" s="382"/>
      <c r="O122" s="382"/>
    </row>
    <row r="123" spans="1:15" ht="27.75">
      <c r="A123" s="1148" t="s">
        <v>231</v>
      </c>
      <c r="B123" s="1149"/>
      <c r="C123" s="1149"/>
      <c r="D123" s="523" t="s">
        <v>141</v>
      </c>
      <c r="E123" s="478">
        <f>'19'!F123</f>
        <v>815762.73</v>
      </c>
      <c r="F123" s="478">
        <v>816030.47</v>
      </c>
      <c r="G123" s="1346">
        <f t="shared" ref="G123:G127" si="13">F123-E123</f>
        <v>267.73999999999069</v>
      </c>
      <c r="H123" s="460">
        <f>G123+'19'!H123</f>
        <v>5023.6300000000047</v>
      </c>
      <c r="I123" s="526"/>
      <c r="J123" s="553">
        <f>H123/DAY(B2)</f>
        <v>251.18150000000023</v>
      </c>
      <c r="K123" s="380"/>
      <c r="L123" s="377"/>
      <c r="N123" s="382"/>
      <c r="O123" s="382"/>
    </row>
    <row r="124" spans="1:15" ht="27.75">
      <c r="A124" s="1148" t="s">
        <v>232</v>
      </c>
      <c r="B124" s="1149"/>
      <c r="C124" s="1149"/>
      <c r="D124" s="523" t="s">
        <v>141</v>
      </c>
      <c r="E124" s="627">
        <f>'19'!F124</f>
        <v>73583</v>
      </c>
      <c r="F124" s="627">
        <v>73583</v>
      </c>
      <c r="G124" s="1346">
        <f t="shared" si="13"/>
        <v>0</v>
      </c>
      <c r="H124" s="460">
        <f>G124+'19'!H124</f>
        <v>-0.39999999999417923</v>
      </c>
      <c r="I124" s="526"/>
      <c r="J124" s="553">
        <f>H124/DAY(B2)</f>
        <v>-1.9999999999708962E-2</v>
      </c>
      <c r="K124" s="380"/>
      <c r="L124" s="377"/>
      <c r="N124" s="382"/>
      <c r="O124" s="382"/>
    </row>
    <row r="125" spans="1:15" ht="27.75">
      <c r="A125" s="1408" t="s">
        <v>233</v>
      </c>
      <c r="B125" s="1409"/>
      <c r="C125" s="1410"/>
      <c r="D125" s="523" t="s">
        <v>141</v>
      </c>
      <c r="E125" s="478">
        <f>'19'!F125</f>
        <v>141231.13</v>
      </c>
      <c r="F125" s="478">
        <v>141308.01</v>
      </c>
      <c r="G125" s="1346">
        <f t="shared" si="13"/>
        <v>76.880000000004657</v>
      </c>
      <c r="H125" s="460">
        <f>G125+'19'!H125</f>
        <v>1328.6700000000128</v>
      </c>
      <c r="I125" s="526"/>
      <c r="J125" s="553">
        <f>H125/DAY(B2)</f>
        <v>66.433500000000635</v>
      </c>
      <c r="K125" s="380"/>
      <c r="L125" s="377"/>
      <c r="N125" s="382"/>
      <c r="O125" s="382"/>
    </row>
    <row r="126" spans="1:15" ht="27.75">
      <c r="A126" s="610" t="s">
        <v>234</v>
      </c>
      <c r="B126" s="1149"/>
      <c r="C126" s="1149"/>
      <c r="D126" s="523" t="s">
        <v>141</v>
      </c>
      <c r="E126" s="627">
        <f>'19'!F126</f>
        <v>59726.6</v>
      </c>
      <c r="F126" s="627">
        <v>59750.8</v>
      </c>
      <c r="G126" s="1346">
        <f t="shared" si="13"/>
        <v>24.200000000004366</v>
      </c>
      <c r="H126" s="460">
        <f>G126+'19'!H126</f>
        <v>443.90000000000146</v>
      </c>
      <c r="I126" s="526"/>
      <c r="J126" s="553">
        <f>H126/DAY(B2)</f>
        <v>22.195000000000071</v>
      </c>
      <c r="K126" s="380"/>
      <c r="L126" s="377"/>
      <c r="N126" s="382"/>
      <c r="O126" s="382"/>
    </row>
    <row r="127" spans="1:15" ht="27.75">
      <c r="A127" s="610" t="s">
        <v>235</v>
      </c>
      <c r="B127" s="1149"/>
      <c r="C127" s="1149"/>
      <c r="D127" s="523" t="s">
        <v>141</v>
      </c>
      <c r="E127" s="627">
        <f>'19'!F127</f>
        <v>8933.9</v>
      </c>
      <c r="F127" s="627">
        <v>8938.4</v>
      </c>
      <c r="G127" s="1346">
        <f t="shared" si="13"/>
        <v>4.5</v>
      </c>
      <c r="H127" s="460">
        <f>G127+'19'!H127</f>
        <v>50.600000000000364</v>
      </c>
      <c r="I127" s="480"/>
      <c r="J127" s="553">
        <f>H127/DAY(B2)</f>
        <v>2.530000000000018</v>
      </c>
      <c r="K127" s="380"/>
      <c r="L127" s="377"/>
      <c r="N127" s="382"/>
      <c r="O127" s="382"/>
    </row>
    <row r="128" spans="1:15" s="281" customFormat="1" ht="27.75">
      <c r="A128" s="610" t="s">
        <v>236</v>
      </c>
      <c r="B128" s="1149"/>
      <c r="C128" s="1149"/>
      <c r="D128" s="523"/>
      <c r="E128" s="478"/>
      <c r="F128" s="478"/>
      <c r="G128" s="1346">
        <f>G15-SUM(G123:G127)</f>
        <v>549.02000000008411</v>
      </c>
      <c r="H128" s="460">
        <f>G128+'19'!H128</f>
        <v>2447.560999999956</v>
      </c>
      <c r="I128" s="480"/>
      <c r="J128" s="553">
        <f>H128/DAY(B2)</f>
        <v>122.3780499999978</v>
      </c>
      <c r="K128" s="364"/>
      <c r="L128" s="292"/>
      <c r="N128" s="365"/>
      <c r="O128" s="382"/>
    </row>
    <row r="129" spans="1:15">
      <c r="A129" s="611" t="s">
        <v>237</v>
      </c>
      <c r="B129" s="458"/>
      <c r="C129" s="458"/>
      <c r="D129" s="471"/>
      <c r="E129" s="471"/>
      <c r="F129" s="471"/>
      <c r="G129" s="1366"/>
      <c r="H129" s="541"/>
      <c r="I129" s="541"/>
      <c r="J129" s="565"/>
      <c r="N129" s="382"/>
      <c r="O129" s="382"/>
    </row>
    <row r="130" spans="1:15" ht="27.75">
      <c r="A130" s="1148" t="s">
        <v>238</v>
      </c>
      <c r="B130" s="1149"/>
      <c r="C130" s="1149"/>
      <c r="D130" s="523" t="s">
        <v>239</v>
      </c>
      <c r="E130" s="484">
        <f>'19'!F130</f>
        <v>0</v>
      </c>
      <c r="F130" s="484">
        <v>0</v>
      </c>
      <c r="G130" s="1346">
        <f t="shared" ref="G130:G140" si="14">F130-E130</f>
        <v>0</v>
      </c>
      <c r="H130" s="460">
        <f>G130+'19'!H130</f>
        <v>0</v>
      </c>
      <c r="I130" s="480"/>
      <c r="J130" s="553">
        <f>H130/DAY(B2)</f>
        <v>0</v>
      </c>
      <c r="N130" s="382"/>
      <c r="O130" s="382"/>
    </row>
    <row r="131" spans="1:15" ht="27.75">
      <c r="A131" s="1148" t="s">
        <v>240</v>
      </c>
      <c r="B131" s="1149"/>
      <c r="C131" s="1149"/>
      <c r="D131" s="523" t="s">
        <v>239</v>
      </c>
      <c r="E131" s="484">
        <f>'19'!F131</f>
        <v>0</v>
      </c>
      <c r="F131" s="484">
        <v>0</v>
      </c>
      <c r="G131" s="1346">
        <f t="shared" si="14"/>
        <v>0</v>
      </c>
      <c r="H131" s="460">
        <f>G131+'19'!H131</f>
        <v>0</v>
      </c>
      <c r="I131" s="480"/>
      <c r="J131" s="553">
        <f>H131/DAY(B2)</f>
        <v>0</v>
      </c>
      <c r="N131" s="382"/>
      <c r="O131" s="382"/>
    </row>
    <row r="132" spans="1:15" ht="27.75">
      <c r="A132" s="1148" t="s">
        <v>241</v>
      </c>
      <c r="B132" s="1149"/>
      <c r="C132" s="1149"/>
      <c r="D132" s="523" t="s">
        <v>239</v>
      </c>
      <c r="E132" s="484">
        <f>'19'!F132</f>
        <v>39249.360000000001</v>
      </c>
      <c r="F132" s="1341">
        <v>39269.15</v>
      </c>
      <c r="G132" s="1367">
        <f t="shared" si="14"/>
        <v>19.790000000000873</v>
      </c>
      <c r="H132" s="460">
        <f>G132+'19'!H132</f>
        <v>430.81999999999971</v>
      </c>
      <c r="I132" s="480"/>
      <c r="J132" s="553">
        <f>H132/DAY(B2)</f>
        <v>21.540999999999986</v>
      </c>
      <c r="N132" s="382">
        <f>G132-24</f>
        <v>-4.2099999999991269</v>
      </c>
      <c r="O132" s="382"/>
    </row>
    <row r="133" spans="1:15" s="441" customFormat="1" ht="27.75">
      <c r="A133" s="1077" t="s">
        <v>242</v>
      </c>
      <c r="B133" s="1078"/>
      <c r="C133" s="1078"/>
      <c r="D133" s="628" t="s">
        <v>239</v>
      </c>
      <c r="E133" s="484">
        <f>'19'!F133</f>
        <v>299</v>
      </c>
      <c r="F133" s="542">
        <v>299.52</v>
      </c>
      <c r="G133" s="1368">
        <f t="shared" si="14"/>
        <v>0.51999999999998181</v>
      </c>
      <c r="H133" s="710">
        <f>G133+'19'!H133</f>
        <v>-0.48000000000001819</v>
      </c>
      <c r="I133" s="1079">
        <f>G130+G131+G132+G133</f>
        <v>20.310000000000855</v>
      </c>
      <c r="J133" s="712">
        <f>H133/DAY(B2)</f>
        <v>-2.4000000000000909E-2</v>
      </c>
      <c r="N133" s="718"/>
      <c r="O133" s="718"/>
    </row>
    <row r="134" spans="1:15" ht="27.75">
      <c r="A134" s="1148" t="s">
        <v>243</v>
      </c>
      <c r="B134" s="1149"/>
      <c r="C134" s="1149"/>
      <c r="D134" s="523" t="s">
        <v>239</v>
      </c>
      <c r="E134" s="484">
        <f>'19'!F134</f>
        <v>40798</v>
      </c>
      <c r="F134" s="1341">
        <f>40798+4</f>
        <v>40802</v>
      </c>
      <c r="G134" s="1367">
        <f t="shared" si="14"/>
        <v>4</v>
      </c>
      <c r="H134" s="460">
        <f>G134+'19'!H134</f>
        <v>434.86000000000058</v>
      </c>
      <c r="I134" s="480"/>
      <c r="J134" s="553">
        <f>H134/DAY(B2)</f>
        <v>21.743000000000031</v>
      </c>
      <c r="N134" s="382"/>
      <c r="O134" s="382"/>
    </row>
    <row r="135" spans="1:15" ht="27.75">
      <c r="A135" s="1148" t="s">
        <v>244</v>
      </c>
      <c r="B135" s="1149"/>
      <c r="C135" s="1149"/>
      <c r="D135" s="523" t="s">
        <v>239</v>
      </c>
      <c r="E135" s="484">
        <f>'19'!F135</f>
        <v>32582.92</v>
      </c>
      <c r="F135" s="542">
        <v>32582.92</v>
      </c>
      <c r="G135" s="1346">
        <f t="shared" si="14"/>
        <v>0</v>
      </c>
      <c r="H135" s="460">
        <f>G135+'19'!H135</f>
        <v>11.919999999998254</v>
      </c>
      <c r="I135" s="480"/>
      <c r="J135" s="553">
        <f>H135/DAY(B2)</f>
        <v>0.59599999999991271</v>
      </c>
      <c r="N135" s="382"/>
      <c r="O135" s="382"/>
    </row>
    <row r="136" spans="1:15" ht="27.75">
      <c r="A136" s="1148" t="s">
        <v>245</v>
      </c>
      <c r="B136" s="1149"/>
      <c r="C136" s="1149"/>
      <c r="D136" s="523" t="s">
        <v>239</v>
      </c>
      <c r="E136" s="484">
        <f>'19'!F136</f>
        <v>22380.9</v>
      </c>
      <c r="F136" s="542">
        <v>22390.75</v>
      </c>
      <c r="G136" s="1346">
        <f t="shared" si="14"/>
        <v>9.8499999999985448</v>
      </c>
      <c r="H136" s="460">
        <f>G136+'19'!H136</f>
        <v>168.54000000000087</v>
      </c>
      <c r="I136" s="480">
        <f>G134+G135+G136</f>
        <v>13.849999999998545</v>
      </c>
      <c r="J136" s="553">
        <f>H136/DAY(B2)</f>
        <v>8.427000000000044</v>
      </c>
      <c r="N136" s="382"/>
      <c r="O136" s="382"/>
    </row>
    <row r="137" spans="1:15" ht="27.75">
      <c r="A137" s="1148" t="s">
        <v>246</v>
      </c>
      <c r="B137" s="1149"/>
      <c r="C137" s="1149"/>
      <c r="D137" s="523" t="s">
        <v>239</v>
      </c>
      <c r="E137" s="484">
        <f>'19'!F137</f>
        <v>25044.31</v>
      </c>
      <c r="F137" s="542">
        <v>25044.31</v>
      </c>
      <c r="G137" s="1346">
        <f t="shared" si="14"/>
        <v>0</v>
      </c>
      <c r="H137" s="460">
        <f>G137+'19'!H137</f>
        <v>0</v>
      </c>
      <c r="I137" s="480"/>
      <c r="J137" s="553">
        <f>H137/DAY(B2)</f>
        <v>0</v>
      </c>
      <c r="N137" s="382"/>
      <c r="O137" s="382"/>
    </row>
    <row r="138" spans="1:15" ht="27.75">
      <c r="A138" s="1148" t="s">
        <v>247</v>
      </c>
      <c r="B138" s="1149"/>
      <c r="C138" s="1149"/>
      <c r="D138" s="523" t="s">
        <v>239</v>
      </c>
      <c r="E138" s="484">
        <f>'19'!F138</f>
        <v>70227.14</v>
      </c>
      <c r="F138" s="542">
        <v>70229.62</v>
      </c>
      <c r="G138" s="1346">
        <f t="shared" si="14"/>
        <v>2.4799999999959255</v>
      </c>
      <c r="H138" s="460">
        <f>G138+'19'!H138</f>
        <v>82.279999999998836</v>
      </c>
      <c r="I138" s="480">
        <f>G137+G138</f>
        <v>2.4799999999959255</v>
      </c>
      <c r="J138" s="553">
        <f>H138/DAY(B2)</f>
        <v>4.1139999999999421</v>
      </c>
      <c r="N138" s="382"/>
      <c r="O138" s="382"/>
    </row>
    <row r="139" spans="1:15" ht="27.75">
      <c r="A139" s="1148" t="s">
        <v>248</v>
      </c>
      <c r="B139" s="1149"/>
      <c r="C139" s="1149"/>
      <c r="D139" s="523" t="s">
        <v>239</v>
      </c>
      <c r="E139" s="484">
        <f>'19'!F139</f>
        <v>1536.52</v>
      </c>
      <c r="F139" s="484">
        <v>1536.52</v>
      </c>
      <c r="G139" s="1346">
        <f t="shared" si="14"/>
        <v>0</v>
      </c>
      <c r="H139" s="460">
        <f>G139+'19'!H139</f>
        <v>113.37999999999988</v>
      </c>
      <c r="I139" s="543"/>
      <c r="J139" s="553">
        <f>H139/DAY(B2)</f>
        <v>5.6689999999999943</v>
      </c>
      <c r="N139" s="382"/>
      <c r="O139" s="382"/>
    </row>
    <row r="140" spans="1:15" ht="27.75">
      <c r="A140" s="1148" t="s">
        <v>249</v>
      </c>
      <c r="B140" s="1149"/>
      <c r="C140" s="1149"/>
      <c r="D140" s="523" t="s">
        <v>239</v>
      </c>
      <c r="E140" s="484">
        <f>'19'!F140</f>
        <v>4361.6899999999996</v>
      </c>
      <c r="F140" s="484">
        <v>4370.8500000000004</v>
      </c>
      <c r="G140" s="1346">
        <f t="shared" si="14"/>
        <v>9.160000000000764</v>
      </c>
      <c r="H140" s="460">
        <f>G140+'19'!H140</f>
        <v>36.850000000000364</v>
      </c>
      <c r="I140" s="543"/>
      <c r="J140" s="553">
        <f>H140/DAY(B2)</f>
        <v>1.8425000000000182</v>
      </c>
      <c r="N140" s="382"/>
      <c r="O140" s="382"/>
    </row>
    <row r="141" spans="1:15">
      <c r="A141" s="1446" t="s">
        <v>250</v>
      </c>
      <c r="B141" s="1447"/>
      <c r="C141" s="1154"/>
      <c r="D141" s="472"/>
      <c r="E141" s="472"/>
      <c r="F141" s="472"/>
      <c r="G141" s="1349"/>
      <c r="H141" s="483"/>
      <c r="I141" s="483"/>
      <c r="J141" s="564"/>
      <c r="K141" s="380"/>
      <c r="L141" s="377"/>
      <c r="N141" s="382"/>
      <c r="O141" s="382"/>
    </row>
    <row r="142" spans="1:15" ht="27.75">
      <c r="A142" s="1411" t="s">
        <v>251</v>
      </c>
      <c r="B142" s="1412"/>
      <c r="C142" s="1413"/>
      <c r="D142" s="523" t="s">
        <v>132</v>
      </c>
      <c r="E142" s="523"/>
      <c r="F142" s="523"/>
      <c r="G142" s="1359">
        <f>G35+G43+G49+G57</f>
        <v>5797.9200000000419</v>
      </c>
      <c r="H142" s="460">
        <f>G142+'19'!H142</f>
        <v>114852.75000000007</v>
      </c>
      <c r="I142" s="480"/>
      <c r="J142" s="553">
        <f>H142/DAY(B2)</f>
        <v>5742.6375000000035</v>
      </c>
      <c r="K142" s="380"/>
      <c r="L142" s="377"/>
      <c r="N142" s="382"/>
      <c r="O142" s="382"/>
    </row>
    <row r="143" spans="1:15" ht="27.75">
      <c r="A143" s="1411" t="s">
        <v>252</v>
      </c>
      <c r="B143" s="1412"/>
      <c r="C143" s="1413"/>
      <c r="D143" s="523" t="s">
        <v>24</v>
      </c>
      <c r="E143" s="511"/>
      <c r="F143" s="511"/>
      <c r="G143" s="1369">
        <f>G142/G7</f>
        <v>0.26913243280880295</v>
      </c>
      <c r="H143" s="460">
        <f>G143+'19'!H143</f>
        <v>5.2019182514253846</v>
      </c>
      <c r="I143" s="545"/>
      <c r="J143" s="553">
        <f>H143/DAY(B2)</f>
        <v>0.26009591257126924</v>
      </c>
      <c r="K143" s="380"/>
      <c r="L143" s="377"/>
      <c r="N143" s="382"/>
      <c r="O143" s="382"/>
    </row>
    <row r="144" spans="1:15" ht="27.75">
      <c r="A144" s="1411" t="s">
        <v>253</v>
      </c>
      <c r="B144" s="1412"/>
      <c r="C144" s="1413"/>
      <c r="D144" s="523" t="s">
        <v>132</v>
      </c>
      <c r="E144" s="455"/>
      <c r="F144" s="455"/>
      <c r="G144" s="1359">
        <f>G41+G42+G55+G56</f>
        <v>5278.3600000000879</v>
      </c>
      <c r="H144" s="460">
        <f>G144+'19'!H144</f>
        <v>105731.47300000001</v>
      </c>
      <c r="I144" s="480"/>
      <c r="J144" s="553">
        <f>H144/DAY(B2)</f>
        <v>5286.5736500000003</v>
      </c>
      <c r="K144" s="380"/>
      <c r="L144" s="377"/>
      <c r="N144" s="382"/>
      <c r="O144" s="382"/>
    </row>
    <row r="145" spans="1:15" ht="27.75">
      <c r="A145" s="1411" t="s">
        <v>254</v>
      </c>
      <c r="B145" s="1412"/>
      <c r="C145" s="1413"/>
      <c r="D145" s="523" t="s">
        <v>24</v>
      </c>
      <c r="E145" s="455"/>
      <c r="F145" s="455"/>
      <c r="G145" s="1369">
        <f>G144/G7</f>
        <v>0.24501508610686012</v>
      </c>
      <c r="H145" s="460">
        <f>G145+'19'!H145</f>
        <v>4.9531707480689668</v>
      </c>
      <c r="I145" s="545"/>
      <c r="J145" s="553">
        <f>H145/DAY(B2)</f>
        <v>0.24765853740344834</v>
      </c>
      <c r="K145" s="380"/>
      <c r="L145" s="377"/>
      <c r="N145" s="382"/>
      <c r="O145" s="382"/>
    </row>
    <row r="146" spans="1:15" ht="27.75">
      <c r="A146" s="1411" t="s">
        <v>255</v>
      </c>
      <c r="B146" s="1412"/>
      <c r="C146" s="1413"/>
      <c r="D146" s="523" t="s">
        <v>132</v>
      </c>
      <c r="E146" s="455"/>
      <c r="F146" s="455"/>
      <c r="G146" s="1359">
        <f>G39+G53</f>
        <v>4428.9200000000128</v>
      </c>
      <c r="H146" s="460">
        <f>G146+'19'!H146</f>
        <v>184649.38</v>
      </c>
      <c r="I146" s="546"/>
      <c r="J146" s="553">
        <f>H146/DAY(B2)</f>
        <v>9232.469000000001</v>
      </c>
      <c r="K146" s="380"/>
      <c r="L146" s="377"/>
      <c r="N146" s="382"/>
      <c r="O146" s="382"/>
    </row>
    <row r="147" spans="1:15" ht="27.75">
      <c r="A147" s="1411" t="s">
        <v>256</v>
      </c>
      <c r="B147" s="1412"/>
      <c r="C147" s="1413"/>
      <c r="D147" s="523" t="s">
        <v>24</v>
      </c>
      <c r="E147" s="455"/>
      <c r="F147" s="455"/>
      <c r="G147" s="1369">
        <f>G146/G7</f>
        <v>0.20558510885206391</v>
      </c>
      <c r="H147" s="460">
        <f>G147+'19'!H147</f>
        <v>8.8809389975407029</v>
      </c>
      <c r="I147" s="546"/>
      <c r="J147" s="553">
        <f>H147/DAY(B2)</f>
        <v>0.44404694987703514</v>
      </c>
      <c r="N147" s="382"/>
      <c r="O147" s="382"/>
    </row>
    <row r="148" spans="1:15" ht="27.75">
      <c r="A148" s="1411" t="s">
        <v>257</v>
      </c>
      <c r="B148" s="1412"/>
      <c r="C148" s="1413"/>
      <c r="D148" s="523" t="s">
        <v>183</v>
      </c>
      <c r="E148" s="455"/>
      <c r="F148" s="455"/>
      <c r="G148" s="1359">
        <f>G38+G52</f>
        <v>1803.9100000000035</v>
      </c>
      <c r="H148" s="460">
        <f>G148+'19'!H148</f>
        <v>39643.599999999933</v>
      </c>
      <c r="I148" s="480"/>
      <c r="J148" s="553">
        <f>H148/DAY(B2)</f>
        <v>1982.1799999999967</v>
      </c>
      <c r="K148" s="381"/>
      <c r="N148" s="382"/>
      <c r="O148" s="382"/>
    </row>
    <row r="149" spans="1:15" ht="27.75">
      <c r="A149" s="1411" t="s">
        <v>258</v>
      </c>
      <c r="B149" s="1412"/>
      <c r="C149" s="1413"/>
      <c r="D149" s="523" t="s">
        <v>24</v>
      </c>
      <c r="E149" s="455"/>
      <c r="F149" s="455"/>
      <c r="G149" s="1369">
        <f>G148/G7</f>
        <v>8.3735320057559459E-2</v>
      </c>
      <c r="H149" s="460">
        <f>G149+'19'!H149</f>
        <v>1.8610181996626416</v>
      </c>
      <c r="I149" s="546"/>
      <c r="J149" s="553">
        <f>H149/DAY(B2)</f>
        <v>9.3050909983132077E-2</v>
      </c>
      <c r="N149" s="382"/>
      <c r="O149" s="382"/>
    </row>
    <row r="150" spans="1:15" ht="27.75">
      <c r="A150" s="1411" t="s">
        <v>259</v>
      </c>
      <c r="B150" s="1412"/>
      <c r="C150" s="1413"/>
      <c r="D150" s="523" t="s">
        <v>183</v>
      </c>
      <c r="E150" s="455"/>
      <c r="F150" s="455"/>
      <c r="G150" s="1359">
        <f>G36+G50</f>
        <v>2008.6200000000536</v>
      </c>
      <c r="H150" s="460">
        <f>G150+'19'!H150</f>
        <v>37564.039999999979</v>
      </c>
      <c r="I150" s="546"/>
      <c r="J150" s="553">
        <f>H150/DAY(B2)</f>
        <v>1878.2019999999989</v>
      </c>
      <c r="N150" s="382"/>
      <c r="O150" s="382"/>
    </row>
    <row r="151" spans="1:15" ht="27.75">
      <c r="A151" s="1411" t="s">
        <v>260</v>
      </c>
      <c r="B151" s="1412"/>
      <c r="C151" s="1413"/>
      <c r="D151" s="523" t="s">
        <v>24</v>
      </c>
      <c r="E151" s="455"/>
      <c r="F151" s="455"/>
      <c r="G151" s="1369">
        <f>G150/G7</f>
        <v>9.3237710625263592E-2</v>
      </c>
      <c r="H151" s="460">
        <f>G151+'19'!H151</f>
        <v>1.7586283704826222</v>
      </c>
      <c r="I151" s="480"/>
      <c r="J151" s="553">
        <f>H151/DAY(B2)</f>
        <v>8.7931418524131111E-2</v>
      </c>
      <c r="N151" s="382"/>
      <c r="O151" s="382"/>
    </row>
    <row r="152" spans="1:15" ht="27.75">
      <c r="A152" s="1411" t="s">
        <v>261</v>
      </c>
      <c r="B152" s="1412"/>
      <c r="C152" s="1413"/>
      <c r="D152" s="523" t="s">
        <v>183</v>
      </c>
      <c r="E152" s="455"/>
      <c r="F152" s="455"/>
      <c r="G152" s="1359">
        <f>G37+G51</f>
        <v>1568.4199999999983</v>
      </c>
      <c r="H152" s="460">
        <f>G152+'19'!H152</f>
        <v>65806.559999999998</v>
      </c>
      <c r="I152" s="480"/>
      <c r="J152" s="553">
        <f>H152/DAY(B2)</f>
        <v>3290.328</v>
      </c>
      <c r="L152" s="376" t="s">
        <v>278</v>
      </c>
      <c r="M152" s="376">
        <v>0.5</v>
      </c>
      <c r="N152" s="382">
        <v>50</v>
      </c>
      <c r="O152" s="382"/>
    </row>
    <row r="153" spans="1:15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1370">
        <f>G152/G7</f>
        <v>7.2804159123613155E-2</v>
      </c>
      <c r="H153" s="460">
        <f>G153+'19'!H153</f>
        <v>3.1647353979200106</v>
      </c>
      <c r="I153" s="569"/>
      <c r="J153" s="570">
        <f>H153/DAY(B2)</f>
        <v>0.15823676989600052</v>
      </c>
      <c r="N153" s="382"/>
      <c r="O153" s="382"/>
    </row>
    <row r="154" spans="1:15">
      <c r="A154" s="466"/>
      <c r="B154" s="456"/>
      <c r="C154" s="456"/>
      <c r="D154" s="547"/>
      <c r="E154" s="547"/>
      <c r="F154" s="547"/>
      <c r="G154" s="1371"/>
      <c r="H154" s="548"/>
      <c r="I154" s="547"/>
      <c r="J154" s="549"/>
      <c r="O154" s="382"/>
    </row>
    <row r="160" spans="1:15">
      <c r="A160" s="790" t="s">
        <v>263</v>
      </c>
      <c r="B160" s="791"/>
      <c r="C160" s="791"/>
      <c r="D160" s="511" t="s">
        <v>187</v>
      </c>
      <c r="E160" s="663">
        <f>'19'!F160</f>
        <v>32414.7</v>
      </c>
      <c r="F160" s="663">
        <v>32499.77</v>
      </c>
      <c r="G160" s="1346">
        <f t="shared" ref="G160:G163" si="15">F160-E160</f>
        <v>85.069999999999709</v>
      </c>
      <c r="K160" s="376">
        <v>70.399999999999636</v>
      </c>
      <c r="L160" s="376">
        <f t="shared" ref="L160:L171" si="16">G160-K160</f>
        <v>14.670000000000073</v>
      </c>
    </row>
    <row r="161" spans="1:12">
      <c r="A161" s="790" t="s">
        <v>264</v>
      </c>
      <c r="B161" s="791"/>
      <c r="C161" s="791"/>
      <c r="D161" s="511" t="s">
        <v>187</v>
      </c>
      <c r="E161" s="663">
        <f>'19'!F161</f>
        <v>63565.36</v>
      </c>
      <c r="F161" s="663">
        <v>63999.59</v>
      </c>
      <c r="G161" s="1346">
        <f t="shared" si="15"/>
        <v>434.22999999999593</v>
      </c>
      <c r="K161" s="376">
        <v>124.25999999999999</v>
      </c>
      <c r="L161" s="376">
        <f t="shared" si="16"/>
        <v>309.96999999999593</v>
      </c>
    </row>
    <row r="162" spans="1:12">
      <c r="A162" s="790" t="s">
        <v>265</v>
      </c>
      <c r="B162" s="791"/>
      <c r="C162" s="791"/>
      <c r="D162" s="511" t="s">
        <v>187</v>
      </c>
      <c r="E162" s="663">
        <f>'19'!F162</f>
        <v>25895.200000000001</v>
      </c>
      <c r="F162" s="663">
        <v>26288.81</v>
      </c>
      <c r="G162" s="1346">
        <f t="shared" si="15"/>
        <v>393.61000000000058</v>
      </c>
      <c r="K162" s="376">
        <v>138.98000000000002</v>
      </c>
      <c r="L162" s="376">
        <f t="shared" si="16"/>
        <v>254.63000000000056</v>
      </c>
    </row>
    <row r="163" spans="1:12">
      <c r="A163" s="790" t="s">
        <v>266</v>
      </c>
      <c r="B163" s="791"/>
      <c r="C163" s="791"/>
      <c r="D163" s="511" t="s">
        <v>187</v>
      </c>
      <c r="E163" s="663">
        <f>'19'!F163</f>
        <v>5640.96</v>
      </c>
      <c r="F163" s="663">
        <v>5658.19</v>
      </c>
      <c r="G163" s="1346">
        <f t="shared" si="15"/>
        <v>17.229999999999563</v>
      </c>
      <c r="K163" s="376">
        <v>45.830000000000041</v>
      </c>
      <c r="L163" s="376">
        <f t="shared" si="16"/>
        <v>-28.600000000000477</v>
      </c>
    </row>
    <row r="164" spans="1:12">
      <c r="A164" s="792" t="s">
        <v>98</v>
      </c>
      <c r="B164" s="605"/>
      <c r="C164" s="605"/>
      <c r="D164" s="511" t="s">
        <v>187</v>
      </c>
      <c r="E164" s="514">
        <f>E62</f>
        <v>20419.2</v>
      </c>
      <c r="F164" s="514">
        <f>F62</f>
        <v>20419.2</v>
      </c>
      <c r="G164" s="1346">
        <f t="shared" ref="G164:G171" si="17">F164-E164</f>
        <v>0</v>
      </c>
      <c r="K164" s="376">
        <v>-0.18000000000029104</v>
      </c>
      <c r="L164" s="376">
        <f t="shared" si="16"/>
        <v>0.18000000000029104</v>
      </c>
    </row>
    <row r="165" spans="1:12">
      <c r="A165" s="792" t="s">
        <v>188</v>
      </c>
      <c r="B165" s="605"/>
      <c r="C165" s="605"/>
      <c r="D165" s="511" t="s">
        <v>187</v>
      </c>
      <c r="E165" s="514">
        <f t="shared" ref="E165:E171" si="18">E63</f>
        <v>1957.21</v>
      </c>
      <c r="F165" s="514">
        <f t="shared" ref="F165:F171" si="19">F63</f>
        <v>1967.95</v>
      </c>
      <c r="G165" s="1346">
        <f t="shared" si="17"/>
        <v>10.740000000000009</v>
      </c>
      <c r="K165" s="376">
        <v>0</v>
      </c>
      <c r="L165" s="376">
        <f t="shared" si="16"/>
        <v>10.740000000000009</v>
      </c>
    </row>
    <row r="166" spans="1:12" ht="27.75">
      <c r="A166" s="1460" t="s">
        <v>99</v>
      </c>
      <c r="B166" s="1460"/>
      <c r="C166" s="1460"/>
      <c r="D166" s="523" t="s">
        <v>187</v>
      </c>
      <c r="E166" s="514">
        <f t="shared" si="18"/>
        <v>133362.51</v>
      </c>
      <c r="F166" s="514">
        <f t="shared" si="19"/>
        <v>133862.37</v>
      </c>
      <c r="G166" s="1346">
        <f t="shared" si="17"/>
        <v>499.85999999998603</v>
      </c>
      <c r="K166" s="376">
        <v>193.55000000000291</v>
      </c>
      <c r="L166" s="376">
        <f t="shared" si="16"/>
        <v>306.30999999998312</v>
      </c>
    </row>
    <row r="167" spans="1:12" ht="27.75">
      <c r="A167" s="1460" t="s">
        <v>100</v>
      </c>
      <c r="B167" s="1460"/>
      <c r="C167" s="1460"/>
      <c r="D167" s="523" t="s">
        <v>187</v>
      </c>
      <c r="E167" s="514">
        <f t="shared" si="18"/>
        <v>139679.95000000001</v>
      </c>
      <c r="F167" s="514">
        <f t="shared" si="19"/>
        <v>140044.29</v>
      </c>
      <c r="G167" s="1346">
        <f t="shared" si="17"/>
        <v>364.33999999999651</v>
      </c>
      <c r="K167" s="376">
        <v>168.39999999999418</v>
      </c>
      <c r="L167" s="376">
        <f t="shared" si="16"/>
        <v>195.94000000000233</v>
      </c>
    </row>
    <row r="168" spans="1:12" ht="27.75">
      <c r="A168" s="1460" t="s">
        <v>101</v>
      </c>
      <c r="B168" s="1460"/>
      <c r="C168" s="1460"/>
      <c r="D168" s="523" t="s">
        <v>187</v>
      </c>
      <c r="E168" s="514">
        <f t="shared" si="18"/>
        <v>32439.41</v>
      </c>
      <c r="F168" s="514">
        <f t="shared" si="19"/>
        <v>32782.800000000003</v>
      </c>
      <c r="G168" s="1346">
        <f t="shared" si="17"/>
        <v>343.39000000000306</v>
      </c>
      <c r="K168" s="376">
        <v>221.18999999999505</v>
      </c>
      <c r="L168" s="376">
        <f t="shared" si="16"/>
        <v>122.200000000008</v>
      </c>
    </row>
    <row r="169" spans="1:12" ht="27.75">
      <c r="A169" s="1460" t="s">
        <v>102</v>
      </c>
      <c r="B169" s="1460"/>
      <c r="C169" s="1460"/>
      <c r="D169" s="523" t="s">
        <v>187</v>
      </c>
      <c r="E169" s="514">
        <f t="shared" si="18"/>
        <v>220778.83</v>
      </c>
      <c r="F169" s="514">
        <f t="shared" si="19"/>
        <v>221548.83</v>
      </c>
      <c r="G169" s="1346">
        <f t="shared" si="17"/>
        <v>770</v>
      </c>
      <c r="K169" s="376">
        <v>337.19000000000233</v>
      </c>
      <c r="L169" s="376">
        <f t="shared" si="16"/>
        <v>432.80999999999767</v>
      </c>
    </row>
    <row r="170" spans="1:12" ht="27.75">
      <c r="A170" s="1460" t="s">
        <v>103</v>
      </c>
      <c r="B170" s="1460"/>
      <c r="C170" s="1460"/>
      <c r="D170" s="523" t="s">
        <v>187</v>
      </c>
      <c r="E170" s="514">
        <f t="shared" si="18"/>
        <v>79036.47</v>
      </c>
      <c r="F170" s="514">
        <f t="shared" si="19"/>
        <v>79364.5</v>
      </c>
      <c r="G170" s="1346">
        <f t="shared" si="17"/>
        <v>328.02999999999884</v>
      </c>
      <c r="K170" s="376">
        <v>115.09000000000015</v>
      </c>
      <c r="L170" s="376">
        <f t="shared" si="16"/>
        <v>212.93999999999869</v>
      </c>
    </row>
    <row r="171" spans="1:12" ht="27.75">
      <c r="A171" s="1460" t="s">
        <v>104</v>
      </c>
      <c r="B171" s="1460"/>
      <c r="C171" s="1460"/>
      <c r="D171" s="523" t="s">
        <v>187</v>
      </c>
      <c r="E171" s="514">
        <f t="shared" si="18"/>
        <v>70549.63</v>
      </c>
      <c r="F171" s="514">
        <f t="shared" si="19"/>
        <v>70863.710000000006</v>
      </c>
      <c r="G171" s="1346">
        <f t="shared" si="17"/>
        <v>314.08000000000175</v>
      </c>
      <c r="K171" s="376">
        <v>11.799999999999272</v>
      </c>
      <c r="L171" s="376">
        <f t="shared" si="16"/>
        <v>302.28000000000247</v>
      </c>
    </row>
    <row r="172" spans="1:12" ht="24.75" customHeight="1">
      <c r="G172" s="1372">
        <f>SUM(G160:G171)</f>
        <v>3560.5799999999817</v>
      </c>
      <c r="L172" s="376">
        <f>SUM(L160:L171)</f>
        <v>2134.0699999999888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538" t="s">
        <v>269</v>
      </c>
    </row>
    <row r="302" spans="6:6">
      <c r="F302" s="538">
        <v>0</v>
      </c>
    </row>
    <row r="303" spans="6:6">
      <c r="F303" s="538">
        <v>0</v>
      </c>
    </row>
    <row r="304" spans="6:6">
      <c r="F304" s="538">
        <v>0</v>
      </c>
    </row>
    <row r="305" spans="6:6">
      <c r="F305" s="538">
        <v>0</v>
      </c>
    </row>
    <row r="306" spans="6:6">
      <c r="F306" s="538">
        <v>0</v>
      </c>
    </row>
    <row r="307" spans="6:6">
      <c r="F307" s="538">
        <v>0</v>
      </c>
    </row>
    <row r="308" spans="6:6">
      <c r="F308" s="538">
        <v>0</v>
      </c>
    </row>
    <row r="309" spans="6:6">
      <c r="F309" s="538">
        <v>0</v>
      </c>
    </row>
    <row r="310" spans="6:6">
      <c r="F310" s="538">
        <v>0</v>
      </c>
    </row>
    <row r="311" spans="6:6">
      <c r="F311" s="538">
        <v>0</v>
      </c>
    </row>
    <row r="312" spans="6:6">
      <c r="F312" s="538">
        <v>0</v>
      </c>
    </row>
    <row r="313" spans="6:6">
      <c r="F313" s="538">
        <v>0</v>
      </c>
    </row>
    <row r="314" spans="6:6">
      <c r="F314" s="538">
        <v>0</v>
      </c>
    </row>
    <row r="315" spans="6:6">
      <c r="F315" s="538">
        <v>0</v>
      </c>
    </row>
    <row r="316" spans="6:6">
      <c r="F316" s="538">
        <v>0</v>
      </c>
    </row>
    <row r="317" spans="6:6">
      <c r="F317" s="538">
        <v>0</v>
      </c>
    </row>
    <row r="318" spans="6:6">
      <c r="F318" s="538">
        <v>0</v>
      </c>
    </row>
    <row r="319" spans="6:6">
      <c r="F319" s="538">
        <v>0</v>
      </c>
    </row>
    <row r="320" spans="6:6">
      <c r="F320" s="538">
        <v>0</v>
      </c>
    </row>
    <row r="321" spans="6:6">
      <c r="F321" s="538">
        <v>0</v>
      </c>
    </row>
    <row r="322" spans="6:6">
      <c r="F322" s="538">
        <v>0</v>
      </c>
    </row>
    <row r="323" spans="6:6">
      <c r="F323" s="538">
        <v>0</v>
      </c>
    </row>
    <row r="324" spans="6:6">
      <c r="F324" s="538">
        <v>0</v>
      </c>
    </row>
    <row r="325" spans="6:6">
      <c r="F325" s="538">
        <v>0</v>
      </c>
    </row>
    <row r="326" spans="6:6">
      <c r="F326" s="538">
        <v>0</v>
      </c>
    </row>
    <row r="327" spans="6:6">
      <c r="F327" s="538">
        <v>0</v>
      </c>
    </row>
    <row r="328" spans="6:6">
      <c r="F328" s="538">
        <v>0</v>
      </c>
    </row>
    <row r="329" spans="6:6">
      <c r="F329" s="538">
        <v>0</v>
      </c>
    </row>
    <row r="330" spans="6:6">
      <c r="F330" s="538">
        <v>0</v>
      </c>
    </row>
    <row r="331" spans="6:6">
      <c r="F331" s="538">
        <v>0</v>
      </c>
    </row>
    <row r="332" spans="6:6">
      <c r="F332" s="538">
        <v>0</v>
      </c>
    </row>
    <row r="333" spans="6:6">
      <c r="F333" s="538">
        <v>0</v>
      </c>
    </row>
    <row r="334" spans="6:6">
      <c r="F334" s="538">
        <v>0</v>
      </c>
    </row>
    <row r="335" spans="6:6">
      <c r="F335" s="538">
        <v>0</v>
      </c>
    </row>
    <row r="336" spans="6:6">
      <c r="F336" s="538">
        <v>0</v>
      </c>
    </row>
    <row r="337" spans="6:6">
      <c r="F337" s="538">
        <v>0</v>
      </c>
    </row>
    <row r="338" spans="6:6">
      <c r="F338" s="538">
        <v>0</v>
      </c>
    </row>
    <row r="339" spans="6:6">
      <c r="F339" s="538">
        <v>0</v>
      </c>
    </row>
    <row r="340" spans="6:6">
      <c r="F340" s="538">
        <v>0</v>
      </c>
    </row>
    <row r="341" spans="6:6">
      <c r="F341" s="538">
        <v>0</v>
      </c>
    </row>
    <row r="342" spans="6:6">
      <c r="F342" s="538">
        <v>0</v>
      </c>
    </row>
    <row r="343" spans="6:6">
      <c r="F343" s="538">
        <v>0</v>
      </c>
    </row>
    <row r="344" spans="6:6">
      <c r="F344" s="538">
        <v>0</v>
      </c>
    </row>
    <row r="345" spans="6:6">
      <c r="F345" s="538">
        <v>0</v>
      </c>
    </row>
    <row r="346" spans="6:6">
      <c r="F346" s="538">
        <v>0</v>
      </c>
    </row>
    <row r="347" spans="6:6">
      <c r="F347" s="538">
        <v>0</v>
      </c>
    </row>
    <row r="348" spans="6:6">
      <c r="F348" s="538">
        <v>0</v>
      </c>
    </row>
    <row r="349" spans="6:6">
      <c r="F349" s="538">
        <v>0</v>
      </c>
    </row>
    <row r="350" spans="6:6">
      <c r="F350" s="538">
        <v>0</v>
      </c>
    </row>
    <row r="351" spans="6:6">
      <c r="F351" s="538">
        <v>0</v>
      </c>
    </row>
    <row r="352" spans="6:6">
      <c r="F352" s="538">
        <v>0</v>
      </c>
    </row>
    <row r="353" spans="6:6">
      <c r="F353" s="538">
        <v>0</v>
      </c>
    </row>
    <row r="354" spans="6:6">
      <c r="F354" s="538">
        <v>0</v>
      </c>
    </row>
    <row r="355" spans="6:6">
      <c r="F355" s="538">
        <v>0</v>
      </c>
    </row>
    <row r="356" spans="6:6">
      <c r="F356" s="538">
        <v>0</v>
      </c>
    </row>
    <row r="357" spans="6:6">
      <c r="F357" s="538">
        <v>0</v>
      </c>
    </row>
    <row r="358" spans="6:6">
      <c r="F358" s="538">
        <v>0</v>
      </c>
    </row>
    <row r="359" spans="6:6">
      <c r="F359" s="538">
        <v>0</v>
      </c>
    </row>
    <row r="360" spans="6:6">
      <c r="F360" s="538">
        <v>0</v>
      </c>
    </row>
    <row r="361" spans="6:6">
      <c r="F361" s="538">
        <v>0</v>
      </c>
    </row>
    <row r="362" spans="6:6">
      <c r="F362" s="538">
        <v>0</v>
      </c>
    </row>
    <row r="363" spans="6:6">
      <c r="F363" s="538">
        <v>0</v>
      </c>
    </row>
    <row r="364" spans="6:6">
      <c r="F364" s="538">
        <v>0</v>
      </c>
    </row>
    <row r="365" spans="6:6">
      <c r="F365" s="538">
        <v>0</v>
      </c>
    </row>
    <row r="366" spans="6:6">
      <c r="F366" s="538">
        <v>0</v>
      </c>
    </row>
    <row r="367" spans="6:6">
      <c r="F367" s="538">
        <v>0</v>
      </c>
    </row>
    <row r="368" spans="6:6">
      <c r="F368" s="538">
        <v>0</v>
      </c>
    </row>
    <row r="369" spans="6:6">
      <c r="F369" s="538">
        <v>0</v>
      </c>
    </row>
    <row r="370" spans="6:6">
      <c r="F370" s="538">
        <v>0</v>
      </c>
    </row>
    <row r="371" spans="6:6">
      <c r="F371" s="538">
        <v>0</v>
      </c>
    </row>
    <row r="372" spans="6:6">
      <c r="F372" s="538">
        <v>0</v>
      </c>
    </row>
    <row r="373" spans="6:6">
      <c r="F373" s="538">
        <v>0</v>
      </c>
    </row>
    <row r="374" spans="6:6">
      <c r="F374" s="538">
        <v>0</v>
      </c>
    </row>
    <row r="375" spans="6:6">
      <c r="F375" s="538">
        <v>0</v>
      </c>
    </row>
    <row r="376" spans="6:6">
      <c r="F376" s="538">
        <v>0</v>
      </c>
    </row>
    <row r="377" spans="6:6">
      <c r="F377" s="538">
        <v>0</v>
      </c>
    </row>
    <row r="378" spans="6:6">
      <c r="F378" s="538">
        <v>0</v>
      </c>
    </row>
    <row r="379" spans="6:6">
      <c r="F379" s="538">
        <v>0</v>
      </c>
    </row>
    <row r="380" spans="6:6">
      <c r="F380" s="538">
        <v>0</v>
      </c>
    </row>
    <row r="381" spans="6:6">
      <c r="F381" s="538">
        <v>0</v>
      </c>
    </row>
    <row r="382" spans="6:6">
      <c r="F382" s="538">
        <v>0</v>
      </c>
    </row>
    <row r="383" spans="6:6">
      <c r="F383" s="538">
        <v>0</v>
      </c>
    </row>
    <row r="384" spans="6:6">
      <c r="F384" s="538">
        <v>0</v>
      </c>
    </row>
    <row r="385" spans="6:6">
      <c r="F385" s="538">
        <v>0</v>
      </c>
    </row>
    <row r="386" spans="6:6">
      <c r="F386" s="538">
        <v>0</v>
      </c>
    </row>
    <row r="387" spans="6:6">
      <c r="F387" s="538">
        <v>0</v>
      </c>
    </row>
    <row r="388" spans="6:6">
      <c r="F388" s="538">
        <v>0</v>
      </c>
    </row>
    <row r="389" spans="6:6">
      <c r="F389" s="538">
        <v>0</v>
      </c>
    </row>
    <row r="390" spans="6:6">
      <c r="F390" s="538">
        <v>0</v>
      </c>
    </row>
    <row r="391" spans="6:6">
      <c r="F391" s="538">
        <v>0</v>
      </c>
    </row>
    <row r="392" spans="6:6">
      <c r="F392" s="538">
        <v>0</v>
      </c>
    </row>
    <row r="393" spans="6:6">
      <c r="F393" s="538">
        <v>0</v>
      </c>
    </row>
    <row r="394" spans="6:6">
      <c r="F394" s="538">
        <v>0</v>
      </c>
    </row>
    <row r="395" spans="6:6">
      <c r="F395" s="538">
        <v>0</v>
      </c>
    </row>
    <row r="396" spans="6:6">
      <c r="F396" s="538">
        <v>0</v>
      </c>
    </row>
    <row r="397" spans="6:6">
      <c r="F397" s="538">
        <v>0</v>
      </c>
    </row>
    <row r="398" spans="6:6">
      <c r="F398" s="538">
        <v>0</v>
      </c>
    </row>
    <row r="399" spans="6:6">
      <c r="F399" s="538">
        <v>0</v>
      </c>
    </row>
    <row r="400" spans="6:6">
      <c r="F400" s="538">
        <v>0</v>
      </c>
    </row>
    <row r="401" spans="6:6">
      <c r="F401" s="538">
        <v>0</v>
      </c>
    </row>
    <row r="402" spans="6:6">
      <c r="F402" s="538">
        <v>0</v>
      </c>
    </row>
    <row r="403" spans="6:6">
      <c r="F403" s="538">
        <v>0</v>
      </c>
    </row>
    <row r="404" spans="6:6">
      <c r="F404" s="538">
        <v>0</v>
      </c>
    </row>
    <row r="405" spans="6:6">
      <c r="F405" s="538">
        <v>0</v>
      </c>
    </row>
    <row r="406" spans="6:6">
      <c r="F406" s="538">
        <v>0</v>
      </c>
    </row>
    <row r="407" spans="6:6">
      <c r="F407" s="538">
        <v>0</v>
      </c>
    </row>
    <row r="408" spans="6:6">
      <c r="F408" s="538">
        <v>0</v>
      </c>
    </row>
    <row r="409" spans="6:6">
      <c r="F409" s="538">
        <v>0</v>
      </c>
    </row>
    <row r="410" spans="6:6">
      <c r="F410" s="538">
        <v>0</v>
      </c>
    </row>
    <row r="411" spans="6:6">
      <c r="F411" s="538">
        <v>0</v>
      </c>
    </row>
    <row r="412" spans="6:6">
      <c r="F412" s="538">
        <v>0</v>
      </c>
    </row>
    <row r="413" spans="6:6">
      <c r="F413" s="538">
        <v>0</v>
      </c>
    </row>
    <row r="414" spans="6:6">
      <c r="F414" s="538">
        <v>0</v>
      </c>
    </row>
    <row r="415" spans="6:6">
      <c r="F415" s="538">
        <v>0</v>
      </c>
    </row>
    <row r="416" spans="6:6">
      <c r="F416" s="538">
        <v>0</v>
      </c>
    </row>
    <row r="417" spans="6:6">
      <c r="F417" s="538">
        <v>0</v>
      </c>
    </row>
    <row r="418" spans="6:6">
      <c r="F418" s="538">
        <v>0</v>
      </c>
    </row>
    <row r="419" spans="6:6">
      <c r="F419" s="538">
        <v>0</v>
      </c>
    </row>
    <row r="420" spans="6:6">
      <c r="F420" s="538">
        <v>0</v>
      </c>
    </row>
    <row r="421" spans="6:6">
      <c r="F421" s="538">
        <v>0</v>
      </c>
    </row>
    <row r="422" spans="6:6">
      <c r="F422" s="538">
        <v>0</v>
      </c>
    </row>
    <row r="423" spans="6:6">
      <c r="F423" s="538">
        <v>0</v>
      </c>
    </row>
    <row r="424" spans="6:6">
      <c r="F424" s="538">
        <v>0</v>
      </c>
    </row>
    <row r="425" spans="6:6">
      <c r="F425" s="538">
        <v>0</v>
      </c>
    </row>
    <row r="426" spans="6:6">
      <c r="F426" s="538">
        <v>0</v>
      </c>
    </row>
    <row r="427" spans="6:6">
      <c r="F427" s="538">
        <v>0</v>
      </c>
    </row>
    <row r="428" spans="6:6">
      <c r="F428" s="538">
        <v>0</v>
      </c>
    </row>
    <row r="429" spans="6:6">
      <c r="F429" s="538">
        <v>0</v>
      </c>
    </row>
    <row r="430" spans="6:6">
      <c r="F430" s="538">
        <v>0</v>
      </c>
    </row>
    <row r="431" spans="6:6">
      <c r="F431" s="538">
        <v>0</v>
      </c>
    </row>
    <row r="432" spans="6:6">
      <c r="F432" s="538">
        <v>0</v>
      </c>
    </row>
    <row r="433" spans="6:6">
      <c r="F433" s="538">
        <v>0</v>
      </c>
    </row>
    <row r="434" spans="6:6">
      <c r="F434" s="538">
        <v>0</v>
      </c>
    </row>
    <row r="435" spans="6:6">
      <c r="F435" s="538">
        <v>0</v>
      </c>
    </row>
    <row r="436" spans="6:6">
      <c r="F436" s="538">
        <v>0</v>
      </c>
    </row>
    <row r="437" spans="6:6">
      <c r="F437" s="538">
        <v>0</v>
      </c>
    </row>
    <row r="438" spans="6:6">
      <c r="F438" s="538">
        <v>0</v>
      </c>
    </row>
    <row r="439" spans="6:6">
      <c r="F439" s="538">
        <v>0</v>
      </c>
    </row>
    <row r="440" spans="6:6">
      <c r="F440" s="538">
        <v>0</v>
      </c>
    </row>
    <row r="441" spans="6:6">
      <c r="F441" s="538">
        <v>0</v>
      </c>
    </row>
    <row r="442" spans="6:6">
      <c r="F442" s="538">
        <v>0</v>
      </c>
    </row>
    <row r="443" spans="6:6">
      <c r="F443" s="538">
        <v>0</v>
      </c>
    </row>
    <row r="444" spans="6:6">
      <c r="F444" s="538">
        <v>0</v>
      </c>
    </row>
    <row r="445" spans="6:6">
      <c r="F445" s="538">
        <v>0</v>
      </c>
    </row>
    <row r="446" spans="6:6">
      <c r="F446" s="538">
        <v>0</v>
      </c>
    </row>
    <row r="447" spans="6:6">
      <c r="F447" s="538">
        <v>0</v>
      </c>
    </row>
    <row r="448" spans="6:6">
      <c r="F448" s="538">
        <v>0</v>
      </c>
    </row>
    <row r="449" spans="6:6">
      <c r="F449" s="538">
        <v>0</v>
      </c>
    </row>
    <row r="450" spans="6:6">
      <c r="F450" s="538">
        <v>0</v>
      </c>
    </row>
    <row r="451" spans="6:6">
      <c r="F451" s="538">
        <v>0</v>
      </c>
    </row>
    <row r="452" spans="6:6">
      <c r="F452" s="538">
        <v>0</v>
      </c>
    </row>
    <row r="453" spans="6:6">
      <c r="F453" s="538">
        <v>0</v>
      </c>
    </row>
    <row r="454" spans="6:6">
      <c r="F454" s="538">
        <v>0</v>
      </c>
    </row>
    <row r="455" spans="6:6">
      <c r="F455" s="538">
        <v>0</v>
      </c>
    </row>
    <row r="456" spans="6:6">
      <c r="F456" s="538">
        <v>0</v>
      </c>
    </row>
    <row r="457" spans="6:6">
      <c r="F457" s="538">
        <v>0</v>
      </c>
    </row>
    <row r="458" spans="6:6">
      <c r="F458" s="538">
        <v>0</v>
      </c>
    </row>
    <row r="459" spans="6:6">
      <c r="F459" s="538">
        <v>0</v>
      </c>
    </row>
    <row r="460" spans="6:6">
      <c r="F460" s="538">
        <v>0</v>
      </c>
    </row>
    <row r="461" spans="6:6">
      <c r="F461" s="538">
        <v>0</v>
      </c>
    </row>
    <row r="462" spans="6:6">
      <c r="F462" s="538">
        <v>0</v>
      </c>
    </row>
    <row r="463" spans="6:6">
      <c r="F463" s="538">
        <v>0</v>
      </c>
    </row>
    <row r="464" spans="6:6">
      <c r="F464" s="538">
        <v>0</v>
      </c>
    </row>
    <row r="465" spans="6:6">
      <c r="F465" s="538">
        <v>0</v>
      </c>
    </row>
    <row r="466" spans="6:6">
      <c r="F466" s="538">
        <v>0</v>
      </c>
    </row>
    <row r="467" spans="6:6">
      <c r="F467" s="538">
        <v>0</v>
      </c>
    </row>
    <row r="468" spans="6:6">
      <c r="F468" s="538">
        <v>0</v>
      </c>
    </row>
    <row r="469" spans="6:6">
      <c r="F469" s="538">
        <v>0</v>
      </c>
    </row>
    <row r="470" spans="6:6">
      <c r="F470" s="538">
        <v>0</v>
      </c>
    </row>
    <row r="471" spans="6:6">
      <c r="F471" s="538">
        <v>0</v>
      </c>
    </row>
    <row r="472" spans="6:6">
      <c r="F472" s="538">
        <v>0</v>
      </c>
    </row>
    <row r="473" spans="6:6">
      <c r="F473" s="538">
        <v>0</v>
      </c>
    </row>
    <row r="474" spans="6:6">
      <c r="F474" s="538">
        <v>0</v>
      </c>
    </row>
    <row r="475" spans="6:6">
      <c r="F475" s="538">
        <v>0</v>
      </c>
    </row>
    <row r="476" spans="6:6">
      <c r="F476" s="538">
        <v>0</v>
      </c>
    </row>
    <row r="477" spans="6:6">
      <c r="F477" s="538">
        <v>0</v>
      </c>
    </row>
    <row r="478" spans="6:6">
      <c r="F478" s="538">
        <v>0</v>
      </c>
    </row>
    <row r="479" spans="6:6">
      <c r="F479" s="538">
        <v>0</v>
      </c>
    </row>
    <row r="480" spans="6:6">
      <c r="F480" s="538">
        <v>0</v>
      </c>
    </row>
    <row r="481" spans="6:6">
      <c r="F481" s="538">
        <v>0</v>
      </c>
    </row>
    <row r="482" spans="6:6">
      <c r="F482" s="538">
        <v>0</v>
      </c>
    </row>
    <row r="483" spans="6:6">
      <c r="F483" s="538">
        <v>0</v>
      </c>
    </row>
    <row r="484" spans="6:6">
      <c r="F484" s="538">
        <v>0</v>
      </c>
    </row>
    <row r="485" spans="6:6">
      <c r="F485" s="538">
        <v>0</v>
      </c>
    </row>
    <row r="486" spans="6:6">
      <c r="F486" s="538">
        <v>0</v>
      </c>
    </row>
    <row r="487" spans="6:6">
      <c r="F487" s="538">
        <v>0</v>
      </c>
    </row>
    <row r="488" spans="6:6">
      <c r="F488" s="538">
        <v>0</v>
      </c>
    </row>
    <row r="489" spans="6:6">
      <c r="F489" s="538">
        <v>0</v>
      </c>
    </row>
    <row r="490" spans="6:6">
      <c r="F490" s="538">
        <v>0</v>
      </c>
    </row>
    <row r="491" spans="6:6">
      <c r="F491" s="538">
        <v>0</v>
      </c>
    </row>
    <row r="492" spans="6:6">
      <c r="F492" s="538">
        <v>0</v>
      </c>
    </row>
    <row r="493" spans="6:6">
      <c r="F493" s="538">
        <v>0</v>
      </c>
    </row>
    <row r="494" spans="6:6">
      <c r="F494" s="538">
        <v>0</v>
      </c>
    </row>
    <row r="495" spans="6:6">
      <c r="F495" s="538">
        <v>0</v>
      </c>
    </row>
    <row r="496" spans="6:6">
      <c r="F496" s="538">
        <v>0</v>
      </c>
    </row>
    <row r="497" spans="6:6">
      <c r="F497" s="538">
        <v>0</v>
      </c>
    </row>
    <row r="498" spans="6:6">
      <c r="F498" s="538">
        <v>0</v>
      </c>
    </row>
    <row r="499" spans="6:6">
      <c r="F499" s="538">
        <v>0</v>
      </c>
    </row>
    <row r="500" spans="6:6">
      <c r="F500" s="538">
        <v>0</v>
      </c>
    </row>
    <row r="501" spans="6:6">
      <c r="F501" s="538">
        <v>0</v>
      </c>
    </row>
    <row r="502" spans="6:6">
      <c r="F502" s="538">
        <v>0</v>
      </c>
    </row>
    <row r="503" spans="6:6">
      <c r="F503" s="538">
        <v>0</v>
      </c>
    </row>
    <row r="504" spans="6:6">
      <c r="F504" s="538">
        <v>0</v>
      </c>
    </row>
    <row r="505" spans="6:6">
      <c r="F505" s="538">
        <v>0</v>
      </c>
    </row>
    <row r="506" spans="6:6">
      <c r="F506" s="538">
        <v>0</v>
      </c>
    </row>
    <row r="507" spans="6:6">
      <c r="F507" s="538">
        <v>0</v>
      </c>
    </row>
    <row r="508" spans="6:6">
      <c r="F508" s="538">
        <v>0</v>
      </c>
    </row>
    <row r="509" spans="6:6">
      <c r="F509" s="538">
        <v>0</v>
      </c>
    </row>
    <row r="510" spans="6:6">
      <c r="F510" s="538">
        <v>0</v>
      </c>
    </row>
    <row r="511" spans="6:6">
      <c r="F511" s="538">
        <v>0</v>
      </c>
    </row>
    <row r="512" spans="6:6">
      <c r="F512" s="538">
        <v>0</v>
      </c>
    </row>
    <row r="513" spans="6:6">
      <c r="F513" s="538">
        <v>0</v>
      </c>
    </row>
    <row r="514" spans="6:6">
      <c r="F514" s="538">
        <v>0</v>
      </c>
    </row>
    <row r="515" spans="6:6">
      <c r="F515" s="538">
        <v>0</v>
      </c>
    </row>
    <row r="516" spans="6:6">
      <c r="F516" s="538">
        <v>0</v>
      </c>
    </row>
    <row r="517" spans="6:6">
      <c r="F517" s="538">
        <v>0</v>
      </c>
    </row>
    <row r="518" spans="6:6">
      <c r="F518" s="538">
        <v>0</v>
      </c>
    </row>
    <row r="519" spans="6:6">
      <c r="F519" s="538">
        <v>0</v>
      </c>
    </row>
    <row r="520" spans="6:6">
      <c r="F520" s="538">
        <v>0</v>
      </c>
    </row>
    <row r="521" spans="6:6">
      <c r="F521" s="538">
        <v>0</v>
      </c>
    </row>
    <row r="522" spans="6:6">
      <c r="F522" s="538">
        <v>0</v>
      </c>
    </row>
    <row r="523" spans="6:6">
      <c r="F523" s="538">
        <v>0</v>
      </c>
    </row>
    <row r="524" spans="6:6">
      <c r="F524" s="538">
        <v>0</v>
      </c>
    </row>
    <row r="525" spans="6:6">
      <c r="F525" s="538">
        <v>0</v>
      </c>
    </row>
    <row r="526" spans="6:6">
      <c r="F526" s="538">
        <v>0</v>
      </c>
    </row>
    <row r="527" spans="6:6">
      <c r="F527" s="538">
        <v>0</v>
      </c>
    </row>
    <row r="528" spans="6:6">
      <c r="F528" s="538">
        <v>0</v>
      </c>
    </row>
    <row r="529" spans="6:6">
      <c r="F529" s="538">
        <v>0</v>
      </c>
    </row>
    <row r="530" spans="6:6">
      <c r="F530" s="538">
        <v>0</v>
      </c>
    </row>
    <row r="531" spans="6:6">
      <c r="F531" s="538">
        <v>0</v>
      </c>
    </row>
    <row r="532" spans="6:6">
      <c r="F532" s="538">
        <v>0</v>
      </c>
    </row>
    <row r="533" spans="6:6">
      <c r="F533" s="538">
        <v>0</v>
      </c>
    </row>
    <row r="534" spans="6:6">
      <c r="F534" s="538">
        <v>0</v>
      </c>
    </row>
    <row r="535" spans="6:6">
      <c r="F535" s="538">
        <v>0</v>
      </c>
    </row>
    <row r="536" spans="6:6">
      <c r="F536" s="538">
        <v>0</v>
      </c>
    </row>
    <row r="537" spans="6:6">
      <c r="F537" s="538">
        <v>0</v>
      </c>
    </row>
    <row r="538" spans="6:6">
      <c r="F538" s="538">
        <v>0</v>
      </c>
    </row>
    <row r="539" spans="6:6">
      <c r="F539" s="538">
        <v>0</v>
      </c>
    </row>
    <row r="540" spans="6:6">
      <c r="F540" s="538">
        <v>0</v>
      </c>
    </row>
    <row r="541" spans="6:6">
      <c r="F541" s="538">
        <v>0</v>
      </c>
    </row>
    <row r="542" spans="6:6">
      <c r="F542" s="538">
        <v>0</v>
      </c>
    </row>
    <row r="543" spans="6:6">
      <c r="F543" s="538">
        <v>0</v>
      </c>
    </row>
    <row r="544" spans="6:6">
      <c r="F544" s="538">
        <v>0</v>
      </c>
    </row>
    <row r="545" spans="6:6">
      <c r="F545" s="538">
        <v>0</v>
      </c>
    </row>
    <row r="546" spans="6:6">
      <c r="F546" s="538">
        <v>0</v>
      </c>
    </row>
    <row r="547" spans="6:6">
      <c r="F547" s="538">
        <v>0</v>
      </c>
    </row>
    <row r="548" spans="6:6">
      <c r="F548" s="538">
        <v>0</v>
      </c>
    </row>
    <row r="549" spans="6:6">
      <c r="F549" s="538">
        <v>0</v>
      </c>
    </row>
    <row r="550" spans="6:6">
      <c r="F550" s="538">
        <v>0</v>
      </c>
    </row>
    <row r="551" spans="6:6">
      <c r="F551" s="538">
        <v>0</v>
      </c>
    </row>
    <row r="552" spans="6:6">
      <c r="F552" s="538">
        <v>0</v>
      </c>
    </row>
    <row r="553" spans="6:6">
      <c r="F553" s="538">
        <v>0</v>
      </c>
    </row>
    <row r="554" spans="6:6">
      <c r="F554" s="538">
        <v>0</v>
      </c>
    </row>
    <row r="555" spans="6:6">
      <c r="F555" s="538">
        <v>0</v>
      </c>
    </row>
    <row r="556" spans="6:6">
      <c r="F556" s="538">
        <v>0</v>
      </c>
    </row>
    <row r="557" spans="6:6">
      <c r="F557" s="538">
        <v>0</v>
      </c>
    </row>
    <row r="558" spans="6:6">
      <c r="F558" s="538">
        <v>0</v>
      </c>
    </row>
    <row r="559" spans="6:6">
      <c r="F559" s="538">
        <v>0</v>
      </c>
    </row>
    <row r="560" spans="6:6">
      <c r="F560" s="538">
        <v>0</v>
      </c>
    </row>
    <row r="561" spans="6:6">
      <c r="F561" s="538">
        <v>0</v>
      </c>
    </row>
    <row r="562" spans="6:6">
      <c r="F562" s="538">
        <v>0</v>
      </c>
    </row>
    <row r="563" spans="6:6">
      <c r="F563" s="538">
        <v>0</v>
      </c>
    </row>
    <row r="564" spans="6:6">
      <c r="F564" s="538">
        <v>0</v>
      </c>
    </row>
    <row r="565" spans="6:6">
      <c r="F565" s="538">
        <v>0</v>
      </c>
    </row>
    <row r="566" spans="6:6">
      <c r="F566" s="538">
        <v>0</v>
      </c>
    </row>
    <row r="567" spans="6:6">
      <c r="F567" s="538">
        <v>0</v>
      </c>
    </row>
    <row r="568" spans="6:6">
      <c r="F568" s="538">
        <v>0</v>
      </c>
    </row>
    <row r="569" spans="6:6">
      <c r="F569" s="538">
        <v>0</v>
      </c>
    </row>
    <row r="570" spans="6:6">
      <c r="F570" s="538">
        <v>0</v>
      </c>
    </row>
    <row r="571" spans="6:6">
      <c r="F571" s="538">
        <v>0</v>
      </c>
    </row>
    <row r="572" spans="6:6">
      <c r="F572" s="538">
        <v>0</v>
      </c>
    </row>
    <row r="573" spans="6:6">
      <c r="F573" s="538">
        <v>0</v>
      </c>
    </row>
    <row r="574" spans="6:6">
      <c r="F574" s="538">
        <v>0</v>
      </c>
    </row>
    <row r="575" spans="6:6">
      <c r="F575" s="538">
        <v>0</v>
      </c>
    </row>
    <row r="576" spans="6:6">
      <c r="F576" s="538">
        <v>0</v>
      </c>
    </row>
    <row r="577" spans="6:6">
      <c r="F577" s="538">
        <v>0</v>
      </c>
    </row>
    <row r="578" spans="6:6">
      <c r="F578" s="538">
        <v>0</v>
      </c>
    </row>
    <row r="579" spans="6:6">
      <c r="F579" s="538">
        <v>0</v>
      </c>
    </row>
    <row r="580" spans="6:6">
      <c r="F580" s="538">
        <v>0</v>
      </c>
    </row>
    <row r="581" spans="6:6">
      <c r="F581" s="538">
        <v>0</v>
      </c>
    </row>
    <row r="582" spans="6:6">
      <c r="F582" s="538">
        <v>0</v>
      </c>
    </row>
    <row r="583" spans="6:6">
      <c r="F583" s="538">
        <v>0</v>
      </c>
    </row>
    <row r="584" spans="6:6">
      <c r="F584" s="538">
        <v>0</v>
      </c>
    </row>
    <row r="585" spans="6:6">
      <c r="F585" s="538">
        <v>0</v>
      </c>
    </row>
    <row r="586" spans="6:6">
      <c r="F586" s="538">
        <v>0</v>
      </c>
    </row>
    <row r="587" spans="6:6">
      <c r="F587" s="538">
        <v>0</v>
      </c>
    </row>
    <row r="588" spans="6:6">
      <c r="F588" s="538">
        <v>0</v>
      </c>
    </row>
    <row r="589" spans="6:6">
      <c r="F589" s="538">
        <v>0</v>
      </c>
    </row>
    <row r="590" spans="6:6">
      <c r="F590" s="538">
        <v>0</v>
      </c>
    </row>
    <row r="591" spans="6:6">
      <c r="F591" s="538">
        <v>0</v>
      </c>
    </row>
    <row r="592" spans="6:6">
      <c r="F592" s="538">
        <v>0</v>
      </c>
    </row>
    <row r="593" spans="6:6">
      <c r="F593" s="538">
        <v>0</v>
      </c>
    </row>
    <row r="594" spans="6:6">
      <c r="F594" s="538">
        <v>0</v>
      </c>
    </row>
    <row r="595" spans="6:6">
      <c r="F595" s="538">
        <v>0</v>
      </c>
    </row>
    <row r="596" spans="6:6">
      <c r="F596" s="538">
        <v>0</v>
      </c>
    </row>
    <row r="597" spans="6:6">
      <c r="F597" s="538">
        <v>0</v>
      </c>
    </row>
    <row r="598" spans="6:6">
      <c r="F598" s="538">
        <v>0</v>
      </c>
    </row>
    <row r="599" spans="6:6">
      <c r="F599" s="538">
        <v>0</v>
      </c>
    </row>
    <row r="600" spans="6:6">
      <c r="F600" s="538">
        <v>0</v>
      </c>
    </row>
    <row r="601" spans="6:6">
      <c r="F601" s="538">
        <v>0</v>
      </c>
    </row>
    <row r="602" spans="6:6">
      <c r="F602" s="538">
        <v>0</v>
      </c>
    </row>
    <row r="603" spans="6:6">
      <c r="F603" s="538">
        <v>0</v>
      </c>
    </row>
    <row r="604" spans="6:6">
      <c r="F604" s="538">
        <v>0</v>
      </c>
    </row>
    <row r="605" spans="6:6">
      <c r="F605" s="538">
        <v>0</v>
      </c>
    </row>
    <row r="606" spans="6:6">
      <c r="F606" s="538">
        <v>0</v>
      </c>
    </row>
    <row r="607" spans="6:6">
      <c r="F607" s="538">
        <v>0</v>
      </c>
    </row>
    <row r="608" spans="6:6">
      <c r="F608" s="538">
        <v>0</v>
      </c>
    </row>
    <row r="609" spans="6:6">
      <c r="F609" s="538">
        <v>0</v>
      </c>
    </row>
    <row r="610" spans="6:6">
      <c r="F610" s="538">
        <v>0</v>
      </c>
    </row>
    <row r="611" spans="6:6">
      <c r="F611" s="538">
        <v>0</v>
      </c>
    </row>
    <row r="612" spans="6:6">
      <c r="F612" s="538">
        <v>0</v>
      </c>
    </row>
    <row r="613" spans="6:6">
      <c r="F613" s="538">
        <v>0</v>
      </c>
    </row>
    <row r="614" spans="6:6">
      <c r="F614" s="538">
        <v>0</v>
      </c>
    </row>
    <row r="615" spans="6:6">
      <c r="F615" s="538">
        <v>0</v>
      </c>
    </row>
    <row r="616" spans="6:6">
      <c r="F616" s="538">
        <v>0</v>
      </c>
    </row>
    <row r="617" spans="6:6">
      <c r="F617" s="538">
        <v>0</v>
      </c>
    </row>
    <row r="618" spans="6:6">
      <c r="F618" s="538">
        <v>0</v>
      </c>
    </row>
    <row r="619" spans="6:6">
      <c r="F619" s="538">
        <v>0</v>
      </c>
    </row>
    <row r="620" spans="6:6">
      <c r="F620" s="538">
        <v>0</v>
      </c>
    </row>
    <row r="621" spans="6:6">
      <c r="F621" s="538">
        <v>0</v>
      </c>
    </row>
    <row r="622" spans="6:6">
      <c r="F622" s="538">
        <v>0</v>
      </c>
    </row>
    <row r="623" spans="6:6">
      <c r="F623" s="538">
        <v>0</v>
      </c>
    </row>
    <row r="624" spans="6:6">
      <c r="F624" s="538">
        <v>0</v>
      </c>
    </row>
    <row r="625" spans="6:6">
      <c r="F625" s="538">
        <v>0</v>
      </c>
    </row>
    <row r="626" spans="6:6">
      <c r="F626" s="538">
        <v>0</v>
      </c>
    </row>
    <row r="627" spans="6:6">
      <c r="F627" s="538">
        <v>0</v>
      </c>
    </row>
    <row r="628" spans="6:6">
      <c r="F628" s="538">
        <v>0</v>
      </c>
    </row>
    <row r="629" spans="6:6">
      <c r="F629" s="538">
        <v>0</v>
      </c>
    </row>
    <row r="630" spans="6:6">
      <c r="F630" s="538">
        <v>0</v>
      </c>
    </row>
    <row r="631" spans="6:6">
      <c r="F631" s="538">
        <v>0</v>
      </c>
    </row>
    <row r="632" spans="6:6">
      <c r="F632" s="538">
        <v>0</v>
      </c>
    </row>
    <row r="633" spans="6:6">
      <c r="F633" s="538">
        <v>0</v>
      </c>
    </row>
    <row r="634" spans="6:6">
      <c r="F634" s="538">
        <v>0</v>
      </c>
    </row>
    <row r="635" spans="6:6">
      <c r="F635" s="538">
        <v>0</v>
      </c>
    </row>
    <row r="636" spans="6:6">
      <c r="F636" s="538">
        <v>0</v>
      </c>
    </row>
    <row r="637" spans="6:6">
      <c r="F637" s="538">
        <v>0</v>
      </c>
    </row>
    <row r="638" spans="6:6">
      <c r="F638" s="538">
        <v>0</v>
      </c>
    </row>
    <row r="639" spans="6:6">
      <c r="F639" s="538">
        <v>0</v>
      </c>
    </row>
    <row r="640" spans="6:6">
      <c r="F640" s="538">
        <v>0</v>
      </c>
    </row>
    <row r="641" spans="6:6">
      <c r="F641" s="538">
        <v>0</v>
      </c>
    </row>
    <row r="642" spans="6:6">
      <c r="F642" s="538">
        <v>0</v>
      </c>
    </row>
    <row r="643" spans="6:6">
      <c r="F643" s="538">
        <v>0</v>
      </c>
    </row>
    <row r="644" spans="6:6">
      <c r="F644" s="538">
        <v>0</v>
      </c>
    </row>
    <row r="645" spans="6:6">
      <c r="F645" s="538">
        <v>0</v>
      </c>
    </row>
    <row r="646" spans="6:6">
      <c r="F646" s="538">
        <v>0</v>
      </c>
    </row>
    <row r="647" spans="6:6">
      <c r="F647" s="538">
        <v>0</v>
      </c>
    </row>
    <row r="648" spans="6:6">
      <c r="F648" s="538">
        <v>0</v>
      </c>
    </row>
    <row r="649" spans="6:6">
      <c r="F649" s="538">
        <v>0</v>
      </c>
    </row>
    <row r="650" spans="6:6">
      <c r="F650" s="538">
        <v>0</v>
      </c>
    </row>
    <row r="651" spans="6:6">
      <c r="F651" s="538">
        <v>0</v>
      </c>
    </row>
    <row r="652" spans="6:6">
      <c r="F652" s="538">
        <v>0</v>
      </c>
    </row>
    <row r="653" spans="6:6">
      <c r="F653" s="538">
        <v>0</v>
      </c>
    </row>
    <row r="654" spans="6:6">
      <c r="F654" s="538">
        <v>0</v>
      </c>
    </row>
    <row r="655" spans="6:6">
      <c r="F655" s="538">
        <v>0</v>
      </c>
    </row>
    <row r="656" spans="6:6">
      <c r="F656" s="538">
        <v>0</v>
      </c>
    </row>
    <row r="657" spans="6:6">
      <c r="F657" s="538">
        <v>0</v>
      </c>
    </row>
    <row r="658" spans="6:6">
      <c r="F658" s="538">
        <v>0</v>
      </c>
    </row>
    <row r="659" spans="6:6">
      <c r="F659" s="538">
        <v>0</v>
      </c>
    </row>
    <row r="660" spans="6:6">
      <c r="F660" s="538">
        <v>0</v>
      </c>
    </row>
    <row r="661" spans="6:6">
      <c r="F661" s="538">
        <v>0</v>
      </c>
    </row>
    <row r="662" spans="6:6">
      <c r="F662" s="538">
        <v>0</v>
      </c>
    </row>
    <row r="663" spans="6:6">
      <c r="F663" s="538">
        <v>0</v>
      </c>
    </row>
    <row r="664" spans="6:6">
      <c r="F664" s="538">
        <v>0</v>
      </c>
    </row>
    <row r="665" spans="6:6">
      <c r="F665" s="538">
        <v>0</v>
      </c>
    </row>
    <row r="666" spans="6:6">
      <c r="F666" s="538">
        <v>0</v>
      </c>
    </row>
    <row r="667" spans="6:6">
      <c r="F667" s="538">
        <v>0</v>
      </c>
    </row>
    <row r="668" spans="6:6">
      <c r="F668" s="538">
        <v>0</v>
      </c>
    </row>
    <row r="669" spans="6:6">
      <c r="F669" s="538">
        <v>0</v>
      </c>
    </row>
    <row r="670" spans="6:6">
      <c r="F670" s="538">
        <v>0</v>
      </c>
    </row>
    <row r="671" spans="6:6">
      <c r="F671" s="538">
        <v>0</v>
      </c>
    </row>
    <row r="672" spans="6:6">
      <c r="F672" s="538">
        <v>0</v>
      </c>
    </row>
    <row r="673" spans="6:6">
      <c r="F673" s="538">
        <v>0</v>
      </c>
    </row>
    <row r="674" spans="6:6">
      <c r="F674" s="538">
        <v>0</v>
      </c>
    </row>
    <row r="675" spans="6:6">
      <c r="F675" s="538">
        <v>0</v>
      </c>
    </row>
    <row r="676" spans="6:6">
      <c r="F676" s="538">
        <v>0</v>
      </c>
    </row>
    <row r="677" spans="6:6">
      <c r="F677" s="538">
        <v>0</v>
      </c>
    </row>
    <row r="678" spans="6:6">
      <c r="F678" s="538">
        <v>0</v>
      </c>
    </row>
    <row r="679" spans="6:6">
      <c r="F679" s="538">
        <v>0</v>
      </c>
    </row>
    <row r="680" spans="6:6">
      <c r="F680" s="538">
        <v>0</v>
      </c>
    </row>
    <row r="681" spans="6:6">
      <c r="F681" s="538">
        <v>0</v>
      </c>
    </row>
    <row r="682" spans="6:6">
      <c r="F682" s="538">
        <v>0</v>
      </c>
    </row>
    <row r="683" spans="6:6">
      <c r="F683" s="538">
        <v>0</v>
      </c>
    </row>
    <row r="684" spans="6:6">
      <c r="F684" s="538">
        <v>0</v>
      </c>
    </row>
    <row r="685" spans="6:6">
      <c r="F685" s="538">
        <v>0</v>
      </c>
    </row>
    <row r="686" spans="6:6">
      <c r="F686" s="538">
        <v>0</v>
      </c>
    </row>
    <row r="687" spans="6:6">
      <c r="F687" s="538">
        <v>0</v>
      </c>
    </row>
    <row r="688" spans="6:6">
      <c r="F688" s="538">
        <v>0</v>
      </c>
    </row>
    <row r="689" spans="6:6">
      <c r="F689" s="538">
        <v>0</v>
      </c>
    </row>
    <row r="690" spans="6:6">
      <c r="F690" s="538">
        <v>0</v>
      </c>
    </row>
    <row r="691" spans="6:6">
      <c r="F691" s="538">
        <v>0</v>
      </c>
    </row>
    <row r="692" spans="6:6">
      <c r="F692" s="538">
        <v>0</v>
      </c>
    </row>
    <row r="693" spans="6:6">
      <c r="F693" s="538">
        <v>0</v>
      </c>
    </row>
    <row r="694" spans="6:6">
      <c r="F694" s="538">
        <v>0</v>
      </c>
    </row>
    <row r="695" spans="6:6">
      <c r="F695" s="538">
        <v>0</v>
      </c>
    </row>
    <row r="696" spans="6:6">
      <c r="F696" s="538">
        <v>0</v>
      </c>
    </row>
    <row r="697" spans="6:6">
      <c r="F697" s="538">
        <v>0</v>
      </c>
    </row>
    <row r="698" spans="6:6">
      <c r="F698" s="538">
        <v>0</v>
      </c>
    </row>
    <row r="699" spans="6:6">
      <c r="F699" s="538">
        <v>0</v>
      </c>
    </row>
    <row r="700" spans="6:6">
      <c r="F700" s="538">
        <v>0</v>
      </c>
    </row>
    <row r="701" spans="6:6">
      <c r="F701" s="538">
        <v>0</v>
      </c>
    </row>
    <row r="702" spans="6:6">
      <c r="F702" s="538">
        <v>0</v>
      </c>
    </row>
    <row r="703" spans="6:6">
      <c r="F703" s="538">
        <v>0</v>
      </c>
    </row>
    <row r="704" spans="6:6">
      <c r="F704" s="538">
        <v>0</v>
      </c>
    </row>
    <row r="705" spans="6:6">
      <c r="F705" s="538">
        <v>0</v>
      </c>
    </row>
    <row r="706" spans="6:6">
      <c r="F706" s="538">
        <v>0</v>
      </c>
    </row>
    <row r="707" spans="6:6">
      <c r="F707" s="538">
        <v>0</v>
      </c>
    </row>
    <row r="708" spans="6:6">
      <c r="F708" s="538">
        <v>0</v>
      </c>
    </row>
    <row r="709" spans="6:6">
      <c r="F709" s="538">
        <v>0</v>
      </c>
    </row>
    <row r="710" spans="6:6">
      <c r="F710" s="538">
        <v>0</v>
      </c>
    </row>
    <row r="711" spans="6:6">
      <c r="F711" s="538">
        <v>0</v>
      </c>
    </row>
    <row r="712" spans="6:6">
      <c r="F712" s="538">
        <v>0</v>
      </c>
    </row>
    <row r="713" spans="6:6">
      <c r="F713" s="538">
        <v>0</v>
      </c>
    </row>
    <row r="714" spans="6:6">
      <c r="F714" s="538">
        <v>0</v>
      </c>
    </row>
    <row r="715" spans="6:6">
      <c r="F715" s="538">
        <v>0</v>
      </c>
    </row>
    <row r="716" spans="6:6">
      <c r="F716" s="538">
        <v>0</v>
      </c>
    </row>
    <row r="717" spans="6:6">
      <c r="F717" s="538">
        <v>0</v>
      </c>
    </row>
    <row r="718" spans="6:6">
      <c r="F718" s="538">
        <v>0</v>
      </c>
    </row>
    <row r="719" spans="6:6">
      <c r="F719" s="538">
        <v>0</v>
      </c>
    </row>
    <row r="720" spans="6:6">
      <c r="F720" s="538">
        <v>0</v>
      </c>
    </row>
    <row r="721" spans="6:6">
      <c r="F721" s="538">
        <v>0</v>
      </c>
    </row>
    <row r="722" spans="6:6">
      <c r="F722" s="538">
        <v>0</v>
      </c>
    </row>
    <row r="723" spans="6:6">
      <c r="F723" s="538">
        <v>0</v>
      </c>
    </row>
    <row r="724" spans="6:6">
      <c r="F724" s="538">
        <v>0</v>
      </c>
    </row>
    <row r="725" spans="6:6">
      <c r="F725" s="538">
        <v>0</v>
      </c>
    </row>
    <row r="726" spans="6:6">
      <c r="F726" s="538">
        <v>0</v>
      </c>
    </row>
    <row r="727" spans="6:6">
      <c r="F727" s="538">
        <v>0</v>
      </c>
    </row>
    <row r="728" spans="6:6">
      <c r="F728" s="538">
        <v>0</v>
      </c>
    </row>
    <row r="729" spans="6:6">
      <c r="F729" s="538">
        <v>0</v>
      </c>
    </row>
    <row r="730" spans="6:6">
      <c r="F730" s="538">
        <v>0</v>
      </c>
    </row>
    <row r="731" spans="6:6">
      <c r="F731" s="538">
        <v>0</v>
      </c>
    </row>
    <row r="732" spans="6:6">
      <c r="F732" s="538">
        <v>0</v>
      </c>
    </row>
    <row r="733" spans="6:6">
      <c r="F733" s="538">
        <v>0</v>
      </c>
    </row>
    <row r="734" spans="6:6">
      <c r="F734" s="538">
        <v>0</v>
      </c>
    </row>
    <row r="735" spans="6:6">
      <c r="F735" s="538">
        <v>0</v>
      </c>
    </row>
    <row r="736" spans="6:6">
      <c r="F736" s="538">
        <v>0</v>
      </c>
    </row>
    <row r="737" spans="6:6">
      <c r="F737" s="538">
        <v>0</v>
      </c>
    </row>
    <row r="738" spans="6:6">
      <c r="F738" s="538">
        <v>0</v>
      </c>
    </row>
    <row r="739" spans="6:6">
      <c r="F739" s="538">
        <v>0</v>
      </c>
    </row>
    <row r="740" spans="6:6">
      <c r="F740" s="538">
        <v>0</v>
      </c>
    </row>
    <row r="741" spans="6:6">
      <c r="F741" s="538">
        <v>0</v>
      </c>
    </row>
    <row r="742" spans="6:6">
      <c r="F742" s="538">
        <v>0</v>
      </c>
    </row>
    <row r="743" spans="6:6">
      <c r="F743" s="538">
        <v>0</v>
      </c>
    </row>
    <row r="744" spans="6:6">
      <c r="F744" s="538">
        <v>0</v>
      </c>
    </row>
    <row r="745" spans="6:6">
      <c r="F745" s="538">
        <v>0</v>
      </c>
    </row>
    <row r="746" spans="6:6">
      <c r="F746" s="538">
        <v>0</v>
      </c>
    </row>
    <row r="747" spans="6:6">
      <c r="F747" s="538">
        <v>0</v>
      </c>
    </row>
    <row r="748" spans="6:6">
      <c r="F748" s="538">
        <v>0</v>
      </c>
    </row>
    <row r="749" spans="6:6">
      <c r="F749" s="538">
        <v>0</v>
      </c>
    </row>
    <row r="750" spans="6:6">
      <c r="F750" s="538">
        <v>0</v>
      </c>
    </row>
    <row r="751" spans="6:6">
      <c r="F751" s="538">
        <v>0</v>
      </c>
    </row>
    <row r="752" spans="6:6">
      <c r="F752" s="538">
        <v>0</v>
      </c>
    </row>
    <row r="753" spans="6:6">
      <c r="F753" s="538">
        <v>0</v>
      </c>
    </row>
    <row r="754" spans="6:6">
      <c r="F754" s="538">
        <v>0</v>
      </c>
    </row>
    <row r="755" spans="6:6">
      <c r="F755" s="538">
        <v>0</v>
      </c>
    </row>
    <row r="756" spans="6:6">
      <c r="F756" s="538">
        <v>0</v>
      </c>
    </row>
    <row r="757" spans="6:6">
      <c r="F757" s="538">
        <v>0</v>
      </c>
    </row>
    <row r="758" spans="6:6">
      <c r="F758" s="538">
        <v>0</v>
      </c>
    </row>
    <row r="759" spans="6:6">
      <c r="F759" s="538">
        <v>0</v>
      </c>
    </row>
    <row r="760" spans="6:6">
      <c r="F760" s="538">
        <v>0</v>
      </c>
    </row>
    <row r="761" spans="6:6">
      <c r="F761" s="538">
        <v>0</v>
      </c>
    </row>
    <row r="762" spans="6:6">
      <c r="F762" s="538">
        <v>0</v>
      </c>
    </row>
    <row r="763" spans="6:6">
      <c r="F763" s="538">
        <v>0</v>
      </c>
    </row>
    <row r="764" spans="6:6">
      <c r="F764" s="538">
        <v>0</v>
      </c>
    </row>
    <row r="765" spans="6:6">
      <c r="F765" s="538">
        <v>0</v>
      </c>
    </row>
    <row r="766" spans="6:6">
      <c r="F766" s="538">
        <v>0</v>
      </c>
    </row>
    <row r="767" spans="6:6">
      <c r="F767" s="538">
        <v>0</v>
      </c>
    </row>
    <row r="768" spans="6:6">
      <c r="F768" s="538">
        <v>0</v>
      </c>
    </row>
    <row r="769" spans="6:6">
      <c r="F769" s="538">
        <v>0</v>
      </c>
    </row>
    <row r="770" spans="6:6">
      <c r="F770" s="538">
        <v>0</v>
      </c>
    </row>
    <row r="771" spans="6:6">
      <c r="F771" s="538">
        <v>0</v>
      </c>
    </row>
    <row r="772" spans="6:6">
      <c r="F772" s="538">
        <v>0</v>
      </c>
    </row>
    <row r="773" spans="6:6">
      <c r="F773" s="538">
        <v>0</v>
      </c>
    </row>
    <row r="774" spans="6:6">
      <c r="F774" s="538">
        <v>0</v>
      </c>
    </row>
    <row r="775" spans="6:6">
      <c r="F775" s="538">
        <v>0</v>
      </c>
    </row>
    <row r="776" spans="6:6">
      <c r="F776" s="538">
        <v>0</v>
      </c>
    </row>
    <row r="777" spans="6:6">
      <c r="F777" s="538">
        <v>0</v>
      </c>
    </row>
    <row r="778" spans="6:6">
      <c r="F778" s="538">
        <v>0</v>
      </c>
    </row>
    <row r="779" spans="6:6">
      <c r="F779" s="538">
        <v>0</v>
      </c>
    </row>
    <row r="780" spans="6:6">
      <c r="F780" s="538">
        <v>0</v>
      </c>
    </row>
    <row r="781" spans="6:6">
      <c r="F781" s="538">
        <v>0</v>
      </c>
    </row>
    <row r="782" spans="6:6">
      <c r="F782" s="538">
        <v>0</v>
      </c>
    </row>
    <row r="783" spans="6:6">
      <c r="F783" s="538">
        <v>0</v>
      </c>
    </row>
    <row r="784" spans="6:6">
      <c r="F784" s="538">
        <v>0</v>
      </c>
    </row>
    <row r="785" spans="6:6">
      <c r="F785" s="538">
        <v>0</v>
      </c>
    </row>
    <row r="786" spans="6:6">
      <c r="F786" s="538">
        <v>0</v>
      </c>
    </row>
    <row r="787" spans="6:6">
      <c r="F787" s="538">
        <v>0</v>
      </c>
    </row>
    <row r="788" spans="6:6">
      <c r="F788" s="538">
        <v>0</v>
      </c>
    </row>
    <row r="789" spans="6:6">
      <c r="F789" s="538">
        <v>0</v>
      </c>
    </row>
    <row r="790" spans="6:6">
      <c r="F790" s="538">
        <v>0</v>
      </c>
    </row>
    <row r="791" spans="6:6">
      <c r="F791" s="538">
        <v>0</v>
      </c>
    </row>
    <row r="792" spans="6:6">
      <c r="F792" s="538">
        <v>0</v>
      </c>
    </row>
    <row r="793" spans="6:6">
      <c r="F793" s="538">
        <v>0</v>
      </c>
    </row>
    <row r="794" spans="6:6">
      <c r="F794" s="538">
        <v>0</v>
      </c>
    </row>
    <row r="795" spans="6:6">
      <c r="F795" s="538">
        <v>0</v>
      </c>
    </row>
    <row r="796" spans="6:6">
      <c r="F796" s="538">
        <v>0</v>
      </c>
    </row>
    <row r="797" spans="6:6">
      <c r="F797" s="538">
        <v>0</v>
      </c>
    </row>
    <row r="798" spans="6:6">
      <c r="F798" s="538">
        <v>0</v>
      </c>
    </row>
    <row r="799" spans="6:6">
      <c r="F799" s="538">
        <v>0</v>
      </c>
    </row>
    <row r="800" spans="6:6">
      <c r="F800" s="538">
        <v>0</v>
      </c>
    </row>
    <row r="801" spans="6:6">
      <c r="F801" s="538">
        <v>0</v>
      </c>
    </row>
    <row r="802" spans="6:6">
      <c r="F802" s="538">
        <v>0</v>
      </c>
    </row>
    <row r="803" spans="6:6">
      <c r="F803" s="538">
        <v>0</v>
      </c>
    </row>
    <row r="804" spans="6:6">
      <c r="F804" s="538">
        <v>0</v>
      </c>
    </row>
    <row r="805" spans="6:6">
      <c r="F805" s="538">
        <v>0</v>
      </c>
    </row>
    <row r="806" spans="6:6">
      <c r="F806" s="538">
        <v>0</v>
      </c>
    </row>
    <row r="807" spans="6:6">
      <c r="F807" s="538">
        <v>0</v>
      </c>
    </row>
    <row r="808" spans="6:6">
      <c r="F808" s="538">
        <v>0</v>
      </c>
    </row>
    <row r="809" spans="6:6">
      <c r="F809" s="538">
        <v>0</v>
      </c>
    </row>
    <row r="810" spans="6:6">
      <c r="F810" s="538">
        <v>0</v>
      </c>
    </row>
    <row r="811" spans="6:6">
      <c r="F811" s="538">
        <v>0</v>
      </c>
    </row>
    <row r="812" spans="6:6">
      <c r="F812" s="538">
        <v>0</v>
      </c>
    </row>
    <row r="813" spans="6:6">
      <c r="F813" s="538">
        <v>0</v>
      </c>
    </row>
    <row r="814" spans="6:6">
      <c r="F814" s="538">
        <v>0</v>
      </c>
    </row>
    <row r="815" spans="6:6">
      <c r="F815" s="538">
        <v>0</v>
      </c>
    </row>
    <row r="816" spans="6:6">
      <c r="F816" s="538">
        <v>0</v>
      </c>
    </row>
    <row r="817" spans="6:6">
      <c r="F817" s="538">
        <v>0</v>
      </c>
    </row>
    <row r="818" spans="6:6">
      <c r="F818" s="538">
        <v>0</v>
      </c>
    </row>
    <row r="819" spans="6:6">
      <c r="F819" s="538">
        <v>0</v>
      </c>
    </row>
    <row r="820" spans="6:6">
      <c r="F820" s="538">
        <v>0</v>
      </c>
    </row>
    <row r="821" spans="6:6">
      <c r="F821" s="538">
        <v>0</v>
      </c>
    </row>
    <row r="822" spans="6:6">
      <c r="F822" s="538">
        <v>0</v>
      </c>
    </row>
    <row r="823" spans="6:6">
      <c r="F823" s="538">
        <v>0</v>
      </c>
    </row>
    <row r="824" spans="6:6">
      <c r="F824" s="538">
        <v>0</v>
      </c>
    </row>
    <row r="825" spans="6:6">
      <c r="F825" s="538">
        <v>0</v>
      </c>
    </row>
    <row r="826" spans="6:6">
      <c r="F826" s="538">
        <v>0</v>
      </c>
    </row>
    <row r="827" spans="6:6">
      <c r="F827" s="538">
        <v>0</v>
      </c>
    </row>
    <row r="828" spans="6:6">
      <c r="F828" s="538">
        <v>0</v>
      </c>
    </row>
    <row r="829" spans="6:6">
      <c r="F829" s="538">
        <v>0</v>
      </c>
    </row>
    <row r="830" spans="6:6">
      <c r="F830" s="538">
        <v>0</v>
      </c>
    </row>
    <row r="831" spans="6:6">
      <c r="F831" s="538">
        <v>0</v>
      </c>
    </row>
    <row r="832" spans="6:6">
      <c r="F832" s="538">
        <v>0</v>
      </c>
    </row>
    <row r="833" spans="6:6">
      <c r="F833" s="538">
        <v>0</v>
      </c>
    </row>
    <row r="834" spans="6:6">
      <c r="F834" s="538">
        <v>0</v>
      </c>
    </row>
    <row r="835" spans="6:6">
      <c r="F835" s="538">
        <v>0</v>
      </c>
    </row>
    <row r="836" spans="6:6">
      <c r="F836" s="538">
        <v>0</v>
      </c>
    </row>
    <row r="837" spans="6:6">
      <c r="F837" s="538">
        <v>0</v>
      </c>
    </row>
    <row r="838" spans="6:6">
      <c r="F838" s="538">
        <v>0</v>
      </c>
    </row>
    <row r="839" spans="6:6">
      <c r="F839" s="538">
        <v>0</v>
      </c>
    </row>
    <row r="840" spans="6:6">
      <c r="F840" s="538">
        <v>0</v>
      </c>
    </row>
    <row r="841" spans="6:6">
      <c r="F841" s="538">
        <v>0</v>
      </c>
    </row>
    <row r="842" spans="6:6">
      <c r="F842" s="538">
        <v>0</v>
      </c>
    </row>
    <row r="843" spans="6:6">
      <c r="F843" s="538">
        <v>0</v>
      </c>
    </row>
    <row r="844" spans="6:6">
      <c r="F844" s="538">
        <v>0</v>
      </c>
    </row>
    <row r="845" spans="6:6">
      <c r="F845" s="538">
        <v>0</v>
      </c>
    </row>
    <row r="846" spans="6:6">
      <c r="F846" s="538">
        <v>0</v>
      </c>
    </row>
    <row r="847" spans="6:6">
      <c r="F847" s="538">
        <v>0</v>
      </c>
    </row>
    <row r="848" spans="6:6">
      <c r="F848" s="538">
        <v>0</v>
      </c>
    </row>
    <row r="849" spans="6:6">
      <c r="F849" s="538">
        <v>0</v>
      </c>
    </row>
    <row r="850" spans="6:6">
      <c r="F850" s="538">
        <v>0</v>
      </c>
    </row>
    <row r="851" spans="6:6">
      <c r="F851" s="538">
        <v>0</v>
      </c>
    </row>
    <row r="852" spans="6:6">
      <c r="F852" s="538">
        <v>0</v>
      </c>
    </row>
    <row r="853" spans="6:6">
      <c r="F853" s="538">
        <v>0</v>
      </c>
    </row>
    <row r="854" spans="6:6">
      <c r="F854" s="538">
        <v>0</v>
      </c>
    </row>
    <row r="855" spans="6:6">
      <c r="F855" s="538">
        <v>0</v>
      </c>
    </row>
    <row r="856" spans="6:6">
      <c r="F856" s="538">
        <v>0</v>
      </c>
    </row>
    <row r="857" spans="6:6">
      <c r="F857" s="538">
        <v>0</v>
      </c>
    </row>
    <row r="858" spans="6:6">
      <c r="F858" s="538">
        <v>0</v>
      </c>
    </row>
    <row r="859" spans="6:6">
      <c r="F859" s="538">
        <v>0</v>
      </c>
    </row>
    <row r="860" spans="6:6">
      <c r="F860" s="538">
        <v>0</v>
      </c>
    </row>
    <row r="861" spans="6:6">
      <c r="F861" s="538">
        <v>0</v>
      </c>
    </row>
    <row r="862" spans="6:6">
      <c r="F862" s="538">
        <v>0</v>
      </c>
    </row>
    <row r="863" spans="6:6">
      <c r="F863" s="538">
        <v>0</v>
      </c>
    </row>
    <row r="864" spans="6:6">
      <c r="F864" s="538">
        <v>0</v>
      </c>
    </row>
    <row r="865" spans="6:6">
      <c r="F865" s="538">
        <v>0</v>
      </c>
    </row>
    <row r="866" spans="6:6">
      <c r="F866" s="538">
        <v>0</v>
      </c>
    </row>
    <row r="867" spans="6:6">
      <c r="F867" s="538">
        <v>0</v>
      </c>
    </row>
    <row r="868" spans="6:6">
      <c r="F868" s="538">
        <v>0</v>
      </c>
    </row>
    <row r="869" spans="6:6">
      <c r="F869" s="538">
        <v>0</v>
      </c>
    </row>
    <row r="870" spans="6:6">
      <c r="F870" s="538">
        <v>0</v>
      </c>
    </row>
    <row r="871" spans="6:6">
      <c r="F871" s="538">
        <v>0</v>
      </c>
    </row>
    <row r="872" spans="6:6">
      <c r="F872" s="538">
        <v>0</v>
      </c>
    </row>
    <row r="873" spans="6:6">
      <c r="F873" s="538">
        <v>0</v>
      </c>
    </row>
    <row r="874" spans="6:6">
      <c r="F874" s="538">
        <v>0</v>
      </c>
    </row>
    <row r="875" spans="6:6">
      <c r="F875" s="538">
        <v>0</v>
      </c>
    </row>
    <row r="876" spans="6:6">
      <c r="F876" s="538">
        <v>0</v>
      </c>
    </row>
    <row r="877" spans="6:6">
      <c r="F877" s="538">
        <v>0</v>
      </c>
    </row>
    <row r="878" spans="6:6">
      <c r="F878" s="538">
        <v>0</v>
      </c>
    </row>
    <row r="879" spans="6:6">
      <c r="F879" s="538">
        <v>0</v>
      </c>
    </row>
    <row r="880" spans="6:6">
      <c r="F880" s="538">
        <v>0</v>
      </c>
    </row>
    <row r="881" spans="6:6">
      <c r="F881" s="538">
        <v>0</v>
      </c>
    </row>
    <row r="882" spans="6:6">
      <c r="F882" s="538">
        <v>0</v>
      </c>
    </row>
    <row r="883" spans="6:6">
      <c r="F883" s="538">
        <v>0</v>
      </c>
    </row>
    <row r="884" spans="6:6">
      <c r="F884" s="538">
        <v>0</v>
      </c>
    </row>
    <row r="885" spans="6:6">
      <c r="F885" s="538">
        <v>0</v>
      </c>
    </row>
    <row r="886" spans="6:6">
      <c r="F886" s="538">
        <v>0</v>
      </c>
    </row>
    <row r="887" spans="6:6">
      <c r="F887" s="538">
        <v>0</v>
      </c>
    </row>
    <row r="888" spans="6:6">
      <c r="F888" s="538">
        <v>0</v>
      </c>
    </row>
    <row r="889" spans="6:6">
      <c r="F889" s="538">
        <v>0</v>
      </c>
    </row>
    <row r="890" spans="6:6">
      <c r="F890" s="538">
        <v>0</v>
      </c>
    </row>
    <row r="891" spans="6:6">
      <c r="F891" s="538">
        <v>0</v>
      </c>
    </row>
    <row r="892" spans="6:6">
      <c r="F892" s="538">
        <v>0</v>
      </c>
    </row>
    <row r="893" spans="6:6">
      <c r="F893" s="538">
        <v>0</v>
      </c>
    </row>
    <row r="894" spans="6:6">
      <c r="F894" s="538">
        <v>0</v>
      </c>
    </row>
    <row r="895" spans="6:6">
      <c r="F895" s="538">
        <v>0</v>
      </c>
    </row>
    <row r="896" spans="6:6">
      <c r="F896" s="538">
        <v>0</v>
      </c>
    </row>
    <row r="897" spans="6:6">
      <c r="F897" s="538">
        <v>0</v>
      </c>
    </row>
    <row r="898" spans="6:6">
      <c r="F898" s="538">
        <v>0</v>
      </c>
    </row>
    <row r="899" spans="6:6">
      <c r="F899" s="538">
        <v>0</v>
      </c>
    </row>
    <row r="900" spans="6:6">
      <c r="F900" s="538">
        <v>0</v>
      </c>
    </row>
    <row r="901" spans="6:6">
      <c r="F901" s="538">
        <v>0</v>
      </c>
    </row>
    <row r="902" spans="6:6">
      <c r="F902" s="538">
        <v>0</v>
      </c>
    </row>
    <row r="903" spans="6:6">
      <c r="F903" s="538">
        <v>0</v>
      </c>
    </row>
    <row r="904" spans="6:6">
      <c r="F904" s="538">
        <v>0</v>
      </c>
    </row>
    <row r="905" spans="6:6">
      <c r="F905" s="538">
        <v>0</v>
      </c>
    </row>
    <row r="906" spans="6:6">
      <c r="F906" s="538">
        <v>0</v>
      </c>
    </row>
    <row r="907" spans="6:6">
      <c r="F907" s="538">
        <v>0</v>
      </c>
    </row>
    <row r="908" spans="6:6">
      <c r="F908" s="538">
        <v>0</v>
      </c>
    </row>
    <row r="909" spans="6:6">
      <c r="F909" s="538">
        <v>0</v>
      </c>
    </row>
    <row r="910" spans="6:6">
      <c r="F910" s="538">
        <v>0</v>
      </c>
    </row>
    <row r="911" spans="6:6">
      <c r="F911" s="538">
        <v>0</v>
      </c>
    </row>
    <row r="912" spans="6:6">
      <c r="F912" s="538">
        <v>0</v>
      </c>
    </row>
    <row r="913" spans="6:6">
      <c r="F913" s="538">
        <v>0</v>
      </c>
    </row>
    <row r="914" spans="6:6">
      <c r="F914" s="538">
        <v>0</v>
      </c>
    </row>
    <row r="915" spans="6:6">
      <c r="F915" s="538">
        <v>0</v>
      </c>
    </row>
    <row r="916" spans="6:6">
      <c r="F916" s="538">
        <v>0</v>
      </c>
    </row>
    <row r="917" spans="6:6">
      <c r="F917" s="538">
        <v>0</v>
      </c>
    </row>
    <row r="918" spans="6:6">
      <c r="F918" s="538">
        <v>0</v>
      </c>
    </row>
    <row r="919" spans="6:6">
      <c r="F919" s="538">
        <v>0</v>
      </c>
    </row>
    <row r="920" spans="6:6">
      <c r="F920" s="538">
        <v>0</v>
      </c>
    </row>
    <row r="921" spans="6:6">
      <c r="F921" s="538">
        <v>0</v>
      </c>
    </row>
    <row r="922" spans="6:6">
      <c r="F922" s="538">
        <v>0</v>
      </c>
    </row>
    <row r="923" spans="6:6">
      <c r="F923" s="538">
        <v>0</v>
      </c>
    </row>
    <row r="924" spans="6:6">
      <c r="F924" s="538">
        <v>0</v>
      </c>
    </row>
    <row r="925" spans="6:6">
      <c r="F925" s="538">
        <v>0</v>
      </c>
    </row>
    <row r="926" spans="6:6">
      <c r="F926" s="538">
        <v>0</v>
      </c>
    </row>
    <row r="927" spans="6:6">
      <c r="F927" s="538">
        <v>0</v>
      </c>
    </row>
    <row r="928" spans="6:6">
      <c r="F928" s="538">
        <v>0</v>
      </c>
    </row>
    <row r="929" spans="6:6">
      <c r="F929" s="538">
        <v>0</v>
      </c>
    </row>
    <row r="930" spans="6:6">
      <c r="F930" s="538">
        <v>0</v>
      </c>
    </row>
    <row r="931" spans="6:6">
      <c r="F931" s="538">
        <v>0</v>
      </c>
    </row>
    <row r="932" spans="6:6">
      <c r="F932" s="538">
        <v>0</v>
      </c>
    </row>
    <row r="933" spans="6:6">
      <c r="F933" s="538">
        <v>0</v>
      </c>
    </row>
    <row r="934" spans="6:6">
      <c r="F934" s="538">
        <v>0</v>
      </c>
    </row>
    <row r="935" spans="6:6">
      <c r="F935" s="538">
        <v>0</v>
      </c>
    </row>
    <row r="936" spans="6:6">
      <c r="F936" s="538">
        <v>0</v>
      </c>
    </row>
    <row r="937" spans="6:6">
      <c r="F937" s="538">
        <v>0</v>
      </c>
    </row>
    <row r="938" spans="6:6">
      <c r="F938" s="538">
        <v>0</v>
      </c>
    </row>
    <row r="939" spans="6:6">
      <c r="F939" s="538">
        <v>0</v>
      </c>
    </row>
    <row r="940" spans="6:6">
      <c r="F940" s="538">
        <v>0</v>
      </c>
    </row>
    <row r="941" spans="6:6">
      <c r="F941" s="538">
        <v>0</v>
      </c>
    </row>
    <row r="942" spans="6:6">
      <c r="F942" s="538">
        <v>0</v>
      </c>
    </row>
    <row r="943" spans="6:6">
      <c r="F943" s="538">
        <v>0</v>
      </c>
    </row>
    <row r="944" spans="6:6">
      <c r="F944" s="538">
        <v>0</v>
      </c>
    </row>
    <row r="945" spans="6:6">
      <c r="F945" s="538">
        <v>0</v>
      </c>
    </row>
    <row r="946" spans="6:6">
      <c r="F946" s="538">
        <v>0</v>
      </c>
    </row>
    <row r="947" spans="6:6">
      <c r="F947" s="538">
        <v>0</v>
      </c>
    </row>
    <row r="948" spans="6:6">
      <c r="F948" s="538">
        <v>0</v>
      </c>
    </row>
    <row r="949" spans="6:6">
      <c r="F949" s="538">
        <v>0</v>
      </c>
    </row>
    <row r="950" spans="6:6">
      <c r="F950" s="538">
        <v>0</v>
      </c>
    </row>
    <row r="951" spans="6:6">
      <c r="F951" s="538">
        <v>0</v>
      </c>
    </row>
    <row r="952" spans="6:6">
      <c r="F952" s="538">
        <v>0</v>
      </c>
    </row>
    <row r="953" spans="6:6">
      <c r="F953" s="538">
        <v>0</v>
      </c>
    </row>
    <row r="954" spans="6:6">
      <c r="F954" s="538">
        <v>0</v>
      </c>
    </row>
    <row r="955" spans="6:6">
      <c r="F955" s="538">
        <v>0</v>
      </c>
    </row>
    <row r="956" spans="6:6">
      <c r="F956" s="538">
        <v>0</v>
      </c>
    </row>
    <row r="957" spans="6:6">
      <c r="F957" s="538">
        <v>0</v>
      </c>
    </row>
    <row r="958" spans="6:6">
      <c r="F958" s="538">
        <v>0</v>
      </c>
    </row>
    <row r="959" spans="6:6">
      <c r="F959" s="538">
        <v>0</v>
      </c>
    </row>
    <row r="960" spans="6:6">
      <c r="F960" s="538">
        <v>0</v>
      </c>
    </row>
    <row r="961" spans="6:6">
      <c r="F961" s="538">
        <v>0</v>
      </c>
    </row>
    <row r="962" spans="6:6">
      <c r="F962" s="538">
        <v>0</v>
      </c>
    </row>
    <row r="963" spans="6:6">
      <c r="F963" s="538">
        <v>0</v>
      </c>
    </row>
    <row r="964" spans="6:6">
      <c r="F964" s="538">
        <v>0</v>
      </c>
    </row>
    <row r="965" spans="6:6">
      <c r="F965" s="538">
        <v>0</v>
      </c>
    </row>
    <row r="966" spans="6:6">
      <c r="F966" s="538">
        <v>0</v>
      </c>
    </row>
    <row r="967" spans="6:6">
      <c r="F967" s="538">
        <v>0</v>
      </c>
    </row>
    <row r="968" spans="6:6">
      <c r="F968" s="538">
        <v>0</v>
      </c>
    </row>
    <row r="969" spans="6:6">
      <c r="F969" s="538">
        <v>0</v>
      </c>
    </row>
    <row r="970" spans="6:6">
      <c r="F970" s="538">
        <v>0</v>
      </c>
    </row>
    <row r="971" spans="6:6">
      <c r="F971" s="538">
        <v>0</v>
      </c>
    </row>
    <row r="972" spans="6:6">
      <c r="F972" s="538">
        <v>0</v>
      </c>
    </row>
    <row r="973" spans="6:6">
      <c r="F973" s="538">
        <v>0</v>
      </c>
    </row>
    <row r="974" spans="6:6">
      <c r="F974" s="538">
        <v>0</v>
      </c>
    </row>
    <row r="975" spans="6:6">
      <c r="F975" s="538">
        <v>0</v>
      </c>
    </row>
    <row r="976" spans="6:6">
      <c r="F976" s="538">
        <v>0</v>
      </c>
    </row>
    <row r="977" spans="6:6">
      <c r="F977" s="538">
        <v>0</v>
      </c>
    </row>
    <row r="978" spans="6:6">
      <c r="F978" s="538">
        <v>0</v>
      </c>
    </row>
    <row r="979" spans="6:6">
      <c r="F979" s="538">
        <v>0</v>
      </c>
    </row>
    <row r="980" spans="6:6">
      <c r="F980" s="538">
        <v>0</v>
      </c>
    </row>
    <row r="981" spans="6:6">
      <c r="F981" s="538">
        <v>0</v>
      </c>
    </row>
    <row r="982" spans="6:6">
      <c r="F982" s="538">
        <v>0</v>
      </c>
    </row>
    <row r="983" spans="6:6">
      <c r="F983" s="538">
        <v>0</v>
      </c>
    </row>
    <row r="984" spans="6:6">
      <c r="F984" s="538">
        <v>0</v>
      </c>
    </row>
    <row r="985" spans="6:6">
      <c r="F985" s="538">
        <v>0</v>
      </c>
    </row>
    <row r="986" spans="6:6">
      <c r="F986" s="538">
        <v>0</v>
      </c>
    </row>
    <row r="987" spans="6:6">
      <c r="F987" s="538">
        <v>0</v>
      </c>
    </row>
    <row r="988" spans="6:6">
      <c r="F988" s="538">
        <v>0</v>
      </c>
    </row>
    <row r="989" spans="6:6">
      <c r="F989" s="538">
        <v>0</v>
      </c>
    </row>
    <row r="990" spans="6:6">
      <c r="F990" s="538">
        <v>0</v>
      </c>
    </row>
    <row r="991" spans="6:6">
      <c r="F991" s="538">
        <v>0</v>
      </c>
    </row>
    <row r="992" spans="6:6">
      <c r="F992" s="538">
        <v>0</v>
      </c>
    </row>
    <row r="993" spans="6:6">
      <c r="F993" s="538">
        <v>0</v>
      </c>
    </row>
    <row r="994" spans="6:6">
      <c r="F994" s="538">
        <v>0</v>
      </c>
    </row>
    <row r="995" spans="6:6">
      <c r="F995" s="538">
        <v>0</v>
      </c>
    </row>
    <row r="996" spans="6:6">
      <c r="F996" s="538">
        <v>0</v>
      </c>
    </row>
    <row r="997" spans="6:6">
      <c r="F997" s="538">
        <v>0</v>
      </c>
    </row>
    <row r="998" spans="6:6">
      <c r="F998" s="538">
        <v>0</v>
      </c>
    </row>
    <row r="999" spans="6:6">
      <c r="F999" s="538">
        <v>0</v>
      </c>
    </row>
    <row r="1000" spans="6:6">
      <c r="F1000" s="538">
        <v>0</v>
      </c>
    </row>
    <row r="1001" spans="6:6">
      <c r="F1001" s="538">
        <v>0</v>
      </c>
    </row>
    <row r="1002" spans="6:6">
      <c r="F1002" s="538">
        <v>0</v>
      </c>
    </row>
    <row r="1003" spans="6:6">
      <c r="F1003" s="538">
        <v>0</v>
      </c>
    </row>
    <row r="1004" spans="6:6">
      <c r="F1004" s="538">
        <v>0</v>
      </c>
    </row>
    <row r="1005" spans="6:6">
      <c r="F1005" s="538">
        <v>0</v>
      </c>
    </row>
    <row r="1006" spans="6:6">
      <c r="F1006" s="538">
        <v>0</v>
      </c>
    </row>
    <row r="1007" spans="6:6">
      <c r="F1007" s="538">
        <v>0</v>
      </c>
    </row>
    <row r="1008" spans="6:6">
      <c r="F1008" s="538">
        <v>0</v>
      </c>
    </row>
    <row r="1009" spans="6:6">
      <c r="F1009" s="538">
        <v>0</v>
      </c>
    </row>
    <row r="1010" spans="6:6">
      <c r="F1010" s="538">
        <v>0</v>
      </c>
    </row>
    <row r="1011" spans="6:6">
      <c r="F1011" s="538">
        <v>0</v>
      </c>
    </row>
    <row r="1012" spans="6:6">
      <c r="F1012" s="538">
        <v>0</v>
      </c>
    </row>
    <row r="1013" spans="6:6">
      <c r="F1013" s="538">
        <v>0</v>
      </c>
    </row>
    <row r="1014" spans="6:6">
      <c r="F1014" s="538">
        <v>0</v>
      </c>
    </row>
    <row r="1015" spans="6:6">
      <c r="F1015" s="538">
        <v>0</v>
      </c>
    </row>
    <row r="1016" spans="6:6">
      <c r="F1016" s="538">
        <v>0</v>
      </c>
    </row>
    <row r="1017" spans="6:6">
      <c r="F1017" s="538">
        <v>0</v>
      </c>
    </row>
    <row r="1018" spans="6:6">
      <c r="F1018" s="538">
        <v>0</v>
      </c>
    </row>
    <row r="1019" spans="6:6">
      <c r="F1019" s="538">
        <v>0</v>
      </c>
    </row>
    <row r="1020" spans="6:6">
      <c r="F1020" s="538">
        <v>0</v>
      </c>
    </row>
    <row r="1021" spans="6:6">
      <c r="F1021" s="538">
        <v>0</v>
      </c>
    </row>
    <row r="1022" spans="6:6">
      <c r="F1022" s="538">
        <v>0</v>
      </c>
    </row>
    <row r="1023" spans="6:6">
      <c r="F1023" s="538">
        <v>0</v>
      </c>
    </row>
    <row r="1024" spans="6:6">
      <c r="F1024" s="538">
        <v>0</v>
      </c>
    </row>
    <row r="1025" spans="6:6">
      <c r="F1025" s="538">
        <v>0</v>
      </c>
    </row>
    <row r="1026" spans="6:6">
      <c r="F1026" s="538">
        <v>0</v>
      </c>
    </row>
    <row r="1027" spans="6:6">
      <c r="F1027" s="538">
        <v>0</v>
      </c>
    </row>
    <row r="1028" spans="6:6">
      <c r="F1028" s="538">
        <v>0</v>
      </c>
    </row>
    <row r="1029" spans="6:6">
      <c r="F1029" s="538">
        <v>0</v>
      </c>
    </row>
    <row r="1030" spans="6:6">
      <c r="F1030" s="538">
        <v>0</v>
      </c>
    </row>
    <row r="1031" spans="6:6">
      <c r="F1031" s="538">
        <v>0</v>
      </c>
    </row>
    <row r="1032" spans="6:6">
      <c r="F1032" s="538">
        <v>0</v>
      </c>
    </row>
    <row r="1033" spans="6:6">
      <c r="F1033" s="538">
        <v>0</v>
      </c>
    </row>
    <row r="1034" spans="6:6">
      <c r="F1034" s="538">
        <v>0</v>
      </c>
    </row>
    <row r="1035" spans="6:6">
      <c r="F1035" s="538">
        <v>0</v>
      </c>
    </row>
    <row r="1036" spans="6:6">
      <c r="F1036" s="538">
        <v>0</v>
      </c>
    </row>
    <row r="1037" spans="6:6">
      <c r="F1037" s="538">
        <v>0</v>
      </c>
    </row>
    <row r="1038" spans="6:6">
      <c r="F1038" s="538">
        <v>0</v>
      </c>
    </row>
    <row r="1039" spans="6:6">
      <c r="F1039" s="538">
        <v>0</v>
      </c>
    </row>
    <row r="1040" spans="6:6">
      <c r="F1040" s="538">
        <v>0</v>
      </c>
    </row>
    <row r="1041" spans="6:6">
      <c r="F1041" s="538">
        <v>0</v>
      </c>
    </row>
    <row r="1042" spans="6:6">
      <c r="F1042" s="538">
        <v>0</v>
      </c>
    </row>
    <row r="1043" spans="6:6">
      <c r="F1043" s="538">
        <v>0</v>
      </c>
    </row>
    <row r="1044" spans="6:6">
      <c r="F1044" s="538">
        <v>0</v>
      </c>
    </row>
    <row r="1045" spans="6:6">
      <c r="F1045" s="538">
        <v>0</v>
      </c>
    </row>
    <row r="1046" spans="6:6">
      <c r="F1046" s="538">
        <v>0</v>
      </c>
    </row>
    <row r="1047" spans="6:6">
      <c r="F1047" s="538">
        <v>0</v>
      </c>
    </row>
    <row r="1048" spans="6:6">
      <c r="F1048" s="538">
        <v>0</v>
      </c>
    </row>
    <row r="1049" spans="6:6">
      <c r="F1049" s="538">
        <v>0</v>
      </c>
    </row>
    <row r="1050" spans="6:6">
      <c r="F1050" s="538">
        <v>0</v>
      </c>
    </row>
    <row r="1051" spans="6:6">
      <c r="F1051" s="538">
        <v>0</v>
      </c>
    </row>
    <row r="1052" spans="6:6">
      <c r="F1052" s="538">
        <v>0</v>
      </c>
    </row>
    <row r="1053" spans="6:6">
      <c r="F1053" s="538">
        <v>0</v>
      </c>
    </row>
    <row r="1054" spans="6:6">
      <c r="F1054" s="538">
        <v>0</v>
      </c>
    </row>
    <row r="1055" spans="6:6">
      <c r="F1055" s="538">
        <v>0</v>
      </c>
    </row>
    <row r="1056" spans="6:6">
      <c r="F1056" s="538">
        <v>0</v>
      </c>
    </row>
    <row r="1057" spans="6:6">
      <c r="F1057" s="538">
        <v>0</v>
      </c>
    </row>
    <row r="1058" spans="6:6">
      <c r="F1058" s="538">
        <v>0</v>
      </c>
    </row>
    <row r="1059" spans="6:6">
      <c r="F1059" s="538">
        <v>0</v>
      </c>
    </row>
    <row r="1060" spans="6:6">
      <c r="F1060" s="538">
        <v>0</v>
      </c>
    </row>
    <row r="1061" spans="6:6">
      <c r="F1061" s="538">
        <v>0</v>
      </c>
    </row>
    <row r="1062" spans="6:6">
      <c r="F1062" s="538">
        <v>0</v>
      </c>
    </row>
    <row r="1063" spans="6:6">
      <c r="F1063" s="538">
        <v>0</v>
      </c>
    </row>
    <row r="1064" spans="6:6">
      <c r="F1064" s="538">
        <v>0</v>
      </c>
    </row>
    <row r="1065" spans="6:6">
      <c r="F1065" s="538">
        <v>0</v>
      </c>
    </row>
    <row r="1066" spans="6:6">
      <c r="F1066" s="538">
        <v>0</v>
      </c>
    </row>
    <row r="1067" spans="6:6">
      <c r="F1067" s="538">
        <v>0</v>
      </c>
    </row>
    <row r="1068" spans="6:6">
      <c r="F1068" s="538">
        <v>0</v>
      </c>
    </row>
    <row r="1069" spans="6:6">
      <c r="F1069" s="538">
        <v>0</v>
      </c>
    </row>
    <row r="1070" spans="6:6">
      <c r="F1070" s="538">
        <v>0</v>
      </c>
    </row>
    <row r="1071" spans="6:6">
      <c r="F1071" s="538">
        <v>0</v>
      </c>
    </row>
    <row r="1072" spans="6:6">
      <c r="F1072" s="538">
        <v>0</v>
      </c>
    </row>
    <row r="1073" spans="6:6">
      <c r="F1073" s="538">
        <v>0</v>
      </c>
    </row>
    <row r="1074" spans="6:6">
      <c r="F1074" s="538">
        <v>0</v>
      </c>
    </row>
    <row r="1075" spans="6:6">
      <c r="F1075" s="538">
        <v>0</v>
      </c>
    </row>
    <row r="1076" spans="6:6">
      <c r="F1076" s="538">
        <v>0</v>
      </c>
    </row>
    <row r="1077" spans="6:6">
      <c r="F1077" s="538">
        <v>0</v>
      </c>
    </row>
    <row r="1078" spans="6:6">
      <c r="F1078" s="538">
        <v>0</v>
      </c>
    </row>
    <row r="1079" spans="6:6">
      <c r="F1079" s="538">
        <v>0</v>
      </c>
    </row>
    <row r="1080" spans="6:6">
      <c r="F1080" s="538">
        <v>0</v>
      </c>
    </row>
    <row r="1081" spans="6:6">
      <c r="F1081" s="538">
        <v>0</v>
      </c>
    </row>
    <row r="1082" spans="6:6">
      <c r="F1082" s="538">
        <v>0</v>
      </c>
    </row>
    <row r="1083" spans="6:6">
      <c r="F1083" s="538">
        <v>0</v>
      </c>
    </row>
    <row r="1084" spans="6:6">
      <c r="F1084" s="538">
        <v>0</v>
      </c>
    </row>
    <row r="1085" spans="6:6">
      <c r="F1085" s="538">
        <v>0</v>
      </c>
    </row>
    <row r="1086" spans="6:6">
      <c r="F1086" s="538">
        <v>0</v>
      </c>
    </row>
    <row r="1087" spans="6:6">
      <c r="F1087" s="538">
        <v>0</v>
      </c>
    </row>
    <row r="1088" spans="6:6">
      <c r="F1088" s="538">
        <v>0</v>
      </c>
    </row>
    <row r="1089" spans="6:6">
      <c r="F1089" s="538">
        <v>0</v>
      </c>
    </row>
    <row r="1090" spans="6:6">
      <c r="F1090" s="538">
        <v>0</v>
      </c>
    </row>
    <row r="1091" spans="6:6">
      <c r="F1091" s="538">
        <v>0</v>
      </c>
    </row>
    <row r="1092" spans="6:6">
      <c r="F1092" s="538">
        <v>0</v>
      </c>
    </row>
    <row r="1093" spans="6:6">
      <c r="F1093" s="538">
        <v>0</v>
      </c>
    </row>
    <row r="1094" spans="6:6">
      <c r="F1094" s="538">
        <v>0</v>
      </c>
    </row>
    <row r="1095" spans="6:6">
      <c r="F1095" s="538">
        <v>0</v>
      </c>
    </row>
    <row r="1096" spans="6:6">
      <c r="F1096" s="538">
        <v>0</v>
      </c>
    </row>
    <row r="1097" spans="6:6">
      <c r="F1097" s="538">
        <v>0</v>
      </c>
    </row>
    <row r="1098" spans="6:6">
      <c r="F1098" s="538">
        <v>0</v>
      </c>
    </row>
    <row r="1099" spans="6:6">
      <c r="F1099" s="538">
        <v>0</v>
      </c>
    </row>
    <row r="1100" spans="6:6">
      <c r="F1100" s="538">
        <v>0</v>
      </c>
    </row>
    <row r="1101" spans="6:6">
      <c r="F1101" s="538">
        <v>0</v>
      </c>
    </row>
    <row r="1102" spans="6:6">
      <c r="F1102" s="538">
        <v>0</v>
      </c>
    </row>
    <row r="1103" spans="6:6">
      <c r="F1103" s="538">
        <v>0</v>
      </c>
    </row>
    <row r="1104" spans="6:6">
      <c r="F1104" s="538">
        <v>0</v>
      </c>
    </row>
    <row r="1105" spans="6:6">
      <c r="F1105" s="538">
        <v>0</v>
      </c>
    </row>
    <row r="1106" spans="6:6">
      <c r="F1106" s="538">
        <v>0</v>
      </c>
    </row>
    <row r="1107" spans="6:6">
      <c r="F1107" s="538">
        <v>0</v>
      </c>
    </row>
    <row r="1108" spans="6:6">
      <c r="F1108" s="538">
        <v>0</v>
      </c>
    </row>
    <row r="1109" spans="6:6">
      <c r="F1109" s="538">
        <v>0</v>
      </c>
    </row>
    <row r="1110" spans="6:6">
      <c r="F1110" s="538">
        <v>0</v>
      </c>
    </row>
    <row r="1111" spans="6:6">
      <c r="F1111" s="538">
        <v>0</v>
      </c>
    </row>
    <row r="1112" spans="6:6">
      <c r="F1112" s="538">
        <v>0</v>
      </c>
    </row>
    <row r="1113" spans="6:6">
      <c r="F1113" s="538">
        <v>0</v>
      </c>
    </row>
    <row r="1114" spans="6:6">
      <c r="F1114" s="538">
        <v>0</v>
      </c>
    </row>
    <row r="1115" spans="6:6">
      <c r="F1115" s="538">
        <v>0</v>
      </c>
    </row>
    <row r="1116" spans="6:6">
      <c r="F1116" s="538">
        <v>0</v>
      </c>
    </row>
    <row r="1117" spans="6:6">
      <c r="F1117" s="538">
        <v>0</v>
      </c>
    </row>
    <row r="1118" spans="6:6">
      <c r="F1118" s="538">
        <v>0</v>
      </c>
    </row>
    <row r="1119" spans="6:6">
      <c r="F1119" s="538">
        <v>0</v>
      </c>
    </row>
    <row r="1120" spans="6:6">
      <c r="F1120" s="538">
        <v>0</v>
      </c>
    </row>
    <row r="1121" spans="6:6">
      <c r="F1121" s="538">
        <v>0</v>
      </c>
    </row>
    <row r="1122" spans="6:6">
      <c r="F1122" s="538">
        <v>0</v>
      </c>
    </row>
    <row r="1123" spans="6:6">
      <c r="F1123" s="538">
        <v>0</v>
      </c>
    </row>
    <row r="1124" spans="6:6">
      <c r="F1124" s="538">
        <v>0</v>
      </c>
    </row>
    <row r="1125" spans="6:6">
      <c r="F1125" s="538">
        <v>0</v>
      </c>
    </row>
    <row r="1126" spans="6:6">
      <c r="F1126" s="538">
        <v>0</v>
      </c>
    </row>
    <row r="1127" spans="6:6">
      <c r="F1127" s="538">
        <v>0</v>
      </c>
    </row>
    <row r="1128" spans="6:6">
      <c r="F1128" s="538">
        <v>0</v>
      </c>
    </row>
    <row r="1129" spans="6:6">
      <c r="F1129" s="538">
        <v>0</v>
      </c>
    </row>
    <row r="1130" spans="6:6">
      <c r="F1130" s="538">
        <v>0</v>
      </c>
    </row>
    <row r="1131" spans="6:6">
      <c r="F1131" s="538">
        <v>0</v>
      </c>
    </row>
    <row r="1132" spans="6:6">
      <c r="F1132" s="538">
        <v>0</v>
      </c>
    </row>
    <row r="1133" spans="6:6">
      <c r="F1133" s="538">
        <v>0</v>
      </c>
    </row>
    <row r="1134" spans="6:6">
      <c r="F1134" s="538">
        <v>0</v>
      </c>
    </row>
    <row r="1135" spans="6:6">
      <c r="F1135" s="538">
        <v>0</v>
      </c>
    </row>
    <row r="1136" spans="6:6">
      <c r="F1136" s="538">
        <v>0</v>
      </c>
    </row>
    <row r="1137" spans="6:6">
      <c r="F1137" s="538">
        <v>0</v>
      </c>
    </row>
    <row r="1138" spans="6:6">
      <c r="F1138" s="538">
        <v>0</v>
      </c>
    </row>
    <row r="1139" spans="6:6">
      <c r="F1139" s="538">
        <v>0</v>
      </c>
    </row>
    <row r="1140" spans="6:6">
      <c r="F1140" s="538">
        <v>0</v>
      </c>
    </row>
    <row r="1141" spans="6:6">
      <c r="F1141" s="538">
        <v>0</v>
      </c>
    </row>
    <row r="1142" spans="6:6">
      <c r="F1142" s="538">
        <v>0</v>
      </c>
    </row>
    <row r="1143" spans="6:6">
      <c r="F1143" s="538">
        <v>0</v>
      </c>
    </row>
    <row r="1144" spans="6:6">
      <c r="F1144" s="538">
        <v>0</v>
      </c>
    </row>
    <row r="1145" spans="6:6">
      <c r="F1145" s="538">
        <v>0</v>
      </c>
    </row>
    <row r="1146" spans="6:6">
      <c r="F1146" s="538">
        <v>0</v>
      </c>
    </row>
    <row r="1147" spans="6:6">
      <c r="F1147" s="538">
        <v>0</v>
      </c>
    </row>
    <row r="1148" spans="6:6">
      <c r="F1148" s="538">
        <v>0</v>
      </c>
    </row>
    <row r="1149" spans="6:6">
      <c r="F1149" s="538">
        <v>0</v>
      </c>
    </row>
    <row r="1150" spans="6:6">
      <c r="F1150" s="538">
        <v>0</v>
      </c>
    </row>
    <row r="1151" spans="6:6">
      <c r="F1151" s="538">
        <v>0</v>
      </c>
    </row>
    <row r="1152" spans="6:6">
      <c r="F1152" s="538">
        <v>0</v>
      </c>
    </row>
    <row r="1153" spans="6:6">
      <c r="F1153" s="538">
        <v>0</v>
      </c>
    </row>
    <row r="1154" spans="6:6">
      <c r="F1154" s="538">
        <v>0</v>
      </c>
    </row>
    <row r="1155" spans="6:6">
      <c r="F1155" s="538">
        <v>0</v>
      </c>
    </row>
    <row r="1156" spans="6:6">
      <c r="F1156" s="538">
        <v>0</v>
      </c>
    </row>
    <row r="1157" spans="6:6">
      <c r="F1157" s="538">
        <v>0</v>
      </c>
    </row>
    <row r="1158" spans="6:6">
      <c r="F1158" s="538">
        <v>0</v>
      </c>
    </row>
    <row r="1159" spans="6:6">
      <c r="F1159" s="538">
        <v>0</v>
      </c>
    </row>
    <row r="1160" spans="6:6">
      <c r="F1160" s="538">
        <v>0</v>
      </c>
    </row>
    <row r="1161" spans="6:6">
      <c r="F1161" s="538">
        <v>0</v>
      </c>
    </row>
    <row r="1162" spans="6:6">
      <c r="F1162" s="538">
        <v>0</v>
      </c>
    </row>
    <row r="1163" spans="6:6">
      <c r="F1163" s="538">
        <v>0</v>
      </c>
    </row>
    <row r="1164" spans="6:6">
      <c r="F1164" s="538">
        <v>0</v>
      </c>
    </row>
    <row r="1165" spans="6:6">
      <c r="F1165" s="538">
        <v>0</v>
      </c>
    </row>
    <row r="1166" spans="6:6">
      <c r="F1166" s="538">
        <v>0</v>
      </c>
    </row>
    <row r="1167" spans="6:6">
      <c r="F1167" s="538">
        <v>0</v>
      </c>
    </row>
    <row r="1168" spans="6:6">
      <c r="F1168" s="538">
        <v>0</v>
      </c>
    </row>
    <row r="1169" spans="6:6">
      <c r="F1169" s="538">
        <v>0</v>
      </c>
    </row>
    <row r="1170" spans="6:6">
      <c r="F1170" s="538">
        <v>0</v>
      </c>
    </row>
    <row r="1171" spans="6:6">
      <c r="F1171" s="538">
        <v>0</v>
      </c>
    </row>
    <row r="1172" spans="6:6">
      <c r="F1172" s="538">
        <v>0</v>
      </c>
    </row>
    <row r="1173" spans="6:6">
      <c r="F1173" s="538">
        <v>0</v>
      </c>
    </row>
    <row r="1174" spans="6:6">
      <c r="F1174" s="538">
        <v>0</v>
      </c>
    </row>
    <row r="1175" spans="6:6">
      <c r="F1175" s="538">
        <v>0</v>
      </c>
    </row>
    <row r="1176" spans="6:6">
      <c r="F1176" s="538">
        <v>0</v>
      </c>
    </row>
    <row r="1177" spans="6:6">
      <c r="F1177" s="538">
        <v>0</v>
      </c>
    </row>
    <row r="1178" spans="6:6">
      <c r="F1178" s="538">
        <v>0</v>
      </c>
    </row>
    <row r="1179" spans="6:6">
      <c r="F1179" s="538">
        <v>0</v>
      </c>
    </row>
    <row r="1180" spans="6:6">
      <c r="F1180" s="538">
        <v>0</v>
      </c>
    </row>
    <row r="1181" spans="6:6">
      <c r="F1181" s="538">
        <v>0</v>
      </c>
    </row>
    <row r="1182" spans="6:6">
      <c r="F1182" s="538">
        <v>0</v>
      </c>
    </row>
    <row r="1183" spans="6:6">
      <c r="F1183" s="538">
        <v>0</v>
      </c>
    </row>
    <row r="1184" spans="6:6">
      <c r="F1184" s="538">
        <v>0</v>
      </c>
    </row>
    <row r="1185" spans="6:6">
      <c r="F1185" s="538">
        <v>0</v>
      </c>
    </row>
    <row r="1186" spans="6:6">
      <c r="F1186" s="538">
        <v>0</v>
      </c>
    </row>
    <row r="1187" spans="6:6">
      <c r="F1187" s="538">
        <v>0</v>
      </c>
    </row>
    <row r="1188" spans="6:6">
      <c r="F1188" s="538">
        <v>0</v>
      </c>
    </row>
    <row r="1189" spans="6:6">
      <c r="F1189" s="538">
        <v>0</v>
      </c>
    </row>
    <row r="1190" spans="6:6">
      <c r="F1190" s="538">
        <v>0</v>
      </c>
    </row>
    <row r="1191" spans="6:6">
      <c r="F1191" s="538">
        <v>0</v>
      </c>
    </row>
    <row r="1192" spans="6:6">
      <c r="F1192" s="538">
        <v>0</v>
      </c>
    </row>
    <row r="1193" spans="6:6">
      <c r="F1193" s="538">
        <v>0</v>
      </c>
    </row>
    <row r="1194" spans="6:6">
      <c r="F1194" s="538">
        <v>0</v>
      </c>
    </row>
    <row r="1195" spans="6:6">
      <c r="F1195" s="538">
        <v>0</v>
      </c>
    </row>
    <row r="1196" spans="6:6">
      <c r="F1196" s="538">
        <v>0</v>
      </c>
    </row>
    <row r="1197" spans="6:6">
      <c r="F1197" s="538">
        <v>0</v>
      </c>
    </row>
    <row r="1198" spans="6:6">
      <c r="F1198" s="538">
        <v>0</v>
      </c>
    </row>
    <row r="1199" spans="6:6">
      <c r="F1199" s="538">
        <v>0</v>
      </c>
    </row>
    <row r="1200" spans="6:6">
      <c r="F1200" s="538">
        <v>0</v>
      </c>
    </row>
    <row r="1201" spans="6:6">
      <c r="F1201" s="538">
        <v>0</v>
      </c>
    </row>
    <row r="1202" spans="6:6">
      <c r="F1202" s="538">
        <v>0</v>
      </c>
    </row>
    <row r="1203" spans="6:6">
      <c r="F1203" s="538">
        <v>0</v>
      </c>
    </row>
    <row r="1204" spans="6:6">
      <c r="F1204" s="538">
        <v>0</v>
      </c>
    </row>
    <row r="1205" spans="6:6">
      <c r="F1205" s="538">
        <v>0</v>
      </c>
    </row>
    <row r="1206" spans="6:6">
      <c r="F1206" s="538">
        <v>0</v>
      </c>
    </row>
    <row r="1207" spans="6:6">
      <c r="F1207" s="538">
        <v>0</v>
      </c>
    </row>
    <row r="1208" spans="6:6">
      <c r="F1208" s="538">
        <v>0</v>
      </c>
    </row>
    <row r="1209" spans="6:6">
      <c r="F1209" s="538">
        <v>0</v>
      </c>
    </row>
    <row r="1210" spans="6:6">
      <c r="F1210" s="538">
        <v>0</v>
      </c>
    </row>
    <row r="1211" spans="6:6">
      <c r="F1211" s="538">
        <v>0</v>
      </c>
    </row>
    <row r="1212" spans="6:6">
      <c r="F1212" s="538">
        <v>0</v>
      </c>
    </row>
    <row r="1213" spans="6:6">
      <c r="F1213" s="538">
        <v>0</v>
      </c>
    </row>
    <row r="1214" spans="6:6">
      <c r="F1214" s="538">
        <v>0</v>
      </c>
    </row>
    <row r="1215" spans="6:6">
      <c r="F1215" s="538">
        <v>0</v>
      </c>
    </row>
    <row r="1216" spans="6:6">
      <c r="F1216" s="538">
        <v>0</v>
      </c>
    </row>
    <row r="1217" spans="6:6">
      <c r="F1217" s="538">
        <v>0</v>
      </c>
    </row>
    <row r="1218" spans="6:6">
      <c r="F1218" s="538">
        <v>0</v>
      </c>
    </row>
    <row r="1219" spans="6:6">
      <c r="F1219" s="538">
        <v>0</v>
      </c>
    </row>
    <row r="1220" spans="6:6">
      <c r="F1220" s="538">
        <v>0</v>
      </c>
    </row>
    <row r="1221" spans="6:6">
      <c r="F1221" s="538">
        <v>0</v>
      </c>
    </row>
    <row r="1222" spans="6:6">
      <c r="F1222" s="538">
        <v>0</v>
      </c>
    </row>
    <row r="1223" spans="6:6">
      <c r="F1223" s="538">
        <v>0</v>
      </c>
    </row>
    <row r="1224" spans="6:6">
      <c r="F1224" s="538">
        <v>0</v>
      </c>
    </row>
    <row r="1225" spans="6:6">
      <c r="F1225" s="538">
        <v>0</v>
      </c>
    </row>
    <row r="1226" spans="6:6">
      <c r="F1226" s="538">
        <v>0</v>
      </c>
    </row>
    <row r="1227" spans="6:6">
      <c r="F1227" s="538">
        <v>0</v>
      </c>
    </row>
    <row r="1228" spans="6:6">
      <c r="F1228" s="538">
        <v>0</v>
      </c>
    </row>
    <row r="1229" spans="6:6">
      <c r="F1229" s="538">
        <v>0</v>
      </c>
    </row>
    <row r="1230" spans="6:6">
      <c r="F1230" s="538">
        <v>0</v>
      </c>
    </row>
    <row r="1231" spans="6:6">
      <c r="F1231" s="538">
        <v>0</v>
      </c>
    </row>
    <row r="1232" spans="6:6">
      <c r="F1232" s="538">
        <v>0</v>
      </c>
    </row>
    <row r="1233" spans="6:6">
      <c r="F1233" s="538">
        <v>0</v>
      </c>
    </row>
    <row r="1234" spans="6:6">
      <c r="F1234" s="538">
        <v>0</v>
      </c>
    </row>
    <row r="1235" spans="6:6">
      <c r="F1235" s="538">
        <v>0</v>
      </c>
    </row>
    <row r="1236" spans="6:6">
      <c r="F1236" s="538">
        <v>0</v>
      </c>
    </row>
    <row r="1237" spans="6:6">
      <c r="F1237" s="538">
        <v>0</v>
      </c>
    </row>
    <row r="1238" spans="6:6">
      <c r="F1238" s="538">
        <v>0</v>
      </c>
    </row>
    <row r="1239" spans="6:6">
      <c r="F1239" s="538">
        <v>0</v>
      </c>
    </row>
    <row r="1240" spans="6:6">
      <c r="F1240" s="538">
        <v>0</v>
      </c>
    </row>
    <row r="1241" spans="6:6">
      <c r="F1241" s="538">
        <v>0</v>
      </c>
    </row>
    <row r="1242" spans="6:6">
      <c r="F1242" s="538">
        <v>0</v>
      </c>
    </row>
    <row r="1243" spans="6:6">
      <c r="F1243" s="538">
        <v>0</v>
      </c>
    </row>
    <row r="1244" spans="6:6">
      <c r="F1244" s="538">
        <v>0</v>
      </c>
    </row>
    <row r="1245" spans="6:6">
      <c r="F1245" s="538">
        <v>0</v>
      </c>
    </row>
    <row r="1246" spans="6:6">
      <c r="F1246" s="538">
        <v>0</v>
      </c>
    </row>
    <row r="1247" spans="6:6">
      <c r="F1247" s="538">
        <v>0</v>
      </c>
    </row>
    <row r="1248" spans="6:6">
      <c r="F1248" s="538">
        <v>0</v>
      </c>
    </row>
    <row r="1249" spans="6:6">
      <c r="F1249" s="538">
        <v>0</v>
      </c>
    </row>
    <row r="1250" spans="6:6">
      <c r="F1250" s="538">
        <v>0</v>
      </c>
    </row>
    <row r="1251" spans="6:6">
      <c r="F1251" s="538">
        <v>0</v>
      </c>
    </row>
    <row r="1252" spans="6:6">
      <c r="F1252" s="538">
        <v>0</v>
      </c>
    </row>
    <row r="1253" spans="6:6">
      <c r="F1253" s="538">
        <v>0</v>
      </c>
    </row>
    <row r="1254" spans="6:6">
      <c r="F1254" s="538">
        <v>0</v>
      </c>
    </row>
    <row r="1255" spans="6:6">
      <c r="F1255" s="538">
        <v>0</v>
      </c>
    </row>
    <row r="1256" spans="6:6">
      <c r="F1256" s="538">
        <v>0</v>
      </c>
    </row>
    <row r="1257" spans="6:6">
      <c r="F1257" s="538">
        <v>0</v>
      </c>
    </row>
    <row r="1258" spans="6:6">
      <c r="F1258" s="538">
        <v>0</v>
      </c>
    </row>
    <row r="1259" spans="6:6">
      <c r="F1259" s="538">
        <v>0</v>
      </c>
    </row>
    <row r="1260" spans="6:6">
      <c r="F1260" s="538">
        <v>0</v>
      </c>
    </row>
    <row r="1261" spans="6:6">
      <c r="F1261" s="538">
        <v>0</v>
      </c>
    </row>
    <row r="1262" spans="6:6">
      <c r="F1262" s="538">
        <v>0</v>
      </c>
    </row>
    <row r="1263" spans="6:6">
      <c r="F1263" s="538">
        <v>0</v>
      </c>
    </row>
    <row r="1264" spans="6:6">
      <c r="F1264" s="538">
        <v>0</v>
      </c>
    </row>
    <row r="1265" spans="6:6">
      <c r="F1265" s="538">
        <v>0</v>
      </c>
    </row>
    <row r="1266" spans="6:6">
      <c r="F1266" s="538">
        <v>0</v>
      </c>
    </row>
    <row r="1267" spans="6:6">
      <c r="F1267" s="538">
        <v>0</v>
      </c>
    </row>
    <row r="1268" spans="6:6">
      <c r="F1268" s="538">
        <v>0</v>
      </c>
    </row>
    <row r="1269" spans="6:6">
      <c r="F1269" s="538">
        <v>0</v>
      </c>
    </row>
    <row r="1270" spans="6:6">
      <c r="F1270" s="538">
        <v>0</v>
      </c>
    </row>
    <row r="1271" spans="6:6">
      <c r="F1271" s="538">
        <v>0</v>
      </c>
    </row>
    <row r="1272" spans="6:6">
      <c r="F1272" s="538">
        <v>0</v>
      </c>
    </row>
    <row r="1273" spans="6:6">
      <c r="F1273" s="538">
        <v>0</v>
      </c>
    </row>
    <row r="1274" spans="6:6">
      <c r="F1274" s="538">
        <v>0</v>
      </c>
    </row>
    <row r="1275" spans="6:6">
      <c r="F1275" s="538">
        <v>0</v>
      </c>
    </row>
    <row r="1276" spans="6:6">
      <c r="F1276" s="538">
        <v>0</v>
      </c>
    </row>
    <row r="1277" spans="6:6">
      <c r="F1277" s="538">
        <v>0</v>
      </c>
    </row>
    <row r="1278" spans="6:6">
      <c r="F1278" s="538">
        <v>0</v>
      </c>
    </row>
    <row r="1279" spans="6:6">
      <c r="F1279" s="538">
        <v>0</v>
      </c>
    </row>
    <row r="1280" spans="6:6">
      <c r="F1280" s="538">
        <v>0</v>
      </c>
    </row>
    <row r="1281" spans="6:6">
      <c r="F1281" s="538">
        <v>0</v>
      </c>
    </row>
    <row r="1282" spans="6:6">
      <c r="F1282" s="538">
        <v>0</v>
      </c>
    </row>
    <row r="1283" spans="6:6">
      <c r="F1283" s="538">
        <v>0</v>
      </c>
    </row>
    <row r="1284" spans="6:6">
      <c r="F1284" s="538">
        <v>0</v>
      </c>
    </row>
    <row r="1285" spans="6:6">
      <c r="F1285" s="538">
        <v>0</v>
      </c>
    </row>
    <row r="1286" spans="6:6">
      <c r="F1286" s="538">
        <v>0</v>
      </c>
    </row>
    <row r="1287" spans="6:6">
      <c r="F1287" s="538">
        <v>0</v>
      </c>
    </row>
    <row r="1288" spans="6:6">
      <c r="F1288" s="538">
        <v>0</v>
      </c>
    </row>
    <row r="1289" spans="6:6">
      <c r="F1289" s="538">
        <v>0</v>
      </c>
    </row>
    <row r="1290" spans="6:6">
      <c r="F1290" s="538">
        <v>0</v>
      </c>
    </row>
    <row r="1291" spans="6:6">
      <c r="F1291" s="538">
        <v>0</v>
      </c>
    </row>
    <row r="1292" spans="6:6">
      <c r="F1292" s="538">
        <v>0</v>
      </c>
    </row>
    <row r="1293" spans="6:6">
      <c r="F1293" s="538">
        <v>0</v>
      </c>
    </row>
    <row r="1294" spans="6:6">
      <c r="F1294" s="538">
        <v>0</v>
      </c>
    </row>
    <row r="1295" spans="6:6">
      <c r="F1295" s="538">
        <v>0</v>
      </c>
    </row>
    <row r="1296" spans="6:6">
      <c r="F1296" s="538">
        <v>0</v>
      </c>
    </row>
    <row r="1297" spans="6:6">
      <c r="F1297" s="538">
        <v>0</v>
      </c>
    </row>
    <row r="1298" spans="6:6">
      <c r="F1298" s="538">
        <v>0</v>
      </c>
    </row>
    <row r="1299" spans="6:6">
      <c r="F1299" s="538">
        <v>0</v>
      </c>
    </row>
    <row r="1300" spans="6:6">
      <c r="F1300" s="538">
        <v>0</v>
      </c>
    </row>
    <row r="1301" spans="6:6">
      <c r="F1301" s="538">
        <v>0</v>
      </c>
    </row>
    <row r="1302" spans="6:6">
      <c r="F1302" s="538">
        <v>0</v>
      </c>
    </row>
    <row r="1303" spans="6:6">
      <c r="F1303" s="538">
        <v>0</v>
      </c>
    </row>
    <row r="1304" spans="6:6">
      <c r="F1304" s="538">
        <v>0</v>
      </c>
    </row>
    <row r="1305" spans="6:6">
      <c r="F1305" s="538">
        <v>0</v>
      </c>
    </row>
    <row r="1306" spans="6:6">
      <c r="F1306" s="538">
        <v>0</v>
      </c>
    </row>
    <row r="1307" spans="6:6">
      <c r="F1307" s="538">
        <v>0</v>
      </c>
    </row>
    <row r="1308" spans="6:6">
      <c r="F1308" s="538">
        <v>0</v>
      </c>
    </row>
    <row r="1309" spans="6:6">
      <c r="F1309" s="538">
        <v>0</v>
      </c>
    </row>
    <row r="1310" spans="6:6">
      <c r="F1310" s="538">
        <v>0</v>
      </c>
    </row>
    <row r="1311" spans="6:6">
      <c r="F1311" s="538">
        <v>0</v>
      </c>
    </row>
    <row r="1312" spans="6:6">
      <c r="F1312" s="538">
        <v>0</v>
      </c>
    </row>
    <row r="1313" spans="6:6">
      <c r="F1313" s="538">
        <v>0</v>
      </c>
    </row>
    <row r="1314" spans="6:6">
      <c r="F1314" s="538">
        <v>0</v>
      </c>
    </row>
    <row r="1315" spans="6:6">
      <c r="F1315" s="538">
        <v>0</v>
      </c>
    </row>
    <row r="1316" spans="6:6">
      <c r="F1316" s="538">
        <v>0</v>
      </c>
    </row>
    <row r="1317" spans="6:6">
      <c r="F1317" s="538">
        <v>0</v>
      </c>
    </row>
    <row r="1318" spans="6:6">
      <c r="F1318" s="538">
        <v>0</v>
      </c>
    </row>
    <row r="1319" spans="6:6">
      <c r="F1319" s="538">
        <v>0</v>
      </c>
    </row>
    <row r="1320" spans="6:6">
      <c r="F1320" s="538">
        <v>0</v>
      </c>
    </row>
    <row r="1321" spans="6:6">
      <c r="F1321" s="538">
        <v>0</v>
      </c>
    </row>
    <row r="1322" spans="6:6">
      <c r="F1322" s="538">
        <v>0</v>
      </c>
    </row>
    <row r="1323" spans="6:6">
      <c r="F1323" s="538">
        <v>0</v>
      </c>
    </row>
    <row r="1324" spans="6:6">
      <c r="F1324" s="538">
        <v>0</v>
      </c>
    </row>
    <row r="1325" spans="6:6">
      <c r="F1325" s="538">
        <v>0</v>
      </c>
    </row>
    <row r="1326" spans="6:6">
      <c r="F1326" s="538">
        <v>0</v>
      </c>
    </row>
    <row r="1327" spans="6:6">
      <c r="F1327" s="538">
        <v>0</v>
      </c>
    </row>
    <row r="1328" spans="6:6">
      <c r="F1328" s="538">
        <v>0</v>
      </c>
    </row>
    <row r="1329" spans="6:6">
      <c r="F1329" s="538">
        <v>0</v>
      </c>
    </row>
    <row r="1330" spans="6:6">
      <c r="F1330" s="538">
        <v>0</v>
      </c>
    </row>
    <row r="1331" spans="6:6">
      <c r="F1331" s="538">
        <v>0</v>
      </c>
    </row>
    <row r="1332" spans="6:6">
      <c r="F1332" s="538">
        <v>0</v>
      </c>
    </row>
    <row r="1333" spans="6:6">
      <c r="F1333" s="538">
        <v>0</v>
      </c>
    </row>
    <row r="1334" spans="6:6">
      <c r="F1334" s="538">
        <v>0</v>
      </c>
    </row>
    <row r="1335" spans="6:6">
      <c r="F1335" s="538">
        <v>0</v>
      </c>
    </row>
    <row r="1336" spans="6:6">
      <c r="F1336" s="538">
        <v>0</v>
      </c>
    </row>
    <row r="1337" spans="6:6">
      <c r="F1337" s="538">
        <v>0</v>
      </c>
    </row>
    <row r="1338" spans="6:6">
      <c r="F1338" s="538">
        <v>0</v>
      </c>
    </row>
    <row r="1339" spans="6:6">
      <c r="F1339" s="538">
        <v>0</v>
      </c>
    </row>
    <row r="1340" spans="6:6">
      <c r="F1340" s="538">
        <v>0</v>
      </c>
    </row>
    <row r="1341" spans="6:6">
      <c r="F1341" s="538">
        <v>0</v>
      </c>
    </row>
    <row r="1342" spans="6:6">
      <c r="F1342" s="538">
        <v>0</v>
      </c>
    </row>
    <row r="1343" spans="6:6">
      <c r="F1343" s="538">
        <v>0</v>
      </c>
    </row>
    <row r="1344" spans="6:6">
      <c r="F1344" s="538">
        <v>0</v>
      </c>
    </row>
    <row r="1345" spans="6:6">
      <c r="F1345" s="538">
        <v>0</v>
      </c>
    </row>
    <row r="1346" spans="6:6">
      <c r="F1346" s="538">
        <v>0</v>
      </c>
    </row>
    <row r="1347" spans="6:6">
      <c r="F1347" s="538">
        <v>0</v>
      </c>
    </row>
    <row r="1348" spans="6:6">
      <c r="F1348" s="538">
        <v>0</v>
      </c>
    </row>
    <row r="1349" spans="6:6">
      <c r="F1349" s="538">
        <v>0</v>
      </c>
    </row>
    <row r="1350" spans="6:6">
      <c r="F1350" s="538">
        <v>0</v>
      </c>
    </row>
    <row r="1351" spans="6:6">
      <c r="F1351" s="538">
        <v>0</v>
      </c>
    </row>
    <row r="1352" spans="6:6">
      <c r="F1352" s="538">
        <v>0</v>
      </c>
    </row>
    <row r="1353" spans="6:6">
      <c r="F1353" s="538">
        <v>0</v>
      </c>
    </row>
    <row r="1354" spans="6:6">
      <c r="F1354" s="538">
        <v>0</v>
      </c>
    </row>
    <row r="1355" spans="6:6">
      <c r="F1355" s="538">
        <v>0</v>
      </c>
    </row>
    <row r="1356" spans="6:6">
      <c r="F1356" s="538">
        <v>0</v>
      </c>
    </row>
    <row r="1357" spans="6:6">
      <c r="F1357" s="538">
        <v>0</v>
      </c>
    </row>
    <row r="1358" spans="6:6">
      <c r="F1358" s="538">
        <v>0</v>
      </c>
    </row>
    <row r="1359" spans="6:6">
      <c r="F1359" s="538">
        <v>0</v>
      </c>
    </row>
    <row r="1360" spans="6:6">
      <c r="F1360" s="538">
        <v>0</v>
      </c>
    </row>
    <row r="1361" spans="6:6">
      <c r="F1361" s="538">
        <v>0</v>
      </c>
    </row>
    <row r="1362" spans="6:6">
      <c r="F1362" s="538">
        <v>0</v>
      </c>
    </row>
    <row r="1363" spans="6:6">
      <c r="F1363" s="538">
        <v>0</v>
      </c>
    </row>
    <row r="1364" spans="6:6">
      <c r="F1364" s="538">
        <v>0</v>
      </c>
    </row>
    <row r="1365" spans="6:6">
      <c r="F1365" s="538">
        <v>0</v>
      </c>
    </row>
    <row r="1366" spans="6:6">
      <c r="F1366" s="538">
        <v>0</v>
      </c>
    </row>
    <row r="1367" spans="6:6">
      <c r="F1367" s="538">
        <v>0</v>
      </c>
    </row>
    <row r="1368" spans="6:6">
      <c r="F1368" s="538">
        <v>0</v>
      </c>
    </row>
    <row r="1369" spans="6:6">
      <c r="F1369" s="538">
        <v>0</v>
      </c>
    </row>
    <row r="1370" spans="6:6">
      <c r="F1370" s="538">
        <v>0</v>
      </c>
    </row>
    <row r="1371" spans="6:6">
      <c r="F1371" s="538">
        <v>0</v>
      </c>
    </row>
    <row r="1372" spans="6:6">
      <c r="F1372" s="538">
        <v>0</v>
      </c>
    </row>
    <row r="1373" spans="6:6">
      <c r="F1373" s="538">
        <v>0</v>
      </c>
    </row>
    <row r="1374" spans="6:6">
      <c r="F1374" s="538">
        <v>0</v>
      </c>
    </row>
    <row r="1375" spans="6:6">
      <c r="F1375" s="538">
        <v>0</v>
      </c>
    </row>
    <row r="1376" spans="6:6">
      <c r="F1376" s="538">
        <v>0</v>
      </c>
    </row>
    <row r="1377" spans="6:6">
      <c r="F1377" s="538">
        <v>0</v>
      </c>
    </row>
    <row r="1378" spans="6:6">
      <c r="F1378" s="538">
        <v>0</v>
      </c>
    </row>
    <row r="1379" spans="6:6">
      <c r="F1379" s="538">
        <v>0</v>
      </c>
    </row>
    <row r="1380" spans="6:6">
      <c r="F1380" s="538">
        <v>0</v>
      </c>
    </row>
    <row r="1381" spans="6:6">
      <c r="F1381" s="538">
        <v>0</v>
      </c>
    </row>
    <row r="1382" spans="6:6">
      <c r="F1382" s="538">
        <v>0</v>
      </c>
    </row>
    <row r="1383" spans="6:6">
      <c r="F1383" s="538">
        <v>0</v>
      </c>
    </row>
    <row r="1384" spans="6:6">
      <c r="F1384" s="538">
        <v>0</v>
      </c>
    </row>
    <row r="1385" spans="6:6">
      <c r="F1385" s="538">
        <v>0</v>
      </c>
    </row>
    <row r="1386" spans="6:6">
      <c r="F1386" s="538">
        <v>0</v>
      </c>
    </row>
    <row r="1387" spans="6:6">
      <c r="F1387" s="538">
        <v>0</v>
      </c>
    </row>
    <row r="1388" spans="6:6">
      <c r="F1388" s="538">
        <v>0</v>
      </c>
    </row>
    <row r="1389" spans="6:6">
      <c r="F1389" s="538">
        <v>0</v>
      </c>
    </row>
    <row r="1390" spans="6:6">
      <c r="F1390" s="538">
        <v>0</v>
      </c>
    </row>
    <row r="1391" spans="6:6">
      <c r="F1391" s="538">
        <v>0</v>
      </c>
    </row>
    <row r="1392" spans="6:6">
      <c r="F1392" s="538">
        <v>0</v>
      </c>
    </row>
    <row r="1393" spans="6:6">
      <c r="F1393" s="538">
        <v>0</v>
      </c>
    </row>
    <row r="1394" spans="6:6">
      <c r="F1394" s="538">
        <v>0</v>
      </c>
    </row>
    <row r="1395" spans="6:6">
      <c r="F1395" s="538">
        <v>0</v>
      </c>
    </row>
    <row r="1396" spans="6:6">
      <c r="F1396" s="538">
        <v>0</v>
      </c>
    </row>
    <row r="1397" spans="6:6">
      <c r="F1397" s="538">
        <v>0</v>
      </c>
    </row>
    <row r="1398" spans="6:6">
      <c r="F1398" s="538">
        <v>0</v>
      </c>
    </row>
    <row r="1399" spans="6:6">
      <c r="F1399" s="538">
        <v>0</v>
      </c>
    </row>
    <row r="1400" spans="6:6">
      <c r="F1400" s="538">
        <v>0</v>
      </c>
    </row>
    <row r="1401" spans="6:6">
      <c r="F1401" s="538">
        <v>0</v>
      </c>
    </row>
    <row r="1402" spans="6:6">
      <c r="F1402" s="538">
        <v>0</v>
      </c>
    </row>
    <row r="1403" spans="6:6">
      <c r="F1403" s="538">
        <v>0</v>
      </c>
    </row>
    <row r="1404" spans="6:6">
      <c r="F1404" s="538">
        <v>0</v>
      </c>
    </row>
    <row r="1405" spans="6:6">
      <c r="F1405" s="538">
        <v>0</v>
      </c>
    </row>
    <row r="1406" spans="6:6">
      <c r="F1406" s="538">
        <v>0</v>
      </c>
    </row>
    <row r="1407" spans="6:6">
      <c r="F1407" s="538">
        <v>0</v>
      </c>
    </row>
    <row r="1408" spans="6:6">
      <c r="F1408" s="538">
        <v>0</v>
      </c>
    </row>
    <row r="1409" spans="6:6">
      <c r="F1409" s="538">
        <v>0</v>
      </c>
    </row>
    <row r="1410" spans="6:6">
      <c r="F1410" s="538">
        <v>0</v>
      </c>
    </row>
    <row r="1411" spans="6:6">
      <c r="F1411" s="538">
        <v>0</v>
      </c>
    </row>
    <row r="1412" spans="6:6">
      <c r="F1412" s="538">
        <v>0</v>
      </c>
    </row>
    <row r="1413" spans="6:6">
      <c r="F1413" s="538">
        <v>0</v>
      </c>
    </row>
    <row r="1414" spans="6:6">
      <c r="F1414" s="538">
        <v>0</v>
      </c>
    </row>
    <row r="1415" spans="6:6">
      <c r="F1415" s="538">
        <v>0</v>
      </c>
    </row>
    <row r="1416" spans="6:6">
      <c r="F1416" s="538">
        <v>0</v>
      </c>
    </row>
    <row r="1417" spans="6:6">
      <c r="F1417" s="538">
        <v>0</v>
      </c>
    </row>
    <row r="1418" spans="6:6">
      <c r="F1418" s="538">
        <v>0</v>
      </c>
    </row>
    <row r="1419" spans="6:6">
      <c r="F1419" s="538">
        <v>0</v>
      </c>
    </row>
    <row r="1420" spans="6:6">
      <c r="F1420" s="538">
        <v>0</v>
      </c>
    </row>
    <row r="1421" spans="6:6">
      <c r="F1421" s="538">
        <v>0</v>
      </c>
    </row>
    <row r="1422" spans="6:6">
      <c r="F1422" s="538">
        <v>0</v>
      </c>
    </row>
    <row r="1423" spans="6:6">
      <c r="F1423" s="538">
        <v>0</v>
      </c>
    </row>
    <row r="1424" spans="6:6">
      <c r="F1424" s="538">
        <v>0</v>
      </c>
    </row>
    <row r="1425" spans="6:6">
      <c r="F1425" s="538">
        <v>0</v>
      </c>
    </row>
    <row r="1426" spans="6:6">
      <c r="F1426" s="538">
        <v>0</v>
      </c>
    </row>
    <row r="1427" spans="6:6">
      <c r="F1427" s="538">
        <v>0</v>
      </c>
    </row>
    <row r="1428" spans="6:6">
      <c r="F1428" s="538">
        <v>0</v>
      </c>
    </row>
    <row r="1429" spans="6:6">
      <c r="F1429" s="538">
        <v>0</v>
      </c>
    </row>
    <row r="1430" spans="6:6">
      <c r="F1430" s="538">
        <v>0</v>
      </c>
    </row>
    <row r="1431" spans="6:6">
      <c r="F1431" s="538">
        <v>0</v>
      </c>
    </row>
    <row r="1432" spans="6:6">
      <c r="F1432" s="538">
        <v>0</v>
      </c>
    </row>
    <row r="1433" spans="6:6">
      <c r="F1433" s="538">
        <v>0</v>
      </c>
    </row>
    <row r="1434" spans="6:6">
      <c r="F1434" s="538">
        <v>0</v>
      </c>
    </row>
    <row r="1435" spans="6:6">
      <c r="F1435" s="538">
        <v>0</v>
      </c>
    </row>
    <row r="1436" spans="6:6">
      <c r="F1436" s="538">
        <v>0</v>
      </c>
    </row>
    <row r="1437" spans="6:6">
      <c r="F1437" s="538">
        <v>0</v>
      </c>
    </row>
    <row r="1438" spans="6:6">
      <c r="F1438" s="538">
        <v>0</v>
      </c>
    </row>
    <row r="1439" spans="6:6">
      <c r="F1439" s="538">
        <v>0</v>
      </c>
    </row>
    <row r="1440" spans="6:6">
      <c r="F1440" s="538">
        <v>0</v>
      </c>
    </row>
    <row r="1441" spans="6:6">
      <c r="F1441" s="538">
        <v>0</v>
      </c>
    </row>
    <row r="1442" spans="6:6">
      <c r="F1442" s="538">
        <v>0</v>
      </c>
    </row>
    <row r="1443" spans="6:6">
      <c r="F1443" s="538">
        <v>0</v>
      </c>
    </row>
    <row r="1444" spans="6:6">
      <c r="F1444" s="538">
        <v>0</v>
      </c>
    </row>
    <row r="1445" spans="6:6">
      <c r="F1445" s="538">
        <v>0</v>
      </c>
    </row>
    <row r="1446" spans="6:6">
      <c r="F1446" s="538">
        <v>0</v>
      </c>
    </row>
    <row r="1447" spans="6:6">
      <c r="F1447" s="538">
        <v>0</v>
      </c>
    </row>
    <row r="1448" spans="6:6">
      <c r="F1448" s="538">
        <v>0</v>
      </c>
    </row>
    <row r="1449" spans="6:6">
      <c r="F1449" s="538">
        <v>0</v>
      </c>
    </row>
    <row r="1450" spans="6:6">
      <c r="F1450" s="538">
        <v>0</v>
      </c>
    </row>
    <row r="1451" spans="6:6">
      <c r="F1451" s="538">
        <v>0</v>
      </c>
    </row>
    <row r="1452" spans="6:6">
      <c r="F1452" s="538">
        <v>0</v>
      </c>
    </row>
    <row r="1453" spans="6:6">
      <c r="F1453" s="538">
        <v>0</v>
      </c>
    </row>
    <row r="1454" spans="6:6">
      <c r="F1454" s="538">
        <v>0</v>
      </c>
    </row>
    <row r="1455" spans="6:6">
      <c r="F1455" s="538">
        <v>0</v>
      </c>
    </row>
    <row r="1456" spans="6:6">
      <c r="F1456" s="538">
        <v>0</v>
      </c>
    </row>
    <row r="1457" spans="6:6">
      <c r="F1457" s="538">
        <v>0</v>
      </c>
    </row>
    <row r="1458" spans="6:6">
      <c r="F1458" s="538">
        <v>0</v>
      </c>
    </row>
    <row r="1459" spans="6:6">
      <c r="F1459" s="538">
        <v>0</v>
      </c>
    </row>
    <row r="1460" spans="6:6">
      <c r="F1460" s="538">
        <v>0</v>
      </c>
    </row>
    <row r="1461" spans="6:6">
      <c r="F1461" s="538">
        <v>0</v>
      </c>
    </row>
    <row r="1462" spans="6:6">
      <c r="F1462" s="538">
        <v>0</v>
      </c>
    </row>
    <row r="1463" spans="6:6">
      <c r="F1463" s="538">
        <v>0</v>
      </c>
    </row>
    <row r="1464" spans="6:6">
      <c r="F1464" s="538">
        <v>0</v>
      </c>
    </row>
    <row r="1465" spans="6:6">
      <c r="F1465" s="538">
        <v>0</v>
      </c>
    </row>
    <row r="1466" spans="6:6">
      <c r="F1466" s="538">
        <v>0</v>
      </c>
    </row>
    <row r="1467" spans="6:6">
      <c r="F1467" s="538">
        <v>0</v>
      </c>
    </row>
    <row r="1468" spans="6:6">
      <c r="F1468" s="538">
        <v>0</v>
      </c>
    </row>
    <row r="1469" spans="6:6">
      <c r="F1469" s="538">
        <v>0</v>
      </c>
    </row>
    <row r="1470" spans="6:6">
      <c r="F1470" s="538">
        <v>0</v>
      </c>
    </row>
    <row r="1471" spans="6:6">
      <c r="F1471" s="538">
        <v>0</v>
      </c>
    </row>
    <row r="1472" spans="6:6">
      <c r="F1472" s="538">
        <v>0</v>
      </c>
    </row>
    <row r="1473" spans="6:6">
      <c r="F1473" s="538">
        <v>0</v>
      </c>
    </row>
    <row r="1474" spans="6:6">
      <c r="F1474" s="538">
        <v>0</v>
      </c>
    </row>
    <row r="1475" spans="6:6">
      <c r="F1475" s="538">
        <v>0</v>
      </c>
    </row>
    <row r="1476" spans="6:6">
      <c r="F1476" s="538">
        <v>0</v>
      </c>
    </row>
    <row r="1477" spans="6:6">
      <c r="F1477" s="538">
        <v>0</v>
      </c>
    </row>
    <row r="1478" spans="6:6">
      <c r="F1478" s="538">
        <v>0</v>
      </c>
    </row>
    <row r="1479" spans="6:6">
      <c r="F1479" s="538">
        <v>0</v>
      </c>
    </row>
    <row r="1480" spans="6:6">
      <c r="F1480" s="538">
        <v>0</v>
      </c>
    </row>
    <row r="1481" spans="6:6">
      <c r="F1481" s="538">
        <v>0</v>
      </c>
    </row>
    <row r="1482" spans="6:6">
      <c r="F1482" s="538">
        <v>0</v>
      </c>
    </row>
    <row r="1483" spans="6:6">
      <c r="F1483" s="538">
        <v>0</v>
      </c>
    </row>
    <row r="1484" spans="6:6">
      <c r="F1484" s="538">
        <v>0</v>
      </c>
    </row>
    <row r="1485" spans="6:6">
      <c r="F1485" s="538">
        <v>0</v>
      </c>
    </row>
    <row r="1486" spans="6:6">
      <c r="F1486" s="538">
        <v>0</v>
      </c>
    </row>
    <row r="1487" spans="6:6">
      <c r="F1487" s="538">
        <v>0</v>
      </c>
    </row>
    <row r="1488" spans="6:6">
      <c r="F1488" s="538">
        <v>0</v>
      </c>
    </row>
    <row r="1489" spans="6:6">
      <c r="F1489" s="538">
        <v>0</v>
      </c>
    </row>
    <row r="1490" spans="6:6">
      <c r="F1490" s="538">
        <v>0</v>
      </c>
    </row>
    <row r="1491" spans="6:6">
      <c r="F1491" s="538">
        <v>0</v>
      </c>
    </row>
    <row r="1492" spans="6:6">
      <c r="F1492" s="538">
        <v>0</v>
      </c>
    </row>
    <row r="1493" spans="6:6">
      <c r="F1493" s="538">
        <v>0</v>
      </c>
    </row>
    <row r="1494" spans="6:6">
      <c r="F1494" s="538">
        <v>0</v>
      </c>
    </row>
    <row r="1495" spans="6:6">
      <c r="F1495" s="538">
        <v>0</v>
      </c>
    </row>
    <row r="1496" spans="6:6">
      <c r="F1496" s="538">
        <v>0</v>
      </c>
    </row>
    <row r="1497" spans="6:6">
      <c r="F1497" s="538">
        <v>0</v>
      </c>
    </row>
    <row r="1498" spans="6:6">
      <c r="F1498" s="538">
        <v>0</v>
      </c>
    </row>
    <row r="1499" spans="6:6">
      <c r="F1499" s="538">
        <v>0</v>
      </c>
    </row>
    <row r="1500" spans="6:6">
      <c r="F1500" s="538">
        <v>0</v>
      </c>
    </row>
    <row r="1501" spans="6:6">
      <c r="F1501" s="538">
        <v>0</v>
      </c>
    </row>
    <row r="1502" spans="6:6">
      <c r="F1502" s="538">
        <v>0</v>
      </c>
    </row>
    <row r="1503" spans="6:6">
      <c r="F1503" s="538">
        <v>0</v>
      </c>
    </row>
    <row r="1504" spans="6:6">
      <c r="F1504" s="538">
        <v>0</v>
      </c>
    </row>
    <row r="1505" spans="6:6">
      <c r="F1505" s="538">
        <v>0</v>
      </c>
    </row>
    <row r="1506" spans="6:6">
      <c r="F1506" s="538">
        <v>0</v>
      </c>
    </row>
    <row r="1507" spans="6:6">
      <c r="F1507" s="538">
        <v>0</v>
      </c>
    </row>
    <row r="1508" spans="6:6">
      <c r="F1508" s="538">
        <v>0</v>
      </c>
    </row>
    <row r="1509" spans="6:6">
      <c r="F1509" s="538">
        <v>0</v>
      </c>
    </row>
    <row r="1510" spans="6:6">
      <c r="F1510" s="538">
        <v>0</v>
      </c>
    </row>
    <row r="1511" spans="6:6">
      <c r="F1511" s="538">
        <v>0</v>
      </c>
    </row>
    <row r="1512" spans="6:6">
      <c r="F1512" s="538">
        <v>0</v>
      </c>
    </row>
    <row r="1513" spans="6:6">
      <c r="F1513" s="538">
        <v>0</v>
      </c>
    </row>
    <row r="1514" spans="6:6">
      <c r="F1514" s="538">
        <v>0</v>
      </c>
    </row>
    <row r="1515" spans="6:6">
      <c r="F1515" s="538">
        <v>0</v>
      </c>
    </row>
    <row r="1516" spans="6:6">
      <c r="F1516" s="538">
        <v>0</v>
      </c>
    </row>
    <row r="1517" spans="6:6">
      <c r="F1517" s="538">
        <v>0</v>
      </c>
    </row>
    <row r="1518" spans="6:6">
      <c r="F1518" s="538">
        <v>0</v>
      </c>
    </row>
    <row r="1519" spans="6:6">
      <c r="F1519" s="538">
        <v>0</v>
      </c>
    </row>
    <row r="1520" spans="6:6">
      <c r="F1520" s="538">
        <v>0</v>
      </c>
    </row>
    <row r="1521" spans="6:6">
      <c r="F1521" s="538">
        <v>0</v>
      </c>
    </row>
    <row r="1522" spans="6:6">
      <c r="F1522" s="538">
        <v>0</v>
      </c>
    </row>
    <row r="1523" spans="6:6">
      <c r="F1523" s="538">
        <v>0</v>
      </c>
    </row>
    <row r="1524" spans="6:6">
      <c r="F1524" s="538">
        <v>0</v>
      </c>
    </row>
    <row r="1525" spans="6:6">
      <c r="F1525" s="538">
        <v>0</v>
      </c>
    </row>
    <row r="1526" spans="6:6">
      <c r="F1526" s="538">
        <v>0</v>
      </c>
    </row>
    <row r="1527" spans="6:6">
      <c r="F1527" s="538">
        <v>0</v>
      </c>
    </row>
    <row r="1528" spans="6:6">
      <c r="F1528" s="538">
        <v>0</v>
      </c>
    </row>
    <row r="1529" spans="6:6">
      <c r="F1529" s="538">
        <v>0</v>
      </c>
    </row>
    <row r="1530" spans="6:6">
      <c r="F1530" s="538">
        <v>0</v>
      </c>
    </row>
    <row r="1531" spans="6:6">
      <c r="F1531" s="538">
        <v>0</v>
      </c>
    </row>
    <row r="1532" spans="6:6">
      <c r="F1532" s="538">
        <v>0</v>
      </c>
    </row>
    <row r="1533" spans="6:6">
      <c r="F1533" s="538">
        <v>0</v>
      </c>
    </row>
    <row r="1534" spans="6:6">
      <c r="F1534" s="538">
        <v>0</v>
      </c>
    </row>
    <row r="1535" spans="6:6">
      <c r="F1535" s="538">
        <v>0</v>
      </c>
    </row>
    <row r="1536" spans="6:6">
      <c r="F1536" s="538">
        <v>0</v>
      </c>
    </row>
    <row r="1537" spans="6:6">
      <c r="F1537" s="538">
        <v>0</v>
      </c>
    </row>
    <row r="1538" spans="6:6">
      <c r="F1538" s="538">
        <v>0</v>
      </c>
    </row>
    <row r="1539" spans="6:6">
      <c r="F1539" s="538">
        <v>0</v>
      </c>
    </row>
    <row r="1540" spans="6:6">
      <c r="F1540" s="538">
        <v>0</v>
      </c>
    </row>
    <row r="1541" spans="6:6">
      <c r="F1541" s="538">
        <v>0</v>
      </c>
    </row>
    <row r="1542" spans="6:6">
      <c r="F1542" s="538">
        <v>0</v>
      </c>
    </row>
    <row r="1543" spans="6:6">
      <c r="F1543" s="538">
        <v>0</v>
      </c>
    </row>
    <row r="1544" spans="6:6">
      <c r="F1544" s="538">
        <v>0</v>
      </c>
    </row>
    <row r="1545" spans="6:6">
      <c r="F1545" s="538">
        <v>0</v>
      </c>
    </row>
    <row r="1546" spans="6:6">
      <c r="F1546" s="538">
        <v>0</v>
      </c>
    </row>
    <row r="1547" spans="6:6">
      <c r="F1547" s="538">
        <v>0</v>
      </c>
    </row>
    <row r="1548" spans="6:6">
      <c r="F1548" s="538">
        <v>0</v>
      </c>
    </row>
    <row r="1549" spans="6:6">
      <c r="F1549" s="538">
        <v>0</v>
      </c>
    </row>
    <row r="1550" spans="6:6">
      <c r="F1550" s="538">
        <v>0</v>
      </c>
    </row>
    <row r="1551" spans="6:6">
      <c r="F1551" s="538">
        <v>0</v>
      </c>
    </row>
    <row r="1552" spans="6:6">
      <c r="F1552" s="538">
        <v>0</v>
      </c>
    </row>
    <row r="1553" spans="6:6">
      <c r="F1553" s="538">
        <v>0</v>
      </c>
    </row>
    <row r="1554" spans="6:6">
      <c r="F1554" s="538">
        <v>0</v>
      </c>
    </row>
    <row r="1555" spans="6:6">
      <c r="F1555" s="538">
        <v>0</v>
      </c>
    </row>
    <row r="1556" spans="6:6">
      <c r="F1556" s="538">
        <v>0</v>
      </c>
    </row>
    <row r="1557" spans="6:6">
      <c r="F1557" s="538">
        <v>0</v>
      </c>
    </row>
    <row r="1558" spans="6:6">
      <c r="F1558" s="538">
        <v>0</v>
      </c>
    </row>
    <row r="1559" spans="6:6">
      <c r="F1559" s="538">
        <v>0</v>
      </c>
    </row>
    <row r="1560" spans="6:6">
      <c r="F1560" s="538">
        <v>0</v>
      </c>
    </row>
    <row r="1561" spans="6:6">
      <c r="F1561" s="538">
        <v>0</v>
      </c>
    </row>
    <row r="1562" spans="6:6">
      <c r="F1562" s="538">
        <v>0</v>
      </c>
    </row>
    <row r="1563" spans="6:6">
      <c r="F1563" s="538">
        <v>0</v>
      </c>
    </row>
    <row r="1564" spans="6:6">
      <c r="F1564" s="538">
        <v>0</v>
      </c>
    </row>
    <row r="1565" spans="6:6">
      <c r="F1565" s="538">
        <v>0</v>
      </c>
    </row>
    <row r="1566" spans="6:6">
      <c r="F1566" s="538">
        <v>0</v>
      </c>
    </row>
    <row r="1567" spans="6:6">
      <c r="F1567" s="538">
        <v>0</v>
      </c>
    </row>
    <row r="1568" spans="6:6">
      <c r="F1568" s="538">
        <v>0</v>
      </c>
    </row>
    <row r="1569" spans="6:6">
      <c r="F1569" s="538">
        <v>0</v>
      </c>
    </row>
    <row r="1570" spans="6:6">
      <c r="F1570" s="538">
        <v>0</v>
      </c>
    </row>
    <row r="1571" spans="6:6">
      <c r="F1571" s="538">
        <v>0</v>
      </c>
    </row>
    <row r="1572" spans="6:6">
      <c r="F1572" s="538">
        <v>0</v>
      </c>
    </row>
    <row r="1573" spans="6:6">
      <c r="F1573" s="538">
        <v>0</v>
      </c>
    </row>
    <row r="1574" spans="6:6">
      <c r="F1574" s="538">
        <v>0</v>
      </c>
    </row>
    <row r="1575" spans="6:6">
      <c r="F1575" s="538">
        <v>0</v>
      </c>
    </row>
    <row r="1576" spans="6:6">
      <c r="F1576" s="538">
        <v>0</v>
      </c>
    </row>
    <row r="1577" spans="6:6">
      <c r="F1577" s="538">
        <v>0</v>
      </c>
    </row>
    <row r="1578" spans="6:6">
      <c r="F1578" s="538">
        <v>0</v>
      </c>
    </row>
    <row r="1579" spans="6:6">
      <c r="F1579" s="538">
        <v>0</v>
      </c>
    </row>
    <row r="1580" spans="6:6">
      <c r="F1580" s="538">
        <v>0</v>
      </c>
    </row>
    <row r="1581" spans="6:6">
      <c r="F1581" s="538">
        <v>0</v>
      </c>
    </row>
    <row r="1582" spans="6:6">
      <c r="F1582" s="538">
        <v>0</v>
      </c>
    </row>
    <row r="1583" spans="6:6">
      <c r="F1583" s="538">
        <v>0</v>
      </c>
    </row>
    <row r="1584" spans="6:6">
      <c r="F1584" s="538">
        <v>0</v>
      </c>
    </row>
    <row r="1585" spans="6:6">
      <c r="F1585" s="538">
        <v>0</v>
      </c>
    </row>
    <row r="1586" spans="6:6">
      <c r="F1586" s="538">
        <v>0</v>
      </c>
    </row>
    <row r="1587" spans="6:6">
      <c r="F1587" s="538">
        <v>0</v>
      </c>
    </row>
    <row r="1588" spans="6:6">
      <c r="F1588" s="538">
        <v>0</v>
      </c>
    </row>
    <row r="1589" spans="6:6">
      <c r="F1589" s="538">
        <v>0</v>
      </c>
    </row>
    <row r="1590" spans="6:6">
      <c r="F1590" s="538">
        <v>0</v>
      </c>
    </row>
    <row r="1591" spans="6:6">
      <c r="F1591" s="538">
        <v>0</v>
      </c>
    </row>
    <row r="1592" spans="6:6">
      <c r="F1592" s="538">
        <v>0</v>
      </c>
    </row>
    <row r="1593" spans="6:6">
      <c r="F1593" s="538">
        <v>0</v>
      </c>
    </row>
    <row r="1594" spans="6:6">
      <c r="F1594" s="538">
        <v>0</v>
      </c>
    </row>
    <row r="1595" spans="6:6">
      <c r="F1595" s="538">
        <v>0</v>
      </c>
    </row>
    <row r="1596" spans="6:6">
      <c r="F1596" s="538">
        <v>0</v>
      </c>
    </row>
    <row r="1597" spans="6:6">
      <c r="F1597" s="538">
        <v>0</v>
      </c>
    </row>
    <row r="1598" spans="6:6">
      <c r="F1598" s="538">
        <v>0</v>
      </c>
    </row>
    <row r="1599" spans="6:6">
      <c r="F1599" s="538">
        <v>0</v>
      </c>
    </row>
    <row r="1600" spans="6:6">
      <c r="F1600" s="538">
        <v>0</v>
      </c>
    </row>
    <row r="1601" spans="6:6">
      <c r="F1601" s="538">
        <v>0</v>
      </c>
    </row>
    <row r="1602" spans="6:6">
      <c r="F1602" s="538">
        <v>0</v>
      </c>
    </row>
    <row r="1603" spans="6:6">
      <c r="F1603" s="538">
        <v>0</v>
      </c>
    </row>
    <row r="1604" spans="6:6">
      <c r="F1604" s="538">
        <v>0</v>
      </c>
    </row>
    <row r="1605" spans="6:6">
      <c r="F1605" s="538">
        <v>0</v>
      </c>
    </row>
    <row r="1606" spans="6:6">
      <c r="F1606" s="538">
        <v>0</v>
      </c>
    </row>
    <row r="1607" spans="6:6">
      <c r="F1607" s="538">
        <v>0</v>
      </c>
    </row>
    <row r="1608" spans="6:6">
      <c r="F1608" s="538">
        <v>0</v>
      </c>
    </row>
    <row r="1609" spans="6:6">
      <c r="F1609" s="538">
        <v>0</v>
      </c>
    </row>
    <row r="1610" spans="6:6">
      <c r="F1610" s="538">
        <v>0</v>
      </c>
    </row>
    <row r="1611" spans="6:6">
      <c r="F1611" s="538">
        <v>0</v>
      </c>
    </row>
    <row r="1612" spans="6:6">
      <c r="F1612" s="538">
        <v>0</v>
      </c>
    </row>
    <row r="1613" spans="6:6">
      <c r="F1613" s="538">
        <v>0</v>
      </c>
    </row>
    <row r="1614" spans="6:6">
      <c r="F1614" s="538">
        <v>0</v>
      </c>
    </row>
    <row r="1615" spans="6:6">
      <c r="F1615" s="538">
        <v>0</v>
      </c>
    </row>
    <row r="1616" spans="6:6">
      <c r="F1616" s="538">
        <v>0</v>
      </c>
    </row>
    <row r="1617" spans="6:6">
      <c r="F1617" s="538">
        <v>0</v>
      </c>
    </row>
    <row r="1618" spans="6:6">
      <c r="F1618" s="538">
        <v>0</v>
      </c>
    </row>
    <row r="1619" spans="6:6">
      <c r="F1619" s="538">
        <v>0</v>
      </c>
    </row>
    <row r="1620" spans="6:6">
      <c r="F1620" s="538">
        <v>0</v>
      </c>
    </row>
    <row r="1621" spans="6:6">
      <c r="F1621" s="538">
        <v>0</v>
      </c>
    </row>
    <row r="1622" spans="6:6">
      <c r="F1622" s="538">
        <v>0</v>
      </c>
    </row>
    <row r="1623" spans="6:6">
      <c r="F1623" s="538">
        <v>0</v>
      </c>
    </row>
    <row r="1624" spans="6:6">
      <c r="F1624" s="538">
        <v>0</v>
      </c>
    </row>
    <row r="1625" spans="6:6">
      <c r="F1625" s="538">
        <v>0</v>
      </c>
    </row>
    <row r="1626" spans="6:6">
      <c r="F1626" s="538">
        <v>0</v>
      </c>
    </row>
    <row r="1627" spans="6:6">
      <c r="F1627" s="538">
        <v>0</v>
      </c>
    </row>
    <row r="1628" spans="6:6">
      <c r="F1628" s="538">
        <v>0</v>
      </c>
    </row>
    <row r="1629" spans="6:6">
      <c r="F1629" s="538">
        <v>0</v>
      </c>
    </row>
    <row r="1630" spans="6:6">
      <c r="F1630" s="538">
        <v>0</v>
      </c>
    </row>
    <row r="1631" spans="6:6">
      <c r="F1631" s="538">
        <v>0</v>
      </c>
    </row>
    <row r="1632" spans="6:6">
      <c r="F1632" s="538">
        <v>0</v>
      </c>
    </row>
    <row r="1633" spans="6:6">
      <c r="F1633" s="538">
        <v>0</v>
      </c>
    </row>
    <row r="1634" spans="6:6">
      <c r="F1634" s="538">
        <v>0</v>
      </c>
    </row>
    <row r="1635" spans="6:6">
      <c r="F1635" s="538">
        <v>0</v>
      </c>
    </row>
    <row r="1636" spans="6:6">
      <c r="F1636" s="538">
        <v>0</v>
      </c>
    </row>
    <row r="1637" spans="6:6">
      <c r="F1637" s="538">
        <v>0</v>
      </c>
    </row>
    <row r="1638" spans="6:6">
      <c r="F1638" s="538">
        <v>0</v>
      </c>
    </row>
    <row r="1639" spans="6:6">
      <c r="F1639" s="538">
        <v>0</v>
      </c>
    </row>
    <row r="1640" spans="6:6">
      <c r="F1640" s="538">
        <v>0</v>
      </c>
    </row>
    <row r="1641" spans="6:6">
      <c r="F1641" s="538">
        <v>0</v>
      </c>
    </row>
    <row r="1642" spans="6:6">
      <c r="F1642" s="538">
        <v>0</v>
      </c>
    </row>
    <row r="1643" spans="6:6">
      <c r="F1643" s="538">
        <v>0</v>
      </c>
    </row>
    <row r="1644" spans="6:6">
      <c r="F1644" s="538">
        <v>0</v>
      </c>
    </row>
    <row r="1645" spans="6:6">
      <c r="F1645" s="538">
        <v>0</v>
      </c>
    </row>
    <row r="1646" spans="6:6">
      <c r="F1646" s="538">
        <v>0</v>
      </c>
    </row>
    <row r="1647" spans="6:6">
      <c r="F1647" s="538">
        <v>0</v>
      </c>
    </row>
    <row r="1648" spans="6:6">
      <c r="F1648" s="538">
        <v>0</v>
      </c>
    </row>
    <row r="1649" spans="6:6">
      <c r="F1649" s="538">
        <v>0</v>
      </c>
    </row>
    <row r="1650" spans="6:6">
      <c r="F1650" s="538">
        <v>0</v>
      </c>
    </row>
    <row r="1651" spans="6:6">
      <c r="F1651" s="538">
        <v>0</v>
      </c>
    </row>
    <row r="1652" spans="6:6">
      <c r="F1652" s="538">
        <v>0</v>
      </c>
    </row>
    <row r="1653" spans="6:6">
      <c r="F1653" s="538">
        <v>0</v>
      </c>
    </row>
    <row r="1654" spans="6:6">
      <c r="F1654" s="538">
        <v>0</v>
      </c>
    </row>
    <row r="1655" spans="6:6">
      <c r="F1655" s="538">
        <v>0</v>
      </c>
    </row>
    <row r="1656" spans="6:6">
      <c r="F1656" s="538">
        <v>0</v>
      </c>
    </row>
    <row r="1657" spans="6:6">
      <c r="F1657" s="538">
        <v>0</v>
      </c>
    </row>
    <row r="1658" spans="6:6">
      <c r="F1658" s="538">
        <v>0</v>
      </c>
    </row>
    <row r="1659" spans="6:6">
      <c r="F1659" s="538">
        <v>0</v>
      </c>
    </row>
    <row r="1660" spans="6:6">
      <c r="F1660" s="538">
        <v>0</v>
      </c>
    </row>
    <row r="1661" spans="6:6">
      <c r="F1661" s="538">
        <v>0</v>
      </c>
    </row>
    <row r="1662" spans="6:6">
      <c r="F1662" s="538">
        <v>0</v>
      </c>
    </row>
    <row r="1663" spans="6:6">
      <c r="F1663" s="538">
        <v>0</v>
      </c>
    </row>
    <row r="1664" spans="6:6">
      <c r="F1664" s="538">
        <v>0</v>
      </c>
    </row>
    <row r="1665" spans="6:6">
      <c r="F1665" s="538">
        <v>0</v>
      </c>
    </row>
    <row r="1666" spans="6:6">
      <c r="F1666" s="538">
        <v>0</v>
      </c>
    </row>
    <row r="1667" spans="6:6">
      <c r="F1667" s="538">
        <v>0</v>
      </c>
    </row>
    <row r="1668" spans="6:6">
      <c r="F1668" s="538">
        <v>0</v>
      </c>
    </row>
    <row r="1669" spans="6:6">
      <c r="F1669" s="538">
        <v>0</v>
      </c>
    </row>
    <row r="1670" spans="6:6">
      <c r="F1670" s="538">
        <v>0</v>
      </c>
    </row>
    <row r="1671" spans="6:6">
      <c r="F1671" s="538">
        <v>0</v>
      </c>
    </row>
    <row r="1672" spans="6:6">
      <c r="F1672" s="538">
        <v>0</v>
      </c>
    </row>
    <row r="1673" spans="6:6">
      <c r="F1673" s="538">
        <v>0</v>
      </c>
    </row>
    <row r="1674" spans="6:6">
      <c r="F1674" s="538">
        <v>0</v>
      </c>
    </row>
    <row r="1675" spans="6:6">
      <c r="F1675" s="538">
        <v>0</v>
      </c>
    </row>
    <row r="1676" spans="6:6">
      <c r="F1676" s="538">
        <v>0</v>
      </c>
    </row>
    <row r="1677" spans="6:6">
      <c r="F1677" s="538">
        <v>0</v>
      </c>
    </row>
    <row r="1678" spans="6:6">
      <c r="F1678" s="538">
        <v>0</v>
      </c>
    </row>
    <row r="1679" spans="6:6">
      <c r="F1679" s="538">
        <v>0</v>
      </c>
    </row>
    <row r="1680" spans="6:6">
      <c r="F1680" s="538">
        <v>0</v>
      </c>
    </row>
    <row r="1681" spans="6:6">
      <c r="F1681" s="538">
        <v>0</v>
      </c>
    </row>
    <row r="1682" spans="6:6">
      <c r="F1682" s="538">
        <v>0</v>
      </c>
    </row>
    <row r="1683" spans="6:6">
      <c r="F1683" s="538">
        <v>0</v>
      </c>
    </row>
    <row r="1684" spans="6:6">
      <c r="F1684" s="538">
        <v>0</v>
      </c>
    </row>
    <row r="1685" spans="6:6">
      <c r="F1685" s="538">
        <v>0</v>
      </c>
    </row>
    <row r="1686" spans="6:6">
      <c r="F1686" s="538">
        <v>0</v>
      </c>
    </row>
    <row r="1687" spans="6:6">
      <c r="F1687" s="538">
        <v>0</v>
      </c>
    </row>
    <row r="1688" spans="6:6">
      <c r="F1688" s="538">
        <v>0</v>
      </c>
    </row>
    <row r="1689" spans="6:6">
      <c r="F1689" s="538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84" zoomScale="55" zoomScaleNormal="60" zoomScaleSheetLayoutView="55" zoomScalePageLayoutView="20" workbookViewId="0">
      <selection activeCell="F88" sqref="F8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1372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23" t="s">
        <v>215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5" s="281" customFormat="1" ht="27">
      <c r="A2" s="576" t="s">
        <v>279</v>
      </c>
      <c r="B2" s="1038">
        <v>44276</v>
      </c>
      <c r="C2" s="1150" t="s">
        <v>69</v>
      </c>
      <c r="D2" s="612">
        <v>0.48</v>
      </c>
      <c r="E2" s="461"/>
      <c r="F2" s="461"/>
      <c r="G2" s="1342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150" t="s">
        <v>120</v>
      </c>
      <c r="D3" s="613">
        <v>28</v>
      </c>
      <c r="E3" s="1432" t="s">
        <v>121</v>
      </c>
      <c r="F3" s="1433"/>
      <c r="G3" s="1343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</row>
    <row r="4" spans="1:15" s="281" customFormat="1" ht="27">
      <c r="A4" s="577"/>
      <c r="B4" s="617"/>
      <c r="C4" s="1150" t="s">
        <v>122</v>
      </c>
      <c r="D4" s="612">
        <v>0.75</v>
      </c>
      <c r="E4" s="464"/>
      <c r="F4" s="464"/>
      <c r="G4" s="1343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4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26" t="s">
        <v>130</v>
      </c>
      <c r="B6" s="1427"/>
      <c r="C6" s="1428"/>
      <c r="D6" s="471"/>
      <c r="E6" s="471"/>
      <c r="F6" s="471"/>
      <c r="G6" s="1345"/>
      <c r="H6" s="472"/>
      <c r="I6" s="472"/>
      <c r="J6" s="552"/>
      <c r="K6" s="427"/>
      <c r="L6" s="377"/>
    </row>
    <row r="7" spans="1:15" ht="30" thickBot="1">
      <c r="A7" s="579" t="s">
        <v>131</v>
      </c>
      <c r="B7" s="580"/>
      <c r="C7" s="580"/>
      <c r="D7" s="523" t="s">
        <v>132</v>
      </c>
      <c r="E7" s="455">
        <f>'20'!F7</f>
        <v>4871292</v>
      </c>
      <c r="F7" s="455">
        <v>4892810</v>
      </c>
      <c r="G7" s="1346">
        <f>F7-E7</f>
        <v>21518</v>
      </c>
      <c r="H7" s="460">
        <f>G7+'20'!H7</f>
        <v>447733</v>
      </c>
      <c r="I7" s="474">
        <f>'1'!I7</f>
        <v>12000</v>
      </c>
      <c r="J7" s="553">
        <f>H7/DAY(B2)</f>
        <v>21320.619047619046</v>
      </c>
      <c r="K7" s="550">
        <v>12199</v>
      </c>
      <c r="L7" s="377">
        <f>G7-K7</f>
        <v>9319</v>
      </c>
      <c r="N7" s="382"/>
      <c r="O7" s="382"/>
    </row>
    <row r="8" spans="1:15" ht="27.75" thickBot="1">
      <c r="A8" s="581" t="s">
        <v>133</v>
      </c>
      <c r="B8" s="582"/>
      <c r="C8" s="583"/>
      <c r="D8" s="618" t="s">
        <v>25</v>
      </c>
      <c r="E8" s="475">
        <f>'20'!F8</f>
        <v>4901625</v>
      </c>
      <c r="F8" s="475">
        <v>4923235</v>
      </c>
      <c r="G8" s="1347">
        <f>F8-E8</f>
        <v>21610</v>
      </c>
      <c r="H8" s="460">
        <f>G8+'20'!H8</f>
        <v>450079</v>
      </c>
      <c r="I8" s="477">
        <f>'1'!I8</f>
        <v>12000</v>
      </c>
      <c r="J8" s="553">
        <f>H8/DAY(B2)</f>
        <v>21432.333333333332</v>
      </c>
      <c r="K8" s="550">
        <v>12262</v>
      </c>
      <c r="L8" s="425">
        <f>G8-K8</f>
        <v>9348</v>
      </c>
      <c r="M8" s="440"/>
      <c r="N8" s="382"/>
      <c r="O8" s="382"/>
    </row>
    <row r="9" spans="1:15">
      <c r="A9" s="584" t="s">
        <v>134</v>
      </c>
      <c r="B9" s="585"/>
      <c r="C9" s="585"/>
      <c r="D9" s="523" t="s">
        <v>132</v>
      </c>
      <c r="E9" s="478">
        <f>'20'!F9</f>
        <v>160986</v>
      </c>
      <c r="F9" s="478">
        <v>181842.27</v>
      </c>
      <c r="G9" s="1346">
        <f t="shared" ref="G9:G12" si="0">F9-E9</f>
        <v>20856.26999999999</v>
      </c>
      <c r="H9" s="460">
        <f>G9+'20'!H9</f>
        <v>94933.26</v>
      </c>
      <c r="I9" s="479">
        <f>I8-J8</f>
        <v>-9432.3333333333321</v>
      </c>
      <c r="J9" s="553">
        <f>H9/DAY(B2)</f>
        <v>4520.6314285714279</v>
      </c>
      <c r="K9" s="428"/>
      <c r="L9" s="377"/>
      <c r="N9" s="382"/>
      <c r="O9" s="382"/>
    </row>
    <row r="10" spans="1:15">
      <c r="A10" s="579" t="s">
        <v>135</v>
      </c>
      <c r="B10" s="580"/>
      <c r="C10" s="580"/>
      <c r="D10" s="523" t="s">
        <v>132</v>
      </c>
      <c r="E10" s="478">
        <f>'20'!F10</f>
        <v>2324.48</v>
      </c>
      <c r="F10" s="478">
        <v>2324.48</v>
      </c>
      <c r="G10" s="1346">
        <f t="shared" si="0"/>
        <v>0</v>
      </c>
      <c r="H10" s="460">
        <f>G10+'20'!H10</f>
        <v>335060.96999999997</v>
      </c>
      <c r="I10" s="480"/>
      <c r="J10" s="553">
        <f>H10/DAY(B2)</f>
        <v>15955.284285714284</v>
      </c>
      <c r="K10" s="428"/>
      <c r="L10" s="377"/>
      <c r="N10" s="382"/>
      <c r="O10" s="382"/>
    </row>
    <row r="11" spans="1:15">
      <c r="A11" s="579" t="s">
        <v>136</v>
      </c>
      <c r="B11" s="580"/>
      <c r="C11" s="580"/>
      <c r="D11" s="523" t="s">
        <v>132</v>
      </c>
      <c r="E11" s="455">
        <f>'20'!F11</f>
        <v>37000</v>
      </c>
      <c r="F11" s="455">
        <v>37000</v>
      </c>
      <c r="G11" s="1346">
        <f t="shared" si="0"/>
        <v>0</v>
      </c>
      <c r="H11" s="460">
        <f>G11+'20'!H11</f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>
      <c r="A12" s="579" t="s">
        <v>137</v>
      </c>
      <c r="B12" s="580"/>
      <c r="C12" s="580"/>
      <c r="D12" s="523" t="s">
        <v>132</v>
      </c>
      <c r="E12" s="478">
        <f>'20'!F12</f>
        <v>40010</v>
      </c>
      <c r="F12" s="478">
        <v>40010</v>
      </c>
      <c r="G12" s="1346">
        <f t="shared" si="0"/>
        <v>0</v>
      </c>
      <c r="H12" s="460">
        <f>G12+'20'!H12</f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>
      <c r="A13" s="586" t="s">
        <v>138</v>
      </c>
      <c r="B13" s="587"/>
      <c r="C13" s="587"/>
      <c r="D13" s="523"/>
      <c r="E13" s="455"/>
      <c r="F13" s="455"/>
      <c r="G13" s="1348">
        <f>G9+G10+G11+G12</f>
        <v>20856.26999999999</v>
      </c>
      <c r="H13" s="460">
        <f>G13+'20'!H13</f>
        <v>409000.23</v>
      </c>
      <c r="I13" s="482">
        <f>G7-G13</f>
        <v>661.73000000001048</v>
      </c>
      <c r="J13" s="553">
        <f>H13/DAY(B2)</f>
        <v>19476.201428571429</v>
      </c>
      <c r="K13" s="428"/>
      <c r="L13" s="377"/>
      <c r="N13" s="382"/>
      <c r="O13" s="382"/>
    </row>
    <row r="14" spans="1:15">
      <c r="A14" s="1429" t="s">
        <v>139</v>
      </c>
      <c r="B14" s="1430"/>
      <c r="C14" s="1431"/>
      <c r="D14" s="472"/>
      <c r="E14" s="472"/>
      <c r="F14" s="472"/>
      <c r="G14" s="1349"/>
      <c r="H14" s="472"/>
      <c r="I14" s="472"/>
      <c r="J14" s="552"/>
      <c r="K14" s="429"/>
      <c r="L14" s="377"/>
      <c r="N14" s="382"/>
      <c r="O14" s="382"/>
    </row>
    <row r="15" spans="1:15">
      <c r="A15" s="1148" t="s">
        <v>140</v>
      </c>
      <c r="B15" s="590"/>
      <c r="C15" s="590"/>
      <c r="D15" s="523" t="s">
        <v>141</v>
      </c>
      <c r="E15" s="484">
        <f>'20'!F15</f>
        <v>1637039</v>
      </c>
      <c r="F15" s="484">
        <v>1638018.97</v>
      </c>
      <c r="G15" s="1350">
        <f>(F15-E15)</f>
        <v>979.96999999997206</v>
      </c>
      <c r="H15" s="460">
        <f>G15+'20'!H15</f>
        <v>18140.35999999987</v>
      </c>
      <c r="I15" s="474">
        <v>800</v>
      </c>
      <c r="J15" s="553">
        <f>H15/DAY(B2)</f>
        <v>863.82666666666046</v>
      </c>
      <c r="K15" s="428"/>
      <c r="L15" s="377"/>
      <c r="N15" s="382"/>
      <c r="O15" s="726"/>
    </row>
    <row r="16" spans="1:15">
      <c r="A16" s="588"/>
      <c r="B16" s="589"/>
      <c r="C16" s="589"/>
      <c r="D16" s="524"/>
      <c r="E16" s="485"/>
      <c r="F16" s="485"/>
      <c r="G16" s="1346"/>
      <c r="H16" s="486"/>
      <c r="I16" s="487">
        <f>I15-J15</f>
        <v>-63.826666666660458</v>
      </c>
      <c r="J16" s="554"/>
      <c r="K16" s="428"/>
      <c r="L16" s="377"/>
      <c r="N16" s="382"/>
      <c r="O16" s="382"/>
    </row>
    <row r="17" spans="1:15">
      <c r="A17" s="1429" t="s">
        <v>142</v>
      </c>
      <c r="B17" s="1430"/>
      <c r="C17" s="1431"/>
      <c r="D17" s="472"/>
      <c r="E17" s="472"/>
      <c r="F17" s="472"/>
      <c r="G17" s="1349"/>
      <c r="H17" s="472"/>
      <c r="I17" s="472"/>
      <c r="J17" s="552"/>
      <c r="K17" s="428"/>
      <c r="L17" s="377"/>
      <c r="N17" s="382"/>
      <c r="O17" s="382"/>
    </row>
    <row r="18" spans="1:15" ht="27.75">
      <c r="A18" s="1411" t="s">
        <v>143</v>
      </c>
      <c r="B18" s="1412"/>
      <c r="C18" s="1413"/>
      <c r="D18" s="523" t="s">
        <v>144</v>
      </c>
      <c r="E18" s="484">
        <f>'20'!F18</f>
        <v>10</v>
      </c>
      <c r="F18" s="484">
        <v>15</v>
      </c>
      <c r="G18" s="1348">
        <f>F18*10</f>
        <v>150</v>
      </c>
      <c r="H18" s="460">
        <f>G18+'20'!H18</f>
        <v>2790</v>
      </c>
      <c r="I18" s="474">
        <f>'1'!I18</f>
        <v>65</v>
      </c>
      <c r="J18" s="553">
        <f>H18/DAY(B2)</f>
        <v>132.85714285714286</v>
      </c>
      <c r="K18" s="428"/>
      <c r="L18" s="377"/>
      <c r="N18" s="382"/>
      <c r="O18" s="382"/>
    </row>
    <row r="19" spans="1:15" ht="27.75">
      <c r="A19" s="1411" t="s">
        <v>71</v>
      </c>
      <c r="B19" s="1412"/>
      <c r="C19" s="1413"/>
      <c r="D19" s="523" t="s">
        <v>144</v>
      </c>
      <c r="E19" s="484">
        <f>'20'!F19</f>
        <v>135510</v>
      </c>
      <c r="F19" s="484">
        <v>135563</v>
      </c>
      <c r="G19" s="1346">
        <f t="shared" ref="G19" si="1">F19-E19</f>
        <v>53</v>
      </c>
      <c r="H19" s="460">
        <f>G19+'20'!H19</f>
        <v>1095</v>
      </c>
      <c r="I19" s="489"/>
      <c r="J19" s="553">
        <f>H19/DAY(B2)</f>
        <v>52.142857142857146</v>
      </c>
      <c r="K19" s="428"/>
      <c r="L19" s="377"/>
      <c r="N19" s="382"/>
      <c r="O19" s="382"/>
    </row>
    <row r="20" spans="1:15">
      <c r="A20" s="586" t="s">
        <v>145</v>
      </c>
      <c r="B20" s="587"/>
      <c r="C20" s="587"/>
      <c r="D20" s="490"/>
      <c r="E20" s="490"/>
      <c r="F20" s="490"/>
      <c r="G20" s="1351">
        <f>G18+G19</f>
        <v>203</v>
      </c>
      <c r="H20" s="460">
        <f>G20+'20'!H20</f>
        <v>3885</v>
      </c>
      <c r="I20" s="492">
        <f>I18-J20</f>
        <v>-120</v>
      </c>
      <c r="J20" s="553">
        <f>H20/DAY(B2)</f>
        <v>185</v>
      </c>
      <c r="K20" s="428"/>
      <c r="L20" s="377"/>
      <c r="N20" s="382"/>
      <c r="O20" s="382"/>
    </row>
    <row r="21" spans="1:15">
      <c r="A21" s="1429" t="s">
        <v>146</v>
      </c>
      <c r="B21" s="1430"/>
      <c r="C21" s="1431"/>
      <c r="D21" s="472"/>
      <c r="E21" s="472"/>
      <c r="F21" s="472"/>
      <c r="G21" s="1349"/>
      <c r="H21" s="472"/>
      <c r="I21" s="472"/>
      <c r="J21" s="552"/>
      <c r="K21" s="428"/>
      <c r="L21" s="377"/>
      <c r="N21" s="382"/>
      <c r="O21" s="382"/>
    </row>
    <row r="22" spans="1:15">
      <c r="A22" s="1148" t="s">
        <v>147</v>
      </c>
      <c r="B22" s="590"/>
      <c r="C22" s="590"/>
      <c r="D22" s="523" t="s">
        <v>148</v>
      </c>
      <c r="E22" s="484">
        <f>'20'!F22</f>
        <v>2250</v>
      </c>
      <c r="F22" s="484">
        <v>2250</v>
      </c>
      <c r="G22" s="1348">
        <f t="shared" ref="G22" si="2">(F22-E22)</f>
        <v>0</v>
      </c>
      <c r="H22" s="460">
        <f>G22+'20'!H22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>
      <c r="A23" s="1148" t="s">
        <v>149</v>
      </c>
      <c r="B23" s="590"/>
      <c r="C23" s="590"/>
      <c r="D23" s="523" t="s">
        <v>148</v>
      </c>
      <c r="E23" s="484">
        <f>'20'!F23</f>
        <v>2000</v>
      </c>
      <c r="F23" s="484">
        <v>2000</v>
      </c>
      <c r="G23" s="1348">
        <v>0</v>
      </c>
      <c r="H23" s="460">
        <f>G23+'20'!H23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>
      <c r="A24" s="591" t="s">
        <v>150</v>
      </c>
      <c r="B24" s="592"/>
      <c r="C24" s="592"/>
      <c r="D24" s="511" t="s">
        <v>148</v>
      </c>
      <c r="E24" s="493">
        <f>'20'!F24</f>
        <v>4250</v>
      </c>
      <c r="F24" s="493">
        <v>4250</v>
      </c>
      <c r="G24" s="1348">
        <v>0</v>
      </c>
      <c r="H24" s="460">
        <f>G24+'20'!H24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>
      <c r="A25" s="1434" t="s">
        <v>151</v>
      </c>
      <c r="B25" s="1435"/>
      <c r="C25" s="1436"/>
      <c r="D25" s="471"/>
      <c r="E25" s="471"/>
      <c r="F25" s="471"/>
      <c r="G25" s="1352"/>
      <c r="H25" s="495"/>
      <c r="I25" s="496"/>
      <c r="J25" s="555"/>
      <c r="K25" s="373"/>
      <c r="L25" s="443"/>
      <c r="N25" s="444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97"/>
      <c r="G26" s="1353"/>
      <c r="H26" s="460"/>
      <c r="I26" s="499"/>
      <c r="J26" s="553"/>
      <c r="K26" s="374"/>
      <c r="L26" s="443"/>
      <c r="N26" s="444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1">
        <f>G8</f>
        <v>21610</v>
      </c>
      <c r="F27" s="501">
        <v>9</v>
      </c>
      <c r="G27" s="1354">
        <f>E27*F27</f>
        <v>194490</v>
      </c>
      <c r="H27" s="460">
        <f>G27+'20'!H27</f>
        <v>4050711</v>
      </c>
      <c r="I27" s="503"/>
      <c r="J27" s="553">
        <f>H27/DAY(B2)</f>
        <v>192891</v>
      </c>
      <c r="K27" s="373"/>
      <c r="L27" s="443"/>
      <c r="N27" s="444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1">
        <f>G15</f>
        <v>979.96999999997206</v>
      </c>
      <c r="F28" s="501">
        <v>43.5</v>
      </c>
      <c r="G28" s="1354">
        <f t="shared" ref="G28:G30" si="3">E28*F28</f>
        <v>42628.694999998785</v>
      </c>
      <c r="H28" s="460">
        <f>G28+'20'!H28</f>
        <v>854695.33819999383</v>
      </c>
      <c r="I28" s="505"/>
      <c r="J28" s="553">
        <f>H28/DAY(B2)</f>
        <v>40699.778009523514</v>
      </c>
      <c r="K28" s="373"/>
      <c r="L28" s="443"/>
      <c r="N28" s="444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1354">
        <f t="shared" si="3"/>
        <v>0</v>
      </c>
      <c r="H29" s="460">
        <f>G29+'20'!H29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1">
        <f>G19</f>
        <v>53</v>
      </c>
      <c r="F30" s="501">
        <v>134</v>
      </c>
      <c r="G30" s="1354">
        <f t="shared" si="3"/>
        <v>7102</v>
      </c>
      <c r="H30" s="460">
        <f>G30+'20'!H30</f>
        <v>164418</v>
      </c>
      <c r="I30" s="505"/>
      <c r="J30" s="553">
        <f>H30/DAY(B2)</f>
        <v>7829.4285714285716</v>
      </c>
      <c r="K30" s="373"/>
      <c r="L30" s="443"/>
      <c r="N30" s="444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1">
        <f>G18</f>
        <v>150</v>
      </c>
      <c r="F31" s="501">
        <v>80</v>
      </c>
      <c r="G31" s="1354">
        <f>E31*F31</f>
        <v>12000</v>
      </c>
      <c r="H31" s="460">
        <f>G31+'20'!H31</f>
        <v>212640</v>
      </c>
      <c r="I31" s="505"/>
      <c r="J31" s="553">
        <f>H31/DAY(B2)</f>
        <v>10125.714285714286</v>
      </c>
      <c r="K31" s="373"/>
      <c r="L31" s="443"/>
      <c r="N31" s="444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07"/>
      <c r="G32" s="1355">
        <f>G27+G28+G29+G30+G31</f>
        <v>256220.69499999878</v>
      </c>
      <c r="H32" s="460">
        <f>G32+'20'!H32</f>
        <v>5282464.3381999936</v>
      </c>
      <c r="I32" s="509"/>
      <c r="J32" s="553">
        <f>H32/DAY(B2)</f>
        <v>251545.92086666636</v>
      </c>
      <c r="K32" s="373"/>
      <c r="L32" s="443"/>
      <c r="N32" s="444"/>
      <c r="O32" s="382"/>
    </row>
    <row r="33" spans="1:15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382"/>
      <c r="O33" s="382"/>
    </row>
    <row r="34" spans="1:15">
      <c r="A34" s="599" t="s">
        <v>163</v>
      </c>
      <c r="B34" s="1153"/>
      <c r="C34" s="1153"/>
      <c r="D34" s="472"/>
      <c r="E34" s="471"/>
      <c r="F34" s="471"/>
      <c r="G34" s="1356"/>
      <c r="H34" s="472"/>
      <c r="I34" s="472"/>
      <c r="J34" s="552"/>
      <c r="K34" s="428"/>
      <c r="L34" s="377"/>
      <c r="N34" s="382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'20'!F35</f>
        <v>761545.59</v>
      </c>
      <c r="F35" s="510">
        <v>764932.63</v>
      </c>
      <c r="G35" s="1346">
        <f t="shared" ref="G35:G46" si="4">F35-E35</f>
        <v>3387.0400000000373</v>
      </c>
      <c r="H35" s="460">
        <f>G35+'20'!H35</f>
        <v>71845.040000000037</v>
      </c>
      <c r="I35" s="455"/>
      <c r="J35" s="553">
        <f>H35/DAY(B2)</f>
        <v>3421.1923809523828</v>
      </c>
      <c r="K35" s="428">
        <v>1520.2800000000279</v>
      </c>
      <c r="L35" s="377">
        <f t="shared" ref="L35:L60" si="5">G35-K35</f>
        <v>1866.7600000000093</v>
      </c>
      <c r="N35" s="382"/>
      <c r="O35" s="629"/>
    </row>
    <row r="36" spans="1:15">
      <c r="A36" s="579" t="s">
        <v>165</v>
      </c>
      <c r="B36" s="580"/>
      <c r="C36" s="580"/>
      <c r="D36" s="523" t="s">
        <v>132</v>
      </c>
      <c r="E36" s="510">
        <f>'20'!F36</f>
        <v>309506.81</v>
      </c>
      <c r="F36" s="510">
        <v>310111.95</v>
      </c>
      <c r="G36" s="1346">
        <f t="shared" si="4"/>
        <v>605.14000000001397</v>
      </c>
      <c r="H36" s="460">
        <f>G36+'20'!H36</f>
        <v>13666.380000000005</v>
      </c>
      <c r="I36" s="455"/>
      <c r="J36" s="553">
        <f>H36/DAY(B2)</f>
        <v>650.7800000000002</v>
      </c>
      <c r="K36" s="428">
        <v>485.22000000000116</v>
      </c>
      <c r="L36" s="377">
        <f t="shared" si="5"/>
        <v>119.92000000001281</v>
      </c>
      <c r="N36" s="382"/>
      <c r="O36" s="629"/>
    </row>
    <row r="37" spans="1:15">
      <c r="A37" s="579" t="s">
        <v>166</v>
      </c>
      <c r="B37" s="580"/>
      <c r="C37" s="580"/>
      <c r="D37" s="523" t="s">
        <v>132</v>
      </c>
      <c r="E37" s="510">
        <f>'20'!F37</f>
        <v>38112.53</v>
      </c>
      <c r="F37" s="510">
        <v>39717.9</v>
      </c>
      <c r="G37" s="1346">
        <f t="shared" si="4"/>
        <v>1605.3700000000026</v>
      </c>
      <c r="H37" s="460">
        <f>G37+'20'!H37</f>
        <v>42822.98</v>
      </c>
      <c r="I37" s="455"/>
      <c r="J37" s="553">
        <f>H37/DAY(B2)</f>
        <v>2039.189523809524</v>
      </c>
      <c r="K37" s="428">
        <v>1194.8999999999942</v>
      </c>
      <c r="L37" s="377">
        <f t="shared" si="5"/>
        <v>410.47000000000844</v>
      </c>
      <c r="N37" s="382"/>
      <c r="O37" s="382"/>
    </row>
    <row r="38" spans="1:15">
      <c r="A38" s="579" t="s">
        <v>167</v>
      </c>
      <c r="B38" s="580"/>
      <c r="C38" s="580"/>
      <c r="D38" s="523" t="s">
        <v>132</v>
      </c>
      <c r="E38" s="469">
        <f>'20'!F38</f>
        <v>51763.73</v>
      </c>
      <c r="F38" s="469">
        <v>53625.16</v>
      </c>
      <c r="G38" s="1346">
        <f t="shared" si="4"/>
        <v>1861.4300000000003</v>
      </c>
      <c r="H38" s="460">
        <f>G38+'20'!H38</f>
        <v>9811.6700000000055</v>
      </c>
      <c r="I38" s="455"/>
      <c r="J38" s="553">
        <f>H38/DAY(B2)</f>
        <v>467.22238095238123</v>
      </c>
      <c r="K38" s="428">
        <v>0</v>
      </c>
      <c r="L38" s="377">
        <f t="shared" si="5"/>
        <v>1861.4300000000003</v>
      </c>
      <c r="N38" s="382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'20'!F39</f>
        <v>108097.37</v>
      </c>
      <c r="F39" s="510">
        <v>112277.03</v>
      </c>
      <c r="G39" s="1346">
        <f t="shared" si="4"/>
        <v>4179.6600000000035</v>
      </c>
      <c r="H39" s="460">
        <f>G39+'20'!H39</f>
        <v>121669.92</v>
      </c>
      <c r="I39" s="455"/>
      <c r="J39" s="553">
        <f>H39/DAY(B2)</f>
        <v>5793.8057142857142</v>
      </c>
      <c r="K39" s="428">
        <v>2147.359999999986</v>
      </c>
      <c r="L39" s="377">
        <f t="shared" si="5"/>
        <v>2032.3000000000175</v>
      </c>
      <c r="N39" s="382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f>'20'!F40</f>
        <v>0.23</v>
      </c>
      <c r="F40" s="510">
        <v>0.23</v>
      </c>
      <c r="G40" s="1346">
        <f t="shared" si="4"/>
        <v>0</v>
      </c>
      <c r="H40" s="460">
        <f>G40+'20'!H40</f>
        <v>0.17</v>
      </c>
      <c r="I40" s="455"/>
      <c r="J40" s="553">
        <f>H40/DAY(B2)</f>
        <v>8.0952380952380963E-3</v>
      </c>
      <c r="K40" s="429">
        <v>0</v>
      </c>
      <c r="L40" s="377">
        <f t="shared" si="5"/>
        <v>0</v>
      </c>
      <c r="N40" s="382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'20'!F41</f>
        <v>75394.27</v>
      </c>
      <c r="F41" s="510">
        <v>80765.850000000006</v>
      </c>
      <c r="G41" s="1346">
        <f t="shared" si="4"/>
        <v>5371.5800000000017</v>
      </c>
      <c r="H41" s="460">
        <f>G41+'20'!H41</f>
        <v>16883.480000000003</v>
      </c>
      <c r="I41" s="455"/>
      <c r="J41" s="553">
        <f>H41/DAY(B2)</f>
        <v>803.9752380952383</v>
      </c>
      <c r="K41" s="428">
        <v>0</v>
      </c>
      <c r="L41" s="377">
        <f t="shared" si="5"/>
        <v>5371.5800000000017</v>
      </c>
      <c r="N41" s="382"/>
      <c r="O41" s="726"/>
    </row>
    <row r="42" spans="1:15">
      <c r="A42" s="579" t="s">
        <v>171</v>
      </c>
      <c r="B42" s="580"/>
      <c r="C42" s="580"/>
      <c r="D42" s="523" t="s">
        <v>132</v>
      </c>
      <c r="E42" s="510">
        <f>'20'!F42</f>
        <v>59128.163</v>
      </c>
      <c r="F42" s="510">
        <v>59128.6</v>
      </c>
      <c r="G42" s="1346">
        <f t="shared" si="4"/>
        <v>0.43699999999807915</v>
      </c>
      <c r="H42" s="460">
        <f>G42+'20'!H42</f>
        <v>-0.25</v>
      </c>
      <c r="I42" s="455"/>
      <c r="J42" s="553">
        <f>H42/DAY(B2)</f>
        <v>-1.1904761904761904E-2</v>
      </c>
      <c r="K42" s="428">
        <v>3228.5699999999997</v>
      </c>
      <c r="L42" s="377">
        <f t="shared" si="5"/>
        <v>-3228.1330000000016</v>
      </c>
      <c r="N42" s="382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'20'!F43</f>
        <v>874608.55</v>
      </c>
      <c r="F43" s="510">
        <v>877049</v>
      </c>
      <c r="G43" s="1346">
        <f t="shared" si="4"/>
        <v>2440.4499999999534</v>
      </c>
      <c r="H43" s="460">
        <f>G43+'20'!H43</f>
        <v>51151.170000000042</v>
      </c>
      <c r="I43" s="455"/>
      <c r="J43" s="553">
        <f>H43/DAY(B2)</f>
        <v>2435.7700000000018</v>
      </c>
      <c r="K43" s="428">
        <v>1595.679999999993</v>
      </c>
      <c r="L43" s="377">
        <f t="shared" si="5"/>
        <v>844.76999999996042</v>
      </c>
      <c r="N43" s="382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'20'!F44</f>
        <v>0</v>
      </c>
      <c r="F44" s="510">
        <v>0</v>
      </c>
      <c r="G44" s="1346">
        <f t="shared" si="4"/>
        <v>0</v>
      </c>
      <c r="H44" s="460">
        <f>G44+'20'!H44</f>
        <v>0</v>
      </c>
      <c r="I44" s="455"/>
      <c r="J44" s="553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'20'!F45</f>
        <v>614</v>
      </c>
      <c r="F45" s="510">
        <v>614</v>
      </c>
      <c r="G45" s="1346">
        <f t="shared" si="4"/>
        <v>0</v>
      </c>
      <c r="H45" s="460">
        <f>G45+'20'!H45</f>
        <v>0</v>
      </c>
      <c r="I45" s="455"/>
      <c r="J45" s="553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'20'!F46</f>
        <v>187.44</v>
      </c>
      <c r="F46" s="510">
        <v>187.44</v>
      </c>
      <c r="G46" s="1346">
        <f t="shared" si="4"/>
        <v>0</v>
      </c>
      <c r="H46" s="460">
        <f>G46+'20'!H46</f>
        <v>0.43999999999999773</v>
      </c>
      <c r="I46" s="455"/>
      <c r="J46" s="553">
        <f>H46/DAY(B2)</f>
        <v>2.0952380952380844E-2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6" t="s">
        <v>176</v>
      </c>
      <c r="B47" s="587"/>
      <c r="C47" s="587"/>
      <c r="D47" s="470"/>
      <c r="E47" s="511"/>
      <c r="F47" s="511"/>
      <c r="G47" s="1348">
        <f>G35+G36+G37+G38+G39+G40+G41+G42+G43+G44+G45+G46</f>
        <v>19451.107000000011</v>
      </c>
      <c r="H47" s="460">
        <f>G47+'20'!H47</f>
        <v>327851.00000000006</v>
      </c>
      <c r="I47" s="455"/>
      <c r="J47" s="553">
        <f>H47/DAY(B2)</f>
        <v>15611.952380952383</v>
      </c>
      <c r="K47" s="428">
        <v>10172.060000000001</v>
      </c>
      <c r="L47" s="377">
        <f t="shared" si="5"/>
        <v>9279.0470000000096</v>
      </c>
      <c r="N47" s="382"/>
      <c r="O47" s="382"/>
    </row>
    <row r="48" spans="1:15">
      <c r="A48" s="599" t="s">
        <v>177</v>
      </c>
      <c r="B48" s="1153"/>
      <c r="C48" s="1153"/>
      <c r="D48" s="472"/>
      <c r="E48" s="471"/>
      <c r="F48" s="471"/>
      <c r="G48" s="1356"/>
      <c r="H48" s="472"/>
      <c r="I48" s="472"/>
      <c r="J48" s="552"/>
      <c r="K48" s="428"/>
      <c r="L48" s="377">
        <f t="shared" si="5"/>
        <v>0</v>
      </c>
      <c r="N48" s="382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'20'!F49</f>
        <v>260732.13</v>
      </c>
      <c r="F49" s="510">
        <v>260732.13</v>
      </c>
      <c r="G49" s="1346">
        <f t="shared" ref="G49:G58" si="6">F49-E49</f>
        <v>0</v>
      </c>
      <c r="H49" s="460">
        <f>G49+'20'!H49</f>
        <v>0</v>
      </c>
      <c r="I49" s="455"/>
      <c r="J49" s="553">
        <f>H49/DAY(B2)</f>
        <v>0</v>
      </c>
      <c r="K49" s="428">
        <v>0</v>
      </c>
      <c r="L49" s="377">
        <f t="shared" si="5"/>
        <v>0</v>
      </c>
      <c r="N49" s="382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'20'!F50</f>
        <v>426965.83</v>
      </c>
      <c r="F50" s="510">
        <v>428178.31</v>
      </c>
      <c r="G50" s="1346">
        <f>F50-E50</f>
        <v>1212.4799999999814</v>
      </c>
      <c r="H50" s="460">
        <f>G50+'20'!H50</f>
        <v>24521.27999999997</v>
      </c>
      <c r="I50" s="455"/>
      <c r="J50" s="553">
        <f>H50/DAY(B2)</f>
        <v>1167.6799999999985</v>
      </c>
      <c r="K50" s="428">
        <v>700.86999999999534</v>
      </c>
      <c r="L50" s="377">
        <f t="shared" si="5"/>
        <v>511.60999999998603</v>
      </c>
      <c r="N50" s="382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'20'!F51</f>
        <v>144639.87</v>
      </c>
      <c r="F51" s="510">
        <v>144639.87</v>
      </c>
      <c r="G51" s="1346">
        <f t="shared" si="6"/>
        <v>0</v>
      </c>
      <c r="H51" s="460">
        <f>G51+'20'!H51</f>
        <v>23039.949999999997</v>
      </c>
      <c r="I51" s="455"/>
      <c r="J51" s="553">
        <f>H51/DAY(B2)</f>
        <v>1097.140476190476</v>
      </c>
      <c r="K51" s="428">
        <v>0</v>
      </c>
      <c r="L51" s="377">
        <f t="shared" si="5"/>
        <v>0</v>
      </c>
      <c r="N51" s="382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'20'!F52</f>
        <v>539606.06999999995</v>
      </c>
      <c r="F52" s="510">
        <v>539606.06999999995</v>
      </c>
      <c r="G52" s="1346">
        <f t="shared" si="6"/>
        <v>0</v>
      </c>
      <c r="H52" s="460">
        <f>G52+'20'!H52</f>
        <v>29647.359999999928</v>
      </c>
      <c r="I52" s="455"/>
      <c r="J52" s="553">
        <f>H52/DAY(B2)</f>
        <v>1411.7790476190441</v>
      </c>
      <c r="K52" s="428">
        <v>985.97999999998137</v>
      </c>
      <c r="L52" s="377">
        <f t="shared" si="5"/>
        <v>-985.97999999998137</v>
      </c>
      <c r="N52" s="382"/>
      <c r="O52" s="726"/>
    </row>
    <row r="53" spans="1:15">
      <c r="A53" s="579" t="s">
        <v>168</v>
      </c>
      <c r="B53" s="602"/>
      <c r="C53" s="602"/>
      <c r="D53" s="523" t="s">
        <v>132</v>
      </c>
      <c r="E53" s="510">
        <f>'20'!F53</f>
        <v>399013.63</v>
      </c>
      <c r="F53" s="510">
        <v>399219.25</v>
      </c>
      <c r="G53" s="1346">
        <f t="shared" si="6"/>
        <v>205.61999999999534</v>
      </c>
      <c r="H53" s="460">
        <f>G53+'20'!H53</f>
        <v>63179.739999999991</v>
      </c>
      <c r="I53" s="455"/>
      <c r="J53" s="553">
        <f>H53/DAY(B2)</f>
        <v>3008.5590476190473</v>
      </c>
      <c r="K53" s="428">
        <v>107.60000000000036</v>
      </c>
      <c r="L53" s="377">
        <f t="shared" si="5"/>
        <v>98.01999999999498</v>
      </c>
      <c r="N53" s="382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'20'!F54</f>
        <v>8354.56</v>
      </c>
      <c r="F54" s="510">
        <v>8433.0499999999993</v>
      </c>
      <c r="G54" s="1346">
        <f t="shared" si="6"/>
        <v>78.489999999999782</v>
      </c>
      <c r="H54" s="460">
        <f>G54+'20'!H54</f>
        <v>337.44999999999982</v>
      </c>
      <c r="I54" s="455"/>
      <c r="J54" s="553">
        <f>H54/DAY(B2)</f>
        <v>16.069047619047609</v>
      </c>
      <c r="K54" s="428">
        <v>0</v>
      </c>
      <c r="L54" s="377">
        <f t="shared" si="5"/>
        <v>78.489999999999782</v>
      </c>
      <c r="N54" s="382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'20'!F55</f>
        <v>208980.55</v>
      </c>
      <c r="F55" s="510">
        <v>208980.55</v>
      </c>
      <c r="G55" s="1346">
        <f t="shared" si="6"/>
        <v>0</v>
      </c>
      <c r="H55" s="460">
        <f>G55+'20'!H55</f>
        <v>86395.859999999986</v>
      </c>
      <c r="I55" s="455"/>
      <c r="J55" s="553">
        <f>H55/DAY(B2)</f>
        <v>4114.0885714285705</v>
      </c>
      <c r="K55" s="428">
        <v>0</v>
      </c>
      <c r="L55" s="377">
        <f t="shared" si="5"/>
        <v>0</v>
      </c>
      <c r="N55" s="382"/>
      <c r="O55" s="382"/>
    </row>
    <row r="56" spans="1:15" s="441" customFormat="1">
      <c r="A56" s="1111" t="s">
        <v>182</v>
      </c>
      <c r="B56" s="1112"/>
      <c r="C56" s="1112"/>
      <c r="D56" s="628" t="s">
        <v>183</v>
      </c>
      <c r="E56" s="658">
        <f>'20'!F56</f>
        <v>588876.43000000005</v>
      </c>
      <c r="F56" s="658">
        <v>588885.15</v>
      </c>
      <c r="G56" s="1368">
        <f t="shared" si="6"/>
        <v>8.7199999999720603</v>
      </c>
      <c r="H56" s="710">
        <f>G56+'20'!H56</f>
        <v>2834.1199999999953</v>
      </c>
      <c r="I56" s="711"/>
      <c r="J56" s="712">
        <f>H56/DAY(B2)</f>
        <v>134.95809523809501</v>
      </c>
      <c r="K56" s="1373">
        <v>0</v>
      </c>
      <c r="L56" s="1114">
        <f t="shared" si="5"/>
        <v>8.7199999999720603</v>
      </c>
      <c r="N56" s="718"/>
      <c r="O56" s="718"/>
    </row>
    <row r="57" spans="1:15">
      <c r="A57" s="579" t="s">
        <v>172</v>
      </c>
      <c r="B57" s="602"/>
      <c r="C57" s="602"/>
      <c r="D57" s="523" t="s">
        <v>132</v>
      </c>
      <c r="E57" s="510">
        <f>'20'!F57</f>
        <v>7711</v>
      </c>
      <c r="F57" s="510">
        <v>7711</v>
      </c>
      <c r="G57" s="1346">
        <f t="shared" si="6"/>
        <v>0</v>
      </c>
      <c r="H57" s="460">
        <f>G57+'20'!H57</f>
        <v>-0.32999999999992724</v>
      </c>
      <c r="I57" s="455"/>
      <c r="J57" s="553">
        <f>H57/DAY(B2)</f>
        <v>-1.5714285714282249E-2</v>
      </c>
      <c r="K57" s="428">
        <v>0</v>
      </c>
      <c r="L57" s="377">
        <f t="shared" si="5"/>
        <v>0</v>
      </c>
      <c r="N57" s="382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'20'!F58</f>
        <v>39512.25</v>
      </c>
      <c r="F58" s="510">
        <v>39695.67</v>
      </c>
      <c r="G58" s="1346">
        <f t="shared" si="6"/>
        <v>183.41999999999825</v>
      </c>
      <c r="H58" s="460">
        <f>G58+'20'!H58</f>
        <v>3630.9700000000012</v>
      </c>
      <c r="I58" s="455"/>
      <c r="J58" s="553">
        <f>H58/DAY(B2)</f>
        <v>172.90333333333339</v>
      </c>
      <c r="K58" s="428">
        <v>0</v>
      </c>
      <c r="L58" s="377">
        <f t="shared" si="5"/>
        <v>183.41999999999825</v>
      </c>
      <c r="N58" s="382"/>
      <c r="O58" s="382"/>
    </row>
    <row r="59" spans="1:15">
      <c r="A59" s="586" t="s">
        <v>176</v>
      </c>
      <c r="B59" s="587"/>
      <c r="C59" s="587"/>
      <c r="D59" s="511"/>
      <c r="E59" s="511"/>
      <c r="F59" s="511"/>
      <c r="G59" s="1348">
        <f>G49+G50+G51+G52+G53+G54+G55+G56+G57+G58</f>
        <v>1688.7299999999468</v>
      </c>
      <c r="H59" s="460">
        <f>G59+'20'!H59</f>
        <v>233586.39999999985</v>
      </c>
      <c r="I59" s="455">
        <f>G7-G60</f>
        <v>378.16300000004412</v>
      </c>
      <c r="J59" s="553">
        <f>H59/DAY(B2)</f>
        <v>11123.161904761897</v>
      </c>
      <c r="K59" s="428">
        <v>1794.4499999999771</v>
      </c>
      <c r="L59" s="377">
        <f t="shared" si="5"/>
        <v>-105.72000000003027</v>
      </c>
      <c r="N59" s="382"/>
      <c r="O59" s="382"/>
    </row>
    <row r="60" spans="1:15">
      <c r="A60" s="579"/>
      <c r="B60" s="580"/>
      <c r="C60" s="580"/>
      <c r="D60" s="511" t="s">
        <v>185</v>
      </c>
      <c r="E60" s="511"/>
      <c r="F60" s="511"/>
      <c r="G60" s="1348">
        <f>G47+G59</f>
        <v>21139.836999999956</v>
      </c>
      <c r="H60" s="460">
        <f>G60+'20'!H60</f>
        <v>575606.4</v>
      </c>
      <c r="I60" s="455">
        <f>G13-G60</f>
        <v>-283.56699999996636</v>
      </c>
      <c r="J60" s="553">
        <f>H60/DAY(B2)</f>
        <v>27409.828571428574</v>
      </c>
      <c r="K60" s="428">
        <v>11966.509999999978</v>
      </c>
      <c r="L60" s="377">
        <f t="shared" si="5"/>
        <v>9173.3269999999775</v>
      </c>
      <c r="N60" s="382"/>
      <c r="O60" s="382"/>
    </row>
    <row r="61" spans="1:15">
      <c r="A61" s="603" t="s">
        <v>186</v>
      </c>
      <c r="B61" s="453"/>
      <c r="C61" s="453"/>
      <c r="D61" s="513"/>
      <c r="E61" s="512"/>
      <c r="F61" s="512"/>
      <c r="G61" s="1357"/>
      <c r="H61" s="513"/>
      <c r="I61" s="513"/>
      <c r="J61" s="556"/>
      <c r="K61" s="428"/>
      <c r="L61" s="377"/>
      <c r="N61" s="382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'20'!F62</f>
        <v>20419.2</v>
      </c>
      <c r="F62" s="514">
        <v>20419.2</v>
      </c>
      <c r="G62" s="1346">
        <f t="shared" ref="G62:G69" si="7">F62-E62</f>
        <v>0</v>
      </c>
      <c r="H62" s="460">
        <f>G62+'20'!H62</f>
        <v>1.299999999901047E-2</v>
      </c>
      <c r="I62" s="515"/>
      <c r="J62" s="553">
        <f>H62/DAY(B2)</f>
        <v>6.190476190004986E-4</v>
      </c>
      <c r="K62" s="428"/>
      <c r="L62" s="377"/>
      <c r="N62" s="382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'20'!F63</f>
        <v>1967.95</v>
      </c>
      <c r="F63" s="514">
        <v>1978.63</v>
      </c>
      <c r="G63" s="1346">
        <f t="shared" si="7"/>
        <v>10.680000000000064</v>
      </c>
      <c r="H63" s="460">
        <f>G63+'20'!H63</f>
        <v>271.27000000000021</v>
      </c>
      <c r="I63" s="515"/>
      <c r="J63" s="553">
        <f>H63/DAY(B2)</f>
        <v>12.917619047619057</v>
      </c>
      <c r="K63" s="428"/>
      <c r="L63" s="377"/>
      <c r="N63" s="382"/>
      <c r="O63" s="382"/>
    </row>
    <row r="64" spans="1:15" ht="27.75">
      <c r="A64" s="1408" t="s">
        <v>99</v>
      </c>
      <c r="B64" s="1409"/>
      <c r="C64" s="1410"/>
      <c r="D64" s="523" t="s">
        <v>187</v>
      </c>
      <c r="E64" s="484">
        <f>'20'!F64</f>
        <v>133862.37</v>
      </c>
      <c r="F64" s="484">
        <f>133862+500</f>
        <v>134362</v>
      </c>
      <c r="G64" s="1346">
        <f t="shared" si="7"/>
        <v>499.63000000000466</v>
      </c>
      <c r="H64" s="460">
        <f>G64+'20'!H64</f>
        <v>10734.699999999997</v>
      </c>
      <c r="I64" s="480"/>
      <c r="J64" s="553">
        <f>H64/DAY(B2)</f>
        <v>511.17619047619036</v>
      </c>
      <c r="K64" s="428"/>
      <c r="L64" s="377"/>
      <c r="N64" s="382"/>
      <c r="O64" s="382"/>
    </row>
    <row r="65" spans="1:15" ht="27.75">
      <c r="A65" s="1408" t="s">
        <v>100</v>
      </c>
      <c r="B65" s="1409"/>
      <c r="C65" s="1410"/>
      <c r="D65" s="523" t="s">
        <v>187</v>
      </c>
      <c r="E65" s="484">
        <f>'20'!F65</f>
        <v>140044.29</v>
      </c>
      <c r="F65" s="484">
        <v>140430.63</v>
      </c>
      <c r="G65" s="1346">
        <f t="shared" si="7"/>
        <v>386.33999999999651</v>
      </c>
      <c r="H65" s="460">
        <f>G65+'20'!H65</f>
        <v>7833.3300000000163</v>
      </c>
      <c r="I65" s="489"/>
      <c r="J65" s="553">
        <f>H65/DAY(B2)</f>
        <v>373.01571428571503</v>
      </c>
      <c r="K65" s="428"/>
      <c r="L65" s="377"/>
      <c r="N65" s="382"/>
      <c r="O65" s="382"/>
    </row>
    <row r="66" spans="1:15" ht="27.75">
      <c r="A66" s="1408" t="s">
        <v>101</v>
      </c>
      <c r="B66" s="1409"/>
      <c r="C66" s="1410"/>
      <c r="D66" s="523" t="s">
        <v>187</v>
      </c>
      <c r="E66" s="484">
        <f>'20'!F66</f>
        <v>32782.800000000003</v>
      </c>
      <c r="F66" s="484">
        <v>33176.11</v>
      </c>
      <c r="G66" s="1346">
        <f t="shared" si="7"/>
        <v>393.30999999999767</v>
      </c>
      <c r="H66" s="460">
        <f>G66+'20'!H66</f>
        <v>8016.3600000000006</v>
      </c>
      <c r="I66" s="480"/>
      <c r="J66" s="553">
        <f>H66/DAY(B2)</f>
        <v>381.73142857142858</v>
      </c>
      <c r="K66" s="428"/>
      <c r="L66" s="377"/>
      <c r="N66" s="382"/>
      <c r="O66" s="382"/>
    </row>
    <row r="67" spans="1:15" ht="27.75">
      <c r="A67" s="1408" t="s">
        <v>102</v>
      </c>
      <c r="B67" s="1409"/>
      <c r="C67" s="1410"/>
      <c r="D67" s="523" t="s">
        <v>187</v>
      </c>
      <c r="E67" s="484">
        <f>'20'!F67</f>
        <v>221548.83</v>
      </c>
      <c r="F67" s="484">
        <v>222220.17</v>
      </c>
      <c r="G67" s="1346">
        <f t="shared" si="7"/>
        <v>671.34000000002561</v>
      </c>
      <c r="H67" s="460">
        <f>G67+'20'!H67</f>
        <v>14378.340000000026</v>
      </c>
      <c r="I67" s="489"/>
      <c r="J67" s="553">
        <f>H67/DAY(B2)</f>
        <v>684.68285714285832</v>
      </c>
      <c r="K67" s="429"/>
      <c r="L67" s="377"/>
      <c r="N67" s="382"/>
      <c r="O67" s="382"/>
    </row>
    <row r="68" spans="1:15" ht="27.75">
      <c r="A68" s="1408" t="s">
        <v>103</v>
      </c>
      <c r="B68" s="1409"/>
      <c r="C68" s="1410"/>
      <c r="D68" s="523" t="s">
        <v>187</v>
      </c>
      <c r="E68" s="484">
        <f>'20'!F68</f>
        <v>79364.5</v>
      </c>
      <c r="F68" s="484">
        <v>79702.070000000007</v>
      </c>
      <c r="G68" s="1346">
        <f t="shared" si="7"/>
        <v>337.57000000000698</v>
      </c>
      <c r="H68" s="460">
        <f>G68+'20'!H68</f>
        <v>7023.5500000000029</v>
      </c>
      <c r="I68" s="516"/>
      <c r="J68" s="553">
        <f>H68/DAY(B2)</f>
        <v>334.45476190476205</v>
      </c>
      <c r="K68" s="430"/>
      <c r="L68" s="377"/>
      <c r="N68" s="382"/>
      <c r="O68" s="382"/>
    </row>
    <row r="69" spans="1:15" ht="27.75">
      <c r="A69" s="1408" t="s">
        <v>104</v>
      </c>
      <c r="B69" s="1409"/>
      <c r="C69" s="1410"/>
      <c r="D69" s="523" t="s">
        <v>187</v>
      </c>
      <c r="E69" s="484">
        <f>'20'!F69</f>
        <v>70863.710000000006</v>
      </c>
      <c r="F69" s="484">
        <v>71182.59</v>
      </c>
      <c r="G69" s="1346">
        <f t="shared" si="7"/>
        <v>318.8799999999901</v>
      </c>
      <c r="H69" s="460">
        <f>G69+'20'!H69</f>
        <v>6730.5</v>
      </c>
      <c r="I69" s="516"/>
      <c r="J69" s="553">
        <f>H69/DAY(B2)</f>
        <v>320.5</v>
      </c>
      <c r="K69" s="431"/>
      <c r="L69" s="377"/>
      <c r="N69" s="382"/>
      <c r="O69" s="382"/>
    </row>
    <row r="70" spans="1:15" ht="27.75">
      <c r="A70" s="1440" t="s">
        <v>189</v>
      </c>
      <c r="B70" s="1441"/>
      <c r="C70" s="1442"/>
      <c r="D70" s="523" t="s">
        <v>187</v>
      </c>
      <c r="E70" s="518"/>
      <c r="F70" s="518"/>
      <c r="G70" s="1358"/>
      <c r="H70" s="460">
        <f>G70+'20'!H70</f>
        <v>0</v>
      </c>
      <c r="I70" s="518"/>
      <c r="J70" s="557"/>
      <c r="K70" s="431"/>
      <c r="L70" s="377"/>
      <c r="N70" s="382"/>
      <c r="O70" s="382"/>
    </row>
    <row r="71" spans="1:15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382"/>
      <c r="O71" s="382"/>
    </row>
    <row r="72" spans="1:15" ht="27.75">
      <c r="A72" s="1408" t="s">
        <v>191</v>
      </c>
      <c r="B72" s="1409"/>
      <c r="C72" s="1410"/>
      <c r="D72" s="523" t="s">
        <v>187</v>
      </c>
      <c r="E72" s="519">
        <f>'20'!F72</f>
        <v>852362</v>
      </c>
      <c r="F72" s="519">
        <v>852452</v>
      </c>
      <c r="G72" s="1346">
        <f t="shared" ref="G72:G84" si="8">F72-E72</f>
        <v>90</v>
      </c>
      <c r="H72" s="460">
        <f>G72+'20'!H72</f>
        <v>1770</v>
      </c>
      <c r="I72" s="480"/>
      <c r="J72" s="553">
        <f>H72/DAY(B2)</f>
        <v>84.285714285714292</v>
      </c>
      <c r="K72" s="431"/>
      <c r="L72" s="377"/>
      <c r="N72" s="382"/>
      <c r="O72" s="382"/>
    </row>
    <row r="73" spans="1:15" ht="27.75">
      <c r="A73" s="1408" t="s">
        <v>192</v>
      </c>
      <c r="B73" s="1409"/>
      <c r="C73" s="1410"/>
      <c r="D73" s="523" t="s">
        <v>187</v>
      </c>
      <c r="E73" s="520">
        <f>'20'!F73</f>
        <v>885786</v>
      </c>
      <c r="F73" s="520">
        <v>885788</v>
      </c>
      <c r="G73" s="1346">
        <f t="shared" si="8"/>
        <v>2</v>
      </c>
      <c r="H73" s="460">
        <f>G73+'20'!H73</f>
        <v>1130</v>
      </c>
      <c r="I73" s="480"/>
      <c r="J73" s="553">
        <f>H73/DAY(B2)</f>
        <v>53.80952380952381</v>
      </c>
      <c r="K73" s="430"/>
      <c r="L73" s="377"/>
      <c r="N73" s="382"/>
      <c r="O73" s="382"/>
    </row>
    <row r="74" spans="1:15" ht="27.75">
      <c r="A74" s="1480" t="s">
        <v>193</v>
      </c>
      <c r="B74" s="1481"/>
      <c r="C74" s="1482"/>
      <c r="D74" s="523" t="s">
        <v>187</v>
      </c>
      <c r="E74" s="521">
        <f>'20'!F74</f>
        <v>1120.0999999999999</v>
      </c>
      <c r="F74" s="521">
        <v>1158.7</v>
      </c>
      <c r="G74" s="1346">
        <f t="shared" si="8"/>
        <v>38.600000000000136</v>
      </c>
      <c r="H74" s="460">
        <f>G74+'20'!H74</f>
        <v>572.53000000000009</v>
      </c>
      <c r="I74" s="480"/>
      <c r="J74" s="553">
        <f>H74/DAY(B2)</f>
        <v>27.263333333333339</v>
      </c>
      <c r="K74" s="431"/>
      <c r="L74" s="377"/>
      <c r="N74" s="382"/>
      <c r="O74" s="382"/>
    </row>
    <row r="75" spans="1:15" ht="27.75">
      <c r="A75" s="1457" t="s">
        <v>194</v>
      </c>
      <c r="B75" s="1458"/>
      <c r="C75" s="1459"/>
      <c r="D75" s="523" t="s">
        <v>187</v>
      </c>
      <c r="E75" s="521">
        <f>'20'!F75</f>
        <v>6859</v>
      </c>
      <c r="F75" s="521">
        <v>7017.55</v>
      </c>
      <c r="G75" s="1346">
        <f t="shared" si="8"/>
        <v>158.55000000000018</v>
      </c>
      <c r="H75" s="460">
        <f>G75+'20'!H75</f>
        <v>3498.3300000000004</v>
      </c>
      <c r="I75" s="480"/>
      <c r="J75" s="553">
        <f>H75/DAY(B2)</f>
        <v>166.58714285714288</v>
      </c>
      <c r="K75" s="430"/>
      <c r="L75" s="377"/>
      <c r="N75" s="382"/>
      <c r="O75" s="382"/>
    </row>
    <row r="76" spans="1:15" ht="27.75">
      <c r="A76" s="1457" t="s">
        <v>195</v>
      </c>
      <c r="B76" s="1458"/>
      <c r="C76" s="1459"/>
      <c r="D76" s="523" t="s">
        <v>187</v>
      </c>
      <c r="E76" s="520">
        <f>'20'!F76</f>
        <v>3138.47</v>
      </c>
      <c r="F76" s="650">
        <v>3215.91</v>
      </c>
      <c r="G76" s="1346">
        <f t="shared" si="8"/>
        <v>77.440000000000055</v>
      </c>
      <c r="H76" s="460">
        <f>G76+'20'!H76</f>
        <v>2740.69</v>
      </c>
      <c r="I76" s="505"/>
      <c r="J76" s="553">
        <f>H76/DAY(B2)</f>
        <v>130.50904761904764</v>
      </c>
      <c r="K76" s="430"/>
      <c r="L76" s="377"/>
      <c r="N76" s="382"/>
      <c r="O76" s="382"/>
    </row>
    <row r="77" spans="1:15" ht="27.75">
      <c r="A77" s="1408" t="s">
        <v>196</v>
      </c>
      <c r="B77" s="1409"/>
      <c r="C77" s="1410"/>
      <c r="D77" s="523" t="s">
        <v>187</v>
      </c>
      <c r="E77" s="521">
        <f>'20'!F77</f>
        <v>699657</v>
      </c>
      <c r="F77" s="521">
        <v>699705</v>
      </c>
      <c r="G77" s="1346">
        <f t="shared" si="8"/>
        <v>48</v>
      </c>
      <c r="H77" s="460">
        <f>G77+'20'!H77</f>
        <v>1117</v>
      </c>
      <c r="I77" s="505"/>
      <c r="J77" s="553">
        <f>H77/DAY(B2)</f>
        <v>53.19047619047619</v>
      </c>
      <c r="K77" s="430"/>
      <c r="L77" s="377"/>
      <c r="N77" s="382"/>
      <c r="O77" s="382"/>
    </row>
    <row r="78" spans="1:15" ht="27.75">
      <c r="A78" s="1151" t="s">
        <v>197</v>
      </c>
      <c r="B78" s="1124"/>
      <c r="C78" s="1124"/>
      <c r="D78" s="523" t="s">
        <v>187</v>
      </c>
      <c r="E78" s="521">
        <f>'20'!F78</f>
        <v>661159</v>
      </c>
      <c r="F78" s="521">
        <v>661570</v>
      </c>
      <c r="G78" s="1346">
        <f t="shared" si="8"/>
        <v>411</v>
      </c>
      <c r="H78" s="460">
        <f>G78+'20'!H78</f>
        <v>8707</v>
      </c>
      <c r="I78" s="505"/>
      <c r="J78" s="553">
        <f>H78/DAY(B2)</f>
        <v>414.61904761904759</v>
      </c>
      <c r="K78" s="430"/>
      <c r="L78" s="377"/>
      <c r="N78" s="382"/>
      <c r="O78" s="382"/>
    </row>
    <row r="79" spans="1:15" ht="27.75">
      <c r="A79" s="1457" t="s">
        <v>92</v>
      </c>
      <c r="B79" s="1458"/>
      <c r="C79" s="1459"/>
      <c r="D79" s="524" t="s">
        <v>187</v>
      </c>
      <c r="E79" s="521">
        <f>'20'!F79</f>
        <v>819187</v>
      </c>
      <c r="F79" s="521">
        <v>819356</v>
      </c>
      <c r="G79" s="1346">
        <f t="shared" si="8"/>
        <v>169</v>
      </c>
      <c r="H79" s="460">
        <f>G79+'20'!H79</f>
        <v>6757</v>
      </c>
      <c r="I79" s="505"/>
      <c r="J79" s="553">
        <f>H79/DAY(B2)</f>
        <v>321.76190476190476</v>
      </c>
      <c r="K79" s="430"/>
      <c r="L79" s="377"/>
      <c r="N79" s="382"/>
      <c r="O79" s="382"/>
    </row>
    <row r="80" spans="1:15" ht="27.75">
      <c r="A80" s="1457" t="s">
        <v>198</v>
      </c>
      <c r="B80" s="1458"/>
      <c r="C80" s="1459"/>
      <c r="D80" s="524" t="s">
        <v>187</v>
      </c>
      <c r="E80" s="520">
        <f>'20'!F80</f>
        <v>501795.55</v>
      </c>
      <c r="F80" s="520">
        <v>502178.76</v>
      </c>
      <c r="G80" s="1346">
        <f t="shared" si="8"/>
        <v>383.21000000002095</v>
      </c>
      <c r="H80" s="460">
        <f>G80+'20'!H80</f>
        <v>5564.7600000000093</v>
      </c>
      <c r="I80" s="505"/>
      <c r="J80" s="553">
        <f>H80/DAY(B2)</f>
        <v>264.98857142857184</v>
      </c>
      <c r="K80" s="430"/>
      <c r="L80" s="377"/>
      <c r="N80" s="382"/>
      <c r="O80" s="382"/>
    </row>
    <row r="81" spans="1:15" ht="27.75">
      <c r="A81" s="1457" t="s">
        <v>199</v>
      </c>
      <c r="B81" s="1458"/>
      <c r="C81" s="1459"/>
      <c r="D81" s="524" t="s">
        <v>187</v>
      </c>
      <c r="E81" s="520">
        <f>'20'!F81</f>
        <v>628110.92000000004</v>
      </c>
      <c r="F81" s="520">
        <v>628225.80000000005</v>
      </c>
      <c r="G81" s="1346">
        <f t="shared" si="8"/>
        <v>114.88000000000466</v>
      </c>
      <c r="H81" s="460">
        <f>G81+'20'!H81</f>
        <v>2281.9600000000792</v>
      </c>
      <c r="I81" s="505"/>
      <c r="J81" s="553">
        <f>H81/DAY(B2)</f>
        <v>108.66476190476567</v>
      </c>
      <c r="K81" s="430"/>
      <c r="L81" s="377"/>
      <c r="N81" s="382"/>
      <c r="O81" s="382"/>
    </row>
    <row r="82" spans="1:15" ht="27.75">
      <c r="A82" s="1457" t="s">
        <v>93</v>
      </c>
      <c r="B82" s="1458"/>
      <c r="C82" s="1459"/>
      <c r="D82" s="485" t="s">
        <v>132</v>
      </c>
      <c r="E82" s="522">
        <f>'20'!F82</f>
        <v>106646.68</v>
      </c>
      <c r="F82" s="522">
        <v>106667.71</v>
      </c>
      <c r="G82" s="1346">
        <f t="shared" si="8"/>
        <v>21.030000000013388</v>
      </c>
      <c r="H82" s="460">
        <f>G82+'20'!H82</f>
        <v>465.23000000001048</v>
      </c>
      <c r="I82" s="486"/>
      <c r="J82" s="553">
        <f>H82/DAY(B2)</f>
        <v>22.153809523810022</v>
      </c>
      <c r="K82" s="430"/>
      <c r="L82" s="377"/>
      <c r="N82" s="382"/>
      <c r="O82" s="382"/>
    </row>
    <row r="83" spans="1:15" ht="27.75">
      <c r="A83" s="1457" t="s">
        <v>200</v>
      </c>
      <c r="B83" s="1458"/>
      <c r="C83" s="1459"/>
      <c r="D83" s="621" t="s">
        <v>132</v>
      </c>
      <c r="E83" s="511">
        <f>'20'!F83</f>
        <v>3888</v>
      </c>
      <c r="F83" s="511">
        <v>4140</v>
      </c>
      <c r="G83" s="1346">
        <f t="shared" si="8"/>
        <v>252</v>
      </c>
      <c r="H83" s="460">
        <f>G83+'20'!H83</f>
        <v>7543</v>
      </c>
      <c r="I83" s="481"/>
      <c r="J83" s="553">
        <f>H83/DAY(B2)</f>
        <v>359.1904761904762</v>
      </c>
      <c r="K83" s="429"/>
      <c r="L83" s="377"/>
      <c r="N83" s="382"/>
      <c r="O83" s="726"/>
    </row>
    <row r="84" spans="1:15">
      <c r="A84" s="1152" t="s">
        <v>201</v>
      </c>
      <c r="B84" s="572"/>
      <c r="C84" s="572"/>
      <c r="D84" s="478" t="s">
        <v>132</v>
      </c>
      <c r="E84" s="628">
        <f>'20'!F84</f>
        <v>446161</v>
      </c>
      <c r="F84" s="628">
        <v>446844</v>
      </c>
      <c r="G84" s="1346">
        <f t="shared" si="8"/>
        <v>683</v>
      </c>
      <c r="H84" s="460">
        <f>G84+'20'!H84</f>
        <v>16046</v>
      </c>
      <c r="I84" s="481"/>
      <c r="J84" s="553">
        <f>H84/DAY(B2)</f>
        <v>764.09523809523807</v>
      </c>
      <c r="K84" s="380"/>
      <c r="L84" s="377"/>
      <c r="N84" s="382"/>
      <c r="O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1359">
        <f xml:space="preserve"> SUM(G72:G84)</f>
        <v>2448.7100000000391</v>
      </c>
      <c r="H85" s="460">
        <f>G85+'20'!H85</f>
        <v>53535.36000000003</v>
      </c>
      <c r="I85" s="481"/>
      <c r="J85" s="553">
        <f>H85/DAY(B2)</f>
        <v>2549.3028571428586</v>
      </c>
      <c r="K85" s="380"/>
      <c r="L85" s="378"/>
      <c r="N85" s="782"/>
      <c r="O85" s="726"/>
    </row>
    <row r="86" spans="1:15" s="740" customFormat="1">
      <c r="A86" s="735" t="s">
        <v>94</v>
      </c>
      <c r="B86" s="736"/>
      <c r="C86" s="736"/>
      <c r="D86" s="737" t="s">
        <v>183</v>
      </c>
      <c r="E86" s="652">
        <f>'20'!F86</f>
        <v>452861.04</v>
      </c>
      <c r="F86" s="652">
        <v>452912.52</v>
      </c>
      <c r="G86" s="1360">
        <f t="shared" ref="G86:G90" si="9">F86-E86</f>
        <v>51.480000000039581</v>
      </c>
      <c r="H86" s="460">
        <f>G86+'20'!H86</f>
        <v>463.84000000002561</v>
      </c>
      <c r="I86" s="657"/>
      <c r="J86" s="712">
        <f>H86/DAY(B2)</f>
        <v>22.087619047620269</v>
      </c>
      <c r="K86" s="738"/>
      <c r="L86" s="739"/>
      <c r="N86" s="783"/>
      <c r="O86" s="382"/>
    </row>
    <row r="87" spans="1:15" s="740" customFormat="1">
      <c r="A87" s="735" t="s">
        <v>95</v>
      </c>
      <c r="B87" s="736"/>
      <c r="C87" s="736"/>
      <c r="D87" s="737" t="s">
        <v>183</v>
      </c>
      <c r="E87" s="652">
        <f>'20'!F87</f>
        <v>79803.3</v>
      </c>
      <c r="F87" s="652">
        <v>79825.600000000006</v>
      </c>
      <c r="G87" s="1360">
        <f t="shared" si="9"/>
        <v>22.30000000000291</v>
      </c>
      <c r="H87" s="460">
        <f>G87+'20'!H87</f>
        <v>123.80000000000291</v>
      </c>
      <c r="I87" s="657"/>
      <c r="J87" s="712">
        <f>H87/DAY(B2)</f>
        <v>5.8952380952382342</v>
      </c>
      <c r="K87" s="738"/>
      <c r="L87" s="739"/>
      <c r="N87" s="783"/>
      <c r="O87" s="382"/>
    </row>
    <row r="88" spans="1:15" s="740" customFormat="1">
      <c r="A88" s="735" t="s">
        <v>96</v>
      </c>
      <c r="B88" s="736"/>
      <c r="C88" s="736"/>
      <c r="D88" s="737" t="s">
        <v>183</v>
      </c>
      <c r="E88" s="652">
        <f>'20'!F88</f>
        <v>149811.29</v>
      </c>
      <c r="F88" s="652">
        <v>149842.51</v>
      </c>
      <c r="G88" s="1360">
        <f t="shared" si="9"/>
        <v>31.220000000001164</v>
      </c>
      <c r="H88" s="460">
        <f>G88+'20'!H88</f>
        <v>286.80999999999767</v>
      </c>
      <c r="I88" s="657"/>
      <c r="J88" s="712">
        <f>H88/DAY(B2)</f>
        <v>13.657619047618937</v>
      </c>
      <c r="K88" s="738"/>
      <c r="L88" s="739"/>
      <c r="N88" s="783"/>
      <c r="O88" s="382"/>
    </row>
    <row r="89" spans="1:15" s="740" customFormat="1">
      <c r="A89" s="735" t="s">
        <v>204</v>
      </c>
      <c r="B89" s="736"/>
      <c r="C89" s="736"/>
      <c r="D89" s="737" t="s">
        <v>183</v>
      </c>
      <c r="E89" s="652">
        <f>'20'!F89</f>
        <v>63004.3</v>
      </c>
      <c r="F89" s="652">
        <v>63048.800000000003</v>
      </c>
      <c r="G89" s="1360">
        <f t="shared" si="9"/>
        <v>44.5</v>
      </c>
      <c r="H89" s="460">
        <f>G89+'20'!H89</f>
        <v>215.70000000000437</v>
      </c>
      <c r="I89" s="657"/>
      <c r="J89" s="712">
        <f>H89/DAY(B2)</f>
        <v>10.27142857142878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52">
        <f>'20'!F90</f>
        <v>3244</v>
      </c>
      <c r="F90" s="652">
        <v>3245.6</v>
      </c>
      <c r="G90" s="1360">
        <f t="shared" si="9"/>
        <v>1.5999999999999091</v>
      </c>
      <c r="H90" s="460">
        <f>G90+'20'!H90</f>
        <v>6.9000000000000909</v>
      </c>
      <c r="I90" s="657"/>
      <c r="J90" s="712">
        <f>H90/DAY(B2)</f>
        <v>0.3285714285714329</v>
      </c>
      <c r="K90" s="738"/>
      <c r="L90" s="739"/>
      <c r="N90" s="783"/>
      <c r="O90" s="382"/>
    </row>
    <row r="91" spans="1:15" s="379" customFormat="1">
      <c r="A91" s="607" t="s">
        <v>205</v>
      </c>
      <c r="B91" s="1154"/>
      <c r="C91" s="1154"/>
      <c r="D91" s="472"/>
      <c r="E91" s="472"/>
      <c r="F91" s="472"/>
      <c r="G91" s="1349"/>
      <c r="H91" s="472"/>
      <c r="I91" s="472"/>
      <c r="J91" s="552"/>
      <c r="K91" s="380"/>
      <c r="L91" s="378"/>
      <c r="N91" s="782"/>
      <c r="O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'20'!F92</f>
        <v>241497</v>
      </c>
      <c r="F92" s="484">
        <v>241612</v>
      </c>
      <c r="G92" s="1346">
        <f t="shared" ref="G92:G93" si="10">F92-E92</f>
        <v>115</v>
      </c>
      <c r="H92" s="460">
        <f>G92+'20'!H92</f>
        <v>1917</v>
      </c>
      <c r="I92" s="480"/>
      <c r="J92" s="553">
        <f>H92/DAY(B2)</f>
        <v>91.285714285714292</v>
      </c>
      <c r="K92" s="429"/>
      <c r="L92" s="377"/>
      <c r="N92" s="382"/>
      <c r="O92" s="382"/>
    </row>
    <row r="93" spans="1:15" ht="27.75">
      <c r="A93" s="1411" t="s">
        <v>207</v>
      </c>
      <c r="B93" s="1412"/>
      <c r="C93" s="1413"/>
      <c r="D93" s="523" t="s">
        <v>144</v>
      </c>
      <c r="E93" s="484">
        <f>'20'!F93</f>
        <v>178158</v>
      </c>
      <c r="F93" s="484">
        <v>178309</v>
      </c>
      <c r="G93" s="1346">
        <f t="shared" si="10"/>
        <v>151</v>
      </c>
      <c r="H93" s="460">
        <f>G93+'20'!H93</f>
        <v>2648</v>
      </c>
      <c r="I93" s="480"/>
      <c r="J93" s="553">
        <f>H93/DAY(B2)</f>
        <v>126.0952380952381</v>
      </c>
      <c r="K93" s="380"/>
      <c r="L93" s="377"/>
      <c r="N93" s="382"/>
      <c r="O93" s="382"/>
    </row>
    <row r="94" spans="1:15">
      <c r="A94" s="1405" t="s">
        <v>208</v>
      </c>
      <c r="B94" s="1406"/>
      <c r="C94" s="1407"/>
      <c r="D94" s="523"/>
      <c r="E94" s="484">
        <f>'20'!F94</f>
        <v>0</v>
      </c>
      <c r="F94" s="484"/>
      <c r="G94" s="1346">
        <f>G92+G93</f>
        <v>266</v>
      </c>
      <c r="H94" s="460">
        <f>G94+'20'!H94</f>
        <v>4299</v>
      </c>
      <c r="I94" s="480"/>
      <c r="J94" s="553">
        <f>H94/DAY(B2)</f>
        <v>204.71428571428572</v>
      </c>
      <c r="K94" s="380"/>
      <c r="L94" s="377"/>
      <c r="N94" s="382"/>
      <c r="O94" s="382"/>
    </row>
    <row r="95" spans="1:15" ht="27.75">
      <c r="A95" s="1411" t="s">
        <v>209</v>
      </c>
      <c r="B95" s="1412"/>
      <c r="C95" s="1413"/>
      <c r="D95" s="523" t="s">
        <v>144</v>
      </c>
      <c r="E95" s="484">
        <f>'20'!F95</f>
        <v>409838</v>
      </c>
      <c r="F95" s="484">
        <v>409918</v>
      </c>
      <c r="G95" s="1346">
        <f t="shared" ref="G95:G100" si="11">F95-E95</f>
        <v>80</v>
      </c>
      <c r="H95" s="460">
        <f>G95+'20'!H95</f>
        <v>1762</v>
      </c>
      <c r="I95" s="480"/>
      <c r="J95" s="553">
        <f>H95/DAY(B2)</f>
        <v>83.904761904761898</v>
      </c>
      <c r="K95" s="380"/>
      <c r="L95" s="377"/>
      <c r="N95" s="382"/>
      <c r="O95" s="382"/>
    </row>
    <row r="96" spans="1:15" ht="27.75">
      <c r="A96" s="1148" t="s">
        <v>210</v>
      </c>
      <c r="B96" s="1149"/>
      <c r="C96" s="1149"/>
      <c r="D96" s="523" t="s">
        <v>144</v>
      </c>
      <c r="E96" s="484">
        <f>'20'!F96</f>
        <v>101625</v>
      </c>
      <c r="F96" s="484">
        <v>101651</v>
      </c>
      <c r="G96" s="1346">
        <f t="shared" si="11"/>
        <v>26</v>
      </c>
      <c r="H96" s="460">
        <f>G96+'20'!H96</f>
        <v>319</v>
      </c>
      <c r="I96" s="480"/>
      <c r="J96" s="553">
        <f>H96/DAY(B2)</f>
        <v>15.19047619047619</v>
      </c>
      <c r="K96" s="427"/>
      <c r="L96" s="377"/>
      <c r="N96" s="382"/>
      <c r="O96" s="382"/>
    </row>
    <row r="97" spans="1:15" ht="27.75">
      <c r="A97" s="1148" t="s">
        <v>211</v>
      </c>
      <c r="B97" s="1149"/>
      <c r="C97" s="1149"/>
      <c r="D97" s="523" t="s">
        <v>144</v>
      </c>
      <c r="E97" s="484">
        <f>'20'!F97</f>
        <v>96681</v>
      </c>
      <c r="F97" s="484">
        <v>96709</v>
      </c>
      <c r="G97" s="1346">
        <f t="shared" si="11"/>
        <v>28</v>
      </c>
      <c r="H97" s="460">
        <f>G97+'20'!H97</f>
        <v>260</v>
      </c>
      <c r="I97" s="480"/>
      <c r="J97" s="553">
        <f>H97/DAY(B2)</f>
        <v>12.380952380952381</v>
      </c>
      <c r="K97" s="432"/>
      <c r="L97" s="377"/>
      <c r="N97" s="382"/>
      <c r="O97" s="382"/>
    </row>
    <row r="98" spans="1:15" ht="27.75">
      <c r="A98" s="1148" t="s">
        <v>212</v>
      </c>
      <c r="B98" s="1149"/>
      <c r="C98" s="1149"/>
      <c r="D98" s="523" t="s">
        <v>144</v>
      </c>
      <c r="E98" s="484">
        <f>'20'!F98</f>
        <v>148510</v>
      </c>
      <c r="F98" s="484">
        <v>148547</v>
      </c>
      <c r="G98" s="1346">
        <f t="shared" si="11"/>
        <v>37</v>
      </c>
      <c r="H98" s="460">
        <f>G98+'20'!H98</f>
        <v>939</v>
      </c>
      <c r="I98" s="480"/>
      <c r="J98" s="553">
        <f>H98/DAY(B2)</f>
        <v>44.714285714285715</v>
      </c>
      <c r="K98" s="380"/>
      <c r="L98" s="377"/>
      <c r="N98" s="382"/>
      <c r="O98" s="382"/>
    </row>
    <row r="99" spans="1:15" ht="27.75">
      <c r="A99" s="1148" t="s">
        <v>213</v>
      </c>
      <c r="B99" s="1149"/>
      <c r="C99" s="1149"/>
      <c r="D99" s="523" t="s">
        <v>144</v>
      </c>
      <c r="E99" s="484">
        <f>'20'!F99</f>
        <v>6679</v>
      </c>
      <c r="F99" s="484">
        <v>6693</v>
      </c>
      <c r="G99" s="1346">
        <f t="shared" si="11"/>
        <v>14</v>
      </c>
      <c r="H99" s="460">
        <f>G99+'20'!H99</f>
        <v>285</v>
      </c>
      <c r="I99" s="480"/>
      <c r="J99" s="553">
        <f>H99/DAY(B2)</f>
        <v>13.571428571428571</v>
      </c>
      <c r="K99" s="380"/>
      <c r="L99" s="377"/>
      <c r="N99" s="382"/>
      <c r="O99" s="382"/>
    </row>
    <row r="100" spans="1:15" ht="27.75">
      <c r="A100" s="1148" t="s">
        <v>214</v>
      </c>
      <c r="B100" s="1149"/>
      <c r="C100" s="1149"/>
      <c r="D100" s="523" t="s">
        <v>144</v>
      </c>
      <c r="E100" s="484">
        <f>'20'!F100</f>
        <v>4774</v>
      </c>
      <c r="F100" s="484">
        <v>4785</v>
      </c>
      <c r="G100" s="1346">
        <f t="shared" si="11"/>
        <v>11</v>
      </c>
      <c r="H100" s="460">
        <f>G100+'20'!H100</f>
        <v>242</v>
      </c>
      <c r="I100" s="480"/>
      <c r="J100" s="553">
        <f>H100/DAY(B2)</f>
        <v>11.523809523809524</v>
      </c>
      <c r="K100" s="380"/>
      <c r="L100" s="377"/>
      <c r="N100" s="382"/>
      <c r="O100" s="382"/>
    </row>
    <row r="101" spans="1:15">
      <c r="A101" s="1405" t="s">
        <v>216</v>
      </c>
      <c r="B101" s="1406"/>
      <c r="C101" s="1407"/>
      <c r="D101" s="524"/>
      <c r="E101" s="524"/>
      <c r="F101" s="524"/>
      <c r="G101" s="1361">
        <f>SUM(G95:G100)</f>
        <v>196</v>
      </c>
      <c r="H101" s="460">
        <f>G101+'20'!H101</f>
        <v>3807</v>
      </c>
      <c r="I101" s="526"/>
      <c r="J101" s="553">
        <f>H101/DAY(B2)</f>
        <v>181.28571428571428</v>
      </c>
      <c r="K101" s="380"/>
      <c r="L101" s="377"/>
      <c r="N101" s="382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528"/>
      <c r="G102" s="1362"/>
      <c r="H102" s="530"/>
      <c r="I102" s="531"/>
      <c r="J102" s="558"/>
      <c r="N102" s="444"/>
      <c r="O102" s="382"/>
    </row>
    <row r="103" spans="1:15" s="442" customFormat="1" ht="27.75">
      <c r="A103" s="1414" t="s">
        <v>218</v>
      </c>
      <c r="B103" s="1415"/>
      <c r="C103" s="574"/>
      <c r="D103" s="623"/>
      <c r="E103" s="532"/>
      <c r="F103" s="532"/>
      <c r="G103" s="1363"/>
      <c r="H103" s="533"/>
      <c r="I103" s="532"/>
      <c r="J103" s="559"/>
      <c r="N103" s="444"/>
      <c r="O103" s="382"/>
    </row>
    <row r="104" spans="1:15" s="442" customFormat="1" ht="27.75">
      <c r="A104" s="1416" t="s">
        <v>219</v>
      </c>
      <c r="B104" s="1417"/>
      <c r="C104" s="1146"/>
      <c r="D104" s="623" t="s">
        <v>144</v>
      </c>
      <c r="E104" s="532">
        <f>'20'!F104</f>
        <v>7281</v>
      </c>
      <c r="F104" s="532">
        <v>7281</v>
      </c>
      <c r="G104" s="1363">
        <f>F104-E104</f>
        <v>0</v>
      </c>
      <c r="H104" s="460">
        <f>G104+'20'!H104</f>
        <v>120.15000000000009</v>
      </c>
      <c r="I104" s="532"/>
      <c r="J104" s="559">
        <f>H104/DAY(B2)</f>
        <v>5.721428571428576</v>
      </c>
      <c r="N104" s="444"/>
      <c r="O104" s="382"/>
    </row>
    <row r="105" spans="1:15" s="442" customFormat="1" ht="27.75">
      <c r="A105" s="1416" t="s">
        <v>77</v>
      </c>
      <c r="B105" s="1417"/>
      <c r="C105" s="1146"/>
      <c r="D105" s="623" t="s">
        <v>144</v>
      </c>
      <c r="E105" s="534">
        <f>'20'!F105</f>
        <v>35558</v>
      </c>
      <c r="F105" s="534">
        <v>35567</v>
      </c>
      <c r="G105" s="1363">
        <f t="shared" ref="G105:G106" si="12">F105-E105</f>
        <v>9</v>
      </c>
      <c r="H105" s="460">
        <f>G105+'20'!H105</f>
        <v>78</v>
      </c>
      <c r="I105" s="532"/>
      <c r="J105" s="559">
        <f>H105/DAY(B2)</f>
        <v>3.7142857142857144</v>
      </c>
      <c r="N105" s="444"/>
      <c r="O105" s="382"/>
    </row>
    <row r="106" spans="1:15" s="442" customFormat="1" ht="27.75">
      <c r="A106" s="1416" t="s">
        <v>78</v>
      </c>
      <c r="B106" s="1418"/>
      <c r="C106" s="1417"/>
      <c r="D106" s="623" t="s">
        <v>144</v>
      </c>
      <c r="E106" s="532">
        <f>'20'!F106</f>
        <v>19356</v>
      </c>
      <c r="F106" s="532">
        <v>19362</v>
      </c>
      <c r="G106" s="1363">
        <f t="shared" si="12"/>
        <v>6</v>
      </c>
      <c r="H106" s="460">
        <f>G106+'20'!H106</f>
        <v>412</v>
      </c>
      <c r="I106" s="532"/>
      <c r="J106" s="559">
        <f>H106/DAY(B2)</f>
        <v>19.61904761904762</v>
      </c>
      <c r="N106" s="444"/>
      <c r="O106" s="382"/>
    </row>
    <row r="107" spans="1:15" s="442" customFormat="1" ht="27.75">
      <c r="A107" s="1419" t="s">
        <v>202</v>
      </c>
      <c r="B107" s="1420"/>
      <c r="C107" s="1146"/>
      <c r="D107" s="623"/>
      <c r="E107" s="532">
        <f>'20'!F107</f>
        <v>0</v>
      </c>
      <c r="F107" s="532"/>
      <c r="G107" s="1363">
        <f>SUM(G104:G106)</f>
        <v>15</v>
      </c>
      <c r="H107" s="460">
        <f>G107+'20'!H107</f>
        <v>288</v>
      </c>
      <c r="I107" s="532"/>
      <c r="J107" s="559">
        <f>H107/DAY(B2)</f>
        <v>13.714285714285714</v>
      </c>
      <c r="N107" s="444"/>
      <c r="O107" s="382"/>
    </row>
    <row r="108" spans="1:15" s="442" customFormat="1" ht="27.75">
      <c r="A108" s="1421" t="s">
        <v>79</v>
      </c>
      <c r="B108" s="1422"/>
      <c r="C108" s="1146"/>
      <c r="D108" s="623" t="s">
        <v>144</v>
      </c>
      <c r="E108" s="532">
        <f>'20'!F108</f>
        <v>0</v>
      </c>
      <c r="F108" s="532"/>
      <c r="G108" s="1363"/>
      <c r="H108" s="460"/>
      <c r="I108" s="532"/>
      <c r="J108" s="559"/>
      <c r="N108" s="444"/>
      <c r="O108" s="382"/>
    </row>
    <row r="109" spans="1:15" s="442" customFormat="1" ht="27.75">
      <c r="A109" s="1416" t="s">
        <v>220</v>
      </c>
      <c r="B109" s="1417"/>
      <c r="C109" s="1146"/>
      <c r="D109" s="623" t="s">
        <v>144</v>
      </c>
      <c r="E109" s="532">
        <f>'20'!F109</f>
        <v>57867</v>
      </c>
      <c r="F109" s="532">
        <v>57962</v>
      </c>
      <c r="G109" s="1363">
        <f>F109-E109</f>
        <v>95</v>
      </c>
      <c r="H109" s="460">
        <f>G109+'20'!H109</f>
        <v>433.56000000005588</v>
      </c>
      <c r="I109" s="532"/>
      <c r="J109" s="559">
        <f>H109/DAY(B2)</f>
        <v>20.645714285716945</v>
      </c>
      <c r="N109" s="444"/>
      <c r="O109" s="382"/>
    </row>
    <row r="110" spans="1:15" s="442" customFormat="1" ht="27.75">
      <c r="A110" s="1416" t="s">
        <v>221</v>
      </c>
      <c r="B110" s="1417"/>
      <c r="C110" s="1146"/>
      <c r="D110" s="623" t="s">
        <v>144</v>
      </c>
      <c r="E110" s="532">
        <f>'20'!F110</f>
        <v>31335</v>
      </c>
      <c r="F110" s="532">
        <v>31357</v>
      </c>
      <c r="G110" s="1363">
        <f t="shared" ref="G110:G111" si="13">F110-E110</f>
        <v>22</v>
      </c>
      <c r="H110" s="460">
        <f>G110+'20'!H110</f>
        <v>93.169999999998254</v>
      </c>
      <c r="I110" s="532"/>
      <c r="J110" s="559">
        <f>H110/DAY(B2)</f>
        <v>4.4366666666665839</v>
      </c>
      <c r="N110" s="444"/>
      <c r="O110" s="382"/>
    </row>
    <row r="111" spans="1:15" s="442" customFormat="1" ht="27.75">
      <c r="A111" s="1416" t="s">
        <v>222</v>
      </c>
      <c r="B111" s="1417"/>
      <c r="C111" s="1146"/>
      <c r="D111" s="623" t="s">
        <v>144</v>
      </c>
      <c r="E111" s="532">
        <f>'20'!F111</f>
        <v>4098</v>
      </c>
      <c r="F111" s="532">
        <v>4098</v>
      </c>
      <c r="G111" s="1363">
        <f t="shared" si="13"/>
        <v>0</v>
      </c>
      <c r="H111" s="460">
        <f>G111+'20'!H111</f>
        <v>534</v>
      </c>
      <c r="I111" s="532"/>
      <c r="J111" s="559">
        <f>H111/DAY(B2)</f>
        <v>25.428571428571427</v>
      </c>
      <c r="N111" s="444"/>
      <c r="O111" s="382"/>
    </row>
    <row r="112" spans="1:15" s="442" customFormat="1" ht="27.75">
      <c r="A112" s="1448" t="s">
        <v>110</v>
      </c>
      <c r="B112" s="1449"/>
      <c r="C112" s="1146"/>
      <c r="D112" s="623"/>
      <c r="E112" s="532">
        <f>'20'!F112</f>
        <v>0</v>
      </c>
      <c r="F112" s="532"/>
      <c r="G112" s="1363">
        <f>SUM(G109:G111)</f>
        <v>117</v>
      </c>
      <c r="H112" s="460">
        <f>G112+'20'!H112</f>
        <v>1100</v>
      </c>
      <c r="I112" s="532"/>
      <c r="J112" s="559">
        <f>H112/DAY(B2)</f>
        <v>52.38095238095238</v>
      </c>
      <c r="N112" s="444"/>
      <c r="O112" s="382"/>
    </row>
    <row r="113" spans="1:15" s="442" customFormat="1" ht="27.75">
      <c r="A113" s="1421" t="s">
        <v>223</v>
      </c>
      <c r="B113" s="1422"/>
      <c r="C113" s="1146"/>
      <c r="D113" s="623"/>
      <c r="E113" s="532">
        <f>'20'!F113</f>
        <v>0</v>
      </c>
      <c r="F113" s="532"/>
      <c r="G113" s="1363"/>
      <c r="H113" s="460"/>
      <c r="I113" s="532"/>
      <c r="J113" s="559">
        <f>H113/DAY(B2)</f>
        <v>0</v>
      </c>
      <c r="N113" s="444"/>
      <c r="O113" s="382"/>
    </row>
    <row r="114" spans="1:15" s="442" customFormat="1" ht="27.75">
      <c r="A114" s="1416" t="s">
        <v>224</v>
      </c>
      <c r="B114" s="1417"/>
      <c r="C114" s="575"/>
      <c r="D114" s="623" t="s">
        <v>144</v>
      </c>
      <c r="E114" s="534">
        <f>'20'!F114</f>
        <v>10648</v>
      </c>
      <c r="F114" s="534">
        <v>10665</v>
      </c>
      <c r="G114" s="1364">
        <f>F114-E114</f>
        <v>17</v>
      </c>
      <c r="H114" s="460">
        <f>G114+'20'!H114</f>
        <v>47</v>
      </c>
      <c r="I114" s="532"/>
      <c r="J114" s="559">
        <f>H114/DAY(B2)</f>
        <v>2.2380952380952381</v>
      </c>
      <c r="N114" s="444"/>
      <c r="O114" s="382"/>
    </row>
    <row r="115" spans="1:15" s="442" customFormat="1" ht="27.75">
      <c r="A115" s="1416" t="s">
        <v>225</v>
      </c>
      <c r="B115" s="1417"/>
      <c r="C115" s="575"/>
      <c r="D115" s="623" t="s">
        <v>144</v>
      </c>
      <c r="E115" s="534">
        <f>'20'!F115</f>
        <v>7849</v>
      </c>
      <c r="F115" s="534">
        <v>7853</v>
      </c>
      <c r="G115" s="1364">
        <f t="shared" ref="G115:G116" si="14">F115-E115</f>
        <v>4</v>
      </c>
      <c r="H115" s="460">
        <f>G115+'20'!H115</f>
        <v>144</v>
      </c>
      <c r="I115" s="532"/>
      <c r="J115" s="559">
        <f>H115/DAY(B2)</f>
        <v>6.8571428571428568</v>
      </c>
      <c r="N115" s="444"/>
      <c r="O115" s="382"/>
    </row>
    <row r="116" spans="1:15" s="442" customFormat="1" ht="27.75">
      <c r="A116" s="1416" t="s">
        <v>226</v>
      </c>
      <c r="B116" s="1417"/>
      <c r="C116" s="575"/>
      <c r="D116" s="623" t="s">
        <v>144</v>
      </c>
      <c r="E116" s="534"/>
      <c r="F116" s="534"/>
      <c r="G116" s="1364">
        <f t="shared" si="14"/>
        <v>0</v>
      </c>
      <c r="H116" s="460">
        <f>G116+'20'!H116</f>
        <v>144</v>
      </c>
      <c r="I116" s="532"/>
      <c r="J116" s="559">
        <f>H116/DAY(B2)</f>
        <v>6.8571428571428568</v>
      </c>
      <c r="N116" s="444"/>
      <c r="O116" s="382"/>
    </row>
    <row r="117" spans="1:15" s="445" customFormat="1" ht="27.75">
      <c r="A117" s="1419" t="s">
        <v>202</v>
      </c>
      <c r="B117" s="1420"/>
      <c r="C117" s="575"/>
      <c r="D117" s="624"/>
      <c r="E117" s="534"/>
      <c r="F117" s="534"/>
      <c r="G117" s="1364">
        <f>SUM(G114:G116)</f>
        <v>21</v>
      </c>
      <c r="H117" s="460">
        <f>G117+'20'!H117</f>
        <v>145</v>
      </c>
      <c r="I117" s="534"/>
      <c r="J117" s="559">
        <f>H117/DAY(B2)</f>
        <v>6.9047619047619051</v>
      </c>
      <c r="N117" s="447"/>
      <c r="O117" s="382"/>
    </row>
    <row r="118" spans="1:15" s="446" customFormat="1" ht="27.75">
      <c r="A118" s="1450" t="s">
        <v>227</v>
      </c>
      <c r="B118" s="1451"/>
      <c r="C118" s="1145"/>
      <c r="D118" s="625" t="s">
        <v>144</v>
      </c>
      <c r="E118" s="536"/>
      <c r="F118" s="536">
        <f>SUM(G19+G92)</f>
        <v>168</v>
      </c>
      <c r="G118" s="1364">
        <f>SUM(G19+G92)</f>
        <v>168</v>
      </c>
      <c r="H118" s="460">
        <f>G118+'20'!H118</f>
        <v>543</v>
      </c>
      <c r="I118" s="535"/>
      <c r="J118" s="560">
        <f>H118/DAY(B2)</f>
        <v>25.857142857142858</v>
      </c>
      <c r="N118" s="784"/>
      <c r="O118" s="382"/>
    </row>
    <row r="119" spans="1:15" s="446" customFormat="1" ht="27.75">
      <c r="A119" s="1450" t="s">
        <v>228</v>
      </c>
      <c r="B119" s="1451"/>
      <c r="C119" s="1145"/>
      <c r="D119" s="625" t="s">
        <v>144</v>
      </c>
      <c r="E119" s="536"/>
      <c r="F119" s="536">
        <f>SUM(G95,G96,G97,G99,G100)</f>
        <v>159</v>
      </c>
      <c r="G119" s="1364">
        <f>SUM(G95,G96,G97,G99,G100)</f>
        <v>159</v>
      </c>
      <c r="H119" s="460">
        <f>G119+'20'!H119</f>
        <v>594</v>
      </c>
      <c r="I119" s="535"/>
      <c r="J119" s="560">
        <f>H119/DAY(B2)</f>
        <v>28.285714285714285</v>
      </c>
      <c r="N119" s="784"/>
      <c r="O119" s="382"/>
    </row>
    <row r="120" spans="1:15" s="446" customFormat="1" ht="27.75">
      <c r="A120" s="1450" t="s">
        <v>229</v>
      </c>
      <c r="B120" s="1451"/>
      <c r="C120" s="1145"/>
      <c r="D120" s="625" t="s">
        <v>144</v>
      </c>
      <c r="E120" s="534"/>
      <c r="F120" s="534">
        <f>SUM(G112)</f>
        <v>117</v>
      </c>
      <c r="G120" s="1364">
        <f>SUM(G112)</f>
        <v>117</v>
      </c>
      <c r="H120" s="460">
        <f>G120+'20'!H120</f>
        <v>424</v>
      </c>
      <c r="I120" s="535"/>
      <c r="J120" s="560">
        <f>H120/DAY(B2)</f>
        <v>20.19047619047619</v>
      </c>
      <c r="N120" s="784"/>
      <c r="O120" s="382"/>
    </row>
    <row r="121" spans="1:15" s="442" customFormat="1" ht="27.75">
      <c r="A121" s="1452"/>
      <c r="B121" s="1453"/>
      <c r="C121" s="1146"/>
      <c r="D121" s="561"/>
      <c r="E121" s="561"/>
      <c r="F121" s="561" t="s">
        <v>215</v>
      </c>
      <c r="G121" s="1365"/>
      <c r="H121" s="562">
        <v>0</v>
      </c>
      <c r="I121" s="561"/>
      <c r="J121" s="563"/>
      <c r="N121" s="444"/>
      <c r="O121" s="382"/>
    </row>
    <row r="122" spans="1:15">
      <c r="A122" s="1402" t="s">
        <v>230</v>
      </c>
      <c r="B122" s="1403"/>
      <c r="C122" s="1404"/>
      <c r="D122" s="472"/>
      <c r="E122" s="472"/>
      <c r="F122" s="472"/>
      <c r="G122" s="1349"/>
      <c r="H122" s="483">
        <v>0</v>
      </c>
      <c r="I122" s="483"/>
      <c r="J122" s="564"/>
      <c r="K122" s="380"/>
      <c r="L122" s="377"/>
      <c r="N122" s="382"/>
      <c r="O122" s="382"/>
    </row>
    <row r="123" spans="1:15" ht="27.75">
      <c r="A123" s="1148" t="s">
        <v>231</v>
      </c>
      <c r="B123" s="1149"/>
      <c r="C123" s="1149"/>
      <c r="D123" s="523" t="s">
        <v>141</v>
      </c>
      <c r="E123" s="478">
        <f>'20'!F123</f>
        <v>816030.47</v>
      </c>
      <c r="F123" s="478">
        <v>816330.72</v>
      </c>
      <c r="G123" s="1346">
        <f t="shared" ref="G123:G127" si="15">F123-E123</f>
        <v>300.25</v>
      </c>
      <c r="H123" s="460">
        <f>G123+'20'!H123</f>
        <v>5323.8800000000047</v>
      </c>
      <c r="I123" s="526"/>
      <c r="J123" s="553">
        <f>H123/DAY(B2)</f>
        <v>253.51809523809547</v>
      </c>
      <c r="K123" s="380"/>
      <c r="L123" s="377"/>
      <c r="N123" s="382"/>
      <c r="O123" s="382"/>
    </row>
    <row r="124" spans="1:15" ht="27.75">
      <c r="A124" s="1148" t="s">
        <v>232</v>
      </c>
      <c r="B124" s="1149"/>
      <c r="C124" s="1149"/>
      <c r="D124" s="523" t="s">
        <v>141</v>
      </c>
      <c r="E124" s="627">
        <f>'20'!F124</f>
        <v>73583</v>
      </c>
      <c r="F124" s="627">
        <v>73583</v>
      </c>
      <c r="G124" s="1346">
        <f t="shared" si="15"/>
        <v>0</v>
      </c>
      <c r="H124" s="460">
        <f>G124+'20'!H124</f>
        <v>-0.39999999999417923</v>
      </c>
      <c r="I124" s="526"/>
      <c r="J124" s="553">
        <f>H124/DAY(B2)</f>
        <v>-1.9047619047341868E-2</v>
      </c>
      <c r="K124" s="380"/>
      <c r="L124" s="377"/>
      <c r="N124" s="382"/>
      <c r="O124" s="382"/>
    </row>
    <row r="125" spans="1:15" ht="27.75">
      <c r="A125" s="1408" t="s">
        <v>233</v>
      </c>
      <c r="B125" s="1409"/>
      <c r="C125" s="1410"/>
      <c r="D125" s="523" t="s">
        <v>141</v>
      </c>
      <c r="E125" s="478">
        <f>'20'!F125</f>
        <v>141308.01</v>
      </c>
      <c r="F125" s="478">
        <v>141381.29</v>
      </c>
      <c r="G125" s="1346">
        <f t="shared" si="15"/>
        <v>73.279999999998836</v>
      </c>
      <c r="H125" s="460">
        <f>G125+'20'!H125</f>
        <v>1401.9500000000116</v>
      </c>
      <c r="I125" s="526"/>
      <c r="J125" s="553">
        <f>H125/DAY(B2)</f>
        <v>66.759523809524367</v>
      </c>
      <c r="K125" s="380"/>
      <c r="L125" s="377"/>
      <c r="N125" s="382"/>
      <c r="O125" s="382"/>
    </row>
    <row r="126" spans="1:15" ht="27.75">
      <c r="A126" s="610" t="s">
        <v>234</v>
      </c>
      <c r="B126" s="1149"/>
      <c r="C126" s="1149"/>
      <c r="D126" s="523" t="s">
        <v>141</v>
      </c>
      <c r="E126" s="627">
        <f>'20'!F126</f>
        <v>59750.8</v>
      </c>
      <c r="F126" s="627">
        <v>59780.6</v>
      </c>
      <c r="G126" s="1346">
        <f t="shared" si="15"/>
        <v>29.799999999995634</v>
      </c>
      <c r="H126" s="460">
        <f>G126+'20'!H126</f>
        <v>473.69999999999709</v>
      </c>
      <c r="I126" s="526"/>
      <c r="J126" s="553">
        <f>H126/DAY(B2)</f>
        <v>22.557142857142718</v>
      </c>
      <c r="K126" s="380"/>
      <c r="L126" s="377"/>
      <c r="N126" s="382"/>
      <c r="O126" s="382"/>
    </row>
    <row r="127" spans="1:15" ht="27.75">
      <c r="A127" s="610" t="s">
        <v>235</v>
      </c>
      <c r="B127" s="1149"/>
      <c r="C127" s="1149"/>
      <c r="D127" s="523" t="s">
        <v>141</v>
      </c>
      <c r="E127" s="627">
        <f>'20'!F127</f>
        <v>8938.4</v>
      </c>
      <c r="F127" s="627">
        <v>8940.9</v>
      </c>
      <c r="G127" s="1346">
        <f t="shared" si="15"/>
        <v>2.5</v>
      </c>
      <c r="H127" s="460">
        <f>G127+'20'!H127</f>
        <v>53.100000000000364</v>
      </c>
      <c r="I127" s="480"/>
      <c r="J127" s="553">
        <f>H127/DAY(B2)</f>
        <v>2.5285714285714458</v>
      </c>
      <c r="K127" s="380"/>
      <c r="L127" s="377"/>
      <c r="N127" s="382"/>
      <c r="O127" s="382"/>
    </row>
    <row r="128" spans="1:15" s="281" customFormat="1" ht="27.75">
      <c r="A128" s="610" t="s">
        <v>236</v>
      </c>
      <c r="B128" s="1149"/>
      <c r="C128" s="1149"/>
      <c r="D128" s="523"/>
      <c r="E128" s="478"/>
      <c r="F128" s="478"/>
      <c r="G128" s="1346">
        <f>G15-SUM(G123:G127)</f>
        <v>574.13999999997759</v>
      </c>
      <c r="H128" s="460">
        <f>G128+'20'!H128</f>
        <v>3021.7009999999336</v>
      </c>
      <c r="I128" s="480"/>
      <c r="J128" s="553">
        <f>H128/DAY(B2)</f>
        <v>143.89052380952066</v>
      </c>
      <c r="K128" s="364"/>
      <c r="L128" s="292"/>
      <c r="N128" s="365"/>
      <c r="O128" s="382"/>
    </row>
    <row r="129" spans="1:15">
      <c r="A129" s="611" t="s">
        <v>237</v>
      </c>
      <c r="B129" s="458"/>
      <c r="C129" s="458"/>
      <c r="D129" s="471"/>
      <c r="E129" s="471"/>
      <c r="F129" s="471"/>
      <c r="G129" s="1366"/>
      <c r="H129" s="541"/>
      <c r="I129" s="541"/>
      <c r="J129" s="565"/>
      <c r="N129" s="382"/>
      <c r="O129" s="382"/>
    </row>
    <row r="130" spans="1:15" ht="27.75">
      <c r="A130" s="1148" t="s">
        <v>238</v>
      </c>
      <c r="B130" s="1149"/>
      <c r="C130" s="1149"/>
      <c r="D130" s="523" t="s">
        <v>239</v>
      </c>
      <c r="E130" s="484">
        <f>'20'!F130</f>
        <v>0</v>
      </c>
      <c r="F130" s="484">
        <v>0</v>
      </c>
      <c r="G130" s="1346">
        <f t="shared" ref="G130:G140" si="16">F130-E130</f>
        <v>0</v>
      </c>
      <c r="H130" s="460">
        <f>G130+'20'!H130</f>
        <v>0</v>
      </c>
      <c r="I130" s="480"/>
      <c r="J130" s="553">
        <f>H130/DAY(B2)</f>
        <v>0</v>
      </c>
      <c r="N130" s="382"/>
      <c r="O130" s="382"/>
    </row>
    <row r="131" spans="1:15" ht="27.75">
      <c r="A131" s="1148" t="s">
        <v>240</v>
      </c>
      <c r="B131" s="1149"/>
      <c r="C131" s="1149"/>
      <c r="D131" s="523" t="s">
        <v>239</v>
      </c>
      <c r="E131" s="484">
        <f>'20'!F131</f>
        <v>0</v>
      </c>
      <c r="F131" s="484">
        <v>0</v>
      </c>
      <c r="G131" s="1346">
        <f t="shared" si="16"/>
        <v>0</v>
      </c>
      <c r="H131" s="460">
        <f>G131+'20'!H131</f>
        <v>0</v>
      </c>
      <c r="I131" s="480"/>
      <c r="J131" s="553">
        <f>H131/DAY(B2)</f>
        <v>0</v>
      </c>
      <c r="N131" s="382"/>
      <c r="O131" s="382"/>
    </row>
    <row r="132" spans="1:15" ht="27.75">
      <c r="A132" s="1148" t="s">
        <v>241</v>
      </c>
      <c r="B132" s="1149"/>
      <c r="C132" s="1149"/>
      <c r="D132" s="523" t="s">
        <v>239</v>
      </c>
      <c r="E132" s="542">
        <f>'20'!F132</f>
        <v>39269.15</v>
      </c>
      <c r="F132" s="542">
        <v>39293.5</v>
      </c>
      <c r="G132" s="1346">
        <f t="shared" si="16"/>
        <v>24.349999999998545</v>
      </c>
      <c r="H132" s="460">
        <f>G132+'20'!H132</f>
        <v>455.16999999999825</v>
      </c>
      <c r="I132" s="480"/>
      <c r="J132" s="553">
        <f>H132/DAY(B2)</f>
        <v>21.674761904761823</v>
      </c>
      <c r="N132" s="382"/>
      <c r="O132" s="382"/>
    </row>
    <row r="133" spans="1:15" s="441" customFormat="1" ht="27.75">
      <c r="A133" s="1077" t="s">
        <v>242</v>
      </c>
      <c r="B133" s="1078"/>
      <c r="C133" s="1078"/>
      <c r="D133" s="628" t="s">
        <v>239</v>
      </c>
      <c r="E133" s="542">
        <f>'20'!F133</f>
        <v>299.52</v>
      </c>
      <c r="F133" s="542">
        <v>299.52</v>
      </c>
      <c r="G133" s="1368">
        <f t="shared" si="16"/>
        <v>0</v>
      </c>
      <c r="H133" s="710">
        <f>G133+'20'!H133</f>
        <v>-0.48000000000001819</v>
      </c>
      <c r="I133" s="1079">
        <f>G130+G131+G132+G133</f>
        <v>24.349999999998545</v>
      </c>
      <c r="J133" s="712">
        <f>H133/DAY(B2)</f>
        <v>-2.2857142857143724E-2</v>
      </c>
      <c r="N133" s="718"/>
      <c r="O133" s="718"/>
    </row>
    <row r="134" spans="1:15" ht="27.75">
      <c r="A134" s="1148" t="s">
        <v>243</v>
      </c>
      <c r="B134" s="1149"/>
      <c r="C134" s="1149"/>
      <c r="D134" s="523" t="s">
        <v>239</v>
      </c>
      <c r="E134" s="542">
        <f>'20'!F134</f>
        <v>40802</v>
      </c>
      <c r="F134" s="542">
        <v>40802</v>
      </c>
      <c r="G134" s="1346">
        <f t="shared" si="16"/>
        <v>0</v>
      </c>
      <c r="H134" s="460">
        <f>G134+'20'!H134</f>
        <v>434.86000000000058</v>
      </c>
      <c r="I134" s="480"/>
      <c r="J134" s="553">
        <f>H134/DAY(B2)</f>
        <v>20.707619047619076</v>
      </c>
      <c r="N134" s="382"/>
      <c r="O134" s="382"/>
    </row>
    <row r="135" spans="1:15" ht="27.75">
      <c r="A135" s="1148" t="s">
        <v>244</v>
      </c>
      <c r="B135" s="1149"/>
      <c r="C135" s="1149"/>
      <c r="D135" s="523" t="s">
        <v>239</v>
      </c>
      <c r="E135" s="542">
        <f>'20'!F135</f>
        <v>32582.92</v>
      </c>
      <c r="F135" s="542">
        <v>32582.92</v>
      </c>
      <c r="G135" s="1346">
        <f t="shared" si="16"/>
        <v>0</v>
      </c>
      <c r="H135" s="460">
        <f>G135+'20'!H135</f>
        <v>11.919999999998254</v>
      </c>
      <c r="I135" s="480"/>
      <c r="J135" s="553">
        <f>H135/DAY(B2)</f>
        <v>0.56761904761896442</v>
      </c>
      <c r="N135" s="382"/>
      <c r="O135" s="382"/>
    </row>
    <row r="136" spans="1:15" ht="27.75">
      <c r="A136" s="1148" t="s">
        <v>245</v>
      </c>
      <c r="B136" s="1149"/>
      <c r="C136" s="1149"/>
      <c r="D136" s="523" t="s">
        <v>239</v>
      </c>
      <c r="E136" s="542">
        <f>'20'!F136</f>
        <v>22390.75</v>
      </c>
      <c r="F136" s="542">
        <v>22400.32</v>
      </c>
      <c r="G136" s="1346">
        <f t="shared" si="16"/>
        <v>9.569999999999709</v>
      </c>
      <c r="H136" s="460">
        <f>G136+'20'!H136</f>
        <v>178.11000000000058</v>
      </c>
      <c r="I136" s="480">
        <f>G134+G135+G136</f>
        <v>9.569999999999709</v>
      </c>
      <c r="J136" s="553">
        <f>H136/DAY(B2)</f>
        <v>8.4814285714285997</v>
      </c>
      <c r="N136" s="382"/>
      <c r="O136" s="382"/>
    </row>
    <row r="137" spans="1:15" ht="27.75">
      <c r="A137" s="1148" t="s">
        <v>246</v>
      </c>
      <c r="B137" s="1149"/>
      <c r="C137" s="1149"/>
      <c r="D137" s="523" t="s">
        <v>239</v>
      </c>
      <c r="E137" s="542">
        <f>'20'!F137</f>
        <v>25044.31</v>
      </c>
      <c r="F137" s="542">
        <v>25044.31</v>
      </c>
      <c r="G137" s="1346">
        <f t="shared" si="16"/>
        <v>0</v>
      </c>
      <c r="H137" s="460">
        <f>G137+'20'!H137</f>
        <v>0</v>
      </c>
      <c r="I137" s="480"/>
      <c r="J137" s="553">
        <f>H137/DAY(B2)</f>
        <v>0</v>
      </c>
      <c r="N137" s="382"/>
      <c r="O137" s="382"/>
    </row>
    <row r="138" spans="1:15" ht="27.75">
      <c r="A138" s="1148" t="s">
        <v>247</v>
      </c>
      <c r="B138" s="1149"/>
      <c r="C138" s="1149"/>
      <c r="D138" s="523" t="s">
        <v>239</v>
      </c>
      <c r="E138" s="542">
        <f>'20'!F138</f>
        <v>70229.62</v>
      </c>
      <c r="F138" s="542">
        <v>70231.600000000006</v>
      </c>
      <c r="G138" s="1346">
        <f t="shared" si="16"/>
        <v>1.9800000000104774</v>
      </c>
      <c r="H138" s="460">
        <f>G138+'20'!H138</f>
        <v>84.260000000009313</v>
      </c>
      <c r="I138" s="480">
        <f>G137+G138</f>
        <v>1.9800000000104774</v>
      </c>
      <c r="J138" s="553">
        <f>H138/DAY(B2)</f>
        <v>4.0123809523813962</v>
      </c>
      <c r="N138" s="382"/>
      <c r="O138" s="382"/>
    </row>
    <row r="139" spans="1:15" ht="27.75">
      <c r="A139" s="1148" t="s">
        <v>248</v>
      </c>
      <c r="B139" s="1149"/>
      <c r="C139" s="1149"/>
      <c r="D139" s="523" t="s">
        <v>239</v>
      </c>
      <c r="E139" s="484">
        <f>'20'!F139</f>
        <v>1536.52</v>
      </c>
      <c r="F139" s="484">
        <v>1536.52</v>
      </c>
      <c r="G139" s="1346">
        <f t="shared" si="16"/>
        <v>0</v>
      </c>
      <c r="H139" s="460">
        <f>G139+'20'!H139</f>
        <v>113.37999999999988</v>
      </c>
      <c r="I139" s="543"/>
      <c r="J139" s="553">
        <f>H139/DAY(B2)</f>
        <v>5.3990476190476135</v>
      </c>
      <c r="N139" s="382"/>
      <c r="O139" s="382"/>
    </row>
    <row r="140" spans="1:15" ht="27.75">
      <c r="A140" s="1148" t="s">
        <v>249</v>
      </c>
      <c r="B140" s="1149"/>
      <c r="C140" s="1149"/>
      <c r="D140" s="523" t="s">
        <v>239</v>
      </c>
      <c r="E140" s="484">
        <f>'20'!F140</f>
        <v>4370.8500000000004</v>
      </c>
      <c r="F140" s="484">
        <v>4380.67</v>
      </c>
      <c r="G140" s="1346">
        <f t="shared" si="16"/>
        <v>9.819999999999709</v>
      </c>
      <c r="H140" s="460">
        <f>G140+'20'!H140</f>
        <v>46.670000000000073</v>
      </c>
      <c r="I140" s="543"/>
      <c r="J140" s="553">
        <f>H140/DAY(B2)</f>
        <v>2.2223809523809557</v>
      </c>
      <c r="N140" s="382"/>
      <c r="O140" s="382"/>
    </row>
    <row r="141" spans="1:15">
      <c r="A141" s="1446" t="s">
        <v>250</v>
      </c>
      <c r="B141" s="1447"/>
      <c r="C141" s="1154"/>
      <c r="D141" s="472"/>
      <c r="E141" s="472"/>
      <c r="F141" s="472"/>
      <c r="G141" s="1349"/>
      <c r="H141" s="483"/>
      <c r="I141" s="483"/>
      <c r="J141" s="564"/>
      <c r="K141" s="380"/>
      <c r="L141" s="377"/>
      <c r="N141" s="382"/>
      <c r="O141" s="382"/>
    </row>
    <row r="142" spans="1:15" ht="27.75">
      <c r="A142" s="1411" t="s">
        <v>251</v>
      </c>
      <c r="B142" s="1412"/>
      <c r="C142" s="1413"/>
      <c r="D142" s="523" t="s">
        <v>132</v>
      </c>
      <c r="E142" s="523"/>
      <c r="F142" s="523"/>
      <c r="G142" s="1359">
        <f>G35+G43+G49+G57</f>
        <v>5827.4899999999907</v>
      </c>
      <c r="H142" s="460">
        <f>G142+'20'!H142</f>
        <v>120680.24000000006</v>
      </c>
      <c r="I142" s="480"/>
      <c r="J142" s="553">
        <f>H142/DAY(B2)</f>
        <v>5746.6780952380986</v>
      </c>
      <c r="K142" s="380"/>
      <c r="L142" s="377"/>
      <c r="N142" s="382"/>
      <c r="O142" s="382"/>
    </row>
    <row r="143" spans="1:15" ht="27.75">
      <c r="A143" s="1411" t="s">
        <v>252</v>
      </c>
      <c r="B143" s="1412"/>
      <c r="C143" s="1413"/>
      <c r="D143" s="523" t="s">
        <v>24</v>
      </c>
      <c r="E143" s="511"/>
      <c r="F143" s="511"/>
      <c r="G143" s="1369">
        <f>G142/G7</f>
        <v>0.27081931406264481</v>
      </c>
      <c r="H143" s="460">
        <f>G143+'20'!H143</f>
        <v>5.4727375654880293</v>
      </c>
      <c r="I143" s="545"/>
      <c r="J143" s="553">
        <f>H143/DAY(B2)</f>
        <v>0.2606065507375252</v>
      </c>
      <c r="K143" s="380"/>
      <c r="L143" s="377"/>
      <c r="N143" s="382"/>
      <c r="O143" s="382"/>
    </row>
    <row r="144" spans="1:15" ht="27.75">
      <c r="A144" s="1411" t="s">
        <v>253</v>
      </c>
      <c r="B144" s="1412"/>
      <c r="C144" s="1413"/>
      <c r="D144" s="523" t="s">
        <v>132</v>
      </c>
      <c r="E144" s="455"/>
      <c r="F144" s="455"/>
      <c r="G144" s="1359">
        <f>G41+G42+G55+G56</f>
        <v>5380.7369999999719</v>
      </c>
      <c r="H144" s="460">
        <f>G144+'20'!H144</f>
        <v>111112.20999999999</v>
      </c>
      <c r="I144" s="480"/>
      <c r="J144" s="553">
        <f>H144/DAY(B2)</f>
        <v>5291.0576190476186</v>
      </c>
      <c r="K144" s="380"/>
      <c r="L144" s="377"/>
      <c r="N144" s="382"/>
      <c r="O144" s="382"/>
    </row>
    <row r="145" spans="1:15" ht="27.75">
      <c r="A145" s="1411" t="s">
        <v>254</v>
      </c>
      <c r="B145" s="1412"/>
      <c r="C145" s="1413"/>
      <c r="D145" s="523" t="s">
        <v>24</v>
      </c>
      <c r="E145" s="455"/>
      <c r="F145" s="455"/>
      <c r="G145" s="1369">
        <f>G144/G7</f>
        <v>0.25005748675527334</v>
      </c>
      <c r="H145" s="460">
        <f>G145+'20'!H145</f>
        <v>5.2032282348242402</v>
      </c>
      <c r="I145" s="545"/>
      <c r="J145" s="553">
        <f>H145/DAY(B2)</f>
        <v>0.24777277308686857</v>
      </c>
      <c r="K145" s="380"/>
      <c r="L145" s="377"/>
      <c r="N145" s="382"/>
      <c r="O145" s="382"/>
    </row>
    <row r="146" spans="1:15" ht="27.75">
      <c r="A146" s="1411" t="s">
        <v>255</v>
      </c>
      <c r="B146" s="1412"/>
      <c r="C146" s="1413"/>
      <c r="D146" s="523" t="s">
        <v>132</v>
      </c>
      <c r="E146" s="455"/>
      <c r="F146" s="455"/>
      <c r="G146" s="1359">
        <f>G39+G53</f>
        <v>4385.2799999999988</v>
      </c>
      <c r="H146" s="460">
        <f>G146+'20'!H146</f>
        <v>189034.66</v>
      </c>
      <c r="I146" s="546"/>
      <c r="J146" s="553">
        <f>H146/DAY(B2)</f>
        <v>9001.6504761904762</v>
      </c>
      <c r="K146" s="380"/>
      <c r="L146" s="377"/>
      <c r="N146" s="382"/>
      <c r="O146" s="382"/>
    </row>
    <row r="147" spans="1:15" ht="27.75">
      <c r="A147" s="1411" t="s">
        <v>256</v>
      </c>
      <c r="B147" s="1412"/>
      <c r="C147" s="1413"/>
      <c r="D147" s="523" t="s">
        <v>24</v>
      </c>
      <c r="E147" s="455"/>
      <c r="F147" s="455"/>
      <c r="G147" s="1369">
        <f>G146/G7</f>
        <v>0.20379589181150659</v>
      </c>
      <c r="H147" s="460">
        <f>G147+'20'!H147</f>
        <v>9.0847348893522089</v>
      </c>
      <c r="I147" s="546"/>
      <c r="J147" s="553">
        <f>H147/DAY(B2)</f>
        <v>0.43260642330248611</v>
      </c>
      <c r="N147" s="382"/>
      <c r="O147" s="382"/>
    </row>
    <row r="148" spans="1:15" ht="27.75">
      <c r="A148" s="1411" t="s">
        <v>257</v>
      </c>
      <c r="B148" s="1412"/>
      <c r="C148" s="1413"/>
      <c r="D148" s="523" t="s">
        <v>183</v>
      </c>
      <c r="E148" s="455"/>
      <c r="F148" s="455"/>
      <c r="G148" s="1359">
        <f>G38+G52</f>
        <v>1861.4300000000003</v>
      </c>
      <c r="H148" s="460">
        <f>G148+'20'!H148</f>
        <v>41505.029999999933</v>
      </c>
      <c r="I148" s="480"/>
      <c r="J148" s="553">
        <f>H148/DAY(B2)</f>
        <v>1976.4299999999969</v>
      </c>
      <c r="K148" s="381"/>
      <c r="N148" s="382"/>
      <c r="O148" s="382"/>
    </row>
    <row r="149" spans="1:15" ht="27.75">
      <c r="A149" s="1411" t="s">
        <v>258</v>
      </c>
      <c r="B149" s="1412"/>
      <c r="C149" s="1413"/>
      <c r="D149" s="523" t="s">
        <v>24</v>
      </c>
      <c r="E149" s="455"/>
      <c r="F149" s="455"/>
      <c r="G149" s="1369">
        <f>G148/G7</f>
        <v>8.6505716144623115E-2</v>
      </c>
      <c r="H149" s="460">
        <f>G149+'20'!H149</f>
        <v>1.9475239158072648</v>
      </c>
      <c r="I149" s="546"/>
      <c r="J149" s="553">
        <f>H149/DAY(B2)</f>
        <v>9.2739234086060232E-2</v>
      </c>
      <c r="N149" s="382"/>
      <c r="O149" s="382"/>
    </row>
    <row r="150" spans="1:15" ht="27.75">
      <c r="A150" s="1411" t="s">
        <v>259</v>
      </c>
      <c r="B150" s="1412"/>
      <c r="C150" s="1413"/>
      <c r="D150" s="523" t="s">
        <v>183</v>
      </c>
      <c r="E150" s="455"/>
      <c r="F150" s="455"/>
      <c r="G150" s="1359">
        <f>G36+G50</f>
        <v>1817.6199999999953</v>
      </c>
      <c r="H150" s="460">
        <f>G150+'20'!H150</f>
        <v>39381.659999999974</v>
      </c>
      <c r="I150" s="546"/>
      <c r="J150" s="553">
        <f>H150/DAY(B2)</f>
        <v>1875.3171428571416</v>
      </c>
      <c r="N150" s="382"/>
      <c r="O150" s="382"/>
    </row>
    <row r="151" spans="1:15" ht="27.75">
      <c r="A151" s="1411" t="s">
        <v>260</v>
      </c>
      <c r="B151" s="1412"/>
      <c r="C151" s="1413"/>
      <c r="D151" s="523" t="s">
        <v>24</v>
      </c>
      <c r="E151" s="455"/>
      <c r="F151" s="455"/>
      <c r="G151" s="1369">
        <f>G150/G7</f>
        <v>8.446974625894578E-2</v>
      </c>
      <c r="H151" s="460">
        <f>G151+'20'!H151</f>
        <v>1.8430981167415681</v>
      </c>
      <c r="I151" s="480"/>
      <c r="J151" s="553">
        <f>H151/DAY(B2)</f>
        <v>8.7766576987693717E-2</v>
      </c>
      <c r="N151" s="382"/>
      <c r="O151" s="382"/>
    </row>
    <row r="152" spans="1:15" ht="27.75">
      <c r="A152" s="1411" t="s">
        <v>261</v>
      </c>
      <c r="B152" s="1412"/>
      <c r="C152" s="1413"/>
      <c r="D152" s="523" t="s">
        <v>183</v>
      </c>
      <c r="E152" s="455"/>
      <c r="F152" s="455"/>
      <c r="G152" s="1359">
        <f>G37+G51</f>
        <v>1605.3700000000026</v>
      </c>
      <c r="H152" s="460">
        <f>G152+'20'!H152</f>
        <v>67411.929999999993</v>
      </c>
      <c r="I152" s="480"/>
      <c r="J152" s="553">
        <f>H152/DAY(B2)</f>
        <v>3210.0919047619045</v>
      </c>
      <c r="N152" s="382"/>
      <c r="O152" s="382"/>
    </row>
    <row r="153" spans="1:15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1370">
        <f>G152/G7</f>
        <v>7.4605911330049388E-2</v>
      </c>
      <c r="H153" s="460">
        <f>G153+'20'!H153</f>
        <v>3.2393413092500598</v>
      </c>
      <c r="I153" s="569"/>
      <c r="J153" s="570">
        <f>H153/DAY(B2)</f>
        <v>0.15425434805952665</v>
      </c>
      <c r="N153" s="382"/>
      <c r="O153" s="382"/>
    </row>
    <row r="154" spans="1:15">
      <c r="A154" s="466"/>
      <c r="B154" s="456"/>
      <c r="C154" s="456"/>
      <c r="D154" s="547"/>
      <c r="E154" s="547"/>
      <c r="F154" s="547"/>
      <c r="G154" s="1371"/>
      <c r="H154" s="548"/>
      <c r="I154" s="547"/>
      <c r="J154" s="549"/>
      <c r="O154" s="382"/>
    </row>
    <row r="160" spans="1:15">
      <c r="A160" s="790" t="s">
        <v>263</v>
      </c>
      <c r="B160" s="791"/>
      <c r="C160" s="791"/>
      <c r="D160" s="511" t="s">
        <v>187</v>
      </c>
      <c r="E160" s="663">
        <f>'20'!F160</f>
        <v>32499.77</v>
      </c>
      <c r="F160" s="663">
        <v>32585.17</v>
      </c>
      <c r="G160" s="1346">
        <f t="shared" ref="G160:G163" si="17">F160-E160</f>
        <v>85.399999999997817</v>
      </c>
      <c r="K160" s="376">
        <v>68.829999999999927</v>
      </c>
      <c r="L160" s="376">
        <f t="shared" ref="L160:L171" si="18">G160-K160</f>
        <v>16.56999999999789</v>
      </c>
    </row>
    <row r="161" spans="1:12">
      <c r="A161" s="790" t="s">
        <v>264</v>
      </c>
      <c r="B161" s="791"/>
      <c r="C161" s="791"/>
      <c r="D161" s="511" t="s">
        <v>187</v>
      </c>
      <c r="E161" s="663">
        <f>'20'!F161</f>
        <v>63999.59</v>
      </c>
      <c r="F161" s="663">
        <v>64409.64</v>
      </c>
      <c r="G161" s="1346">
        <f t="shared" si="17"/>
        <v>410.05000000000291</v>
      </c>
      <c r="K161" s="376">
        <v>122.46000000000004</v>
      </c>
      <c r="L161" s="376">
        <f t="shared" si="18"/>
        <v>287.59000000000287</v>
      </c>
    </row>
    <row r="162" spans="1:12">
      <c r="A162" s="790" t="s">
        <v>265</v>
      </c>
      <c r="B162" s="791"/>
      <c r="C162" s="791"/>
      <c r="D162" s="511" t="s">
        <v>187</v>
      </c>
      <c r="E162" s="663">
        <f>'20'!F162</f>
        <v>26288.81</v>
      </c>
      <c r="F162" s="663">
        <v>26634.460999999999</v>
      </c>
      <c r="G162" s="1346">
        <f t="shared" si="17"/>
        <v>345.65099999999802</v>
      </c>
      <c r="K162" s="376">
        <v>139.42000000000007</v>
      </c>
      <c r="L162" s="376">
        <f t="shared" si="18"/>
        <v>206.23099999999795</v>
      </c>
    </row>
    <row r="163" spans="1:12">
      <c r="A163" s="790" t="s">
        <v>266</v>
      </c>
      <c r="B163" s="791"/>
      <c r="C163" s="791"/>
      <c r="D163" s="511" t="s">
        <v>187</v>
      </c>
      <c r="E163" s="663">
        <f>'20'!F163</f>
        <v>5658.19</v>
      </c>
      <c r="F163" s="663">
        <v>5675.94</v>
      </c>
      <c r="G163" s="1346">
        <f t="shared" si="17"/>
        <v>17.75</v>
      </c>
      <c r="K163" s="376">
        <v>49.659999999999968</v>
      </c>
      <c r="L163" s="376">
        <f t="shared" si="18"/>
        <v>-31.909999999999968</v>
      </c>
    </row>
    <row r="164" spans="1:12">
      <c r="A164" s="792" t="s">
        <v>98</v>
      </c>
      <c r="B164" s="605"/>
      <c r="C164" s="605"/>
      <c r="D164" s="511" t="s">
        <v>187</v>
      </c>
      <c r="E164" s="514">
        <f>E62</f>
        <v>20419.2</v>
      </c>
      <c r="F164" s="514">
        <f>F62</f>
        <v>20419.2</v>
      </c>
      <c r="G164" s="1346">
        <f t="shared" ref="G164:G171" si="19">F164-E164</f>
        <v>0</v>
      </c>
      <c r="K164" s="376">
        <v>0</v>
      </c>
      <c r="L164" s="376">
        <f t="shared" si="18"/>
        <v>0</v>
      </c>
    </row>
    <row r="165" spans="1:12">
      <c r="A165" s="792" t="s">
        <v>188</v>
      </c>
      <c r="B165" s="605"/>
      <c r="C165" s="605"/>
      <c r="D165" s="511" t="s">
        <v>187</v>
      </c>
      <c r="E165" s="514">
        <f t="shared" ref="E165:E171" si="20">E63</f>
        <v>1967.95</v>
      </c>
      <c r="F165" s="514">
        <f t="shared" ref="F165:F171" si="21">F63</f>
        <v>1978.63</v>
      </c>
      <c r="G165" s="1346">
        <f t="shared" si="19"/>
        <v>10.680000000000064</v>
      </c>
      <c r="K165" s="376">
        <v>0</v>
      </c>
      <c r="L165" s="376">
        <f t="shared" si="18"/>
        <v>10.680000000000064</v>
      </c>
    </row>
    <row r="166" spans="1:12" ht="27.75">
      <c r="A166" s="1460" t="s">
        <v>99</v>
      </c>
      <c r="B166" s="1460"/>
      <c r="C166" s="1460"/>
      <c r="D166" s="523" t="s">
        <v>187</v>
      </c>
      <c r="E166" s="514">
        <f t="shared" si="20"/>
        <v>133862.37</v>
      </c>
      <c r="F166" s="514">
        <f t="shared" si="21"/>
        <v>134362</v>
      </c>
      <c r="G166" s="1346">
        <f t="shared" si="19"/>
        <v>499.63000000000466</v>
      </c>
      <c r="K166" s="376">
        <v>201.76000000000204</v>
      </c>
      <c r="L166" s="376">
        <f t="shared" si="18"/>
        <v>297.87000000000262</v>
      </c>
    </row>
    <row r="167" spans="1:12" ht="27.75">
      <c r="A167" s="1460" t="s">
        <v>100</v>
      </c>
      <c r="B167" s="1460"/>
      <c r="C167" s="1460"/>
      <c r="D167" s="523" t="s">
        <v>187</v>
      </c>
      <c r="E167" s="514">
        <f t="shared" si="20"/>
        <v>140044.29</v>
      </c>
      <c r="F167" s="514">
        <f t="shared" si="21"/>
        <v>140430.63</v>
      </c>
      <c r="G167" s="1346">
        <f t="shared" si="19"/>
        <v>386.33999999999651</v>
      </c>
      <c r="K167" s="376">
        <v>191.63000000000466</v>
      </c>
      <c r="L167" s="376">
        <f t="shared" si="18"/>
        <v>194.70999999999185</v>
      </c>
    </row>
    <row r="168" spans="1:12" ht="27.75">
      <c r="A168" s="1460" t="s">
        <v>101</v>
      </c>
      <c r="B168" s="1460"/>
      <c r="C168" s="1460"/>
      <c r="D168" s="523" t="s">
        <v>187</v>
      </c>
      <c r="E168" s="514">
        <f t="shared" si="20"/>
        <v>32782.800000000003</v>
      </c>
      <c r="F168" s="514">
        <f t="shared" si="21"/>
        <v>33176.11</v>
      </c>
      <c r="G168" s="1346">
        <f t="shared" si="19"/>
        <v>393.30999999999767</v>
      </c>
      <c r="K168" s="376">
        <v>231.68000000000029</v>
      </c>
      <c r="L168" s="376">
        <f t="shared" si="18"/>
        <v>161.62999999999738</v>
      </c>
    </row>
    <row r="169" spans="1:12" ht="27.75">
      <c r="A169" s="1460" t="s">
        <v>102</v>
      </c>
      <c r="B169" s="1460"/>
      <c r="C169" s="1460"/>
      <c r="D169" s="523" t="s">
        <v>187</v>
      </c>
      <c r="E169" s="514">
        <f t="shared" si="20"/>
        <v>221548.83</v>
      </c>
      <c r="F169" s="514">
        <f t="shared" si="21"/>
        <v>222220.17</v>
      </c>
      <c r="G169" s="1346">
        <f t="shared" si="19"/>
        <v>671.34000000002561</v>
      </c>
      <c r="K169" s="376">
        <v>344.30000000000291</v>
      </c>
      <c r="L169" s="376">
        <f t="shared" si="18"/>
        <v>327.0400000000227</v>
      </c>
    </row>
    <row r="170" spans="1:12" ht="27.75">
      <c r="A170" s="1460" t="s">
        <v>103</v>
      </c>
      <c r="B170" s="1460"/>
      <c r="C170" s="1460"/>
      <c r="D170" s="523" t="s">
        <v>187</v>
      </c>
      <c r="E170" s="514">
        <f t="shared" si="20"/>
        <v>79364.5</v>
      </c>
      <c r="F170" s="514">
        <f t="shared" si="21"/>
        <v>79702.070000000007</v>
      </c>
      <c r="G170" s="1346">
        <f t="shared" si="19"/>
        <v>337.57000000000698</v>
      </c>
      <c r="K170" s="376">
        <v>140.90999999999985</v>
      </c>
      <c r="L170" s="376">
        <f t="shared" si="18"/>
        <v>196.66000000000713</v>
      </c>
    </row>
    <row r="171" spans="1:12" ht="27.75">
      <c r="A171" s="1460" t="s">
        <v>104</v>
      </c>
      <c r="B171" s="1460"/>
      <c r="C171" s="1460"/>
      <c r="D171" s="523" t="s">
        <v>187</v>
      </c>
      <c r="E171" s="514">
        <f t="shared" si="20"/>
        <v>70863.710000000006</v>
      </c>
      <c r="F171" s="514">
        <f t="shared" si="21"/>
        <v>71182.59</v>
      </c>
      <c r="G171" s="1346">
        <f t="shared" si="19"/>
        <v>318.8799999999901</v>
      </c>
      <c r="K171" s="376">
        <v>57.709999999999127</v>
      </c>
      <c r="L171" s="376">
        <f t="shared" si="18"/>
        <v>261.16999999999098</v>
      </c>
    </row>
    <row r="172" spans="1:12">
      <c r="G172" s="1372">
        <f>SUM(G160:G171)</f>
        <v>3476.6010000000206</v>
      </c>
    </row>
    <row r="176" spans="1:12" ht="18.75" customHeight="1"/>
    <row r="177" spans="6:6" ht="21" customHeight="1">
      <c r="F177" s="538" t="s">
        <v>280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67" zoomScale="55" zoomScaleNormal="71" zoomScaleSheetLayoutView="55" workbookViewId="0">
      <selection activeCell="F88" sqref="F8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1372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5" s="281" customFormat="1" ht="27">
      <c r="A2" s="576" t="s">
        <v>332</v>
      </c>
      <c r="B2" s="1038">
        <v>44277</v>
      </c>
      <c r="C2" s="1379" t="s">
        <v>69</v>
      </c>
      <c r="D2" s="612">
        <v>0.38</v>
      </c>
      <c r="E2" s="461"/>
      <c r="F2" s="461"/>
      <c r="G2" s="1342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379" t="s">
        <v>120</v>
      </c>
      <c r="D3" s="613">
        <v>28</v>
      </c>
      <c r="E3" s="1432" t="s">
        <v>121</v>
      </c>
      <c r="F3" s="1433"/>
      <c r="G3" s="1343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</row>
    <row r="4" spans="1:15" s="281" customFormat="1" ht="27">
      <c r="A4" s="577"/>
      <c r="B4" s="617"/>
      <c r="C4" s="1379" t="s">
        <v>122</v>
      </c>
      <c r="D4" s="612">
        <v>0.75</v>
      </c>
      <c r="E4" s="464"/>
      <c r="F4" s="464"/>
      <c r="G4" s="1343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4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26" t="s">
        <v>130</v>
      </c>
      <c r="B6" s="1427"/>
      <c r="C6" s="1428"/>
      <c r="D6" s="471"/>
      <c r="E6" s="471"/>
      <c r="F6" s="471"/>
      <c r="G6" s="1345"/>
      <c r="H6" s="472"/>
      <c r="I6" s="472"/>
      <c r="J6" s="552"/>
      <c r="K6" s="427"/>
      <c r="L6" s="377"/>
    </row>
    <row r="7" spans="1:15" ht="30" thickBot="1">
      <c r="A7" s="579" t="s">
        <v>131</v>
      </c>
      <c r="B7" s="580"/>
      <c r="C7" s="580"/>
      <c r="D7" s="523" t="s">
        <v>132</v>
      </c>
      <c r="E7" s="455">
        <f>'21'!F7</f>
        <v>4892810</v>
      </c>
      <c r="F7" s="455">
        <v>4914463</v>
      </c>
      <c r="G7" s="1346">
        <f>F7-E7</f>
        <v>21653</v>
      </c>
      <c r="H7" s="460">
        <f>G7+'21'!H7</f>
        <v>469386</v>
      </c>
      <c r="I7" s="474">
        <f>'1'!I7</f>
        <v>12000</v>
      </c>
      <c r="J7" s="553">
        <f>H7/DAY(B2)</f>
        <v>21335.727272727272</v>
      </c>
      <c r="K7" s="550"/>
      <c r="L7" s="377"/>
      <c r="N7" s="382"/>
      <c r="O7" s="382"/>
    </row>
    <row r="8" spans="1:15" ht="27.75" thickBot="1">
      <c r="A8" s="581" t="s">
        <v>133</v>
      </c>
      <c r="B8" s="582"/>
      <c r="C8" s="583"/>
      <c r="D8" s="618" t="s">
        <v>25</v>
      </c>
      <c r="E8" s="475">
        <f>'21'!F8</f>
        <v>4923235</v>
      </c>
      <c r="F8" s="475">
        <v>4944984</v>
      </c>
      <c r="G8" s="1347">
        <f>F8-E8</f>
        <v>21749</v>
      </c>
      <c r="H8" s="460">
        <f>G8+'21'!H8</f>
        <v>471828</v>
      </c>
      <c r="I8" s="477">
        <f>'1'!I8</f>
        <v>12000</v>
      </c>
      <c r="J8" s="553">
        <f>H8/DAY(B2)</f>
        <v>21446.727272727272</v>
      </c>
      <c r="K8" s="550"/>
      <c r="L8" s="425"/>
      <c r="M8" s="440"/>
      <c r="N8" s="382"/>
      <c r="O8" s="382"/>
    </row>
    <row r="9" spans="1:15">
      <c r="A9" s="584" t="s">
        <v>134</v>
      </c>
      <c r="B9" s="585"/>
      <c r="C9" s="585"/>
      <c r="D9" s="523" t="s">
        <v>132</v>
      </c>
      <c r="E9" s="478">
        <f>'21'!F9</f>
        <v>181842.27</v>
      </c>
      <c r="F9" s="478">
        <v>202890.33</v>
      </c>
      <c r="G9" s="1346">
        <f t="shared" ref="G9:G12" si="0">F9-E9</f>
        <v>21048.059999999998</v>
      </c>
      <c r="H9" s="460">
        <f>G9+'21'!H9</f>
        <v>115981.31999999999</v>
      </c>
      <c r="I9" s="479">
        <f>I8-J8</f>
        <v>-9446.7272727272721</v>
      </c>
      <c r="J9" s="553">
        <f>H9/DAY(B2)</f>
        <v>5271.8781818181815</v>
      </c>
      <c r="K9" s="428"/>
      <c r="L9" s="377"/>
      <c r="N9" s="382"/>
      <c r="O9" s="382"/>
    </row>
    <row r="10" spans="1:15">
      <c r="A10" s="579" t="s">
        <v>135</v>
      </c>
      <c r="B10" s="580"/>
      <c r="C10" s="580"/>
      <c r="D10" s="523" t="s">
        <v>132</v>
      </c>
      <c r="E10" s="478">
        <f>'21'!F10</f>
        <v>2324.48</v>
      </c>
      <c r="F10" s="478">
        <v>2324.48</v>
      </c>
      <c r="G10" s="1346">
        <f t="shared" si="0"/>
        <v>0</v>
      </c>
      <c r="H10" s="460">
        <f>G10+'21'!H10</f>
        <v>335060.96999999997</v>
      </c>
      <c r="I10" s="480"/>
      <c r="J10" s="553">
        <f>H10/DAY(B2)</f>
        <v>15230.04409090909</v>
      </c>
      <c r="K10" s="428"/>
      <c r="L10" s="377"/>
      <c r="N10" s="382"/>
      <c r="O10" s="382"/>
    </row>
    <row r="11" spans="1:15">
      <c r="A11" s="579" t="s">
        <v>136</v>
      </c>
      <c r="B11" s="580"/>
      <c r="C11" s="580"/>
      <c r="D11" s="523" t="s">
        <v>132</v>
      </c>
      <c r="E11" s="455">
        <f>'21'!F11</f>
        <v>37000</v>
      </c>
      <c r="F11" s="455">
        <v>37000</v>
      </c>
      <c r="G11" s="1346">
        <f t="shared" si="0"/>
        <v>0</v>
      </c>
      <c r="H11" s="460">
        <f>G11+'21'!H11</f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>
      <c r="A12" s="579" t="s">
        <v>137</v>
      </c>
      <c r="B12" s="580"/>
      <c r="C12" s="580"/>
      <c r="D12" s="523" t="s">
        <v>132</v>
      </c>
      <c r="E12" s="478">
        <f>'21'!F12</f>
        <v>40010</v>
      </c>
      <c r="F12" s="478">
        <v>40010</v>
      </c>
      <c r="G12" s="1346">
        <f t="shared" si="0"/>
        <v>0</v>
      </c>
      <c r="H12" s="460">
        <f>G12+'21'!H12</f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>
      <c r="A13" s="586" t="s">
        <v>138</v>
      </c>
      <c r="B13" s="587"/>
      <c r="C13" s="587"/>
      <c r="D13" s="523"/>
      <c r="E13" s="455"/>
      <c r="F13" s="455"/>
      <c r="G13" s="1348">
        <f>G9+G10+G11+G12</f>
        <v>21048.059999999998</v>
      </c>
      <c r="H13" s="460">
        <f>G13+'21'!H13</f>
        <v>430048.29</v>
      </c>
      <c r="I13" s="482">
        <f>G7-G13</f>
        <v>604.94000000000233</v>
      </c>
      <c r="J13" s="553">
        <f>H13/DAY(B2)</f>
        <v>19547.649545454544</v>
      </c>
      <c r="K13" s="428"/>
      <c r="L13" s="377"/>
      <c r="N13" s="382"/>
      <c r="O13" s="382"/>
    </row>
    <row r="14" spans="1:15">
      <c r="A14" s="1429" t="s">
        <v>139</v>
      </c>
      <c r="B14" s="1430"/>
      <c r="C14" s="1431"/>
      <c r="D14" s="472"/>
      <c r="E14" s="472"/>
      <c r="F14" s="472"/>
      <c r="G14" s="1349"/>
      <c r="H14" s="472"/>
      <c r="I14" s="472"/>
      <c r="J14" s="552"/>
      <c r="K14" s="429"/>
      <c r="L14" s="377"/>
      <c r="N14" s="382"/>
      <c r="O14" s="382"/>
    </row>
    <row r="15" spans="1:15">
      <c r="A15" s="1377" t="s">
        <v>140</v>
      </c>
      <c r="B15" s="590"/>
      <c r="C15" s="590"/>
      <c r="D15" s="523" t="s">
        <v>141</v>
      </c>
      <c r="E15" s="484">
        <f>'21'!F15</f>
        <v>1638018.97</v>
      </c>
      <c r="F15" s="484">
        <v>1638968.77</v>
      </c>
      <c r="G15" s="1350">
        <f>(F15-E15)</f>
        <v>949.80000000004657</v>
      </c>
      <c r="H15" s="460">
        <f>G15+'21'!H15</f>
        <v>19090.159999999916</v>
      </c>
      <c r="I15" s="474">
        <v>800</v>
      </c>
      <c r="J15" s="553">
        <f>H15/DAY(B2)</f>
        <v>867.7345454545416</v>
      </c>
      <c r="K15" s="428"/>
      <c r="L15" s="377"/>
      <c r="N15" s="382"/>
      <c r="O15" s="726"/>
    </row>
    <row r="16" spans="1:15">
      <c r="A16" s="588"/>
      <c r="B16" s="589"/>
      <c r="C16" s="589"/>
      <c r="D16" s="524"/>
      <c r="E16" s="485"/>
      <c r="F16" s="485"/>
      <c r="G16" s="1346"/>
      <c r="H16" s="486"/>
      <c r="I16" s="487">
        <f>I15-J15</f>
        <v>-67.734545454541603</v>
      </c>
      <c r="J16" s="554"/>
      <c r="K16" s="428"/>
      <c r="L16" s="377"/>
      <c r="N16" s="382"/>
      <c r="O16" s="382"/>
    </row>
    <row r="17" spans="1:15">
      <c r="A17" s="1429" t="s">
        <v>142</v>
      </c>
      <c r="B17" s="1430"/>
      <c r="C17" s="1431"/>
      <c r="D17" s="472"/>
      <c r="E17" s="472"/>
      <c r="F17" s="472"/>
      <c r="G17" s="1349"/>
      <c r="H17" s="472"/>
      <c r="I17" s="472"/>
      <c r="J17" s="552"/>
      <c r="K17" s="428"/>
      <c r="L17" s="377"/>
      <c r="N17" s="382"/>
      <c r="O17" s="382"/>
    </row>
    <row r="18" spans="1:15" ht="27.75">
      <c r="A18" s="1411" t="s">
        <v>143</v>
      </c>
      <c r="B18" s="1412"/>
      <c r="C18" s="1413"/>
      <c r="D18" s="523" t="s">
        <v>144</v>
      </c>
      <c r="E18" s="484">
        <f>'21'!F18</f>
        <v>15</v>
      </c>
      <c r="F18" s="484">
        <v>12</v>
      </c>
      <c r="G18" s="1348">
        <f>F18*10</f>
        <v>120</v>
      </c>
      <c r="H18" s="460">
        <f>G18+'21'!H18</f>
        <v>2910</v>
      </c>
      <c r="I18" s="474">
        <f>'1'!I18</f>
        <v>65</v>
      </c>
      <c r="J18" s="553">
        <f>H18/DAY(B2)</f>
        <v>132.27272727272728</v>
      </c>
      <c r="K18" s="428"/>
      <c r="L18" s="377"/>
      <c r="N18" s="382"/>
      <c r="O18" s="382"/>
    </row>
    <row r="19" spans="1:15" ht="27.75">
      <c r="A19" s="1411" t="s">
        <v>71</v>
      </c>
      <c r="B19" s="1412"/>
      <c r="C19" s="1413"/>
      <c r="D19" s="523" t="s">
        <v>144</v>
      </c>
      <c r="E19" s="484">
        <f>'21'!F19</f>
        <v>135563</v>
      </c>
      <c r="F19" s="484">
        <v>135617</v>
      </c>
      <c r="G19" s="1346">
        <f t="shared" ref="G19" si="1">F19-E19</f>
        <v>54</v>
      </c>
      <c r="H19" s="460">
        <f>G19+'21'!H19</f>
        <v>1149</v>
      </c>
      <c r="I19" s="489"/>
      <c r="J19" s="553">
        <f>H19/DAY(B2)</f>
        <v>52.227272727272727</v>
      </c>
      <c r="K19" s="428"/>
      <c r="L19" s="377"/>
      <c r="N19" s="382"/>
      <c r="O19" s="382"/>
    </row>
    <row r="20" spans="1:15">
      <c r="A20" s="586" t="s">
        <v>145</v>
      </c>
      <c r="B20" s="587"/>
      <c r="C20" s="587"/>
      <c r="D20" s="490"/>
      <c r="E20" s="490"/>
      <c r="F20" s="490"/>
      <c r="G20" s="1351">
        <f>G18+G19</f>
        <v>174</v>
      </c>
      <c r="H20" s="460">
        <f>G20+'21'!H20</f>
        <v>4059</v>
      </c>
      <c r="I20" s="492">
        <f>I18-J20</f>
        <v>-119.5</v>
      </c>
      <c r="J20" s="553">
        <f>H20/DAY(B2)</f>
        <v>184.5</v>
      </c>
      <c r="K20" s="428"/>
      <c r="L20" s="377"/>
      <c r="N20" s="382"/>
      <c r="O20" s="382"/>
    </row>
    <row r="21" spans="1:15">
      <c r="A21" s="1429" t="s">
        <v>146</v>
      </c>
      <c r="B21" s="1430"/>
      <c r="C21" s="1431"/>
      <c r="D21" s="472"/>
      <c r="E21" s="472"/>
      <c r="F21" s="472"/>
      <c r="G21" s="1349"/>
      <c r="H21" s="472"/>
      <c r="I21" s="472"/>
      <c r="J21" s="552"/>
      <c r="K21" s="428"/>
      <c r="L21" s="377"/>
      <c r="N21" s="382"/>
      <c r="O21" s="382"/>
    </row>
    <row r="22" spans="1:15">
      <c r="A22" s="1377" t="s">
        <v>147</v>
      </c>
      <c r="B22" s="590"/>
      <c r="C22" s="590"/>
      <c r="D22" s="523" t="s">
        <v>148</v>
      </c>
      <c r="E22" s="484">
        <f>'21'!F22</f>
        <v>2250</v>
      </c>
      <c r="F22" s="484">
        <v>2250</v>
      </c>
      <c r="G22" s="1348">
        <f>(F22-E22)</f>
        <v>0</v>
      </c>
      <c r="H22" s="460">
        <f>G22+'21'!H22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>
      <c r="A23" s="1377" t="s">
        <v>149</v>
      </c>
      <c r="B23" s="590"/>
      <c r="C23" s="590"/>
      <c r="D23" s="523" t="s">
        <v>148</v>
      </c>
      <c r="E23" s="484">
        <f>'21'!F23</f>
        <v>2000</v>
      </c>
      <c r="F23" s="484">
        <v>2000</v>
      </c>
      <c r="G23" s="1348">
        <v>0</v>
      </c>
      <c r="H23" s="460">
        <f>G23+'21'!H23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>
      <c r="A24" s="591" t="s">
        <v>150</v>
      </c>
      <c r="B24" s="592"/>
      <c r="C24" s="592"/>
      <c r="D24" s="511" t="s">
        <v>148</v>
      </c>
      <c r="E24" s="493">
        <f>'21'!F24</f>
        <v>4250</v>
      </c>
      <c r="F24" s="493">
        <v>4970</v>
      </c>
      <c r="G24" s="1348">
        <v>0</v>
      </c>
      <c r="H24" s="460">
        <f>G24+'21'!H24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>
      <c r="A25" s="1434" t="s">
        <v>151</v>
      </c>
      <c r="B25" s="1435"/>
      <c r="C25" s="1436"/>
      <c r="D25" s="471"/>
      <c r="E25" s="471"/>
      <c r="F25" s="471"/>
      <c r="G25" s="1352"/>
      <c r="H25" s="495"/>
      <c r="I25" s="496"/>
      <c r="J25" s="555"/>
      <c r="K25" s="373"/>
      <c r="L25" s="443"/>
      <c r="N25" s="444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97"/>
      <c r="G26" s="1353"/>
      <c r="H26" s="460"/>
      <c r="I26" s="499"/>
      <c r="J26" s="553"/>
      <c r="K26" s="374"/>
      <c r="L26" s="443"/>
      <c r="N26" s="444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1">
        <f>G8</f>
        <v>21749</v>
      </c>
      <c r="F27" s="501">
        <v>9</v>
      </c>
      <c r="G27" s="1354">
        <f>E27*F27</f>
        <v>195741</v>
      </c>
      <c r="H27" s="460">
        <f>G27+'21'!H27</f>
        <v>4246452</v>
      </c>
      <c r="I27" s="503"/>
      <c r="J27" s="553">
        <f>H27/DAY(B2)</f>
        <v>193020.54545454544</v>
      </c>
      <c r="K27" s="373"/>
      <c r="L27" s="443"/>
      <c r="N27" s="444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1">
        <f>G15</f>
        <v>949.80000000004657</v>
      </c>
      <c r="F28" s="501">
        <v>43.5</v>
      </c>
      <c r="G28" s="1354">
        <f>E28*F28</f>
        <v>41316.300000002026</v>
      </c>
      <c r="H28" s="460">
        <f>G28+'21'!H28</f>
        <v>896011.63819999585</v>
      </c>
      <c r="I28" s="505"/>
      <c r="J28" s="553">
        <f>H28/DAY(B2)</f>
        <v>40727.80173636345</v>
      </c>
      <c r="K28" s="373"/>
      <c r="L28" s="443"/>
      <c r="N28" s="444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1354">
        <f>E29*F29</f>
        <v>0</v>
      </c>
      <c r="H29" s="460">
        <f>G29+'21'!H29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1">
        <f>G19</f>
        <v>54</v>
      </c>
      <c r="F30" s="501">
        <v>134</v>
      </c>
      <c r="G30" s="1354">
        <f>E30*F30</f>
        <v>7236</v>
      </c>
      <c r="H30" s="460">
        <f>G30+'21'!H30</f>
        <v>171654</v>
      </c>
      <c r="I30" s="505"/>
      <c r="J30" s="553">
        <f>H30/DAY(B2)</f>
        <v>7802.454545454545</v>
      </c>
      <c r="K30" s="373"/>
      <c r="L30" s="443"/>
      <c r="N30" s="444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1">
        <f>G18</f>
        <v>120</v>
      </c>
      <c r="F31" s="501">
        <v>80</v>
      </c>
      <c r="G31" s="1354">
        <f>E31*F31</f>
        <v>9600</v>
      </c>
      <c r="H31" s="460">
        <f>G31+'21'!H31</f>
        <v>222240</v>
      </c>
      <c r="I31" s="505"/>
      <c r="J31" s="553">
        <f>H31/DAY(B2)</f>
        <v>10101.818181818182</v>
      </c>
      <c r="K31" s="373"/>
      <c r="L31" s="443"/>
      <c r="N31" s="444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07"/>
      <c r="G32" s="1355">
        <f>G27+G28+G29+G30+G31</f>
        <v>253893.30000000203</v>
      </c>
      <c r="H32" s="460">
        <f>G32+'21'!H32</f>
        <v>5536357.6381999953</v>
      </c>
      <c r="I32" s="509"/>
      <c r="J32" s="553">
        <f>H32/DAY(B2)</f>
        <v>251652.61991818159</v>
      </c>
      <c r="K32" s="373"/>
      <c r="L32" s="443"/>
      <c r="N32" s="444"/>
      <c r="O32" s="382"/>
    </row>
    <row r="33" spans="1:15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382"/>
      <c r="O33" s="382"/>
    </row>
    <row r="34" spans="1:15">
      <c r="A34" s="599" t="s">
        <v>163</v>
      </c>
      <c r="B34" s="1382"/>
      <c r="C34" s="1382"/>
      <c r="D34" s="472"/>
      <c r="E34" s="471"/>
      <c r="F34" s="471"/>
      <c r="G34" s="1356"/>
      <c r="H34" s="472"/>
      <c r="I34" s="472"/>
      <c r="J34" s="552"/>
      <c r="K34" s="428"/>
      <c r="L34" s="377"/>
      <c r="N34" s="382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'21'!F35</f>
        <v>764932.63</v>
      </c>
      <c r="F35" s="510">
        <v>768270.47</v>
      </c>
      <c r="G35" s="1346">
        <f t="shared" ref="G35:G46" si="2">F35-E35</f>
        <v>3337.8399999999674</v>
      </c>
      <c r="H35" s="460">
        <f>G35+'21'!H35</f>
        <v>75182.880000000005</v>
      </c>
      <c r="I35" s="455"/>
      <c r="J35" s="553">
        <f>H35/DAY(B2)</f>
        <v>3417.4036363636365</v>
      </c>
      <c r="K35" s="428"/>
      <c r="L35" s="377"/>
      <c r="N35" s="382"/>
      <c r="O35" s="629"/>
    </row>
    <row r="36" spans="1:15">
      <c r="A36" s="579" t="s">
        <v>165</v>
      </c>
      <c r="B36" s="580"/>
      <c r="C36" s="580"/>
      <c r="D36" s="523" t="s">
        <v>132</v>
      </c>
      <c r="E36" s="510">
        <f>'21'!F36</f>
        <v>310111.95</v>
      </c>
      <c r="F36" s="510">
        <v>310776.11</v>
      </c>
      <c r="G36" s="1346">
        <f t="shared" si="2"/>
        <v>664.15999999997439</v>
      </c>
      <c r="H36" s="460">
        <f>G36+'21'!H36</f>
        <v>14330.539999999979</v>
      </c>
      <c r="I36" s="455"/>
      <c r="J36" s="553">
        <f>H36/DAY(B2)</f>
        <v>651.3881818181809</v>
      </c>
      <c r="K36" s="428"/>
      <c r="L36" s="377"/>
      <c r="N36" s="382"/>
      <c r="O36" s="629"/>
    </row>
    <row r="37" spans="1:15">
      <c r="A37" s="579" t="s">
        <v>166</v>
      </c>
      <c r="B37" s="580"/>
      <c r="C37" s="580"/>
      <c r="D37" s="523" t="s">
        <v>132</v>
      </c>
      <c r="E37" s="510">
        <f>'21'!F37</f>
        <v>39717.9</v>
      </c>
      <c r="F37" s="510">
        <v>41271.08</v>
      </c>
      <c r="G37" s="1346">
        <f t="shared" si="2"/>
        <v>1553.1800000000003</v>
      </c>
      <c r="H37" s="460">
        <f>G37+'21'!H37</f>
        <v>44376.160000000003</v>
      </c>
      <c r="I37" s="455"/>
      <c r="J37" s="553">
        <f>H37/DAY(B2)</f>
        <v>2017.098181818182</v>
      </c>
      <c r="K37" s="428"/>
      <c r="L37" s="377"/>
      <c r="N37" s="382"/>
      <c r="O37" s="382"/>
    </row>
    <row r="38" spans="1:15">
      <c r="A38" s="579" t="s">
        <v>167</v>
      </c>
      <c r="B38" s="580"/>
      <c r="C38" s="580"/>
      <c r="D38" s="523" t="s">
        <v>132</v>
      </c>
      <c r="E38" s="469">
        <f>'21'!F38</f>
        <v>53625.16</v>
      </c>
      <c r="F38" s="469">
        <v>55418.7</v>
      </c>
      <c r="G38" s="1346">
        <f t="shared" si="2"/>
        <v>1793.5399999999936</v>
      </c>
      <c r="H38" s="460">
        <f>G38+'21'!H38</f>
        <v>11605.21</v>
      </c>
      <c r="I38" s="455"/>
      <c r="J38" s="553">
        <f>H38/DAY(B2)</f>
        <v>527.50954545454545</v>
      </c>
      <c r="K38" s="428"/>
      <c r="L38" s="377"/>
      <c r="N38" s="382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'21'!F39</f>
        <v>112277.03</v>
      </c>
      <c r="F39" s="510">
        <v>116398.21</v>
      </c>
      <c r="G39" s="1346">
        <f t="shared" si="2"/>
        <v>4121.1800000000076</v>
      </c>
      <c r="H39" s="460">
        <f>G39+'21'!H39</f>
        <v>125791.1</v>
      </c>
      <c r="I39" s="455"/>
      <c r="J39" s="553">
        <f>H39/DAY(B2)</f>
        <v>5717.7772727272732</v>
      </c>
      <c r="K39" s="428"/>
      <c r="L39" s="377"/>
      <c r="N39" s="382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f>'21'!F40</f>
        <v>0.23</v>
      </c>
      <c r="F40" s="510">
        <v>0.23</v>
      </c>
      <c r="G40" s="1346">
        <f t="shared" si="2"/>
        <v>0</v>
      </c>
      <c r="H40" s="460">
        <f>G40+'21'!H40</f>
        <v>0.17</v>
      </c>
      <c r="I40" s="455"/>
      <c r="J40" s="553">
        <f>H40/DAY(B2)</f>
        <v>7.7272727272727276E-3</v>
      </c>
      <c r="K40" s="429"/>
      <c r="L40" s="377"/>
      <c r="N40" s="382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'21'!F41</f>
        <v>80765.850000000006</v>
      </c>
      <c r="F41" s="510">
        <v>86446.07</v>
      </c>
      <c r="G41" s="1346">
        <f t="shared" si="2"/>
        <v>5680.2200000000012</v>
      </c>
      <c r="H41" s="460">
        <f>G41+'21'!H41</f>
        <v>22563.700000000004</v>
      </c>
      <c r="I41" s="455"/>
      <c r="J41" s="553">
        <f>H41/DAY(B2)</f>
        <v>1025.6227272727274</v>
      </c>
      <c r="K41" s="428"/>
      <c r="L41" s="377"/>
      <c r="N41" s="382"/>
      <c r="O41" s="726"/>
    </row>
    <row r="42" spans="1:15">
      <c r="A42" s="579" t="s">
        <v>171</v>
      </c>
      <c r="B42" s="580"/>
      <c r="C42" s="580"/>
      <c r="D42" s="523" t="s">
        <v>132</v>
      </c>
      <c r="E42" s="510">
        <f>'21'!F42</f>
        <v>59128.6</v>
      </c>
      <c r="F42" s="510">
        <v>59128.6</v>
      </c>
      <c r="G42" s="1346">
        <f t="shared" si="2"/>
        <v>0</v>
      </c>
      <c r="H42" s="460">
        <f>G42+'21'!H42</f>
        <v>-0.25</v>
      </c>
      <c r="I42" s="455"/>
      <c r="J42" s="553">
        <f>H42/DAY(B2)</f>
        <v>-1.1363636363636364E-2</v>
      </c>
      <c r="K42" s="428"/>
      <c r="L42" s="377"/>
      <c r="N42" s="382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'21'!F43</f>
        <v>877049</v>
      </c>
      <c r="F43" s="510">
        <v>879448.47</v>
      </c>
      <c r="G43" s="1346">
        <f>F43-E43</f>
        <v>2399.4699999999721</v>
      </c>
      <c r="H43" s="460">
        <f>G43+'21'!H43</f>
        <v>53550.640000000014</v>
      </c>
      <c r="I43" s="455"/>
      <c r="J43" s="553">
        <f>H43/DAY(B2)</f>
        <v>2434.1200000000008</v>
      </c>
      <c r="K43" s="428"/>
      <c r="L43" s="377"/>
      <c r="N43" s="382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'21'!F44</f>
        <v>0</v>
      </c>
      <c r="F44" s="510">
        <v>0</v>
      </c>
      <c r="G44" s="1346">
        <f t="shared" si="2"/>
        <v>0</v>
      </c>
      <c r="H44" s="460">
        <f>G44+'21'!H44</f>
        <v>0</v>
      </c>
      <c r="I44" s="455"/>
      <c r="J44" s="553">
        <f>H44/DAY(B2)</f>
        <v>0</v>
      </c>
      <c r="K44" s="428"/>
      <c r="L44" s="377"/>
      <c r="N44" s="382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'21'!F45</f>
        <v>614</v>
      </c>
      <c r="F45" s="510">
        <v>614</v>
      </c>
      <c r="G45" s="1346">
        <f t="shared" si="2"/>
        <v>0</v>
      </c>
      <c r="H45" s="460">
        <f>G45+'21'!H45</f>
        <v>0</v>
      </c>
      <c r="I45" s="455"/>
      <c r="J45" s="553">
        <f>H45/DAY(B2)</f>
        <v>0</v>
      </c>
      <c r="K45" s="428"/>
      <c r="L45" s="377"/>
      <c r="N45" s="382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'21'!F46</f>
        <v>187.44</v>
      </c>
      <c r="F46" s="510">
        <v>187.44</v>
      </c>
      <c r="G46" s="1346">
        <f t="shared" si="2"/>
        <v>0</v>
      </c>
      <c r="H46" s="460">
        <f>G46+'21'!H46</f>
        <v>0.43999999999999773</v>
      </c>
      <c r="I46" s="455"/>
      <c r="J46" s="553">
        <f>H46/DAY(B2)</f>
        <v>1.9999999999999896E-2</v>
      </c>
      <c r="K46" s="428"/>
      <c r="L46" s="377"/>
      <c r="N46" s="382"/>
      <c r="O46" s="382"/>
    </row>
    <row r="47" spans="1:15">
      <c r="A47" s="586" t="s">
        <v>176</v>
      </c>
      <c r="B47" s="587"/>
      <c r="C47" s="587"/>
      <c r="D47" s="470"/>
      <c r="E47" s="511"/>
      <c r="F47" s="511"/>
      <c r="G47" s="1348">
        <f>G35+G36+G37+G38+G39+G40+G41+G42+G43+G44+G45+G46</f>
        <v>19549.589999999916</v>
      </c>
      <c r="H47" s="460">
        <f>G47+'21'!H47</f>
        <v>347400.58999999997</v>
      </c>
      <c r="I47" s="455"/>
      <c r="J47" s="553">
        <f>H47/DAY(B2)</f>
        <v>15790.935909090907</v>
      </c>
      <c r="K47" s="428"/>
      <c r="L47" s="377"/>
      <c r="N47" s="382"/>
      <c r="O47" s="382"/>
    </row>
    <row r="48" spans="1:15">
      <c r="A48" s="599" t="s">
        <v>177</v>
      </c>
      <c r="B48" s="1382"/>
      <c r="C48" s="1382"/>
      <c r="D48" s="472"/>
      <c r="E48" s="471"/>
      <c r="F48" s="471"/>
      <c r="G48" s="1356"/>
      <c r="H48" s="472"/>
      <c r="I48" s="472"/>
      <c r="J48" s="552"/>
      <c r="K48" s="428"/>
      <c r="L48" s="377"/>
      <c r="N48" s="382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'21'!F49</f>
        <v>260732.13</v>
      </c>
      <c r="F49" s="510">
        <v>260732.13</v>
      </c>
      <c r="G49" s="1346">
        <f t="shared" ref="G49:G58" si="3">F49-E49</f>
        <v>0</v>
      </c>
      <c r="H49" s="460">
        <f>G49+'21'!H49</f>
        <v>0</v>
      </c>
      <c r="I49" s="455"/>
      <c r="J49" s="553">
        <f>H49/DAY(B2)</f>
        <v>0</v>
      </c>
      <c r="K49" s="428"/>
      <c r="L49" s="377"/>
      <c r="N49" s="382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'21'!F50</f>
        <v>428178.31</v>
      </c>
      <c r="F50" s="510">
        <v>429426.75</v>
      </c>
      <c r="G50" s="1346">
        <f t="shared" si="3"/>
        <v>1248.4400000000023</v>
      </c>
      <c r="H50" s="460">
        <f>G50+'21'!H50</f>
        <v>25769.719999999972</v>
      </c>
      <c r="I50" s="455"/>
      <c r="J50" s="553">
        <f>H50/DAY(B2)</f>
        <v>1171.3509090909079</v>
      </c>
      <c r="K50" s="428"/>
      <c r="L50" s="377"/>
      <c r="N50" s="382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'21'!F51</f>
        <v>144639.87</v>
      </c>
      <c r="F51" s="510">
        <v>144639.87</v>
      </c>
      <c r="G51" s="1346">
        <f t="shared" si="3"/>
        <v>0</v>
      </c>
      <c r="H51" s="460">
        <f>G51+'21'!H51</f>
        <v>23039.949999999997</v>
      </c>
      <c r="I51" s="455"/>
      <c r="J51" s="553">
        <f>H51/DAY(B2)</f>
        <v>1047.2704545454544</v>
      </c>
      <c r="K51" s="428"/>
      <c r="L51" s="377"/>
      <c r="N51" s="382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'21'!F52</f>
        <v>539606.06999999995</v>
      </c>
      <c r="F52" s="510">
        <v>539606.06999999995</v>
      </c>
      <c r="G52" s="1346">
        <f t="shared" si="3"/>
        <v>0</v>
      </c>
      <c r="H52" s="460">
        <f>G52+'21'!H52</f>
        <v>29647.359999999928</v>
      </c>
      <c r="I52" s="455"/>
      <c r="J52" s="553">
        <f>H52/DAY(B2)</f>
        <v>1347.6072727272694</v>
      </c>
      <c r="K52" s="428"/>
      <c r="L52" s="377"/>
      <c r="N52" s="382"/>
      <c r="O52" s="726"/>
    </row>
    <row r="53" spans="1:15">
      <c r="A53" s="579" t="s">
        <v>168</v>
      </c>
      <c r="B53" s="602"/>
      <c r="C53" s="602"/>
      <c r="D53" s="523" t="s">
        <v>132</v>
      </c>
      <c r="E53" s="510">
        <f>'21'!F53</f>
        <v>399219.25</v>
      </c>
      <c r="F53" s="510">
        <v>399433.47</v>
      </c>
      <c r="G53" s="1346">
        <f t="shared" si="3"/>
        <v>214.21999999997206</v>
      </c>
      <c r="H53" s="460">
        <f>G53+'21'!H53</f>
        <v>63393.959999999963</v>
      </c>
      <c r="I53" s="455"/>
      <c r="J53" s="553">
        <f>H53/DAY(B2)</f>
        <v>2881.5436363636345</v>
      </c>
      <c r="K53" s="428"/>
      <c r="L53" s="377"/>
      <c r="N53" s="382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'21'!F54</f>
        <v>8433.0499999999993</v>
      </c>
      <c r="F54" s="510">
        <v>8510.86</v>
      </c>
      <c r="G54" s="1346">
        <f t="shared" si="3"/>
        <v>77.81000000000131</v>
      </c>
      <c r="H54" s="460">
        <f>G54+'21'!H54</f>
        <v>415.26000000000113</v>
      </c>
      <c r="I54" s="455"/>
      <c r="J54" s="553">
        <f>H54/DAY(B2)</f>
        <v>18.875454545454598</v>
      </c>
      <c r="K54" s="428"/>
      <c r="L54" s="377"/>
      <c r="N54" s="382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'21'!F55</f>
        <v>208980.55</v>
      </c>
      <c r="F55" s="510">
        <v>208980.55</v>
      </c>
      <c r="G55" s="1346">
        <f t="shared" si="3"/>
        <v>0</v>
      </c>
      <c r="H55" s="460">
        <f>G55+'21'!H55</f>
        <v>86395.859999999986</v>
      </c>
      <c r="I55" s="455"/>
      <c r="J55" s="553">
        <f>H55/DAY(B2)</f>
        <v>3927.0845454545447</v>
      </c>
      <c r="K55" s="428"/>
      <c r="L55" s="377"/>
      <c r="N55" s="382"/>
      <c r="O55" s="382"/>
    </row>
    <row r="56" spans="1:15" s="441" customFormat="1">
      <c r="A56" s="1111" t="s">
        <v>182</v>
      </c>
      <c r="B56" s="1112"/>
      <c r="C56" s="1112"/>
      <c r="D56" s="628" t="s">
        <v>183</v>
      </c>
      <c r="E56" s="658">
        <f>'21'!F56</f>
        <v>588885.15</v>
      </c>
      <c r="F56" s="658">
        <v>588894.15</v>
      </c>
      <c r="G56" s="1368">
        <f t="shared" si="3"/>
        <v>9</v>
      </c>
      <c r="H56" s="710">
        <f>G56+'21'!H56</f>
        <v>2843.1199999999953</v>
      </c>
      <c r="I56" s="711"/>
      <c r="J56" s="712">
        <f>H56/DAY(B2)</f>
        <v>129.23272727272706</v>
      </c>
      <c r="K56" s="1373"/>
      <c r="L56" s="1114"/>
      <c r="N56" s="718"/>
      <c r="O56" s="718"/>
    </row>
    <row r="57" spans="1:15">
      <c r="A57" s="579" t="s">
        <v>172</v>
      </c>
      <c r="B57" s="602"/>
      <c r="C57" s="602"/>
      <c r="D57" s="523" t="s">
        <v>132</v>
      </c>
      <c r="E57" s="510">
        <f>'21'!F57</f>
        <v>7711</v>
      </c>
      <c r="F57" s="510">
        <v>7711</v>
      </c>
      <c r="G57" s="1346">
        <f t="shared" si="3"/>
        <v>0</v>
      </c>
      <c r="H57" s="460">
        <f>G57+'21'!H57</f>
        <v>-0.32999999999992724</v>
      </c>
      <c r="I57" s="455"/>
      <c r="J57" s="553">
        <f>H57/DAY(B2)</f>
        <v>-1.4999999999996693E-2</v>
      </c>
      <c r="K57" s="428"/>
      <c r="L57" s="377"/>
      <c r="N57" s="382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'21'!F58</f>
        <v>39695.67</v>
      </c>
      <c r="F58" s="510">
        <v>39888.43</v>
      </c>
      <c r="G58" s="1346">
        <f t="shared" si="3"/>
        <v>192.76000000000204</v>
      </c>
      <c r="H58" s="460">
        <f>G58+'21'!H58</f>
        <v>3823.7300000000032</v>
      </c>
      <c r="I58" s="455"/>
      <c r="J58" s="553">
        <f>H58/DAY(B2)</f>
        <v>173.80590909090924</v>
      </c>
      <c r="K58" s="428"/>
      <c r="L58" s="377"/>
      <c r="N58" s="382"/>
      <c r="O58" s="382"/>
    </row>
    <row r="59" spans="1:15">
      <c r="A59" s="586" t="s">
        <v>176</v>
      </c>
      <c r="B59" s="587"/>
      <c r="C59" s="587"/>
      <c r="D59" s="511"/>
      <c r="E59" s="511"/>
      <c r="F59" s="511"/>
      <c r="G59" s="1348">
        <f>G49+G50+G51+G52+G53+G54+G55+G56+G57+G58</f>
        <v>1742.2299999999777</v>
      </c>
      <c r="H59" s="460">
        <f>G59+'21'!H59</f>
        <v>235328.62999999983</v>
      </c>
      <c r="I59" s="455">
        <f>G7-G60</f>
        <v>361.18000000010579</v>
      </c>
      <c r="J59" s="553">
        <f>H59/DAY(B2)</f>
        <v>10696.755909090902</v>
      </c>
      <c r="K59" s="428"/>
      <c r="L59" s="377"/>
      <c r="N59" s="382"/>
      <c r="O59" s="382"/>
    </row>
    <row r="60" spans="1:15">
      <c r="A60" s="579"/>
      <c r="B60" s="580"/>
      <c r="C60" s="580"/>
      <c r="D60" s="511" t="s">
        <v>185</v>
      </c>
      <c r="E60" s="511"/>
      <c r="F60" s="511"/>
      <c r="G60" s="1348">
        <f>G47+G59</f>
        <v>21291.819999999894</v>
      </c>
      <c r="H60" s="460">
        <f>G60+'21'!H60</f>
        <v>596898.22</v>
      </c>
      <c r="I60" s="455">
        <f>G13-G60</f>
        <v>-243.75999999989654</v>
      </c>
      <c r="J60" s="553">
        <f>H47/DAY(B2)</f>
        <v>15790.935909090907</v>
      </c>
      <c r="K60" s="428"/>
      <c r="L60" s="377"/>
      <c r="N60" s="382"/>
      <c r="O60" s="382"/>
    </row>
    <row r="61" spans="1:15">
      <c r="A61" s="603" t="s">
        <v>186</v>
      </c>
      <c r="B61" s="453"/>
      <c r="C61" s="453"/>
      <c r="D61" s="513"/>
      <c r="E61" s="512"/>
      <c r="F61" s="512"/>
      <c r="G61" s="1357"/>
      <c r="H61" s="513"/>
      <c r="I61" s="513"/>
      <c r="J61" s="556"/>
      <c r="K61" s="428"/>
      <c r="L61" s="377"/>
      <c r="N61" s="382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'21'!F62</f>
        <v>20419.2</v>
      </c>
      <c r="F62" s="514">
        <v>20419.2</v>
      </c>
      <c r="G62" s="1346">
        <f t="shared" ref="G62:G69" si="4">F62-E62</f>
        <v>0</v>
      </c>
      <c r="H62" s="460">
        <f>G62+'21'!H62</f>
        <v>1.299999999901047E-2</v>
      </c>
      <c r="I62" s="515"/>
      <c r="J62" s="553">
        <f>H62/DAY(B2)</f>
        <v>5.9090909086411227E-4</v>
      </c>
      <c r="K62" s="428"/>
      <c r="L62" s="377"/>
      <c r="N62" s="382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'21'!F63</f>
        <v>1978.63</v>
      </c>
      <c r="F63" s="514">
        <v>1989.3</v>
      </c>
      <c r="G63" s="1346">
        <f t="shared" si="4"/>
        <v>10.669999999999845</v>
      </c>
      <c r="H63" s="460">
        <f>G63+'21'!H63</f>
        <v>281.94000000000005</v>
      </c>
      <c r="I63" s="515"/>
      <c r="J63" s="553">
        <f>H63/DAY(B2)</f>
        <v>12.815454545454548</v>
      </c>
      <c r="K63" s="428"/>
      <c r="L63" s="377"/>
      <c r="N63" s="382"/>
      <c r="O63" s="382"/>
    </row>
    <row r="64" spans="1:15" ht="27.75">
      <c r="A64" s="1408" t="s">
        <v>99</v>
      </c>
      <c r="B64" s="1409"/>
      <c r="C64" s="1410"/>
      <c r="D64" s="523" t="s">
        <v>187</v>
      </c>
      <c r="E64" s="484">
        <f>'21'!F64</f>
        <v>134362</v>
      </c>
      <c r="F64" s="484">
        <v>134920</v>
      </c>
      <c r="G64" s="1346">
        <f t="shared" si="4"/>
        <v>558</v>
      </c>
      <c r="H64" s="460">
        <f>G64+'21'!H64</f>
        <v>11292.699999999997</v>
      </c>
      <c r="I64" s="480"/>
      <c r="J64" s="553">
        <f>H64/DAY(B2)</f>
        <v>513.30454545454529</v>
      </c>
      <c r="K64" s="428"/>
      <c r="L64" s="377"/>
      <c r="N64" s="382"/>
      <c r="O64" s="382"/>
    </row>
    <row r="65" spans="1:15" ht="27.75">
      <c r="A65" s="1408" t="s">
        <v>100</v>
      </c>
      <c r="B65" s="1409"/>
      <c r="C65" s="1410"/>
      <c r="D65" s="523" t="s">
        <v>187</v>
      </c>
      <c r="E65" s="484">
        <f>'21'!F65</f>
        <v>140430.63</v>
      </c>
      <c r="F65" s="484">
        <v>140813.71</v>
      </c>
      <c r="G65" s="1346">
        <f t="shared" si="4"/>
        <v>383.07999999998719</v>
      </c>
      <c r="H65" s="460">
        <f>G65+'21'!H65</f>
        <v>8216.4100000000035</v>
      </c>
      <c r="I65" s="489"/>
      <c r="J65" s="553">
        <f>H65/DAY(B2)</f>
        <v>373.47318181818196</v>
      </c>
      <c r="K65" s="428"/>
      <c r="L65" s="377"/>
      <c r="N65" s="382"/>
      <c r="O65" s="382"/>
    </row>
    <row r="66" spans="1:15" ht="27.75">
      <c r="A66" s="1408" t="s">
        <v>101</v>
      </c>
      <c r="B66" s="1409"/>
      <c r="C66" s="1410"/>
      <c r="D66" s="523" t="s">
        <v>187</v>
      </c>
      <c r="E66" s="484">
        <f>'21'!F66</f>
        <v>33176.11</v>
      </c>
      <c r="F66" s="484">
        <v>33568.370000000003</v>
      </c>
      <c r="G66" s="1346">
        <f t="shared" si="4"/>
        <v>392.26000000000204</v>
      </c>
      <c r="H66" s="460">
        <f>G66+'21'!H66</f>
        <v>8408.6200000000026</v>
      </c>
      <c r="I66" s="480"/>
      <c r="J66" s="553">
        <f>H66/DAY(B2)</f>
        <v>382.21000000000009</v>
      </c>
      <c r="K66" s="428"/>
      <c r="L66" s="377"/>
      <c r="N66" s="382"/>
      <c r="O66" s="382"/>
    </row>
    <row r="67" spans="1:15" ht="27.75">
      <c r="A67" s="1408" t="s">
        <v>102</v>
      </c>
      <c r="B67" s="1409"/>
      <c r="C67" s="1410"/>
      <c r="D67" s="523" t="s">
        <v>187</v>
      </c>
      <c r="E67" s="484">
        <f>'21'!F67</f>
        <v>222220.17</v>
      </c>
      <c r="F67" s="484">
        <v>222910.69</v>
      </c>
      <c r="G67" s="1346">
        <f t="shared" si="4"/>
        <v>690.51999999998952</v>
      </c>
      <c r="H67" s="460">
        <f>G67+'21'!H67</f>
        <v>15068.860000000015</v>
      </c>
      <c r="I67" s="489"/>
      <c r="J67" s="553">
        <f>H67/DAY(B2)</f>
        <v>684.94818181818255</v>
      </c>
      <c r="K67" s="429"/>
      <c r="L67" s="377"/>
      <c r="N67" s="382"/>
      <c r="O67" s="382"/>
    </row>
    <row r="68" spans="1:15" ht="27.75">
      <c r="A68" s="1408" t="s">
        <v>103</v>
      </c>
      <c r="B68" s="1409"/>
      <c r="C68" s="1410"/>
      <c r="D68" s="523" t="s">
        <v>187</v>
      </c>
      <c r="E68" s="484">
        <v>70485</v>
      </c>
      <c r="F68" s="484">
        <v>70793</v>
      </c>
      <c r="G68" s="1346">
        <f t="shared" si="4"/>
        <v>308</v>
      </c>
      <c r="H68" s="460">
        <f>G68+'21'!H68</f>
        <v>7331.5500000000029</v>
      </c>
      <c r="I68" s="516"/>
      <c r="J68" s="553">
        <f>H68/DAY(B2)</f>
        <v>333.25227272727284</v>
      </c>
      <c r="K68" s="430"/>
      <c r="L68" s="377"/>
      <c r="N68" s="382"/>
      <c r="O68" s="382"/>
    </row>
    <row r="69" spans="1:15" ht="27.75">
      <c r="A69" s="1408" t="s">
        <v>104</v>
      </c>
      <c r="B69" s="1409"/>
      <c r="C69" s="1410"/>
      <c r="D69" s="523" t="s">
        <v>187</v>
      </c>
      <c r="E69" s="484">
        <f>'21'!F69</f>
        <v>71182.59</v>
      </c>
      <c r="F69" s="484">
        <v>71492.41</v>
      </c>
      <c r="G69" s="1346">
        <f t="shared" si="4"/>
        <v>309.82000000000698</v>
      </c>
      <c r="H69" s="460">
        <f>G69+'21'!H69</f>
        <v>7040.320000000007</v>
      </c>
      <c r="I69" s="516"/>
      <c r="J69" s="553">
        <f>H69/DAY(B2)</f>
        <v>320.01454545454578</v>
      </c>
      <c r="K69" s="431"/>
      <c r="L69" s="377"/>
      <c r="N69" s="382"/>
      <c r="O69" s="382"/>
    </row>
    <row r="70" spans="1:15" ht="27.75">
      <c r="A70" s="1440" t="s">
        <v>189</v>
      </c>
      <c r="B70" s="1441"/>
      <c r="C70" s="1442"/>
      <c r="D70" s="523" t="s">
        <v>187</v>
      </c>
      <c r="E70" s="518"/>
      <c r="F70" s="518"/>
      <c r="G70" s="1358"/>
      <c r="H70" s="460">
        <f>G70+'21'!H70</f>
        <v>0</v>
      </c>
      <c r="I70" s="518"/>
      <c r="J70" s="557"/>
      <c r="K70" s="431"/>
      <c r="L70" s="377"/>
      <c r="N70" s="382"/>
      <c r="O70" s="382"/>
    </row>
    <row r="71" spans="1:15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382"/>
      <c r="O71" s="382"/>
    </row>
    <row r="72" spans="1:15" ht="27.75">
      <c r="A72" s="1408" t="s">
        <v>191</v>
      </c>
      <c r="B72" s="1409"/>
      <c r="C72" s="1410"/>
      <c r="D72" s="523" t="s">
        <v>187</v>
      </c>
      <c r="E72" s="519">
        <f>'21'!F72</f>
        <v>852452</v>
      </c>
      <c r="F72" s="519">
        <v>852555</v>
      </c>
      <c r="G72" s="1346">
        <f t="shared" ref="G72:G84" si="5">F72-E72</f>
        <v>103</v>
      </c>
      <c r="H72" s="460">
        <f>G72+'21'!H72</f>
        <v>1873</v>
      </c>
      <c r="I72" s="480"/>
      <c r="J72" s="553">
        <f>H72/DAY(B2)</f>
        <v>85.13636363636364</v>
      </c>
      <c r="K72" s="431"/>
      <c r="L72" s="377"/>
      <c r="N72" s="382"/>
      <c r="O72" s="382"/>
    </row>
    <row r="73" spans="1:15" ht="27.75">
      <c r="A73" s="1408" t="s">
        <v>192</v>
      </c>
      <c r="B73" s="1409"/>
      <c r="C73" s="1410"/>
      <c r="D73" s="523" t="s">
        <v>187</v>
      </c>
      <c r="E73" s="520">
        <f>'21'!F73</f>
        <v>885788</v>
      </c>
      <c r="F73" s="520">
        <v>885789</v>
      </c>
      <c r="G73" s="1346">
        <f t="shared" si="5"/>
        <v>1</v>
      </c>
      <c r="H73" s="460">
        <f>G73+'21'!H73</f>
        <v>1131</v>
      </c>
      <c r="I73" s="480"/>
      <c r="J73" s="553">
        <f>H73/DAY(B2)</f>
        <v>51.409090909090907</v>
      </c>
      <c r="K73" s="430"/>
      <c r="L73" s="377"/>
      <c r="N73" s="382"/>
      <c r="O73" s="382"/>
    </row>
    <row r="74" spans="1:15" ht="27.75">
      <c r="A74" s="1480" t="s">
        <v>193</v>
      </c>
      <c r="B74" s="1481"/>
      <c r="C74" s="1482"/>
      <c r="D74" s="523" t="s">
        <v>187</v>
      </c>
      <c r="E74" s="521">
        <f>'21'!F74</f>
        <v>1158.7</v>
      </c>
      <c r="F74" s="521">
        <v>1177.21</v>
      </c>
      <c r="G74" s="1346">
        <f t="shared" si="5"/>
        <v>18.509999999999991</v>
      </c>
      <c r="H74" s="460">
        <f>G74+'21'!H74</f>
        <v>591.04000000000008</v>
      </c>
      <c r="I74" s="480"/>
      <c r="J74" s="553">
        <f>H74/DAY(B2)</f>
        <v>26.865454545454551</v>
      </c>
      <c r="K74" s="431"/>
      <c r="L74" s="377"/>
      <c r="N74" s="382"/>
      <c r="O74" s="382"/>
    </row>
    <row r="75" spans="1:15" ht="27.75">
      <c r="A75" s="1457" t="s">
        <v>194</v>
      </c>
      <c r="B75" s="1458"/>
      <c r="C75" s="1459"/>
      <c r="D75" s="523" t="s">
        <v>187</v>
      </c>
      <c r="E75" s="521">
        <f>'21'!F75</f>
        <v>7017.55</v>
      </c>
      <c r="F75" s="521">
        <v>7176.97</v>
      </c>
      <c r="G75" s="1346">
        <f t="shared" si="5"/>
        <v>159.42000000000007</v>
      </c>
      <c r="H75" s="460">
        <f>G75+'21'!H75</f>
        <v>3657.7500000000005</v>
      </c>
      <c r="I75" s="480"/>
      <c r="J75" s="553">
        <f>H75/DAY(B2)</f>
        <v>166.26136363636365</v>
      </c>
      <c r="K75" s="430"/>
      <c r="L75" s="377"/>
      <c r="N75" s="382"/>
      <c r="O75" s="382"/>
    </row>
    <row r="76" spans="1:15" ht="27.75">
      <c r="A76" s="1457" t="s">
        <v>195</v>
      </c>
      <c r="B76" s="1458"/>
      <c r="C76" s="1459"/>
      <c r="D76" s="523" t="s">
        <v>187</v>
      </c>
      <c r="E76" s="520">
        <f>'21'!F76</f>
        <v>3215.91</v>
      </c>
      <c r="F76" s="650">
        <v>3293.9</v>
      </c>
      <c r="G76" s="1346">
        <f t="shared" si="5"/>
        <v>77.990000000000236</v>
      </c>
      <c r="H76" s="460">
        <f>G76+'21'!H76</f>
        <v>2818.6800000000003</v>
      </c>
      <c r="I76" s="505"/>
      <c r="J76" s="553">
        <f>H76/DAY(B2)</f>
        <v>128.12181818181818</v>
      </c>
      <c r="K76" s="430"/>
      <c r="L76" s="377"/>
      <c r="N76" s="382"/>
      <c r="O76" s="382"/>
    </row>
    <row r="77" spans="1:15" ht="27.75">
      <c r="A77" s="1408" t="s">
        <v>196</v>
      </c>
      <c r="B77" s="1409"/>
      <c r="C77" s="1410"/>
      <c r="D77" s="523" t="s">
        <v>187</v>
      </c>
      <c r="E77" s="521">
        <f>'21'!F77</f>
        <v>699705</v>
      </c>
      <c r="F77" s="521">
        <v>699755</v>
      </c>
      <c r="G77" s="1346">
        <f t="shared" si="5"/>
        <v>50</v>
      </c>
      <c r="H77" s="460">
        <f>G77+'21'!H77</f>
        <v>1167</v>
      </c>
      <c r="I77" s="505"/>
      <c r="J77" s="553">
        <f>H77/DAY(B2)</f>
        <v>53.045454545454547</v>
      </c>
      <c r="K77" s="430"/>
      <c r="L77" s="377"/>
      <c r="N77" s="382"/>
      <c r="O77" s="382"/>
    </row>
    <row r="78" spans="1:15" ht="27.75">
      <c r="A78" s="1380" t="s">
        <v>197</v>
      </c>
      <c r="B78" s="1374"/>
      <c r="C78" s="1374"/>
      <c r="D78" s="523" t="s">
        <v>187</v>
      </c>
      <c r="E78" s="521">
        <f>'21'!F78</f>
        <v>661570</v>
      </c>
      <c r="F78" s="521">
        <v>661975</v>
      </c>
      <c r="G78" s="1346">
        <f t="shared" si="5"/>
        <v>405</v>
      </c>
      <c r="H78" s="460">
        <f>G78+'21'!H78</f>
        <v>9112</v>
      </c>
      <c r="I78" s="505"/>
      <c r="J78" s="553">
        <f>H78/DAY(B2)</f>
        <v>414.18181818181819</v>
      </c>
      <c r="K78" s="430"/>
      <c r="L78" s="377"/>
      <c r="N78" s="382"/>
      <c r="O78" s="382"/>
    </row>
    <row r="79" spans="1:15" ht="27.75">
      <c r="A79" s="1457" t="s">
        <v>92</v>
      </c>
      <c r="B79" s="1458"/>
      <c r="C79" s="1459"/>
      <c r="D79" s="524" t="s">
        <v>187</v>
      </c>
      <c r="E79" s="521">
        <f>'21'!F79</f>
        <v>819356</v>
      </c>
      <c r="F79" s="521">
        <v>819525</v>
      </c>
      <c r="G79" s="1346">
        <f t="shared" si="5"/>
        <v>169</v>
      </c>
      <c r="H79" s="460">
        <f>G79+'21'!H79</f>
        <v>6926</v>
      </c>
      <c r="I79" s="505"/>
      <c r="J79" s="553">
        <f>H79/DAY(B2)</f>
        <v>314.81818181818181</v>
      </c>
      <c r="K79" s="430"/>
      <c r="L79" s="377"/>
      <c r="N79" s="382"/>
      <c r="O79" s="382"/>
    </row>
    <row r="80" spans="1:15" ht="27.75">
      <c r="A80" s="1457" t="s">
        <v>198</v>
      </c>
      <c r="B80" s="1458"/>
      <c r="C80" s="1459"/>
      <c r="D80" s="524" t="s">
        <v>187</v>
      </c>
      <c r="E80" s="520">
        <f>'21'!F80</f>
        <v>502178.76</v>
      </c>
      <c r="F80" s="520">
        <v>502516.64</v>
      </c>
      <c r="G80" s="1346">
        <f t="shared" si="5"/>
        <v>337.88000000000466</v>
      </c>
      <c r="H80" s="460">
        <f>G80+'21'!H80</f>
        <v>5902.640000000014</v>
      </c>
      <c r="I80" s="505"/>
      <c r="J80" s="553">
        <f>H80/DAY(B2)</f>
        <v>268.30181818181882</v>
      </c>
      <c r="K80" s="430"/>
      <c r="L80" s="377"/>
      <c r="N80" s="382"/>
      <c r="O80" s="382"/>
    </row>
    <row r="81" spans="1:15" ht="27.75">
      <c r="A81" s="1457" t="s">
        <v>199</v>
      </c>
      <c r="B81" s="1458"/>
      <c r="C81" s="1459"/>
      <c r="D81" s="524" t="s">
        <v>187</v>
      </c>
      <c r="E81" s="520">
        <f>'21'!F81</f>
        <v>628225.80000000005</v>
      </c>
      <c r="F81" s="520">
        <v>628349.64</v>
      </c>
      <c r="G81" s="1346">
        <f t="shared" si="5"/>
        <v>123.8399999999674</v>
      </c>
      <c r="H81" s="460">
        <f>G81+'21'!H81</f>
        <v>2405.8000000000466</v>
      </c>
      <c r="I81" s="505"/>
      <c r="J81" s="553">
        <f>H81/DAY(B2)</f>
        <v>109.35454545454758</v>
      </c>
      <c r="K81" s="430"/>
      <c r="L81" s="377"/>
      <c r="N81" s="382"/>
      <c r="O81" s="382"/>
    </row>
    <row r="82" spans="1:15" ht="27.75">
      <c r="A82" s="1457" t="s">
        <v>93</v>
      </c>
      <c r="B82" s="1458"/>
      <c r="C82" s="1459"/>
      <c r="D82" s="485" t="s">
        <v>132</v>
      </c>
      <c r="E82" s="522">
        <f>'21'!F82</f>
        <v>106667.71</v>
      </c>
      <c r="F82" s="522">
        <v>106690.01</v>
      </c>
      <c r="G82" s="1346">
        <f t="shared" si="5"/>
        <v>22.299999999988358</v>
      </c>
      <c r="H82" s="460">
        <f>G82+'21'!H82</f>
        <v>487.52999999999884</v>
      </c>
      <c r="I82" s="486"/>
      <c r="J82" s="553">
        <f>H82/DAY(B2)</f>
        <v>22.160454545454492</v>
      </c>
      <c r="K82" s="430"/>
      <c r="L82" s="377"/>
      <c r="N82" s="382"/>
      <c r="O82" s="382"/>
    </row>
    <row r="83" spans="1:15" ht="27.75">
      <c r="A83" s="1457" t="s">
        <v>200</v>
      </c>
      <c r="B83" s="1458"/>
      <c r="C83" s="1459"/>
      <c r="D83" s="621" t="s">
        <v>132</v>
      </c>
      <c r="E83" s="511">
        <f>'21'!F83</f>
        <v>4140</v>
      </c>
      <c r="F83" s="511">
        <v>4382</v>
      </c>
      <c r="G83" s="1346">
        <f t="shared" si="5"/>
        <v>242</v>
      </c>
      <c r="H83" s="460">
        <f>G83+'21'!H83</f>
        <v>7785</v>
      </c>
      <c r="I83" s="481"/>
      <c r="J83" s="553">
        <f>H83/DAY(B2)</f>
        <v>353.86363636363637</v>
      </c>
      <c r="K83" s="429"/>
      <c r="L83" s="377"/>
      <c r="N83" s="382"/>
      <c r="O83" s="726"/>
    </row>
    <row r="84" spans="1:15">
      <c r="A84" s="1381" t="s">
        <v>201</v>
      </c>
      <c r="B84" s="572"/>
      <c r="C84" s="572"/>
      <c r="D84" s="478" t="s">
        <v>132</v>
      </c>
      <c r="E84" s="628">
        <f>'21'!F84</f>
        <v>446844</v>
      </c>
      <c r="F84" s="628">
        <v>447519</v>
      </c>
      <c r="G84" s="1346">
        <f t="shared" si="5"/>
        <v>675</v>
      </c>
      <c r="H84" s="460">
        <f>G84+'21'!H84</f>
        <v>16721</v>
      </c>
      <c r="I84" s="481"/>
      <c r="J84" s="553">
        <f>H84/DAY(B2)</f>
        <v>760.0454545454545</v>
      </c>
      <c r="K84" s="380"/>
      <c r="L84" s="377"/>
      <c r="N84" s="382"/>
      <c r="O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1359">
        <f xml:space="preserve"> SUM(G72:G84)</f>
        <v>2384.9399999999605</v>
      </c>
      <c r="H85" s="460">
        <f>G85+'21'!H85</f>
        <v>55920.299999999988</v>
      </c>
      <c r="I85" s="481"/>
      <c r="J85" s="553">
        <f>H85/DAY(B2)</f>
        <v>2541.8318181818177</v>
      </c>
      <c r="K85" s="380"/>
      <c r="L85" s="378"/>
      <c r="N85" s="782"/>
      <c r="O85" s="726"/>
    </row>
    <row r="86" spans="1:15" s="740" customFormat="1">
      <c r="A86" s="735" t="s">
        <v>94</v>
      </c>
      <c r="B86" s="736"/>
      <c r="C86" s="736"/>
      <c r="D86" s="737" t="s">
        <v>183</v>
      </c>
      <c r="E86" s="652">
        <f>'21'!F86</f>
        <v>452912.52</v>
      </c>
      <c r="F86" s="652">
        <v>453110.14</v>
      </c>
      <c r="G86" s="1360">
        <f t="shared" ref="G86:G88" si="6">F86-E86</f>
        <v>197.61999999999534</v>
      </c>
      <c r="H86" s="460">
        <f>G86+'21'!H86</f>
        <v>661.46000000002095</v>
      </c>
      <c r="I86" s="657"/>
      <c r="J86" s="712">
        <f>H86/DAY(B2)</f>
        <v>30.066363636364589</v>
      </c>
      <c r="K86" s="738"/>
      <c r="L86" s="739"/>
      <c r="N86" s="783"/>
      <c r="O86" s="382"/>
    </row>
    <row r="87" spans="1:15" s="740" customFormat="1">
      <c r="A87" s="735" t="s">
        <v>95</v>
      </c>
      <c r="B87" s="736"/>
      <c r="C87" s="736"/>
      <c r="D87" s="737" t="s">
        <v>183</v>
      </c>
      <c r="E87" s="652">
        <f>'21'!F87</f>
        <v>79825.600000000006</v>
      </c>
      <c r="F87" s="652">
        <v>79857</v>
      </c>
      <c r="G87" s="1360">
        <f t="shared" si="6"/>
        <v>31.399999999994179</v>
      </c>
      <c r="H87" s="460">
        <f>G87+'21'!H87</f>
        <v>155.19999999999709</v>
      </c>
      <c r="I87" s="657"/>
      <c r="J87" s="712">
        <f>H87/DAY(B2)</f>
        <v>7.0545454545453223</v>
      </c>
      <c r="K87" s="738"/>
      <c r="L87" s="739"/>
      <c r="N87" s="783"/>
      <c r="O87" s="382"/>
    </row>
    <row r="88" spans="1:15" s="740" customFormat="1">
      <c r="A88" s="735" t="s">
        <v>96</v>
      </c>
      <c r="B88" s="736"/>
      <c r="C88" s="736"/>
      <c r="D88" s="737" t="s">
        <v>183</v>
      </c>
      <c r="E88" s="652">
        <f>'21'!F88</f>
        <v>149842.51</v>
      </c>
      <c r="F88" s="652">
        <v>149945.1</v>
      </c>
      <c r="G88" s="1360">
        <f t="shared" si="6"/>
        <v>102.58999999999651</v>
      </c>
      <c r="H88" s="460">
        <f>G88+'21'!H88</f>
        <v>389.39999999999418</v>
      </c>
      <c r="I88" s="657"/>
      <c r="J88" s="712">
        <f>H88/DAY(B2)</f>
        <v>17.699999999999736</v>
      </c>
      <c r="K88" s="738"/>
      <c r="L88" s="739"/>
      <c r="N88" s="783"/>
      <c r="O88" s="382"/>
    </row>
    <row r="89" spans="1:15" s="740" customFormat="1">
      <c r="A89" s="735" t="s">
        <v>204</v>
      </c>
      <c r="B89" s="736"/>
      <c r="C89" s="736"/>
      <c r="D89" s="737" t="s">
        <v>183</v>
      </c>
      <c r="E89" s="652">
        <f>'21'!F89</f>
        <v>63048.800000000003</v>
      </c>
      <c r="F89" s="652">
        <v>63110.1</v>
      </c>
      <c r="G89" s="1360">
        <f t="shared" ref="G89:G90" si="7">F89-E89</f>
        <v>61.299999999995634</v>
      </c>
      <c r="H89" s="460">
        <f>G89+'21'!H89</f>
        <v>277</v>
      </c>
      <c r="I89" s="657"/>
      <c r="J89" s="712" t="e">
        <f t="shared" ref="J89:J90" si="8">H89/DAY(B3)</f>
        <v>#DIV/0!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52">
        <f>'21'!F90</f>
        <v>3245.6</v>
      </c>
      <c r="F90" s="652">
        <v>3249</v>
      </c>
      <c r="G90" s="1360">
        <f t="shared" si="7"/>
        <v>3.4000000000000909</v>
      </c>
      <c r="H90" s="460">
        <f>G90+'21'!H90</f>
        <v>10.300000000000182</v>
      </c>
      <c r="I90" s="657"/>
      <c r="J90" s="712" t="e">
        <f t="shared" si="8"/>
        <v>#DIV/0!</v>
      </c>
      <c r="K90" s="738"/>
      <c r="L90" s="739"/>
      <c r="N90" s="783"/>
      <c r="O90" s="382"/>
    </row>
    <row r="91" spans="1:15" s="379" customFormat="1">
      <c r="A91" s="607" t="s">
        <v>205</v>
      </c>
      <c r="B91" s="1383"/>
      <c r="C91" s="1383"/>
      <c r="D91" s="472"/>
      <c r="E91" s="472"/>
      <c r="F91" s="472"/>
      <c r="G91" s="1349"/>
      <c r="H91" s="472"/>
      <c r="I91" s="472"/>
      <c r="J91" s="552"/>
      <c r="K91" s="380"/>
      <c r="L91" s="378"/>
      <c r="N91" s="782"/>
      <c r="O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'21'!F92</f>
        <v>241612</v>
      </c>
      <c r="F92" s="484">
        <v>241696</v>
      </c>
      <c r="G92" s="1346">
        <f t="shared" ref="G92:G93" si="9">F92-E92</f>
        <v>84</v>
      </c>
      <c r="H92" s="460">
        <f>G92+'21'!H92</f>
        <v>2001</v>
      </c>
      <c r="I92" s="480"/>
      <c r="J92" s="553">
        <f>H92/DAY(B2)</f>
        <v>90.954545454545453</v>
      </c>
      <c r="K92" s="429"/>
      <c r="L92" s="377"/>
      <c r="N92" s="382"/>
      <c r="O92" s="382"/>
    </row>
    <row r="93" spans="1:15" ht="27.75">
      <c r="A93" s="1411" t="s">
        <v>207</v>
      </c>
      <c r="B93" s="1412"/>
      <c r="C93" s="1413"/>
      <c r="D93" s="523" t="s">
        <v>144</v>
      </c>
      <c r="E93" s="484">
        <f>'21'!F93</f>
        <v>178309</v>
      </c>
      <c r="F93" s="484">
        <v>178414</v>
      </c>
      <c r="G93" s="1346">
        <f t="shared" si="9"/>
        <v>105</v>
      </c>
      <c r="H93" s="460">
        <f>G93+'21'!H93</f>
        <v>2753</v>
      </c>
      <c r="I93" s="480"/>
      <c r="J93" s="553">
        <f>H93/DAY(B2)</f>
        <v>125.13636363636364</v>
      </c>
      <c r="K93" s="380"/>
      <c r="L93" s="377"/>
      <c r="N93" s="382"/>
      <c r="O93" s="382"/>
    </row>
    <row r="94" spans="1:15">
      <c r="A94" s="1405" t="s">
        <v>208</v>
      </c>
      <c r="B94" s="1406"/>
      <c r="C94" s="1407"/>
      <c r="D94" s="523"/>
      <c r="E94" s="484">
        <f>'21'!F94</f>
        <v>0</v>
      </c>
      <c r="F94" s="484"/>
      <c r="G94" s="1346">
        <f>G92+G93</f>
        <v>189</v>
      </c>
      <c r="H94" s="460">
        <f>G94+'21'!H94</f>
        <v>4488</v>
      </c>
      <c r="I94" s="480"/>
      <c r="J94" s="553">
        <f>H94/DAY(B2)</f>
        <v>204</v>
      </c>
      <c r="K94" s="380"/>
      <c r="L94" s="377"/>
      <c r="N94" s="382"/>
      <c r="O94" s="382"/>
    </row>
    <row r="95" spans="1:15" ht="27.75">
      <c r="A95" s="1411" t="s">
        <v>209</v>
      </c>
      <c r="B95" s="1412"/>
      <c r="C95" s="1413"/>
      <c r="D95" s="523" t="s">
        <v>144</v>
      </c>
      <c r="E95" s="484">
        <f>'21'!F95</f>
        <v>409918</v>
      </c>
      <c r="F95" s="484">
        <v>410003</v>
      </c>
      <c r="G95" s="1346">
        <f t="shared" ref="G95:G100" si="10">F95-E95</f>
        <v>85</v>
      </c>
      <c r="H95" s="460">
        <f>G95+'21'!H95</f>
        <v>1847</v>
      </c>
      <c r="I95" s="480"/>
      <c r="J95" s="553">
        <f>H95/DAY(B2)</f>
        <v>83.954545454545453</v>
      </c>
      <c r="K95" s="380"/>
      <c r="L95" s="377"/>
      <c r="N95" s="382"/>
      <c r="O95" s="382"/>
    </row>
    <row r="96" spans="1:15" ht="27.75">
      <c r="A96" s="1377" t="s">
        <v>210</v>
      </c>
      <c r="B96" s="1378"/>
      <c r="C96" s="1378"/>
      <c r="D96" s="523" t="s">
        <v>144</v>
      </c>
      <c r="E96" s="484">
        <f>'21'!F96</f>
        <v>101651</v>
      </c>
      <c r="F96" s="484">
        <v>101668</v>
      </c>
      <c r="G96" s="1346">
        <f t="shared" si="10"/>
        <v>17</v>
      </c>
      <c r="H96" s="460">
        <f>G96+'21'!H96</f>
        <v>336</v>
      </c>
      <c r="I96" s="480"/>
      <c r="J96" s="553">
        <f>H96/DAY(B2)</f>
        <v>15.272727272727273</v>
      </c>
      <c r="K96" s="427"/>
      <c r="L96" s="377"/>
      <c r="N96" s="382"/>
      <c r="O96" s="382"/>
    </row>
    <row r="97" spans="1:15" ht="27.75">
      <c r="A97" s="1377" t="s">
        <v>211</v>
      </c>
      <c r="B97" s="1378"/>
      <c r="C97" s="1378"/>
      <c r="D97" s="523" t="s">
        <v>144</v>
      </c>
      <c r="E97" s="484">
        <f>'21'!F97</f>
        <v>96709</v>
      </c>
      <c r="F97" s="484">
        <v>96730</v>
      </c>
      <c r="G97" s="1346">
        <f t="shared" si="10"/>
        <v>21</v>
      </c>
      <c r="H97" s="460">
        <f>G97+'21'!H97</f>
        <v>281</v>
      </c>
      <c r="I97" s="480"/>
      <c r="J97" s="553">
        <f>H97/DAY(B2)</f>
        <v>12.772727272727273</v>
      </c>
      <c r="K97" s="432"/>
      <c r="L97" s="377"/>
      <c r="N97" s="382"/>
      <c r="O97" s="382"/>
    </row>
    <row r="98" spans="1:15" ht="27.75">
      <c r="A98" s="1377" t="s">
        <v>212</v>
      </c>
      <c r="B98" s="1378"/>
      <c r="C98" s="1378"/>
      <c r="D98" s="523" t="s">
        <v>144</v>
      </c>
      <c r="E98" s="484">
        <f>'21'!F98</f>
        <v>148547</v>
      </c>
      <c r="F98" s="484">
        <v>148583</v>
      </c>
      <c r="G98" s="1346">
        <f t="shared" si="10"/>
        <v>36</v>
      </c>
      <c r="H98" s="460">
        <f>G98+'21'!H98</f>
        <v>975</v>
      </c>
      <c r="I98" s="480"/>
      <c r="J98" s="553">
        <f>H98/DAY(B2)</f>
        <v>44.31818181818182</v>
      </c>
      <c r="K98" s="380"/>
      <c r="L98" s="377"/>
      <c r="N98" s="382"/>
      <c r="O98" s="382"/>
    </row>
    <row r="99" spans="1:15" ht="27.75">
      <c r="A99" s="1377" t="s">
        <v>213</v>
      </c>
      <c r="B99" s="1378"/>
      <c r="C99" s="1378"/>
      <c r="D99" s="523" t="s">
        <v>144</v>
      </c>
      <c r="E99" s="484">
        <f>'21'!F99</f>
        <v>6693</v>
      </c>
      <c r="F99" s="484">
        <v>6703</v>
      </c>
      <c r="G99" s="1346">
        <f t="shared" si="10"/>
        <v>10</v>
      </c>
      <c r="H99" s="460">
        <f>G99+'21'!H99</f>
        <v>295</v>
      </c>
      <c r="I99" s="480"/>
      <c r="J99" s="553">
        <f>H99/DAY(B2)</f>
        <v>13.409090909090908</v>
      </c>
      <c r="K99" s="380"/>
      <c r="L99" s="377"/>
      <c r="N99" s="382"/>
      <c r="O99" s="382"/>
    </row>
    <row r="100" spans="1:15" ht="27.75">
      <c r="A100" s="1377" t="s">
        <v>214</v>
      </c>
      <c r="B100" s="1378"/>
      <c r="C100" s="1378"/>
      <c r="D100" s="523" t="s">
        <v>144</v>
      </c>
      <c r="E100" s="484">
        <f>'21'!F100</f>
        <v>4785</v>
      </c>
      <c r="F100" s="484">
        <v>4806</v>
      </c>
      <c r="G100" s="1346">
        <f t="shared" si="10"/>
        <v>21</v>
      </c>
      <c r="H100" s="460">
        <f>G100+'21'!H100</f>
        <v>263</v>
      </c>
      <c r="I100" s="480"/>
      <c r="J100" s="553">
        <f>H100/DAY(B2)</f>
        <v>11.954545454545455</v>
      </c>
      <c r="K100" s="380"/>
      <c r="L100" s="377"/>
      <c r="N100" s="382"/>
      <c r="O100" s="382"/>
    </row>
    <row r="101" spans="1:15">
      <c r="A101" s="1405" t="s">
        <v>216</v>
      </c>
      <c r="B101" s="1406"/>
      <c r="C101" s="1407"/>
      <c r="D101" s="524"/>
      <c r="E101" s="524"/>
      <c r="F101" s="524"/>
      <c r="G101" s="1361">
        <f>SUM(G95:G100)</f>
        <v>190</v>
      </c>
      <c r="H101" s="460">
        <f>G101+'21'!H101</f>
        <v>3997</v>
      </c>
      <c r="I101" s="526"/>
      <c r="J101" s="553">
        <f>H101/DAY(B2)</f>
        <v>181.68181818181819</v>
      </c>
      <c r="K101" s="380"/>
      <c r="L101" s="377"/>
      <c r="N101" s="382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528"/>
      <c r="G102" s="1362"/>
      <c r="H102" s="530"/>
      <c r="I102" s="531"/>
      <c r="J102" s="558"/>
      <c r="N102" s="444"/>
      <c r="O102" s="382"/>
    </row>
    <row r="103" spans="1:15" s="442" customFormat="1" ht="27.75">
      <c r="A103" s="1414" t="s">
        <v>218</v>
      </c>
      <c r="B103" s="1415"/>
      <c r="C103" s="574"/>
      <c r="D103" s="623"/>
      <c r="E103" s="532"/>
      <c r="F103" s="532"/>
      <c r="G103" s="1363"/>
      <c r="H103" s="533"/>
      <c r="I103" s="532"/>
      <c r="J103" s="559"/>
      <c r="N103" s="444"/>
      <c r="O103" s="382"/>
    </row>
    <row r="104" spans="1:15" s="442" customFormat="1" ht="27.75">
      <c r="A104" s="1416" t="s">
        <v>219</v>
      </c>
      <c r="B104" s="1417"/>
      <c r="C104" s="1376"/>
      <c r="D104" s="623" t="s">
        <v>144</v>
      </c>
      <c r="E104" s="532">
        <f>'21'!F104</f>
        <v>7281</v>
      </c>
      <c r="F104" s="532">
        <v>7281</v>
      </c>
      <c r="G104" s="1363">
        <f>F104-E104</f>
        <v>0</v>
      </c>
      <c r="H104" s="460">
        <f>SUM(G104+'1'!G76)</f>
        <v>79.150000000000091</v>
      </c>
      <c r="I104" s="532"/>
      <c r="J104" s="559">
        <f>H104/DAY(B2)</f>
        <v>3.5977272727272767</v>
      </c>
      <c r="N104" s="444"/>
      <c r="O104" s="382"/>
    </row>
    <row r="105" spans="1:15" s="442" customFormat="1" ht="27.75">
      <c r="A105" s="1416" t="s">
        <v>77</v>
      </c>
      <c r="B105" s="1417"/>
      <c r="C105" s="1376"/>
      <c r="D105" s="623" t="s">
        <v>144</v>
      </c>
      <c r="E105" s="534">
        <f>'21'!F105</f>
        <v>35567</v>
      </c>
      <c r="F105" s="534">
        <v>35577</v>
      </c>
      <c r="G105" s="1363">
        <f t="shared" ref="G105:G106" si="11">F105-E105</f>
        <v>10</v>
      </c>
      <c r="H105" s="460">
        <f>SUM(G105+'1'!G77)</f>
        <v>55</v>
      </c>
      <c r="I105" s="532"/>
      <c r="J105" s="559">
        <f>H105/DAY(B2)</f>
        <v>2.5</v>
      </c>
      <c r="N105" s="444"/>
      <c r="O105" s="382"/>
    </row>
    <row r="106" spans="1:15" s="442" customFormat="1" ht="27.75">
      <c r="A106" s="1416" t="s">
        <v>78</v>
      </c>
      <c r="B106" s="1418"/>
      <c r="C106" s="1417"/>
      <c r="D106" s="623" t="s">
        <v>144</v>
      </c>
      <c r="E106" s="532">
        <f>'21'!F106</f>
        <v>19362</v>
      </c>
      <c r="F106" s="532">
        <v>19368</v>
      </c>
      <c r="G106" s="1363">
        <f t="shared" si="11"/>
        <v>6</v>
      </c>
      <c r="H106" s="460">
        <f>SUM(G106+'1'!G78)</f>
        <v>396</v>
      </c>
      <c r="I106" s="532"/>
      <c r="J106" s="559">
        <f>H106/DAY(B2)</f>
        <v>18</v>
      </c>
      <c r="N106" s="444"/>
      <c r="O106" s="382"/>
    </row>
    <row r="107" spans="1:15" s="442" customFormat="1" ht="27.75">
      <c r="A107" s="1419" t="s">
        <v>202</v>
      </c>
      <c r="B107" s="1420"/>
      <c r="C107" s="1376"/>
      <c r="D107" s="623"/>
      <c r="E107" s="532">
        <f>'21'!F107</f>
        <v>0</v>
      </c>
      <c r="F107" s="532"/>
      <c r="G107" s="1363">
        <f>SUM(G104:G106)</f>
        <v>16</v>
      </c>
      <c r="H107" s="460">
        <f>SUM(G107+'1'!G79)</f>
        <v>208</v>
      </c>
      <c r="I107" s="532"/>
      <c r="J107" s="559">
        <f>H107/DAY(B2)</f>
        <v>9.454545454545455</v>
      </c>
      <c r="N107" s="444"/>
      <c r="O107" s="382"/>
    </row>
    <row r="108" spans="1:15" s="442" customFormat="1" ht="27.75">
      <c r="A108" s="1421" t="s">
        <v>79</v>
      </c>
      <c r="B108" s="1422"/>
      <c r="C108" s="1376"/>
      <c r="D108" s="623" t="s">
        <v>144</v>
      </c>
      <c r="E108" s="532">
        <f>'21'!F108</f>
        <v>0</v>
      </c>
      <c r="F108" s="532"/>
      <c r="G108" s="1363"/>
      <c r="H108" s="460"/>
      <c r="I108" s="532"/>
      <c r="J108" s="559"/>
      <c r="N108" s="444"/>
      <c r="O108" s="382"/>
    </row>
    <row r="109" spans="1:15" s="442" customFormat="1" ht="27.75">
      <c r="A109" s="1416" t="s">
        <v>220</v>
      </c>
      <c r="B109" s="1417"/>
      <c r="C109" s="1376"/>
      <c r="D109" s="623" t="s">
        <v>144</v>
      </c>
      <c r="E109" s="532">
        <f>'21'!F109</f>
        <v>57962</v>
      </c>
      <c r="F109" s="532">
        <v>58047</v>
      </c>
      <c r="G109" s="1363">
        <f>F109-E109</f>
        <v>85</v>
      </c>
      <c r="H109" s="460">
        <f>SUM(G109+'1'!G81)</f>
        <v>197.56000000005588</v>
      </c>
      <c r="I109" s="532"/>
      <c r="J109" s="559">
        <f>H109/DAY(B2)</f>
        <v>8.9800000000025406</v>
      </c>
      <c r="N109" s="444"/>
      <c r="O109" s="382"/>
    </row>
    <row r="110" spans="1:15" s="442" customFormat="1" ht="27.75">
      <c r="A110" s="1416" t="s">
        <v>221</v>
      </c>
      <c r="B110" s="1417"/>
      <c r="C110" s="1376"/>
      <c r="D110" s="623" t="s">
        <v>144</v>
      </c>
      <c r="E110" s="532">
        <f>'21'!F110</f>
        <v>31357</v>
      </c>
      <c r="F110" s="532">
        <v>31393</v>
      </c>
      <c r="G110" s="1363">
        <f t="shared" ref="G110:G111" si="12">F110-E110</f>
        <v>36</v>
      </c>
      <c r="H110" s="460">
        <f>SUM(G110+'1'!G82)</f>
        <v>54.169999999998254</v>
      </c>
      <c r="I110" s="532"/>
      <c r="J110" s="559">
        <f>H110/DAY(B2)</f>
        <v>2.4622727272726479</v>
      </c>
      <c r="N110" s="444"/>
      <c r="O110" s="382"/>
    </row>
    <row r="111" spans="1:15" s="442" customFormat="1" ht="27.75">
      <c r="A111" s="1416" t="s">
        <v>222</v>
      </c>
      <c r="B111" s="1417"/>
      <c r="C111" s="1376"/>
      <c r="D111" s="623" t="s">
        <v>144</v>
      </c>
      <c r="E111" s="532">
        <f>'21'!F111</f>
        <v>4098</v>
      </c>
      <c r="F111" s="532">
        <v>4106</v>
      </c>
      <c r="G111" s="1363">
        <f t="shared" si="12"/>
        <v>8</v>
      </c>
      <c r="H111" s="460">
        <f>SUM(G111+'1'!G83)</f>
        <v>528</v>
      </c>
      <c r="I111" s="532"/>
      <c r="J111" s="559">
        <f>H111/DAY(B2)</f>
        <v>24</v>
      </c>
      <c r="N111" s="444"/>
      <c r="O111" s="382"/>
    </row>
    <row r="112" spans="1:15" s="442" customFormat="1" ht="27.75">
      <c r="A112" s="1448" t="s">
        <v>110</v>
      </c>
      <c r="B112" s="1449"/>
      <c r="C112" s="1376"/>
      <c r="D112" s="623"/>
      <c r="E112" s="532">
        <f>'21'!F112</f>
        <v>0</v>
      </c>
      <c r="F112" s="532"/>
      <c r="G112" s="1363">
        <f>SUM(G109:G111)</f>
        <v>129</v>
      </c>
      <c r="H112" s="460">
        <f>SUM(G112+'1'!G84)</f>
        <v>819</v>
      </c>
      <c r="I112" s="532"/>
      <c r="J112" s="559">
        <f>H112/DAY(B2)</f>
        <v>37.227272727272727</v>
      </c>
      <c r="N112" s="444"/>
      <c r="O112" s="382"/>
    </row>
    <row r="113" spans="1:15" s="442" customFormat="1" ht="27.75">
      <c r="A113" s="1421" t="s">
        <v>223</v>
      </c>
      <c r="B113" s="1422"/>
      <c r="C113" s="1376"/>
      <c r="D113" s="623"/>
      <c r="E113" s="532">
        <f>'21'!F113</f>
        <v>0</v>
      </c>
      <c r="F113" s="532"/>
      <c r="G113" s="1363"/>
      <c r="H113" s="460"/>
      <c r="I113" s="532"/>
      <c r="J113" s="559">
        <f>H113/DAY(B2)</f>
        <v>0</v>
      </c>
      <c r="N113" s="444"/>
      <c r="O113" s="382"/>
    </row>
    <row r="114" spans="1:15" s="442" customFormat="1" ht="27.75">
      <c r="A114" s="1416" t="s">
        <v>224</v>
      </c>
      <c r="B114" s="1417"/>
      <c r="C114" s="575"/>
      <c r="D114" s="623" t="s">
        <v>144</v>
      </c>
      <c r="E114" s="534">
        <f>'21'!F114</f>
        <v>10665</v>
      </c>
      <c r="F114" s="534">
        <v>10679</v>
      </c>
      <c r="G114" s="1364">
        <f>F114-E114</f>
        <v>14</v>
      </c>
      <c r="H114" s="460">
        <f>SUM(G114+'1'!G91)</f>
        <v>14</v>
      </c>
      <c r="I114" s="532"/>
      <c r="J114" s="559">
        <f>H114/DAY(B2)</f>
        <v>0.63636363636363635</v>
      </c>
      <c r="N114" s="444"/>
      <c r="O114" s="382"/>
    </row>
    <row r="115" spans="1:15" s="442" customFormat="1" ht="27.75">
      <c r="A115" s="1416" t="s">
        <v>225</v>
      </c>
      <c r="B115" s="1417"/>
      <c r="C115" s="575"/>
      <c r="D115" s="623" t="s">
        <v>144</v>
      </c>
      <c r="E115" s="534">
        <f>'21'!F115</f>
        <v>7853</v>
      </c>
      <c r="F115" s="534">
        <v>7869</v>
      </c>
      <c r="G115" s="1364">
        <f t="shared" ref="G115:G116" si="13">F115-E115</f>
        <v>16</v>
      </c>
      <c r="H115" s="460">
        <f>SUM(G115+'1'!G92)</f>
        <v>138</v>
      </c>
      <c r="I115" s="532"/>
      <c r="J115" s="559">
        <f>H115/DAY(B2)</f>
        <v>6.2727272727272725</v>
      </c>
      <c r="N115" s="444"/>
      <c r="O115" s="382"/>
    </row>
    <row r="116" spans="1:15" s="442" customFormat="1" ht="27.75">
      <c r="A116" s="1416" t="s">
        <v>226</v>
      </c>
      <c r="B116" s="1417"/>
      <c r="C116" s="575"/>
      <c r="D116" s="623" t="s">
        <v>144</v>
      </c>
      <c r="E116" s="534"/>
      <c r="F116" s="534"/>
      <c r="G116" s="1364">
        <f t="shared" si="13"/>
        <v>0</v>
      </c>
      <c r="H116" s="460">
        <f>SUM(G116+'1'!G93)</f>
        <v>144</v>
      </c>
      <c r="I116" s="532"/>
      <c r="J116" s="559">
        <f>H116/DAY(B2)</f>
        <v>6.5454545454545459</v>
      </c>
      <c r="N116" s="444"/>
      <c r="O116" s="382"/>
    </row>
    <row r="117" spans="1:15" s="445" customFormat="1" ht="27.75">
      <c r="A117" s="1419" t="s">
        <v>202</v>
      </c>
      <c r="B117" s="1420"/>
      <c r="C117" s="575"/>
      <c r="D117" s="624"/>
      <c r="E117" s="534"/>
      <c r="F117" s="534"/>
      <c r="G117" s="1364">
        <f>SUM(G114:G116)</f>
        <v>30</v>
      </c>
      <c r="H117" s="460">
        <f>SUM(G117+'1'!G95)</f>
        <v>106</v>
      </c>
      <c r="I117" s="534"/>
      <c r="J117" s="559">
        <f>H117/DAY(B2)</f>
        <v>4.8181818181818183</v>
      </c>
      <c r="N117" s="447"/>
      <c r="O117" s="382"/>
    </row>
    <row r="118" spans="1:15" s="446" customFormat="1" ht="27.75">
      <c r="A118" s="1450" t="s">
        <v>227</v>
      </c>
      <c r="B118" s="1451"/>
      <c r="C118" s="1375"/>
      <c r="D118" s="625" t="s">
        <v>144</v>
      </c>
      <c r="E118" s="536"/>
      <c r="F118" s="536">
        <f>SUM(G19+G92)</f>
        <v>138</v>
      </c>
      <c r="G118" s="1364">
        <f>SUM(G19+G92)</f>
        <v>138</v>
      </c>
      <c r="H118" s="460">
        <f>SUM(G118+'1'!G96)</f>
        <v>151</v>
      </c>
      <c r="I118" s="535"/>
      <c r="J118" s="560">
        <f>H118/DAY(B2)</f>
        <v>6.8636363636363633</v>
      </c>
      <c r="N118" s="784"/>
      <c r="O118" s="382"/>
    </row>
    <row r="119" spans="1:15" s="446" customFormat="1" ht="27.75">
      <c r="A119" s="1450" t="s">
        <v>228</v>
      </c>
      <c r="B119" s="1451"/>
      <c r="C119" s="1375"/>
      <c r="D119" s="625" t="s">
        <v>144</v>
      </c>
      <c r="E119" s="536"/>
      <c r="F119" s="536">
        <f>SUM(G95,G96,G97,G99,G100)</f>
        <v>154</v>
      </c>
      <c r="G119" s="1364">
        <f>SUM(G95,G96,G97,G99,G100)</f>
        <v>154</v>
      </c>
      <c r="H119" s="460">
        <f>SUM(G119+'1'!G98)</f>
        <v>224</v>
      </c>
      <c r="I119" s="535"/>
      <c r="J119" s="560">
        <f>H119/DAY(B2)</f>
        <v>10.181818181818182</v>
      </c>
      <c r="N119" s="784"/>
      <c r="O119" s="382"/>
    </row>
    <row r="120" spans="1:15" s="446" customFormat="1" ht="27.75">
      <c r="A120" s="1450" t="s">
        <v>229</v>
      </c>
      <c r="B120" s="1451"/>
      <c r="C120" s="1375"/>
      <c r="D120" s="625" t="s">
        <v>144</v>
      </c>
      <c r="E120" s="534"/>
      <c r="F120" s="534">
        <f>SUM(G112)</f>
        <v>129</v>
      </c>
      <c r="G120" s="1364">
        <f>SUM(G112)</f>
        <v>129</v>
      </c>
      <c r="H120" s="460">
        <f>SUM(G120+'1'!G100)</f>
        <v>143</v>
      </c>
      <c r="I120" s="535"/>
      <c r="J120" s="560">
        <f>H120/DAY(B2)</f>
        <v>6.5</v>
      </c>
      <c r="N120" s="784"/>
      <c r="O120" s="382"/>
    </row>
    <row r="121" spans="1:15" s="442" customFormat="1" ht="27.75">
      <c r="A121" s="1452"/>
      <c r="B121" s="1453"/>
      <c r="C121" s="1376"/>
      <c r="D121" s="561"/>
      <c r="E121" s="561"/>
      <c r="F121" s="561" t="s">
        <v>215</v>
      </c>
      <c r="G121" s="1365"/>
      <c r="H121" s="562"/>
      <c r="I121" s="561"/>
      <c r="J121" s="563"/>
      <c r="N121" s="444"/>
      <c r="O121" s="382"/>
    </row>
    <row r="122" spans="1:15">
      <c r="A122" s="1402" t="s">
        <v>230</v>
      </c>
      <c r="B122" s="1403"/>
      <c r="C122" s="1404"/>
      <c r="D122" s="472"/>
      <c r="E122" s="472"/>
      <c r="F122" s="472"/>
      <c r="G122" s="1349"/>
      <c r="H122" s="483"/>
      <c r="I122" s="483"/>
      <c r="J122" s="564"/>
      <c r="K122" s="380"/>
      <c r="L122" s="377"/>
      <c r="N122" s="382"/>
      <c r="O122" s="382"/>
    </row>
    <row r="123" spans="1:15" ht="27.75">
      <c r="A123" s="1377" t="s">
        <v>231</v>
      </c>
      <c r="B123" s="1378"/>
      <c r="C123" s="1378"/>
      <c r="D123" s="523" t="s">
        <v>141</v>
      </c>
      <c r="E123" s="478">
        <f>'21'!F123</f>
        <v>816330.72</v>
      </c>
      <c r="F123" s="478">
        <v>816612.68</v>
      </c>
      <c r="G123" s="1346">
        <f t="shared" ref="G123:G127" si="14">F123-E123</f>
        <v>281.96000000007916</v>
      </c>
      <c r="H123" s="460">
        <f>G123+'21'!H123</f>
        <v>5605.8400000000838</v>
      </c>
      <c r="I123" s="526"/>
      <c r="J123" s="553">
        <f>H123/DAY(B2)</f>
        <v>254.8109090909129</v>
      </c>
      <c r="K123" s="380"/>
      <c r="L123" s="377"/>
      <c r="N123" s="382"/>
      <c r="O123" s="382"/>
    </row>
    <row r="124" spans="1:15" ht="27.75">
      <c r="A124" s="1377" t="s">
        <v>232</v>
      </c>
      <c r="B124" s="1378"/>
      <c r="C124" s="1378"/>
      <c r="D124" s="523" t="s">
        <v>141</v>
      </c>
      <c r="E124" s="627">
        <f>'21'!F124</f>
        <v>73583</v>
      </c>
      <c r="F124" s="627">
        <v>73583</v>
      </c>
      <c r="G124" s="1346">
        <f t="shared" si="14"/>
        <v>0</v>
      </c>
      <c r="H124" s="460">
        <f>G124+'21'!H124</f>
        <v>-0.39999999999417923</v>
      </c>
      <c r="I124" s="526"/>
      <c r="J124" s="553">
        <f>H124/DAY(B2)</f>
        <v>-1.8181818181553601E-2</v>
      </c>
      <c r="K124" s="380"/>
      <c r="L124" s="377"/>
      <c r="N124" s="382"/>
      <c r="O124" s="382"/>
    </row>
    <row r="125" spans="1:15" ht="27.75">
      <c r="A125" s="1408" t="s">
        <v>233</v>
      </c>
      <c r="B125" s="1409"/>
      <c r="C125" s="1410"/>
      <c r="D125" s="523" t="s">
        <v>141</v>
      </c>
      <c r="E125" s="478">
        <f>'21'!F125</f>
        <v>141381.29</v>
      </c>
      <c r="F125" s="478">
        <v>141446.48000000001</v>
      </c>
      <c r="G125" s="1346">
        <f t="shared" si="14"/>
        <v>65.190000000002328</v>
      </c>
      <c r="H125" s="460">
        <f>G125+'21'!H125</f>
        <v>1467.140000000014</v>
      </c>
      <c r="I125" s="526"/>
      <c r="J125" s="553">
        <f>H125/DAY(B2)</f>
        <v>66.688181818182457</v>
      </c>
      <c r="K125" s="380"/>
      <c r="L125" s="377"/>
      <c r="N125" s="382"/>
      <c r="O125" s="382"/>
    </row>
    <row r="126" spans="1:15" ht="27.75">
      <c r="A126" s="610" t="s">
        <v>234</v>
      </c>
      <c r="B126" s="1378"/>
      <c r="C126" s="1378"/>
      <c r="D126" s="523" t="s">
        <v>141</v>
      </c>
      <c r="E126" s="627">
        <f>'21'!F126</f>
        <v>59780.6</v>
      </c>
      <c r="F126" s="627">
        <v>59797.2</v>
      </c>
      <c r="G126" s="1346">
        <f t="shared" si="14"/>
        <v>16.599999999998545</v>
      </c>
      <c r="H126" s="460">
        <f>G126+'21'!H126</f>
        <v>490.29999999999563</v>
      </c>
      <c r="I126" s="526"/>
      <c r="J126" s="553">
        <f>H126/DAY(B2)</f>
        <v>22.286363636363436</v>
      </c>
      <c r="K126" s="380"/>
      <c r="L126" s="377"/>
      <c r="N126" s="382"/>
      <c r="O126" s="382"/>
    </row>
    <row r="127" spans="1:15" ht="27.75">
      <c r="A127" s="610" t="s">
        <v>235</v>
      </c>
      <c r="B127" s="1378"/>
      <c r="C127" s="1378"/>
      <c r="D127" s="523" t="s">
        <v>141</v>
      </c>
      <c r="E127" s="627">
        <f>'21'!F127</f>
        <v>8940.9</v>
      </c>
      <c r="F127" s="627">
        <v>8942.5</v>
      </c>
      <c r="G127" s="1346">
        <f t="shared" si="14"/>
        <v>1.6000000000003638</v>
      </c>
      <c r="H127" s="460">
        <f>G127+'21'!H127</f>
        <v>54.700000000000728</v>
      </c>
      <c r="I127" s="480"/>
      <c r="J127" s="553">
        <f>H127/DAY(B2)</f>
        <v>2.4863636363636696</v>
      </c>
      <c r="K127" s="380"/>
      <c r="L127" s="377"/>
      <c r="N127" s="382"/>
      <c r="O127" s="382"/>
    </row>
    <row r="128" spans="1:15" s="281" customFormat="1" ht="27.75">
      <c r="A128" s="610" t="s">
        <v>236</v>
      </c>
      <c r="B128" s="1378"/>
      <c r="C128" s="1378"/>
      <c r="D128" s="523"/>
      <c r="E128" s="478"/>
      <c r="F128" s="478"/>
      <c r="G128" s="1346">
        <f>G15-SUM(G123:G127)</f>
        <v>584.44999999996617</v>
      </c>
      <c r="H128" s="460">
        <f>G128+'21'!H128</f>
        <v>3606.1509999998998</v>
      </c>
      <c r="I128" s="480"/>
      <c r="J128" s="553">
        <f>H128/DAY(B2)</f>
        <v>163.91595454544998</v>
      </c>
      <c r="K128" s="364"/>
      <c r="L128" s="292"/>
      <c r="N128" s="365"/>
      <c r="O128" s="382"/>
    </row>
    <row r="129" spans="1:15">
      <c r="A129" s="611" t="s">
        <v>237</v>
      </c>
      <c r="B129" s="458"/>
      <c r="C129" s="458"/>
      <c r="D129" s="471"/>
      <c r="E129" s="471"/>
      <c r="F129" s="471"/>
      <c r="G129" s="1366"/>
      <c r="H129" s="541"/>
      <c r="I129" s="541"/>
      <c r="J129" s="565"/>
      <c r="N129" s="382"/>
      <c r="O129" s="382"/>
    </row>
    <row r="130" spans="1:15" ht="27.75">
      <c r="A130" s="1377" t="s">
        <v>238</v>
      </c>
      <c r="B130" s="1378"/>
      <c r="C130" s="1378"/>
      <c r="D130" s="523" t="s">
        <v>239</v>
      </c>
      <c r="E130" s="484">
        <f>'21'!F130</f>
        <v>0</v>
      </c>
      <c r="F130" s="484">
        <v>0</v>
      </c>
      <c r="G130" s="1346">
        <f t="shared" ref="G130:G140" si="15">F130-E130</f>
        <v>0</v>
      </c>
      <c r="H130" s="460">
        <f>G130+'21'!H130</f>
        <v>0</v>
      </c>
      <c r="I130" s="480"/>
      <c r="J130" s="553">
        <f>H130/DAY(B2)</f>
        <v>0</v>
      </c>
      <c r="N130" s="382"/>
      <c r="O130" s="382"/>
    </row>
    <row r="131" spans="1:15" ht="27.75">
      <c r="A131" s="1377" t="s">
        <v>240</v>
      </c>
      <c r="B131" s="1378"/>
      <c r="C131" s="1378"/>
      <c r="D131" s="523" t="s">
        <v>239</v>
      </c>
      <c r="E131" s="484">
        <f>'21'!F131</f>
        <v>0</v>
      </c>
      <c r="F131" s="484">
        <v>0</v>
      </c>
      <c r="G131" s="1346">
        <f t="shared" si="15"/>
        <v>0</v>
      </c>
      <c r="H131" s="460">
        <f>G131+'21'!H131</f>
        <v>0</v>
      </c>
      <c r="I131" s="480"/>
      <c r="J131" s="553">
        <f>H131/DAY(B2)</f>
        <v>0</v>
      </c>
      <c r="N131" s="382"/>
      <c r="O131" s="382"/>
    </row>
    <row r="132" spans="1:15" ht="27.75">
      <c r="A132" s="1377" t="s">
        <v>241</v>
      </c>
      <c r="B132" s="1378"/>
      <c r="C132" s="1378"/>
      <c r="D132" s="523" t="s">
        <v>239</v>
      </c>
      <c r="E132" s="542">
        <f>'21'!F132</f>
        <v>39293.5</v>
      </c>
      <c r="F132" s="542">
        <v>39317.72</v>
      </c>
      <c r="G132" s="1346">
        <f t="shared" si="15"/>
        <v>24.220000000001164</v>
      </c>
      <c r="H132" s="460">
        <f>G132+'21'!H132</f>
        <v>479.38999999999942</v>
      </c>
      <c r="I132" s="480"/>
      <c r="J132" s="553">
        <f>H132/DAY(B2)</f>
        <v>21.790454545454519</v>
      </c>
      <c r="N132" s="382"/>
      <c r="O132" s="382"/>
    </row>
    <row r="133" spans="1:15" s="441" customFormat="1" ht="27.75">
      <c r="A133" s="1077" t="s">
        <v>242</v>
      </c>
      <c r="B133" s="1078"/>
      <c r="C133" s="1078"/>
      <c r="D133" s="628" t="s">
        <v>239</v>
      </c>
      <c r="E133" s="542">
        <f>'21'!F133</f>
        <v>299.52</v>
      </c>
      <c r="F133" s="542">
        <v>299.52</v>
      </c>
      <c r="G133" s="1368">
        <f t="shared" si="15"/>
        <v>0</v>
      </c>
      <c r="H133" s="710">
        <f>G133+'21'!H133</f>
        <v>-0.48000000000001819</v>
      </c>
      <c r="I133" s="1079">
        <f>G130+G131+G132+G133</f>
        <v>24.220000000001164</v>
      </c>
      <c r="J133" s="712">
        <f>H133/DAY(B2)</f>
        <v>-2.1818181818182646E-2</v>
      </c>
      <c r="N133" s="718"/>
      <c r="O133" s="718"/>
    </row>
    <row r="134" spans="1:15" ht="27.75">
      <c r="A134" s="1377" t="s">
        <v>243</v>
      </c>
      <c r="B134" s="1378"/>
      <c r="C134" s="1378"/>
      <c r="D134" s="523" t="s">
        <v>239</v>
      </c>
      <c r="E134" s="542">
        <f>'21'!F134</f>
        <v>40802</v>
      </c>
      <c r="F134" s="542">
        <v>40802</v>
      </c>
      <c r="G134" s="1346">
        <f t="shared" si="15"/>
        <v>0</v>
      </c>
      <c r="H134" s="460">
        <f>G134+'21'!H134</f>
        <v>434.86000000000058</v>
      </c>
      <c r="I134" s="480"/>
      <c r="J134" s="553">
        <f>H134/DAY(B2)</f>
        <v>19.766363636363664</v>
      </c>
      <c r="N134" s="382"/>
      <c r="O134" s="382"/>
    </row>
    <row r="135" spans="1:15" ht="27.75">
      <c r="A135" s="1377" t="s">
        <v>244</v>
      </c>
      <c r="B135" s="1378"/>
      <c r="C135" s="1378"/>
      <c r="D135" s="523" t="s">
        <v>239</v>
      </c>
      <c r="E135" s="542">
        <f>'21'!F135</f>
        <v>32582.92</v>
      </c>
      <c r="F135" s="542">
        <v>32582.93</v>
      </c>
      <c r="G135" s="1346">
        <f t="shared" si="15"/>
        <v>1.0000000002037268E-2</v>
      </c>
      <c r="H135" s="460">
        <f>G135+'21'!H135</f>
        <v>11.930000000000291</v>
      </c>
      <c r="I135" s="480"/>
      <c r="J135" s="553">
        <f>H135/DAY(B2)</f>
        <v>0.54227272727274045</v>
      </c>
      <c r="N135" s="382"/>
      <c r="O135" s="382"/>
    </row>
    <row r="136" spans="1:15" ht="27.75">
      <c r="A136" s="1377" t="s">
        <v>245</v>
      </c>
      <c r="B136" s="1378"/>
      <c r="C136" s="1378"/>
      <c r="D136" s="523" t="s">
        <v>239</v>
      </c>
      <c r="E136" s="542">
        <f>'21'!F136</f>
        <v>22400.32</v>
      </c>
      <c r="F136" s="542">
        <v>22410.27</v>
      </c>
      <c r="G136" s="1346">
        <f t="shared" si="15"/>
        <v>9.9500000000007276</v>
      </c>
      <c r="H136" s="460">
        <f>G136+'21'!H136</f>
        <v>188.06000000000131</v>
      </c>
      <c r="I136" s="480">
        <f>G134+G135+G136</f>
        <v>9.9600000000027649</v>
      </c>
      <c r="J136" s="553">
        <f>H136/DAY(B2)</f>
        <v>8.5481818181818774</v>
      </c>
      <c r="N136" s="382"/>
      <c r="O136" s="382"/>
    </row>
    <row r="137" spans="1:15" ht="27.75">
      <c r="A137" s="1377" t="s">
        <v>246</v>
      </c>
      <c r="B137" s="1378"/>
      <c r="C137" s="1378"/>
      <c r="D137" s="523" t="s">
        <v>239</v>
      </c>
      <c r="E137" s="542">
        <f>'21'!F137</f>
        <v>25044.31</v>
      </c>
      <c r="F137" s="542">
        <v>25044.37</v>
      </c>
      <c r="G137" s="1346">
        <f t="shared" si="15"/>
        <v>5.9999999997671694E-2</v>
      </c>
      <c r="H137" s="460">
        <f>G137+'21'!H137</f>
        <v>5.9999999997671694E-2</v>
      </c>
      <c r="I137" s="480"/>
      <c r="J137" s="553">
        <f>H137/DAY(B2)</f>
        <v>2.727272727166895E-3</v>
      </c>
      <c r="N137" s="382"/>
      <c r="O137" s="382"/>
    </row>
    <row r="138" spans="1:15" ht="27.75">
      <c r="A138" s="1377" t="s">
        <v>247</v>
      </c>
      <c r="B138" s="1378"/>
      <c r="C138" s="1378"/>
      <c r="D138" s="523" t="s">
        <v>239</v>
      </c>
      <c r="E138" s="542">
        <f>'21'!F138</f>
        <v>70231.600000000006</v>
      </c>
      <c r="F138" s="542">
        <v>70235.37</v>
      </c>
      <c r="G138" s="1346">
        <f t="shared" si="15"/>
        <v>3.7699999999895226</v>
      </c>
      <c r="H138" s="460">
        <f>G138+'21'!H138</f>
        <v>88.029999999998836</v>
      </c>
      <c r="I138" s="480">
        <f>G137+G138</f>
        <v>3.8299999999871943</v>
      </c>
      <c r="J138" s="553">
        <f>H138/DAY(B2)</f>
        <v>4.0013636363635836</v>
      </c>
      <c r="N138" s="382"/>
      <c r="O138" s="382"/>
    </row>
    <row r="139" spans="1:15" ht="27.75">
      <c r="A139" s="1377" t="s">
        <v>248</v>
      </c>
      <c r="B139" s="1378"/>
      <c r="C139" s="1378"/>
      <c r="D139" s="523" t="s">
        <v>239</v>
      </c>
      <c r="E139" s="484">
        <f>'21'!F139</f>
        <v>1536.52</v>
      </c>
      <c r="F139" s="484">
        <v>1536.52</v>
      </c>
      <c r="G139" s="1346">
        <f t="shared" si="15"/>
        <v>0</v>
      </c>
      <c r="H139" s="460">
        <f>G139+'21'!H139</f>
        <v>113.37999999999988</v>
      </c>
      <c r="I139" s="543"/>
      <c r="J139" s="553">
        <f>H139/DAY(B2)</f>
        <v>5.153636363636358</v>
      </c>
      <c r="N139" s="382"/>
      <c r="O139" s="382"/>
    </row>
    <row r="140" spans="1:15" ht="27.75">
      <c r="A140" s="1377" t="s">
        <v>249</v>
      </c>
      <c r="B140" s="1378"/>
      <c r="C140" s="1378"/>
      <c r="D140" s="523" t="s">
        <v>239</v>
      </c>
      <c r="E140" s="484">
        <f>'21'!F140</f>
        <v>4380.67</v>
      </c>
      <c r="F140" s="484">
        <v>4389.92</v>
      </c>
      <c r="G140" s="1346">
        <f t="shared" si="15"/>
        <v>9.25</v>
      </c>
      <c r="H140" s="460">
        <f>G140+'21'!H140</f>
        <v>55.920000000000073</v>
      </c>
      <c r="I140" s="543"/>
      <c r="J140" s="553">
        <f>H140/DAY(B2)</f>
        <v>2.5418181818181851</v>
      </c>
      <c r="N140" s="382"/>
      <c r="O140" s="382"/>
    </row>
    <row r="141" spans="1:15">
      <c r="A141" s="1446" t="s">
        <v>250</v>
      </c>
      <c r="B141" s="1447"/>
      <c r="C141" s="1383"/>
      <c r="D141" s="472"/>
      <c r="E141" s="472"/>
      <c r="F141" s="472"/>
      <c r="G141" s="1349"/>
      <c r="H141" s="483"/>
      <c r="I141" s="483"/>
      <c r="J141" s="564"/>
      <c r="K141" s="380"/>
      <c r="L141" s="377"/>
      <c r="N141" s="382"/>
      <c r="O141" s="382"/>
    </row>
    <row r="142" spans="1:15" ht="27.75">
      <c r="A142" s="1411" t="s">
        <v>251</v>
      </c>
      <c r="B142" s="1412"/>
      <c r="C142" s="1413"/>
      <c r="D142" s="523" t="s">
        <v>132</v>
      </c>
      <c r="E142" s="523"/>
      <c r="F142" s="523"/>
      <c r="G142" s="1359">
        <f>G35+G43+G49+G57</f>
        <v>5737.3099999999395</v>
      </c>
      <c r="H142" s="460">
        <f>G142+'21'!H142</f>
        <v>126417.55</v>
      </c>
      <c r="I142" s="480"/>
      <c r="J142" s="553">
        <f>H142/DAY(B2)</f>
        <v>5746.2522727272726</v>
      </c>
      <c r="K142" s="380"/>
      <c r="L142" s="377"/>
      <c r="N142" s="382"/>
      <c r="O142" s="382"/>
    </row>
    <row r="143" spans="1:15" ht="27.75">
      <c r="A143" s="1411" t="s">
        <v>252</v>
      </c>
      <c r="B143" s="1412"/>
      <c r="C143" s="1413"/>
      <c r="D143" s="523" t="s">
        <v>24</v>
      </c>
      <c r="E143" s="511"/>
      <c r="F143" s="511"/>
      <c r="G143" s="1369">
        <f>G142/G7</f>
        <v>0.26496605551193553</v>
      </c>
      <c r="H143" s="460">
        <f>G143+'21'!H143</f>
        <v>5.737703620999965</v>
      </c>
      <c r="I143" s="545"/>
      <c r="J143" s="553">
        <f>H143/DAY(B2)</f>
        <v>0.26080471004545297</v>
      </c>
      <c r="K143" s="380"/>
      <c r="L143" s="377"/>
      <c r="N143" s="382"/>
      <c r="O143" s="382"/>
    </row>
    <row r="144" spans="1:15" ht="27.75">
      <c r="A144" s="1411" t="s">
        <v>253</v>
      </c>
      <c r="B144" s="1412"/>
      <c r="C144" s="1413"/>
      <c r="D144" s="523" t="s">
        <v>132</v>
      </c>
      <c r="E144" s="455"/>
      <c r="F144" s="455"/>
      <c r="G144" s="1359">
        <f>G41+G42+G55+G56</f>
        <v>5689.2200000000012</v>
      </c>
      <c r="H144" s="460">
        <f>G144+'21'!H144</f>
        <v>116801.43</v>
      </c>
      <c r="I144" s="480"/>
      <c r="J144" s="553">
        <f>H144/DAY(B2)</f>
        <v>5309.1559090909086</v>
      </c>
      <c r="K144" s="380"/>
      <c r="L144" s="377"/>
      <c r="N144" s="382"/>
      <c r="O144" s="382"/>
    </row>
    <row r="145" spans="1:15" ht="27.75">
      <c r="A145" s="1411" t="s">
        <v>254</v>
      </c>
      <c r="B145" s="1412"/>
      <c r="C145" s="1413"/>
      <c r="D145" s="523" t="s">
        <v>24</v>
      </c>
      <c r="E145" s="455"/>
      <c r="F145" s="455"/>
      <c r="G145" s="1369">
        <f>G144/G7</f>
        <v>0.26274511615018709</v>
      </c>
      <c r="H145" s="460">
        <f>G145+'21'!H145</f>
        <v>5.4659733509744273</v>
      </c>
      <c r="I145" s="545"/>
      <c r="J145" s="553">
        <f>H145/DAY(B2)</f>
        <v>0.24845333413520124</v>
      </c>
      <c r="K145" s="380"/>
      <c r="L145" s="377"/>
      <c r="N145" s="382"/>
      <c r="O145" s="382"/>
    </row>
    <row r="146" spans="1:15" ht="27.75">
      <c r="A146" s="1411" t="s">
        <v>255</v>
      </c>
      <c r="B146" s="1412"/>
      <c r="C146" s="1413"/>
      <c r="D146" s="523" t="s">
        <v>132</v>
      </c>
      <c r="E146" s="455"/>
      <c r="F146" s="455"/>
      <c r="G146" s="1359">
        <f>G39+G53</f>
        <v>4335.3999999999796</v>
      </c>
      <c r="H146" s="460">
        <f>G146+'21'!H146</f>
        <v>193370.06</v>
      </c>
      <c r="I146" s="546"/>
      <c r="J146" s="553">
        <f>H146/DAY(B2)</f>
        <v>8789.5481818181815</v>
      </c>
      <c r="K146" s="380"/>
      <c r="L146" s="377"/>
      <c r="N146" s="382"/>
      <c r="O146" s="382"/>
    </row>
    <row r="147" spans="1:15" ht="27.75">
      <c r="A147" s="1411" t="s">
        <v>256</v>
      </c>
      <c r="B147" s="1412"/>
      <c r="C147" s="1413"/>
      <c r="D147" s="523" t="s">
        <v>24</v>
      </c>
      <c r="E147" s="455"/>
      <c r="F147" s="455"/>
      <c r="G147" s="1369">
        <f>G146/G7</f>
        <v>0.20022167828938159</v>
      </c>
      <c r="H147" s="460">
        <f>G147+'21'!H147</f>
        <v>9.2849565676415899</v>
      </c>
      <c r="I147" s="546"/>
      <c r="J147" s="553">
        <f>H147/DAY(B2)</f>
        <v>0.42204348034734501</v>
      </c>
      <c r="N147" s="382"/>
      <c r="O147" s="382"/>
    </row>
    <row r="148" spans="1:15" ht="27.75">
      <c r="A148" s="1411" t="s">
        <v>257</v>
      </c>
      <c r="B148" s="1412"/>
      <c r="C148" s="1413"/>
      <c r="D148" s="523" t="s">
        <v>183</v>
      </c>
      <c r="E148" s="455"/>
      <c r="F148" s="455"/>
      <c r="G148" s="1359">
        <f>G38+G52</f>
        <v>1793.5399999999936</v>
      </c>
      <c r="H148" s="460">
        <f>G148+'21'!H148</f>
        <v>43298.569999999927</v>
      </c>
      <c r="I148" s="480"/>
      <c r="J148" s="553">
        <f>H148/DAY(B2)</f>
        <v>1968.1168181818148</v>
      </c>
      <c r="K148" s="381"/>
      <c r="N148" s="382"/>
      <c r="O148" s="382"/>
    </row>
    <row r="149" spans="1:15" ht="27.75">
      <c r="A149" s="1411" t="s">
        <v>258</v>
      </c>
      <c r="B149" s="1412"/>
      <c r="C149" s="1413"/>
      <c r="D149" s="523" t="s">
        <v>24</v>
      </c>
      <c r="E149" s="455"/>
      <c r="F149" s="455"/>
      <c r="G149" s="1369">
        <f>G148/G7</f>
        <v>8.2831016487322481E-2</v>
      </c>
      <c r="H149" s="460">
        <f>G149+'21'!H149</f>
        <v>2.0303549322945873</v>
      </c>
      <c r="I149" s="546"/>
      <c r="J149" s="553">
        <f>H149/DAY(B2)</f>
        <v>9.2288860558844873E-2</v>
      </c>
      <c r="N149" s="382"/>
      <c r="O149" s="382"/>
    </row>
    <row r="150" spans="1:15" ht="27.75">
      <c r="A150" s="1411" t="s">
        <v>259</v>
      </c>
      <c r="B150" s="1412"/>
      <c r="C150" s="1413"/>
      <c r="D150" s="523" t="s">
        <v>183</v>
      </c>
      <c r="E150" s="455"/>
      <c r="F150" s="455"/>
      <c r="G150" s="1359">
        <f>G36+G50</f>
        <v>1912.5999999999767</v>
      </c>
      <c r="H150" s="460">
        <f>G150+'21'!H150</f>
        <v>41294.259999999951</v>
      </c>
      <c r="I150" s="546"/>
      <c r="J150" s="553">
        <f>H150/DAY(B2)</f>
        <v>1877.0118181818159</v>
      </c>
      <c r="N150" s="382"/>
      <c r="O150" s="382"/>
    </row>
    <row r="151" spans="1:15" ht="27.75">
      <c r="A151" s="1411" t="s">
        <v>260</v>
      </c>
      <c r="B151" s="1412"/>
      <c r="C151" s="1413"/>
      <c r="D151" s="523" t="s">
        <v>24</v>
      </c>
      <c r="E151" s="455"/>
      <c r="F151" s="455"/>
      <c r="G151" s="1369">
        <f>G150/G7</f>
        <v>8.8329561723547625E-2</v>
      </c>
      <c r="H151" s="460">
        <f>G151+'21'!H151</f>
        <v>1.9314276784651156</v>
      </c>
      <c r="I151" s="480"/>
      <c r="J151" s="553">
        <f>H151/DAY(B2)</f>
        <v>8.7792167202959806E-2</v>
      </c>
      <c r="N151" s="382"/>
      <c r="O151" s="382"/>
    </row>
    <row r="152" spans="1:15" ht="27.75">
      <c r="A152" s="1411" t="s">
        <v>261</v>
      </c>
      <c r="B152" s="1412"/>
      <c r="C152" s="1413"/>
      <c r="D152" s="523" t="s">
        <v>183</v>
      </c>
      <c r="E152" s="455"/>
      <c r="F152" s="455"/>
      <c r="G152" s="1359">
        <f>G37+G51</f>
        <v>1553.1800000000003</v>
      </c>
      <c r="H152" s="460">
        <f>G152+'21'!H152</f>
        <v>68965.109999999986</v>
      </c>
      <c r="I152" s="480"/>
      <c r="J152" s="553">
        <f>H152/DAY(B2)</f>
        <v>3134.7777272727267</v>
      </c>
      <c r="N152" s="382"/>
      <c r="O152" s="382"/>
    </row>
    <row r="153" spans="1:15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1370">
        <f>G152/G7</f>
        <v>7.1730476146492417E-2</v>
      </c>
      <c r="H153" s="460">
        <f>G153+'21'!H153</f>
        <v>3.3110717853965523</v>
      </c>
      <c r="I153" s="569"/>
      <c r="J153" s="570">
        <f>H153/DAY(B2)</f>
        <v>0.15050326297257055</v>
      </c>
      <c r="N153" s="382"/>
      <c r="O153" s="382"/>
    </row>
    <row r="154" spans="1:15">
      <c r="A154" s="466"/>
      <c r="B154" s="456"/>
      <c r="C154" s="456"/>
      <c r="D154" s="547"/>
      <c r="E154" s="547"/>
      <c r="F154" s="547"/>
      <c r="G154" s="1371"/>
      <c r="H154" s="548"/>
      <c r="I154" s="547"/>
      <c r="J154" s="549"/>
      <c r="O154" s="382"/>
    </row>
    <row r="160" spans="1:15">
      <c r="A160" s="790" t="s">
        <v>263</v>
      </c>
      <c r="B160" s="791"/>
      <c r="C160" s="791"/>
      <c r="D160" s="511" t="s">
        <v>187</v>
      </c>
      <c r="E160" s="663">
        <f>'21'!F160</f>
        <v>32585.17</v>
      </c>
      <c r="F160" s="663">
        <v>32670.01</v>
      </c>
      <c r="G160" s="1346">
        <f t="shared" ref="G160:G163" si="16">F160-E160</f>
        <v>84.840000000000146</v>
      </c>
      <c r="H160" s="539">
        <v>68.809999999999491</v>
      </c>
    </row>
    <row r="161" spans="1:8">
      <c r="A161" s="790" t="s">
        <v>264</v>
      </c>
      <c r="B161" s="791"/>
      <c r="C161" s="791"/>
      <c r="D161" s="511" t="s">
        <v>187</v>
      </c>
      <c r="E161" s="663">
        <f>'21'!F161</f>
        <v>64409.64</v>
      </c>
      <c r="F161" s="663">
        <v>64846.5</v>
      </c>
      <c r="G161" s="1346">
        <f t="shared" si="16"/>
        <v>436.86000000000058</v>
      </c>
      <c r="H161" s="539">
        <v>128.56999999999994</v>
      </c>
    </row>
    <row r="162" spans="1:8">
      <c r="A162" s="790" t="s">
        <v>265</v>
      </c>
      <c r="B162" s="791"/>
      <c r="C162" s="791"/>
      <c r="D162" s="511" t="s">
        <v>187</v>
      </c>
      <c r="E162" s="663">
        <f>'21'!F162</f>
        <v>26634.460999999999</v>
      </c>
      <c r="F162" s="663">
        <v>26911.05</v>
      </c>
      <c r="G162" s="1346">
        <f t="shared" si="16"/>
        <v>276.58899999999994</v>
      </c>
      <c r="H162" s="539">
        <v>141.49</v>
      </c>
    </row>
    <row r="163" spans="1:8">
      <c r="A163" s="790" t="s">
        <v>266</v>
      </c>
      <c r="B163" s="791"/>
      <c r="C163" s="791"/>
      <c r="D163" s="511" t="s">
        <v>187</v>
      </c>
      <c r="E163" s="663">
        <f>'21'!F163</f>
        <v>5675.94</v>
      </c>
      <c r="F163" s="663">
        <v>5684.29</v>
      </c>
      <c r="G163" s="1346">
        <f t="shared" si="16"/>
        <v>8.3500000000003638</v>
      </c>
      <c r="H163" s="539">
        <v>45.430000000000007</v>
      </c>
    </row>
    <row r="164" spans="1:8">
      <c r="A164" s="792" t="s">
        <v>98</v>
      </c>
      <c r="B164" s="605"/>
      <c r="C164" s="605"/>
      <c r="D164" s="511" t="s">
        <v>187</v>
      </c>
      <c r="E164" s="514">
        <f>E62</f>
        <v>20419.2</v>
      </c>
      <c r="F164" s="514">
        <v>20419.099999999999</v>
      </c>
      <c r="G164" s="1346">
        <f t="shared" ref="G164:G171" si="17">F164-E164</f>
        <v>-0.10000000000218279</v>
      </c>
      <c r="H164" s="539">
        <v>0</v>
      </c>
    </row>
    <row r="165" spans="1:8">
      <c r="A165" s="792" t="s">
        <v>188</v>
      </c>
      <c r="B165" s="605"/>
      <c r="C165" s="605"/>
      <c r="D165" s="511" t="s">
        <v>187</v>
      </c>
      <c r="E165" s="514">
        <f t="shared" ref="E165:E171" si="18">E63</f>
        <v>1978.63</v>
      </c>
      <c r="F165" s="514">
        <f t="shared" ref="F165:F171" si="19">F63</f>
        <v>1989.3</v>
      </c>
      <c r="G165" s="1346">
        <f t="shared" si="17"/>
        <v>10.669999999999845</v>
      </c>
      <c r="H165" s="539">
        <v>0</v>
      </c>
    </row>
    <row r="166" spans="1:8" ht="27.75">
      <c r="A166" s="1460" t="s">
        <v>99</v>
      </c>
      <c r="B166" s="1460"/>
      <c r="C166" s="1460"/>
      <c r="D166" s="523" t="s">
        <v>187</v>
      </c>
      <c r="E166" s="514">
        <f t="shared" si="18"/>
        <v>134362</v>
      </c>
      <c r="F166" s="514">
        <f t="shared" si="19"/>
        <v>134920</v>
      </c>
      <c r="G166" s="1346">
        <f t="shared" si="17"/>
        <v>558</v>
      </c>
      <c r="H166" s="539">
        <v>178.5199999999968</v>
      </c>
    </row>
    <row r="167" spans="1:8" ht="27.75">
      <c r="A167" s="1460" t="s">
        <v>100</v>
      </c>
      <c r="B167" s="1460"/>
      <c r="C167" s="1460"/>
      <c r="D167" s="523" t="s">
        <v>187</v>
      </c>
      <c r="E167" s="514">
        <f t="shared" si="18"/>
        <v>140430.63</v>
      </c>
      <c r="F167" s="514">
        <f t="shared" si="19"/>
        <v>140813.71</v>
      </c>
      <c r="G167" s="1346">
        <f t="shared" si="17"/>
        <v>383.07999999998719</v>
      </c>
      <c r="H167" s="539">
        <v>198.38999999999942</v>
      </c>
    </row>
    <row r="168" spans="1:8" ht="27.75">
      <c r="A168" s="1460" t="s">
        <v>101</v>
      </c>
      <c r="B168" s="1460"/>
      <c r="C168" s="1460"/>
      <c r="D168" s="523" t="s">
        <v>187</v>
      </c>
      <c r="E168" s="514">
        <f t="shared" si="18"/>
        <v>33176.11</v>
      </c>
      <c r="F168" s="514">
        <f t="shared" si="19"/>
        <v>33568.370000000003</v>
      </c>
      <c r="G168" s="1346">
        <f t="shared" si="17"/>
        <v>392.26000000000204</v>
      </c>
      <c r="H168" s="539">
        <v>226.35000000000582</v>
      </c>
    </row>
    <row r="169" spans="1:8" ht="27.75">
      <c r="A169" s="1460" t="s">
        <v>102</v>
      </c>
      <c r="B169" s="1460"/>
      <c r="C169" s="1460"/>
      <c r="D169" s="523" t="s">
        <v>187</v>
      </c>
      <c r="E169" s="514">
        <f t="shared" si="18"/>
        <v>222220.17</v>
      </c>
      <c r="F169" s="514">
        <f t="shared" si="19"/>
        <v>222910.69</v>
      </c>
      <c r="G169" s="1346">
        <f t="shared" si="17"/>
        <v>690.51999999998952</v>
      </c>
      <c r="H169" s="539">
        <v>312.47000000000116</v>
      </c>
    </row>
    <row r="170" spans="1:8" ht="27.75">
      <c r="A170" s="1460" t="s">
        <v>103</v>
      </c>
      <c r="B170" s="1460"/>
      <c r="C170" s="1460"/>
      <c r="D170" s="523" t="s">
        <v>187</v>
      </c>
      <c r="E170" s="514">
        <f t="shared" si="18"/>
        <v>70485</v>
      </c>
      <c r="F170" s="514">
        <f t="shared" si="19"/>
        <v>70793</v>
      </c>
      <c r="G170" s="1346">
        <f t="shared" si="17"/>
        <v>308</v>
      </c>
      <c r="H170" s="539">
        <v>142.1200000000008</v>
      </c>
    </row>
    <row r="171" spans="1:8" ht="27.75">
      <c r="A171" s="1460" t="s">
        <v>104</v>
      </c>
      <c r="B171" s="1460"/>
      <c r="C171" s="1460"/>
      <c r="D171" s="523" t="s">
        <v>187</v>
      </c>
      <c r="E171" s="514">
        <f t="shared" si="18"/>
        <v>71182.59</v>
      </c>
      <c r="F171" s="514">
        <f t="shared" si="19"/>
        <v>71492.41</v>
      </c>
      <c r="G171" s="1346">
        <f t="shared" si="17"/>
        <v>309.82000000000698</v>
      </c>
      <c r="H171" s="539">
        <v>12.869999999998981</v>
      </c>
    </row>
    <row r="172" spans="1:8">
      <c r="G172" s="1372">
        <f>SUM(G160:G171)</f>
        <v>3458.8889999999847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64" zoomScale="70" zoomScaleNormal="80" zoomScaleSheetLayoutView="70" workbookViewId="0">
      <selection activeCell="F31" sqref="F31"/>
    </sheetView>
  </sheetViews>
  <sheetFormatPr defaultColWidth="22.33203125" defaultRowHeight="20.25"/>
  <cols>
    <col min="1" max="1" width="51.21875" style="1010" customWidth="1"/>
    <col min="2" max="2" width="24.88671875" style="1010" customWidth="1"/>
    <col min="3" max="3" width="15.88671875" style="1010" customWidth="1"/>
    <col min="4" max="4" width="13.6640625" style="1010" customWidth="1"/>
    <col min="5" max="5" width="32.109375" style="1010" customWidth="1"/>
    <col min="6" max="6" width="30" style="1010" customWidth="1"/>
    <col min="7" max="7" width="20.33203125" style="1010" customWidth="1"/>
    <col min="8" max="8" width="39.21875" style="1011" customWidth="1"/>
    <col min="9" max="9" width="11.21875" style="1010" bestFit="1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6.77734375" style="811" bestFit="1" customWidth="1"/>
    <col min="16" max="16384" width="22.33203125" style="811"/>
  </cols>
  <sheetData>
    <row r="1" spans="1:15" ht="22.5">
      <c r="A1" s="1483" t="s">
        <v>117</v>
      </c>
      <c r="B1" s="1484"/>
      <c r="C1" s="1484"/>
      <c r="D1" s="1484"/>
      <c r="E1" s="1484"/>
      <c r="F1" s="1484"/>
      <c r="G1" s="1484"/>
      <c r="H1" s="1484"/>
      <c r="I1" s="1484"/>
      <c r="J1" s="1485"/>
      <c r="K1" s="811">
        <v>10002.799999999999</v>
      </c>
    </row>
    <row r="2" spans="1:15">
      <c r="A2" s="812" t="s">
        <v>318</v>
      </c>
      <c r="B2" s="1084">
        <v>44278</v>
      </c>
      <c r="C2" s="813" t="s">
        <v>69</v>
      </c>
      <c r="D2" s="814">
        <v>0.52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</row>
    <row r="3" spans="1:15">
      <c r="A3" s="817"/>
      <c r="B3" s="818"/>
      <c r="C3" s="813" t="s">
        <v>120</v>
      </c>
      <c r="D3" s="819">
        <v>30</v>
      </c>
      <c r="E3" s="1492" t="s">
        <v>121</v>
      </c>
      <c r="F3" s="1493"/>
      <c r="G3" s="820">
        <f>'1'!G3</f>
        <v>0</v>
      </c>
      <c r="H3" s="821">
        <f>'1'!H3</f>
        <v>0</v>
      </c>
      <c r="I3" s="821">
        <f>'1'!I3</f>
        <v>0</v>
      </c>
      <c r="J3" s="822">
        <f>'1'!J3</f>
        <v>0</v>
      </c>
      <c r="K3" s="823"/>
      <c r="L3" s="824"/>
    </row>
    <row r="4" spans="1:15">
      <c r="A4" s="825"/>
      <c r="B4" s="826"/>
      <c r="C4" s="813" t="s">
        <v>122</v>
      </c>
      <c r="D4" s="814">
        <v>0.78</v>
      </c>
      <c r="E4" s="827"/>
      <c r="F4" s="827"/>
      <c r="G4" s="827"/>
      <c r="H4" s="827"/>
      <c r="I4" s="828"/>
      <c r="J4" s="822"/>
      <c r="K4" s="829"/>
      <c r="L4" s="824"/>
    </row>
    <row r="5" spans="1:15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</row>
    <row r="6" spans="1:15">
      <c r="A6" s="1486" t="s">
        <v>130</v>
      </c>
      <c r="B6" s="1487"/>
      <c r="C6" s="1488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1" thickBot="1">
      <c r="A7" s="842" t="s">
        <v>131</v>
      </c>
      <c r="B7" s="843"/>
      <c r="C7" s="843"/>
      <c r="D7" s="844" t="s">
        <v>132</v>
      </c>
      <c r="E7" s="845">
        <f>'22'!F7</f>
        <v>4914463</v>
      </c>
      <c r="F7" s="845">
        <v>4935396</v>
      </c>
      <c r="G7" s="846">
        <f>F7-E7</f>
        <v>20933</v>
      </c>
      <c r="H7" s="847">
        <f>G7+'22'!H7</f>
        <v>490319</v>
      </c>
      <c r="I7" s="848">
        <f>'1'!I7</f>
        <v>12000</v>
      </c>
      <c r="J7" s="849">
        <f>H7/DAY(B2)</f>
        <v>21318.217391304348</v>
      </c>
      <c r="K7" s="850"/>
      <c r="L7" s="824"/>
      <c r="O7" s="851"/>
    </row>
    <row r="8" spans="1:15" ht="21" thickBot="1">
      <c r="A8" s="852" t="s">
        <v>133</v>
      </c>
      <c r="B8" s="853"/>
      <c r="C8" s="854"/>
      <c r="D8" s="855" t="s">
        <v>25</v>
      </c>
      <c r="E8" s="845">
        <f>'22'!F8</f>
        <v>4944984</v>
      </c>
      <c r="F8" s="856">
        <v>4966008</v>
      </c>
      <c r="G8" s="857">
        <f>F8-E8</f>
        <v>21024</v>
      </c>
      <c r="H8" s="847">
        <f>G8+'22'!H8</f>
        <v>492852</v>
      </c>
      <c r="I8" s="858">
        <f>'1'!I8</f>
        <v>12000</v>
      </c>
      <c r="J8" s="849">
        <f>H8/DAY(B2)</f>
        <v>21428.347826086956</v>
      </c>
      <c r="K8" s="850"/>
      <c r="L8" s="859"/>
      <c r="M8" s="860"/>
      <c r="O8" s="851"/>
    </row>
    <row r="9" spans="1:15">
      <c r="A9" s="861" t="s">
        <v>134</v>
      </c>
      <c r="B9" s="862"/>
      <c r="C9" s="862"/>
      <c r="D9" s="844" t="s">
        <v>132</v>
      </c>
      <c r="E9" s="845">
        <f>'22'!F9</f>
        <v>202890.33</v>
      </c>
      <c r="F9" s="863">
        <v>223132</v>
      </c>
      <c r="G9" s="846">
        <f t="shared" ref="G9:G12" si="0">F9-E9</f>
        <v>20241.670000000013</v>
      </c>
      <c r="H9" s="847">
        <f>G9+'22'!H9</f>
        <v>136222.99</v>
      </c>
      <c r="I9" s="864">
        <f>I8-J8</f>
        <v>-9428.347826086956</v>
      </c>
      <c r="J9" s="849">
        <f>H9/DAY(B2)</f>
        <v>5922.7386956521732</v>
      </c>
      <c r="K9" s="865"/>
      <c r="L9" s="824"/>
      <c r="O9" s="851"/>
    </row>
    <row r="10" spans="1:15">
      <c r="A10" s="842" t="s">
        <v>135</v>
      </c>
      <c r="B10" s="843"/>
      <c r="C10" s="843"/>
      <c r="D10" s="844" t="s">
        <v>132</v>
      </c>
      <c r="E10" s="845">
        <f>'22'!F10</f>
        <v>2324.48</v>
      </c>
      <c r="F10" s="863">
        <v>2324</v>
      </c>
      <c r="G10" s="846">
        <f t="shared" si="0"/>
        <v>-0.48000000000001819</v>
      </c>
      <c r="H10" s="847">
        <f>G10+'22'!H10</f>
        <v>335060.49</v>
      </c>
      <c r="I10" s="866"/>
      <c r="J10" s="849">
        <f>H10/DAY(B2)</f>
        <v>14567.847391304347</v>
      </c>
      <c r="K10" s="865"/>
      <c r="L10" s="824"/>
      <c r="O10" s="851"/>
    </row>
    <row r="11" spans="1:15">
      <c r="A11" s="842" t="s">
        <v>136</v>
      </c>
      <c r="B11" s="843"/>
      <c r="C11" s="843"/>
      <c r="D11" s="844" t="s">
        <v>132</v>
      </c>
      <c r="E11" s="845">
        <f>'22'!F11</f>
        <v>37000</v>
      </c>
      <c r="F11" s="845">
        <v>37000</v>
      </c>
      <c r="G11" s="846">
        <f t="shared" si="0"/>
        <v>0</v>
      </c>
      <c r="H11" s="847">
        <f>G11+'22'!H11</f>
        <v>0</v>
      </c>
      <c r="I11" s="866"/>
      <c r="J11" s="849">
        <f>H11/DAY(B2)</f>
        <v>0</v>
      </c>
      <c r="K11" s="865"/>
      <c r="L11" s="824"/>
      <c r="O11" s="851"/>
    </row>
    <row r="12" spans="1:15">
      <c r="A12" s="842" t="s">
        <v>137</v>
      </c>
      <c r="B12" s="843"/>
      <c r="C12" s="843"/>
      <c r="D12" s="844" t="s">
        <v>132</v>
      </c>
      <c r="E12" s="845">
        <f>'22'!F12</f>
        <v>40010</v>
      </c>
      <c r="F12" s="863">
        <v>40010</v>
      </c>
      <c r="G12" s="846">
        <f t="shared" si="0"/>
        <v>0</v>
      </c>
      <c r="H12" s="847">
        <f>G12+'22'!H12</f>
        <v>0</v>
      </c>
      <c r="I12" s="866"/>
      <c r="J12" s="849">
        <f>H12/DAY(B2)</f>
        <v>0</v>
      </c>
      <c r="K12" s="865"/>
      <c r="L12" s="824"/>
      <c r="O12" s="851"/>
    </row>
    <row r="13" spans="1:15">
      <c r="A13" s="867" t="s">
        <v>138</v>
      </c>
      <c r="B13" s="868"/>
      <c r="C13" s="868"/>
      <c r="D13" s="844"/>
      <c r="E13" s="845"/>
      <c r="F13" s="845"/>
      <c r="G13" s="869">
        <f>G9+G10+G11+G12</f>
        <v>20241.190000000013</v>
      </c>
      <c r="H13" s="847">
        <f>G13+'22'!H13</f>
        <v>450289.48</v>
      </c>
      <c r="I13" s="870">
        <f>G7-G13</f>
        <v>691.80999999998676</v>
      </c>
      <c r="J13" s="849">
        <f>H13/DAY(B2)</f>
        <v>19577.80347826087</v>
      </c>
      <c r="K13" s="865"/>
      <c r="L13" s="824"/>
      <c r="O13" s="851"/>
    </row>
    <row r="14" spans="1:15">
      <c r="A14" s="1489" t="s">
        <v>139</v>
      </c>
      <c r="B14" s="1490"/>
      <c r="C14" s="1491"/>
      <c r="D14" s="839"/>
      <c r="E14" s="839"/>
      <c r="F14" s="839"/>
      <c r="G14" s="871"/>
      <c r="H14" s="839"/>
      <c r="I14" s="839"/>
      <c r="J14" s="840"/>
      <c r="K14" s="872"/>
      <c r="L14" s="824"/>
      <c r="O14" s="851"/>
    </row>
    <row r="15" spans="1:15">
      <c r="A15" s="873" t="s">
        <v>140</v>
      </c>
      <c r="B15" s="874"/>
      <c r="C15" s="874"/>
      <c r="D15" s="844" t="s">
        <v>141</v>
      </c>
      <c r="E15" s="845">
        <f>'22'!F15</f>
        <v>1638968.77</v>
      </c>
      <c r="F15" s="1281">
        <v>1639882</v>
      </c>
      <c r="G15" s="1022">
        <f>(F15-E15)</f>
        <v>913.22999999998137</v>
      </c>
      <c r="H15" s="847">
        <f>G15+'22'!H15</f>
        <v>20003.389999999898</v>
      </c>
      <c r="I15" s="848">
        <f>'1'!I15</f>
        <v>800</v>
      </c>
      <c r="J15" s="849">
        <f>H15/DAY(B2)</f>
        <v>869.71260869564776</v>
      </c>
      <c r="K15" s="865"/>
      <c r="L15" s="824"/>
      <c r="O15" s="851"/>
    </row>
    <row r="16" spans="1:15">
      <c r="A16" s="876"/>
      <c r="B16" s="877"/>
      <c r="C16" s="877"/>
      <c r="D16" s="878"/>
      <c r="E16" s="879"/>
      <c r="F16" s="879"/>
      <c r="G16" s="846"/>
      <c r="H16" s="880"/>
      <c r="I16" s="881">
        <f>I15-J15</f>
        <v>-69.712608695647759</v>
      </c>
      <c r="J16" s="882"/>
      <c r="K16" s="865"/>
      <c r="L16" s="824"/>
      <c r="O16" s="851"/>
    </row>
    <row r="17" spans="1:15">
      <c r="A17" s="1489" t="s">
        <v>142</v>
      </c>
      <c r="B17" s="1490"/>
      <c r="C17" s="1491"/>
      <c r="D17" s="839"/>
      <c r="E17" s="839"/>
      <c r="F17" s="839"/>
      <c r="G17" s="883"/>
      <c r="H17" s="839"/>
      <c r="I17" s="839"/>
      <c r="J17" s="840"/>
      <c r="K17" s="865"/>
      <c r="L17" s="824"/>
      <c r="O17" s="851"/>
    </row>
    <row r="18" spans="1:15">
      <c r="A18" s="1494" t="s">
        <v>143</v>
      </c>
      <c r="B18" s="1495"/>
      <c r="C18" s="1496"/>
      <c r="D18" s="844" t="s">
        <v>144</v>
      </c>
      <c r="E18" s="845">
        <f>'22'!F18</f>
        <v>12</v>
      </c>
      <c r="F18" s="875">
        <v>10</v>
      </c>
      <c r="G18" s="869">
        <f>F18*10</f>
        <v>100</v>
      </c>
      <c r="H18" s="847">
        <f>G18+'22'!H18</f>
        <v>3010</v>
      </c>
      <c r="I18" s="848">
        <f>'1'!I18</f>
        <v>65</v>
      </c>
      <c r="J18" s="849">
        <f>H18/DAY(B2)</f>
        <v>130.86956521739131</v>
      </c>
      <c r="K18" s="865"/>
      <c r="L18" s="824"/>
      <c r="O18" s="851"/>
    </row>
    <row r="19" spans="1:15">
      <c r="A19" s="1494" t="s">
        <v>71</v>
      </c>
      <c r="B19" s="1495"/>
      <c r="C19" s="1496"/>
      <c r="D19" s="844" t="s">
        <v>144</v>
      </c>
      <c r="E19" s="845">
        <f>'22'!F19</f>
        <v>135617</v>
      </c>
      <c r="F19" s="875">
        <v>135669</v>
      </c>
      <c r="G19" s="846">
        <f t="shared" ref="G19" si="1">F19-E19</f>
        <v>52</v>
      </c>
      <c r="H19" s="847">
        <f>G19+'22'!H19</f>
        <v>1201</v>
      </c>
      <c r="I19" s="848">
        <f>'1'!I19</f>
        <v>0</v>
      </c>
      <c r="J19" s="849">
        <f>H19/DAY(B2)</f>
        <v>52.217391304347828</v>
      </c>
      <c r="K19" s="865"/>
      <c r="L19" s="824"/>
      <c r="N19" s="1013">
        <v>126171</v>
      </c>
      <c r="O19" s="851"/>
    </row>
    <row r="20" spans="1:15">
      <c r="A20" s="867" t="s">
        <v>145</v>
      </c>
      <c r="B20" s="868"/>
      <c r="C20" s="868"/>
      <c r="D20" s="885"/>
      <c r="E20" s="885"/>
      <c r="F20" s="885"/>
      <c r="G20" s="886">
        <f>G18+G19</f>
        <v>152</v>
      </c>
      <c r="H20" s="847">
        <f>G20+'22'!H20</f>
        <v>4211</v>
      </c>
      <c r="I20" s="887">
        <f>I18-J20</f>
        <v>-118.08695652173913</v>
      </c>
      <c r="J20" s="849">
        <f>H20/DAY(B2)</f>
        <v>183.08695652173913</v>
      </c>
      <c r="K20" s="865"/>
      <c r="L20" s="824"/>
      <c r="N20" s="1013">
        <f>N19-F19</f>
        <v>-9498</v>
      </c>
      <c r="O20" s="851"/>
    </row>
    <row r="21" spans="1:15">
      <c r="A21" s="1489" t="s">
        <v>146</v>
      </c>
      <c r="B21" s="1490"/>
      <c r="C21" s="1491"/>
      <c r="D21" s="839"/>
      <c r="E21" s="839"/>
      <c r="F21" s="839"/>
      <c r="G21" s="871"/>
      <c r="H21" s="839"/>
      <c r="I21" s="839"/>
      <c r="J21" s="840"/>
      <c r="K21" s="865"/>
      <c r="L21" s="824"/>
      <c r="O21" s="851"/>
    </row>
    <row r="22" spans="1:15">
      <c r="A22" s="873" t="s">
        <v>147</v>
      </c>
      <c r="B22" s="874"/>
      <c r="C22" s="874"/>
      <c r="D22" s="844" t="s">
        <v>148</v>
      </c>
      <c r="E22" s="875">
        <v>2970</v>
      </c>
      <c r="F22" s="875">
        <v>2970</v>
      </c>
      <c r="G22" s="869">
        <f t="shared" ref="G22" si="2">(F22-E22)</f>
        <v>0</v>
      </c>
      <c r="H22" s="847">
        <f>G22+'22'!H22</f>
        <v>0</v>
      </c>
      <c r="I22" s="866"/>
      <c r="J22" s="849">
        <f>H22/DAY(B2)</f>
        <v>0</v>
      </c>
      <c r="K22" s="865"/>
      <c r="L22" s="824"/>
      <c r="O22" s="851"/>
    </row>
    <row r="23" spans="1:15">
      <c r="A23" s="873" t="s">
        <v>149</v>
      </c>
      <c r="B23" s="874"/>
      <c r="C23" s="874"/>
      <c r="D23" s="844" t="s">
        <v>148</v>
      </c>
      <c r="E23" s="875">
        <v>2000</v>
      </c>
      <c r="F23" s="875">
        <v>2000</v>
      </c>
      <c r="G23" s="869">
        <v>0</v>
      </c>
      <c r="H23" s="847">
        <f>G23+'22'!H23</f>
        <v>0</v>
      </c>
      <c r="I23" s="866"/>
      <c r="J23" s="849">
        <f>H23/DAY(B2)</f>
        <v>0</v>
      </c>
      <c r="K23" s="865"/>
      <c r="L23" s="824"/>
      <c r="O23" s="851"/>
    </row>
    <row r="24" spans="1:15">
      <c r="A24" s="888" t="s">
        <v>150</v>
      </c>
      <c r="B24" s="889"/>
      <c r="C24" s="889"/>
      <c r="D24" s="831" t="s">
        <v>148</v>
      </c>
      <c r="E24" s="875">
        <v>4970</v>
      </c>
      <c r="F24" s="890">
        <v>4970</v>
      </c>
      <c r="G24" s="869">
        <v>0</v>
      </c>
      <c r="H24" s="847">
        <f>G24+'22'!H24</f>
        <v>0</v>
      </c>
      <c r="I24" s="866"/>
      <c r="J24" s="849">
        <f>H24/DAY(B2)</f>
        <v>0</v>
      </c>
      <c r="K24" s="865"/>
      <c r="L24" s="824"/>
      <c r="O24" s="851"/>
    </row>
    <row r="25" spans="1:15" s="896" customFormat="1">
      <c r="A25" s="1486" t="s">
        <v>151</v>
      </c>
      <c r="B25" s="1487"/>
      <c r="C25" s="1488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/>
    </row>
    <row r="26" spans="1:15" s="896" customFormat="1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/>
    </row>
    <row r="27" spans="1:15" s="896" customFormat="1" ht="22.5">
      <c r="A27" s="897" t="s">
        <v>6</v>
      </c>
      <c r="B27" s="898"/>
      <c r="C27" s="899"/>
      <c r="D27" s="904" t="s">
        <v>25</v>
      </c>
      <c r="E27" s="905">
        <f>G8</f>
        <v>21024</v>
      </c>
      <c r="F27" s="501">
        <v>9</v>
      </c>
      <c r="G27" s="907">
        <f>E27*F27</f>
        <v>189216</v>
      </c>
      <c r="H27" s="847">
        <f>G27+'22'!H27</f>
        <v>4435668</v>
      </c>
      <c r="I27" s="908"/>
      <c r="J27" s="849">
        <f>H27/DAY(B2)</f>
        <v>192855.13043478262</v>
      </c>
      <c r="K27" s="865"/>
      <c r="L27" s="895"/>
      <c r="N27" s="1014"/>
      <c r="O27" s="851"/>
    </row>
    <row r="28" spans="1:15" s="896" customFormat="1" ht="22.5">
      <c r="A28" s="897" t="s">
        <v>154</v>
      </c>
      <c r="B28" s="898"/>
      <c r="C28" s="899"/>
      <c r="D28" s="904" t="s">
        <v>155</v>
      </c>
      <c r="E28" s="905">
        <f>G15</f>
        <v>913.22999999998137</v>
      </c>
      <c r="F28" s="501">
        <v>43.5</v>
      </c>
      <c r="G28" s="907">
        <f>E28*F28</f>
        <v>39725.50499999919</v>
      </c>
      <c r="H28" s="847">
        <f>G28+'22'!H28</f>
        <v>935737.14319999504</v>
      </c>
      <c r="I28" s="909"/>
      <c r="J28" s="849">
        <f>H28/DAY(B2)</f>
        <v>40684.223617391086</v>
      </c>
      <c r="K28" s="865"/>
      <c r="L28" s="895"/>
      <c r="N28" s="1014"/>
      <c r="O28" s="851"/>
    </row>
    <row r="29" spans="1:15" s="896" customFormat="1">
      <c r="A29" s="897" t="s">
        <v>156</v>
      </c>
      <c r="B29" s="898"/>
      <c r="C29" s="899"/>
      <c r="D29" s="904" t="s">
        <v>157</v>
      </c>
      <c r="E29" s="905">
        <f>G24</f>
        <v>0</v>
      </c>
      <c r="F29" s="906">
        <v>69</v>
      </c>
      <c r="G29" s="907">
        <f>E29*F29</f>
        <v>0</v>
      </c>
      <c r="H29" s="847">
        <f>G29+'22'!H29</f>
        <v>0</v>
      </c>
      <c r="I29" s="909"/>
      <c r="J29" s="849">
        <f>H29/DAY(B2)</f>
        <v>0</v>
      </c>
      <c r="K29" s="865"/>
      <c r="L29" s="895"/>
      <c r="N29" s="1014"/>
      <c r="O29" s="851"/>
    </row>
    <row r="30" spans="1:15" s="896" customFormat="1">
      <c r="A30" s="897" t="s">
        <v>158</v>
      </c>
      <c r="B30" s="898"/>
      <c r="C30" s="899"/>
      <c r="D30" s="904" t="s">
        <v>159</v>
      </c>
      <c r="E30" s="905">
        <f>G19</f>
        <v>52</v>
      </c>
      <c r="F30" s="906">
        <v>134</v>
      </c>
      <c r="G30" s="907">
        <f>E30*F30</f>
        <v>6968</v>
      </c>
      <c r="H30" s="847">
        <f>G30+'22'!H30</f>
        <v>178622</v>
      </c>
      <c r="I30" s="909"/>
      <c r="J30" s="849">
        <f>H30/DAY(B2)</f>
        <v>7766.173913043478</v>
      </c>
      <c r="K30" s="865"/>
      <c r="L30" s="895"/>
      <c r="N30" s="1014"/>
      <c r="O30" s="851"/>
    </row>
    <row r="31" spans="1:15" s="896" customFormat="1">
      <c r="A31" s="897" t="s">
        <v>160</v>
      </c>
      <c r="B31" s="898"/>
      <c r="C31" s="899"/>
      <c r="D31" s="904" t="s">
        <v>144</v>
      </c>
      <c r="E31" s="905">
        <f>G18</f>
        <v>100</v>
      </c>
      <c r="F31" s="906">
        <v>80</v>
      </c>
      <c r="G31" s="907">
        <f>E31*F31</f>
        <v>8000</v>
      </c>
      <c r="H31" s="847">
        <f>G31+'22'!H31</f>
        <v>230240</v>
      </c>
      <c r="I31" s="909"/>
      <c r="J31" s="849"/>
      <c r="K31" s="865"/>
      <c r="L31" s="895"/>
      <c r="N31" s="1014"/>
      <c r="O31" s="851"/>
    </row>
    <row r="32" spans="1:15" s="896" customFormat="1">
      <c r="A32" s="910" t="s">
        <v>161</v>
      </c>
      <c r="B32" s="911"/>
      <c r="C32" s="912"/>
      <c r="D32" s="913"/>
      <c r="E32" s="913"/>
      <c r="F32" s="913"/>
      <c r="G32" s="914">
        <f>G27+G28+G29+G30+G31</f>
        <v>243909.50499999919</v>
      </c>
      <c r="H32" s="847">
        <f>G32+'22'!H32</f>
        <v>5780267.1431999942</v>
      </c>
      <c r="I32" s="915"/>
      <c r="J32" s="849">
        <f>H32/DAY(B2)</f>
        <v>251315.96274782583</v>
      </c>
      <c r="K32" s="865"/>
      <c r="L32" s="895"/>
      <c r="N32" s="1014"/>
      <c r="O32" s="851"/>
    </row>
    <row r="33" spans="1:15" ht="18.75">
      <c r="A33" s="1497" t="s">
        <v>162</v>
      </c>
      <c r="B33" s="1498"/>
      <c r="C33" s="1498"/>
      <c r="D33" s="1498"/>
      <c r="E33" s="1498"/>
      <c r="F33" s="1498"/>
      <c r="G33" s="1498"/>
      <c r="H33" s="1498"/>
      <c r="I33" s="1498"/>
      <c r="J33" s="1499"/>
      <c r="K33" s="865"/>
      <c r="L33" s="824"/>
      <c r="O33" s="851"/>
    </row>
    <row r="34" spans="1:15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/>
    </row>
    <row r="35" spans="1:15">
      <c r="A35" s="842" t="s">
        <v>164</v>
      </c>
      <c r="B35" s="843"/>
      <c r="C35" s="843"/>
      <c r="D35" s="844" t="s">
        <v>132</v>
      </c>
      <c r="E35" s="845">
        <f>'22'!F35</f>
        <v>768270.47</v>
      </c>
      <c r="F35" s="918">
        <v>771551</v>
      </c>
      <c r="G35" s="846">
        <f t="shared" ref="G35:G46" si="3">F35-E35</f>
        <v>3280.5300000000279</v>
      </c>
      <c r="H35" s="847">
        <f>G35+'22'!H35</f>
        <v>78463.410000000033</v>
      </c>
      <c r="I35" s="845"/>
      <c r="J35" s="849">
        <f>H35/DAY(B2)</f>
        <v>3411.4526086956535</v>
      </c>
      <c r="K35" s="865"/>
      <c r="L35" s="824"/>
      <c r="O35" s="851"/>
    </row>
    <row r="36" spans="1:15">
      <c r="A36" s="842" t="s">
        <v>165</v>
      </c>
      <c r="B36" s="843"/>
      <c r="C36" s="843"/>
      <c r="D36" s="844" t="s">
        <v>132</v>
      </c>
      <c r="E36" s="845">
        <f>'22'!F36</f>
        <v>310776.11</v>
      </c>
      <c r="F36" s="918">
        <v>311397</v>
      </c>
      <c r="G36" s="846">
        <f t="shared" si="3"/>
        <v>620.89000000001397</v>
      </c>
      <c r="H36" s="847">
        <f>G36+'22'!H36</f>
        <v>14951.429999999993</v>
      </c>
      <c r="I36" s="845"/>
      <c r="J36" s="849">
        <f>H36/DAY(B2)</f>
        <v>650.06217391304313</v>
      </c>
      <c r="K36" s="865"/>
      <c r="L36" s="824"/>
      <c r="O36" s="851"/>
    </row>
    <row r="37" spans="1:15">
      <c r="A37" s="842" t="s">
        <v>166</v>
      </c>
      <c r="B37" s="843"/>
      <c r="C37" s="843"/>
      <c r="D37" s="844" t="s">
        <v>132</v>
      </c>
      <c r="E37" s="845">
        <f>'22'!F37</f>
        <v>41271.08</v>
      </c>
      <c r="F37" s="918">
        <v>42759</v>
      </c>
      <c r="G37" s="846">
        <f t="shared" si="3"/>
        <v>1487.9199999999983</v>
      </c>
      <c r="H37" s="847">
        <f>G37+'22'!H37</f>
        <v>45864.08</v>
      </c>
      <c r="I37" s="845"/>
      <c r="J37" s="849">
        <f>H37/DAY(B2)</f>
        <v>1994.0904347826088</v>
      </c>
      <c r="K37" s="865"/>
      <c r="L37" s="824"/>
      <c r="O37" s="851"/>
    </row>
    <row r="38" spans="1:15">
      <c r="A38" s="842" t="s">
        <v>167</v>
      </c>
      <c r="B38" s="843"/>
      <c r="C38" s="843"/>
      <c r="D38" s="844" t="s">
        <v>132</v>
      </c>
      <c r="E38" s="845">
        <f>'22'!F38</f>
        <v>55418.7</v>
      </c>
      <c r="F38" s="834">
        <v>57242</v>
      </c>
      <c r="G38" s="846">
        <f t="shared" si="3"/>
        <v>1823.3000000000029</v>
      </c>
      <c r="H38" s="847">
        <f>G38+'22'!H38</f>
        <v>13428.510000000002</v>
      </c>
      <c r="I38" s="845"/>
      <c r="J38" s="849">
        <f>H38/DAY(B2)</f>
        <v>583.84826086956525</v>
      </c>
      <c r="K38" s="865"/>
      <c r="L38" s="824"/>
      <c r="O38" s="851"/>
    </row>
    <row r="39" spans="1:15">
      <c r="A39" s="842" t="s">
        <v>168</v>
      </c>
      <c r="B39" s="843"/>
      <c r="C39" s="843"/>
      <c r="D39" s="844" t="s">
        <v>132</v>
      </c>
      <c r="E39" s="845">
        <f>'22'!F39</f>
        <v>116398.21</v>
      </c>
      <c r="F39" s="918">
        <v>120519</v>
      </c>
      <c r="G39" s="846">
        <f t="shared" si="3"/>
        <v>4120.7899999999936</v>
      </c>
      <c r="H39" s="847">
        <f>G39+'22'!H39</f>
        <v>129911.89</v>
      </c>
      <c r="I39" s="845"/>
      <c r="J39" s="849">
        <f>H39/DAY(B2)</f>
        <v>5648.3430434782613</v>
      </c>
      <c r="K39" s="865"/>
      <c r="L39" s="824"/>
      <c r="O39" s="851"/>
    </row>
    <row r="40" spans="1:15">
      <c r="A40" s="919" t="s">
        <v>169</v>
      </c>
      <c r="B40" s="920"/>
      <c r="C40" s="920"/>
      <c r="D40" s="844" t="s">
        <v>132</v>
      </c>
      <c r="E40" s="845">
        <f>'22'!F40</f>
        <v>0.23</v>
      </c>
      <c r="F40" s="918">
        <v>0.23</v>
      </c>
      <c r="G40" s="846">
        <f t="shared" si="3"/>
        <v>0</v>
      </c>
      <c r="H40" s="847">
        <f>G40+'22'!H40</f>
        <v>0.17</v>
      </c>
      <c r="I40" s="845"/>
      <c r="J40" s="849">
        <f>H40/DAY(B2)</f>
        <v>7.3913043478260878E-3</v>
      </c>
      <c r="K40" s="872"/>
      <c r="L40" s="824"/>
      <c r="O40" s="851"/>
    </row>
    <row r="41" spans="1:15">
      <c r="A41" s="842" t="s">
        <v>170</v>
      </c>
      <c r="B41" s="843"/>
      <c r="C41" s="843"/>
      <c r="D41" s="844" t="s">
        <v>132</v>
      </c>
      <c r="E41" s="845">
        <f>'22'!F41</f>
        <v>86446.07</v>
      </c>
      <c r="F41" s="918">
        <v>91684</v>
      </c>
      <c r="G41" s="846">
        <f t="shared" si="3"/>
        <v>5237.929999999993</v>
      </c>
      <c r="H41" s="847">
        <f>G41+'22'!H41</f>
        <v>27801.629999999997</v>
      </c>
      <c r="I41" s="845"/>
      <c r="J41" s="849">
        <f>H41/DAY(B2)</f>
        <v>1208.7665217391302</v>
      </c>
      <c r="K41" s="865"/>
      <c r="L41" s="824"/>
      <c r="O41" s="851"/>
    </row>
    <row r="42" spans="1:15">
      <c r="A42" s="842" t="s">
        <v>171</v>
      </c>
      <c r="B42" s="843"/>
      <c r="C42" s="843"/>
      <c r="D42" s="844" t="s">
        <v>132</v>
      </c>
      <c r="E42" s="845">
        <f>'22'!F42</f>
        <v>59128.6</v>
      </c>
      <c r="F42" s="918">
        <v>59128.6</v>
      </c>
      <c r="G42" s="846">
        <f t="shared" si="3"/>
        <v>0</v>
      </c>
      <c r="H42" s="847">
        <f>G42+'22'!H42</f>
        <v>-0.25</v>
      </c>
      <c r="I42" s="845"/>
      <c r="J42" s="849">
        <f>H42/DAY(B2)</f>
        <v>-1.0869565217391304E-2</v>
      </c>
      <c r="K42" s="865"/>
      <c r="L42" s="824"/>
      <c r="O42" s="851"/>
    </row>
    <row r="43" spans="1:15">
      <c r="A43" s="842" t="s">
        <v>172</v>
      </c>
      <c r="B43" s="843"/>
      <c r="C43" s="843"/>
      <c r="D43" s="844" t="s">
        <v>132</v>
      </c>
      <c r="E43" s="845">
        <f>'22'!F43</f>
        <v>879448.47</v>
      </c>
      <c r="F43" s="918">
        <v>881807</v>
      </c>
      <c r="G43" s="846">
        <f t="shared" si="3"/>
        <v>2358.5300000000279</v>
      </c>
      <c r="H43" s="847">
        <f>G43+'22'!H43</f>
        <v>55909.170000000042</v>
      </c>
      <c r="I43" s="845"/>
      <c r="J43" s="849">
        <f>H43/DAY(B2)</f>
        <v>2430.8334782608713</v>
      </c>
      <c r="K43" s="865"/>
      <c r="L43" s="824"/>
      <c r="O43" s="851"/>
    </row>
    <row r="44" spans="1:15">
      <c r="A44" s="842" t="s">
        <v>173</v>
      </c>
      <c r="B44" s="843"/>
      <c r="C44" s="843"/>
      <c r="D44" s="844" t="s">
        <v>132</v>
      </c>
      <c r="E44" s="845">
        <f>'22'!F44</f>
        <v>0</v>
      </c>
      <c r="F44" s="918">
        <v>0</v>
      </c>
      <c r="G44" s="846">
        <f t="shared" si="3"/>
        <v>0</v>
      </c>
      <c r="H44" s="847">
        <f>G44+'22'!H44</f>
        <v>0</v>
      </c>
      <c r="I44" s="845"/>
      <c r="J44" s="849">
        <f>H44/DAY(B2)</f>
        <v>0</v>
      </c>
      <c r="K44" s="865"/>
      <c r="L44" s="824"/>
      <c r="O44" s="851"/>
    </row>
    <row r="45" spans="1:15">
      <c r="A45" s="842" t="s">
        <v>174</v>
      </c>
      <c r="B45" s="843"/>
      <c r="C45" s="843"/>
      <c r="D45" s="844" t="s">
        <v>132</v>
      </c>
      <c r="E45" s="845">
        <f>'22'!F45</f>
        <v>614</v>
      </c>
      <c r="F45" s="918">
        <v>614</v>
      </c>
      <c r="G45" s="846">
        <f t="shared" si="3"/>
        <v>0</v>
      </c>
      <c r="H45" s="847">
        <f>G45+'22'!H45</f>
        <v>0</v>
      </c>
      <c r="I45" s="845"/>
      <c r="J45" s="849">
        <f>H45/DAY(B2)</f>
        <v>0</v>
      </c>
      <c r="K45" s="865"/>
      <c r="L45" s="824"/>
      <c r="O45" s="851"/>
    </row>
    <row r="46" spans="1:15">
      <c r="A46" s="842" t="s">
        <v>175</v>
      </c>
      <c r="B46" s="843"/>
      <c r="C46" s="843"/>
      <c r="D46" s="844" t="s">
        <v>132</v>
      </c>
      <c r="E46" s="845">
        <f>'22'!F46</f>
        <v>187.44</v>
      </c>
      <c r="F46" s="918">
        <v>187</v>
      </c>
      <c r="G46" s="846">
        <f t="shared" si="3"/>
        <v>-0.43999999999999773</v>
      </c>
      <c r="H46" s="847">
        <f>G46+'22'!H46</f>
        <v>0</v>
      </c>
      <c r="I46" s="845"/>
      <c r="J46" s="849">
        <f>H46/DAY(B2)</f>
        <v>0</v>
      </c>
      <c r="K46" s="865"/>
      <c r="L46" s="824"/>
      <c r="O46" s="851"/>
    </row>
    <row r="47" spans="1:15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18929.450000000059</v>
      </c>
      <c r="H47" s="847">
        <f>G47+'22'!H47</f>
        <v>366330.04000000004</v>
      </c>
      <c r="I47" s="845"/>
      <c r="J47" s="849">
        <f>H47/DAY(B2)</f>
        <v>15927.393043478263</v>
      </c>
      <c r="K47" s="865"/>
      <c r="L47" s="824"/>
      <c r="N47" s="1015"/>
      <c r="O47" s="851"/>
    </row>
    <row r="48" spans="1:15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/>
    </row>
    <row r="49" spans="1:15">
      <c r="A49" s="842" t="s">
        <v>164</v>
      </c>
      <c r="B49" s="921"/>
      <c r="C49" s="921"/>
      <c r="D49" s="844" t="s">
        <v>132</v>
      </c>
      <c r="E49" s="845">
        <f>'22'!F49</f>
        <v>260732.13</v>
      </c>
      <c r="F49" s="918">
        <v>260732</v>
      </c>
      <c r="G49" s="846">
        <f t="shared" ref="G49:G58" si="4">F49-E49</f>
        <v>-0.13000000000465661</v>
      </c>
      <c r="H49" s="847">
        <f>G49+'22'!H49</f>
        <v>-0.13000000000465661</v>
      </c>
      <c r="I49" s="845"/>
      <c r="J49" s="849">
        <f>H49/DAY(B2)</f>
        <v>-5.6521739132459397E-3</v>
      </c>
      <c r="K49" s="865"/>
      <c r="L49" s="824"/>
      <c r="O49" s="851"/>
    </row>
    <row r="50" spans="1:15">
      <c r="A50" s="842" t="s">
        <v>178</v>
      </c>
      <c r="B50" s="921"/>
      <c r="C50" s="921"/>
      <c r="D50" s="844" t="s">
        <v>132</v>
      </c>
      <c r="E50" s="845">
        <f>'22'!F50</f>
        <v>429426.75</v>
      </c>
      <c r="F50" s="918">
        <v>430608</v>
      </c>
      <c r="G50" s="846">
        <f t="shared" si="4"/>
        <v>1181.25</v>
      </c>
      <c r="H50" s="847">
        <f>G50+'22'!H50</f>
        <v>26950.969999999972</v>
      </c>
      <c r="I50" s="845"/>
      <c r="J50" s="849">
        <f>H50/DAY(B2)</f>
        <v>1171.781304347825</v>
      </c>
      <c r="K50" s="865"/>
      <c r="L50" s="824"/>
      <c r="O50" s="851"/>
    </row>
    <row r="51" spans="1:15">
      <c r="A51" s="842" t="s">
        <v>166</v>
      </c>
      <c r="B51" s="921"/>
      <c r="C51" s="921"/>
      <c r="D51" s="844" t="s">
        <v>132</v>
      </c>
      <c r="E51" s="845">
        <f>'22'!F51</f>
        <v>144639.87</v>
      </c>
      <c r="F51" s="918">
        <v>144639.87</v>
      </c>
      <c r="G51" s="846">
        <f t="shared" si="4"/>
        <v>0</v>
      </c>
      <c r="H51" s="847">
        <f>G51+'22'!H51</f>
        <v>23039.949999999997</v>
      </c>
      <c r="I51" s="845"/>
      <c r="J51" s="849">
        <f>H51/DAY(B2)</f>
        <v>1001.736956521739</v>
      </c>
      <c r="K51" s="865"/>
      <c r="L51" s="824"/>
      <c r="O51" s="851"/>
    </row>
    <row r="52" spans="1:15">
      <c r="A52" s="842" t="s">
        <v>179</v>
      </c>
      <c r="B52" s="921"/>
      <c r="C52" s="921"/>
      <c r="D52" s="844" t="s">
        <v>132</v>
      </c>
      <c r="E52" s="845">
        <f>'22'!F52</f>
        <v>539606.06999999995</v>
      </c>
      <c r="F52" s="918">
        <v>539606</v>
      </c>
      <c r="G52" s="846">
        <f t="shared" si="4"/>
        <v>-6.9999999948777258E-2</v>
      </c>
      <c r="H52" s="847">
        <f>G52+'22'!H52</f>
        <v>29647.289999999979</v>
      </c>
      <c r="I52" s="845"/>
      <c r="J52" s="849">
        <f>H52/DAY(B2)</f>
        <v>1289.0126086956514</v>
      </c>
      <c r="K52" s="865"/>
      <c r="L52" s="824"/>
      <c r="O52" s="851"/>
    </row>
    <row r="53" spans="1:15">
      <c r="A53" s="842" t="s">
        <v>168</v>
      </c>
      <c r="B53" s="921"/>
      <c r="C53" s="921"/>
      <c r="D53" s="844" t="s">
        <v>132</v>
      </c>
      <c r="E53" s="845">
        <f>'22'!F53</f>
        <v>399433.47</v>
      </c>
      <c r="F53" s="918">
        <v>399433.47</v>
      </c>
      <c r="G53" s="846">
        <f t="shared" si="4"/>
        <v>0</v>
      </c>
      <c r="H53" s="847">
        <f>G53+'22'!H53</f>
        <v>63393.959999999963</v>
      </c>
      <c r="I53" s="845"/>
      <c r="J53" s="849">
        <f>H53/DAY(B2)</f>
        <v>2756.2591304347811</v>
      </c>
      <c r="K53" s="865"/>
      <c r="L53" s="824"/>
      <c r="O53" s="851"/>
    </row>
    <row r="54" spans="1:15">
      <c r="A54" s="842" t="s">
        <v>180</v>
      </c>
      <c r="B54" s="921"/>
      <c r="C54" s="921"/>
      <c r="D54" s="844" t="s">
        <v>132</v>
      </c>
      <c r="E54" s="845">
        <f>'22'!F54</f>
        <v>8510.86</v>
      </c>
      <c r="F54" s="918">
        <v>8587</v>
      </c>
      <c r="G54" s="846">
        <f t="shared" si="4"/>
        <v>76.139999999999418</v>
      </c>
      <c r="H54" s="847">
        <f>G54+'22'!H54</f>
        <v>491.40000000000055</v>
      </c>
      <c r="I54" s="845"/>
      <c r="J54" s="849">
        <f>H54/DAY(B2)</f>
        <v>21.365217391304373</v>
      </c>
      <c r="K54" s="865"/>
      <c r="L54" s="824"/>
      <c r="O54" s="851"/>
    </row>
    <row r="55" spans="1:15">
      <c r="A55" s="842" t="s">
        <v>181</v>
      </c>
      <c r="B55" s="921"/>
      <c r="C55" s="921"/>
      <c r="D55" s="844" t="s">
        <v>132</v>
      </c>
      <c r="E55" s="845">
        <f>'22'!F55</f>
        <v>208980.55</v>
      </c>
      <c r="F55" s="918">
        <v>208980.55</v>
      </c>
      <c r="G55" s="846">
        <f t="shared" si="4"/>
        <v>0</v>
      </c>
      <c r="H55" s="847">
        <f>G55+'22'!H55</f>
        <v>86395.859999999986</v>
      </c>
      <c r="I55" s="845"/>
      <c r="J55" s="849">
        <f>H55/DAY(B2)</f>
        <v>3756.3417391304342</v>
      </c>
      <c r="K55" s="865"/>
      <c r="L55" s="824"/>
      <c r="O55" s="851"/>
    </row>
    <row r="56" spans="1:15">
      <c r="A56" s="842" t="s">
        <v>182</v>
      </c>
      <c r="B56" s="921"/>
      <c r="C56" s="921"/>
      <c r="D56" s="844" t="s">
        <v>183</v>
      </c>
      <c r="E56" s="845">
        <f>'22'!F56</f>
        <v>588894.15</v>
      </c>
      <c r="F56" s="918">
        <v>588894</v>
      </c>
      <c r="G56" s="846">
        <f t="shared" si="4"/>
        <v>-0.15000000002328306</v>
      </c>
      <c r="H56" s="847">
        <f>G56+'22'!H56</f>
        <v>2842.9699999999721</v>
      </c>
      <c r="I56" s="845"/>
      <c r="J56" s="849">
        <f>H56/DAY(B2)</f>
        <v>123.60739130434661</v>
      </c>
      <c r="K56" s="841"/>
      <c r="L56" s="824"/>
      <c r="O56" s="851"/>
    </row>
    <row r="57" spans="1:15">
      <c r="A57" s="842" t="s">
        <v>172</v>
      </c>
      <c r="B57" s="921"/>
      <c r="C57" s="921"/>
      <c r="D57" s="844" t="s">
        <v>132</v>
      </c>
      <c r="E57" s="845">
        <f>'22'!F57</f>
        <v>7711</v>
      </c>
      <c r="F57" s="918">
        <v>7711</v>
      </c>
      <c r="G57" s="846">
        <f t="shared" si="4"/>
        <v>0</v>
      </c>
      <c r="H57" s="847">
        <f>G57+'22'!H57</f>
        <v>-0.32999999999992724</v>
      </c>
      <c r="I57" s="845"/>
      <c r="J57" s="849">
        <f>H57/DAY(B2)</f>
        <v>-1.4347826086953359E-2</v>
      </c>
      <c r="K57" s="865"/>
      <c r="L57" s="824"/>
      <c r="O57" s="851"/>
    </row>
    <row r="58" spans="1:15">
      <c r="A58" s="842" t="s">
        <v>184</v>
      </c>
      <c r="B58" s="921"/>
      <c r="C58" s="921"/>
      <c r="D58" s="844" t="s">
        <v>132</v>
      </c>
      <c r="E58" s="845">
        <f>'22'!F58</f>
        <v>39888.43</v>
      </c>
      <c r="F58" s="918">
        <v>40079</v>
      </c>
      <c r="G58" s="846">
        <f t="shared" si="4"/>
        <v>190.56999999999971</v>
      </c>
      <c r="H58" s="847">
        <f>G58+'22'!H58</f>
        <v>4014.3000000000029</v>
      </c>
      <c r="I58" s="845"/>
      <c r="J58" s="849">
        <f>H58/DAY(B2)</f>
        <v>174.53478260869579</v>
      </c>
      <c r="K58" s="865"/>
      <c r="L58" s="824"/>
      <c r="O58" s="851"/>
    </row>
    <row r="59" spans="1:15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1447.6100000000224</v>
      </c>
      <c r="H59" s="847">
        <f>G59+'22'!H59</f>
        <v>236776.23999999985</v>
      </c>
      <c r="I59" s="845">
        <f>G7-G60</f>
        <v>555.93999999991865</v>
      </c>
      <c r="J59" s="849">
        <f>H59/DAY(B2)</f>
        <v>10294.619130434776</v>
      </c>
      <c r="K59" s="865"/>
      <c r="L59" s="824"/>
      <c r="O59" s="851"/>
    </row>
    <row r="60" spans="1:15">
      <c r="A60" s="842"/>
      <c r="B60" s="843"/>
      <c r="C60" s="843"/>
      <c r="D60" s="831" t="s">
        <v>185</v>
      </c>
      <c r="E60" s="831"/>
      <c r="F60" s="831"/>
      <c r="G60" s="869">
        <f>G47+G59</f>
        <v>20377.060000000081</v>
      </c>
      <c r="H60" s="847">
        <f>G60+'22'!H60</f>
        <v>617275.28</v>
      </c>
      <c r="I60" s="845">
        <f>G13-G60</f>
        <v>-135.8700000000681</v>
      </c>
      <c r="J60" s="849">
        <f>H60/DAY(B2)</f>
        <v>26838.055652173913</v>
      </c>
      <c r="K60" s="865"/>
      <c r="L60" s="824"/>
      <c r="O60" s="851"/>
    </row>
    <row r="61" spans="1:15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/>
    </row>
    <row r="62" spans="1:15">
      <c r="A62" s="926" t="s">
        <v>98</v>
      </c>
      <c r="B62" s="927"/>
      <c r="C62" s="927"/>
      <c r="D62" s="831" t="s">
        <v>187</v>
      </c>
      <c r="E62" s="845">
        <f>'22'!F62</f>
        <v>20419.2</v>
      </c>
      <c r="F62" s="928">
        <v>20419</v>
      </c>
      <c r="G62" s="846">
        <f t="shared" ref="G62:G69" si="5">F62-E62</f>
        <v>-0.2000000000007276</v>
      </c>
      <c r="H62" s="847">
        <f>G62+'22'!H62</f>
        <v>-0.18700000000171713</v>
      </c>
      <c r="I62" s="929"/>
      <c r="J62" s="849">
        <f>H62/DAY(B2)</f>
        <v>-8.1304347826833528E-3</v>
      </c>
      <c r="K62" s="865"/>
      <c r="L62" s="824"/>
      <c r="O62" s="851"/>
    </row>
    <row r="63" spans="1:15">
      <c r="A63" s="926" t="s">
        <v>188</v>
      </c>
      <c r="B63" s="927"/>
      <c r="C63" s="927"/>
      <c r="D63" s="831" t="s">
        <v>187</v>
      </c>
      <c r="E63" s="845">
        <f>'22'!F63</f>
        <v>1989.3</v>
      </c>
      <c r="F63" s="928">
        <v>2000</v>
      </c>
      <c r="G63" s="846">
        <f t="shared" si="5"/>
        <v>10.700000000000045</v>
      </c>
      <c r="H63" s="847">
        <f>G63+'22'!H63</f>
        <v>292.6400000000001</v>
      </c>
      <c r="I63" s="929"/>
      <c r="J63" s="849">
        <f>H63/DAY(B2)</f>
        <v>12.72347826086957</v>
      </c>
      <c r="K63" s="865"/>
      <c r="L63" s="824"/>
      <c r="O63" s="851"/>
    </row>
    <row r="64" spans="1:15">
      <c r="A64" s="1500" t="s">
        <v>99</v>
      </c>
      <c r="B64" s="1501"/>
      <c r="C64" s="1502"/>
      <c r="D64" s="844" t="s">
        <v>187</v>
      </c>
      <c r="E64" s="845">
        <f>'22'!F64</f>
        <v>134920</v>
      </c>
      <c r="F64" s="875">
        <v>135417</v>
      </c>
      <c r="G64" s="846">
        <f t="shared" si="5"/>
        <v>497</v>
      </c>
      <c r="H64" s="847">
        <f>G64+'22'!H64</f>
        <v>11789.699999999997</v>
      </c>
      <c r="I64" s="866"/>
      <c r="J64" s="849">
        <f>H64/DAY(B2)</f>
        <v>512.59565217391287</v>
      </c>
      <c r="K64" s="865"/>
      <c r="L64" s="824"/>
      <c r="O64" s="851"/>
    </row>
    <row r="65" spans="1:15">
      <c r="A65" s="1500" t="s">
        <v>100</v>
      </c>
      <c r="B65" s="1501"/>
      <c r="C65" s="1502"/>
      <c r="D65" s="844" t="s">
        <v>187</v>
      </c>
      <c r="E65" s="845">
        <f>'22'!F65</f>
        <v>140813.71</v>
      </c>
      <c r="F65" s="875">
        <v>141186</v>
      </c>
      <c r="G65" s="846">
        <f t="shared" si="5"/>
        <v>372.29000000000815</v>
      </c>
      <c r="H65" s="847">
        <f>G65+'22'!H65</f>
        <v>8588.7000000000116</v>
      </c>
      <c r="I65" s="884"/>
      <c r="J65" s="849">
        <f>H65/DAY(B2)</f>
        <v>373.4217391304353</v>
      </c>
      <c r="K65" s="865"/>
      <c r="L65" s="824"/>
      <c r="O65" s="851"/>
    </row>
    <row r="66" spans="1:15">
      <c r="A66" s="1500" t="s">
        <v>101</v>
      </c>
      <c r="B66" s="1501"/>
      <c r="C66" s="1502"/>
      <c r="D66" s="844" t="s">
        <v>187</v>
      </c>
      <c r="E66" s="845">
        <f>'22'!F66</f>
        <v>33568.370000000003</v>
      </c>
      <c r="F66" s="875">
        <v>33948</v>
      </c>
      <c r="G66" s="846">
        <f t="shared" si="5"/>
        <v>379.62999999999738</v>
      </c>
      <c r="H66" s="847">
        <f>G66+'22'!H66</f>
        <v>8788.25</v>
      </c>
      <c r="I66" s="866"/>
      <c r="J66" s="849">
        <f>H66/DAY(B2)</f>
        <v>382.0978260869565</v>
      </c>
      <c r="K66" s="865"/>
      <c r="L66" s="824"/>
      <c r="O66" s="851"/>
    </row>
    <row r="67" spans="1:15">
      <c r="A67" s="1500" t="s">
        <v>102</v>
      </c>
      <c r="B67" s="1501"/>
      <c r="C67" s="1502"/>
      <c r="D67" s="844" t="s">
        <v>187</v>
      </c>
      <c r="E67" s="845">
        <f>'22'!F67</f>
        <v>222910.69</v>
      </c>
      <c r="F67" s="875">
        <v>223612</v>
      </c>
      <c r="G67" s="846">
        <f t="shared" si="5"/>
        <v>701.30999999999767</v>
      </c>
      <c r="H67" s="847">
        <f>G67+'22'!H67</f>
        <v>15770.170000000013</v>
      </c>
      <c r="I67" s="884"/>
      <c r="J67" s="849">
        <f>H67/DAY(B2)</f>
        <v>685.6595652173919</v>
      </c>
      <c r="K67" s="872"/>
      <c r="L67" s="824"/>
      <c r="O67" s="851"/>
    </row>
    <row r="68" spans="1:15">
      <c r="A68" s="1500" t="s">
        <v>103</v>
      </c>
      <c r="B68" s="1501"/>
      <c r="C68" s="1502"/>
      <c r="D68" s="844" t="s">
        <v>187</v>
      </c>
      <c r="E68" s="845">
        <f>'22'!F68</f>
        <v>70793</v>
      </c>
      <c r="F68" s="875">
        <v>80419</v>
      </c>
      <c r="G68" s="846">
        <f t="shared" si="5"/>
        <v>9626</v>
      </c>
      <c r="H68" s="847">
        <f>G68+'22'!H68</f>
        <v>16957.550000000003</v>
      </c>
      <c r="I68" s="930"/>
      <c r="J68" s="849">
        <f>H68/DAY(B2)</f>
        <v>737.28478260869576</v>
      </c>
      <c r="K68" s="931"/>
      <c r="L68" s="824"/>
      <c r="O68" s="851"/>
    </row>
    <row r="69" spans="1:15">
      <c r="A69" s="1500" t="s">
        <v>104</v>
      </c>
      <c r="B69" s="1501"/>
      <c r="C69" s="1502"/>
      <c r="D69" s="844" t="s">
        <v>187</v>
      </c>
      <c r="E69" s="845">
        <f>'22'!F69</f>
        <v>71492.41</v>
      </c>
      <c r="F69" s="875">
        <v>71807</v>
      </c>
      <c r="G69" s="846">
        <f t="shared" si="5"/>
        <v>314.58999999999651</v>
      </c>
      <c r="H69" s="847">
        <f>G69+'22'!H69</f>
        <v>7354.9100000000035</v>
      </c>
      <c r="I69" s="930"/>
      <c r="J69" s="849">
        <f>H69/DAY(B2)</f>
        <v>319.77869565217406</v>
      </c>
      <c r="K69" s="932"/>
      <c r="L69" s="824"/>
      <c r="O69" s="851"/>
    </row>
    <row r="70" spans="1:15">
      <c r="A70" s="1509" t="s">
        <v>189</v>
      </c>
      <c r="B70" s="1510"/>
      <c r="C70" s="1511"/>
      <c r="D70" s="844" t="s">
        <v>187</v>
      </c>
      <c r="E70" s="933"/>
      <c r="F70" s="934"/>
      <c r="G70" s="934"/>
      <c r="H70" s="847">
        <f>G70+'13'!H70</f>
        <v>0</v>
      </c>
      <c r="I70" s="934"/>
      <c r="J70" s="935"/>
      <c r="K70" s="932"/>
      <c r="L70" s="824"/>
      <c r="O70" s="851"/>
    </row>
    <row r="71" spans="1:15" ht="22.5">
      <c r="A71" s="1506" t="s">
        <v>190</v>
      </c>
      <c r="B71" s="1507"/>
      <c r="C71" s="1507"/>
      <c r="D71" s="1507"/>
      <c r="E71" s="1507"/>
      <c r="F71" s="1507"/>
      <c r="G71" s="1507"/>
      <c r="H71" s="1507"/>
      <c r="I71" s="1507"/>
      <c r="J71" s="1508"/>
      <c r="K71" s="931"/>
      <c r="L71" s="824"/>
      <c r="O71" s="851"/>
    </row>
    <row r="72" spans="1:15">
      <c r="A72" s="1500" t="s">
        <v>191</v>
      </c>
      <c r="B72" s="1501"/>
      <c r="C72" s="1502"/>
      <c r="D72" s="844" t="s">
        <v>187</v>
      </c>
      <c r="E72" s="845">
        <f>'22'!F72</f>
        <v>852555</v>
      </c>
      <c r="F72" s="936">
        <v>852655</v>
      </c>
      <c r="G72" s="846">
        <f t="shared" ref="G72:G84" si="6">F72-E72</f>
        <v>100</v>
      </c>
      <c r="H72" s="847">
        <f>G72+'22'!H72</f>
        <v>1973</v>
      </c>
      <c r="I72" s="866"/>
      <c r="J72" s="849">
        <f>H72/DAY(B2)</f>
        <v>85.782608695652172</v>
      </c>
      <c r="K72" s="932"/>
      <c r="L72" s="824"/>
      <c r="O72" s="851"/>
    </row>
    <row r="73" spans="1:15">
      <c r="A73" s="1500" t="s">
        <v>192</v>
      </c>
      <c r="B73" s="1501"/>
      <c r="C73" s="1502"/>
      <c r="D73" s="844" t="s">
        <v>187</v>
      </c>
      <c r="E73" s="845">
        <f>'22'!F73</f>
        <v>885789</v>
      </c>
      <c r="F73" s="937">
        <v>885789</v>
      </c>
      <c r="G73" s="846">
        <f t="shared" si="6"/>
        <v>0</v>
      </c>
      <c r="H73" s="847">
        <f>G73+'22'!H73</f>
        <v>1131</v>
      </c>
      <c r="I73" s="866"/>
      <c r="J73" s="849">
        <f>H73/DAY(B2)</f>
        <v>49.173913043478258</v>
      </c>
      <c r="K73" s="931"/>
      <c r="L73" s="824"/>
      <c r="O73" s="851"/>
    </row>
    <row r="74" spans="1:15">
      <c r="A74" s="1500" t="s">
        <v>193</v>
      </c>
      <c r="B74" s="1501"/>
      <c r="C74" s="1502"/>
      <c r="D74" s="844" t="s">
        <v>187</v>
      </c>
      <c r="E74" s="845">
        <f>'22'!F74</f>
        <v>1177.21</v>
      </c>
      <c r="F74" s="938">
        <v>1195</v>
      </c>
      <c r="G74" s="846">
        <f t="shared" si="6"/>
        <v>17.789999999999964</v>
      </c>
      <c r="H74" s="847">
        <f>G74+'22'!H74</f>
        <v>608.83000000000004</v>
      </c>
      <c r="I74" s="866"/>
      <c r="J74" s="849">
        <f>H74/DAY(B2)</f>
        <v>26.470869565217392</v>
      </c>
      <c r="K74" s="932"/>
      <c r="L74" s="824"/>
      <c r="O74" s="851"/>
    </row>
    <row r="75" spans="1:15">
      <c r="A75" s="1503" t="s">
        <v>194</v>
      </c>
      <c r="B75" s="1504"/>
      <c r="C75" s="1505"/>
      <c r="D75" s="844" t="s">
        <v>187</v>
      </c>
      <c r="E75" s="845">
        <f>'22'!F75</f>
        <v>7176.97</v>
      </c>
      <c r="F75" s="938">
        <v>7331</v>
      </c>
      <c r="G75" s="846">
        <f t="shared" si="6"/>
        <v>154.02999999999975</v>
      </c>
      <c r="H75" s="847">
        <f>G75+'22'!H75</f>
        <v>3811.78</v>
      </c>
      <c r="I75" s="866"/>
      <c r="J75" s="849">
        <f>H75/DAY(B2)</f>
        <v>165.72956521739133</v>
      </c>
      <c r="K75" s="931"/>
      <c r="L75" s="824"/>
      <c r="O75" s="851"/>
    </row>
    <row r="76" spans="1:15">
      <c r="A76" s="1503" t="s">
        <v>195</v>
      </c>
      <c r="B76" s="1504"/>
      <c r="C76" s="1505"/>
      <c r="D76" s="844" t="s">
        <v>187</v>
      </c>
      <c r="E76" s="845">
        <f>'22'!F76</f>
        <v>3293.9</v>
      </c>
      <c r="F76" s="937">
        <v>3369</v>
      </c>
      <c r="G76" s="846">
        <f t="shared" si="6"/>
        <v>75.099999999999909</v>
      </c>
      <c r="H76" s="847">
        <f>G76+'22'!H76</f>
        <v>2893.78</v>
      </c>
      <c r="I76" s="909"/>
      <c r="J76" s="849">
        <f>H76/DAY(B2)</f>
        <v>125.81652173913044</v>
      </c>
      <c r="K76" s="931"/>
      <c r="L76" s="824"/>
      <c r="O76" s="851"/>
    </row>
    <row r="77" spans="1:15">
      <c r="A77" s="1500" t="s">
        <v>196</v>
      </c>
      <c r="B77" s="1501"/>
      <c r="C77" s="1502"/>
      <c r="D77" s="844" t="s">
        <v>187</v>
      </c>
      <c r="E77" s="845">
        <f>'22'!F77</f>
        <v>699755</v>
      </c>
      <c r="F77" s="937">
        <v>699805</v>
      </c>
      <c r="G77" s="846">
        <f t="shared" si="6"/>
        <v>50</v>
      </c>
      <c r="H77" s="847">
        <f>G77+'22'!H77</f>
        <v>1217</v>
      </c>
      <c r="I77" s="909"/>
      <c r="J77" s="849">
        <f>H77/DAY(B2)</f>
        <v>52.913043478260867</v>
      </c>
      <c r="K77" s="931"/>
      <c r="L77" s="824"/>
      <c r="O77" s="851"/>
    </row>
    <row r="78" spans="1:15">
      <c r="A78" s="939" t="s">
        <v>197</v>
      </c>
      <c r="B78" s="1144"/>
      <c r="C78" s="1144"/>
      <c r="D78" s="844" t="s">
        <v>187</v>
      </c>
      <c r="E78" s="845">
        <f>'22'!F78</f>
        <v>661975</v>
      </c>
      <c r="F78" s="938">
        <v>662390</v>
      </c>
      <c r="G78" s="846">
        <f t="shared" si="6"/>
        <v>415</v>
      </c>
      <c r="H78" s="847">
        <f>G78+'22'!H78</f>
        <v>9527</v>
      </c>
      <c r="I78" s="909"/>
      <c r="J78" s="849">
        <f>H78/DAY(B2)</f>
        <v>414.21739130434781</v>
      </c>
      <c r="K78" s="931"/>
      <c r="L78" s="824"/>
      <c r="O78" s="851"/>
    </row>
    <row r="79" spans="1:15">
      <c r="A79" s="1503" t="s">
        <v>92</v>
      </c>
      <c r="B79" s="1504"/>
      <c r="C79" s="1505"/>
      <c r="D79" s="878" t="s">
        <v>187</v>
      </c>
      <c r="E79" s="845">
        <f>'22'!F79</f>
        <v>819525</v>
      </c>
      <c r="F79" s="1239">
        <v>819724</v>
      </c>
      <c r="G79" s="846">
        <f t="shared" si="6"/>
        <v>199</v>
      </c>
      <c r="H79" s="847">
        <f>G79+'22'!H79</f>
        <v>7125</v>
      </c>
      <c r="I79" s="909"/>
      <c r="J79" s="849">
        <f>H79/DAY(B2)</f>
        <v>309.78260869565219</v>
      </c>
      <c r="K79" s="931"/>
      <c r="L79" s="824"/>
      <c r="O79" s="851"/>
    </row>
    <row r="80" spans="1:15">
      <c r="A80" s="1503" t="s">
        <v>198</v>
      </c>
      <c r="B80" s="1504"/>
      <c r="C80" s="1505"/>
      <c r="D80" s="878" t="s">
        <v>187</v>
      </c>
      <c r="E80" s="845">
        <f>'22'!F80</f>
        <v>502516.64</v>
      </c>
      <c r="F80" s="937">
        <v>502871</v>
      </c>
      <c r="G80" s="846">
        <f t="shared" si="6"/>
        <v>354.35999999998603</v>
      </c>
      <c r="H80" s="847">
        <f>G80+'22'!H80</f>
        <v>6257</v>
      </c>
      <c r="I80" s="909"/>
      <c r="J80" s="849">
        <f>H80/DAY(B2)</f>
        <v>272.04347826086956</v>
      </c>
      <c r="K80" s="931"/>
      <c r="L80" s="824"/>
      <c r="O80" s="851"/>
    </row>
    <row r="81" spans="1:15">
      <c r="A81" s="1503" t="s">
        <v>199</v>
      </c>
      <c r="B81" s="1504"/>
      <c r="C81" s="1505"/>
      <c r="D81" s="878" t="s">
        <v>187</v>
      </c>
      <c r="E81" s="845">
        <f>'22'!F81</f>
        <v>628349.64</v>
      </c>
      <c r="F81" s="937">
        <v>628468</v>
      </c>
      <c r="G81" s="846">
        <f t="shared" si="6"/>
        <v>118.35999999998603</v>
      </c>
      <c r="H81" s="847">
        <f>G81+'22'!H81</f>
        <v>2524.1600000000326</v>
      </c>
      <c r="I81" s="909"/>
      <c r="J81" s="849">
        <f>H81/DAY(B2)</f>
        <v>109.74608695652316</v>
      </c>
      <c r="K81" s="931"/>
      <c r="L81" s="824"/>
      <c r="O81" s="851"/>
    </row>
    <row r="82" spans="1:15">
      <c r="A82" s="1503" t="s">
        <v>93</v>
      </c>
      <c r="B82" s="1504"/>
      <c r="C82" s="1505"/>
      <c r="D82" s="879" t="s">
        <v>132</v>
      </c>
      <c r="E82" s="845">
        <f>'22'!F82</f>
        <v>106690.01</v>
      </c>
      <c r="F82" s="940">
        <v>106710</v>
      </c>
      <c r="G82" s="846">
        <f t="shared" si="6"/>
        <v>19.990000000005239</v>
      </c>
      <c r="H82" s="847">
        <f>G82+'22'!H82</f>
        <v>507.52000000000407</v>
      </c>
      <c r="I82" s="880"/>
      <c r="J82" s="849">
        <f>H82/DAY(B2)</f>
        <v>22.066086956521918</v>
      </c>
      <c r="K82" s="931"/>
      <c r="L82" s="824"/>
      <c r="O82" s="851"/>
    </row>
    <row r="83" spans="1:15">
      <c r="A83" s="1503" t="s">
        <v>200</v>
      </c>
      <c r="B83" s="1504"/>
      <c r="C83" s="1505"/>
      <c r="D83" s="941" t="s">
        <v>132</v>
      </c>
      <c r="E83" s="845">
        <f>'22'!F83</f>
        <v>4382</v>
      </c>
      <c r="F83" s="1282">
        <v>4677</v>
      </c>
      <c r="G83" s="846">
        <f t="shared" si="6"/>
        <v>295</v>
      </c>
      <c r="H83" s="847">
        <f>G83+'22'!H83</f>
        <v>8080</v>
      </c>
      <c r="I83" s="869"/>
      <c r="J83" s="849">
        <f>H83/DAY(B2)</f>
        <v>351.30434782608694</v>
      </c>
      <c r="K83" s="872"/>
      <c r="L83" s="824"/>
      <c r="O83" s="851"/>
    </row>
    <row r="84" spans="1:15">
      <c r="A84" s="942" t="s">
        <v>201</v>
      </c>
      <c r="B84" s="943"/>
      <c r="C84" s="943"/>
      <c r="D84" s="863" t="s">
        <v>132</v>
      </c>
      <c r="E84" s="845">
        <f>'22'!F84</f>
        <v>447519</v>
      </c>
      <c r="F84" s="944">
        <v>448227</v>
      </c>
      <c r="G84" s="846">
        <f t="shared" si="6"/>
        <v>708</v>
      </c>
      <c r="H84" s="847">
        <f>G84+'22'!H84</f>
        <v>17429</v>
      </c>
      <c r="I84" s="869"/>
      <c r="J84" s="849">
        <f>H84/DAY(B2)</f>
        <v>757.78260869565213</v>
      </c>
      <c r="K84" s="945"/>
      <c r="L84" s="824"/>
      <c r="O84" s="851"/>
    </row>
    <row r="85" spans="1:15" s="949" customFormat="1">
      <c r="A85" s="946" t="s">
        <v>202</v>
      </c>
      <c r="B85" s="947"/>
      <c r="C85" s="947"/>
      <c r="D85" s="884"/>
      <c r="E85" s="845"/>
      <c r="F85" s="844"/>
      <c r="G85" s="847">
        <f xml:space="preserve"> SUM(G72:G84)</f>
        <v>2506.6299999999769</v>
      </c>
      <c r="H85" s="847">
        <f>G85+'22'!H85</f>
        <v>58426.929999999964</v>
      </c>
      <c r="I85" s="869"/>
      <c r="J85" s="849">
        <f>H85/DAY(B2)</f>
        <v>2540.3013043478245</v>
      </c>
      <c r="K85" s="945"/>
      <c r="L85" s="948"/>
      <c r="N85" s="1016"/>
      <c r="O85" s="851"/>
    </row>
    <row r="86" spans="1:15" s="959" customFormat="1">
      <c r="A86" s="950" t="s">
        <v>94</v>
      </c>
      <c r="B86" s="951"/>
      <c r="C86" s="951"/>
      <c r="D86" s="952" t="s">
        <v>183</v>
      </c>
      <c r="E86" s="845">
        <f>'22'!F86</f>
        <v>453110.14</v>
      </c>
      <c r="F86" s="953">
        <v>453224</v>
      </c>
      <c r="G86" s="954">
        <f t="shared" ref="G86:G88" si="7">F86-E86</f>
        <v>113.85999999998603</v>
      </c>
      <c r="H86" s="954">
        <f t="shared" ref="H86:H88" si="8">G86</f>
        <v>113.85999999998603</v>
      </c>
      <c r="I86" s="955"/>
      <c r="J86" s="956">
        <f>H86/DAY(B2)</f>
        <v>4.9504347826080881</v>
      </c>
      <c r="K86" s="957"/>
      <c r="L86" s="958"/>
      <c r="N86" s="1017"/>
      <c r="O86" s="851"/>
    </row>
    <row r="87" spans="1:15" s="959" customFormat="1">
      <c r="A87" s="950" t="s">
        <v>95</v>
      </c>
      <c r="B87" s="951"/>
      <c r="C87" s="951"/>
      <c r="D87" s="952" t="s">
        <v>183</v>
      </c>
      <c r="E87" s="845">
        <f>'22'!F87</f>
        <v>79857</v>
      </c>
      <c r="F87" s="953">
        <v>79894</v>
      </c>
      <c r="G87" s="954">
        <f t="shared" si="7"/>
        <v>37</v>
      </c>
      <c r="H87" s="954">
        <f t="shared" si="8"/>
        <v>37</v>
      </c>
      <c r="I87" s="955"/>
      <c r="J87" s="956">
        <f>H87/DAY(B2)</f>
        <v>1.6086956521739131</v>
      </c>
      <c r="K87" s="957"/>
      <c r="L87" s="958"/>
      <c r="N87" s="1017"/>
      <c r="O87" s="851"/>
    </row>
    <row r="88" spans="1:15" s="959" customFormat="1">
      <c r="A88" s="950" t="s">
        <v>96</v>
      </c>
      <c r="B88" s="951"/>
      <c r="C88" s="951"/>
      <c r="D88" s="952" t="s">
        <v>183</v>
      </c>
      <c r="E88" s="845">
        <f>'22'!F88</f>
        <v>149945.1</v>
      </c>
      <c r="F88" s="953">
        <v>150034</v>
      </c>
      <c r="G88" s="954">
        <f t="shared" si="7"/>
        <v>88.899999999994179</v>
      </c>
      <c r="H88" s="954">
        <f t="shared" si="8"/>
        <v>88.899999999994179</v>
      </c>
      <c r="I88" s="955"/>
      <c r="J88" s="956">
        <f>H88/DAY(B2)</f>
        <v>3.8652173913040948</v>
      </c>
      <c r="K88" s="957"/>
      <c r="L88" s="958"/>
      <c r="N88" s="1017"/>
      <c r="O88" s="851"/>
    </row>
    <row r="89" spans="1:15" s="959" customFormat="1">
      <c r="A89" s="950" t="s">
        <v>204</v>
      </c>
      <c r="B89" s="951"/>
      <c r="C89" s="951"/>
      <c r="D89" s="952" t="s">
        <v>183</v>
      </c>
      <c r="E89" s="845">
        <f>'22'!F89</f>
        <v>63110.1</v>
      </c>
      <c r="F89" s="953">
        <v>63176</v>
      </c>
      <c r="G89" s="954">
        <f t="shared" ref="G89:G90" si="9">F89-E89</f>
        <v>65.900000000001455</v>
      </c>
      <c r="H89" s="954">
        <f>G89</f>
        <v>65.900000000001455</v>
      </c>
      <c r="I89" s="955"/>
      <c r="J89" s="956">
        <f>H89/DAY(B2)</f>
        <v>2.865217391304411</v>
      </c>
      <c r="K89" s="957"/>
      <c r="L89" s="958"/>
      <c r="N89" s="1018"/>
      <c r="O89" s="851"/>
    </row>
    <row r="90" spans="1:15" s="959" customFormat="1">
      <c r="A90" s="950" t="s">
        <v>204</v>
      </c>
      <c r="B90" s="951"/>
      <c r="C90" s="951"/>
      <c r="D90" s="952" t="s">
        <v>183</v>
      </c>
      <c r="E90" s="845">
        <f>'22'!F90</f>
        <v>3249</v>
      </c>
      <c r="F90" s="953">
        <v>3254</v>
      </c>
      <c r="G90" s="954">
        <f t="shared" si="9"/>
        <v>5</v>
      </c>
      <c r="H90" s="954">
        <f>G90</f>
        <v>5</v>
      </c>
      <c r="I90" s="955"/>
      <c r="J90" s="956">
        <f>H90/DAY(B2)</f>
        <v>0.21739130434782608</v>
      </c>
      <c r="K90" s="957"/>
      <c r="L90" s="958"/>
      <c r="N90" s="1018"/>
      <c r="O90" s="851"/>
    </row>
    <row r="91" spans="1:15" s="949" customFormat="1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/>
    </row>
    <row r="92" spans="1:15">
      <c r="A92" s="1494" t="s">
        <v>206</v>
      </c>
      <c r="B92" s="1495"/>
      <c r="C92" s="1496"/>
      <c r="D92" s="844" t="s">
        <v>144</v>
      </c>
      <c r="E92" s="845">
        <f>'22'!F92</f>
        <v>241696</v>
      </c>
      <c r="F92" s="875">
        <v>241784</v>
      </c>
      <c r="G92" s="846">
        <f t="shared" ref="G92:G93" si="10">F92-E92</f>
        <v>88</v>
      </c>
      <c r="H92" s="847">
        <f>G92+'22'!H92</f>
        <v>2089</v>
      </c>
      <c r="I92" s="866"/>
      <c r="J92" s="849">
        <f>H92/DAY(B2)</f>
        <v>90.826086956521735</v>
      </c>
      <c r="K92" s="872"/>
      <c r="L92" s="824"/>
      <c r="O92" s="851"/>
    </row>
    <row r="93" spans="1:15">
      <c r="A93" s="1494" t="s">
        <v>207</v>
      </c>
      <c r="B93" s="1495"/>
      <c r="C93" s="1496"/>
      <c r="D93" s="844" t="s">
        <v>144</v>
      </c>
      <c r="E93" s="845">
        <f>'22'!F93</f>
        <v>178414</v>
      </c>
      <c r="F93" s="1281">
        <v>178537</v>
      </c>
      <c r="G93" s="846">
        <f t="shared" si="10"/>
        <v>123</v>
      </c>
      <c r="H93" s="847">
        <f>G93+'22'!H93</f>
        <v>2876</v>
      </c>
      <c r="I93" s="866"/>
      <c r="J93" s="849">
        <f>H93/DAY(B2)</f>
        <v>125.04347826086956</v>
      </c>
      <c r="K93" s="945"/>
      <c r="L93" s="824"/>
      <c r="O93" s="851"/>
    </row>
    <row r="94" spans="1:15">
      <c r="A94" s="1512" t="s">
        <v>208</v>
      </c>
      <c r="B94" s="1513"/>
      <c r="C94" s="1514"/>
      <c r="D94" s="844"/>
      <c r="E94" s="845">
        <f>'22'!F94</f>
        <v>0</v>
      </c>
      <c r="F94" s="875"/>
      <c r="G94" s="846">
        <f>G92+G93</f>
        <v>211</v>
      </c>
      <c r="H94" s="847">
        <f>G94+'22'!H94</f>
        <v>4699</v>
      </c>
      <c r="I94" s="866"/>
      <c r="J94" s="849">
        <f>H94/DAY(B2)</f>
        <v>204.30434782608697</v>
      </c>
      <c r="K94" s="945"/>
      <c r="L94" s="824"/>
      <c r="O94" s="851"/>
    </row>
    <row r="95" spans="1:15">
      <c r="A95" s="1494" t="s">
        <v>209</v>
      </c>
      <c r="B95" s="1495"/>
      <c r="C95" s="1496"/>
      <c r="D95" s="844" t="s">
        <v>144</v>
      </c>
      <c r="E95" s="845">
        <f>'22'!F95</f>
        <v>410003</v>
      </c>
      <c r="F95" s="875">
        <v>410079</v>
      </c>
      <c r="G95" s="846">
        <f t="shared" ref="G95:G100" si="11">F95-E95</f>
        <v>76</v>
      </c>
      <c r="H95" s="847">
        <f>G95+'22'!H95</f>
        <v>1923</v>
      </c>
      <c r="I95" s="866"/>
      <c r="J95" s="849">
        <f>H95/DAY(B2)</f>
        <v>83.608695652173907</v>
      </c>
      <c r="K95" s="945"/>
      <c r="L95" s="824"/>
      <c r="O95" s="851"/>
    </row>
    <row r="96" spans="1:15">
      <c r="A96" s="873" t="s">
        <v>210</v>
      </c>
      <c r="B96" s="874"/>
      <c r="C96" s="874"/>
      <c r="D96" s="844" t="s">
        <v>144</v>
      </c>
      <c r="E96" s="845">
        <f>'22'!F96</f>
        <v>101668</v>
      </c>
      <c r="F96" s="875">
        <v>101684</v>
      </c>
      <c r="G96" s="846">
        <f t="shared" si="11"/>
        <v>16</v>
      </c>
      <c r="H96" s="847">
        <f>G96+'22'!H96</f>
        <v>352</v>
      </c>
      <c r="I96" s="866"/>
      <c r="J96" s="849">
        <f>H96/DAY(B2)</f>
        <v>15.304347826086957</v>
      </c>
      <c r="K96" s="841"/>
      <c r="L96" s="824"/>
      <c r="O96" s="851"/>
    </row>
    <row r="97" spans="1:15">
      <c r="A97" s="873" t="s">
        <v>211</v>
      </c>
      <c r="B97" s="874"/>
      <c r="C97" s="874"/>
      <c r="D97" s="844" t="s">
        <v>144</v>
      </c>
      <c r="E97" s="845">
        <f>'22'!F97</f>
        <v>96730</v>
      </c>
      <c r="F97" s="875">
        <v>96744</v>
      </c>
      <c r="G97" s="846">
        <f t="shared" si="11"/>
        <v>14</v>
      </c>
      <c r="H97" s="847">
        <f>G97+'22'!H97</f>
        <v>295</v>
      </c>
      <c r="I97" s="866"/>
      <c r="J97" s="849">
        <f>H97/DAY(B2)</f>
        <v>12.826086956521738</v>
      </c>
      <c r="K97" s="961"/>
      <c r="L97" s="824"/>
      <c r="O97" s="851"/>
    </row>
    <row r="98" spans="1:15">
      <c r="A98" s="873" t="s">
        <v>212</v>
      </c>
      <c r="B98" s="874"/>
      <c r="C98" s="874"/>
      <c r="D98" s="844" t="s">
        <v>144</v>
      </c>
      <c r="E98" s="845">
        <f>'22'!F98</f>
        <v>148583</v>
      </c>
      <c r="F98" s="875">
        <v>148629</v>
      </c>
      <c r="G98" s="846">
        <f t="shared" si="11"/>
        <v>46</v>
      </c>
      <c r="H98" s="847">
        <f>G98+'22'!H98</f>
        <v>1021</v>
      </c>
      <c r="I98" s="866"/>
      <c r="J98" s="849">
        <f>H98/DAY(B2)</f>
        <v>44.391304347826086</v>
      </c>
      <c r="K98" s="945"/>
      <c r="L98" s="824"/>
      <c r="O98" s="851"/>
    </row>
    <row r="99" spans="1:15">
      <c r="A99" s="873" t="s">
        <v>213</v>
      </c>
      <c r="B99" s="874"/>
      <c r="C99" s="874"/>
      <c r="D99" s="844" t="s">
        <v>144</v>
      </c>
      <c r="E99" s="845">
        <f>'22'!F99</f>
        <v>6703</v>
      </c>
      <c r="F99" s="875">
        <v>6714</v>
      </c>
      <c r="G99" s="846">
        <f t="shared" si="11"/>
        <v>11</v>
      </c>
      <c r="H99" s="847">
        <f>G99+'22'!H99</f>
        <v>306</v>
      </c>
      <c r="I99" s="866"/>
      <c r="J99" s="849">
        <f>H99/DAY(B2)</f>
        <v>13.304347826086957</v>
      </c>
      <c r="K99" s="945"/>
      <c r="L99" s="824"/>
      <c r="O99" s="851"/>
    </row>
    <row r="100" spans="1:15">
      <c r="A100" s="873" t="s">
        <v>214</v>
      </c>
      <c r="B100" s="874"/>
      <c r="C100" s="874"/>
      <c r="D100" s="844" t="s">
        <v>144</v>
      </c>
      <c r="E100" s="845">
        <f>'22'!F100</f>
        <v>4806</v>
      </c>
      <c r="F100" s="875">
        <v>4827</v>
      </c>
      <c r="G100" s="846">
        <f t="shared" si="11"/>
        <v>21</v>
      </c>
      <c r="H100" s="847">
        <f>G100+'22'!H100</f>
        <v>284</v>
      </c>
      <c r="I100" s="866"/>
      <c r="J100" s="849">
        <f>H100/DAY(B2)</f>
        <v>12.347826086956522</v>
      </c>
      <c r="K100" s="945"/>
      <c r="L100" s="824"/>
      <c r="O100" s="851"/>
    </row>
    <row r="101" spans="1:15">
      <c r="A101" s="1512" t="s">
        <v>216</v>
      </c>
      <c r="B101" s="1513"/>
      <c r="C101" s="1514"/>
      <c r="D101" s="878"/>
      <c r="E101" s="878"/>
      <c r="F101" s="878"/>
      <c r="G101" s="962">
        <f>SUM(G95:G100)</f>
        <v>184</v>
      </c>
      <c r="H101" s="847">
        <f>G101+'22'!H101</f>
        <v>4181</v>
      </c>
      <c r="I101" s="963"/>
      <c r="J101" s="849">
        <f>H101/DAY(B2)</f>
        <v>181.78260869565219</v>
      </c>
      <c r="K101" s="945"/>
      <c r="L101" s="824"/>
      <c r="O101" s="851"/>
    </row>
    <row r="102" spans="1:15" s="896" customFormat="1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/>
    </row>
    <row r="103" spans="1:15" s="896" customFormat="1">
      <c r="A103" s="1523" t="s">
        <v>218</v>
      </c>
      <c r="B103" s="1524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/>
    </row>
    <row r="104" spans="1:15" s="896" customFormat="1">
      <c r="A104" s="1525" t="s">
        <v>219</v>
      </c>
      <c r="B104" s="1526"/>
      <c r="C104" s="978"/>
      <c r="D104" s="974" t="s">
        <v>144</v>
      </c>
      <c r="E104" s="975">
        <f>'22'!F104</f>
        <v>7281</v>
      </c>
      <c r="F104" s="975">
        <v>7284</v>
      </c>
      <c r="G104" s="975">
        <f>F104-E104</f>
        <v>3</v>
      </c>
      <c r="H104" s="976">
        <f>SUM(G104+'1'!G76)</f>
        <v>82.150000000000091</v>
      </c>
      <c r="I104" s="975"/>
      <c r="J104" s="977">
        <f>H104/DAY(B2)</f>
        <v>3.5717391304347865</v>
      </c>
      <c r="N104" s="1014"/>
      <c r="O104" s="851"/>
    </row>
    <row r="105" spans="1:15" s="896" customFormat="1">
      <c r="A105" s="1525" t="s">
        <v>77</v>
      </c>
      <c r="B105" s="1526"/>
      <c r="C105" s="978"/>
      <c r="D105" s="974" t="s">
        <v>144</v>
      </c>
      <c r="E105" s="975">
        <f>'22'!F105</f>
        <v>35577</v>
      </c>
      <c r="F105" s="1283">
        <v>35587</v>
      </c>
      <c r="G105" s="975">
        <f t="shared" ref="G105:G106" si="12">F105-E105</f>
        <v>10</v>
      </c>
      <c r="H105" s="976">
        <f>SUM(G105+'1'!G77)</f>
        <v>55</v>
      </c>
      <c r="I105" s="975"/>
      <c r="J105" s="977">
        <f>H105/DAY(B2)</f>
        <v>2.3913043478260869</v>
      </c>
      <c r="N105" s="1014"/>
      <c r="O105" s="851"/>
    </row>
    <row r="106" spans="1:15" s="896" customFormat="1">
      <c r="A106" s="1525" t="s">
        <v>78</v>
      </c>
      <c r="B106" s="1527"/>
      <c r="C106" s="1526"/>
      <c r="D106" s="974" t="s">
        <v>144</v>
      </c>
      <c r="E106" s="975">
        <f>'22'!F106</f>
        <v>19368</v>
      </c>
      <c r="F106" s="975">
        <v>19374</v>
      </c>
      <c r="G106" s="975">
        <f t="shared" si="12"/>
        <v>6</v>
      </c>
      <c r="H106" s="976">
        <f>SUM(G106+'1'!G78)</f>
        <v>396</v>
      </c>
      <c r="I106" s="975"/>
      <c r="J106" s="977">
        <f>H106/DAY(B2)</f>
        <v>17.217391304347824</v>
      </c>
      <c r="N106" s="1014"/>
      <c r="O106" s="851"/>
    </row>
    <row r="107" spans="1:15" s="896" customFormat="1">
      <c r="A107" s="1528" t="s">
        <v>202</v>
      </c>
      <c r="B107" s="1529"/>
      <c r="C107" s="978"/>
      <c r="D107" s="974"/>
      <c r="E107" s="975">
        <f>'22'!F107</f>
        <v>0</v>
      </c>
      <c r="F107" s="975"/>
      <c r="G107" s="975">
        <f>SUM(G104:G106)</f>
        <v>19</v>
      </c>
      <c r="H107" s="976">
        <f>SUM(G107+'1'!G79)</f>
        <v>211</v>
      </c>
      <c r="I107" s="975"/>
      <c r="J107" s="977">
        <f>H107/DAY(B2)</f>
        <v>9.1739130434782616</v>
      </c>
      <c r="N107" s="1014"/>
      <c r="O107" s="851"/>
    </row>
    <row r="108" spans="1:15" s="896" customFormat="1">
      <c r="A108" s="1530" t="s">
        <v>79</v>
      </c>
      <c r="B108" s="1531"/>
      <c r="C108" s="978"/>
      <c r="D108" s="974" t="s">
        <v>144</v>
      </c>
      <c r="E108" s="975">
        <f>'22'!F108</f>
        <v>0</v>
      </c>
      <c r="F108" s="975"/>
      <c r="G108" s="975"/>
      <c r="H108" s="976"/>
      <c r="I108" s="975"/>
      <c r="J108" s="977"/>
      <c r="N108" s="1014"/>
      <c r="O108" s="851"/>
    </row>
    <row r="109" spans="1:15" s="896" customFormat="1">
      <c r="A109" s="1525" t="s">
        <v>220</v>
      </c>
      <c r="B109" s="1526"/>
      <c r="C109" s="978"/>
      <c r="D109" s="974" t="s">
        <v>144</v>
      </c>
      <c r="E109" s="975">
        <f>'22'!F109</f>
        <v>58047</v>
      </c>
      <c r="F109" s="975">
        <v>58132</v>
      </c>
      <c r="G109" s="975">
        <f>F109-E109</f>
        <v>85</v>
      </c>
      <c r="H109" s="976">
        <f>SUM(G109+'1'!G81)</f>
        <v>197.56000000005588</v>
      </c>
      <c r="I109" s="975"/>
      <c r="J109" s="977">
        <f>H109/DAY(B2)</f>
        <v>8.5895652173937336</v>
      </c>
      <c r="N109" s="1014"/>
      <c r="O109" s="851"/>
    </row>
    <row r="110" spans="1:15" s="896" customFormat="1">
      <c r="A110" s="1525" t="s">
        <v>221</v>
      </c>
      <c r="B110" s="1526"/>
      <c r="C110" s="978"/>
      <c r="D110" s="974" t="s">
        <v>144</v>
      </c>
      <c r="E110" s="975">
        <f>'22'!F110</f>
        <v>31393</v>
      </c>
      <c r="F110" s="1283">
        <v>31451</v>
      </c>
      <c r="G110" s="975">
        <f t="shared" ref="G110:G111" si="13">F110-E110</f>
        <v>58</v>
      </c>
      <c r="H110" s="976">
        <f>SUM(G110+'1'!G82)</f>
        <v>76.169999999998254</v>
      </c>
      <c r="I110" s="975"/>
      <c r="J110" s="977">
        <f>H110/DAY(B2)</f>
        <v>3.3117391304347068</v>
      </c>
      <c r="N110" s="1014"/>
      <c r="O110" s="851"/>
    </row>
    <row r="111" spans="1:15" s="896" customFormat="1">
      <c r="A111" s="1525" t="s">
        <v>222</v>
      </c>
      <c r="B111" s="1526"/>
      <c r="C111" s="978"/>
      <c r="D111" s="974" t="s">
        <v>144</v>
      </c>
      <c r="E111" s="975">
        <f>'22'!F111</f>
        <v>4106</v>
      </c>
      <c r="F111" s="1283">
        <v>4117</v>
      </c>
      <c r="G111" s="975">
        <f t="shared" si="13"/>
        <v>11</v>
      </c>
      <c r="H111" s="976">
        <f>SUM(G111+'1'!G83)</f>
        <v>531</v>
      </c>
      <c r="I111" s="975"/>
      <c r="J111" s="977">
        <f>H111/DAY(B2)</f>
        <v>23.086956521739129</v>
      </c>
      <c r="N111" s="1014"/>
      <c r="O111" s="851"/>
    </row>
    <row r="112" spans="1:15" s="896" customFormat="1">
      <c r="A112" s="1532" t="s">
        <v>110</v>
      </c>
      <c r="B112" s="1533"/>
      <c r="C112" s="978"/>
      <c r="D112" s="974"/>
      <c r="E112" s="975">
        <f>'22'!F112</f>
        <v>0</v>
      </c>
      <c r="F112" s="975"/>
      <c r="G112" s="975">
        <f>SUM(G109:G111)</f>
        <v>154</v>
      </c>
      <c r="H112" s="976">
        <f>SUM(G112+'1'!G84)</f>
        <v>844</v>
      </c>
      <c r="I112" s="975"/>
      <c r="J112" s="977">
        <f>H112/DAY(B2)</f>
        <v>36.695652173913047</v>
      </c>
      <c r="N112" s="1014"/>
      <c r="O112" s="851"/>
    </row>
    <row r="113" spans="1:15" s="896" customFormat="1">
      <c r="A113" s="1530" t="s">
        <v>223</v>
      </c>
      <c r="B113" s="1531"/>
      <c r="C113" s="978"/>
      <c r="D113" s="974"/>
      <c r="E113" s="975">
        <f>'22'!F113</f>
        <v>0</v>
      </c>
      <c r="F113" s="975"/>
      <c r="G113" s="975"/>
      <c r="H113" s="976"/>
      <c r="I113" s="975"/>
      <c r="J113" s="977">
        <f>H113/DAY(B2)</f>
        <v>0</v>
      </c>
      <c r="N113" s="1014"/>
      <c r="O113" s="851"/>
    </row>
    <row r="114" spans="1:15" s="896" customFormat="1">
      <c r="A114" s="1525" t="s">
        <v>224</v>
      </c>
      <c r="B114" s="1526"/>
      <c r="C114" s="980"/>
      <c r="D114" s="974" t="s">
        <v>144</v>
      </c>
      <c r="E114" s="975">
        <f>'22'!F114</f>
        <v>10679</v>
      </c>
      <c r="F114" s="979">
        <v>10691</v>
      </c>
      <c r="G114" s="979">
        <f>F114-E114</f>
        <v>12</v>
      </c>
      <c r="H114" s="976">
        <f>SUM(G114+'1'!G91)</f>
        <v>12</v>
      </c>
      <c r="I114" s="975"/>
      <c r="J114" s="977">
        <f>H114/DAY(B2)</f>
        <v>0.52173913043478259</v>
      </c>
      <c r="N114" s="1014"/>
      <c r="O114" s="851"/>
    </row>
    <row r="115" spans="1:15" s="896" customFormat="1">
      <c r="A115" s="1525" t="s">
        <v>225</v>
      </c>
      <c r="B115" s="1526"/>
      <c r="C115" s="980"/>
      <c r="D115" s="974" t="s">
        <v>144</v>
      </c>
      <c r="E115" s="975">
        <f>'22'!F115</f>
        <v>7869</v>
      </c>
      <c r="F115" s="979">
        <v>7885</v>
      </c>
      <c r="G115" s="979">
        <f t="shared" ref="G115:G116" si="14">F115-E115</f>
        <v>16</v>
      </c>
      <c r="H115" s="976">
        <f>SUM(G115+'1'!G92)</f>
        <v>138</v>
      </c>
      <c r="I115" s="975"/>
      <c r="J115" s="977">
        <f>H115/DAY(B2)</f>
        <v>6</v>
      </c>
      <c r="N115" s="1014"/>
      <c r="O115" s="851"/>
    </row>
    <row r="116" spans="1:15" s="896" customFormat="1">
      <c r="A116" s="1525" t="s">
        <v>226</v>
      </c>
      <c r="B116" s="1526"/>
      <c r="C116" s="980"/>
      <c r="D116" s="974" t="s">
        <v>144</v>
      </c>
      <c r="E116" s="979"/>
      <c r="F116" s="979"/>
      <c r="G116" s="979">
        <f t="shared" si="14"/>
        <v>0</v>
      </c>
      <c r="H116" s="976">
        <f>SUM(G116+'1'!G93)</f>
        <v>144</v>
      </c>
      <c r="I116" s="975"/>
      <c r="J116" s="977">
        <f>H116/DAY(B2)</f>
        <v>6.2608695652173916</v>
      </c>
      <c r="N116" s="1014"/>
      <c r="O116" s="851"/>
    </row>
    <row r="117" spans="1:15" s="982" customFormat="1">
      <c r="A117" s="1528" t="s">
        <v>202</v>
      </c>
      <c r="B117" s="1529"/>
      <c r="C117" s="980"/>
      <c r="D117" s="981"/>
      <c r="E117" s="979"/>
      <c r="F117" s="979"/>
      <c r="G117" s="979">
        <f>SUM(G114:G116)</f>
        <v>28</v>
      </c>
      <c r="H117" s="976">
        <f>SUM(G117+'1'!G95)</f>
        <v>104</v>
      </c>
      <c r="I117" s="979"/>
      <c r="J117" s="977">
        <f>H117/DAY(B2)</f>
        <v>4.5217391304347823</v>
      </c>
      <c r="N117" s="1019"/>
      <c r="O117" s="851"/>
    </row>
    <row r="118" spans="1:15" s="774" customFormat="1">
      <c r="A118" s="1534" t="s">
        <v>227</v>
      </c>
      <c r="B118" s="1535"/>
      <c r="C118" s="983"/>
      <c r="D118" s="984" t="s">
        <v>144</v>
      </c>
      <c r="E118" s="985"/>
      <c r="F118" s="986"/>
      <c r="G118" s="986">
        <f>SUM(G19+G92)</f>
        <v>140</v>
      </c>
      <c r="H118" s="976">
        <f>SUM(G118+'1'!G96)</f>
        <v>153</v>
      </c>
      <c r="I118" s="985"/>
      <c r="J118" s="987">
        <f>H118/DAY(B2)</f>
        <v>6.6521739130434785</v>
      </c>
      <c r="N118" s="1020" t="s">
        <v>215</v>
      </c>
      <c r="O118" s="851"/>
    </row>
    <row r="119" spans="1:15" s="774" customFormat="1">
      <c r="A119" s="1534" t="s">
        <v>228</v>
      </c>
      <c r="B119" s="1535"/>
      <c r="C119" s="983"/>
      <c r="D119" s="984" t="s">
        <v>144</v>
      </c>
      <c r="E119" s="985"/>
      <c r="F119" s="986"/>
      <c r="G119" s="986">
        <f>SUM(G95,G96,G97,G99,G100)</f>
        <v>138</v>
      </c>
      <c r="H119" s="976">
        <f>SUM(G119+'1'!G98)</f>
        <v>208</v>
      </c>
      <c r="I119" s="985"/>
      <c r="J119" s="987">
        <f>H119/DAY(B2)</f>
        <v>9.0434782608695645</v>
      </c>
      <c r="N119" s="1020"/>
      <c r="O119" s="851"/>
    </row>
    <row r="120" spans="1:15" s="774" customFormat="1">
      <c r="A120" s="1534" t="s">
        <v>229</v>
      </c>
      <c r="B120" s="1535"/>
      <c r="C120" s="983"/>
      <c r="D120" s="984" t="s">
        <v>144</v>
      </c>
      <c r="E120" s="985"/>
      <c r="F120" s="979"/>
      <c r="G120" s="979">
        <f>SUM(G112)</f>
        <v>154</v>
      </c>
      <c r="H120" s="976">
        <f>SUM(G120+'1'!G100)</f>
        <v>168</v>
      </c>
      <c r="I120" s="985"/>
      <c r="J120" s="987">
        <f>H120/DAY(B2)</f>
        <v>7.3043478260869561</v>
      </c>
      <c r="N120" s="1020"/>
      <c r="O120" s="851"/>
    </row>
    <row r="121" spans="1:15" s="896" customFormat="1">
      <c r="A121" s="1536"/>
      <c r="B121" s="1537"/>
      <c r="C121" s="978"/>
      <c r="D121" s="973"/>
      <c r="E121" s="973"/>
      <c r="F121" s="973"/>
      <c r="G121" s="973"/>
      <c r="H121" s="988"/>
      <c r="I121" s="973"/>
      <c r="J121" s="989"/>
      <c r="N121" s="1014"/>
      <c r="O121" s="851"/>
    </row>
    <row r="122" spans="1:15">
      <c r="A122" s="1515" t="s">
        <v>230</v>
      </c>
      <c r="B122" s="1516"/>
      <c r="C122" s="1517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/>
    </row>
    <row r="123" spans="1:15">
      <c r="A123" s="873" t="s">
        <v>231</v>
      </c>
      <c r="B123" s="874"/>
      <c r="C123" s="874"/>
      <c r="D123" s="844" t="s">
        <v>141</v>
      </c>
      <c r="E123" s="845">
        <f>'22'!F123</f>
        <v>816612.68</v>
      </c>
      <c r="F123" s="879">
        <v>816886</v>
      </c>
      <c r="G123" s="846">
        <f>F123-E123</f>
        <v>273.31999999994878</v>
      </c>
      <c r="H123" s="847">
        <f>G123+'22'!H123</f>
        <v>5879.1600000000326</v>
      </c>
      <c r="I123" s="963"/>
      <c r="J123" s="849">
        <f>H123/DAY(B2)</f>
        <v>255.61565217391447</v>
      </c>
      <c r="K123" s="945"/>
      <c r="L123" s="824"/>
      <c r="O123" s="851"/>
    </row>
    <row r="124" spans="1:15">
      <c r="A124" s="873" t="s">
        <v>232</v>
      </c>
      <c r="B124" s="874"/>
      <c r="C124" s="874"/>
      <c r="D124" s="844" t="s">
        <v>141</v>
      </c>
      <c r="E124" s="845">
        <f>'22'!F124</f>
        <v>73583</v>
      </c>
      <c r="F124" s="879">
        <v>73583</v>
      </c>
      <c r="G124" s="846">
        <f t="shared" ref="G124:G127" si="15">F124-E124</f>
        <v>0</v>
      </c>
      <c r="H124" s="847">
        <f>G124+'22'!H124</f>
        <v>-0.39999999999417923</v>
      </c>
      <c r="I124" s="963"/>
      <c r="J124" s="849">
        <f>H124/DAY(B2)</f>
        <v>-1.7391304347573012E-2</v>
      </c>
      <c r="K124" s="945"/>
      <c r="L124" s="824"/>
      <c r="O124" s="851"/>
    </row>
    <row r="125" spans="1:15">
      <c r="A125" s="1500" t="s">
        <v>233</v>
      </c>
      <c r="B125" s="1501"/>
      <c r="C125" s="1502"/>
      <c r="D125" s="844" t="s">
        <v>141</v>
      </c>
      <c r="E125" s="845">
        <f>'22'!F125</f>
        <v>141446.48000000001</v>
      </c>
      <c r="F125" s="879">
        <v>141525</v>
      </c>
      <c r="G125" s="846">
        <f t="shared" si="15"/>
        <v>78.519999999989523</v>
      </c>
      <c r="H125" s="847">
        <f>G125+'22'!H125</f>
        <v>1545.6600000000035</v>
      </c>
      <c r="I125" s="963"/>
      <c r="J125" s="849">
        <f>H125/DAY(B2)</f>
        <v>67.20260869565233</v>
      </c>
      <c r="K125" s="945"/>
      <c r="L125" s="824"/>
      <c r="O125" s="851"/>
    </row>
    <row r="126" spans="1:15">
      <c r="A126" s="992" t="s">
        <v>234</v>
      </c>
      <c r="B126" s="874"/>
      <c r="C126" s="874"/>
      <c r="D126" s="844" t="s">
        <v>141</v>
      </c>
      <c r="E126" s="845">
        <f>'22'!F126</f>
        <v>59797.2</v>
      </c>
      <c r="F126" s="879">
        <v>59820</v>
      </c>
      <c r="G126" s="846">
        <f t="shared" si="15"/>
        <v>22.80000000000291</v>
      </c>
      <c r="H126" s="847">
        <f>G126+'22'!H126</f>
        <v>513.09999999999854</v>
      </c>
      <c r="I126" s="963"/>
      <c r="J126" s="849">
        <f>H126/DAY(B2)</f>
        <v>22.308695652173849</v>
      </c>
      <c r="K126" s="945"/>
      <c r="L126" s="824"/>
      <c r="O126" s="851"/>
    </row>
    <row r="127" spans="1:15">
      <c r="A127" s="992" t="s">
        <v>235</v>
      </c>
      <c r="B127" s="874"/>
      <c r="C127" s="874"/>
      <c r="D127" s="844" t="s">
        <v>141</v>
      </c>
      <c r="E127" s="845">
        <f>'22'!F127</f>
        <v>8942.5</v>
      </c>
      <c r="F127" s="879">
        <v>8944</v>
      </c>
      <c r="G127" s="846">
        <f t="shared" si="15"/>
        <v>1.5</v>
      </c>
      <c r="H127" s="847">
        <f>G127+'22'!H127</f>
        <v>56.200000000000728</v>
      </c>
      <c r="I127" s="866"/>
      <c r="J127" s="849">
        <f>H127/DAY(B2)</f>
        <v>2.4434782608695969</v>
      </c>
      <c r="K127" s="945"/>
      <c r="L127" s="824"/>
      <c r="O127" s="851"/>
    </row>
    <row r="128" spans="1:15">
      <c r="A128" s="992" t="s">
        <v>236</v>
      </c>
      <c r="B128" s="874"/>
      <c r="C128" s="874"/>
      <c r="D128" s="844"/>
      <c r="E128" s="845"/>
      <c r="F128" s="863"/>
      <c r="G128" s="846">
        <f>G15-SUM(G123:G127)</f>
        <v>537.09000000004016</v>
      </c>
      <c r="H128" s="847">
        <f>G128+'22'!H128</f>
        <v>4143.24099999994</v>
      </c>
      <c r="I128" s="866"/>
      <c r="J128" s="849">
        <f>H128/DAY(B2)</f>
        <v>180.14091304347565</v>
      </c>
      <c r="K128" s="945"/>
      <c r="L128" s="824"/>
      <c r="O128" s="851"/>
    </row>
    <row r="129" spans="1:15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/>
    </row>
    <row r="130" spans="1:15">
      <c r="A130" s="873" t="s">
        <v>238</v>
      </c>
      <c r="B130" s="874"/>
      <c r="C130" s="874"/>
      <c r="D130" s="844" t="s">
        <v>239</v>
      </c>
      <c r="E130" s="845">
        <f>'22'!F130</f>
        <v>0</v>
      </c>
      <c r="F130" s="875">
        <v>0</v>
      </c>
      <c r="G130" s="846">
        <f t="shared" ref="G130:G140" si="16">F130-E130</f>
        <v>0</v>
      </c>
      <c r="H130" s="847">
        <f>G130+'22'!H130</f>
        <v>0</v>
      </c>
      <c r="I130" s="866"/>
      <c r="J130" s="849">
        <f>H130/DAY(B2)</f>
        <v>0</v>
      </c>
      <c r="O130" s="851"/>
    </row>
    <row r="131" spans="1:15">
      <c r="A131" s="873" t="s">
        <v>240</v>
      </c>
      <c r="B131" s="874"/>
      <c r="C131" s="874"/>
      <c r="D131" s="844" t="s">
        <v>239</v>
      </c>
      <c r="E131" s="845">
        <f>'22'!F131</f>
        <v>0</v>
      </c>
      <c r="F131" s="875">
        <v>0</v>
      </c>
      <c r="G131" s="846">
        <f t="shared" si="16"/>
        <v>0</v>
      </c>
      <c r="H131" s="847">
        <f>G131+'22'!H131</f>
        <v>0</v>
      </c>
      <c r="I131" s="866"/>
      <c r="J131" s="849">
        <f>H131/DAY(B2)</f>
        <v>0</v>
      </c>
      <c r="O131" s="851"/>
    </row>
    <row r="132" spans="1:15">
      <c r="A132" s="873" t="s">
        <v>241</v>
      </c>
      <c r="B132" s="874"/>
      <c r="C132" s="874"/>
      <c r="D132" s="844" t="s">
        <v>239</v>
      </c>
      <c r="E132" s="845">
        <f>'22'!F132</f>
        <v>39317.72</v>
      </c>
      <c r="F132" s="996">
        <v>39341.300000000003</v>
      </c>
      <c r="G132" s="846">
        <f t="shared" si="16"/>
        <v>23.580000000001746</v>
      </c>
      <c r="H132" s="847">
        <f>G132+'22'!H132</f>
        <v>502.97000000000116</v>
      </c>
      <c r="I132" s="866"/>
      <c r="J132" s="849">
        <f>H132/DAY(B2)</f>
        <v>21.868260869565269</v>
      </c>
      <c r="O132" s="851"/>
    </row>
    <row r="133" spans="1:15">
      <c r="A133" s="873" t="s">
        <v>242</v>
      </c>
      <c r="B133" s="874"/>
      <c r="C133" s="874"/>
      <c r="D133" s="844" t="s">
        <v>239</v>
      </c>
      <c r="E133" s="845">
        <f>'22'!F133</f>
        <v>299.52</v>
      </c>
      <c r="F133" s="996">
        <v>299.52</v>
      </c>
      <c r="G133" s="846">
        <f t="shared" si="16"/>
        <v>0</v>
      </c>
      <c r="H133" s="847">
        <f>G133+'22'!H133</f>
        <v>-0.48000000000001819</v>
      </c>
      <c r="I133" s="866">
        <f>G130+G131+G132+G133</f>
        <v>23.580000000001746</v>
      </c>
      <c r="J133" s="849">
        <f>H133/DAY(B2)</f>
        <v>-2.0869565217392094E-2</v>
      </c>
      <c r="O133" s="851"/>
    </row>
    <row r="134" spans="1:15">
      <c r="A134" s="873" t="s">
        <v>243</v>
      </c>
      <c r="B134" s="874"/>
      <c r="C134" s="874"/>
      <c r="D134" s="844" t="s">
        <v>239</v>
      </c>
      <c r="E134" s="845">
        <f>'22'!F134</f>
        <v>40802</v>
      </c>
      <c r="F134" s="996">
        <v>40802</v>
      </c>
      <c r="G134" s="846">
        <f t="shared" si="16"/>
        <v>0</v>
      </c>
      <c r="H134" s="847">
        <v>24</v>
      </c>
      <c r="I134" s="866"/>
      <c r="J134" s="849">
        <f>H134/DAY(B2)</f>
        <v>1.0434782608695652</v>
      </c>
      <c r="O134" s="851"/>
    </row>
    <row r="135" spans="1:15">
      <c r="A135" s="873" t="s">
        <v>244</v>
      </c>
      <c r="B135" s="874"/>
      <c r="C135" s="874"/>
      <c r="D135" s="844" t="s">
        <v>239</v>
      </c>
      <c r="E135" s="845">
        <f>'22'!F135</f>
        <v>32582.93</v>
      </c>
      <c r="F135" s="996">
        <v>32582.93</v>
      </c>
      <c r="G135" s="846">
        <f t="shared" si="16"/>
        <v>0</v>
      </c>
      <c r="H135" s="847">
        <v>13</v>
      </c>
      <c r="I135" s="866"/>
      <c r="J135" s="849">
        <f>H135/DAY(B2)</f>
        <v>0.56521739130434778</v>
      </c>
      <c r="O135" s="851"/>
    </row>
    <row r="136" spans="1:15">
      <c r="A136" s="873" t="s">
        <v>245</v>
      </c>
      <c r="B136" s="874"/>
      <c r="C136" s="874"/>
      <c r="D136" s="844" t="s">
        <v>239</v>
      </c>
      <c r="E136" s="845">
        <f>'22'!F136</f>
        <v>22410.27</v>
      </c>
      <c r="F136" s="996">
        <v>22418.85</v>
      </c>
      <c r="G136" s="846">
        <f t="shared" si="16"/>
        <v>8.5799999999981083</v>
      </c>
      <c r="H136" s="847">
        <f>G136+'22'!H136</f>
        <v>196.63999999999942</v>
      </c>
      <c r="I136" s="866">
        <f>G134+G135+G136</f>
        <v>8.5799999999981083</v>
      </c>
      <c r="J136" s="849">
        <f>H136/DAY(B2)</f>
        <v>8.5495652173912795</v>
      </c>
      <c r="O136" s="851"/>
    </row>
    <row r="137" spans="1:15">
      <c r="A137" s="873" t="s">
        <v>246</v>
      </c>
      <c r="B137" s="874"/>
      <c r="C137" s="874"/>
      <c r="D137" s="844" t="s">
        <v>239</v>
      </c>
      <c r="E137" s="845">
        <f>'22'!F137</f>
        <v>25044.37</v>
      </c>
      <c r="F137" s="996">
        <v>25044.31</v>
      </c>
      <c r="G137" s="846">
        <f t="shared" si="16"/>
        <v>-5.9999999997671694E-2</v>
      </c>
      <c r="H137" s="847">
        <v>8</v>
      </c>
      <c r="I137" s="866"/>
      <c r="J137" s="849">
        <f>H137/DAY(B2)</f>
        <v>0.34782608695652173</v>
      </c>
      <c r="O137" s="851"/>
    </row>
    <row r="138" spans="1:15">
      <c r="A138" s="873" t="s">
        <v>247</v>
      </c>
      <c r="B138" s="874"/>
      <c r="C138" s="874"/>
      <c r="D138" s="844" t="s">
        <v>239</v>
      </c>
      <c r="E138" s="845">
        <f>'22'!F138</f>
        <v>70235.37</v>
      </c>
      <c r="F138" s="996">
        <v>70238</v>
      </c>
      <c r="G138" s="846">
        <f t="shared" si="16"/>
        <v>2.6300000000046566</v>
      </c>
      <c r="H138" s="847">
        <v>15</v>
      </c>
      <c r="I138" s="866">
        <f>G137+G138</f>
        <v>2.5700000000069849</v>
      </c>
      <c r="J138" s="849">
        <f>H138/DAY(B2)</f>
        <v>0.65217391304347827</v>
      </c>
      <c r="O138" s="851"/>
    </row>
    <row r="139" spans="1:15">
      <c r="A139" s="873" t="s">
        <v>248</v>
      </c>
      <c r="B139" s="874"/>
      <c r="C139" s="874"/>
      <c r="D139" s="844" t="s">
        <v>239</v>
      </c>
      <c r="E139" s="845">
        <f>'22'!F139</f>
        <v>1536.52</v>
      </c>
      <c r="F139" s="875">
        <v>1536.52</v>
      </c>
      <c r="G139" s="846">
        <f t="shared" si="16"/>
        <v>0</v>
      </c>
      <c r="H139" s="847">
        <f>G139+'22'!H139</f>
        <v>113.37999999999988</v>
      </c>
      <c r="I139" s="997"/>
      <c r="J139" s="849">
        <f>H139/DAY(B2)</f>
        <v>4.9295652173912989</v>
      </c>
      <c r="O139" s="851"/>
    </row>
    <row r="140" spans="1:15">
      <c r="A140" s="873" t="s">
        <v>249</v>
      </c>
      <c r="B140" s="874"/>
      <c r="C140" s="874"/>
      <c r="D140" s="844" t="s">
        <v>239</v>
      </c>
      <c r="E140" s="845">
        <f>'22'!F140</f>
        <v>4389.92</v>
      </c>
      <c r="F140" s="875">
        <v>4399.66</v>
      </c>
      <c r="G140" s="846">
        <f t="shared" si="16"/>
        <v>9.7399999999997817</v>
      </c>
      <c r="H140" s="847">
        <f>G140+'22'!H140</f>
        <v>65.659999999999854</v>
      </c>
      <c r="I140" s="997"/>
      <c r="J140" s="849">
        <f>H140/DAY(B2)</f>
        <v>2.854782608695646</v>
      </c>
      <c r="O140" s="851"/>
    </row>
    <row r="141" spans="1:15">
      <c r="A141" s="1518" t="s">
        <v>250</v>
      </c>
      <c r="B141" s="1519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/>
    </row>
    <row r="142" spans="1:15">
      <c r="A142" s="1494" t="s">
        <v>251</v>
      </c>
      <c r="B142" s="1495"/>
      <c r="C142" s="1496"/>
      <c r="D142" s="844" t="s">
        <v>132</v>
      </c>
      <c r="E142" s="844"/>
      <c r="F142" s="844"/>
      <c r="G142" s="847">
        <f>G35+G43+G49+G57</f>
        <v>5638.9300000000512</v>
      </c>
      <c r="H142" s="847">
        <f>G142+'22'!H142</f>
        <v>132056.48000000004</v>
      </c>
      <c r="I142" s="866"/>
      <c r="J142" s="849">
        <f>H142/DAY(B2)</f>
        <v>5741.5860869565231</v>
      </c>
      <c r="K142" s="945"/>
      <c r="L142" s="824"/>
      <c r="O142" s="851"/>
    </row>
    <row r="143" spans="1:15">
      <c r="A143" s="1494" t="s">
        <v>252</v>
      </c>
      <c r="B143" s="1495"/>
      <c r="C143" s="1496"/>
      <c r="D143" s="844" t="s">
        <v>24</v>
      </c>
      <c r="E143" s="831"/>
      <c r="F143" s="831"/>
      <c r="G143" s="998">
        <f>G142/G7</f>
        <v>0.26937992643195202</v>
      </c>
      <c r="H143" s="847">
        <f>G143+'22'!H143</f>
        <v>6.0070835474319173</v>
      </c>
      <c r="I143" s="999"/>
      <c r="J143" s="849">
        <f>H143/DAY(B2)</f>
        <v>0.26117754554051814</v>
      </c>
      <c r="K143" s="945"/>
      <c r="L143" s="824"/>
      <c r="O143" s="851"/>
    </row>
    <row r="144" spans="1:15">
      <c r="A144" s="1494" t="s">
        <v>253</v>
      </c>
      <c r="B144" s="1495"/>
      <c r="C144" s="1496"/>
      <c r="D144" s="844" t="s">
        <v>132</v>
      </c>
      <c r="E144" s="845"/>
      <c r="F144" s="845"/>
      <c r="G144" s="847">
        <f>G41+G42+G55+G56</f>
        <v>5237.7799999999697</v>
      </c>
      <c r="H144" s="847">
        <f>G144+'22'!H144</f>
        <v>122039.20999999996</v>
      </c>
      <c r="I144" s="866"/>
      <c r="J144" s="849">
        <f>H144/DAY(B2)</f>
        <v>5306.0526086956506</v>
      </c>
      <c r="K144" s="945"/>
      <c r="L144" s="824"/>
      <c r="O144" s="851"/>
    </row>
    <row r="145" spans="1:15">
      <c r="A145" s="1494" t="s">
        <v>254</v>
      </c>
      <c r="B145" s="1495"/>
      <c r="C145" s="1496"/>
      <c r="D145" s="844" t="s">
        <v>24</v>
      </c>
      <c r="E145" s="845"/>
      <c r="F145" s="845"/>
      <c r="G145" s="998">
        <f>G144/G7</f>
        <v>0.25021640471981893</v>
      </c>
      <c r="H145" s="847">
        <f>G145+'22'!H145</f>
        <v>5.7161897556942458</v>
      </c>
      <c r="I145" s="999"/>
      <c r="J145" s="849">
        <f>H145/DAY(B2)</f>
        <v>0.24852998937801069</v>
      </c>
      <c r="K145" s="945"/>
      <c r="L145" s="824"/>
      <c r="O145" s="851"/>
    </row>
    <row r="146" spans="1:15">
      <c r="A146" s="1494" t="s">
        <v>255</v>
      </c>
      <c r="B146" s="1495"/>
      <c r="C146" s="1496"/>
      <c r="D146" s="844" t="s">
        <v>132</v>
      </c>
      <c r="E146" s="845"/>
      <c r="F146" s="845"/>
      <c r="G146" s="847">
        <f>G39+G53</f>
        <v>4120.7899999999936</v>
      </c>
      <c r="H146" s="847">
        <f>G146+'22'!H146</f>
        <v>197490.84999999998</v>
      </c>
      <c r="I146" s="1000"/>
      <c r="J146" s="849">
        <f>H146/DAY(B2)</f>
        <v>8586.5586956521729</v>
      </c>
      <c r="K146" s="945"/>
      <c r="L146" s="824"/>
      <c r="O146" s="851"/>
    </row>
    <row r="147" spans="1:15">
      <c r="A147" s="1494" t="s">
        <v>256</v>
      </c>
      <c r="B147" s="1495"/>
      <c r="C147" s="1496"/>
      <c r="D147" s="844" t="s">
        <v>24</v>
      </c>
      <c r="E147" s="845"/>
      <c r="F147" s="845"/>
      <c r="G147" s="998">
        <f>G146/G7</f>
        <v>0.19685616012993806</v>
      </c>
      <c r="H147" s="847">
        <f>G147+'22'!H147</f>
        <v>9.4818127277715281</v>
      </c>
      <c r="I147" s="1000"/>
      <c r="J147" s="849">
        <f>H147/DAY(B2)</f>
        <v>0.41225272729441426</v>
      </c>
      <c r="O147" s="851"/>
    </row>
    <row r="148" spans="1:15">
      <c r="A148" s="1494" t="s">
        <v>257</v>
      </c>
      <c r="B148" s="1495"/>
      <c r="C148" s="1496"/>
      <c r="D148" s="844" t="s">
        <v>183</v>
      </c>
      <c r="E148" s="845"/>
      <c r="F148" s="845"/>
      <c r="G148" s="847">
        <f>G38+G52</f>
        <v>1823.2300000000541</v>
      </c>
      <c r="H148" s="847">
        <f>G148+'22'!H148</f>
        <v>45121.799999999981</v>
      </c>
      <c r="I148" s="866"/>
      <c r="J148" s="849">
        <f>H148/DAY(B2)</f>
        <v>1961.817391304347</v>
      </c>
      <c r="K148" s="1001"/>
      <c r="O148" s="851"/>
    </row>
    <row r="149" spans="1:15">
      <c r="A149" s="1494" t="s">
        <v>258</v>
      </c>
      <c r="B149" s="1495"/>
      <c r="C149" s="1496"/>
      <c r="D149" s="844" t="s">
        <v>24</v>
      </c>
      <c r="E149" s="845"/>
      <c r="F149" s="845"/>
      <c r="G149" s="998">
        <f>G148/G7</f>
        <v>8.7098361438879002E-2</v>
      </c>
      <c r="H149" s="847">
        <f>G149+'22'!H149</f>
        <v>2.1174532937334662</v>
      </c>
      <c r="I149" s="1000"/>
      <c r="J149" s="849">
        <f>H149/DAY(B2)</f>
        <v>9.2063186684063755E-2</v>
      </c>
      <c r="O149" s="851"/>
    </row>
    <row r="150" spans="1:15">
      <c r="A150" s="1494" t="s">
        <v>259</v>
      </c>
      <c r="B150" s="1495"/>
      <c r="C150" s="1496"/>
      <c r="D150" s="844" t="s">
        <v>183</v>
      </c>
      <c r="E150" s="845"/>
      <c r="F150" s="845"/>
      <c r="G150" s="847">
        <f>G36+G50</f>
        <v>1802.140000000014</v>
      </c>
      <c r="H150" s="847">
        <f>G150+'22'!H150</f>
        <v>43096.399999999965</v>
      </c>
      <c r="I150" s="1000"/>
      <c r="J150" s="849">
        <f>H150/DAY(B2)</f>
        <v>1873.7565217391289</v>
      </c>
      <c r="O150" s="851"/>
    </row>
    <row r="151" spans="1:15">
      <c r="A151" s="1494" t="s">
        <v>260</v>
      </c>
      <c r="B151" s="1495"/>
      <c r="C151" s="1496"/>
      <c r="D151" s="844" t="s">
        <v>24</v>
      </c>
      <c r="E151" s="845"/>
      <c r="F151" s="845"/>
      <c r="G151" s="998">
        <f>G150/G7</f>
        <v>8.6090861319448431E-2</v>
      </c>
      <c r="H151" s="847">
        <f>G151+'22'!H151</f>
        <v>2.0175185397845641</v>
      </c>
      <c r="I151" s="866"/>
      <c r="J151" s="849">
        <f>H151/DAY(B2)</f>
        <v>8.7718197381937563E-2</v>
      </c>
      <c r="O151" s="851"/>
    </row>
    <row r="152" spans="1:15">
      <c r="A152" s="1494" t="s">
        <v>261</v>
      </c>
      <c r="B152" s="1495"/>
      <c r="C152" s="1496"/>
      <c r="D152" s="844" t="s">
        <v>183</v>
      </c>
      <c r="E152" s="845"/>
      <c r="F152" s="845"/>
      <c r="G152" s="847">
        <f>G37+G51</f>
        <v>1487.9199999999983</v>
      </c>
      <c r="H152" s="847">
        <f>G152+'22'!H152</f>
        <v>70453.029999999984</v>
      </c>
      <c r="I152" s="866"/>
      <c r="J152" s="849">
        <f>H152/DAY(B2)</f>
        <v>3063.1752173913037</v>
      </c>
      <c r="O152" s="851"/>
    </row>
    <row r="153" spans="1:15" ht="21" thickBot="1">
      <c r="A153" s="1520" t="s">
        <v>262</v>
      </c>
      <c r="B153" s="1521"/>
      <c r="C153" s="1522"/>
      <c r="D153" s="1002" t="s">
        <v>24</v>
      </c>
      <c r="E153" s="1003"/>
      <c r="F153" s="1003"/>
      <c r="G153" s="1004">
        <f>G152/G7</f>
        <v>7.1080112740648654E-2</v>
      </c>
      <c r="H153" s="847">
        <f>G153+'22'!H153</f>
        <v>3.382151898137201</v>
      </c>
      <c r="I153" s="1005"/>
      <c r="J153" s="1006">
        <f>H153/DAY(B2)</f>
        <v>0.14705008252770438</v>
      </c>
      <c r="O153" s="851"/>
    </row>
    <row r="154" spans="1:15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/>
    </row>
    <row r="160" spans="1:15">
      <c r="A160" s="997" t="s">
        <v>263</v>
      </c>
      <c r="B160" s="997"/>
      <c r="C160" s="997"/>
      <c r="D160" s="831" t="s">
        <v>187</v>
      </c>
      <c r="E160" s="845">
        <f>'22'!F160</f>
        <v>32670.01</v>
      </c>
      <c r="F160" s="1021">
        <v>32754</v>
      </c>
      <c r="G160" s="846">
        <f t="shared" ref="G160:G163" si="17">F160-E160</f>
        <v>83.990000000001601</v>
      </c>
    </row>
    <row r="161" spans="1:10" ht="21.75" customHeight="1">
      <c r="A161" s="997" t="s">
        <v>264</v>
      </c>
      <c r="B161" s="997"/>
      <c r="C161" s="997"/>
      <c r="D161" s="831" t="s">
        <v>187</v>
      </c>
      <c r="E161" s="845">
        <f>'22'!F161</f>
        <v>64846.5</v>
      </c>
      <c r="F161" s="1021">
        <v>65273.79</v>
      </c>
      <c r="G161" s="846">
        <f t="shared" si="17"/>
        <v>427.29000000000087</v>
      </c>
    </row>
    <row r="162" spans="1:10" ht="21.75" customHeight="1">
      <c r="A162" s="997" t="s">
        <v>265</v>
      </c>
      <c r="B162" s="997"/>
      <c r="C162" s="997"/>
      <c r="D162" s="831" t="s">
        <v>187</v>
      </c>
      <c r="E162" s="845">
        <f>'22'!F162</f>
        <v>26911.05</v>
      </c>
      <c r="F162" s="1021">
        <v>27180</v>
      </c>
      <c r="G162" s="846">
        <f t="shared" si="17"/>
        <v>268.95000000000073</v>
      </c>
    </row>
    <row r="163" spans="1:10" ht="21.75" customHeight="1">
      <c r="A163" s="997" t="s">
        <v>266</v>
      </c>
      <c r="B163" s="997"/>
      <c r="C163" s="997"/>
      <c r="D163" s="831" t="s">
        <v>187</v>
      </c>
      <c r="E163" s="845">
        <f>'22'!F163</f>
        <v>5684.29</v>
      </c>
      <c r="F163" s="1021">
        <v>5696.57</v>
      </c>
      <c r="G163" s="846">
        <f t="shared" si="17"/>
        <v>12.279999999999745</v>
      </c>
    </row>
    <row r="164" spans="1:10" ht="21.75" customHeight="1">
      <c r="A164" s="927" t="s">
        <v>98</v>
      </c>
      <c r="B164" s="927"/>
      <c r="C164" s="927"/>
      <c r="D164" s="831" t="s">
        <v>187</v>
      </c>
      <c r="E164" s="928">
        <f>E62</f>
        <v>20419.2</v>
      </c>
      <c r="F164" s="928">
        <f>F62</f>
        <v>20419</v>
      </c>
      <c r="G164" s="846">
        <f t="shared" ref="G164:G171" si="18">F164-E164</f>
        <v>-0.2000000000007276</v>
      </c>
      <c r="J164" s="1080"/>
    </row>
    <row r="165" spans="1:10" ht="21.75" customHeight="1">
      <c r="A165" s="927" t="s">
        <v>188</v>
      </c>
      <c r="B165" s="927"/>
      <c r="C165" s="927"/>
      <c r="D165" s="831" t="s">
        <v>187</v>
      </c>
      <c r="E165" s="928">
        <f t="shared" ref="E165:E171" si="19">E63</f>
        <v>1989.3</v>
      </c>
      <c r="F165" s="928">
        <f t="shared" ref="F165:F171" si="20">F63</f>
        <v>2000</v>
      </c>
      <c r="G165" s="846">
        <f t="shared" si="18"/>
        <v>10.700000000000045</v>
      </c>
    </row>
    <row r="166" spans="1:10" ht="21.75" customHeight="1">
      <c r="A166" s="1538" t="s">
        <v>99</v>
      </c>
      <c r="B166" s="1538"/>
      <c r="C166" s="1538"/>
      <c r="D166" s="844" t="s">
        <v>187</v>
      </c>
      <c r="E166" s="928">
        <f t="shared" si="19"/>
        <v>134920</v>
      </c>
      <c r="F166" s="928">
        <f t="shared" si="20"/>
        <v>135417</v>
      </c>
      <c r="G166" s="846">
        <f t="shared" si="18"/>
        <v>497</v>
      </c>
    </row>
    <row r="167" spans="1:10" ht="21.75" customHeight="1">
      <c r="A167" s="1538" t="s">
        <v>100</v>
      </c>
      <c r="B167" s="1538"/>
      <c r="C167" s="1538"/>
      <c r="D167" s="844" t="s">
        <v>187</v>
      </c>
      <c r="E167" s="928">
        <f t="shared" si="19"/>
        <v>140813.71</v>
      </c>
      <c r="F167" s="928">
        <f t="shared" si="20"/>
        <v>141186</v>
      </c>
      <c r="G167" s="846">
        <f t="shared" si="18"/>
        <v>372.29000000000815</v>
      </c>
    </row>
    <row r="168" spans="1:10" ht="21.75" customHeight="1">
      <c r="A168" s="1538" t="s">
        <v>101</v>
      </c>
      <c r="B168" s="1538"/>
      <c r="C168" s="1538"/>
      <c r="D168" s="844" t="s">
        <v>187</v>
      </c>
      <c r="E168" s="928">
        <f t="shared" si="19"/>
        <v>33568.370000000003</v>
      </c>
      <c r="F168" s="928">
        <f t="shared" si="20"/>
        <v>33948</v>
      </c>
      <c r="G168" s="846">
        <f t="shared" si="18"/>
        <v>379.62999999999738</v>
      </c>
    </row>
    <row r="169" spans="1:10">
      <c r="A169" s="1538" t="s">
        <v>102</v>
      </c>
      <c r="B169" s="1538"/>
      <c r="C169" s="1538"/>
      <c r="D169" s="844" t="s">
        <v>187</v>
      </c>
      <c r="E169" s="928">
        <f t="shared" si="19"/>
        <v>222910.69</v>
      </c>
      <c r="F169" s="928">
        <f t="shared" si="20"/>
        <v>223612</v>
      </c>
      <c r="G169" s="846">
        <f t="shared" si="18"/>
        <v>701.30999999999767</v>
      </c>
    </row>
    <row r="170" spans="1:10" ht="24" customHeight="1">
      <c r="A170" s="1538" t="s">
        <v>103</v>
      </c>
      <c r="B170" s="1538"/>
      <c r="C170" s="1538"/>
      <c r="D170" s="844" t="s">
        <v>187</v>
      </c>
      <c r="E170" s="928">
        <f t="shared" si="19"/>
        <v>70793</v>
      </c>
      <c r="F170" s="928">
        <f t="shared" si="20"/>
        <v>80419</v>
      </c>
      <c r="G170" s="846">
        <f t="shared" si="18"/>
        <v>9626</v>
      </c>
      <c r="J170" s="1081"/>
    </row>
    <row r="171" spans="1:10">
      <c r="A171" s="1538" t="s">
        <v>104</v>
      </c>
      <c r="B171" s="1538"/>
      <c r="C171" s="1538"/>
      <c r="D171" s="844" t="s">
        <v>187</v>
      </c>
      <c r="E171" s="928">
        <f t="shared" si="19"/>
        <v>71492.41</v>
      </c>
      <c r="F171" s="928">
        <f t="shared" si="20"/>
        <v>71807</v>
      </c>
      <c r="G171" s="846">
        <f t="shared" si="18"/>
        <v>314.58999999999651</v>
      </c>
    </row>
    <row r="172" spans="1:10">
      <c r="G172" s="1012">
        <f>SUM(G160:G171)</f>
        <v>12693.830000000002</v>
      </c>
    </row>
    <row r="173" spans="1:10">
      <c r="J173" s="1082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68" zoomScaleNormal="44" zoomScaleSheetLayoutView="68" workbookViewId="0">
      <selection activeCell="D20" sqref="D20"/>
    </sheetView>
  </sheetViews>
  <sheetFormatPr defaultColWidth="22.33203125" defaultRowHeight="20.25"/>
  <cols>
    <col min="1" max="1" width="51.21875" style="1010" customWidth="1"/>
    <col min="2" max="2" width="24.88671875" style="1010" customWidth="1"/>
    <col min="3" max="3" width="12.44140625" style="1010" customWidth="1"/>
    <col min="4" max="4" width="13.6640625" style="1010" customWidth="1"/>
    <col min="5" max="5" width="28.109375" style="1010" customWidth="1"/>
    <col min="6" max="6" width="23.77734375" style="1010" customWidth="1"/>
    <col min="7" max="7" width="17.88671875" style="1010" customWidth="1"/>
    <col min="8" max="8" width="39.21875" style="1011" customWidth="1"/>
    <col min="9" max="9" width="15.77734375" style="1010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6.77734375" style="811" bestFit="1" customWidth="1"/>
    <col min="16" max="16384" width="22.33203125" style="811"/>
  </cols>
  <sheetData>
    <row r="1" spans="1:15" ht="22.5">
      <c r="A1" s="1483" t="s">
        <v>117</v>
      </c>
      <c r="B1" s="1484"/>
      <c r="C1" s="1484"/>
      <c r="D1" s="1484"/>
      <c r="E1" s="1484"/>
      <c r="F1" s="1484"/>
      <c r="G1" s="1484"/>
      <c r="H1" s="1484"/>
      <c r="I1" s="1484"/>
      <c r="J1" s="1485"/>
    </row>
    <row r="2" spans="1:15">
      <c r="A2" s="812" t="s">
        <v>316</v>
      </c>
      <c r="B2" s="1084">
        <v>43914</v>
      </c>
      <c r="C2" s="813" t="s">
        <v>69</v>
      </c>
      <c r="D2" s="814">
        <v>0.63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</row>
    <row r="3" spans="1:15">
      <c r="A3" s="817"/>
      <c r="B3" s="818"/>
      <c r="C3" s="813" t="s">
        <v>120</v>
      </c>
      <c r="D3" s="819">
        <v>28</v>
      </c>
      <c r="E3" s="1492" t="s">
        <v>121</v>
      </c>
      <c r="F3" s="1493"/>
      <c r="G3" s="820">
        <f>'1'!G3</f>
        <v>0</v>
      </c>
      <c r="H3" s="821">
        <f>'1'!H3</f>
        <v>0</v>
      </c>
      <c r="I3" s="821">
        <f>'1'!I3</f>
        <v>0</v>
      </c>
      <c r="J3" s="822">
        <f>'1'!J3</f>
        <v>0</v>
      </c>
      <c r="K3" s="823"/>
      <c r="L3" s="824"/>
    </row>
    <row r="4" spans="1:15">
      <c r="A4" s="825"/>
      <c r="B4" s="826"/>
      <c r="C4" s="813" t="s">
        <v>122</v>
      </c>
      <c r="D4" s="814">
        <v>0.8</v>
      </c>
      <c r="E4" s="827"/>
      <c r="F4" s="827"/>
      <c r="G4" s="827"/>
      <c r="H4" s="827"/>
      <c r="I4" s="828"/>
      <c r="J4" s="822"/>
      <c r="K4" s="829"/>
      <c r="L4" s="824"/>
    </row>
    <row r="5" spans="1:15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</row>
    <row r="6" spans="1:15">
      <c r="A6" s="1486" t="s">
        <v>130</v>
      </c>
      <c r="B6" s="1487"/>
      <c r="C6" s="1488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1" thickBot="1">
      <c r="A7" s="842" t="s">
        <v>131</v>
      </c>
      <c r="B7" s="843"/>
      <c r="C7" s="843"/>
      <c r="D7" s="844" t="s">
        <v>132</v>
      </c>
      <c r="E7" s="845">
        <f>'23'!F7</f>
        <v>4935396</v>
      </c>
      <c r="F7" s="845">
        <v>4956677</v>
      </c>
      <c r="G7" s="846">
        <f>F7-E7</f>
        <v>21281</v>
      </c>
      <c r="H7" s="847">
        <f>G7+'23'!H7</f>
        <v>511600</v>
      </c>
      <c r="I7" s="848">
        <f>'1'!I7</f>
        <v>12000</v>
      </c>
      <c r="J7" s="849">
        <f>H7/DAY(B2)</f>
        <v>21316.666666666668</v>
      </c>
      <c r="K7" s="850"/>
      <c r="L7" s="824"/>
      <c r="O7" s="851"/>
    </row>
    <row r="8" spans="1:15" ht="21" thickBot="1">
      <c r="A8" s="852" t="s">
        <v>133</v>
      </c>
      <c r="B8" s="853"/>
      <c r="C8" s="854"/>
      <c r="D8" s="855" t="s">
        <v>25</v>
      </c>
      <c r="E8" s="845">
        <f>'23'!F8</f>
        <v>4966008</v>
      </c>
      <c r="F8" s="856">
        <v>4987377</v>
      </c>
      <c r="G8" s="857">
        <f>F8-E8</f>
        <v>21369</v>
      </c>
      <c r="H8" s="847">
        <f>G8+'23'!H8</f>
        <v>514221</v>
      </c>
      <c r="I8" s="858">
        <f>'1'!I8</f>
        <v>12000</v>
      </c>
      <c r="J8" s="849">
        <f>H8/DAY(B2)</f>
        <v>21425.875</v>
      </c>
      <c r="K8" s="850"/>
      <c r="L8" s="859"/>
      <c r="M8" s="860"/>
      <c r="O8" s="851"/>
    </row>
    <row r="9" spans="1:15">
      <c r="A9" s="861" t="s">
        <v>134</v>
      </c>
      <c r="B9" s="862"/>
      <c r="C9" s="862"/>
      <c r="D9" s="844" t="s">
        <v>132</v>
      </c>
      <c r="E9" s="845">
        <f>'23'!F9</f>
        <v>223132</v>
      </c>
      <c r="F9" s="863">
        <v>243752</v>
      </c>
      <c r="G9" s="846">
        <f t="shared" ref="G9:G12" si="0">F9-E9</f>
        <v>20620</v>
      </c>
      <c r="H9" s="847">
        <f>G9+'23'!H9</f>
        <v>156842.99</v>
      </c>
      <c r="I9" s="864">
        <f>I8-J8</f>
        <v>-9425.875</v>
      </c>
      <c r="J9" s="849">
        <f>H9/DAY(B2)</f>
        <v>6535.1245833333332</v>
      </c>
      <c r="K9" s="865"/>
      <c r="L9" s="824"/>
      <c r="O9" s="851"/>
    </row>
    <row r="10" spans="1:15">
      <c r="A10" s="842" t="s">
        <v>135</v>
      </c>
      <c r="B10" s="843"/>
      <c r="C10" s="843"/>
      <c r="D10" s="844" t="s">
        <v>132</v>
      </c>
      <c r="E10" s="845">
        <f>'23'!F10</f>
        <v>2324</v>
      </c>
      <c r="F10" s="863">
        <v>2324</v>
      </c>
      <c r="G10" s="846">
        <f t="shared" si="0"/>
        <v>0</v>
      </c>
      <c r="H10" s="847">
        <f>G10+'23'!H10</f>
        <v>335060.49</v>
      </c>
      <c r="I10" s="866"/>
      <c r="J10" s="849">
        <f>H10/DAY(B2)</f>
        <v>13960.85375</v>
      </c>
      <c r="K10" s="865"/>
      <c r="L10" s="824"/>
      <c r="M10" s="811" t="s">
        <v>281</v>
      </c>
      <c r="O10" s="851"/>
    </row>
    <row r="11" spans="1:15">
      <c r="A11" s="842" t="s">
        <v>136</v>
      </c>
      <c r="B11" s="843"/>
      <c r="C11" s="843"/>
      <c r="D11" s="844" t="s">
        <v>132</v>
      </c>
      <c r="E11" s="845">
        <f>'23'!F11</f>
        <v>37000</v>
      </c>
      <c r="F11" s="845">
        <v>37000</v>
      </c>
      <c r="G11" s="846">
        <f t="shared" si="0"/>
        <v>0</v>
      </c>
      <c r="H11" s="847">
        <f>G11+'23'!H11</f>
        <v>0</v>
      </c>
      <c r="I11" s="866"/>
      <c r="J11" s="849">
        <f>H11/DAY(B2)</f>
        <v>0</v>
      </c>
      <c r="K11" s="865"/>
      <c r="L11" s="824"/>
      <c r="O11" s="851"/>
    </row>
    <row r="12" spans="1:15">
      <c r="A12" s="842" t="s">
        <v>137</v>
      </c>
      <c r="B12" s="843"/>
      <c r="C12" s="843"/>
      <c r="D12" s="844" t="s">
        <v>132</v>
      </c>
      <c r="E12" s="845">
        <f>'23'!F12</f>
        <v>40010</v>
      </c>
      <c r="F12" s="863">
        <v>40010</v>
      </c>
      <c r="G12" s="846">
        <f t="shared" si="0"/>
        <v>0</v>
      </c>
      <c r="H12" s="847">
        <f>G12+'23'!H12</f>
        <v>0</v>
      </c>
      <c r="I12" s="866"/>
      <c r="J12" s="849">
        <f>H12/DAY(B2)</f>
        <v>0</v>
      </c>
      <c r="K12" s="865"/>
      <c r="L12" s="824"/>
      <c r="O12" s="851"/>
    </row>
    <row r="13" spans="1:15">
      <c r="A13" s="867" t="s">
        <v>138</v>
      </c>
      <c r="B13" s="868"/>
      <c r="C13" s="868"/>
      <c r="D13" s="844"/>
      <c r="E13" s="845"/>
      <c r="F13" s="845"/>
      <c r="G13" s="869">
        <f>G9+G10+G11+G12</f>
        <v>20620</v>
      </c>
      <c r="H13" s="847">
        <f>G13+'23'!H13</f>
        <v>470909.48</v>
      </c>
      <c r="I13" s="870">
        <f>G7-G13</f>
        <v>661</v>
      </c>
      <c r="J13" s="849">
        <f>H13/DAY(B2)</f>
        <v>19621.228333333333</v>
      </c>
      <c r="K13" s="865"/>
      <c r="L13" s="824"/>
      <c r="O13" s="851"/>
    </row>
    <row r="14" spans="1:15">
      <c r="A14" s="1489" t="s">
        <v>139</v>
      </c>
      <c r="B14" s="1490"/>
      <c r="C14" s="1491"/>
      <c r="D14" s="839"/>
      <c r="E14" s="839"/>
      <c r="F14" s="839"/>
      <c r="G14" s="871"/>
      <c r="H14" s="839"/>
      <c r="I14" s="839"/>
      <c r="J14" s="840"/>
      <c r="K14" s="872"/>
      <c r="L14" s="824"/>
      <c r="O14" s="851"/>
    </row>
    <row r="15" spans="1:15">
      <c r="A15" s="873" t="s">
        <v>140</v>
      </c>
      <c r="B15" s="874"/>
      <c r="C15" s="874"/>
      <c r="D15" s="844" t="s">
        <v>141</v>
      </c>
      <c r="E15" s="845">
        <f>'23'!F15</f>
        <v>1639882</v>
      </c>
      <c r="F15" s="875">
        <v>1640178</v>
      </c>
      <c r="G15" s="1022">
        <f>(F15-E15)</f>
        <v>296</v>
      </c>
      <c r="H15" s="847">
        <f>G15+'23'!H15</f>
        <v>20299.389999999898</v>
      </c>
      <c r="I15" s="848">
        <f>'1'!I15</f>
        <v>800</v>
      </c>
      <c r="J15" s="849">
        <f>H15/DAY(B2)</f>
        <v>845.80791666666244</v>
      </c>
      <c r="K15" s="865"/>
      <c r="L15" s="824"/>
      <c r="O15" s="851"/>
    </row>
    <row r="16" spans="1:15">
      <c r="A16" s="876"/>
      <c r="B16" s="877"/>
      <c r="C16" s="877"/>
      <c r="D16" s="878"/>
      <c r="E16" s="879"/>
      <c r="F16" s="879"/>
      <c r="G16" s="846"/>
      <c r="H16" s="880"/>
      <c r="I16" s="881">
        <f>I15-J15</f>
        <v>-45.807916666662436</v>
      </c>
      <c r="J16" s="882"/>
      <c r="K16" s="865"/>
      <c r="L16" s="824"/>
      <c r="N16" s="1015"/>
      <c r="O16" s="851"/>
    </row>
    <row r="17" spans="1:15">
      <c r="A17" s="1489" t="s">
        <v>142</v>
      </c>
      <c r="B17" s="1490"/>
      <c r="C17" s="1491"/>
      <c r="D17" s="839"/>
      <c r="E17" s="839"/>
      <c r="F17" s="839"/>
      <c r="G17" s="883"/>
      <c r="H17" s="839">
        <f>G17+'22'!H17</f>
        <v>0</v>
      </c>
      <c r="I17" s="839"/>
      <c r="J17" s="840"/>
      <c r="K17" s="865"/>
      <c r="L17" s="824"/>
      <c r="O17" s="851"/>
    </row>
    <row r="18" spans="1:15">
      <c r="A18" s="1494" t="s">
        <v>143</v>
      </c>
      <c r="B18" s="1495"/>
      <c r="C18" s="1496"/>
      <c r="D18" s="844" t="s">
        <v>144</v>
      </c>
      <c r="E18" s="845">
        <f>'23'!F18</f>
        <v>10</v>
      </c>
      <c r="F18" s="875">
        <v>14</v>
      </c>
      <c r="G18" s="869">
        <f>F18*10</f>
        <v>140</v>
      </c>
      <c r="H18" s="847">
        <f>G18+'23'!H18</f>
        <v>3150</v>
      </c>
      <c r="I18" s="848">
        <f>'1'!I18</f>
        <v>65</v>
      </c>
      <c r="J18" s="849">
        <f>H18/DAY(B2)</f>
        <v>131.25</v>
      </c>
      <c r="K18" s="865"/>
      <c r="L18" s="824"/>
      <c r="O18" s="851"/>
    </row>
    <row r="19" spans="1:15">
      <c r="A19" s="1494" t="s">
        <v>71</v>
      </c>
      <c r="B19" s="1495"/>
      <c r="C19" s="1496"/>
      <c r="D19" s="844" t="s">
        <v>144</v>
      </c>
      <c r="E19" s="845">
        <f>'23'!F19</f>
        <v>135669</v>
      </c>
      <c r="F19" s="875">
        <v>135723</v>
      </c>
      <c r="G19" s="846">
        <f t="shared" ref="G19" si="1">F19-E19</f>
        <v>54</v>
      </c>
      <c r="H19" s="847">
        <f>G19+'23'!H19</f>
        <v>1255</v>
      </c>
      <c r="I19" s="884"/>
      <c r="J19" s="849">
        <f>H19/DAY(B2)</f>
        <v>52.291666666666664</v>
      </c>
      <c r="K19" s="865"/>
      <c r="L19" s="824"/>
      <c r="O19" s="851"/>
    </row>
    <row r="20" spans="1:15">
      <c r="A20" s="867" t="s">
        <v>145</v>
      </c>
      <c r="B20" s="868"/>
      <c r="C20" s="868"/>
      <c r="D20" s="885"/>
      <c r="E20" s="885"/>
      <c r="F20" s="885"/>
      <c r="G20" s="846">
        <v>194</v>
      </c>
      <c r="H20" s="847">
        <f>G20+'23'!H20</f>
        <v>4405</v>
      </c>
      <c r="I20" s="887">
        <f>I18-J20</f>
        <v>-118.54166666666666</v>
      </c>
      <c r="J20" s="849">
        <f>H20/DAY(B2)</f>
        <v>183.54166666666666</v>
      </c>
      <c r="K20" s="865"/>
      <c r="L20" s="824"/>
      <c r="O20" s="851"/>
    </row>
    <row r="21" spans="1:15">
      <c r="A21" s="1489" t="s">
        <v>146</v>
      </c>
      <c r="B21" s="1490"/>
      <c r="C21" s="1491"/>
      <c r="D21" s="839"/>
      <c r="E21" s="839"/>
      <c r="F21" s="839"/>
      <c r="G21" s="871"/>
      <c r="H21" s="839"/>
      <c r="I21" s="839"/>
      <c r="J21" s="840"/>
      <c r="K21" s="865"/>
      <c r="L21" s="824"/>
      <c r="O21" s="851"/>
    </row>
    <row r="22" spans="1:15">
      <c r="A22" s="873" t="s">
        <v>147</v>
      </c>
      <c r="B22" s="874"/>
      <c r="C22" s="874"/>
      <c r="D22" s="844" t="s">
        <v>148</v>
      </c>
      <c r="E22" s="875">
        <f>'23'!F22</f>
        <v>2970</v>
      </c>
      <c r="F22" s="875">
        <v>1680</v>
      </c>
      <c r="G22" s="869">
        <v>1290</v>
      </c>
      <c r="H22" s="847">
        <f>G22+'23'!H22</f>
        <v>1290</v>
      </c>
      <c r="I22" s="866"/>
      <c r="J22" s="849">
        <f>H22/DAY(B2)</f>
        <v>53.75</v>
      </c>
      <c r="K22" s="865"/>
      <c r="L22" s="824"/>
      <c r="O22" s="851"/>
    </row>
    <row r="23" spans="1:15">
      <c r="A23" s="873" t="s">
        <v>149</v>
      </c>
      <c r="B23" s="874"/>
      <c r="C23" s="874"/>
      <c r="D23" s="844" t="s">
        <v>148</v>
      </c>
      <c r="E23" s="875">
        <f>'23'!F23</f>
        <v>2000</v>
      </c>
      <c r="F23" s="875">
        <v>2000</v>
      </c>
      <c r="G23" s="869">
        <f t="shared" ref="G23" si="2">(F23-E23)</f>
        <v>0</v>
      </c>
      <c r="H23" s="847">
        <f>G23+'23'!H23</f>
        <v>0</v>
      </c>
      <c r="I23" s="866"/>
      <c r="J23" s="849">
        <f>H23/DAY(B2)</f>
        <v>0</v>
      </c>
      <c r="K23" s="865"/>
      <c r="L23" s="824"/>
      <c r="O23" s="851"/>
    </row>
    <row r="24" spans="1:15">
      <c r="A24" s="888" t="s">
        <v>150</v>
      </c>
      <c r="B24" s="889"/>
      <c r="C24" s="889"/>
      <c r="D24" s="831" t="s">
        <v>148</v>
      </c>
      <c r="E24" s="875">
        <f>'23'!F24</f>
        <v>4970</v>
      </c>
      <c r="F24" s="890">
        <v>3680</v>
      </c>
      <c r="G24" s="869">
        <v>1290</v>
      </c>
      <c r="H24" s="847">
        <f>G24+'23'!H24</f>
        <v>1290</v>
      </c>
      <c r="I24" s="866"/>
      <c r="J24" s="849">
        <f>H24/DAY(B2)</f>
        <v>53.75</v>
      </c>
      <c r="K24" s="865"/>
      <c r="L24" s="824"/>
      <c r="O24" s="851"/>
    </row>
    <row r="25" spans="1:15" s="896" customFormat="1">
      <c r="A25" s="1486" t="s">
        <v>151</v>
      </c>
      <c r="B25" s="1487"/>
      <c r="C25" s="1488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/>
    </row>
    <row r="26" spans="1:15" s="896" customFormat="1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/>
    </row>
    <row r="27" spans="1:15" s="896" customFormat="1" ht="22.5">
      <c r="A27" s="897" t="s">
        <v>6</v>
      </c>
      <c r="B27" s="898"/>
      <c r="C27" s="899"/>
      <c r="D27" s="904" t="s">
        <v>25</v>
      </c>
      <c r="E27" s="905">
        <f>G8</f>
        <v>21369</v>
      </c>
      <c r="F27" s="501">
        <v>9</v>
      </c>
      <c r="G27" s="907">
        <f>E27*F27</f>
        <v>192321</v>
      </c>
      <c r="H27" s="847">
        <f>G27+'23'!H27</f>
        <v>4627989</v>
      </c>
      <c r="I27" s="908"/>
      <c r="J27" s="849">
        <f>H27/DAY(B2)</f>
        <v>192832.875</v>
      </c>
      <c r="K27" s="865"/>
      <c r="L27" s="895"/>
      <c r="N27" s="1014"/>
      <c r="O27" s="851"/>
    </row>
    <row r="28" spans="1:15" s="896" customFormat="1" ht="22.5">
      <c r="A28" s="897" t="s">
        <v>154</v>
      </c>
      <c r="B28" s="898"/>
      <c r="C28" s="899"/>
      <c r="D28" s="904" t="s">
        <v>155</v>
      </c>
      <c r="E28" s="905">
        <f>G15</f>
        <v>296</v>
      </c>
      <c r="F28" s="501">
        <v>43.5</v>
      </c>
      <c r="G28" s="907">
        <f>E28*F28</f>
        <v>12876</v>
      </c>
      <c r="H28" s="847">
        <f>G28+'23'!H28</f>
        <v>948613.14319999504</v>
      </c>
      <c r="I28" s="909"/>
      <c r="J28" s="849">
        <f>H28/DAY(B2)</f>
        <v>39525.547633333124</v>
      </c>
      <c r="K28" s="865"/>
      <c r="L28" s="895"/>
      <c r="N28" s="1014"/>
      <c r="O28" s="851"/>
    </row>
    <row r="29" spans="1:15" s="896" customFormat="1">
      <c r="A29" s="897" t="s">
        <v>156</v>
      </c>
      <c r="B29" s="898"/>
      <c r="C29" s="899"/>
      <c r="D29" s="904" t="s">
        <v>157</v>
      </c>
      <c r="E29" s="905">
        <v>1290</v>
      </c>
      <c r="F29" s="906">
        <v>69</v>
      </c>
      <c r="G29" s="907">
        <f>E29*F29</f>
        <v>89010</v>
      </c>
      <c r="H29" s="847">
        <f>G29+'23'!H29</f>
        <v>89010</v>
      </c>
      <c r="I29" s="909"/>
      <c r="J29" s="849">
        <f>H29/DAY(B2)</f>
        <v>3708.75</v>
      </c>
      <c r="K29" s="865"/>
      <c r="L29" s="895"/>
      <c r="N29" s="1014"/>
      <c r="O29" s="851"/>
    </row>
    <row r="30" spans="1:15" s="896" customFormat="1">
      <c r="A30" s="897" t="s">
        <v>158</v>
      </c>
      <c r="B30" s="898"/>
      <c r="C30" s="899"/>
      <c r="D30" s="904" t="s">
        <v>159</v>
      </c>
      <c r="E30" s="905">
        <f>G19</f>
        <v>54</v>
      </c>
      <c r="F30" s="906">
        <v>134</v>
      </c>
      <c r="G30" s="907">
        <f>E30*F30</f>
        <v>7236</v>
      </c>
      <c r="H30" s="847">
        <f>G30+'23'!H30</f>
        <v>185858</v>
      </c>
      <c r="I30" s="909"/>
      <c r="J30" s="849">
        <f>H30/DAY(B2)</f>
        <v>7744.083333333333</v>
      </c>
      <c r="K30" s="865"/>
      <c r="L30" s="895"/>
      <c r="N30" s="1014"/>
      <c r="O30" s="851"/>
    </row>
    <row r="31" spans="1:15" s="896" customFormat="1">
      <c r="A31" s="897" t="s">
        <v>160</v>
      </c>
      <c r="B31" s="898"/>
      <c r="C31" s="899"/>
      <c r="D31" s="904" t="s">
        <v>144</v>
      </c>
      <c r="E31" s="905">
        <f>G18</f>
        <v>140</v>
      </c>
      <c r="F31" s="906">
        <v>80</v>
      </c>
      <c r="G31" s="907">
        <f>E31*F31</f>
        <v>11200</v>
      </c>
      <c r="H31" s="847">
        <f>G31+'23'!H31</f>
        <v>241440</v>
      </c>
      <c r="I31" s="909"/>
      <c r="J31" s="849"/>
      <c r="K31" s="865"/>
      <c r="L31" s="895"/>
      <c r="N31" s="1014"/>
      <c r="O31" s="851"/>
    </row>
    <row r="32" spans="1:15" s="896" customFormat="1">
      <c r="A32" s="910" t="s">
        <v>161</v>
      </c>
      <c r="B32" s="911"/>
      <c r="C32" s="912"/>
      <c r="D32" s="913"/>
      <c r="E32" s="913"/>
      <c r="F32" s="913"/>
      <c r="G32" s="914">
        <f>G27+G28+G29+G30+G31</f>
        <v>312643</v>
      </c>
      <c r="H32" s="847">
        <f>G32+'23'!H32</f>
        <v>6092910.1431999942</v>
      </c>
      <c r="I32" s="915"/>
      <c r="J32" s="849">
        <f>H32/DAY(B2)</f>
        <v>253871.25596666642</v>
      </c>
      <c r="K32" s="865"/>
      <c r="L32" s="895"/>
      <c r="N32" s="1014"/>
      <c r="O32" s="851"/>
    </row>
    <row r="33" spans="1:15" ht="18.75">
      <c r="A33" s="1497" t="s">
        <v>162</v>
      </c>
      <c r="B33" s="1498"/>
      <c r="C33" s="1498"/>
      <c r="D33" s="1498"/>
      <c r="E33" s="1498"/>
      <c r="F33" s="1498"/>
      <c r="G33" s="1498"/>
      <c r="H33" s="1498"/>
      <c r="I33" s="1498"/>
      <c r="J33" s="1499"/>
      <c r="K33" s="865"/>
      <c r="L33" s="824"/>
      <c r="O33" s="851"/>
    </row>
    <row r="34" spans="1:15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/>
    </row>
    <row r="35" spans="1:15">
      <c r="A35" s="842" t="s">
        <v>164</v>
      </c>
      <c r="B35" s="843"/>
      <c r="C35" s="843"/>
      <c r="D35" s="844" t="s">
        <v>132</v>
      </c>
      <c r="E35" s="845">
        <f>'23'!F35</f>
        <v>771551</v>
      </c>
      <c r="F35" s="918">
        <v>774670</v>
      </c>
      <c r="G35" s="846">
        <f t="shared" ref="G35:G46" si="3">F35-E35</f>
        <v>3119</v>
      </c>
      <c r="H35" s="847">
        <f>G35+'23'!H35</f>
        <v>81582.410000000033</v>
      </c>
      <c r="I35" s="845"/>
      <c r="J35" s="849">
        <f>H35/DAY(B2)</f>
        <v>3399.2670833333345</v>
      </c>
      <c r="K35" s="865"/>
      <c r="L35" s="824"/>
      <c r="O35" s="851"/>
    </row>
    <row r="36" spans="1:15">
      <c r="A36" s="842" t="s">
        <v>165</v>
      </c>
      <c r="B36" s="843"/>
      <c r="C36" s="843"/>
      <c r="D36" s="844" t="s">
        <v>132</v>
      </c>
      <c r="E36" s="845">
        <f>'23'!F36</f>
        <v>311397</v>
      </c>
      <c r="F36" s="918">
        <v>311995</v>
      </c>
      <c r="G36" s="846">
        <f t="shared" si="3"/>
        <v>598</v>
      </c>
      <c r="H36" s="847">
        <f>G36+'23'!H36</f>
        <v>15549.429999999993</v>
      </c>
      <c r="I36" s="845"/>
      <c r="J36" s="849">
        <f>H36/DAY(B2)</f>
        <v>647.89291666666634</v>
      </c>
      <c r="K36" s="865"/>
      <c r="L36" s="824"/>
      <c r="O36" s="851"/>
    </row>
    <row r="37" spans="1:15">
      <c r="A37" s="842" t="s">
        <v>166</v>
      </c>
      <c r="B37" s="843"/>
      <c r="C37" s="843"/>
      <c r="D37" s="844" t="s">
        <v>132</v>
      </c>
      <c r="E37" s="845">
        <f>'23'!F37</f>
        <v>42759</v>
      </c>
      <c r="F37" s="918">
        <v>44239</v>
      </c>
      <c r="G37" s="846">
        <f t="shared" si="3"/>
        <v>1480</v>
      </c>
      <c r="H37" s="847">
        <f>G37+'23'!H37</f>
        <v>47344.08</v>
      </c>
      <c r="I37" s="845"/>
      <c r="J37" s="849">
        <f>H37/DAY(B2)</f>
        <v>1972.67</v>
      </c>
      <c r="K37" s="865"/>
      <c r="L37" s="824"/>
      <c r="O37" s="851"/>
    </row>
    <row r="38" spans="1:15">
      <c r="A38" s="842" t="s">
        <v>167</v>
      </c>
      <c r="B38" s="843"/>
      <c r="C38" s="843"/>
      <c r="D38" s="844" t="s">
        <v>132</v>
      </c>
      <c r="E38" s="845">
        <f>'23'!F38</f>
        <v>57242</v>
      </c>
      <c r="F38" s="834">
        <v>59005</v>
      </c>
      <c r="G38" s="846">
        <f t="shared" si="3"/>
        <v>1763</v>
      </c>
      <c r="H38" s="847">
        <f>G38+'23'!H38</f>
        <v>15191.510000000002</v>
      </c>
      <c r="I38" s="845"/>
      <c r="J38" s="849">
        <f>H38/DAY(B2)</f>
        <v>632.97958333333338</v>
      </c>
      <c r="K38" s="865"/>
      <c r="L38" s="824"/>
      <c r="O38" s="851"/>
    </row>
    <row r="39" spans="1:15">
      <c r="A39" s="842" t="s">
        <v>168</v>
      </c>
      <c r="B39" s="843"/>
      <c r="C39" s="843"/>
      <c r="D39" s="844" t="s">
        <v>132</v>
      </c>
      <c r="E39" s="845">
        <f>'23'!F39</f>
        <v>120519</v>
      </c>
      <c r="F39" s="918">
        <v>124610</v>
      </c>
      <c r="G39" s="846">
        <f t="shared" si="3"/>
        <v>4091</v>
      </c>
      <c r="H39" s="847">
        <f>G39+'23'!H39</f>
        <v>134002.89000000001</v>
      </c>
      <c r="I39" s="845"/>
      <c r="J39" s="849">
        <f>H39/DAY(B2)</f>
        <v>5583.4537500000006</v>
      </c>
      <c r="K39" s="865"/>
      <c r="L39" s="824"/>
      <c r="N39" s="1013">
        <f>20*38.64</f>
        <v>772.8</v>
      </c>
      <c r="O39" s="851"/>
    </row>
    <row r="40" spans="1:15">
      <c r="A40" s="919" t="s">
        <v>169</v>
      </c>
      <c r="B40" s="920"/>
      <c r="C40" s="920"/>
      <c r="D40" s="844" t="s">
        <v>132</v>
      </c>
      <c r="E40" s="845">
        <f>'23'!F40</f>
        <v>0.23</v>
      </c>
      <c r="F40" s="918">
        <v>0.23</v>
      </c>
      <c r="G40" s="846">
        <f t="shared" si="3"/>
        <v>0</v>
      </c>
      <c r="H40" s="847">
        <f>G40+'23'!H40</f>
        <v>0.17</v>
      </c>
      <c r="I40" s="845"/>
      <c r="J40" s="849">
        <f>H40/DAY(B2)</f>
        <v>7.0833333333333338E-3</v>
      </c>
      <c r="K40" s="872"/>
      <c r="L40" s="824"/>
      <c r="O40" s="851"/>
    </row>
    <row r="41" spans="1:15">
      <c r="A41" s="842" t="s">
        <v>170</v>
      </c>
      <c r="B41" s="843"/>
      <c r="C41" s="843"/>
      <c r="D41" s="844" t="s">
        <v>132</v>
      </c>
      <c r="E41" s="845">
        <f>'23'!F41</f>
        <v>91684</v>
      </c>
      <c r="F41" s="918">
        <v>96858</v>
      </c>
      <c r="G41" s="846">
        <f t="shared" si="3"/>
        <v>5174</v>
      </c>
      <c r="H41" s="847">
        <f>G41+'23'!H41</f>
        <v>32975.629999999997</v>
      </c>
      <c r="I41" s="845"/>
      <c r="J41" s="849">
        <f>H41/DAY(B2)</f>
        <v>1373.9845833333331</v>
      </c>
      <c r="K41" s="865"/>
      <c r="L41" s="824"/>
      <c r="O41" s="851"/>
    </row>
    <row r="42" spans="1:15">
      <c r="A42" s="842" t="s">
        <v>171</v>
      </c>
      <c r="B42" s="843"/>
      <c r="C42" s="843"/>
      <c r="D42" s="844" t="s">
        <v>132</v>
      </c>
      <c r="E42" s="845">
        <f>'23'!F42</f>
        <v>59128.6</v>
      </c>
      <c r="F42" s="918">
        <v>59129</v>
      </c>
      <c r="G42" s="846">
        <f t="shared" si="3"/>
        <v>0.40000000000145519</v>
      </c>
      <c r="H42" s="847">
        <f>G42+'23'!H42</f>
        <v>0.15000000000145519</v>
      </c>
      <c r="I42" s="845"/>
      <c r="J42" s="849">
        <f>H42/DAY(B2)</f>
        <v>6.2500000000606333E-3</v>
      </c>
      <c r="K42" s="865"/>
      <c r="L42" s="824"/>
      <c r="O42" s="851"/>
    </row>
    <row r="43" spans="1:15">
      <c r="A43" s="842" t="s">
        <v>172</v>
      </c>
      <c r="B43" s="843"/>
      <c r="C43" s="843"/>
      <c r="D43" s="844" t="s">
        <v>132</v>
      </c>
      <c r="E43" s="845">
        <f>'23'!F43</f>
        <v>881807</v>
      </c>
      <c r="F43" s="918">
        <v>884161</v>
      </c>
      <c r="G43" s="846">
        <f t="shared" si="3"/>
        <v>2354</v>
      </c>
      <c r="H43" s="847">
        <f>G43+'23'!H43</f>
        <v>58263.170000000042</v>
      </c>
      <c r="I43" s="845"/>
      <c r="J43" s="849">
        <f>H43/DAY(B2)</f>
        <v>2427.6320833333352</v>
      </c>
      <c r="K43" s="865"/>
      <c r="L43" s="824"/>
      <c r="O43" s="851"/>
    </row>
    <row r="44" spans="1:15">
      <c r="A44" s="842" t="s">
        <v>173</v>
      </c>
      <c r="B44" s="843"/>
      <c r="C44" s="843"/>
      <c r="D44" s="844" t="s">
        <v>132</v>
      </c>
      <c r="E44" s="845">
        <f>'23'!F44</f>
        <v>0</v>
      </c>
      <c r="F44" s="918">
        <v>0</v>
      </c>
      <c r="G44" s="846">
        <f t="shared" si="3"/>
        <v>0</v>
      </c>
      <c r="H44" s="847">
        <f>G44+'23'!H44</f>
        <v>0</v>
      </c>
      <c r="I44" s="845"/>
      <c r="J44" s="849">
        <f>H44/DAY(B2)</f>
        <v>0</v>
      </c>
      <c r="K44" s="865"/>
      <c r="L44" s="824"/>
      <c r="O44" s="851"/>
    </row>
    <row r="45" spans="1:15">
      <c r="A45" s="842" t="s">
        <v>174</v>
      </c>
      <c r="B45" s="843"/>
      <c r="C45" s="843"/>
      <c r="D45" s="844" t="s">
        <v>132</v>
      </c>
      <c r="E45" s="845">
        <f>'23'!F45</f>
        <v>614</v>
      </c>
      <c r="F45" s="918">
        <v>614</v>
      </c>
      <c r="G45" s="846">
        <f t="shared" si="3"/>
        <v>0</v>
      </c>
      <c r="H45" s="847">
        <f>G45+'23'!H45</f>
        <v>0</v>
      </c>
      <c r="I45" s="845"/>
      <c r="J45" s="849">
        <f>H45/DAY(B2)</f>
        <v>0</v>
      </c>
      <c r="K45" s="865"/>
      <c r="L45" s="824"/>
      <c r="O45" s="851"/>
    </row>
    <row r="46" spans="1:15">
      <c r="A46" s="842" t="s">
        <v>175</v>
      </c>
      <c r="B46" s="843"/>
      <c r="C46" s="843"/>
      <c r="D46" s="844" t="s">
        <v>132</v>
      </c>
      <c r="E46" s="845">
        <f>'23'!F46</f>
        <v>187</v>
      </c>
      <c r="F46" s="918">
        <v>187</v>
      </c>
      <c r="G46" s="846">
        <f t="shared" si="3"/>
        <v>0</v>
      </c>
      <c r="H46" s="847">
        <f>G46+'23'!H46</f>
        <v>0</v>
      </c>
      <c r="I46" s="845"/>
      <c r="J46" s="849">
        <f>H46/DAY(B2)</f>
        <v>0</v>
      </c>
      <c r="K46" s="865"/>
      <c r="L46" s="824"/>
      <c r="O46" s="851"/>
    </row>
    <row r="47" spans="1:15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18579.400000000001</v>
      </c>
      <c r="H47" s="847">
        <f>G47+'23'!H47</f>
        <v>384909.44000000006</v>
      </c>
      <c r="I47" s="845"/>
      <c r="J47" s="849">
        <f>H47/DAY(B2)</f>
        <v>16037.893333333335</v>
      </c>
      <c r="K47" s="865"/>
      <c r="L47" s="824"/>
      <c r="N47" s="1015"/>
      <c r="O47" s="851"/>
    </row>
    <row r="48" spans="1:15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/>
    </row>
    <row r="49" spans="1:15">
      <c r="A49" s="842" t="s">
        <v>164</v>
      </c>
      <c r="B49" s="921"/>
      <c r="C49" s="921"/>
      <c r="D49" s="844" t="s">
        <v>132</v>
      </c>
      <c r="E49" s="845">
        <f>'23'!F49</f>
        <v>260732</v>
      </c>
      <c r="F49" s="918">
        <v>260732</v>
      </c>
      <c r="G49" s="846">
        <f t="shared" ref="G49:G58" si="4">F49-E49</f>
        <v>0</v>
      </c>
      <c r="H49" s="847">
        <f>G49+'23'!H49</f>
        <v>-0.13000000000465661</v>
      </c>
      <c r="I49" s="845"/>
      <c r="J49" s="849">
        <f>H49/DAY(B2)</f>
        <v>-5.4166666668606922E-3</v>
      </c>
      <c r="K49" s="865"/>
      <c r="L49" s="824"/>
      <c r="O49" s="851"/>
    </row>
    <row r="50" spans="1:15">
      <c r="A50" s="842" t="s">
        <v>178</v>
      </c>
      <c r="B50" s="921"/>
      <c r="C50" s="921"/>
      <c r="D50" s="844" t="s">
        <v>132</v>
      </c>
      <c r="E50" s="845">
        <f>'23'!F50</f>
        <v>430608</v>
      </c>
      <c r="F50" s="918">
        <v>432426</v>
      </c>
      <c r="G50" s="846">
        <f t="shared" si="4"/>
        <v>1818</v>
      </c>
      <c r="H50" s="847">
        <f>G50+'23'!H50</f>
        <v>28768.969999999972</v>
      </c>
      <c r="I50" s="845"/>
      <c r="J50" s="849">
        <f>H50/DAY(B2)</f>
        <v>1198.7070833333321</v>
      </c>
      <c r="K50" s="865"/>
      <c r="L50" s="824"/>
      <c r="O50" s="851"/>
    </row>
    <row r="51" spans="1:15">
      <c r="A51" s="842" t="s">
        <v>166</v>
      </c>
      <c r="B51" s="921"/>
      <c r="C51" s="921"/>
      <c r="D51" s="844" t="s">
        <v>132</v>
      </c>
      <c r="E51" s="845">
        <f>'23'!F51</f>
        <v>144639.87</v>
      </c>
      <c r="F51" s="918">
        <v>144640</v>
      </c>
      <c r="G51" s="846">
        <f t="shared" si="4"/>
        <v>0.13000000000465661</v>
      </c>
      <c r="H51" s="847">
        <f>G51+'23'!H51</f>
        <v>23040.080000000002</v>
      </c>
      <c r="I51" s="845"/>
      <c r="J51" s="849">
        <f>H51/DAY(B2)</f>
        <v>960.00333333333344</v>
      </c>
      <c r="K51" s="865"/>
      <c r="L51" s="824"/>
      <c r="O51" s="851"/>
    </row>
    <row r="52" spans="1:15">
      <c r="A52" s="842" t="s">
        <v>179</v>
      </c>
      <c r="B52" s="921"/>
      <c r="C52" s="921"/>
      <c r="D52" s="844" t="s">
        <v>132</v>
      </c>
      <c r="E52" s="845">
        <f>'23'!F52</f>
        <v>539606</v>
      </c>
      <c r="F52" s="918">
        <v>539606</v>
      </c>
      <c r="G52" s="846">
        <f t="shared" si="4"/>
        <v>0</v>
      </c>
      <c r="H52" s="847">
        <f>G52+'23'!H52</f>
        <v>29647.289999999979</v>
      </c>
      <c r="I52" s="845"/>
      <c r="J52" s="849">
        <f>H52/DAY(B2)</f>
        <v>1235.3037499999991</v>
      </c>
      <c r="K52" s="865"/>
      <c r="L52" s="824"/>
      <c r="O52" s="851"/>
    </row>
    <row r="53" spans="1:15">
      <c r="A53" s="842" t="s">
        <v>168</v>
      </c>
      <c r="B53" s="921"/>
      <c r="C53" s="921"/>
      <c r="D53" s="844" t="s">
        <v>132</v>
      </c>
      <c r="E53" s="845">
        <f>'23'!F53</f>
        <v>399433.47</v>
      </c>
      <c r="F53" s="918">
        <v>399433</v>
      </c>
      <c r="G53" s="846">
        <f t="shared" si="4"/>
        <v>-0.46999999997206032</v>
      </c>
      <c r="H53" s="847">
        <f>G53+'23'!H53</f>
        <v>63393.489999999991</v>
      </c>
      <c r="I53" s="845"/>
      <c r="J53" s="849">
        <f>H53/DAY(B2)</f>
        <v>2641.3954166666663</v>
      </c>
      <c r="K53" s="865"/>
      <c r="L53" s="824"/>
      <c r="O53" s="851"/>
    </row>
    <row r="54" spans="1:15">
      <c r="A54" s="842" t="s">
        <v>180</v>
      </c>
      <c r="B54" s="921"/>
      <c r="C54" s="921"/>
      <c r="D54" s="844" t="s">
        <v>132</v>
      </c>
      <c r="E54" s="845">
        <f>'23'!F54</f>
        <v>8587</v>
      </c>
      <c r="F54" s="918">
        <v>8657</v>
      </c>
      <c r="G54" s="846">
        <f t="shared" si="4"/>
        <v>70</v>
      </c>
      <c r="H54" s="847">
        <f>G54+'23'!H54</f>
        <v>561.40000000000055</v>
      </c>
      <c r="I54" s="845"/>
      <c r="J54" s="849">
        <f>H54/DAY(B2)</f>
        <v>23.391666666666691</v>
      </c>
      <c r="K54" s="865"/>
      <c r="L54" s="824"/>
      <c r="O54" s="851"/>
    </row>
    <row r="55" spans="1:15">
      <c r="A55" s="842" t="s">
        <v>181</v>
      </c>
      <c r="B55" s="921"/>
      <c r="C55" s="921"/>
      <c r="D55" s="844" t="s">
        <v>132</v>
      </c>
      <c r="E55" s="845">
        <f>'23'!F55</f>
        <v>208980.55</v>
      </c>
      <c r="F55" s="918">
        <v>208981</v>
      </c>
      <c r="G55" s="846">
        <f t="shared" si="4"/>
        <v>0.45000000001164153</v>
      </c>
      <c r="H55" s="847">
        <f>G55+'23'!H55</f>
        <v>86396.31</v>
      </c>
      <c r="I55" s="845"/>
      <c r="J55" s="849">
        <f>H55/DAY(B2)</f>
        <v>3599.8462500000001</v>
      </c>
      <c r="K55" s="865"/>
      <c r="L55" s="824"/>
      <c r="O55" s="851"/>
    </row>
    <row r="56" spans="1:15">
      <c r="A56" s="842" t="s">
        <v>182</v>
      </c>
      <c r="B56" s="921"/>
      <c r="C56" s="921"/>
      <c r="D56" s="844" t="s">
        <v>183</v>
      </c>
      <c r="E56" s="845">
        <f>'23'!F56</f>
        <v>588894</v>
      </c>
      <c r="F56" s="918">
        <v>588894</v>
      </c>
      <c r="G56" s="846">
        <f t="shared" si="4"/>
        <v>0</v>
      </c>
      <c r="H56" s="847">
        <f>G56+'23'!H56</f>
        <v>2842.9699999999721</v>
      </c>
      <c r="I56" s="845"/>
      <c r="J56" s="849">
        <f>H56/DAY(B2)</f>
        <v>118.45708333333216</v>
      </c>
      <c r="K56" s="841"/>
      <c r="L56" s="824"/>
      <c r="O56" s="851"/>
    </row>
    <row r="57" spans="1:15">
      <c r="A57" s="842" t="s">
        <v>172</v>
      </c>
      <c r="B57" s="921"/>
      <c r="C57" s="921"/>
      <c r="D57" s="844" t="s">
        <v>132</v>
      </c>
      <c r="E57" s="845">
        <f>'23'!F57</f>
        <v>7711</v>
      </c>
      <c r="F57" s="918">
        <v>7711</v>
      </c>
      <c r="G57" s="846">
        <f t="shared" si="4"/>
        <v>0</v>
      </c>
      <c r="H57" s="847">
        <f>G57+'23'!H57</f>
        <v>-0.32999999999992724</v>
      </c>
      <c r="I57" s="845"/>
      <c r="J57" s="849">
        <f>H57/DAY(B2)</f>
        <v>-1.3749999999996968E-2</v>
      </c>
      <c r="K57" s="865"/>
      <c r="L57" s="824"/>
      <c r="O57" s="851"/>
    </row>
    <row r="58" spans="1:15">
      <c r="A58" s="842" t="s">
        <v>184</v>
      </c>
      <c r="B58" s="921"/>
      <c r="C58" s="921"/>
      <c r="D58" s="844" t="s">
        <v>132</v>
      </c>
      <c r="E58" s="845">
        <f>'23'!F58</f>
        <v>40079</v>
      </c>
      <c r="F58" s="918">
        <v>40284</v>
      </c>
      <c r="G58" s="846">
        <f t="shared" si="4"/>
        <v>205</v>
      </c>
      <c r="H58" s="847">
        <f>G58+'23'!H58</f>
        <v>4219.3000000000029</v>
      </c>
      <c r="I58" s="845"/>
      <c r="J58" s="849">
        <f>H58/DAY(B2)</f>
        <v>175.80416666666679</v>
      </c>
      <c r="K58" s="865"/>
      <c r="L58" s="824"/>
      <c r="O58" s="851"/>
    </row>
    <row r="59" spans="1:15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2093.1100000000442</v>
      </c>
      <c r="H59" s="847">
        <f>G59+'23'!H59</f>
        <v>238869.34999999989</v>
      </c>
      <c r="I59" s="845">
        <f>G7-G60</f>
        <v>608.48999999995431</v>
      </c>
      <c r="J59" s="849">
        <f>H59/DAY(B2)</f>
        <v>9952.8895833333281</v>
      </c>
      <c r="K59" s="865"/>
      <c r="L59" s="824"/>
      <c r="O59" s="851"/>
    </row>
    <row r="60" spans="1:15">
      <c r="A60" s="842"/>
      <c r="B60" s="843"/>
      <c r="C60" s="843"/>
      <c r="D60" s="831" t="s">
        <v>185</v>
      </c>
      <c r="E60" s="831"/>
      <c r="F60" s="831"/>
      <c r="G60" s="869">
        <f>G47+G59</f>
        <v>20672.510000000046</v>
      </c>
      <c r="H60" s="847">
        <f>G60+'23'!H60</f>
        <v>637947.79</v>
      </c>
      <c r="I60" s="845">
        <f>G13-G60</f>
        <v>-52.510000000045693</v>
      </c>
      <c r="J60" s="849">
        <f>H60/DAY(B2)</f>
        <v>26581.157916666667</v>
      </c>
      <c r="K60" s="865"/>
      <c r="L60" s="824"/>
      <c r="O60" s="851"/>
    </row>
    <row r="61" spans="1:15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/>
    </row>
    <row r="62" spans="1:15">
      <c r="A62" s="926" t="s">
        <v>98</v>
      </c>
      <c r="B62" s="927"/>
      <c r="C62" s="927"/>
      <c r="D62" s="831" t="s">
        <v>187</v>
      </c>
      <c r="E62" s="845">
        <f>'23'!F62</f>
        <v>20419</v>
      </c>
      <c r="F62" s="928">
        <v>20419</v>
      </c>
      <c r="G62" s="846">
        <f t="shared" ref="G62:G69" si="5">F62-E62</f>
        <v>0</v>
      </c>
      <c r="H62" s="847">
        <f>G62+'23'!H62</f>
        <v>-0.18700000000171713</v>
      </c>
      <c r="I62" s="929"/>
      <c r="J62" s="849">
        <f>H62/DAY(B2)</f>
        <v>-7.7916666667382133E-3</v>
      </c>
      <c r="K62" s="865"/>
      <c r="L62" s="824"/>
      <c r="O62" s="851"/>
    </row>
    <row r="63" spans="1:15">
      <c r="A63" s="926" t="s">
        <v>188</v>
      </c>
      <c r="B63" s="927"/>
      <c r="C63" s="927"/>
      <c r="D63" s="831" t="s">
        <v>187</v>
      </c>
      <c r="E63" s="845">
        <f>'23'!F63</f>
        <v>2000</v>
      </c>
      <c r="F63" s="928">
        <v>2012</v>
      </c>
      <c r="G63" s="846">
        <f t="shared" si="5"/>
        <v>12</v>
      </c>
      <c r="H63" s="847">
        <f>G63+'23'!H63</f>
        <v>304.6400000000001</v>
      </c>
      <c r="I63" s="929"/>
      <c r="J63" s="849">
        <f>H63/DAY(B2)</f>
        <v>12.693333333333337</v>
      </c>
      <c r="K63" s="865"/>
      <c r="L63" s="824"/>
      <c r="O63" s="851"/>
    </row>
    <row r="64" spans="1:15">
      <c r="A64" s="1500" t="s">
        <v>99</v>
      </c>
      <c r="B64" s="1501"/>
      <c r="C64" s="1502"/>
      <c r="D64" s="844" t="s">
        <v>187</v>
      </c>
      <c r="E64" s="845">
        <f>'23'!F64</f>
        <v>135417</v>
      </c>
      <c r="F64" s="875">
        <v>135907</v>
      </c>
      <c r="G64" s="846">
        <f t="shared" si="5"/>
        <v>490</v>
      </c>
      <c r="H64" s="847">
        <f>G64+'23'!H64</f>
        <v>12279.699999999997</v>
      </c>
      <c r="I64" s="866"/>
      <c r="J64" s="849">
        <f>H64/DAY(B2)</f>
        <v>511.65416666666653</v>
      </c>
      <c r="K64" s="865"/>
      <c r="L64" s="824"/>
      <c r="O64" s="851"/>
    </row>
    <row r="65" spans="1:15">
      <c r="A65" s="1500" t="s">
        <v>100</v>
      </c>
      <c r="B65" s="1501"/>
      <c r="C65" s="1502"/>
      <c r="D65" s="844" t="s">
        <v>187</v>
      </c>
      <c r="E65" s="845">
        <f>'23'!F65</f>
        <v>141186</v>
      </c>
      <c r="F65" s="875">
        <v>141579</v>
      </c>
      <c r="G65" s="846">
        <f t="shared" si="5"/>
        <v>393</v>
      </c>
      <c r="H65" s="847">
        <f>G65+'23'!H65</f>
        <v>8981.7000000000116</v>
      </c>
      <c r="I65" s="884"/>
      <c r="J65" s="849">
        <f>H65/DAY(B2)</f>
        <v>374.23750000000047</v>
      </c>
      <c r="K65" s="865"/>
      <c r="L65" s="824"/>
      <c r="O65" s="851"/>
    </row>
    <row r="66" spans="1:15">
      <c r="A66" s="1500" t="s">
        <v>101</v>
      </c>
      <c r="B66" s="1501"/>
      <c r="C66" s="1502"/>
      <c r="D66" s="844" t="s">
        <v>187</v>
      </c>
      <c r="E66" s="845">
        <f>'23'!F66</f>
        <v>33948</v>
      </c>
      <c r="F66" s="875">
        <v>34324</v>
      </c>
      <c r="G66" s="846">
        <f t="shared" si="5"/>
        <v>376</v>
      </c>
      <c r="H66" s="847">
        <f>G66+'23'!H66</f>
        <v>9164.25</v>
      </c>
      <c r="I66" s="866"/>
      <c r="J66" s="849">
        <f>H66/DAY(B2)</f>
        <v>381.84375</v>
      </c>
      <c r="K66" s="865"/>
      <c r="L66" s="824"/>
      <c r="O66" s="851"/>
    </row>
    <row r="67" spans="1:15">
      <c r="A67" s="1500" t="s">
        <v>102</v>
      </c>
      <c r="B67" s="1501"/>
      <c r="C67" s="1502"/>
      <c r="D67" s="844" t="s">
        <v>187</v>
      </c>
      <c r="E67" s="845">
        <f>'23'!F67</f>
        <v>223612</v>
      </c>
      <c r="F67" s="875">
        <v>224328</v>
      </c>
      <c r="G67" s="846">
        <f t="shared" si="5"/>
        <v>716</v>
      </c>
      <c r="H67" s="847">
        <f>G67+'23'!H67</f>
        <v>16486.170000000013</v>
      </c>
      <c r="I67" s="884"/>
      <c r="J67" s="849">
        <f>H67/DAY(B2)</f>
        <v>686.9237500000005</v>
      </c>
      <c r="K67" s="872"/>
      <c r="L67" s="824"/>
      <c r="O67" s="851"/>
    </row>
    <row r="68" spans="1:15">
      <c r="A68" s="1500" t="s">
        <v>103</v>
      </c>
      <c r="B68" s="1501"/>
      <c r="C68" s="1502"/>
      <c r="D68" s="844" t="s">
        <v>187</v>
      </c>
      <c r="E68" s="845">
        <f>'23'!F68</f>
        <v>80419</v>
      </c>
      <c r="F68" s="875">
        <v>80766</v>
      </c>
      <c r="G68" s="846">
        <f t="shared" si="5"/>
        <v>347</v>
      </c>
      <c r="H68" s="847">
        <f>G68+'23'!H68</f>
        <v>17304.550000000003</v>
      </c>
      <c r="I68" s="930"/>
      <c r="J68" s="849">
        <f>H68/DAY(B2)</f>
        <v>721.02291666666679</v>
      </c>
      <c r="K68" s="931"/>
      <c r="L68" s="824"/>
      <c r="O68" s="851"/>
    </row>
    <row r="69" spans="1:15">
      <c r="A69" s="1500" t="s">
        <v>104</v>
      </c>
      <c r="B69" s="1501"/>
      <c r="C69" s="1502"/>
      <c r="D69" s="844" t="s">
        <v>187</v>
      </c>
      <c r="E69" s="845">
        <f>'23'!F69</f>
        <v>71807</v>
      </c>
      <c r="F69" s="875">
        <v>72124</v>
      </c>
      <c r="G69" s="846">
        <f t="shared" si="5"/>
        <v>317</v>
      </c>
      <c r="H69" s="847">
        <f>G69+'23'!H69</f>
        <v>7671.9100000000035</v>
      </c>
      <c r="I69" s="930"/>
      <c r="J69" s="849">
        <f>H69/DAY(B2)</f>
        <v>319.66291666666683</v>
      </c>
      <c r="K69" s="932"/>
      <c r="L69" s="824"/>
      <c r="O69" s="851"/>
    </row>
    <row r="70" spans="1:15">
      <c r="A70" s="1509" t="s">
        <v>189</v>
      </c>
      <c r="B70" s="1510"/>
      <c r="C70" s="1511"/>
      <c r="D70" s="844" t="s">
        <v>187</v>
      </c>
      <c r="E70" s="933"/>
      <c r="F70" s="934"/>
      <c r="G70" s="934"/>
      <c r="H70" s="847">
        <f>G70+'23'!H70</f>
        <v>0</v>
      </c>
      <c r="I70" s="934"/>
      <c r="J70" s="935"/>
      <c r="K70" s="932"/>
      <c r="L70" s="824"/>
      <c r="O70" s="851"/>
    </row>
    <row r="71" spans="1:15" ht="22.5">
      <c r="A71" s="1506" t="s">
        <v>190</v>
      </c>
      <c r="B71" s="1507"/>
      <c r="C71" s="1507"/>
      <c r="D71" s="1507"/>
      <c r="E71" s="1507"/>
      <c r="F71" s="1507"/>
      <c r="G71" s="1507"/>
      <c r="H71" s="1507"/>
      <c r="I71" s="1507"/>
      <c r="J71" s="1508"/>
      <c r="K71" s="931"/>
      <c r="L71" s="824"/>
      <c r="O71" s="851"/>
    </row>
    <row r="72" spans="1:15">
      <c r="A72" s="1500" t="s">
        <v>191</v>
      </c>
      <c r="B72" s="1501"/>
      <c r="C72" s="1502"/>
      <c r="D72" s="844" t="s">
        <v>187</v>
      </c>
      <c r="E72" s="845">
        <f>'23'!F72</f>
        <v>852655</v>
      </c>
      <c r="F72" s="936">
        <v>852740</v>
      </c>
      <c r="G72" s="846">
        <f t="shared" ref="G72:G90" si="6">F72-E72</f>
        <v>85</v>
      </c>
      <c r="H72" s="847">
        <f>G72+'23'!H72</f>
        <v>2058</v>
      </c>
      <c r="I72" s="866"/>
      <c r="J72" s="849">
        <f>H72/DAY(B2)</f>
        <v>85.75</v>
      </c>
      <c r="K72" s="932"/>
      <c r="L72" s="824"/>
      <c r="O72" s="851"/>
    </row>
    <row r="73" spans="1:15">
      <c r="A73" s="1500" t="s">
        <v>192</v>
      </c>
      <c r="B73" s="1501"/>
      <c r="C73" s="1502"/>
      <c r="D73" s="844" t="s">
        <v>187</v>
      </c>
      <c r="E73" s="845">
        <f>'23'!F73</f>
        <v>885789</v>
      </c>
      <c r="F73" s="937">
        <v>885790</v>
      </c>
      <c r="G73" s="846">
        <f t="shared" si="6"/>
        <v>1</v>
      </c>
      <c r="H73" s="847">
        <f>G73+'23'!H73</f>
        <v>1132</v>
      </c>
      <c r="I73" s="866"/>
      <c r="J73" s="849">
        <f>H73/DAY(B2)</f>
        <v>47.166666666666664</v>
      </c>
      <c r="K73" s="931"/>
      <c r="L73" s="824"/>
      <c r="O73" s="851"/>
    </row>
    <row r="74" spans="1:15">
      <c r="A74" s="1500" t="s">
        <v>193</v>
      </c>
      <c r="B74" s="1501"/>
      <c r="C74" s="1502"/>
      <c r="D74" s="844" t="s">
        <v>187</v>
      </c>
      <c r="E74" s="845">
        <f>'23'!F74</f>
        <v>1195</v>
      </c>
      <c r="F74" s="938">
        <v>1214</v>
      </c>
      <c r="G74" s="846">
        <f t="shared" si="6"/>
        <v>19</v>
      </c>
      <c r="H74" s="847">
        <f>G74+'23'!H74</f>
        <v>627.83000000000004</v>
      </c>
      <c r="I74" s="866"/>
      <c r="J74" s="849">
        <f>H74/DAY(B2)</f>
        <v>26.159583333333334</v>
      </c>
      <c r="K74" s="932"/>
      <c r="L74" s="824"/>
      <c r="O74" s="851"/>
    </row>
    <row r="75" spans="1:15">
      <c r="A75" s="1503" t="s">
        <v>194</v>
      </c>
      <c r="B75" s="1504"/>
      <c r="C75" s="1505"/>
      <c r="D75" s="844" t="s">
        <v>187</v>
      </c>
      <c r="E75" s="845">
        <f>'23'!F75</f>
        <v>7331</v>
      </c>
      <c r="F75" s="938">
        <v>7505</v>
      </c>
      <c r="G75" s="846">
        <f t="shared" si="6"/>
        <v>174</v>
      </c>
      <c r="H75" s="847">
        <f>G75+'23'!H75</f>
        <v>3985.78</v>
      </c>
      <c r="I75" s="866"/>
      <c r="J75" s="849">
        <f>H75/DAY(B2)</f>
        <v>166.07416666666668</v>
      </c>
      <c r="K75" s="931"/>
      <c r="L75" s="824"/>
      <c r="O75" s="851"/>
    </row>
    <row r="76" spans="1:15">
      <c r="A76" s="1503" t="s">
        <v>195</v>
      </c>
      <c r="B76" s="1504"/>
      <c r="C76" s="1505"/>
      <c r="D76" s="844" t="s">
        <v>187</v>
      </c>
      <c r="E76" s="845">
        <f>'23'!F76</f>
        <v>3369</v>
      </c>
      <c r="F76" s="937">
        <v>3451</v>
      </c>
      <c r="G76" s="846">
        <f t="shared" si="6"/>
        <v>82</v>
      </c>
      <c r="H76" s="847">
        <f>G76+'23'!H76</f>
        <v>2975.78</v>
      </c>
      <c r="I76" s="909"/>
      <c r="J76" s="849">
        <f>H76/DAY(B2)</f>
        <v>123.99083333333334</v>
      </c>
      <c r="K76" s="931"/>
      <c r="L76" s="824"/>
      <c r="O76" s="851"/>
    </row>
    <row r="77" spans="1:15">
      <c r="A77" s="1500" t="s">
        <v>196</v>
      </c>
      <c r="B77" s="1501"/>
      <c r="C77" s="1502"/>
      <c r="D77" s="844" t="s">
        <v>187</v>
      </c>
      <c r="E77" s="845">
        <f>'23'!F77</f>
        <v>699805</v>
      </c>
      <c r="F77" s="937">
        <v>699854</v>
      </c>
      <c r="G77" s="846">
        <f t="shared" si="6"/>
        <v>49</v>
      </c>
      <c r="H77" s="847">
        <f>G77+'23'!H77</f>
        <v>1266</v>
      </c>
      <c r="I77" s="909"/>
      <c r="J77" s="849">
        <f>H77/DAY(B2)</f>
        <v>52.75</v>
      </c>
      <c r="K77" s="931"/>
      <c r="L77" s="824"/>
      <c r="O77" s="851"/>
    </row>
    <row r="78" spans="1:15">
      <c r="A78" s="939" t="s">
        <v>197</v>
      </c>
      <c r="B78" s="1144"/>
      <c r="C78" s="1144"/>
      <c r="D78" s="844" t="s">
        <v>187</v>
      </c>
      <c r="E78" s="845">
        <f>'23'!F78</f>
        <v>662390</v>
      </c>
      <c r="F78" s="938">
        <v>662799</v>
      </c>
      <c r="G78" s="846">
        <f t="shared" si="6"/>
        <v>409</v>
      </c>
      <c r="H78" s="847">
        <f>G78+'23'!H78</f>
        <v>9936</v>
      </c>
      <c r="I78" s="909"/>
      <c r="J78" s="849">
        <f>H78/DAY(B2)</f>
        <v>414</v>
      </c>
      <c r="K78" s="931"/>
      <c r="L78" s="824"/>
      <c r="O78" s="851"/>
    </row>
    <row r="79" spans="1:15">
      <c r="A79" s="1503" t="s">
        <v>92</v>
      </c>
      <c r="B79" s="1504"/>
      <c r="C79" s="1505"/>
      <c r="D79" s="878" t="s">
        <v>187</v>
      </c>
      <c r="E79" s="845">
        <f>'23'!F79</f>
        <v>819724</v>
      </c>
      <c r="F79" s="938">
        <v>819907</v>
      </c>
      <c r="G79" s="846">
        <f t="shared" si="6"/>
        <v>183</v>
      </c>
      <c r="H79" s="847">
        <f>G79+'23'!H79</f>
        <v>7308</v>
      </c>
      <c r="I79" s="909"/>
      <c r="J79" s="849">
        <f>H79/DAY(B2)</f>
        <v>304.5</v>
      </c>
      <c r="K79" s="931"/>
      <c r="L79" s="824"/>
      <c r="O79" s="851"/>
    </row>
    <row r="80" spans="1:15">
      <c r="A80" s="1503" t="s">
        <v>198</v>
      </c>
      <c r="B80" s="1504"/>
      <c r="C80" s="1505"/>
      <c r="D80" s="878" t="s">
        <v>187</v>
      </c>
      <c r="E80" s="845">
        <f>'23'!F80</f>
        <v>502871</v>
      </c>
      <c r="F80" s="1239">
        <v>503279</v>
      </c>
      <c r="G80" s="846">
        <f t="shared" si="6"/>
        <v>408</v>
      </c>
      <c r="H80" s="847">
        <f>G80+'23'!H80</f>
        <v>6665</v>
      </c>
      <c r="I80" s="909"/>
      <c r="J80" s="849">
        <f>H80/DAY(B2)</f>
        <v>277.70833333333331</v>
      </c>
      <c r="K80" s="931"/>
      <c r="L80" s="824"/>
      <c r="O80" s="851"/>
    </row>
    <row r="81" spans="1:15">
      <c r="A81" s="1503" t="s">
        <v>199</v>
      </c>
      <c r="B81" s="1504"/>
      <c r="C81" s="1505"/>
      <c r="D81" s="878" t="s">
        <v>187</v>
      </c>
      <c r="E81" s="845">
        <f>'23'!F81</f>
        <v>628468</v>
      </c>
      <c r="F81" s="937">
        <v>628605</v>
      </c>
      <c r="G81" s="846">
        <f t="shared" si="6"/>
        <v>137</v>
      </c>
      <c r="H81" s="847">
        <f>G81+'23'!H81</f>
        <v>2661.1600000000326</v>
      </c>
      <c r="I81" s="909"/>
      <c r="J81" s="849">
        <f>H81/DAY(B2)</f>
        <v>110.88166666666802</v>
      </c>
      <c r="K81" s="931"/>
      <c r="L81" s="824"/>
      <c r="O81" s="851"/>
    </row>
    <row r="82" spans="1:15">
      <c r="A82" s="1503" t="s">
        <v>93</v>
      </c>
      <c r="B82" s="1504"/>
      <c r="C82" s="1505"/>
      <c r="D82" s="879" t="s">
        <v>132</v>
      </c>
      <c r="E82" s="845">
        <f>'23'!F82</f>
        <v>106710</v>
      </c>
      <c r="F82" s="940">
        <v>106732</v>
      </c>
      <c r="G82" s="846">
        <f t="shared" si="6"/>
        <v>22</v>
      </c>
      <c r="H82" s="847">
        <f>G82+'23'!H82</f>
        <v>529.52000000000407</v>
      </c>
      <c r="I82" s="880"/>
      <c r="J82" s="849">
        <f>H82/DAY(B2)</f>
        <v>22.063333333333503</v>
      </c>
      <c r="K82" s="931"/>
      <c r="L82" s="824"/>
      <c r="O82" s="851"/>
    </row>
    <row r="83" spans="1:15">
      <c r="A83" s="1503" t="s">
        <v>200</v>
      </c>
      <c r="B83" s="1504"/>
      <c r="C83" s="1505"/>
      <c r="D83" s="941" t="s">
        <v>132</v>
      </c>
      <c r="E83" s="845">
        <f>'23'!F83</f>
        <v>4677</v>
      </c>
      <c r="F83" s="831">
        <v>4914</v>
      </c>
      <c r="G83" s="846">
        <f>F83-E83</f>
        <v>237</v>
      </c>
      <c r="H83" s="847">
        <f>G83+'23'!H83</f>
        <v>8317</v>
      </c>
      <c r="I83" s="869"/>
      <c r="J83" s="849">
        <f>H83/DAY(B2)</f>
        <v>346.54166666666669</v>
      </c>
      <c r="K83" s="872"/>
      <c r="L83" s="824"/>
      <c r="O83" s="851"/>
    </row>
    <row r="84" spans="1:15">
      <c r="A84" s="942" t="s">
        <v>201</v>
      </c>
      <c r="B84" s="943"/>
      <c r="C84" s="943"/>
      <c r="D84" s="863" t="s">
        <v>132</v>
      </c>
      <c r="E84" s="845">
        <f>'23'!F84</f>
        <v>448227</v>
      </c>
      <c r="F84" s="944">
        <v>448965</v>
      </c>
      <c r="G84" s="846">
        <f t="shared" si="6"/>
        <v>738</v>
      </c>
      <c r="H84" s="847">
        <f>G84+'23'!H84</f>
        <v>18167</v>
      </c>
      <c r="I84" s="869"/>
      <c r="J84" s="849">
        <f>H84/DAY(B2)</f>
        <v>756.95833333333337</v>
      </c>
      <c r="K84" s="945"/>
      <c r="L84" s="824"/>
      <c r="O84" s="851"/>
    </row>
    <row r="85" spans="1:15" s="949" customFormat="1">
      <c r="A85" s="946" t="s">
        <v>202</v>
      </c>
      <c r="B85" s="947"/>
      <c r="C85" s="947"/>
      <c r="D85" s="884"/>
      <c r="E85" s="845">
        <f>'23'!F85</f>
        <v>0</v>
      </c>
      <c r="F85" s="844"/>
      <c r="G85" s="847">
        <f xml:space="preserve"> SUM(G72:G84)</f>
        <v>2544</v>
      </c>
      <c r="H85" s="847">
        <f>G85+'23'!H85</f>
        <v>60970.929999999964</v>
      </c>
      <c r="I85" s="869"/>
      <c r="J85" s="849">
        <f>H85/DAY(B2)</f>
        <v>2540.4554166666653</v>
      </c>
      <c r="K85" s="945"/>
      <c r="L85" s="948"/>
      <c r="N85" s="1016"/>
      <c r="O85" s="851"/>
    </row>
    <row r="86" spans="1:15" s="959" customFormat="1">
      <c r="A86" s="950" t="s">
        <v>94</v>
      </c>
      <c r="B86" s="951"/>
      <c r="C86" s="951"/>
      <c r="D86" s="952" t="s">
        <v>183</v>
      </c>
      <c r="E86" s="845">
        <f>'23'!F86</f>
        <v>453224</v>
      </c>
      <c r="F86" s="953">
        <v>453391</v>
      </c>
      <c r="G86" s="954">
        <f t="shared" si="6"/>
        <v>167</v>
      </c>
      <c r="H86" s="954">
        <f t="shared" ref="H86:H88" si="7">G86</f>
        <v>167</v>
      </c>
      <c r="I86" s="955"/>
      <c r="J86" s="956">
        <f>H86/DAY(B2)</f>
        <v>6.958333333333333</v>
      </c>
      <c r="K86" s="957"/>
      <c r="L86" s="958"/>
      <c r="N86" s="1017"/>
      <c r="O86" s="851"/>
    </row>
    <row r="87" spans="1:15" s="959" customFormat="1">
      <c r="A87" s="950" t="s">
        <v>95</v>
      </c>
      <c r="B87" s="951"/>
      <c r="C87" s="951"/>
      <c r="D87" s="952" t="s">
        <v>183</v>
      </c>
      <c r="E87" s="845">
        <f>'23'!F87</f>
        <v>79894</v>
      </c>
      <c r="F87" s="953">
        <v>79939</v>
      </c>
      <c r="G87" s="954">
        <f t="shared" si="6"/>
        <v>45</v>
      </c>
      <c r="H87" s="954">
        <f t="shared" si="7"/>
        <v>45</v>
      </c>
      <c r="I87" s="955"/>
      <c r="J87" s="956">
        <f>H87/DAY(B2)</f>
        <v>1.875</v>
      </c>
      <c r="K87" s="957"/>
      <c r="L87" s="958"/>
      <c r="N87" s="1017"/>
      <c r="O87" s="851"/>
    </row>
    <row r="88" spans="1:15" s="959" customFormat="1">
      <c r="A88" s="950" t="s">
        <v>96</v>
      </c>
      <c r="B88" s="951"/>
      <c r="C88" s="951"/>
      <c r="D88" s="952" t="s">
        <v>183</v>
      </c>
      <c r="E88" s="845">
        <f>'23'!F88</f>
        <v>150034</v>
      </c>
      <c r="F88" s="953">
        <v>150114</v>
      </c>
      <c r="G88" s="954">
        <f t="shared" si="6"/>
        <v>80</v>
      </c>
      <c r="H88" s="954">
        <f t="shared" si="7"/>
        <v>80</v>
      </c>
      <c r="I88" s="955"/>
      <c r="J88" s="956">
        <f>H88/DAY(B2)</f>
        <v>3.3333333333333335</v>
      </c>
      <c r="K88" s="957"/>
      <c r="L88" s="958"/>
      <c r="N88" s="1017"/>
      <c r="O88" s="851"/>
    </row>
    <row r="89" spans="1:15" s="959" customFormat="1">
      <c r="A89" s="950" t="s">
        <v>204</v>
      </c>
      <c r="B89" s="951"/>
      <c r="C89" s="951"/>
      <c r="D89" s="952" t="s">
        <v>183</v>
      </c>
      <c r="E89" s="845">
        <f>'23'!F89</f>
        <v>63176</v>
      </c>
      <c r="F89" s="953">
        <v>63238</v>
      </c>
      <c r="G89" s="954">
        <f t="shared" si="6"/>
        <v>62</v>
      </c>
      <c r="H89" s="954">
        <f>G89</f>
        <v>62</v>
      </c>
      <c r="I89" s="955"/>
      <c r="J89" s="956">
        <f>H89/DAY(B2)</f>
        <v>2.5833333333333335</v>
      </c>
      <c r="K89" s="957"/>
      <c r="L89" s="958"/>
      <c r="N89" s="1018"/>
      <c r="O89" s="851"/>
    </row>
    <row r="90" spans="1:15" s="959" customFormat="1">
      <c r="A90" s="950" t="s">
        <v>204</v>
      </c>
      <c r="B90" s="951"/>
      <c r="C90" s="951"/>
      <c r="D90" s="952" t="s">
        <v>183</v>
      </c>
      <c r="E90" s="845">
        <f>'23'!F90</f>
        <v>3254</v>
      </c>
      <c r="F90" s="953">
        <v>3258</v>
      </c>
      <c r="G90" s="954">
        <f t="shared" si="6"/>
        <v>4</v>
      </c>
      <c r="H90" s="954">
        <f>G90</f>
        <v>4</v>
      </c>
      <c r="I90" s="955"/>
      <c r="J90" s="956">
        <f>H90/DAY(B2)</f>
        <v>0.16666666666666666</v>
      </c>
      <c r="K90" s="957"/>
      <c r="L90" s="958"/>
      <c r="N90" s="1018"/>
      <c r="O90" s="851"/>
    </row>
    <row r="91" spans="1:15" s="949" customFormat="1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/>
    </row>
    <row r="92" spans="1:15">
      <c r="A92" s="1494" t="s">
        <v>206</v>
      </c>
      <c r="B92" s="1495"/>
      <c r="C92" s="1496"/>
      <c r="D92" s="844" t="s">
        <v>144</v>
      </c>
      <c r="E92" s="845">
        <f>'23'!F92</f>
        <v>241784</v>
      </c>
      <c r="F92" s="875">
        <v>241863</v>
      </c>
      <c r="G92" s="846">
        <f t="shared" ref="G92:G93" si="8">F92-E92</f>
        <v>79</v>
      </c>
      <c r="H92" s="847">
        <f>G92+'23'!H92</f>
        <v>2168</v>
      </c>
      <c r="I92" s="866"/>
      <c r="J92" s="849">
        <f>H92/DAY(B2)</f>
        <v>90.333333333333329</v>
      </c>
      <c r="K92" s="872"/>
      <c r="L92" s="824"/>
      <c r="O92" s="851"/>
    </row>
    <row r="93" spans="1:15">
      <c r="A93" s="1494" t="s">
        <v>207</v>
      </c>
      <c r="B93" s="1495"/>
      <c r="C93" s="1496"/>
      <c r="D93" s="844" t="s">
        <v>144</v>
      </c>
      <c r="E93" s="845">
        <f>'23'!F93</f>
        <v>178537</v>
      </c>
      <c r="F93" s="875">
        <v>178651</v>
      </c>
      <c r="G93" s="846">
        <f t="shared" si="8"/>
        <v>114</v>
      </c>
      <c r="H93" s="847">
        <f>G93+'23'!H93</f>
        <v>2990</v>
      </c>
      <c r="I93" s="866"/>
      <c r="J93" s="849">
        <f>H93/DAY(B2)</f>
        <v>124.58333333333333</v>
      </c>
      <c r="K93" s="945"/>
      <c r="L93" s="824"/>
      <c r="O93" s="851"/>
    </row>
    <row r="94" spans="1:15">
      <c r="A94" s="1512" t="s">
        <v>208</v>
      </c>
      <c r="B94" s="1513"/>
      <c r="C94" s="1514"/>
      <c r="D94" s="844"/>
      <c r="E94" s="845">
        <f>'23'!F94</f>
        <v>0</v>
      </c>
      <c r="F94" s="875"/>
      <c r="G94" s="846">
        <f>G92+G93</f>
        <v>193</v>
      </c>
      <c r="H94" s="847">
        <f>G94+'23'!H94</f>
        <v>4892</v>
      </c>
      <c r="I94" s="866"/>
      <c r="J94" s="849">
        <f>H94/DAY(B2)</f>
        <v>203.83333333333334</v>
      </c>
      <c r="K94" s="945"/>
      <c r="L94" s="824"/>
      <c r="O94" s="851"/>
    </row>
    <row r="95" spans="1:15">
      <c r="A95" s="1494" t="s">
        <v>209</v>
      </c>
      <c r="B95" s="1495"/>
      <c r="C95" s="1496"/>
      <c r="D95" s="844" t="s">
        <v>144</v>
      </c>
      <c r="E95" s="845">
        <f>'23'!F95</f>
        <v>410079</v>
      </c>
      <c r="F95" s="875">
        <v>410164</v>
      </c>
      <c r="G95" s="846">
        <f t="shared" ref="G95:G100" si="9">F95-E95</f>
        <v>85</v>
      </c>
      <c r="H95" s="847">
        <f>G95+'23'!H95</f>
        <v>2008</v>
      </c>
      <c r="I95" s="866"/>
      <c r="J95" s="849">
        <f>H95/DAY(B2)</f>
        <v>83.666666666666671</v>
      </c>
      <c r="K95" s="945"/>
      <c r="L95" s="824"/>
      <c r="O95" s="851"/>
    </row>
    <row r="96" spans="1:15">
      <c r="A96" s="873" t="s">
        <v>210</v>
      </c>
      <c r="B96" s="874"/>
      <c r="C96" s="874"/>
      <c r="D96" s="844" t="s">
        <v>144</v>
      </c>
      <c r="E96" s="845">
        <f>'23'!F96</f>
        <v>101684</v>
      </c>
      <c r="F96" s="875">
        <v>101699</v>
      </c>
      <c r="G96" s="846">
        <f t="shared" si="9"/>
        <v>15</v>
      </c>
      <c r="H96" s="847">
        <f>G96+'23'!H96</f>
        <v>367</v>
      </c>
      <c r="I96" s="866"/>
      <c r="J96" s="849">
        <f>H96/DAY(B2)</f>
        <v>15.291666666666666</v>
      </c>
      <c r="K96" s="841"/>
      <c r="L96" s="824"/>
      <c r="O96" s="851"/>
    </row>
    <row r="97" spans="1:15">
      <c r="A97" s="873" t="s">
        <v>211</v>
      </c>
      <c r="B97" s="874"/>
      <c r="C97" s="874"/>
      <c r="D97" s="844" t="s">
        <v>144</v>
      </c>
      <c r="E97" s="845">
        <f>'23'!F97</f>
        <v>96744</v>
      </c>
      <c r="F97" s="875">
        <v>96757</v>
      </c>
      <c r="G97" s="846">
        <f t="shared" si="9"/>
        <v>13</v>
      </c>
      <c r="H97" s="847">
        <f>G97+'23'!H97</f>
        <v>308</v>
      </c>
      <c r="I97" s="866"/>
      <c r="J97" s="849">
        <f>H97/DAY(B2)</f>
        <v>12.833333333333334</v>
      </c>
      <c r="K97" s="961"/>
      <c r="L97" s="824"/>
      <c r="O97" s="851"/>
    </row>
    <row r="98" spans="1:15">
      <c r="A98" s="873" t="s">
        <v>212</v>
      </c>
      <c r="B98" s="874"/>
      <c r="C98" s="874"/>
      <c r="D98" s="844" t="s">
        <v>144</v>
      </c>
      <c r="E98" s="845">
        <f>'23'!F98</f>
        <v>148629</v>
      </c>
      <c r="F98" s="875">
        <v>148687</v>
      </c>
      <c r="G98" s="846">
        <f t="shared" si="9"/>
        <v>58</v>
      </c>
      <c r="H98" s="847">
        <f>G98+'23'!H98</f>
        <v>1079</v>
      </c>
      <c r="I98" s="866"/>
      <c r="J98" s="849">
        <f>H98/DAY(B2)</f>
        <v>44.958333333333336</v>
      </c>
      <c r="K98" s="945"/>
      <c r="L98" s="824"/>
      <c r="O98" s="851"/>
    </row>
    <row r="99" spans="1:15">
      <c r="A99" s="873" t="s">
        <v>213</v>
      </c>
      <c r="B99" s="874"/>
      <c r="C99" s="874"/>
      <c r="D99" s="844" t="s">
        <v>144</v>
      </c>
      <c r="E99" s="845">
        <f>'23'!F99</f>
        <v>6714</v>
      </c>
      <c r="F99" s="875">
        <v>6722</v>
      </c>
      <c r="G99" s="846">
        <f t="shared" si="9"/>
        <v>8</v>
      </c>
      <c r="H99" s="847">
        <f>G99+'23'!H99</f>
        <v>314</v>
      </c>
      <c r="I99" s="866"/>
      <c r="J99" s="849">
        <f>H99/DAY(B2)</f>
        <v>13.083333333333334</v>
      </c>
      <c r="K99" s="945"/>
      <c r="L99" s="824"/>
      <c r="O99" s="851"/>
    </row>
    <row r="100" spans="1:15">
      <c r="A100" s="873" t="s">
        <v>214</v>
      </c>
      <c r="B100" s="874"/>
      <c r="C100" s="874"/>
      <c r="D100" s="844" t="s">
        <v>144</v>
      </c>
      <c r="E100" s="845">
        <f>'23'!F100</f>
        <v>4827</v>
      </c>
      <c r="F100" s="875">
        <v>4841</v>
      </c>
      <c r="G100" s="846">
        <f t="shared" si="9"/>
        <v>14</v>
      </c>
      <c r="H100" s="847">
        <f>G100+'23'!H100</f>
        <v>298</v>
      </c>
      <c r="I100" s="866"/>
      <c r="J100" s="849">
        <f>H100/DAY(B2)</f>
        <v>12.416666666666666</v>
      </c>
      <c r="K100" s="945"/>
      <c r="L100" s="824"/>
      <c r="O100" s="851"/>
    </row>
    <row r="101" spans="1:15">
      <c r="A101" s="1512" t="s">
        <v>216</v>
      </c>
      <c r="B101" s="1513"/>
      <c r="C101" s="1514"/>
      <c r="D101" s="878"/>
      <c r="E101" s="878"/>
      <c r="F101" s="878"/>
      <c r="G101" s="962">
        <f>SUM(G95:G100)</f>
        <v>193</v>
      </c>
      <c r="H101" s="847">
        <f>G101+'23'!H101</f>
        <v>4374</v>
      </c>
      <c r="I101" s="963"/>
      <c r="J101" s="849">
        <f>H101/DAY(B2)</f>
        <v>182.25</v>
      </c>
      <c r="K101" s="945"/>
      <c r="L101" s="824"/>
      <c r="O101" s="851"/>
    </row>
    <row r="102" spans="1:15" s="896" customFormat="1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/>
    </row>
    <row r="103" spans="1:15" s="896" customFormat="1">
      <c r="A103" s="1523" t="s">
        <v>218</v>
      </c>
      <c r="B103" s="1524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/>
    </row>
    <row r="104" spans="1:15" s="896" customFormat="1">
      <c r="A104" s="1525" t="s">
        <v>219</v>
      </c>
      <c r="B104" s="1526"/>
      <c r="C104" s="978"/>
      <c r="D104" s="974" t="s">
        <v>144</v>
      </c>
      <c r="E104" s="975">
        <f>'23'!F104</f>
        <v>7284</v>
      </c>
      <c r="F104" s="975">
        <v>7287</v>
      </c>
      <c r="G104" s="975">
        <f>F104-E104</f>
        <v>3</v>
      </c>
      <c r="H104" s="976">
        <f>SUM(G104+'1'!G76)</f>
        <v>82.150000000000091</v>
      </c>
      <c r="I104" s="975"/>
      <c r="J104" s="977">
        <f>H104/DAY(B2)</f>
        <v>3.4229166666666706</v>
      </c>
      <c r="N104" s="1014"/>
      <c r="O104" s="851"/>
    </row>
    <row r="105" spans="1:15" s="896" customFormat="1">
      <c r="A105" s="1525" t="s">
        <v>77</v>
      </c>
      <c r="B105" s="1526"/>
      <c r="C105" s="978"/>
      <c r="D105" s="974" t="s">
        <v>144</v>
      </c>
      <c r="E105" s="975">
        <f>'23'!F105</f>
        <v>35587</v>
      </c>
      <c r="F105" s="979">
        <v>35594</v>
      </c>
      <c r="G105" s="975">
        <f t="shared" ref="G105:G106" si="10">F105-E105</f>
        <v>7</v>
      </c>
      <c r="H105" s="976">
        <f>SUM(G105+'1'!G77)</f>
        <v>52</v>
      </c>
      <c r="I105" s="975"/>
      <c r="J105" s="977">
        <f>H105/DAY(B2)</f>
        <v>2.1666666666666665</v>
      </c>
      <c r="N105" s="1014"/>
      <c r="O105" s="851"/>
    </row>
    <row r="106" spans="1:15" s="896" customFormat="1">
      <c r="A106" s="1525" t="s">
        <v>78</v>
      </c>
      <c r="B106" s="1527"/>
      <c r="C106" s="1526"/>
      <c r="D106" s="974" t="s">
        <v>144</v>
      </c>
      <c r="E106" s="975">
        <f>'23'!F106</f>
        <v>19374</v>
      </c>
      <c r="F106" s="975">
        <v>19381</v>
      </c>
      <c r="G106" s="975">
        <f t="shared" si="10"/>
        <v>7</v>
      </c>
      <c r="H106" s="976">
        <f>SUM(G106+'1'!G78)</f>
        <v>397</v>
      </c>
      <c r="I106" s="975"/>
      <c r="J106" s="977">
        <f>H106/DAY(B2)</f>
        <v>16.541666666666668</v>
      </c>
      <c r="N106" s="1014"/>
      <c r="O106" s="851"/>
    </row>
    <row r="107" spans="1:15" s="896" customFormat="1">
      <c r="A107" s="1528" t="s">
        <v>202</v>
      </c>
      <c r="B107" s="1529"/>
      <c r="C107" s="978"/>
      <c r="D107" s="974"/>
      <c r="E107" s="975"/>
      <c r="F107" s="975"/>
      <c r="G107" s="975">
        <f>SUM(G104:G106)</f>
        <v>17</v>
      </c>
      <c r="H107" s="976">
        <f>SUM(G107+'1'!G79)</f>
        <v>209</v>
      </c>
      <c r="I107" s="975"/>
      <c r="J107" s="977">
        <f>H107/DAY(B2)</f>
        <v>8.7083333333333339</v>
      </c>
      <c r="N107" s="1014"/>
      <c r="O107" s="851"/>
    </row>
    <row r="108" spans="1:15" s="896" customFormat="1">
      <c r="A108" s="1530" t="s">
        <v>79</v>
      </c>
      <c r="B108" s="1531"/>
      <c r="C108" s="978"/>
      <c r="D108" s="974" t="s">
        <v>144</v>
      </c>
      <c r="E108" s="975">
        <f>'23'!F108</f>
        <v>0</v>
      </c>
      <c r="F108" s="975"/>
      <c r="G108" s="975"/>
      <c r="H108" s="976"/>
      <c r="I108" s="975"/>
      <c r="J108" s="977"/>
      <c r="N108" s="1014"/>
      <c r="O108" s="851"/>
    </row>
    <row r="109" spans="1:15" s="896" customFormat="1">
      <c r="A109" s="1525" t="s">
        <v>220</v>
      </c>
      <c r="B109" s="1526"/>
      <c r="C109" s="978"/>
      <c r="D109" s="974" t="s">
        <v>144</v>
      </c>
      <c r="E109" s="975">
        <f>'23'!F109</f>
        <v>58132</v>
      </c>
      <c r="F109" s="975">
        <v>58195</v>
      </c>
      <c r="G109" s="975">
        <f>F109-E109</f>
        <v>63</v>
      </c>
      <c r="H109" s="976">
        <f>SUM(G109+'1'!G81)</f>
        <v>175.56000000005588</v>
      </c>
      <c r="I109" s="975"/>
      <c r="J109" s="977">
        <f>H109/DAY(B2)</f>
        <v>7.3150000000023283</v>
      </c>
      <c r="N109" s="1014"/>
      <c r="O109" s="851"/>
    </row>
    <row r="110" spans="1:15" s="896" customFormat="1">
      <c r="A110" s="1525" t="s">
        <v>221</v>
      </c>
      <c r="B110" s="1526"/>
      <c r="C110" s="978"/>
      <c r="D110" s="974" t="s">
        <v>144</v>
      </c>
      <c r="E110" s="975">
        <f>'23'!F110</f>
        <v>31451</v>
      </c>
      <c r="F110" s="975">
        <v>31489</v>
      </c>
      <c r="G110" s="975">
        <f t="shared" ref="G110:G111" si="11">F110-E110</f>
        <v>38</v>
      </c>
      <c r="H110" s="976">
        <f>SUM(G110+'1'!G82)</f>
        <v>56.169999999998254</v>
      </c>
      <c r="I110" s="975"/>
      <c r="J110" s="977">
        <f>H110/DAY(B2)</f>
        <v>2.3404166666665938</v>
      </c>
      <c r="N110" s="1014"/>
      <c r="O110" s="851"/>
    </row>
    <row r="111" spans="1:15" s="896" customFormat="1">
      <c r="A111" s="1525" t="s">
        <v>222</v>
      </c>
      <c r="B111" s="1526"/>
      <c r="C111" s="978"/>
      <c r="D111" s="974" t="s">
        <v>144</v>
      </c>
      <c r="E111" s="975">
        <f>'23'!F111</f>
        <v>4117</v>
      </c>
      <c r="F111" s="975">
        <v>4117</v>
      </c>
      <c r="G111" s="975">
        <f t="shared" si="11"/>
        <v>0</v>
      </c>
      <c r="H111" s="976">
        <f>SUM(G111+'1'!G83)</f>
        <v>520</v>
      </c>
      <c r="I111" s="975"/>
      <c r="J111" s="977">
        <f>H111/DAY(B2)</f>
        <v>21.666666666666668</v>
      </c>
      <c r="N111" s="1014"/>
      <c r="O111" s="851"/>
    </row>
    <row r="112" spans="1:15" s="896" customFormat="1">
      <c r="A112" s="1532" t="s">
        <v>110</v>
      </c>
      <c r="B112" s="1533"/>
      <c r="C112" s="978"/>
      <c r="D112" s="974"/>
      <c r="E112" s="975">
        <f>'23'!F112</f>
        <v>0</v>
      </c>
      <c r="F112" s="975"/>
      <c r="G112" s="975">
        <f>SUM(G109:G111)</f>
        <v>101</v>
      </c>
      <c r="H112" s="976">
        <f>SUM(G112+'1'!G84)</f>
        <v>791</v>
      </c>
      <c r="I112" s="975"/>
      <c r="J112" s="977">
        <f>H112/DAY(B2)</f>
        <v>32.958333333333336</v>
      </c>
      <c r="N112" s="1014"/>
      <c r="O112" s="851"/>
    </row>
    <row r="113" spans="1:15" s="896" customFormat="1">
      <c r="A113" s="1530" t="s">
        <v>223</v>
      </c>
      <c r="B113" s="1531"/>
      <c r="C113" s="978"/>
      <c r="D113" s="974"/>
      <c r="E113" s="975"/>
      <c r="F113" s="975"/>
      <c r="G113" s="975"/>
      <c r="H113" s="976"/>
      <c r="I113" s="975"/>
      <c r="J113" s="977">
        <f>H113/DAY(B2)</f>
        <v>0</v>
      </c>
      <c r="N113" s="1014"/>
      <c r="O113" s="851"/>
    </row>
    <row r="114" spans="1:15" s="896" customFormat="1">
      <c r="A114" s="1525" t="s">
        <v>224</v>
      </c>
      <c r="B114" s="1526"/>
      <c r="C114" s="980"/>
      <c r="D114" s="974" t="s">
        <v>144</v>
      </c>
      <c r="E114" s="975">
        <f>'23'!F114</f>
        <v>10691</v>
      </c>
      <c r="F114" s="979">
        <v>10701</v>
      </c>
      <c r="G114" s="979">
        <f>F114-E114</f>
        <v>10</v>
      </c>
      <c r="H114" s="976">
        <f>SUM(G114+'1'!G91)</f>
        <v>10</v>
      </c>
      <c r="I114" s="975"/>
      <c r="J114" s="977">
        <f>H114/DAY(B2)</f>
        <v>0.41666666666666669</v>
      </c>
      <c r="N114" s="1014"/>
      <c r="O114" s="851"/>
    </row>
    <row r="115" spans="1:15" s="896" customFormat="1">
      <c r="A115" s="1525" t="s">
        <v>225</v>
      </c>
      <c r="B115" s="1526"/>
      <c r="C115" s="980"/>
      <c r="D115" s="974" t="s">
        <v>144</v>
      </c>
      <c r="E115" s="975">
        <f>'23'!F115</f>
        <v>7885</v>
      </c>
      <c r="F115" s="979">
        <v>7898</v>
      </c>
      <c r="G115" s="979">
        <f t="shared" ref="G115:G116" si="12">F115-E115</f>
        <v>13</v>
      </c>
      <c r="H115" s="976">
        <f>SUM(G115+'1'!G92)</f>
        <v>135</v>
      </c>
      <c r="I115" s="975"/>
      <c r="J115" s="977">
        <f>H115/DAY(B2)</f>
        <v>5.625</v>
      </c>
      <c r="N115" s="1014"/>
      <c r="O115" s="851"/>
    </row>
    <row r="116" spans="1:15" s="896" customFormat="1">
      <c r="A116" s="1525" t="s">
        <v>226</v>
      </c>
      <c r="B116" s="1526"/>
      <c r="C116" s="980"/>
      <c r="D116" s="974" t="s">
        <v>144</v>
      </c>
      <c r="E116" s="979"/>
      <c r="F116" s="979"/>
      <c r="G116" s="979">
        <f t="shared" si="12"/>
        <v>0</v>
      </c>
      <c r="H116" s="976">
        <f>SUM(G116+'1'!G93)</f>
        <v>144</v>
      </c>
      <c r="I116" s="975"/>
      <c r="J116" s="977">
        <f>H116/DAY(B2)</f>
        <v>6</v>
      </c>
      <c r="N116" s="1014"/>
      <c r="O116" s="851"/>
    </row>
    <row r="117" spans="1:15" s="982" customFormat="1">
      <c r="A117" s="1528" t="s">
        <v>202</v>
      </c>
      <c r="B117" s="1529"/>
      <c r="C117" s="980"/>
      <c r="D117" s="981"/>
      <c r="E117" s="979"/>
      <c r="F117" s="979"/>
      <c r="G117" s="979">
        <f>SUM(G114:G116)</f>
        <v>23</v>
      </c>
      <c r="H117" s="976">
        <f>SUM(G117+'1'!G95)</f>
        <v>99</v>
      </c>
      <c r="I117" s="979"/>
      <c r="J117" s="977">
        <f>H117/DAY(B2)</f>
        <v>4.125</v>
      </c>
      <c r="N117" s="1019"/>
      <c r="O117" s="851"/>
    </row>
    <row r="118" spans="1:15" s="774" customFormat="1">
      <c r="A118" s="1534" t="s">
        <v>227</v>
      </c>
      <c r="B118" s="1535"/>
      <c r="C118" s="983"/>
      <c r="D118" s="984" t="s">
        <v>144</v>
      </c>
      <c r="E118" s="985"/>
      <c r="F118" s="986"/>
      <c r="G118" s="986">
        <f>SUM(G19+G92)</f>
        <v>133</v>
      </c>
      <c r="H118" s="976">
        <f>SUM(G118+'1'!G96)</f>
        <v>146</v>
      </c>
      <c r="I118" s="985"/>
      <c r="J118" s="987">
        <f>H118/DAY(B2)</f>
        <v>6.083333333333333</v>
      </c>
      <c r="N118" s="1020"/>
      <c r="O118" s="851"/>
    </row>
    <row r="119" spans="1:15" s="774" customFormat="1">
      <c r="A119" s="1534" t="s">
        <v>228</v>
      </c>
      <c r="B119" s="1535"/>
      <c r="C119" s="983"/>
      <c r="D119" s="984" t="s">
        <v>144</v>
      </c>
      <c r="E119" s="985"/>
      <c r="F119" s="986"/>
      <c r="G119" s="986">
        <f>SUM(G95,G96,G97,G99,G100)</f>
        <v>135</v>
      </c>
      <c r="H119" s="976">
        <f>SUM(G119+'1'!G98)</f>
        <v>205</v>
      </c>
      <c r="I119" s="985"/>
      <c r="J119" s="987">
        <f>H119/DAY(B2)</f>
        <v>8.5416666666666661</v>
      </c>
      <c r="N119" s="1020"/>
      <c r="O119" s="851"/>
    </row>
    <row r="120" spans="1:15" s="774" customFormat="1">
      <c r="A120" s="1534" t="s">
        <v>229</v>
      </c>
      <c r="B120" s="1535"/>
      <c r="C120" s="983"/>
      <c r="D120" s="984" t="s">
        <v>144</v>
      </c>
      <c r="E120" s="985"/>
      <c r="F120" s="979"/>
      <c r="G120" s="979">
        <f>SUM(G112)</f>
        <v>101</v>
      </c>
      <c r="H120" s="976">
        <f>SUM(G120+'1'!G100)</f>
        <v>115</v>
      </c>
      <c r="I120" s="985"/>
      <c r="J120" s="987">
        <f>H120/DAY(B2)</f>
        <v>4.791666666666667</v>
      </c>
      <c r="N120" s="1020"/>
      <c r="O120" s="851"/>
    </row>
    <row r="121" spans="1:15" s="896" customFormat="1">
      <c r="A121" s="1536"/>
      <c r="B121" s="1537"/>
      <c r="C121" s="978"/>
      <c r="D121" s="973"/>
      <c r="E121" s="973"/>
      <c r="F121" s="973"/>
      <c r="G121" s="973"/>
      <c r="H121" s="988"/>
      <c r="I121" s="973"/>
      <c r="J121" s="989"/>
      <c r="N121" s="1014"/>
      <c r="O121" s="851"/>
    </row>
    <row r="122" spans="1:15">
      <c r="A122" s="1515" t="s">
        <v>230</v>
      </c>
      <c r="B122" s="1516"/>
      <c r="C122" s="1517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/>
    </row>
    <row r="123" spans="1:15">
      <c r="A123" s="873" t="s">
        <v>231</v>
      </c>
      <c r="B123" s="874"/>
      <c r="C123" s="874"/>
      <c r="D123" s="844" t="s">
        <v>141</v>
      </c>
      <c r="E123" s="845">
        <f>'23'!F123</f>
        <v>816886</v>
      </c>
      <c r="F123" s="863">
        <v>816987</v>
      </c>
      <c r="G123" s="846">
        <f t="shared" ref="G123:G127" si="13">F123-E123</f>
        <v>101</v>
      </c>
      <c r="H123" s="847">
        <f>G123+'23'!H123</f>
        <v>5980.1600000000326</v>
      </c>
      <c r="I123" s="963"/>
      <c r="J123" s="849">
        <f>H123/DAY(B2)</f>
        <v>249.17333333333468</v>
      </c>
      <c r="K123" s="945"/>
      <c r="L123" s="824"/>
      <c r="O123" s="851"/>
    </row>
    <row r="124" spans="1:15">
      <c r="A124" s="873" t="s">
        <v>232</v>
      </c>
      <c r="B124" s="874"/>
      <c r="C124" s="874"/>
      <c r="D124" s="844" t="s">
        <v>141</v>
      </c>
      <c r="E124" s="845">
        <f>'23'!F124</f>
        <v>73583</v>
      </c>
      <c r="F124" s="991">
        <v>73583</v>
      </c>
      <c r="G124" s="846">
        <f t="shared" si="13"/>
        <v>0</v>
      </c>
      <c r="H124" s="847">
        <f>G124+'23'!H124</f>
        <v>-0.39999999999417923</v>
      </c>
      <c r="I124" s="963"/>
      <c r="J124" s="849">
        <f>H124/DAY(B2)</f>
        <v>-1.6666666666424135E-2</v>
      </c>
      <c r="K124" s="945"/>
      <c r="L124" s="824"/>
      <c r="O124" s="851"/>
    </row>
    <row r="125" spans="1:15">
      <c r="A125" s="1500" t="s">
        <v>233</v>
      </c>
      <c r="B125" s="1501"/>
      <c r="C125" s="1502"/>
      <c r="D125" s="844" t="s">
        <v>141</v>
      </c>
      <c r="E125" s="845">
        <f>'23'!F125</f>
        <v>141525</v>
      </c>
      <c r="F125" s="863">
        <v>141548.57999999999</v>
      </c>
      <c r="G125" s="846">
        <f t="shared" si="13"/>
        <v>23.579999999987194</v>
      </c>
      <c r="H125" s="847">
        <f>G125+'23'!H125</f>
        <v>1569.2399999999907</v>
      </c>
      <c r="I125" s="963"/>
      <c r="J125" s="849">
        <f>H125/DAY(B2)</f>
        <v>65.384999999999607</v>
      </c>
      <c r="K125" s="945"/>
      <c r="L125" s="824"/>
      <c r="O125" s="851"/>
    </row>
    <row r="126" spans="1:15">
      <c r="A126" s="992" t="s">
        <v>234</v>
      </c>
      <c r="B126" s="874"/>
      <c r="C126" s="874"/>
      <c r="D126" s="844" t="s">
        <v>141</v>
      </c>
      <c r="E126" s="845">
        <f>'23'!F126</f>
        <v>59820</v>
      </c>
      <c r="F126" s="991">
        <v>59823</v>
      </c>
      <c r="G126" s="846">
        <f t="shared" si="13"/>
        <v>3</v>
      </c>
      <c r="H126" s="847">
        <f>G126+'23'!H126</f>
        <v>516.09999999999854</v>
      </c>
      <c r="I126" s="963"/>
      <c r="J126" s="849">
        <f>H126/DAY(B2)</f>
        <v>21.504166666666606</v>
      </c>
      <c r="K126" s="945"/>
      <c r="L126" s="824"/>
      <c r="O126" s="851"/>
    </row>
    <row r="127" spans="1:15">
      <c r="A127" s="992" t="s">
        <v>235</v>
      </c>
      <c r="B127" s="874"/>
      <c r="C127" s="874"/>
      <c r="D127" s="844" t="s">
        <v>141</v>
      </c>
      <c r="E127" s="845">
        <f>'23'!F127</f>
        <v>8944</v>
      </c>
      <c r="F127" s="991">
        <v>8944</v>
      </c>
      <c r="G127" s="846">
        <f t="shared" si="13"/>
        <v>0</v>
      </c>
      <c r="H127" s="847">
        <f>G127+'23'!H127</f>
        <v>56.200000000000728</v>
      </c>
      <c r="I127" s="866"/>
      <c r="J127" s="849">
        <f>H127/DAY(B2)</f>
        <v>2.341666666666697</v>
      </c>
      <c r="K127" s="945"/>
      <c r="L127" s="824"/>
      <c r="O127" s="851"/>
    </row>
    <row r="128" spans="1:15">
      <c r="A128" s="992" t="s">
        <v>236</v>
      </c>
      <c r="B128" s="874"/>
      <c r="C128" s="874"/>
      <c r="D128" s="844"/>
      <c r="E128" s="845"/>
      <c r="F128" s="863"/>
      <c r="G128" s="846">
        <f>G15-SUM(G123:G127)</f>
        <v>168.42000000001281</v>
      </c>
      <c r="H128" s="847">
        <f>G128+'23'!H128</f>
        <v>4311.6609999999528</v>
      </c>
      <c r="I128" s="866"/>
      <c r="J128" s="849">
        <f>H128/DAY(B2)</f>
        <v>179.65254166666469</v>
      </c>
      <c r="K128" s="945"/>
      <c r="L128" s="824"/>
      <c r="O128" s="851"/>
    </row>
    <row r="129" spans="1:15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/>
    </row>
    <row r="130" spans="1:15">
      <c r="A130" s="873" t="s">
        <v>238</v>
      </c>
      <c r="B130" s="874"/>
      <c r="C130" s="874"/>
      <c r="D130" s="844" t="s">
        <v>239</v>
      </c>
      <c r="E130" s="845">
        <f>'23'!F130</f>
        <v>0</v>
      </c>
      <c r="F130" s="875">
        <v>0</v>
      </c>
      <c r="G130" s="846">
        <f t="shared" ref="G130:G140" si="14">F130-E130</f>
        <v>0</v>
      </c>
      <c r="H130" s="847">
        <f>G130+'23'!H130</f>
        <v>0</v>
      </c>
      <c r="I130" s="866"/>
      <c r="J130" s="849">
        <f>H130/DAY(B2)</f>
        <v>0</v>
      </c>
      <c r="O130" s="851"/>
    </row>
    <row r="131" spans="1:15">
      <c r="A131" s="873" t="s">
        <v>240</v>
      </c>
      <c r="B131" s="874"/>
      <c r="C131" s="874"/>
      <c r="D131" s="844" t="s">
        <v>239</v>
      </c>
      <c r="E131" s="845">
        <f>'23'!F131</f>
        <v>0</v>
      </c>
      <c r="F131" s="875">
        <v>0</v>
      </c>
      <c r="G131" s="846">
        <f t="shared" si="14"/>
        <v>0</v>
      </c>
      <c r="H131" s="847">
        <f>G131+'23'!H131</f>
        <v>0</v>
      </c>
      <c r="I131" s="866"/>
      <c r="J131" s="849">
        <f>H131/DAY(B2)</f>
        <v>0</v>
      </c>
      <c r="O131" s="851"/>
    </row>
    <row r="132" spans="1:15">
      <c r="A132" s="873" t="s">
        <v>241</v>
      </c>
      <c r="B132" s="874"/>
      <c r="C132" s="874"/>
      <c r="D132" s="844" t="s">
        <v>239</v>
      </c>
      <c r="E132" s="845">
        <f>'23'!F132</f>
        <v>39341.300000000003</v>
      </c>
      <c r="F132" s="996">
        <v>39365.279999999999</v>
      </c>
      <c r="G132" s="846">
        <f t="shared" si="14"/>
        <v>23.979999999995925</v>
      </c>
      <c r="H132" s="847">
        <f>G132+'23'!H132</f>
        <v>526.94999999999709</v>
      </c>
      <c r="I132" s="866"/>
      <c r="J132" s="849">
        <f>H132/DAY(B2)</f>
        <v>21.95624999999988</v>
      </c>
      <c r="O132" s="851"/>
    </row>
    <row r="133" spans="1:15">
      <c r="A133" s="873" t="s">
        <v>242</v>
      </c>
      <c r="B133" s="874"/>
      <c r="C133" s="874"/>
      <c r="D133" s="844" t="s">
        <v>239</v>
      </c>
      <c r="E133" s="845">
        <f>'23'!F133</f>
        <v>299.52</v>
      </c>
      <c r="F133" s="996">
        <v>299.52</v>
      </c>
      <c r="G133" s="846">
        <f t="shared" si="14"/>
        <v>0</v>
      </c>
      <c r="H133" s="847">
        <f>G133+'23'!H133</f>
        <v>-0.48000000000001819</v>
      </c>
      <c r="I133" s="866">
        <f>G130+G131+G132+G133</f>
        <v>23.979999999995925</v>
      </c>
      <c r="J133" s="849">
        <f>H133/DAY(B2)</f>
        <v>-2.0000000000000757E-2</v>
      </c>
      <c r="O133" s="851"/>
    </row>
    <row r="134" spans="1:15">
      <c r="A134" s="873" t="s">
        <v>243</v>
      </c>
      <c r="B134" s="874"/>
      <c r="C134" s="874"/>
      <c r="D134" s="844" t="s">
        <v>239</v>
      </c>
      <c r="E134" s="845">
        <f>'23'!F134</f>
        <v>40802</v>
      </c>
      <c r="F134" s="996">
        <v>40802</v>
      </c>
      <c r="G134" s="846">
        <f t="shared" si="14"/>
        <v>0</v>
      </c>
      <c r="H134" s="847">
        <f>G134+'23'!H134</f>
        <v>24</v>
      </c>
      <c r="I134" s="866"/>
      <c r="J134" s="849">
        <f>H134/DAY(B2)</f>
        <v>1</v>
      </c>
      <c r="O134" s="851"/>
    </row>
    <row r="135" spans="1:15">
      <c r="A135" s="873" t="s">
        <v>244</v>
      </c>
      <c r="B135" s="874"/>
      <c r="C135" s="874"/>
      <c r="D135" s="844" t="s">
        <v>239</v>
      </c>
      <c r="E135" s="845">
        <f>'23'!F135</f>
        <v>32582.93</v>
      </c>
      <c r="F135" s="996">
        <v>32582.93</v>
      </c>
      <c r="G135" s="846">
        <f t="shared" si="14"/>
        <v>0</v>
      </c>
      <c r="H135" s="847">
        <f>G135+'23'!H135</f>
        <v>13</v>
      </c>
      <c r="I135" s="866"/>
      <c r="J135" s="849">
        <f>H135/DAY(B2)</f>
        <v>0.54166666666666663</v>
      </c>
      <c r="O135" s="851"/>
    </row>
    <row r="136" spans="1:15">
      <c r="A136" s="873" t="s">
        <v>245</v>
      </c>
      <c r="B136" s="874"/>
      <c r="C136" s="874"/>
      <c r="D136" s="844" t="s">
        <v>239</v>
      </c>
      <c r="E136" s="845">
        <f>'23'!F136</f>
        <v>22418.85</v>
      </c>
      <c r="F136" s="996">
        <v>22422.25</v>
      </c>
      <c r="G136" s="846">
        <f t="shared" si="14"/>
        <v>3.4000000000014552</v>
      </c>
      <c r="H136" s="847">
        <f>G136+'23'!H136</f>
        <v>200.04000000000087</v>
      </c>
      <c r="I136" s="866">
        <f>G134+G135+G136</f>
        <v>3.4000000000014552</v>
      </c>
      <c r="J136" s="849">
        <f>H136/DAY(B2)</f>
        <v>8.3350000000000364</v>
      </c>
      <c r="O136" s="851"/>
    </row>
    <row r="137" spans="1:15">
      <c r="A137" s="873" t="s">
        <v>246</v>
      </c>
      <c r="B137" s="874"/>
      <c r="C137" s="874"/>
      <c r="D137" s="844" t="s">
        <v>239</v>
      </c>
      <c r="E137" s="845">
        <f>'23'!F137</f>
        <v>25044.31</v>
      </c>
      <c r="F137" s="996">
        <v>25048.97</v>
      </c>
      <c r="G137" s="846">
        <f t="shared" si="14"/>
        <v>4.6599999999998545</v>
      </c>
      <c r="H137" s="847">
        <f>G137+'23'!H137</f>
        <v>12.659999999999854</v>
      </c>
      <c r="I137" s="866"/>
      <c r="J137" s="849">
        <f>H137/DAY(B2)</f>
        <v>0.52749999999999397</v>
      </c>
      <c r="O137" s="851"/>
    </row>
    <row r="138" spans="1:15">
      <c r="A138" s="873" t="s">
        <v>247</v>
      </c>
      <c r="B138" s="874"/>
      <c r="C138" s="874"/>
      <c r="D138" s="844" t="s">
        <v>239</v>
      </c>
      <c r="E138" s="845">
        <f>'23'!F138</f>
        <v>70238</v>
      </c>
      <c r="F138" s="996">
        <v>70238</v>
      </c>
      <c r="G138" s="846">
        <f t="shared" si="14"/>
        <v>0</v>
      </c>
      <c r="H138" s="847">
        <f>G138+'23'!H138</f>
        <v>15</v>
      </c>
      <c r="I138" s="866">
        <f>G137+G138</f>
        <v>4.6599999999998545</v>
      </c>
      <c r="J138" s="849">
        <f>H138/DAY(B2)</f>
        <v>0.625</v>
      </c>
      <c r="O138" s="851"/>
    </row>
    <row r="139" spans="1:15">
      <c r="A139" s="873" t="s">
        <v>248</v>
      </c>
      <c r="B139" s="874"/>
      <c r="C139" s="874"/>
      <c r="D139" s="844" t="s">
        <v>239</v>
      </c>
      <c r="E139" s="845">
        <f>'23'!F139</f>
        <v>1536.52</v>
      </c>
      <c r="F139" s="875">
        <v>1536.52</v>
      </c>
      <c r="G139" s="846">
        <f t="shared" si="14"/>
        <v>0</v>
      </c>
      <c r="H139" s="847">
        <f>G139+'23'!H139</f>
        <v>113.37999999999988</v>
      </c>
      <c r="I139" s="997"/>
      <c r="J139" s="849">
        <f>H139/DAY(B2)</f>
        <v>4.7241666666666617</v>
      </c>
      <c r="O139" s="851"/>
    </row>
    <row r="140" spans="1:15">
      <c r="A140" s="873" t="s">
        <v>249</v>
      </c>
      <c r="B140" s="874"/>
      <c r="C140" s="874"/>
      <c r="D140" s="844" t="s">
        <v>239</v>
      </c>
      <c r="E140" s="845">
        <f>'23'!F140</f>
        <v>4399.66</v>
      </c>
      <c r="F140" s="875">
        <v>4408.37</v>
      </c>
      <c r="G140" s="846">
        <f t="shared" si="14"/>
        <v>8.7100000000000364</v>
      </c>
      <c r="H140" s="847">
        <f>G140+'23'!H140</f>
        <v>74.369999999999891</v>
      </c>
      <c r="I140" s="997"/>
      <c r="J140" s="849">
        <f>H140/DAY(B2)</f>
        <v>3.0987499999999955</v>
      </c>
      <c r="O140" s="851"/>
    </row>
    <row r="141" spans="1:15">
      <c r="A141" s="1518" t="s">
        <v>250</v>
      </c>
      <c r="B141" s="1519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/>
    </row>
    <row r="142" spans="1:15">
      <c r="A142" s="1494" t="s">
        <v>251</v>
      </c>
      <c r="B142" s="1495"/>
      <c r="C142" s="1496"/>
      <c r="D142" s="844" t="s">
        <v>132</v>
      </c>
      <c r="E142" s="844"/>
      <c r="F142" s="844"/>
      <c r="G142" s="847">
        <f>G35+G43+G49+G57</f>
        <v>5473</v>
      </c>
      <c r="H142" s="847">
        <f>G142+'23'!H142</f>
        <v>137529.48000000004</v>
      </c>
      <c r="I142" s="866"/>
      <c r="J142" s="849">
        <f>H142/DAY(B2)</f>
        <v>5730.3950000000013</v>
      </c>
      <c r="K142" s="945"/>
      <c r="L142" s="824"/>
      <c r="O142" s="851"/>
    </row>
    <row r="143" spans="1:15">
      <c r="A143" s="1494" t="s">
        <v>252</v>
      </c>
      <c r="B143" s="1495"/>
      <c r="C143" s="1496"/>
      <c r="D143" s="844" t="s">
        <v>24</v>
      </c>
      <c r="E143" s="831"/>
      <c r="F143" s="831"/>
      <c r="G143" s="998">
        <f>G142/G7</f>
        <v>0.25717776420281002</v>
      </c>
      <c r="H143" s="847">
        <f>G143+'23'!H143</f>
        <v>6.2642613116347272</v>
      </c>
      <c r="I143" s="999"/>
      <c r="J143" s="849">
        <f>H143/DAY(B2)</f>
        <v>0.26101088798478028</v>
      </c>
      <c r="K143" s="945"/>
      <c r="L143" s="824"/>
      <c r="O143" s="851"/>
    </row>
    <row r="144" spans="1:15">
      <c r="A144" s="1494" t="s">
        <v>253</v>
      </c>
      <c r="B144" s="1495"/>
      <c r="C144" s="1496"/>
      <c r="D144" s="844" t="s">
        <v>132</v>
      </c>
      <c r="E144" s="845"/>
      <c r="F144" s="845"/>
      <c r="G144" s="847">
        <f>G41+G42+G55+G56</f>
        <v>5174.8500000000131</v>
      </c>
      <c r="H144" s="847">
        <f>G144+'23'!H144</f>
        <v>127214.05999999997</v>
      </c>
      <c r="I144" s="866"/>
      <c r="J144" s="849">
        <f>H144/DAY(B2)</f>
        <v>5300.5858333333317</v>
      </c>
      <c r="K144" s="945"/>
      <c r="L144" s="824"/>
      <c r="O144" s="851"/>
    </row>
    <row r="145" spans="1:15">
      <c r="A145" s="1494" t="s">
        <v>254</v>
      </c>
      <c r="B145" s="1495"/>
      <c r="C145" s="1496"/>
      <c r="D145" s="844" t="s">
        <v>24</v>
      </c>
      <c r="E145" s="845"/>
      <c r="F145" s="845"/>
      <c r="G145" s="998">
        <f>G144/G7</f>
        <v>0.24316761430383971</v>
      </c>
      <c r="H145" s="847">
        <f>G145+'23'!H145</f>
        <v>5.9593573699980853</v>
      </c>
      <c r="I145" s="999"/>
      <c r="J145" s="849">
        <f>H145/DAY(B2)</f>
        <v>0.24830655708325355</v>
      </c>
      <c r="K145" s="945"/>
      <c r="L145" s="824"/>
      <c r="O145" s="851"/>
    </row>
    <row r="146" spans="1:15">
      <c r="A146" s="1494" t="s">
        <v>255</v>
      </c>
      <c r="B146" s="1495"/>
      <c r="C146" s="1496"/>
      <c r="D146" s="844" t="s">
        <v>132</v>
      </c>
      <c r="E146" s="845"/>
      <c r="F146" s="845"/>
      <c r="G146" s="847">
        <f>G39+G53</f>
        <v>4090.5300000000279</v>
      </c>
      <c r="H146" s="847">
        <f>G146+'23'!H146</f>
        <v>201581.38</v>
      </c>
      <c r="I146" s="1000"/>
      <c r="J146" s="849">
        <f>H146/DAY(B2)</f>
        <v>8399.2241666666669</v>
      </c>
      <c r="K146" s="945"/>
      <c r="L146" s="824"/>
      <c r="O146" s="851"/>
    </row>
    <row r="147" spans="1:15">
      <c r="A147" s="1494" t="s">
        <v>256</v>
      </c>
      <c r="B147" s="1495"/>
      <c r="C147" s="1496"/>
      <c r="D147" s="844" t="s">
        <v>24</v>
      </c>
      <c r="E147" s="845"/>
      <c r="F147" s="845"/>
      <c r="G147" s="998">
        <f>G146/G7</f>
        <v>0.19221512146985706</v>
      </c>
      <c r="H147" s="847">
        <f>G147+'23'!H147</f>
        <v>9.6740278492413854</v>
      </c>
      <c r="I147" s="1000"/>
      <c r="J147" s="849">
        <f>H147/DAY(B2)</f>
        <v>0.40308449371839106</v>
      </c>
      <c r="O147" s="851"/>
    </row>
    <row r="148" spans="1:15">
      <c r="A148" s="1494" t="s">
        <v>257</v>
      </c>
      <c r="B148" s="1495"/>
      <c r="C148" s="1496"/>
      <c r="D148" s="844" t="s">
        <v>183</v>
      </c>
      <c r="E148" s="845"/>
      <c r="F148" s="845"/>
      <c r="G148" s="847">
        <f>G38+G52</f>
        <v>1763</v>
      </c>
      <c r="H148" s="847">
        <f>G148+'23'!H148</f>
        <v>46884.799999999981</v>
      </c>
      <c r="I148" s="866"/>
      <c r="J148" s="849">
        <f>H148/DAY(B2)</f>
        <v>1953.5333333333326</v>
      </c>
      <c r="K148" s="1001"/>
      <c r="O148" s="851"/>
    </row>
    <row r="149" spans="1:15">
      <c r="A149" s="1494" t="s">
        <v>258</v>
      </c>
      <c r="B149" s="1495"/>
      <c r="C149" s="1496"/>
      <c r="D149" s="844" t="s">
        <v>24</v>
      </c>
      <c r="E149" s="845"/>
      <c r="F149" s="845"/>
      <c r="G149" s="998">
        <f>G148/G7</f>
        <v>8.2843851322776191E-2</v>
      </c>
      <c r="H149" s="847">
        <f>G149+'23'!H149</f>
        <v>2.2002971450562425</v>
      </c>
      <c r="I149" s="1000"/>
      <c r="J149" s="849">
        <f>H149/DAY(B2)</f>
        <v>9.1679047710676767E-2</v>
      </c>
      <c r="O149" s="851"/>
    </row>
    <row r="150" spans="1:15">
      <c r="A150" s="1494" t="s">
        <v>259</v>
      </c>
      <c r="B150" s="1495"/>
      <c r="C150" s="1496"/>
      <c r="D150" s="844" t="s">
        <v>183</v>
      </c>
      <c r="E150" s="845"/>
      <c r="F150" s="845"/>
      <c r="G150" s="847">
        <f>G36+G50</f>
        <v>2416</v>
      </c>
      <c r="H150" s="847">
        <f>G150+'23'!H150</f>
        <v>45512.399999999965</v>
      </c>
      <c r="I150" s="1000"/>
      <c r="J150" s="849">
        <f>H150/DAY(B2)</f>
        <v>1896.3499999999985</v>
      </c>
      <c r="O150" s="851"/>
    </row>
    <row r="151" spans="1:15">
      <c r="A151" s="1494" t="s">
        <v>260</v>
      </c>
      <c r="B151" s="1495"/>
      <c r="C151" s="1496"/>
      <c r="D151" s="844" t="s">
        <v>24</v>
      </c>
      <c r="E151" s="845"/>
      <c r="F151" s="845"/>
      <c r="G151" s="998">
        <f>G150/G7</f>
        <v>0.11352849960058269</v>
      </c>
      <c r="H151" s="847">
        <f>G151+'23'!H151</f>
        <v>2.1310470393851468</v>
      </c>
      <c r="I151" s="866"/>
      <c r="J151" s="849">
        <f>H151/DAY(B2)</f>
        <v>8.8793626641047785E-2</v>
      </c>
      <c r="O151" s="851"/>
    </row>
    <row r="152" spans="1:15">
      <c r="A152" s="1494" t="s">
        <v>261</v>
      </c>
      <c r="B152" s="1495"/>
      <c r="C152" s="1496"/>
      <c r="D152" s="844" t="s">
        <v>183</v>
      </c>
      <c r="E152" s="845"/>
      <c r="F152" s="845"/>
      <c r="G152" s="847">
        <f>G37+G51</f>
        <v>1480.1300000000047</v>
      </c>
      <c r="H152" s="847">
        <f>G152+'23'!H152</f>
        <v>71933.159999999989</v>
      </c>
      <c r="I152" s="866"/>
      <c r="J152" s="849">
        <f>H152/DAY(B2)</f>
        <v>2997.2149999999997</v>
      </c>
      <c r="O152" s="851"/>
    </row>
    <row r="153" spans="1:15" ht="21" thickBot="1">
      <c r="A153" s="1520" t="s">
        <v>262</v>
      </c>
      <c r="B153" s="1521"/>
      <c r="C153" s="1522"/>
      <c r="D153" s="1002" t="s">
        <v>24</v>
      </c>
      <c r="E153" s="1003"/>
      <c r="F153" s="1003"/>
      <c r="G153" s="1004">
        <f>G152/G7</f>
        <v>6.9551712795451553E-2</v>
      </c>
      <c r="H153" s="847">
        <f>G153+'23'!H153</f>
        <v>3.4517036109326527</v>
      </c>
      <c r="I153" s="1005"/>
      <c r="J153" s="1006">
        <f>H153/DAY(B2)</f>
        <v>0.14382098378886052</v>
      </c>
      <c r="O153" s="851"/>
    </row>
    <row r="154" spans="1:15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/>
    </row>
    <row r="160" spans="1:15">
      <c r="A160" s="997" t="s">
        <v>263</v>
      </c>
      <c r="B160" s="997"/>
      <c r="C160" s="997"/>
      <c r="D160" s="831" t="s">
        <v>187</v>
      </c>
      <c r="E160" s="845">
        <f>'23'!F160</f>
        <v>32754</v>
      </c>
      <c r="F160" s="1021">
        <v>32839</v>
      </c>
      <c r="G160" s="846">
        <f t="shared" ref="G160:G163" si="15">F160-E160</f>
        <v>85</v>
      </c>
    </row>
    <row r="161" spans="1:7" ht="21.75" customHeight="1">
      <c r="A161" s="997" t="s">
        <v>264</v>
      </c>
      <c r="B161" s="997"/>
      <c r="C161" s="997"/>
      <c r="D161" s="831" t="s">
        <v>187</v>
      </c>
      <c r="E161" s="845">
        <f>'23'!F161</f>
        <v>65273.79</v>
      </c>
      <c r="F161" s="1021">
        <v>65688</v>
      </c>
      <c r="G161" s="846">
        <f t="shared" si="15"/>
        <v>414.20999999999913</v>
      </c>
    </row>
    <row r="162" spans="1:7" ht="21.75" customHeight="1">
      <c r="A162" s="997" t="s">
        <v>265</v>
      </c>
      <c r="B162" s="997"/>
      <c r="C162" s="997"/>
      <c r="D162" s="831" t="s">
        <v>187</v>
      </c>
      <c r="E162" s="845">
        <f>'23'!F162</f>
        <v>27180</v>
      </c>
      <c r="F162" s="1021">
        <v>27451</v>
      </c>
      <c r="G162" s="846">
        <f t="shared" si="15"/>
        <v>271</v>
      </c>
    </row>
    <row r="163" spans="1:7" ht="21.75" customHeight="1">
      <c r="A163" s="997" t="s">
        <v>266</v>
      </c>
      <c r="B163" s="997"/>
      <c r="C163" s="997"/>
      <c r="D163" s="831" t="s">
        <v>187</v>
      </c>
      <c r="E163" s="845">
        <f>'23'!F163</f>
        <v>5696.57</v>
      </c>
      <c r="F163" s="1021">
        <v>5715</v>
      </c>
      <c r="G163" s="846">
        <f t="shared" si="15"/>
        <v>18.430000000000291</v>
      </c>
    </row>
    <row r="164" spans="1:7" ht="21.75" customHeight="1">
      <c r="A164" s="927" t="s">
        <v>98</v>
      </c>
      <c r="B164" s="927"/>
      <c r="C164" s="927"/>
      <c r="D164" s="831" t="s">
        <v>187</v>
      </c>
      <c r="E164" s="928">
        <f>E62</f>
        <v>20419</v>
      </c>
      <c r="F164" s="928">
        <f>F62</f>
        <v>20419</v>
      </c>
      <c r="G164" s="846">
        <f t="shared" ref="G164:G171" si="16">F164-E164</f>
        <v>0</v>
      </c>
    </row>
    <row r="165" spans="1:7" ht="21.75" customHeight="1">
      <c r="A165" s="927" t="s">
        <v>188</v>
      </c>
      <c r="B165" s="927"/>
      <c r="C165" s="927"/>
      <c r="D165" s="831" t="s">
        <v>187</v>
      </c>
      <c r="E165" s="928">
        <f t="shared" ref="E165:E171" si="17">E63</f>
        <v>2000</v>
      </c>
      <c r="F165" s="928">
        <f t="shared" ref="F165:F171" si="18">F63</f>
        <v>2012</v>
      </c>
      <c r="G165" s="846">
        <f t="shared" si="16"/>
        <v>12</v>
      </c>
    </row>
    <row r="166" spans="1:7" ht="21.75" customHeight="1">
      <c r="A166" s="1538" t="s">
        <v>99</v>
      </c>
      <c r="B166" s="1538"/>
      <c r="C166" s="1538"/>
      <c r="D166" s="844" t="s">
        <v>187</v>
      </c>
      <c r="E166" s="928">
        <f t="shared" si="17"/>
        <v>135417</v>
      </c>
      <c r="F166" s="928">
        <f t="shared" si="18"/>
        <v>135907</v>
      </c>
      <c r="G166" s="846">
        <f t="shared" si="16"/>
        <v>490</v>
      </c>
    </row>
    <row r="167" spans="1:7" ht="21.75" customHeight="1">
      <c r="A167" s="1538" t="s">
        <v>100</v>
      </c>
      <c r="B167" s="1538"/>
      <c r="C167" s="1538"/>
      <c r="D167" s="844" t="s">
        <v>187</v>
      </c>
      <c r="E167" s="928">
        <f t="shared" si="17"/>
        <v>141186</v>
      </c>
      <c r="F167" s="928">
        <f t="shared" si="18"/>
        <v>141579</v>
      </c>
      <c r="G167" s="846">
        <f t="shared" si="16"/>
        <v>393</v>
      </c>
    </row>
    <row r="168" spans="1:7" ht="21.75" customHeight="1">
      <c r="A168" s="1538" t="s">
        <v>101</v>
      </c>
      <c r="B168" s="1538"/>
      <c r="C168" s="1538"/>
      <c r="D168" s="844" t="s">
        <v>187</v>
      </c>
      <c r="E168" s="928">
        <f t="shared" si="17"/>
        <v>33948</v>
      </c>
      <c r="F168" s="928">
        <f t="shared" si="18"/>
        <v>34324</v>
      </c>
      <c r="G168" s="846">
        <f t="shared" si="16"/>
        <v>376</v>
      </c>
    </row>
    <row r="169" spans="1:7">
      <c r="A169" s="1538" t="s">
        <v>102</v>
      </c>
      <c r="B169" s="1538"/>
      <c r="C169" s="1538"/>
      <c r="D169" s="844" t="s">
        <v>187</v>
      </c>
      <c r="E169" s="928">
        <f t="shared" si="17"/>
        <v>223612</v>
      </c>
      <c r="F169" s="928">
        <f t="shared" si="18"/>
        <v>224328</v>
      </c>
      <c r="G169" s="846">
        <f t="shared" si="16"/>
        <v>716</v>
      </c>
    </row>
    <row r="170" spans="1:7" ht="24" customHeight="1">
      <c r="A170" s="1538" t="s">
        <v>103</v>
      </c>
      <c r="B170" s="1538"/>
      <c r="C170" s="1538"/>
      <c r="D170" s="844" t="s">
        <v>187</v>
      </c>
      <c r="E170" s="928">
        <f t="shared" si="17"/>
        <v>80419</v>
      </c>
      <c r="F170" s="928">
        <f t="shared" si="18"/>
        <v>80766</v>
      </c>
      <c r="G170" s="846">
        <f t="shared" si="16"/>
        <v>347</v>
      </c>
    </row>
    <row r="171" spans="1:7">
      <c r="A171" s="1538" t="s">
        <v>104</v>
      </c>
      <c r="B171" s="1538"/>
      <c r="C171" s="1538"/>
      <c r="D171" s="844" t="s">
        <v>187</v>
      </c>
      <c r="E171" s="928">
        <f t="shared" si="17"/>
        <v>71807</v>
      </c>
      <c r="F171" s="928">
        <f t="shared" si="18"/>
        <v>72124</v>
      </c>
      <c r="G171" s="846">
        <f t="shared" si="16"/>
        <v>317</v>
      </c>
    </row>
    <row r="172" spans="1:7">
      <c r="G172" s="1012">
        <f>SUM(G160:G171)</f>
        <v>3439.6399999999994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49" zoomScale="70" zoomScaleNormal="49" zoomScaleSheetLayoutView="70" workbookViewId="0">
      <selection activeCell="F104" activeCellId="9" sqref="F7:F12 F15 F18:F19 F22:F23 F35:F46 F49:F58 F62:F69 F72:F90 F92:F100 F104:F140"/>
    </sheetView>
  </sheetViews>
  <sheetFormatPr defaultColWidth="22.33203125" defaultRowHeight="20.25"/>
  <cols>
    <col min="1" max="1" width="51.21875" style="1010" customWidth="1"/>
    <col min="2" max="2" width="24.88671875" style="1010" customWidth="1"/>
    <col min="3" max="3" width="12.44140625" style="1010" customWidth="1"/>
    <col min="4" max="4" width="13.6640625" style="1010" customWidth="1"/>
    <col min="5" max="5" width="28.109375" style="1010" customWidth="1"/>
    <col min="6" max="6" width="23.77734375" style="1010" customWidth="1"/>
    <col min="7" max="7" width="18.44140625" style="1010" customWidth="1"/>
    <col min="8" max="8" width="39.21875" style="1011" customWidth="1"/>
    <col min="9" max="9" width="12" style="1010" bestFit="1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6.77734375" style="811" bestFit="1" customWidth="1"/>
    <col min="16" max="16384" width="22.33203125" style="811"/>
  </cols>
  <sheetData>
    <row r="1" spans="1:15" ht="22.5">
      <c r="A1" s="1483" t="s">
        <v>117</v>
      </c>
      <c r="B1" s="1484"/>
      <c r="C1" s="1484"/>
      <c r="D1" s="1484"/>
      <c r="E1" s="1484"/>
      <c r="F1" s="1484"/>
      <c r="G1" s="1484"/>
      <c r="H1" s="1484"/>
      <c r="I1" s="1484"/>
      <c r="J1" s="1485"/>
    </row>
    <row r="2" spans="1:15">
      <c r="A2" s="812" t="s">
        <v>273</v>
      </c>
      <c r="B2" s="1039">
        <v>43886</v>
      </c>
      <c r="C2" s="813" t="s">
        <v>69</v>
      </c>
      <c r="D2" s="1026">
        <v>0.54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</row>
    <row r="3" spans="1:15">
      <c r="A3" s="817"/>
      <c r="B3" s="818"/>
      <c r="C3" s="813" t="s">
        <v>120</v>
      </c>
      <c r="D3" s="813">
        <v>31</v>
      </c>
      <c r="E3" s="1492" t="s">
        <v>121</v>
      </c>
      <c r="F3" s="1493"/>
      <c r="G3" s="820">
        <f>'1'!G3</f>
        <v>0</v>
      </c>
      <c r="H3" s="821">
        <f>'1'!H3</f>
        <v>0</v>
      </c>
      <c r="I3" s="821">
        <f>'1'!I3</f>
        <v>0</v>
      </c>
      <c r="J3" s="822">
        <f>'1'!J3</f>
        <v>0</v>
      </c>
      <c r="K3" s="823"/>
      <c r="L3" s="824"/>
    </row>
    <row r="4" spans="1:15">
      <c r="A4" s="825"/>
      <c r="B4" s="826"/>
      <c r="C4" s="813" t="s">
        <v>122</v>
      </c>
      <c r="D4" s="1026">
        <v>0.8</v>
      </c>
      <c r="E4" s="827"/>
      <c r="F4" s="827"/>
      <c r="G4" s="827"/>
      <c r="H4" s="827"/>
      <c r="I4" s="828"/>
      <c r="J4" s="822"/>
      <c r="K4" s="829"/>
      <c r="L4" s="824"/>
    </row>
    <row r="5" spans="1:15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</row>
    <row r="6" spans="1:15">
      <c r="A6" s="1486" t="s">
        <v>130</v>
      </c>
      <c r="B6" s="1487"/>
      <c r="C6" s="1488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1" thickBot="1">
      <c r="A7" s="842" t="s">
        <v>131</v>
      </c>
      <c r="B7" s="843"/>
      <c r="C7" s="843"/>
      <c r="D7" s="844" t="s">
        <v>132</v>
      </c>
      <c r="E7" s="845">
        <f>'24'!F7</f>
        <v>4956677</v>
      </c>
      <c r="F7" s="845"/>
      <c r="G7" s="846">
        <f>F7-E7</f>
        <v>-4956677</v>
      </c>
      <c r="H7" s="847">
        <f>G7+'24'!H7</f>
        <v>-4445077</v>
      </c>
      <c r="I7" s="848">
        <f>'1'!I7</f>
        <v>12000</v>
      </c>
      <c r="J7" s="849">
        <f>H7/DAY(B2)</f>
        <v>-177803.08</v>
      </c>
      <c r="K7" s="850"/>
      <c r="L7" s="824"/>
      <c r="N7" s="1024">
        <f>G7/G8</f>
        <v>0.99384445972301672</v>
      </c>
      <c r="O7" s="851"/>
    </row>
    <row r="8" spans="1:15" ht="21" thickBot="1">
      <c r="A8" s="852" t="s">
        <v>133</v>
      </c>
      <c r="B8" s="853"/>
      <c r="C8" s="854"/>
      <c r="D8" s="855" t="s">
        <v>25</v>
      </c>
      <c r="E8" s="845">
        <f>'24'!F8</f>
        <v>4987377</v>
      </c>
      <c r="F8" s="856"/>
      <c r="G8" s="857">
        <f>F8-E8</f>
        <v>-4987377</v>
      </c>
      <c r="H8" s="847">
        <f>G8+'24'!H8</f>
        <v>-4473156</v>
      </c>
      <c r="I8" s="858">
        <f>'1'!I8</f>
        <v>12000</v>
      </c>
      <c r="J8" s="849">
        <f>H8/DAY(B2)</f>
        <v>-178926.24</v>
      </c>
      <c r="K8" s="850">
        <v>1375467</v>
      </c>
      <c r="L8" s="859">
        <v>1667461</v>
      </c>
      <c r="M8" s="860"/>
      <c r="O8" s="851"/>
    </row>
    <row r="9" spans="1:15">
      <c r="A9" s="861" t="s">
        <v>134</v>
      </c>
      <c r="B9" s="862"/>
      <c r="C9" s="862"/>
      <c r="D9" s="844" t="s">
        <v>132</v>
      </c>
      <c r="E9" s="845">
        <f>'24'!F9</f>
        <v>243752</v>
      </c>
      <c r="F9" s="863"/>
      <c r="G9" s="846">
        <f t="shared" ref="G9:G12" si="0">F9-E9</f>
        <v>-243752</v>
      </c>
      <c r="H9" s="847">
        <f>G9+'24'!H9</f>
        <v>-86909.010000000009</v>
      </c>
      <c r="I9" s="864">
        <f>I8-J8</f>
        <v>190926.24</v>
      </c>
      <c r="J9" s="849">
        <f>H9/DAY(B2)</f>
        <v>-3476.3604000000005</v>
      </c>
      <c r="K9" s="865"/>
      <c r="L9" s="824"/>
      <c r="O9" s="851"/>
    </row>
    <row r="10" spans="1:15">
      <c r="A10" s="842" t="s">
        <v>135</v>
      </c>
      <c r="B10" s="843"/>
      <c r="C10" s="843"/>
      <c r="D10" s="844" t="s">
        <v>132</v>
      </c>
      <c r="E10" s="845">
        <v>527</v>
      </c>
      <c r="F10" s="863"/>
      <c r="G10" s="846">
        <f t="shared" si="0"/>
        <v>-527</v>
      </c>
      <c r="H10" s="847">
        <f>G10+'24'!H10</f>
        <v>334533.49</v>
      </c>
      <c r="I10" s="866"/>
      <c r="J10" s="849">
        <f>H10/DAY(B2)</f>
        <v>13381.339599999999</v>
      </c>
      <c r="K10" s="865"/>
      <c r="L10" s="824">
        <f>L8-K8</f>
        <v>291994</v>
      </c>
      <c r="O10" s="851"/>
    </row>
    <row r="11" spans="1:15">
      <c r="A11" s="842" t="s">
        <v>136</v>
      </c>
      <c r="B11" s="843"/>
      <c r="C11" s="843"/>
      <c r="D11" s="844" t="s">
        <v>132</v>
      </c>
      <c r="E11" s="845">
        <f>'24'!F11</f>
        <v>37000</v>
      </c>
      <c r="F11" s="845"/>
      <c r="G11" s="846">
        <f t="shared" si="0"/>
        <v>-37000</v>
      </c>
      <c r="H11" s="847">
        <f>G11+'24'!H11</f>
        <v>-37000</v>
      </c>
      <c r="I11" s="866"/>
      <c r="J11" s="849">
        <f>H11/DAY(B2)</f>
        <v>-1480</v>
      </c>
      <c r="K11" s="865"/>
      <c r="L11" s="824"/>
      <c r="N11" s="1025">
        <f>G7*N7</f>
        <v>-4926165.9750865037</v>
      </c>
      <c r="O11" s="851"/>
    </row>
    <row r="12" spans="1:15">
      <c r="A12" s="842" t="s">
        <v>137</v>
      </c>
      <c r="B12" s="843"/>
      <c r="C12" s="843"/>
      <c r="D12" s="844" t="s">
        <v>132</v>
      </c>
      <c r="E12" s="845">
        <f>'24'!F12</f>
        <v>40010</v>
      </c>
      <c r="F12" s="863"/>
      <c r="G12" s="846">
        <f t="shared" si="0"/>
        <v>-40010</v>
      </c>
      <c r="H12" s="847">
        <f>G12+'24'!H12</f>
        <v>-40010</v>
      </c>
      <c r="I12" s="866"/>
      <c r="J12" s="849">
        <f>H12/DAY(B2)</f>
        <v>-1600.4</v>
      </c>
      <c r="K12" s="865"/>
      <c r="L12" s="824"/>
      <c r="O12" s="851"/>
    </row>
    <row r="13" spans="1:15">
      <c r="A13" s="867" t="s">
        <v>138</v>
      </c>
      <c r="B13" s="868"/>
      <c r="C13" s="868"/>
      <c r="D13" s="844"/>
      <c r="E13" s="845"/>
      <c r="F13" s="845"/>
      <c r="G13" s="869">
        <f>G9+G10+G11+G12</f>
        <v>-321289</v>
      </c>
      <c r="H13" s="847">
        <f>G13+'24'!H13</f>
        <v>149620.47999999998</v>
      </c>
      <c r="I13" s="870">
        <f>G7-G13</f>
        <v>-4635388</v>
      </c>
      <c r="J13" s="849">
        <f>H13/DAY(B2)</f>
        <v>5984.819199999999</v>
      </c>
      <c r="K13" s="865"/>
      <c r="L13" s="824">
        <f>L10-H7</f>
        <v>4737071</v>
      </c>
      <c r="O13" s="851"/>
    </row>
    <row r="14" spans="1:15">
      <c r="A14" s="1489" t="s">
        <v>139</v>
      </c>
      <c r="B14" s="1490"/>
      <c r="C14" s="1491"/>
      <c r="D14" s="839"/>
      <c r="E14" s="839"/>
      <c r="F14" s="839"/>
      <c r="G14" s="871"/>
      <c r="H14" s="839"/>
      <c r="I14" s="839"/>
      <c r="J14" s="840"/>
      <c r="K14" s="872"/>
      <c r="L14" s="824"/>
      <c r="O14" s="851"/>
    </row>
    <row r="15" spans="1:15">
      <c r="A15" s="873" t="s">
        <v>140</v>
      </c>
      <c r="B15" s="874"/>
      <c r="C15" s="874"/>
      <c r="D15" s="844" t="s">
        <v>141</v>
      </c>
      <c r="E15" s="845">
        <f>'24'!F15</f>
        <v>1640178</v>
      </c>
      <c r="F15" s="940"/>
      <c r="G15" s="1022">
        <f>(F15-E15)</f>
        <v>-1640178</v>
      </c>
      <c r="H15" s="847">
        <f>G15+'24'!H15</f>
        <v>-1619878.61</v>
      </c>
      <c r="I15" s="848">
        <f>'1'!I15</f>
        <v>800</v>
      </c>
      <c r="J15" s="849">
        <f>H15/DAY(B2)</f>
        <v>-64795.144400000005</v>
      </c>
      <c r="K15" s="865"/>
      <c r="L15" s="824"/>
      <c r="O15" s="851"/>
    </row>
    <row r="16" spans="1:15">
      <c r="A16" s="876"/>
      <c r="B16" s="877"/>
      <c r="C16" s="877"/>
      <c r="D16" s="878"/>
      <c r="E16" s="879"/>
      <c r="F16" s="879"/>
      <c r="G16" s="846"/>
      <c r="H16" s="880"/>
      <c r="I16" s="881">
        <f>I15-J15</f>
        <v>65595.144400000005</v>
      </c>
      <c r="J16" s="882"/>
      <c r="K16" s="865"/>
      <c r="L16" s="824"/>
      <c r="O16" s="851"/>
    </row>
    <row r="17" spans="1:15">
      <c r="A17" s="1489" t="s">
        <v>142</v>
      </c>
      <c r="B17" s="1490"/>
      <c r="C17" s="1491"/>
      <c r="D17" s="839"/>
      <c r="E17" s="839"/>
      <c r="F17" s="839"/>
      <c r="G17" s="883"/>
      <c r="H17" s="839"/>
      <c r="I17" s="839"/>
      <c r="J17" s="840"/>
      <c r="K17" s="865"/>
      <c r="L17" s="824"/>
      <c r="O17" s="851"/>
    </row>
    <row r="18" spans="1:15">
      <c r="A18" s="1494" t="s">
        <v>143</v>
      </c>
      <c r="B18" s="1495"/>
      <c r="C18" s="1496"/>
      <c r="D18" s="844" t="s">
        <v>144</v>
      </c>
      <c r="E18" s="845">
        <f>'24'!F18</f>
        <v>14</v>
      </c>
      <c r="F18" s="875"/>
      <c r="G18" s="869">
        <f>F18*10</f>
        <v>0</v>
      </c>
      <c r="H18" s="847">
        <f>G18+'24'!H18</f>
        <v>3150</v>
      </c>
      <c r="I18" s="848">
        <f>'1'!I18</f>
        <v>65</v>
      </c>
      <c r="J18" s="849">
        <f>H18/DAY(B2)</f>
        <v>126</v>
      </c>
      <c r="K18" s="865"/>
      <c r="L18" s="824"/>
      <c r="O18" s="851"/>
    </row>
    <row r="19" spans="1:15">
      <c r="A19" s="1494" t="s">
        <v>71</v>
      </c>
      <c r="B19" s="1495"/>
      <c r="C19" s="1496"/>
      <c r="D19" s="844" t="s">
        <v>144</v>
      </c>
      <c r="E19" s="845">
        <f>'24'!F19</f>
        <v>135723</v>
      </c>
      <c r="F19" s="875"/>
      <c r="G19" s="846">
        <f t="shared" ref="G19" si="1">F19-E19</f>
        <v>-135723</v>
      </c>
      <c r="H19" s="847">
        <f>G19+'24'!H19</f>
        <v>-134468</v>
      </c>
      <c r="I19" s="884"/>
      <c r="J19" s="849">
        <f>H19/DAY(B2)</f>
        <v>-5378.72</v>
      </c>
      <c r="K19" s="865"/>
      <c r="L19" s="824"/>
      <c r="O19" s="851"/>
    </row>
    <row r="20" spans="1:15">
      <c r="A20" s="867" t="s">
        <v>145</v>
      </c>
      <c r="B20" s="868"/>
      <c r="C20" s="868"/>
      <c r="D20" s="885"/>
      <c r="E20" s="885"/>
      <c r="F20" s="885"/>
      <c r="G20" s="886">
        <f>G18+G19</f>
        <v>-135723</v>
      </c>
      <c r="H20" s="847">
        <f>G20+'24'!H20</f>
        <v>-131318</v>
      </c>
      <c r="I20" s="887">
        <f>I18-J20</f>
        <v>5317.72</v>
      </c>
      <c r="J20" s="849">
        <f>H20/DAY(B2)</f>
        <v>-5252.72</v>
      </c>
      <c r="K20" s="865"/>
      <c r="L20" s="824"/>
      <c r="O20" s="851"/>
    </row>
    <row r="21" spans="1:15">
      <c r="A21" s="1489" t="s">
        <v>146</v>
      </c>
      <c r="B21" s="1490"/>
      <c r="C21" s="1491"/>
      <c r="D21" s="839"/>
      <c r="E21" s="839"/>
      <c r="F21" s="839"/>
      <c r="G21" s="871"/>
      <c r="H21" s="839"/>
      <c r="I21" s="839"/>
      <c r="J21" s="840"/>
      <c r="K21" s="865"/>
      <c r="L21" s="824"/>
      <c r="O21" s="851"/>
    </row>
    <row r="22" spans="1:15">
      <c r="A22" s="873" t="s">
        <v>147</v>
      </c>
      <c r="B22" s="874"/>
      <c r="C22" s="874"/>
      <c r="D22" s="844" t="s">
        <v>148</v>
      </c>
      <c r="E22" s="875">
        <f>'24'!F22</f>
        <v>1680</v>
      </c>
      <c r="F22" s="875"/>
      <c r="G22" s="869">
        <f t="shared" ref="G22" si="2">(F22-E22)</f>
        <v>-1680</v>
      </c>
      <c r="H22" s="847">
        <f>G22+'24'!H22</f>
        <v>-390</v>
      </c>
      <c r="I22" s="866"/>
      <c r="J22" s="849">
        <f>H22/DAY(B2)</f>
        <v>-15.6</v>
      </c>
      <c r="K22" s="865"/>
      <c r="L22" s="824"/>
      <c r="O22" s="851"/>
    </row>
    <row r="23" spans="1:15">
      <c r="A23" s="873" t="s">
        <v>149</v>
      </c>
      <c r="B23" s="874"/>
      <c r="C23" s="874"/>
      <c r="D23" s="844" t="s">
        <v>148</v>
      </c>
      <c r="E23" s="875">
        <f>'24'!F23</f>
        <v>2000</v>
      </c>
      <c r="F23" s="875"/>
      <c r="G23" s="869">
        <v>0</v>
      </c>
      <c r="H23" s="847">
        <f>G23+'24'!H23</f>
        <v>0</v>
      </c>
      <c r="I23" s="866"/>
      <c r="J23" s="849">
        <f>H23/DAY(B2)</f>
        <v>0</v>
      </c>
      <c r="K23" s="865"/>
      <c r="L23" s="824"/>
      <c r="O23" s="851"/>
    </row>
    <row r="24" spans="1:15">
      <c r="A24" s="888" t="s">
        <v>150</v>
      </c>
      <c r="B24" s="889"/>
      <c r="C24" s="889"/>
      <c r="D24" s="831" t="s">
        <v>148</v>
      </c>
      <c r="E24" s="875">
        <f>'24'!F24</f>
        <v>3680</v>
      </c>
      <c r="F24" s="890">
        <v>4970</v>
      </c>
      <c r="G24" s="869">
        <v>0</v>
      </c>
      <c r="H24" s="847">
        <f>G24+'24'!H24</f>
        <v>1290</v>
      </c>
      <c r="I24" s="866"/>
      <c r="J24" s="849">
        <f>H24/DAY(B2)</f>
        <v>51.6</v>
      </c>
      <c r="K24" s="865"/>
      <c r="L24" s="824"/>
      <c r="O24" s="851"/>
    </row>
    <row r="25" spans="1:15" s="896" customFormat="1">
      <c r="A25" s="1486" t="s">
        <v>151</v>
      </c>
      <c r="B25" s="1487"/>
      <c r="C25" s="1488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/>
    </row>
    <row r="26" spans="1:15" s="896" customFormat="1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/>
    </row>
    <row r="27" spans="1:15" s="896" customFormat="1" ht="22.5">
      <c r="A27" s="897" t="s">
        <v>6</v>
      </c>
      <c r="B27" s="898"/>
      <c r="C27" s="899"/>
      <c r="D27" s="904" t="s">
        <v>25</v>
      </c>
      <c r="E27" s="905">
        <f>G8</f>
        <v>-4987377</v>
      </c>
      <c r="F27" s="501">
        <v>9</v>
      </c>
      <c r="G27" s="907">
        <f>E27*F27</f>
        <v>-44886393</v>
      </c>
      <c r="H27" s="847">
        <f>G27+'24'!H27</f>
        <v>-40258404</v>
      </c>
      <c r="I27" s="908"/>
      <c r="J27" s="849">
        <f>H27/DAY(B2)</f>
        <v>-1610336.16</v>
      </c>
      <c r="K27" s="865"/>
      <c r="L27" s="895"/>
      <c r="N27" s="1014"/>
      <c r="O27" s="851"/>
    </row>
    <row r="28" spans="1:15" s="896" customFormat="1" ht="22.5">
      <c r="A28" s="897" t="s">
        <v>154</v>
      </c>
      <c r="B28" s="898"/>
      <c r="C28" s="899"/>
      <c r="D28" s="904" t="s">
        <v>155</v>
      </c>
      <c r="E28" s="905">
        <f>G15</f>
        <v>-1640178</v>
      </c>
      <c r="F28" s="501">
        <v>43.5</v>
      </c>
      <c r="G28" s="907">
        <f>E28*F28</f>
        <v>-71347743</v>
      </c>
      <c r="H28" s="847">
        <f>G28+'24'!H28</f>
        <v>-70399129.856800005</v>
      </c>
      <c r="I28" s="909"/>
      <c r="J28" s="849">
        <f>H28/DAY(B2)</f>
        <v>-2815965.1942720003</v>
      </c>
      <c r="K28" s="865"/>
      <c r="L28" s="895"/>
      <c r="N28" s="1014"/>
      <c r="O28" s="851"/>
    </row>
    <row r="29" spans="1:15" s="896" customFormat="1">
      <c r="A29" s="897" t="s">
        <v>156</v>
      </c>
      <c r="B29" s="898"/>
      <c r="C29" s="899"/>
      <c r="D29" s="904" t="s">
        <v>157</v>
      </c>
      <c r="E29" s="905">
        <f>G24</f>
        <v>0</v>
      </c>
      <c r="F29" s="906">
        <v>69</v>
      </c>
      <c r="G29" s="907">
        <f>E29*F29</f>
        <v>0</v>
      </c>
      <c r="H29" s="847">
        <f>G29+'24'!H29</f>
        <v>89010</v>
      </c>
      <c r="I29" s="909"/>
      <c r="J29" s="849">
        <f>H29/DAY(B2)</f>
        <v>3560.4</v>
      </c>
      <c r="K29" s="865"/>
      <c r="L29" s="895"/>
      <c r="N29" s="1014"/>
      <c r="O29" s="851"/>
    </row>
    <row r="30" spans="1:15" s="896" customFormat="1">
      <c r="A30" s="897" t="s">
        <v>158</v>
      </c>
      <c r="B30" s="898"/>
      <c r="C30" s="899"/>
      <c r="D30" s="904" t="s">
        <v>159</v>
      </c>
      <c r="E30" s="905">
        <f>G19</f>
        <v>-135723</v>
      </c>
      <c r="F30" s="906">
        <v>134</v>
      </c>
      <c r="G30" s="907">
        <f>E30*F30</f>
        <v>-18186882</v>
      </c>
      <c r="H30" s="847">
        <f>G30+'24'!H30</f>
        <v>-18001024</v>
      </c>
      <c r="I30" s="909"/>
      <c r="J30" s="849">
        <f>H30/DAY(B2)</f>
        <v>-720040.95999999996</v>
      </c>
      <c r="K30" s="865"/>
      <c r="L30" s="895"/>
      <c r="N30" s="1014"/>
      <c r="O30" s="851"/>
    </row>
    <row r="31" spans="1:15" s="896" customFormat="1">
      <c r="A31" s="897" t="s">
        <v>160</v>
      </c>
      <c r="B31" s="898"/>
      <c r="C31" s="899"/>
      <c r="D31" s="904" t="s">
        <v>144</v>
      </c>
      <c r="E31" s="905">
        <f>G18</f>
        <v>0</v>
      </c>
      <c r="F31" s="906">
        <v>80</v>
      </c>
      <c r="G31" s="907">
        <f>E31*F31</f>
        <v>0</v>
      </c>
      <c r="H31" s="847">
        <f>G31+'24'!H31</f>
        <v>241440</v>
      </c>
      <c r="I31" s="909"/>
      <c r="J31" s="849"/>
      <c r="K31" s="865"/>
      <c r="L31" s="895"/>
      <c r="N31" s="1014"/>
      <c r="O31" s="851"/>
    </row>
    <row r="32" spans="1:15" s="896" customFormat="1">
      <c r="A32" s="910" t="s">
        <v>161</v>
      </c>
      <c r="B32" s="911"/>
      <c r="C32" s="912"/>
      <c r="D32" s="913"/>
      <c r="E32" s="913"/>
      <c r="F32" s="913"/>
      <c r="G32" s="914">
        <f>G27+G28+G29+G30+G31</f>
        <v>-134421018</v>
      </c>
      <c r="H32" s="847">
        <f>G32+'24'!H32</f>
        <v>-128328107.8568</v>
      </c>
      <c r="I32" s="915"/>
      <c r="J32" s="849">
        <f>H32/DAY(B2)</f>
        <v>-5133124.3142720005</v>
      </c>
      <c r="K32" s="865"/>
      <c r="L32" s="895"/>
      <c r="N32" s="1014"/>
      <c r="O32" s="851"/>
    </row>
    <row r="33" spans="1:15" ht="18.75">
      <c r="A33" s="1497" t="s">
        <v>162</v>
      </c>
      <c r="B33" s="1498"/>
      <c r="C33" s="1498"/>
      <c r="D33" s="1498"/>
      <c r="E33" s="1498"/>
      <c r="F33" s="1498"/>
      <c r="G33" s="1498"/>
      <c r="H33" s="1498"/>
      <c r="I33" s="1498"/>
      <c r="J33" s="1499"/>
      <c r="K33" s="865"/>
      <c r="L33" s="824"/>
      <c r="O33" s="851"/>
    </row>
    <row r="34" spans="1:15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/>
    </row>
    <row r="35" spans="1:15">
      <c r="A35" s="842" t="s">
        <v>164</v>
      </c>
      <c r="B35" s="843"/>
      <c r="C35" s="843"/>
      <c r="D35" s="844" t="s">
        <v>132</v>
      </c>
      <c r="E35" s="845">
        <f>'24'!F35</f>
        <v>774670</v>
      </c>
      <c r="F35" s="918"/>
      <c r="G35" s="846">
        <f t="shared" ref="G35:G46" si="3">F35-E35</f>
        <v>-774670</v>
      </c>
      <c r="H35" s="847">
        <f>G35+'24'!H35</f>
        <v>-693087.59</v>
      </c>
      <c r="I35" s="845"/>
      <c r="J35" s="849">
        <f>H35/DAY(B2)</f>
        <v>-27723.5036</v>
      </c>
      <c r="K35" s="865"/>
      <c r="L35" s="824"/>
      <c r="O35" s="851"/>
    </row>
    <row r="36" spans="1:15">
      <c r="A36" s="842" t="s">
        <v>165</v>
      </c>
      <c r="B36" s="843"/>
      <c r="C36" s="843"/>
      <c r="D36" s="844" t="s">
        <v>132</v>
      </c>
      <c r="E36" s="845">
        <f>'24'!F36</f>
        <v>311995</v>
      </c>
      <c r="F36" s="918"/>
      <c r="G36" s="846">
        <f t="shared" si="3"/>
        <v>-311995</v>
      </c>
      <c r="H36" s="847">
        <f>G36+'24'!H36</f>
        <v>-296445.57</v>
      </c>
      <c r="I36" s="845"/>
      <c r="J36" s="849">
        <f>H36/DAY(B2)</f>
        <v>-11857.8228</v>
      </c>
      <c r="K36" s="865"/>
      <c r="L36" s="824"/>
      <c r="O36" s="851"/>
    </row>
    <row r="37" spans="1:15">
      <c r="A37" s="842" t="s">
        <v>166</v>
      </c>
      <c r="B37" s="843"/>
      <c r="C37" s="843"/>
      <c r="D37" s="844" t="s">
        <v>132</v>
      </c>
      <c r="E37" s="845">
        <f>'24'!F37</f>
        <v>44239</v>
      </c>
      <c r="F37" s="918"/>
      <c r="G37" s="846">
        <f t="shared" si="3"/>
        <v>-44239</v>
      </c>
      <c r="H37" s="847">
        <f>G37+'24'!H37</f>
        <v>3105.0800000000017</v>
      </c>
      <c r="I37" s="845"/>
      <c r="J37" s="849">
        <f>H37/DAY(B2)</f>
        <v>124.20320000000007</v>
      </c>
      <c r="K37" s="865"/>
      <c r="L37" s="824"/>
      <c r="O37" s="851"/>
    </row>
    <row r="38" spans="1:15">
      <c r="A38" s="842" t="s">
        <v>167</v>
      </c>
      <c r="B38" s="843"/>
      <c r="C38" s="843"/>
      <c r="D38" s="844" t="s">
        <v>132</v>
      </c>
      <c r="E38" s="845">
        <f>'24'!F38</f>
        <v>59005</v>
      </c>
      <c r="F38" s="834"/>
      <c r="G38" s="846">
        <f t="shared" si="3"/>
        <v>-59005</v>
      </c>
      <c r="H38" s="847">
        <f>G38+'24'!H38</f>
        <v>-43813.49</v>
      </c>
      <c r="I38" s="845"/>
      <c r="J38" s="849">
        <f>H38/DAY(B2)</f>
        <v>-1752.5395999999998</v>
      </c>
      <c r="K38" s="865"/>
      <c r="L38" s="824"/>
      <c r="O38" s="851"/>
    </row>
    <row r="39" spans="1:15">
      <c r="A39" s="842" t="s">
        <v>168</v>
      </c>
      <c r="B39" s="843"/>
      <c r="C39" s="843"/>
      <c r="D39" s="844" t="s">
        <v>132</v>
      </c>
      <c r="E39" s="845">
        <f>'24'!F39</f>
        <v>124610</v>
      </c>
      <c r="F39" s="918"/>
      <c r="G39" s="846">
        <f t="shared" si="3"/>
        <v>-124610</v>
      </c>
      <c r="H39" s="847">
        <f>G39+'24'!H39</f>
        <v>9392.890000000014</v>
      </c>
      <c r="I39" s="845"/>
      <c r="J39" s="849">
        <f>H39/DAY(B2)</f>
        <v>375.71560000000056</v>
      </c>
      <c r="K39" s="865"/>
      <c r="L39" s="824"/>
      <c r="O39" s="851"/>
    </row>
    <row r="40" spans="1:15">
      <c r="A40" s="919" t="s">
        <v>169</v>
      </c>
      <c r="B40" s="920"/>
      <c r="C40" s="920"/>
      <c r="D40" s="844" t="s">
        <v>132</v>
      </c>
      <c r="E40" s="845">
        <f>'24'!F40</f>
        <v>0.23</v>
      </c>
      <c r="F40" s="918"/>
      <c r="G40" s="846">
        <f t="shared" si="3"/>
        <v>-0.23</v>
      </c>
      <c r="H40" s="847">
        <f>G40+'24'!H40</f>
        <v>-0.06</v>
      </c>
      <c r="I40" s="845"/>
      <c r="J40" s="849">
        <f>H40/DAY(B2)</f>
        <v>-2.3999999999999998E-3</v>
      </c>
      <c r="K40" s="872"/>
      <c r="L40" s="824"/>
      <c r="O40" s="851"/>
    </row>
    <row r="41" spans="1:15">
      <c r="A41" s="842" t="s">
        <v>170</v>
      </c>
      <c r="B41" s="843"/>
      <c r="C41" s="843"/>
      <c r="D41" s="844" t="s">
        <v>132</v>
      </c>
      <c r="E41" s="845">
        <f>'24'!F41</f>
        <v>96858</v>
      </c>
      <c r="F41" s="918"/>
      <c r="G41" s="846">
        <f t="shared" si="3"/>
        <v>-96858</v>
      </c>
      <c r="H41" s="847">
        <f>G41+'24'!H41</f>
        <v>-63882.37</v>
      </c>
      <c r="I41" s="845"/>
      <c r="J41" s="849">
        <f>H41/DAY(B2)</f>
        <v>-2555.2948000000001</v>
      </c>
      <c r="K41" s="865"/>
      <c r="L41" s="824"/>
      <c r="O41" s="851"/>
    </row>
    <row r="42" spans="1:15">
      <c r="A42" s="842" t="s">
        <v>171</v>
      </c>
      <c r="B42" s="843"/>
      <c r="C42" s="843"/>
      <c r="D42" s="844" t="s">
        <v>132</v>
      </c>
      <c r="E42" s="845">
        <f>'24'!F42</f>
        <v>59129</v>
      </c>
      <c r="F42" s="918"/>
      <c r="G42" s="846">
        <f t="shared" si="3"/>
        <v>-59129</v>
      </c>
      <c r="H42" s="847">
        <f>G42+'24'!H42</f>
        <v>-59128.85</v>
      </c>
      <c r="I42" s="845"/>
      <c r="J42" s="849">
        <f>H42/DAY(B2)</f>
        <v>-2365.154</v>
      </c>
      <c r="K42" s="865"/>
      <c r="L42" s="824"/>
      <c r="O42" s="851"/>
    </row>
    <row r="43" spans="1:15">
      <c r="A43" s="842" t="s">
        <v>172</v>
      </c>
      <c r="B43" s="843"/>
      <c r="C43" s="843"/>
      <c r="D43" s="844" t="s">
        <v>132</v>
      </c>
      <c r="E43" s="845">
        <f>'24'!F43</f>
        <v>884161</v>
      </c>
      <c r="F43" s="918"/>
      <c r="G43" s="846">
        <f t="shared" si="3"/>
        <v>-884161</v>
      </c>
      <c r="H43" s="847">
        <f>G43+'24'!H43</f>
        <v>-825897.83</v>
      </c>
      <c r="I43" s="845"/>
      <c r="J43" s="849">
        <f>H43/DAY(B2)</f>
        <v>-33035.913199999995</v>
      </c>
      <c r="K43" s="865"/>
      <c r="L43" s="824"/>
      <c r="O43" s="851"/>
    </row>
    <row r="44" spans="1:15">
      <c r="A44" s="842" t="s">
        <v>173</v>
      </c>
      <c r="B44" s="843"/>
      <c r="C44" s="843"/>
      <c r="D44" s="844" t="s">
        <v>132</v>
      </c>
      <c r="E44" s="845">
        <f>'24'!F44</f>
        <v>0</v>
      </c>
      <c r="F44" s="918"/>
      <c r="G44" s="846">
        <f t="shared" si="3"/>
        <v>0</v>
      </c>
      <c r="H44" s="847">
        <f>G44+'24'!H44</f>
        <v>0</v>
      </c>
      <c r="I44" s="845"/>
      <c r="J44" s="849">
        <f>H44/DAY(B2)</f>
        <v>0</v>
      </c>
      <c r="K44" s="865"/>
      <c r="L44" s="824"/>
      <c r="O44" s="851"/>
    </row>
    <row r="45" spans="1:15">
      <c r="A45" s="842" t="s">
        <v>174</v>
      </c>
      <c r="B45" s="843"/>
      <c r="C45" s="843"/>
      <c r="D45" s="844" t="s">
        <v>132</v>
      </c>
      <c r="E45" s="845">
        <f>'24'!F45</f>
        <v>614</v>
      </c>
      <c r="F45" s="918"/>
      <c r="G45" s="846">
        <f t="shared" si="3"/>
        <v>-614</v>
      </c>
      <c r="H45" s="847">
        <f>G45+'24'!H45</f>
        <v>-614</v>
      </c>
      <c r="I45" s="845"/>
      <c r="J45" s="849">
        <f>H45/DAY(B2)</f>
        <v>-24.56</v>
      </c>
      <c r="K45" s="865"/>
      <c r="L45" s="824"/>
      <c r="O45" s="851"/>
    </row>
    <row r="46" spans="1:15">
      <c r="A46" s="842" t="s">
        <v>175</v>
      </c>
      <c r="B46" s="843"/>
      <c r="C46" s="843"/>
      <c r="D46" s="844" t="s">
        <v>132</v>
      </c>
      <c r="E46" s="845">
        <f>'24'!F46</f>
        <v>187</v>
      </c>
      <c r="F46" s="918"/>
      <c r="G46" s="846">
        <f t="shared" si="3"/>
        <v>-187</v>
      </c>
      <c r="H46" s="847">
        <f>G46+'24'!H46</f>
        <v>-187</v>
      </c>
      <c r="I46" s="845"/>
      <c r="J46" s="849">
        <f>H46/DAY(B2)</f>
        <v>-7.48</v>
      </c>
      <c r="K46" s="865"/>
      <c r="L46" s="824"/>
      <c r="O46" s="851"/>
    </row>
    <row r="47" spans="1:15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-2355468.23</v>
      </c>
      <c r="H47" s="847">
        <f>G47+'24'!H47</f>
        <v>-1970558.79</v>
      </c>
      <c r="I47" s="845"/>
      <c r="J47" s="849">
        <f>H47/DAY(B2)</f>
        <v>-78822.351599999995</v>
      </c>
      <c r="K47" s="865"/>
      <c r="L47" s="824"/>
      <c r="N47" s="1015"/>
      <c r="O47" s="851"/>
    </row>
    <row r="48" spans="1:15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/>
    </row>
    <row r="49" spans="1:15">
      <c r="A49" s="842" t="s">
        <v>164</v>
      </c>
      <c r="B49" s="921"/>
      <c r="C49" s="921"/>
      <c r="D49" s="844" t="s">
        <v>132</v>
      </c>
      <c r="E49" s="845">
        <f>'24'!F49</f>
        <v>260732</v>
      </c>
      <c r="F49" s="918"/>
      <c r="G49" s="846">
        <f t="shared" ref="G49:G58" si="4">F49-E49</f>
        <v>-260732</v>
      </c>
      <c r="H49" s="847">
        <f>G49+'24'!H49</f>
        <v>-260732.13</v>
      </c>
      <c r="I49" s="845"/>
      <c r="J49" s="849">
        <f>H49/DAY(B2)</f>
        <v>-10429.2852</v>
      </c>
      <c r="K49" s="865"/>
      <c r="L49" s="824"/>
      <c r="O49" s="851"/>
    </row>
    <row r="50" spans="1:15">
      <c r="A50" s="842" t="s">
        <v>178</v>
      </c>
      <c r="B50" s="921"/>
      <c r="C50" s="921"/>
      <c r="D50" s="844" t="s">
        <v>132</v>
      </c>
      <c r="E50" s="845">
        <f>'24'!F50</f>
        <v>432426</v>
      </c>
      <c r="F50" s="918"/>
      <c r="G50" s="846">
        <f t="shared" si="4"/>
        <v>-432426</v>
      </c>
      <c r="H50" s="847">
        <f>G50+'24'!H50</f>
        <v>-403657.03</v>
      </c>
      <c r="I50" s="845"/>
      <c r="J50" s="849">
        <f>H50/DAY(B2)</f>
        <v>-16146.281200000001</v>
      </c>
      <c r="K50" s="865"/>
      <c r="L50" s="824"/>
      <c r="O50" s="851"/>
    </row>
    <row r="51" spans="1:15">
      <c r="A51" s="842" t="s">
        <v>166</v>
      </c>
      <c r="B51" s="921"/>
      <c r="C51" s="921"/>
      <c r="D51" s="844" t="s">
        <v>132</v>
      </c>
      <c r="E51" s="845">
        <f>'24'!F51</f>
        <v>144640</v>
      </c>
      <c r="F51" s="918"/>
      <c r="G51" s="846">
        <f t="shared" si="4"/>
        <v>-144640</v>
      </c>
      <c r="H51" s="847">
        <f>G51+'24'!H51</f>
        <v>-121599.92</v>
      </c>
      <c r="I51" s="845"/>
      <c r="J51" s="849">
        <f>H51/DAY(B2)</f>
        <v>-4863.9967999999999</v>
      </c>
      <c r="K51" s="865"/>
      <c r="L51" s="824"/>
      <c r="O51" s="851"/>
    </row>
    <row r="52" spans="1:15">
      <c r="A52" s="842" t="s">
        <v>179</v>
      </c>
      <c r="B52" s="921"/>
      <c r="C52" s="921"/>
      <c r="D52" s="844" t="s">
        <v>132</v>
      </c>
      <c r="E52" s="845">
        <f>'24'!F52</f>
        <v>539606</v>
      </c>
      <c r="F52" s="918"/>
      <c r="G52" s="846">
        <f t="shared" si="4"/>
        <v>-539606</v>
      </c>
      <c r="H52" s="847">
        <f>G52+'24'!H52</f>
        <v>-509958.71</v>
      </c>
      <c r="I52" s="845"/>
      <c r="J52" s="849">
        <f>H52/DAY(B2)</f>
        <v>-20398.348400000003</v>
      </c>
      <c r="K52" s="865"/>
      <c r="L52" s="824"/>
      <c r="O52" s="851"/>
    </row>
    <row r="53" spans="1:15">
      <c r="A53" s="842" t="s">
        <v>168</v>
      </c>
      <c r="B53" s="921"/>
      <c r="C53" s="921"/>
      <c r="D53" s="844" t="s">
        <v>132</v>
      </c>
      <c r="E53" s="845">
        <f>'24'!F53</f>
        <v>399433</v>
      </c>
      <c r="F53" s="918"/>
      <c r="G53" s="846">
        <f t="shared" si="4"/>
        <v>-399433</v>
      </c>
      <c r="H53" s="847">
        <f>G53+'24'!H53</f>
        <v>-336039.51</v>
      </c>
      <c r="I53" s="845"/>
      <c r="J53" s="849">
        <f>H53/DAY(B2)</f>
        <v>-13441.580400000001</v>
      </c>
      <c r="K53" s="865"/>
      <c r="L53" s="824"/>
      <c r="O53" s="851"/>
    </row>
    <row r="54" spans="1:15">
      <c r="A54" s="842" t="s">
        <v>180</v>
      </c>
      <c r="B54" s="921"/>
      <c r="C54" s="921"/>
      <c r="D54" s="844" t="s">
        <v>132</v>
      </c>
      <c r="E54" s="845">
        <f>'24'!F54</f>
        <v>8657</v>
      </c>
      <c r="F54" s="918"/>
      <c r="G54" s="846">
        <f t="shared" si="4"/>
        <v>-8657</v>
      </c>
      <c r="H54" s="847">
        <f>G54+'24'!H54</f>
        <v>-8095.5999999999995</v>
      </c>
      <c r="I54" s="845"/>
      <c r="J54" s="849">
        <f>H54/DAY(B2)</f>
        <v>-323.82399999999996</v>
      </c>
      <c r="K54" s="865"/>
      <c r="L54" s="824"/>
      <c r="O54" s="851"/>
    </row>
    <row r="55" spans="1:15">
      <c r="A55" s="842" t="s">
        <v>181</v>
      </c>
      <c r="B55" s="921"/>
      <c r="C55" s="921"/>
      <c r="D55" s="844" t="s">
        <v>132</v>
      </c>
      <c r="E55" s="845">
        <f>'24'!F55</f>
        <v>208981</v>
      </c>
      <c r="F55" s="918"/>
      <c r="G55" s="846">
        <f t="shared" si="4"/>
        <v>-208981</v>
      </c>
      <c r="H55" s="847">
        <f>G55+'24'!H55</f>
        <v>-122584.69</v>
      </c>
      <c r="I55" s="845"/>
      <c r="J55" s="849">
        <f>H55/DAY(B2)</f>
        <v>-4903.3876</v>
      </c>
      <c r="K55" s="865"/>
      <c r="L55" s="824"/>
      <c r="O55" s="851"/>
    </row>
    <row r="56" spans="1:15">
      <c r="A56" s="842" t="s">
        <v>182</v>
      </c>
      <c r="B56" s="921"/>
      <c r="C56" s="921"/>
      <c r="D56" s="844" t="s">
        <v>183</v>
      </c>
      <c r="E56" s="845">
        <f>'24'!F56</f>
        <v>588894</v>
      </c>
      <c r="F56" s="918"/>
      <c r="G56" s="846">
        <f t="shared" si="4"/>
        <v>-588894</v>
      </c>
      <c r="H56" s="847">
        <f>G56+'24'!H56</f>
        <v>-586051.03</v>
      </c>
      <c r="I56" s="845"/>
      <c r="J56" s="849">
        <f>H56/DAY(B2)</f>
        <v>-23442.0412</v>
      </c>
      <c r="K56" s="841"/>
      <c r="L56" s="824"/>
      <c r="O56" s="851"/>
    </row>
    <row r="57" spans="1:15">
      <c r="A57" s="842" t="s">
        <v>172</v>
      </c>
      <c r="B57" s="921"/>
      <c r="C57" s="921"/>
      <c r="D57" s="844" t="s">
        <v>132</v>
      </c>
      <c r="E57" s="845">
        <f>'24'!F57</f>
        <v>7711</v>
      </c>
      <c r="F57" s="918"/>
      <c r="G57" s="846">
        <f t="shared" si="4"/>
        <v>-7711</v>
      </c>
      <c r="H57" s="847">
        <f>G57+'24'!H57</f>
        <v>-7711.33</v>
      </c>
      <c r="I57" s="845"/>
      <c r="J57" s="849">
        <f>H57/DAY(B2)</f>
        <v>-308.45319999999998</v>
      </c>
      <c r="K57" s="865"/>
      <c r="L57" s="824"/>
      <c r="O57" s="851"/>
    </row>
    <row r="58" spans="1:15">
      <c r="A58" s="842" t="s">
        <v>184</v>
      </c>
      <c r="B58" s="921"/>
      <c r="C58" s="921"/>
      <c r="D58" s="844" t="s">
        <v>132</v>
      </c>
      <c r="E58" s="845">
        <f>'24'!F58</f>
        <v>40284</v>
      </c>
      <c r="F58" s="918"/>
      <c r="G58" s="846">
        <f t="shared" si="4"/>
        <v>-40284</v>
      </c>
      <c r="H58" s="847">
        <f>G58+'24'!H58</f>
        <v>-36064.699999999997</v>
      </c>
      <c r="I58" s="845"/>
      <c r="J58" s="849">
        <f>H58/DAY(B2)</f>
        <v>-1442.588</v>
      </c>
      <c r="K58" s="865"/>
      <c r="L58" s="824"/>
      <c r="O58" s="851"/>
    </row>
    <row r="59" spans="1:15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-2631364</v>
      </c>
      <c r="H59" s="847">
        <f>G59+'24'!H59</f>
        <v>-2392494.65</v>
      </c>
      <c r="I59" s="845">
        <f>G7-G60</f>
        <v>30155.230000000447</v>
      </c>
      <c r="J59" s="849">
        <f>H59/DAY(B2)</f>
        <v>-95699.785999999993</v>
      </c>
      <c r="K59" s="865"/>
      <c r="L59" s="824"/>
      <c r="O59" s="851"/>
    </row>
    <row r="60" spans="1:15">
      <c r="A60" s="842"/>
      <c r="B60" s="843"/>
      <c r="C60" s="843"/>
      <c r="D60" s="831" t="s">
        <v>185</v>
      </c>
      <c r="E60" s="831"/>
      <c r="F60" s="831"/>
      <c r="G60" s="869">
        <f>G47+G59</f>
        <v>-4986832.2300000004</v>
      </c>
      <c r="H60" s="847">
        <f>G60+'24'!H60</f>
        <v>-4348884.4400000004</v>
      </c>
      <c r="I60" s="845">
        <f>G13-G60</f>
        <v>4665543.2300000004</v>
      </c>
      <c r="J60" s="849">
        <f>H60/DAY(B2)</f>
        <v>-173955.37760000001</v>
      </c>
      <c r="K60" s="865"/>
      <c r="L60" s="824"/>
      <c r="O60" s="851"/>
    </row>
    <row r="61" spans="1:15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/>
    </row>
    <row r="62" spans="1:15">
      <c r="A62" s="926" t="s">
        <v>98</v>
      </c>
      <c r="B62" s="927"/>
      <c r="C62" s="927"/>
      <c r="D62" s="831" t="s">
        <v>187</v>
      </c>
      <c r="E62" s="845">
        <f>'24'!F62</f>
        <v>20419</v>
      </c>
      <c r="F62" s="928"/>
      <c r="G62" s="846">
        <f t="shared" ref="G62:G69" si="5">F62-E62</f>
        <v>-20419</v>
      </c>
      <c r="H62" s="847">
        <f>G62+'24'!H62</f>
        <v>-20419.187000000002</v>
      </c>
      <c r="I62" s="929"/>
      <c r="J62" s="849">
        <f>H62/DAY(B2)</f>
        <v>-816.76748000000009</v>
      </c>
      <c r="K62" s="865"/>
      <c r="L62" s="824"/>
      <c r="O62" s="851"/>
    </row>
    <row r="63" spans="1:15">
      <c r="A63" s="926" t="s">
        <v>188</v>
      </c>
      <c r="B63" s="927"/>
      <c r="C63" s="927"/>
      <c r="D63" s="831" t="s">
        <v>187</v>
      </c>
      <c r="E63" s="845">
        <f>'24'!F63</f>
        <v>2012</v>
      </c>
      <c r="F63" s="928"/>
      <c r="G63" s="846">
        <f t="shared" si="5"/>
        <v>-2012</v>
      </c>
      <c r="H63" s="847">
        <f>G63+'24'!H63</f>
        <v>-1707.36</v>
      </c>
      <c r="I63" s="929"/>
      <c r="J63" s="849">
        <f>H63/DAY(B2)</f>
        <v>-68.294399999999996</v>
      </c>
      <c r="K63" s="865"/>
      <c r="L63" s="824"/>
      <c r="O63" s="851"/>
    </row>
    <row r="64" spans="1:15">
      <c r="A64" s="1500" t="s">
        <v>99</v>
      </c>
      <c r="B64" s="1501"/>
      <c r="C64" s="1502"/>
      <c r="D64" s="844" t="s">
        <v>187</v>
      </c>
      <c r="E64" s="845">
        <f>'24'!F64</f>
        <v>135907</v>
      </c>
      <c r="F64" s="875"/>
      <c r="G64" s="846">
        <f t="shared" si="5"/>
        <v>-135907</v>
      </c>
      <c r="H64" s="847">
        <f>G64+'24'!H64</f>
        <v>-123627.3</v>
      </c>
      <c r="I64" s="866"/>
      <c r="J64" s="849">
        <f>H64/DAY(B2)</f>
        <v>-4945.0920000000006</v>
      </c>
      <c r="K64" s="865"/>
      <c r="L64" s="824"/>
      <c r="O64" s="851"/>
    </row>
    <row r="65" spans="1:15">
      <c r="A65" s="1500" t="s">
        <v>100</v>
      </c>
      <c r="B65" s="1501"/>
      <c r="C65" s="1502"/>
      <c r="D65" s="844" t="s">
        <v>187</v>
      </c>
      <c r="E65" s="845">
        <f>'24'!F65</f>
        <v>141579</v>
      </c>
      <c r="F65" s="875"/>
      <c r="G65" s="846">
        <f t="shared" si="5"/>
        <v>-141579</v>
      </c>
      <c r="H65" s="847">
        <f>G65+'24'!H65</f>
        <v>-132597.29999999999</v>
      </c>
      <c r="I65" s="884"/>
      <c r="J65" s="849">
        <f>H65/DAY(B2)</f>
        <v>-5303.8919999999998</v>
      </c>
      <c r="K65" s="865"/>
      <c r="L65" s="824"/>
      <c r="O65" s="851"/>
    </row>
    <row r="66" spans="1:15">
      <c r="A66" s="1500" t="s">
        <v>101</v>
      </c>
      <c r="B66" s="1501"/>
      <c r="C66" s="1502"/>
      <c r="D66" s="844" t="s">
        <v>187</v>
      </c>
      <c r="E66" s="845">
        <f>'24'!F66</f>
        <v>34324</v>
      </c>
      <c r="F66" s="875"/>
      <c r="G66" s="846">
        <f t="shared" si="5"/>
        <v>-34324</v>
      </c>
      <c r="H66" s="847">
        <f>G66+'24'!H66</f>
        <v>-25159.75</v>
      </c>
      <c r="I66" s="866"/>
      <c r="J66" s="849">
        <f>H66/DAY(B2)</f>
        <v>-1006.39</v>
      </c>
      <c r="K66" s="865"/>
      <c r="L66" s="824"/>
      <c r="O66" s="851"/>
    </row>
    <row r="67" spans="1:15">
      <c r="A67" s="1500" t="s">
        <v>102</v>
      </c>
      <c r="B67" s="1501"/>
      <c r="C67" s="1502"/>
      <c r="D67" s="844" t="s">
        <v>187</v>
      </c>
      <c r="E67" s="845">
        <f>'24'!F67</f>
        <v>224328</v>
      </c>
      <c r="F67" s="875"/>
      <c r="G67" s="846">
        <f t="shared" si="5"/>
        <v>-224328</v>
      </c>
      <c r="H67" s="847">
        <f>G67+'24'!H67</f>
        <v>-207841.83</v>
      </c>
      <c r="I67" s="884"/>
      <c r="J67" s="849">
        <f>H67/DAY(B2)</f>
        <v>-8313.6731999999993</v>
      </c>
      <c r="K67" s="872"/>
      <c r="L67" s="824"/>
      <c r="O67" s="851"/>
    </row>
    <row r="68" spans="1:15">
      <c r="A68" s="1500" t="s">
        <v>103</v>
      </c>
      <c r="B68" s="1501"/>
      <c r="C68" s="1502"/>
      <c r="D68" s="844" t="s">
        <v>187</v>
      </c>
      <c r="E68" s="845">
        <f>'24'!F68</f>
        <v>80766</v>
      </c>
      <c r="F68" s="875"/>
      <c r="G68" s="846">
        <f t="shared" si="5"/>
        <v>-80766</v>
      </c>
      <c r="H68" s="847">
        <f>G68+'24'!H68</f>
        <v>-63461.45</v>
      </c>
      <c r="I68" s="930"/>
      <c r="J68" s="849">
        <f>H68/DAY(B2)</f>
        <v>-2538.4580000000001</v>
      </c>
      <c r="K68" s="931"/>
      <c r="L68" s="824"/>
      <c r="O68" s="851"/>
    </row>
    <row r="69" spans="1:15">
      <c r="A69" s="1500" t="s">
        <v>104</v>
      </c>
      <c r="B69" s="1501"/>
      <c r="C69" s="1502"/>
      <c r="D69" s="844" t="s">
        <v>187</v>
      </c>
      <c r="E69" s="845">
        <f>'24'!F69</f>
        <v>72124</v>
      </c>
      <c r="F69" s="875"/>
      <c r="G69" s="846">
        <f t="shared" si="5"/>
        <v>-72124</v>
      </c>
      <c r="H69" s="847">
        <f>G69+'24'!H69</f>
        <v>-64452.09</v>
      </c>
      <c r="I69" s="930"/>
      <c r="J69" s="849">
        <f>H69/DAY(B2)</f>
        <v>-2578.0835999999999</v>
      </c>
      <c r="K69" s="932"/>
      <c r="L69" s="824"/>
      <c r="O69" s="851"/>
    </row>
    <row r="70" spans="1:15">
      <c r="A70" s="1509" t="s">
        <v>189</v>
      </c>
      <c r="B70" s="1510"/>
      <c r="C70" s="1511"/>
      <c r="D70" s="844" t="s">
        <v>187</v>
      </c>
      <c r="E70" s="933"/>
      <c r="F70" s="934"/>
      <c r="G70" s="934"/>
      <c r="H70" s="847">
        <f>G70+'13'!H70</f>
        <v>0</v>
      </c>
      <c r="I70" s="934"/>
      <c r="J70" s="935"/>
      <c r="K70" s="932"/>
      <c r="L70" s="824"/>
      <c r="O70" s="851"/>
    </row>
    <row r="71" spans="1:15" ht="22.5">
      <c r="A71" s="1506" t="s">
        <v>190</v>
      </c>
      <c r="B71" s="1507"/>
      <c r="C71" s="1507"/>
      <c r="D71" s="1507"/>
      <c r="E71" s="1507"/>
      <c r="F71" s="1507"/>
      <c r="G71" s="1507"/>
      <c r="H71" s="1507"/>
      <c r="I71" s="1507"/>
      <c r="J71" s="1508"/>
      <c r="K71" s="931"/>
      <c r="L71" s="824"/>
      <c r="O71" s="851"/>
    </row>
    <row r="72" spans="1:15">
      <c r="A72" s="1500" t="s">
        <v>191</v>
      </c>
      <c r="B72" s="1501"/>
      <c r="C72" s="1502"/>
      <c r="D72" s="844" t="s">
        <v>187</v>
      </c>
      <c r="E72" s="845">
        <f>'24'!F72</f>
        <v>852740</v>
      </c>
      <c r="F72" s="936"/>
      <c r="G72" s="846">
        <f t="shared" ref="G72:G84" si="6">F72-E72</f>
        <v>-852740</v>
      </c>
      <c r="H72" s="847">
        <f>G72+'24'!H72</f>
        <v>-850682</v>
      </c>
      <c r="I72" s="866"/>
      <c r="J72" s="849">
        <f>H72/DAY(B2)</f>
        <v>-34027.279999999999</v>
      </c>
      <c r="K72" s="932"/>
      <c r="L72" s="824"/>
      <c r="O72" s="851"/>
    </row>
    <row r="73" spans="1:15">
      <c r="A73" s="1500" t="s">
        <v>192</v>
      </c>
      <c r="B73" s="1501"/>
      <c r="C73" s="1502"/>
      <c r="D73" s="844" t="s">
        <v>187</v>
      </c>
      <c r="E73" s="845">
        <f>'24'!F73</f>
        <v>885790</v>
      </c>
      <c r="F73" s="937"/>
      <c r="G73" s="846">
        <f t="shared" si="6"/>
        <v>-885790</v>
      </c>
      <c r="H73" s="847">
        <f>G73+'24'!H73</f>
        <v>-884658</v>
      </c>
      <c r="I73" s="866"/>
      <c r="J73" s="849">
        <f>H73/DAY(B2)</f>
        <v>-35386.32</v>
      </c>
      <c r="K73" s="931"/>
      <c r="L73" s="824"/>
      <c r="O73" s="851"/>
    </row>
    <row r="74" spans="1:15">
      <c r="A74" s="1500" t="s">
        <v>193</v>
      </c>
      <c r="B74" s="1501"/>
      <c r="C74" s="1502"/>
      <c r="D74" s="844" t="s">
        <v>187</v>
      </c>
      <c r="E74" s="845">
        <f>'24'!F74</f>
        <v>1214</v>
      </c>
      <c r="F74" s="938"/>
      <c r="G74" s="846">
        <f t="shared" si="6"/>
        <v>-1214</v>
      </c>
      <c r="H74" s="847">
        <f>G74+'24'!H74</f>
        <v>-586.16999999999996</v>
      </c>
      <c r="I74" s="866"/>
      <c r="J74" s="849">
        <f>H74/DAY(B2)</f>
        <v>-23.4468</v>
      </c>
      <c r="K74" s="932"/>
      <c r="L74" s="824"/>
      <c r="O74" s="851"/>
    </row>
    <row r="75" spans="1:15">
      <c r="A75" s="1503" t="s">
        <v>194</v>
      </c>
      <c r="B75" s="1504"/>
      <c r="C75" s="1505"/>
      <c r="D75" s="844" t="s">
        <v>187</v>
      </c>
      <c r="E75" s="845">
        <f>'24'!F75</f>
        <v>7505</v>
      </c>
      <c r="F75" s="938"/>
      <c r="G75" s="846">
        <f t="shared" si="6"/>
        <v>-7505</v>
      </c>
      <c r="H75" s="847">
        <f>G75+'24'!H75</f>
        <v>-3519.22</v>
      </c>
      <c r="I75" s="866"/>
      <c r="J75" s="849">
        <f>H75/DAY(B2)</f>
        <v>-140.7688</v>
      </c>
      <c r="K75" s="931"/>
      <c r="L75" s="824"/>
      <c r="O75" s="851"/>
    </row>
    <row r="76" spans="1:15">
      <c r="A76" s="1503" t="s">
        <v>195</v>
      </c>
      <c r="B76" s="1504"/>
      <c r="C76" s="1505"/>
      <c r="D76" s="844" t="s">
        <v>187</v>
      </c>
      <c r="E76" s="845">
        <f>'24'!F76</f>
        <v>3451</v>
      </c>
      <c r="F76" s="937"/>
      <c r="G76" s="846">
        <f t="shared" si="6"/>
        <v>-3451</v>
      </c>
      <c r="H76" s="847">
        <f>G76+'24'!H76</f>
        <v>-475.2199999999998</v>
      </c>
      <c r="I76" s="909"/>
      <c r="J76" s="849">
        <f>H76/DAY(B2)</f>
        <v>-19.008799999999994</v>
      </c>
      <c r="K76" s="931"/>
      <c r="L76" s="824"/>
      <c r="O76" s="851"/>
    </row>
    <row r="77" spans="1:15">
      <c r="A77" s="1500" t="s">
        <v>196</v>
      </c>
      <c r="B77" s="1501"/>
      <c r="C77" s="1502"/>
      <c r="D77" s="844" t="s">
        <v>187</v>
      </c>
      <c r="E77" s="845">
        <f>'24'!F77</f>
        <v>699854</v>
      </c>
      <c r="F77" s="937"/>
      <c r="G77" s="846">
        <f t="shared" si="6"/>
        <v>-699854</v>
      </c>
      <c r="H77" s="847">
        <f>G77+'24'!H77</f>
        <v>-698588</v>
      </c>
      <c r="I77" s="909"/>
      <c r="J77" s="849">
        <f>H77/DAY(B2)</f>
        <v>-27943.52</v>
      </c>
      <c r="K77" s="931"/>
      <c r="L77" s="824"/>
      <c r="O77" s="851"/>
    </row>
    <row r="78" spans="1:15">
      <c r="A78" s="939" t="s">
        <v>197</v>
      </c>
      <c r="B78" s="1144"/>
      <c r="C78" s="1144"/>
      <c r="D78" s="844" t="s">
        <v>187</v>
      </c>
      <c r="E78" s="845">
        <f>'24'!F78</f>
        <v>662799</v>
      </c>
      <c r="F78" s="938"/>
      <c r="G78" s="846">
        <f t="shared" si="6"/>
        <v>-662799</v>
      </c>
      <c r="H78" s="847">
        <f>G78+'24'!H78</f>
        <v>-652863</v>
      </c>
      <c r="I78" s="909"/>
      <c r="J78" s="849">
        <f>H78/DAY(B2)</f>
        <v>-26114.52</v>
      </c>
      <c r="K78" s="931"/>
      <c r="L78" s="824"/>
      <c r="O78" s="851"/>
    </row>
    <row r="79" spans="1:15">
      <c r="A79" s="1503" t="s">
        <v>92</v>
      </c>
      <c r="B79" s="1504"/>
      <c r="C79" s="1505"/>
      <c r="D79" s="878" t="s">
        <v>187</v>
      </c>
      <c r="E79" s="845">
        <f>'24'!F79</f>
        <v>819907</v>
      </c>
      <c r="F79" s="938"/>
      <c r="G79" s="846">
        <f t="shared" si="6"/>
        <v>-819907</v>
      </c>
      <c r="H79" s="847">
        <f>G79+'24'!H79</f>
        <v>-812599</v>
      </c>
      <c r="I79" s="909"/>
      <c r="J79" s="849">
        <f>H79/DAY(B2)</f>
        <v>-32503.96</v>
      </c>
      <c r="K79" s="931"/>
      <c r="L79" s="824"/>
      <c r="O79" s="851"/>
    </row>
    <row r="80" spans="1:15">
      <c r="A80" s="1503" t="s">
        <v>198</v>
      </c>
      <c r="B80" s="1504"/>
      <c r="C80" s="1505"/>
      <c r="D80" s="878" t="s">
        <v>187</v>
      </c>
      <c r="E80" s="845">
        <f>'24'!F80</f>
        <v>503279</v>
      </c>
      <c r="F80" s="936"/>
      <c r="G80" s="846">
        <f t="shared" si="6"/>
        <v>-503279</v>
      </c>
      <c r="H80" s="847">
        <f>G80+'24'!H80</f>
        <v>-496614</v>
      </c>
      <c r="I80" s="909"/>
      <c r="J80" s="849">
        <f>H80/DAY(B2)</f>
        <v>-19864.560000000001</v>
      </c>
      <c r="K80" s="931"/>
      <c r="L80" s="824"/>
      <c r="O80" s="851"/>
    </row>
    <row r="81" spans="1:15">
      <c r="A81" s="1503" t="s">
        <v>199</v>
      </c>
      <c r="B81" s="1504"/>
      <c r="C81" s="1505"/>
      <c r="D81" s="878" t="s">
        <v>187</v>
      </c>
      <c r="E81" s="845">
        <f>'24'!F81</f>
        <v>628605</v>
      </c>
      <c r="F81" s="937"/>
      <c r="G81" s="846">
        <f t="shared" si="6"/>
        <v>-628605</v>
      </c>
      <c r="H81" s="847">
        <f>G81+'24'!H81</f>
        <v>-625943.84</v>
      </c>
      <c r="I81" s="909"/>
      <c r="J81" s="849">
        <f>H81/DAY(B2)</f>
        <v>-25037.7536</v>
      </c>
      <c r="K81" s="931"/>
      <c r="L81" s="824"/>
      <c r="O81" s="851"/>
    </row>
    <row r="82" spans="1:15">
      <c r="A82" s="1503" t="s">
        <v>93</v>
      </c>
      <c r="B82" s="1504"/>
      <c r="C82" s="1505"/>
      <c r="D82" s="879" t="s">
        <v>132</v>
      </c>
      <c r="E82" s="845">
        <f>'24'!F82</f>
        <v>106732</v>
      </c>
      <c r="F82" s="940"/>
      <c r="G82" s="846">
        <f t="shared" si="6"/>
        <v>-106732</v>
      </c>
      <c r="H82" s="847">
        <f>G82+'24'!H82</f>
        <v>-106202.48</v>
      </c>
      <c r="I82" s="880"/>
      <c r="J82" s="849">
        <f>H82/DAY(B2)</f>
        <v>-4248.0991999999997</v>
      </c>
      <c r="K82" s="931"/>
      <c r="L82" s="824"/>
      <c r="N82" s="1013">
        <f>371*0.99</f>
        <v>367.29</v>
      </c>
      <c r="O82" s="851"/>
    </row>
    <row r="83" spans="1:15">
      <c r="A83" s="1503" t="s">
        <v>200</v>
      </c>
      <c r="B83" s="1504"/>
      <c r="C83" s="1505"/>
      <c r="D83" s="941" t="s">
        <v>132</v>
      </c>
      <c r="E83" s="845">
        <f>'24'!F83</f>
        <v>4914</v>
      </c>
      <c r="F83" s="831"/>
      <c r="G83" s="846">
        <f t="shared" si="6"/>
        <v>-4914</v>
      </c>
      <c r="H83" s="847">
        <f>G83+'24'!H83</f>
        <v>3403</v>
      </c>
      <c r="I83" s="869"/>
      <c r="J83" s="849">
        <f>H83/DAY(B2)</f>
        <v>136.12</v>
      </c>
      <c r="K83" s="872"/>
      <c r="L83" s="824"/>
      <c r="O83" s="851"/>
    </row>
    <row r="84" spans="1:15">
      <c r="A84" s="942" t="s">
        <v>201</v>
      </c>
      <c r="B84" s="943"/>
      <c r="C84" s="943"/>
      <c r="D84" s="863" t="s">
        <v>132</v>
      </c>
      <c r="E84" s="845">
        <f>'24'!F84</f>
        <v>448965</v>
      </c>
      <c r="F84" s="944"/>
      <c r="G84" s="846">
        <f t="shared" si="6"/>
        <v>-448965</v>
      </c>
      <c r="H84" s="847">
        <f>G84+'24'!H84</f>
        <v>-430798</v>
      </c>
      <c r="I84" s="869"/>
      <c r="J84" s="849">
        <f>H84/DAY(B2)</f>
        <v>-17231.919999999998</v>
      </c>
      <c r="K84" s="945"/>
      <c r="L84" s="824"/>
      <c r="O84" s="851"/>
    </row>
    <row r="85" spans="1:15" s="949" customFormat="1">
      <c r="A85" s="946" t="s">
        <v>202</v>
      </c>
      <c r="B85" s="947"/>
      <c r="C85" s="947"/>
      <c r="D85" s="884"/>
      <c r="E85" s="845"/>
      <c r="F85" s="844"/>
      <c r="G85" s="847">
        <f xml:space="preserve"> SUM(G72:G84)</f>
        <v>-5625755</v>
      </c>
      <c r="H85" s="847">
        <f>G85+'24'!H85</f>
        <v>-5564784.0700000003</v>
      </c>
      <c r="I85" s="869"/>
      <c r="J85" s="849">
        <f>H85/DAY(B2)</f>
        <v>-222591.3628</v>
      </c>
      <c r="K85" s="945"/>
      <c r="L85" s="948"/>
      <c r="N85" s="1016"/>
      <c r="O85" s="851"/>
    </row>
    <row r="86" spans="1:15" s="959" customFormat="1">
      <c r="A86" s="950" t="s">
        <v>94</v>
      </c>
      <c r="B86" s="951"/>
      <c r="C86" s="951"/>
      <c r="D86" s="952" t="s">
        <v>183</v>
      </c>
      <c r="E86" s="845">
        <f>'24'!F86</f>
        <v>453391</v>
      </c>
      <c r="F86" s="953"/>
      <c r="G86" s="954">
        <f t="shared" ref="G86:G90" si="7">F86-E86</f>
        <v>-453391</v>
      </c>
      <c r="H86" s="954">
        <f t="shared" ref="H86:H88" si="8">G86</f>
        <v>-453391</v>
      </c>
      <c r="I86" s="955"/>
      <c r="J86" s="956">
        <f>H86/DAY(B2)</f>
        <v>-18135.64</v>
      </c>
      <c r="K86" s="957"/>
      <c r="L86" s="958"/>
      <c r="N86" s="1017">
        <f>G86/0.995</f>
        <v>-455669.34673366835</v>
      </c>
      <c r="O86" s="851"/>
    </row>
    <row r="87" spans="1:15" s="959" customFormat="1">
      <c r="A87" s="950" t="s">
        <v>95</v>
      </c>
      <c r="B87" s="951"/>
      <c r="C87" s="951"/>
      <c r="D87" s="952" t="s">
        <v>183</v>
      </c>
      <c r="E87" s="845">
        <f>'24'!F87</f>
        <v>79939</v>
      </c>
      <c r="F87" s="953"/>
      <c r="G87" s="954">
        <f t="shared" si="7"/>
        <v>-79939</v>
      </c>
      <c r="H87" s="954">
        <f t="shared" si="8"/>
        <v>-79939</v>
      </c>
      <c r="I87" s="955"/>
      <c r="J87" s="956">
        <f>H87/DAY(B2)</f>
        <v>-3197.56</v>
      </c>
      <c r="K87" s="957"/>
      <c r="L87" s="958"/>
      <c r="N87" s="1017"/>
      <c r="O87" s="851"/>
    </row>
    <row r="88" spans="1:15" s="959" customFormat="1">
      <c r="A88" s="950" t="s">
        <v>96</v>
      </c>
      <c r="B88" s="951"/>
      <c r="C88" s="951"/>
      <c r="D88" s="952" t="s">
        <v>183</v>
      </c>
      <c r="E88" s="845">
        <f>'24'!F88</f>
        <v>150114</v>
      </c>
      <c r="F88" s="953"/>
      <c r="G88" s="954">
        <f t="shared" si="7"/>
        <v>-150114</v>
      </c>
      <c r="H88" s="954">
        <f t="shared" si="8"/>
        <v>-150114</v>
      </c>
      <c r="I88" s="955"/>
      <c r="J88" s="956">
        <f>H88/DAY(B2)</f>
        <v>-6004.56</v>
      </c>
      <c r="K88" s="957"/>
      <c r="L88" s="958"/>
      <c r="N88" s="1017"/>
      <c r="O88" s="851"/>
    </row>
    <row r="89" spans="1:15" s="959" customFormat="1">
      <c r="A89" s="950" t="s">
        <v>204</v>
      </c>
      <c r="B89" s="951"/>
      <c r="C89" s="951"/>
      <c r="D89" s="952" t="s">
        <v>183</v>
      </c>
      <c r="E89" s="845">
        <f>'24'!F89</f>
        <v>63238</v>
      </c>
      <c r="F89" s="953"/>
      <c r="G89" s="954">
        <f t="shared" si="7"/>
        <v>-63238</v>
      </c>
      <c r="H89" s="954">
        <f>G89</f>
        <v>-63238</v>
      </c>
      <c r="I89" s="955"/>
      <c r="J89" s="956">
        <f>H89/DAY(B2)</f>
        <v>-2529.52</v>
      </c>
      <c r="K89" s="957"/>
      <c r="L89" s="958"/>
      <c r="N89" s="1023">
        <f>204/205</f>
        <v>0.99512195121951219</v>
      </c>
      <c r="O89" s="851"/>
    </row>
    <row r="90" spans="1:15" s="959" customFormat="1">
      <c r="A90" s="950" t="s">
        <v>204</v>
      </c>
      <c r="B90" s="951"/>
      <c r="C90" s="951"/>
      <c r="D90" s="952" t="s">
        <v>183</v>
      </c>
      <c r="E90" s="845">
        <f>'24'!F90</f>
        <v>3258</v>
      </c>
      <c r="F90" s="953"/>
      <c r="G90" s="954">
        <f t="shared" si="7"/>
        <v>-3258</v>
      </c>
      <c r="H90" s="954">
        <f>G90</f>
        <v>-3258</v>
      </c>
      <c r="I90" s="955"/>
      <c r="J90" s="956">
        <f>H90/DAY(B2)</f>
        <v>-130.32</v>
      </c>
      <c r="K90" s="957"/>
      <c r="L90" s="958"/>
      <c r="N90" s="1018"/>
      <c r="O90" s="851"/>
    </row>
    <row r="91" spans="1:15" s="949" customFormat="1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/>
    </row>
    <row r="92" spans="1:15">
      <c r="A92" s="1494" t="s">
        <v>206</v>
      </c>
      <c r="B92" s="1495"/>
      <c r="C92" s="1496"/>
      <c r="D92" s="844" t="s">
        <v>144</v>
      </c>
      <c r="E92" s="845">
        <f>'24'!F92</f>
        <v>241863</v>
      </c>
      <c r="F92" s="875"/>
      <c r="G92" s="846">
        <f t="shared" ref="G92:G93" si="9">F92-E92</f>
        <v>-241863</v>
      </c>
      <c r="H92" s="847">
        <f>G92+'24'!H92</f>
        <v>-239695</v>
      </c>
      <c r="I92" s="866"/>
      <c r="J92" s="849">
        <f>H92/DAY(B2)</f>
        <v>-9587.7999999999993</v>
      </c>
      <c r="K92" s="872"/>
      <c r="L92" s="824"/>
      <c r="O92" s="851"/>
    </row>
    <row r="93" spans="1:15">
      <c r="A93" s="1494" t="s">
        <v>207</v>
      </c>
      <c r="B93" s="1495"/>
      <c r="C93" s="1496"/>
      <c r="D93" s="844" t="s">
        <v>144</v>
      </c>
      <c r="E93" s="845">
        <f>'24'!F93</f>
        <v>178651</v>
      </c>
      <c r="F93" s="875"/>
      <c r="G93" s="846">
        <f t="shared" si="9"/>
        <v>-178651</v>
      </c>
      <c r="H93" s="847">
        <f>G93+'24'!H93</f>
        <v>-175661</v>
      </c>
      <c r="I93" s="866"/>
      <c r="J93" s="849">
        <f>H93/DAY(B2)</f>
        <v>-7026.44</v>
      </c>
      <c r="K93" s="945"/>
      <c r="L93" s="824"/>
      <c r="O93" s="851"/>
    </row>
    <row r="94" spans="1:15">
      <c r="A94" s="1512" t="s">
        <v>208</v>
      </c>
      <c r="B94" s="1513"/>
      <c r="C94" s="1514"/>
      <c r="D94" s="844"/>
      <c r="E94" s="845">
        <f>'24'!F94</f>
        <v>0</v>
      </c>
      <c r="F94" s="875"/>
      <c r="G94" s="846">
        <f>G92+G93</f>
        <v>-420514</v>
      </c>
      <c r="H94" s="847">
        <f>G94+'24'!H94</f>
        <v>-415622</v>
      </c>
      <c r="I94" s="866"/>
      <c r="J94" s="849">
        <f>H94/DAY(B2)</f>
        <v>-16624.88</v>
      </c>
      <c r="K94" s="945"/>
      <c r="L94" s="824"/>
      <c r="O94" s="851"/>
    </row>
    <row r="95" spans="1:15">
      <c r="A95" s="1494" t="s">
        <v>209</v>
      </c>
      <c r="B95" s="1495"/>
      <c r="C95" s="1496"/>
      <c r="D95" s="844" t="s">
        <v>144</v>
      </c>
      <c r="E95" s="845">
        <f>'24'!F95</f>
        <v>410164</v>
      </c>
      <c r="F95" s="875"/>
      <c r="G95" s="846">
        <f t="shared" ref="G95:G100" si="10">F95-E95</f>
        <v>-410164</v>
      </c>
      <c r="H95" s="847">
        <f>G95+'24'!H95</f>
        <v>-408156</v>
      </c>
      <c r="I95" s="866"/>
      <c r="J95" s="849">
        <f>H95/DAY(B2)</f>
        <v>-16326.24</v>
      </c>
      <c r="K95" s="945"/>
      <c r="L95" s="824"/>
      <c r="O95" s="851"/>
    </row>
    <row r="96" spans="1:15">
      <c r="A96" s="873" t="s">
        <v>210</v>
      </c>
      <c r="B96" s="874"/>
      <c r="C96" s="874"/>
      <c r="D96" s="844" t="s">
        <v>144</v>
      </c>
      <c r="E96" s="845">
        <f>'24'!F96</f>
        <v>101699</v>
      </c>
      <c r="F96" s="875"/>
      <c r="G96" s="846">
        <f t="shared" si="10"/>
        <v>-101699</v>
      </c>
      <c r="H96" s="847">
        <f>G96+'24'!H96</f>
        <v>-101332</v>
      </c>
      <c r="I96" s="866"/>
      <c r="J96" s="849">
        <f>H96/DAY(B2)</f>
        <v>-4053.28</v>
      </c>
      <c r="K96" s="841"/>
      <c r="L96" s="824"/>
      <c r="O96" s="851"/>
    </row>
    <row r="97" spans="1:15">
      <c r="A97" s="873" t="s">
        <v>211</v>
      </c>
      <c r="B97" s="874"/>
      <c r="C97" s="874"/>
      <c r="D97" s="844" t="s">
        <v>144</v>
      </c>
      <c r="E97" s="845">
        <f>'24'!F97</f>
        <v>96757</v>
      </c>
      <c r="F97" s="996"/>
      <c r="G97" s="846">
        <f t="shared" si="10"/>
        <v>-96757</v>
      </c>
      <c r="H97" s="847">
        <f>G97+'24'!H97</f>
        <v>-96449</v>
      </c>
      <c r="I97" s="866"/>
      <c r="J97" s="849">
        <f>H97/DAY(B2)</f>
        <v>-3857.96</v>
      </c>
      <c r="K97" s="961"/>
      <c r="L97" s="824"/>
      <c r="O97" s="851"/>
    </row>
    <row r="98" spans="1:15">
      <c r="A98" s="873" t="s">
        <v>212</v>
      </c>
      <c r="B98" s="874"/>
      <c r="C98" s="874"/>
      <c r="D98" s="844" t="s">
        <v>144</v>
      </c>
      <c r="E98" s="845">
        <f>'24'!F98</f>
        <v>148687</v>
      </c>
      <c r="F98" s="875"/>
      <c r="G98" s="846">
        <f t="shared" si="10"/>
        <v>-148687</v>
      </c>
      <c r="H98" s="847">
        <f>G98+'24'!H98</f>
        <v>-147608</v>
      </c>
      <c r="I98" s="866"/>
      <c r="J98" s="849">
        <f>H98/DAY(B2)</f>
        <v>-5904.32</v>
      </c>
      <c r="K98" s="945"/>
      <c r="L98" s="824"/>
      <c r="O98" s="851"/>
    </row>
    <row r="99" spans="1:15">
      <c r="A99" s="873" t="s">
        <v>213</v>
      </c>
      <c r="B99" s="874"/>
      <c r="C99" s="874"/>
      <c r="D99" s="844" t="s">
        <v>144</v>
      </c>
      <c r="E99" s="845">
        <f>'24'!F99</f>
        <v>6722</v>
      </c>
      <c r="F99" s="875"/>
      <c r="G99" s="846">
        <f t="shared" si="10"/>
        <v>-6722</v>
      </c>
      <c r="H99" s="847">
        <f>G99+'24'!H99</f>
        <v>-6408</v>
      </c>
      <c r="I99" s="866"/>
      <c r="J99" s="849">
        <f>H99/DAY(B2)</f>
        <v>-256.32</v>
      </c>
      <c r="K99" s="945"/>
      <c r="L99" s="824"/>
      <c r="O99" s="851"/>
    </row>
    <row r="100" spans="1:15">
      <c r="A100" s="873" t="s">
        <v>214</v>
      </c>
      <c r="B100" s="874"/>
      <c r="C100" s="874"/>
      <c r="D100" s="844" t="s">
        <v>144</v>
      </c>
      <c r="E100" s="845">
        <f>'24'!F100</f>
        <v>4841</v>
      </c>
      <c r="F100" s="875"/>
      <c r="G100" s="846">
        <f t="shared" si="10"/>
        <v>-4841</v>
      </c>
      <c r="H100" s="847">
        <f>G100+'24'!H100</f>
        <v>-4543</v>
      </c>
      <c r="I100" s="866"/>
      <c r="J100" s="849">
        <f>H100/DAY(B2)</f>
        <v>-181.72</v>
      </c>
      <c r="K100" s="945"/>
      <c r="L100" s="824"/>
      <c r="O100" s="851"/>
    </row>
    <row r="101" spans="1:15">
      <c r="A101" s="1512" t="s">
        <v>216</v>
      </c>
      <c r="B101" s="1513"/>
      <c r="C101" s="1514"/>
      <c r="D101" s="878"/>
      <c r="E101" s="878"/>
      <c r="F101" s="878"/>
      <c r="G101" s="962">
        <f>SUM(G95:G100)</f>
        <v>-768870</v>
      </c>
      <c r="H101" s="847">
        <f>G101+'24'!H101</f>
        <v>-764496</v>
      </c>
      <c r="I101" s="963"/>
      <c r="J101" s="849">
        <f>H101/DAY(B2)</f>
        <v>-30579.84</v>
      </c>
      <c r="K101" s="945"/>
      <c r="L101" s="824"/>
      <c r="O101" s="851"/>
    </row>
    <row r="102" spans="1:15" s="896" customFormat="1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/>
    </row>
    <row r="103" spans="1:15" s="896" customFormat="1">
      <c r="A103" s="1523" t="s">
        <v>218</v>
      </c>
      <c r="B103" s="1524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/>
    </row>
    <row r="104" spans="1:15" s="896" customFormat="1">
      <c r="A104" s="1525" t="s">
        <v>219</v>
      </c>
      <c r="B104" s="1526"/>
      <c r="C104" s="978"/>
      <c r="D104" s="974" t="s">
        <v>144</v>
      </c>
      <c r="E104" s="975">
        <f>'24'!F104</f>
        <v>7287</v>
      </c>
      <c r="F104" s="975"/>
      <c r="G104" s="975">
        <f>F104-E104</f>
        <v>-7287</v>
      </c>
      <c r="H104" s="976">
        <f>SUM(G104+'1'!G76)</f>
        <v>-7207.85</v>
      </c>
      <c r="I104" s="975"/>
      <c r="J104" s="977">
        <f>H104/DAY(B2)</f>
        <v>-288.31400000000002</v>
      </c>
      <c r="N104" s="1014"/>
      <c r="O104" s="851"/>
    </row>
    <row r="105" spans="1:15" s="896" customFormat="1">
      <c r="A105" s="1525" t="s">
        <v>77</v>
      </c>
      <c r="B105" s="1526"/>
      <c r="C105" s="978"/>
      <c r="D105" s="974" t="s">
        <v>144</v>
      </c>
      <c r="E105" s="975">
        <f>'24'!F105</f>
        <v>35594</v>
      </c>
      <c r="F105" s="979"/>
      <c r="G105" s="975">
        <f t="shared" ref="G105:G106" si="11">F105-E105</f>
        <v>-35594</v>
      </c>
      <c r="H105" s="976">
        <f>SUM(G105+'1'!G77)</f>
        <v>-35549</v>
      </c>
      <c r="I105" s="975"/>
      <c r="J105" s="977">
        <f>H105/DAY(B2)</f>
        <v>-1421.96</v>
      </c>
      <c r="N105" s="1014"/>
      <c r="O105" s="851"/>
    </row>
    <row r="106" spans="1:15" s="896" customFormat="1">
      <c r="A106" s="1525" t="s">
        <v>78</v>
      </c>
      <c r="B106" s="1527"/>
      <c r="C106" s="1526"/>
      <c r="D106" s="974" t="s">
        <v>144</v>
      </c>
      <c r="E106" s="975">
        <f>'24'!F106</f>
        <v>19381</v>
      </c>
      <c r="F106" s="975"/>
      <c r="G106" s="975">
        <f t="shared" si="11"/>
        <v>-19381</v>
      </c>
      <c r="H106" s="976">
        <f>SUM(G106+'1'!G78)</f>
        <v>-18991</v>
      </c>
      <c r="I106" s="975"/>
      <c r="J106" s="977">
        <f>H106/DAY(B2)</f>
        <v>-759.64</v>
      </c>
      <c r="N106" s="1014"/>
      <c r="O106" s="851"/>
    </row>
    <row r="107" spans="1:15" s="896" customFormat="1">
      <c r="A107" s="1528" t="s">
        <v>202</v>
      </c>
      <c r="B107" s="1529"/>
      <c r="C107" s="978"/>
      <c r="D107" s="974"/>
      <c r="E107" s="975">
        <f>'24'!F107</f>
        <v>0</v>
      </c>
      <c r="F107" s="975"/>
      <c r="G107" s="975">
        <f>SUM(G104:G106)</f>
        <v>-62262</v>
      </c>
      <c r="H107" s="976">
        <f>SUM(G107+'1'!G79)</f>
        <v>-62070</v>
      </c>
      <c r="I107" s="975"/>
      <c r="J107" s="977">
        <f>H107/DAY(B2)</f>
        <v>-2482.8000000000002</v>
      </c>
      <c r="N107" s="1014"/>
      <c r="O107" s="851"/>
    </row>
    <row r="108" spans="1:15" s="896" customFormat="1">
      <c r="A108" s="1530" t="s">
        <v>79</v>
      </c>
      <c r="B108" s="1531"/>
      <c r="C108" s="978"/>
      <c r="D108" s="974" t="s">
        <v>144</v>
      </c>
      <c r="E108" s="975">
        <f>'24'!F108</f>
        <v>0</v>
      </c>
      <c r="F108" s="975"/>
      <c r="G108" s="975"/>
      <c r="H108" s="976"/>
      <c r="I108" s="975"/>
      <c r="J108" s="977"/>
      <c r="N108" s="1014"/>
      <c r="O108" s="851"/>
    </row>
    <row r="109" spans="1:15" s="896" customFormat="1">
      <c r="A109" s="1525" t="s">
        <v>220</v>
      </c>
      <c r="B109" s="1526"/>
      <c r="C109" s="978"/>
      <c r="D109" s="974" t="s">
        <v>144</v>
      </c>
      <c r="E109" s="975">
        <f>'24'!F109</f>
        <v>58195</v>
      </c>
      <c r="F109" s="975"/>
      <c r="G109" s="975">
        <f>F109-E109</f>
        <v>-58195</v>
      </c>
      <c r="H109" s="976">
        <f>SUM(G109+'1'!G81)</f>
        <v>-58082.439999999944</v>
      </c>
      <c r="I109" s="975"/>
      <c r="J109" s="977">
        <f>H109/DAY(B2)</f>
        <v>-2323.2975999999976</v>
      </c>
      <c r="N109" s="1014"/>
      <c r="O109" s="851"/>
    </row>
    <row r="110" spans="1:15" s="896" customFormat="1">
      <c r="A110" s="1525" t="s">
        <v>221</v>
      </c>
      <c r="B110" s="1526"/>
      <c r="C110" s="978"/>
      <c r="D110" s="974" t="s">
        <v>144</v>
      </c>
      <c r="E110" s="975">
        <f>'24'!F110</f>
        <v>31489</v>
      </c>
      <c r="F110" s="975"/>
      <c r="G110" s="975">
        <f t="shared" ref="G110:G111" si="12">F110-E110</f>
        <v>-31489</v>
      </c>
      <c r="H110" s="976">
        <f>SUM(G110+'1'!G82)</f>
        <v>-31470.83</v>
      </c>
      <c r="I110" s="975"/>
      <c r="J110" s="977">
        <f>H110/DAY(B2)</f>
        <v>-1258.8332</v>
      </c>
      <c r="N110" s="1014"/>
      <c r="O110" s="851"/>
    </row>
    <row r="111" spans="1:15" s="896" customFormat="1">
      <c r="A111" s="1525" t="s">
        <v>222</v>
      </c>
      <c r="B111" s="1526"/>
      <c r="C111" s="978"/>
      <c r="D111" s="974" t="s">
        <v>144</v>
      </c>
      <c r="E111" s="975">
        <f>'24'!F111</f>
        <v>4117</v>
      </c>
      <c r="F111" s="975"/>
      <c r="G111" s="975">
        <f t="shared" si="12"/>
        <v>-4117</v>
      </c>
      <c r="H111" s="976">
        <f>SUM(G111+'1'!G83)</f>
        <v>-3597</v>
      </c>
      <c r="I111" s="975"/>
      <c r="J111" s="977">
        <f>H111/DAY(B2)</f>
        <v>-143.88</v>
      </c>
      <c r="N111" s="1014"/>
      <c r="O111" s="851"/>
    </row>
    <row r="112" spans="1:15" s="896" customFormat="1">
      <c r="A112" s="1532" t="s">
        <v>110</v>
      </c>
      <c r="B112" s="1533"/>
      <c r="C112" s="978"/>
      <c r="D112" s="974"/>
      <c r="E112" s="975">
        <f>'24'!F112</f>
        <v>0</v>
      </c>
      <c r="F112" s="975"/>
      <c r="G112" s="975">
        <f>SUM(G109:G111)</f>
        <v>-93801</v>
      </c>
      <c r="H112" s="976">
        <f>SUM(G112+'1'!G84)</f>
        <v>-93111</v>
      </c>
      <c r="I112" s="975"/>
      <c r="J112" s="977">
        <f>H112/DAY(B2)</f>
        <v>-3724.44</v>
      </c>
      <c r="N112" s="1014"/>
      <c r="O112" s="851"/>
    </row>
    <row r="113" spans="1:15" s="896" customFormat="1">
      <c r="A113" s="1530" t="s">
        <v>223</v>
      </c>
      <c r="B113" s="1531"/>
      <c r="C113" s="978"/>
      <c r="D113" s="974"/>
      <c r="E113" s="975">
        <f>'24'!F113</f>
        <v>0</v>
      </c>
      <c r="F113" s="975"/>
      <c r="G113" s="975"/>
      <c r="H113" s="976"/>
      <c r="I113" s="975"/>
      <c r="J113" s="977">
        <f>H113/DAY(B2)</f>
        <v>0</v>
      </c>
      <c r="N113" s="1014"/>
      <c r="O113" s="851"/>
    </row>
    <row r="114" spans="1:15" s="896" customFormat="1">
      <c r="A114" s="1525" t="s">
        <v>224</v>
      </c>
      <c r="B114" s="1526"/>
      <c r="C114" s="980"/>
      <c r="D114" s="974" t="s">
        <v>144</v>
      </c>
      <c r="E114" s="975">
        <f>'24'!F114</f>
        <v>10701</v>
      </c>
      <c r="F114" s="979"/>
      <c r="G114" s="979">
        <f>F114-E114</f>
        <v>-10701</v>
      </c>
      <c r="H114" s="976">
        <f>SUM(G114+'1'!G91)</f>
        <v>-10701</v>
      </c>
      <c r="I114" s="975"/>
      <c r="J114" s="977">
        <f>H114/DAY(B2)</f>
        <v>-428.04</v>
      </c>
      <c r="N114" s="1014"/>
      <c r="O114" s="851"/>
    </row>
    <row r="115" spans="1:15" s="896" customFormat="1">
      <c r="A115" s="1525" t="s">
        <v>225</v>
      </c>
      <c r="B115" s="1526"/>
      <c r="C115" s="980"/>
      <c r="D115" s="974" t="s">
        <v>144</v>
      </c>
      <c r="E115" s="975">
        <f>'24'!F115</f>
        <v>7898</v>
      </c>
      <c r="F115" s="979"/>
      <c r="G115" s="979">
        <f t="shared" ref="G115:G116" si="13">F115-E115</f>
        <v>-7898</v>
      </c>
      <c r="H115" s="976">
        <f>SUM(G115+'1'!G92)</f>
        <v>-7776</v>
      </c>
      <c r="I115" s="975"/>
      <c r="J115" s="977">
        <f>H115/DAY(B2)</f>
        <v>-311.04000000000002</v>
      </c>
      <c r="N115" s="1014"/>
      <c r="O115" s="851"/>
    </row>
    <row r="116" spans="1:15" s="896" customFormat="1">
      <c r="A116" s="1525" t="s">
        <v>226</v>
      </c>
      <c r="B116" s="1526"/>
      <c r="C116" s="980"/>
      <c r="D116" s="974" t="s">
        <v>144</v>
      </c>
      <c r="E116" s="979"/>
      <c r="F116" s="979"/>
      <c r="G116" s="979">
        <f t="shared" si="13"/>
        <v>0</v>
      </c>
      <c r="H116" s="976">
        <f>SUM(G116+'1'!G93)</f>
        <v>144</v>
      </c>
      <c r="I116" s="975"/>
      <c r="J116" s="977">
        <f>H116/DAY(B2)</f>
        <v>5.76</v>
      </c>
      <c r="N116" s="1014"/>
      <c r="O116" s="851"/>
    </row>
    <row r="117" spans="1:15" s="982" customFormat="1">
      <c r="A117" s="1528" t="s">
        <v>202</v>
      </c>
      <c r="B117" s="1529"/>
      <c r="C117" s="980"/>
      <c r="D117" s="981"/>
      <c r="E117" s="979"/>
      <c r="F117" s="979"/>
      <c r="G117" s="979">
        <f>SUM(G114:G116)</f>
        <v>-18599</v>
      </c>
      <c r="H117" s="976">
        <f>SUM(G117+'1'!G95)</f>
        <v>-18523</v>
      </c>
      <c r="I117" s="979"/>
      <c r="J117" s="977">
        <f>H117/DAY(B2)</f>
        <v>-740.92</v>
      </c>
      <c r="N117" s="1019"/>
      <c r="O117" s="851"/>
    </row>
    <row r="118" spans="1:15" s="774" customFormat="1">
      <c r="A118" s="1534" t="s">
        <v>227</v>
      </c>
      <c r="B118" s="1535"/>
      <c r="C118" s="983"/>
      <c r="D118" s="984" t="s">
        <v>144</v>
      </c>
      <c r="E118" s="985"/>
      <c r="F118" s="986"/>
      <c r="G118" s="986">
        <f>SUM(G19+G92)</f>
        <v>-377586</v>
      </c>
      <c r="H118" s="976">
        <f>SUM(G118+'1'!G96)</f>
        <v>-377573</v>
      </c>
      <c r="I118" s="985"/>
      <c r="J118" s="987">
        <f>H118/DAY(B2)</f>
        <v>-15102.92</v>
      </c>
      <c r="N118" s="1020"/>
      <c r="O118" s="851"/>
    </row>
    <row r="119" spans="1:15" s="774" customFormat="1">
      <c r="A119" s="1534" t="s">
        <v>228</v>
      </c>
      <c r="B119" s="1535"/>
      <c r="C119" s="983"/>
      <c r="D119" s="984" t="s">
        <v>144</v>
      </c>
      <c r="E119" s="985"/>
      <c r="F119" s="986"/>
      <c r="G119" s="986">
        <f>SUM(G95,G96,G97,G99,G100)</f>
        <v>-620183</v>
      </c>
      <c r="H119" s="976">
        <f>SUM(G119+'1'!G98)</f>
        <v>-620113</v>
      </c>
      <c r="I119" s="985"/>
      <c r="J119" s="987">
        <f>H119/DAY(B2)</f>
        <v>-24804.52</v>
      </c>
      <c r="N119" s="1020"/>
      <c r="O119" s="851"/>
    </row>
    <row r="120" spans="1:15" s="774" customFormat="1">
      <c r="A120" s="1534" t="s">
        <v>229</v>
      </c>
      <c r="B120" s="1535"/>
      <c r="C120" s="983"/>
      <c r="D120" s="984" t="s">
        <v>144</v>
      </c>
      <c r="E120" s="985"/>
      <c r="F120" s="979"/>
      <c r="G120" s="979">
        <f>SUM(G112)</f>
        <v>-93801</v>
      </c>
      <c r="H120" s="976">
        <f>SUM(G120+'1'!G100)</f>
        <v>-93787</v>
      </c>
      <c r="I120" s="985"/>
      <c r="J120" s="987">
        <f>H120/DAY(B2)</f>
        <v>-3751.48</v>
      </c>
      <c r="N120" s="1020"/>
      <c r="O120" s="851"/>
    </row>
    <row r="121" spans="1:15" s="896" customFormat="1">
      <c r="A121" s="1536"/>
      <c r="B121" s="1537"/>
      <c r="C121" s="978"/>
      <c r="D121" s="973"/>
      <c r="E121" s="973"/>
      <c r="F121" s="973"/>
      <c r="G121" s="973"/>
      <c r="H121" s="988"/>
      <c r="I121" s="973"/>
      <c r="J121" s="989"/>
      <c r="N121" s="1014"/>
      <c r="O121" s="851"/>
    </row>
    <row r="122" spans="1:15">
      <c r="A122" s="1515" t="s">
        <v>230</v>
      </c>
      <c r="B122" s="1516"/>
      <c r="C122" s="1517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/>
    </row>
    <row r="123" spans="1:15">
      <c r="A123" s="873" t="s">
        <v>231</v>
      </c>
      <c r="B123" s="874"/>
      <c r="C123" s="874"/>
      <c r="D123" s="844" t="s">
        <v>141</v>
      </c>
      <c r="E123" s="845">
        <f>'24'!F123</f>
        <v>816987</v>
      </c>
      <c r="F123" s="863"/>
      <c r="G123" s="846">
        <f t="shared" ref="G123:G127" si="14">F123-E123</f>
        <v>-816987</v>
      </c>
      <c r="H123" s="847">
        <f>G123+'24'!H123</f>
        <v>-811006.84</v>
      </c>
      <c r="I123" s="963"/>
      <c r="J123" s="849">
        <f>H123/DAY(B2)</f>
        <v>-32440.2736</v>
      </c>
      <c r="K123" s="945"/>
      <c r="L123" s="824"/>
      <c r="O123" s="851"/>
    </row>
    <row r="124" spans="1:15">
      <c r="A124" s="873" t="s">
        <v>232</v>
      </c>
      <c r="B124" s="874"/>
      <c r="C124" s="874"/>
      <c r="D124" s="844" t="s">
        <v>141</v>
      </c>
      <c r="E124" s="845">
        <f>'24'!F124</f>
        <v>73583</v>
      </c>
      <c r="F124" s="991"/>
      <c r="G124" s="846">
        <f t="shared" si="14"/>
        <v>-73583</v>
      </c>
      <c r="H124" s="847">
        <f>G124+'24'!H124</f>
        <v>-73583.399999999994</v>
      </c>
      <c r="I124" s="963"/>
      <c r="J124" s="849">
        <f>H124/DAY(B2)</f>
        <v>-2943.3359999999998</v>
      </c>
      <c r="K124" s="945"/>
      <c r="L124" s="824"/>
      <c r="O124" s="851"/>
    </row>
    <row r="125" spans="1:15">
      <c r="A125" s="1500" t="s">
        <v>233</v>
      </c>
      <c r="B125" s="1501"/>
      <c r="C125" s="1502"/>
      <c r="D125" s="844" t="s">
        <v>141</v>
      </c>
      <c r="E125" s="845">
        <f>'24'!F125</f>
        <v>141548.57999999999</v>
      </c>
      <c r="F125" s="863"/>
      <c r="G125" s="846">
        <f t="shared" si="14"/>
        <v>-141548.57999999999</v>
      </c>
      <c r="H125" s="847">
        <f>G125+'24'!H125</f>
        <v>-139979.34</v>
      </c>
      <c r="I125" s="963"/>
      <c r="J125" s="849">
        <f>H125/DAY(B2)</f>
        <v>-5599.1736000000001</v>
      </c>
      <c r="K125" s="945"/>
      <c r="L125" s="824"/>
      <c r="O125" s="851"/>
    </row>
    <row r="126" spans="1:15">
      <c r="A126" s="992" t="s">
        <v>234</v>
      </c>
      <c r="B126" s="874"/>
      <c r="C126" s="874"/>
      <c r="D126" s="844" t="s">
        <v>141</v>
      </c>
      <c r="E126" s="845">
        <f>'24'!F126</f>
        <v>59823</v>
      </c>
      <c r="F126" s="991"/>
      <c r="G126" s="846">
        <f t="shared" si="14"/>
        <v>-59823</v>
      </c>
      <c r="H126" s="847">
        <f>G126+'24'!H126</f>
        <v>-59306.9</v>
      </c>
      <c r="I126" s="963"/>
      <c r="J126" s="849">
        <f>H126/DAY(B2)</f>
        <v>-2372.2759999999998</v>
      </c>
      <c r="K126" s="945"/>
      <c r="L126" s="824"/>
      <c r="O126" s="851"/>
    </row>
    <row r="127" spans="1:15">
      <c r="A127" s="992" t="s">
        <v>235</v>
      </c>
      <c r="B127" s="874"/>
      <c r="C127" s="874"/>
      <c r="D127" s="844" t="s">
        <v>141</v>
      </c>
      <c r="E127" s="845">
        <f>'24'!F127</f>
        <v>8944</v>
      </c>
      <c r="F127" s="991"/>
      <c r="G127" s="846">
        <f t="shared" si="14"/>
        <v>-8944</v>
      </c>
      <c r="H127" s="847">
        <f>G127+'24'!H127</f>
        <v>-8887.7999999999993</v>
      </c>
      <c r="I127" s="866"/>
      <c r="J127" s="849">
        <f>H127/DAY(B2)</f>
        <v>-355.51199999999994</v>
      </c>
      <c r="K127" s="945"/>
      <c r="L127" s="824"/>
      <c r="O127" s="851"/>
    </row>
    <row r="128" spans="1:15">
      <c r="A128" s="992" t="s">
        <v>236</v>
      </c>
      <c r="B128" s="874"/>
      <c r="C128" s="874"/>
      <c r="D128" s="844"/>
      <c r="E128" s="845"/>
      <c r="F128" s="863"/>
      <c r="G128" s="846">
        <f>G15-SUM(G123:G127)</f>
        <v>-539292.41999999993</v>
      </c>
      <c r="H128" s="847">
        <f>G128+'24'!H128</f>
        <v>-534980.75899999996</v>
      </c>
      <c r="I128" s="866"/>
      <c r="J128" s="849">
        <f>H128/DAY(B2)</f>
        <v>-21399.230359999998</v>
      </c>
      <c r="K128" s="945"/>
      <c r="L128" s="824"/>
      <c r="O128" s="851"/>
    </row>
    <row r="129" spans="1:16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/>
    </row>
    <row r="130" spans="1:16">
      <c r="A130" s="873" t="s">
        <v>238</v>
      </c>
      <c r="B130" s="874"/>
      <c r="C130" s="874"/>
      <c r="D130" s="844" t="s">
        <v>239</v>
      </c>
      <c r="E130" s="845">
        <f>'24'!F130</f>
        <v>0</v>
      </c>
      <c r="F130" s="875"/>
      <c r="G130" s="846">
        <f t="shared" ref="G130:G140" si="15">F130-E130</f>
        <v>0</v>
      </c>
      <c r="H130" s="847">
        <f>G130+'24'!H130</f>
        <v>0</v>
      </c>
      <c r="I130" s="866"/>
      <c r="J130" s="849">
        <f>H130/DAY(B2)</f>
        <v>0</v>
      </c>
      <c r="O130" s="851"/>
    </row>
    <row r="131" spans="1:16">
      <c r="A131" s="873" t="s">
        <v>240</v>
      </c>
      <c r="B131" s="874"/>
      <c r="C131" s="874"/>
      <c r="D131" s="844" t="s">
        <v>239</v>
      </c>
      <c r="E131" s="845">
        <f>'24'!F131</f>
        <v>0</v>
      </c>
      <c r="F131" s="875"/>
      <c r="G131" s="846">
        <f t="shared" si="15"/>
        <v>0</v>
      </c>
      <c r="H131" s="847">
        <f>G131+'24'!H131</f>
        <v>0</v>
      </c>
      <c r="I131" s="866"/>
      <c r="J131" s="849">
        <f>H131/DAY(B2)</f>
        <v>0</v>
      </c>
      <c r="O131" s="851"/>
    </row>
    <row r="132" spans="1:16">
      <c r="A132" s="873" t="s">
        <v>241</v>
      </c>
      <c r="B132" s="874"/>
      <c r="C132" s="874"/>
      <c r="D132" s="844" t="s">
        <v>239</v>
      </c>
      <c r="E132" s="845">
        <f>'24'!F132</f>
        <v>39365.279999999999</v>
      </c>
      <c r="F132" s="996"/>
      <c r="G132" s="846">
        <f t="shared" si="15"/>
        <v>-39365.279999999999</v>
      </c>
      <c r="H132" s="847">
        <f>G132+'24'!H132</f>
        <v>-38838.33</v>
      </c>
      <c r="I132" s="866"/>
      <c r="J132" s="849">
        <f>H132/DAY(B2)</f>
        <v>-1553.5332000000001</v>
      </c>
      <c r="O132" s="851"/>
      <c r="P132" s="811">
        <f>49-24</f>
        <v>25</v>
      </c>
    </row>
    <row r="133" spans="1:16">
      <c r="A133" s="873" t="s">
        <v>242</v>
      </c>
      <c r="B133" s="874"/>
      <c r="C133" s="874"/>
      <c r="D133" s="844" t="s">
        <v>239</v>
      </c>
      <c r="E133" s="845">
        <f>'24'!F133</f>
        <v>299.52</v>
      </c>
      <c r="F133" s="996"/>
      <c r="G133" s="846">
        <f t="shared" si="15"/>
        <v>-299.52</v>
      </c>
      <c r="H133" s="847">
        <f>G133+'24'!H133</f>
        <v>-300</v>
      </c>
      <c r="I133" s="866">
        <f>G130+G131+G132+G133</f>
        <v>-39664.799999999996</v>
      </c>
      <c r="J133" s="849">
        <f>H133/DAY(B2)</f>
        <v>-12</v>
      </c>
      <c r="O133" s="851"/>
    </row>
    <row r="134" spans="1:16">
      <c r="A134" s="873" t="s">
        <v>243</v>
      </c>
      <c r="B134" s="874"/>
      <c r="C134" s="874"/>
      <c r="D134" s="844" t="s">
        <v>239</v>
      </c>
      <c r="E134" s="845">
        <f>'24'!F134</f>
        <v>40802</v>
      </c>
      <c r="F134" s="996"/>
      <c r="G134" s="846">
        <f t="shared" si="15"/>
        <v>-40802</v>
      </c>
      <c r="H134" s="847">
        <f>G134+'24'!H134</f>
        <v>-40778</v>
      </c>
      <c r="I134" s="866"/>
      <c r="J134" s="849">
        <f>H134/DAY(B2)</f>
        <v>-1631.12</v>
      </c>
      <c r="O134" s="851"/>
    </row>
    <row r="135" spans="1:16">
      <c r="A135" s="873" t="s">
        <v>244</v>
      </c>
      <c r="B135" s="874"/>
      <c r="C135" s="874"/>
      <c r="D135" s="844" t="s">
        <v>239</v>
      </c>
      <c r="E135" s="845">
        <f>'24'!F135</f>
        <v>32582.93</v>
      </c>
      <c r="F135" s="996"/>
      <c r="G135" s="846">
        <f t="shared" si="15"/>
        <v>-32582.93</v>
      </c>
      <c r="H135" s="847">
        <f>G135+'24'!H135</f>
        <v>-32569.93</v>
      </c>
      <c r="I135" s="866"/>
      <c r="J135" s="849">
        <f>H135/DAY(B2)</f>
        <v>-1302.7972</v>
      </c>
      <c r="O135" s="851"/>
    </row>
    <row r="136" spans="1:16">
      <c r="A136" s="873" t="s">
        <v>245</v>
      </c>
      <c r="B136" s="874"/>
      <c r="C136" s="874"/>
      <c r="D136" s="844" t="s">
        <v>239</v>
      </c>
      <c r="E136" s="845">
        <f>'24'!F136</f>
        <v>22422.25</v>
      </c>
      <c r="F136" s="996"/>
      <c r="G136" s="846">
        <f t="shared" si="15"/>
        <v>-22422.25</v>
      </c>
      <c r="H136" s="847">
        <f>G136+'24'!H136</f>
        <v>-22222.21</v>
      </c>
      <c r="I136" s="866">
        <f>G134+G135+G136</f>
        <v>-95807.18</v>
      </c>
      <c r="J136" s="849">
        <f>H136/DAY(B2)</f>
        <v>-888.88839999999993</v>
      </c>
      <c r="O136" s="851"/>
    </row>
    <row r="137" spans="1:16">
      <c r="A137" s="873" t="s">
        <v>246</v>
      </c>
      <c r="B137" s="874"/>
      <c r="C137" s="874"/>
      <c r="D137" s="844" t="s">
        <v>239</v>
      </c>
      <c r="E137" s="845">
        <f>'24'!F137</f>
        <v>25048.97</v>
      </c>
      <c r="F137" s="996"/>
      <c r="G137" s="846">
        <f t="shared" si="15"/>
        <v>-25048.97</v>
      </c>
      <c r="H137" s="847">
        <f>G137+'24'!H137</f>
        <v>-25036.31</v>
      </c>
      <c r="I137" s="866"/>
      <c r="J137" s="849">
        <f>H137/DAY(B2)</f>
        <v>-1001.4524</v>
      </c>
      <c r="O137" s="851"/>
    </row>
    <row r="138" spans="1:16">
      <c r="A138" s="873" t="s">
        <v>247</v>
      </c>
      <c r="B138" s="874"/>
      <c r="C138" s="874"/>
      <c r="D138" s="844" t="s">
        <v>239</v>
      </c>
      <c r="E138" s="845">
        <f>'24'!F138</f>
        <v>70238</v>
      </c>
      <c r="F138" s="996"/>
      <c r="G138" s="846">
        <f t="shared" si="15"/>
        <v>-70238</v>
      </c>
      <c r="H138" s="847">
        <f>G138+'24'!H138</f>
        <v>-70223</v>
      </c>
      <c r="I138" s="866">
        <f>G137+G138</f>
        <v>-95286.97</v>
      </c>
      <c r="J138" s="849">
        <f>H138/DAY(B2)</f>
        <v>-2808.92</v>
      </c>
      <c r="O138" s="851"/>
    </row>
    <row r="139" spans="1:16">
      <c r="A139" s="873" t="s">
        <v>248</v>
      </c>
      <c r="B139" s="874"/>
      <c r="C139" s="874"/>
      <c r="D139" s="844" t="s">
        <v>239</v>
      </c>
      <c r="E139" s="845">
        <f>'24'!F139</f>
        <v>1536.52</v>
      </c>
      <c r="F139" s="875"/>
      <c r="G139" s="846">
        <f t="shared" si="15"/>
        <v>-1536.52</v>
      </c>
      <c r="H139" s="847">
        <f>G139+'24'!H139</f>
        <v>-1423.14</v>
      </c>
      <c r="I139" s="997"/>
      <c r="J139" s="849">
        <f>H139/DAY(B2)</f>
        <v>-56.925600000000003</v>
      </c>
      <c r="O139" s="851"/>
    </row>
    <row r="140" spans="1:16">
      <c r="A140" s="873" t="s">
        <v>249</v>
      </c>
      <c r="B140" s="874"/>
      <c r="C140" s="874"/>
      <c r="D140" s="844" t="s">
        <v>239</v>
      </c>
      <c r="E140" s="845">
        <f>'24'!F140</f>
        <v>4408.37</v>
      </c>
      <c r="F140" s="875"/>
      <c r="G140" s="846">
        <f t="shared" si="15"/>
        <v>-4408.37</v>
      </c>
      <c r="H140" s="847">
        <f>G140+'24'!H140</f>
        <v>-4334</v>
      </c>
      <c r="I140" s="997"/>
      <c r="J140" s="849">
        <f>H140/DAY(B2)</f>
        <v>-173.36</v>
      </c>
      <c r="O140" s="851"/>
    </row>
    <row r="141" spans="1:16">
      <c r="A141" s="1518" t="s">
        <v>250</v>
      </c>
      <c r="B141" s="1519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/>
    </row>
    <row r="142" spans="1:16">
      <c r="A142" s="1494" t="s">
        <v>251</v>
      </c>
      <c r="B142" s="1495"/>
      <c r="C142" s="1496"/>
      <c r="D142" s="844" t="s">
        <v>132</v>
      </c>
      <c r="E142" s="844"/>
      <c r="F142" s="844"/>
      <c r="G142" s="847">
        <f>G35+G43+G49+G57</f>
        <v>-1927274</v>
      </c>
      <c r="H142" s="847">
        <f>G142+'24'!H142</f>
        <v>-1789744.52</v>
      </c>
      <c r="I142" s="866"/>
      <c r="J142" s="849">
        <f>H142/DAY(B2)</f>
        <v>-71589.780800000008</v>
      </c>
      <c r="K142" s="945"/>
      <c r="L142" s="824"/>
      <c r="O142" s="851"/>
    </row>
    <row r="143" spans="1:16">
      <c r="A143" s="1494" t="s">
        <v>252</v>
      </c>
      <c r="B143" s="1495"/>
      <c r="C143" s="1496"/>
      <c r="D143" s="844" t="s">
        <v>24</v>
      </c>
      <c r="E143" s="831"/>
      <c r="F143" s="831"/>
      <c r="G143" s="998">
        <f>G142/G7</f>
        <v>0.38882380272105688</v>
      </c>
      <c r="H143" s="847">
        <f>G143+'24'!H143</f>
        <v>6.6530851143557843</v>
      </c>
      <c r="I143" s="999"/>
      <c r="J143" s="849">
        <f>H143/DAY(B2)</f>
        <v>0.26612340457423139</v>
      </c>
      <c r="K143" s="945"/>
      <c r="L143" s="824"/>
      <c r="O143" s="851"/>
    </row>
    <row r="144" spans="1:16">
      <c r="A144" s="1494" t="s">
        <v>253</v>
      </c>
      <c r="B144" s="1495"/>
      <c r="C144" s="1496"/>
      <c r="D144" s="844" t="s">
        <v>132</v>
      </c>
      <c r="E144" s="845"/>
      <c r="F144" s="845"/>
      <c r="G144" s="847">
        <f>G41+G42+G55+G56</f>
        <v>-953862</v>
      </c>
      <c r="H144" s="847">
        <f>G144+'24'!H144</f>
        <v>-826647.94000000006</v>
      </c>
      <c r="I144" s="866"/>
      <c r="J144" s="849">
        <f>H144/DAY(B2)</f>
        <v>-33065.917600000001</v>
      </c>
      <c r="K144" s="945"/>
      <c r="L144" s="824"/>
      <c r="O144" s="851"/>
    </row>
    <row r="145" spans="1:15">
      <c r="A145" s="1494" t="s">
        <v>254</v>
      </c>
      <c r="B145" s="1495"/>
      <c r="C145" s="1496"/>
      <c r="D145" s="844" t="s">
        <v>24</v>
      </c>
      <c r="E145" s="845"/>
      <c r="F145" s="845"/>
      <c r="G145" s="998">
        <f>G144/G7</f>
        <v>0.19243981401249263</v>
      </c>
      <c r="H145" s="847">
        <f>G145+'24'!H145</f>
        <v>6.1517971840105776</v>
      </c>
      <c r="I145" s="999"/>
      <c r="J145" s="849">
        <f>H145/DAY(B2)</f>
        <v>0.2460718873604231</v>
      </c>
      <c r="K145" s="945"/>
      <c r="L145" s="824"/>
      <c r="O145" s="851"/>
    </row>
    <row r="146" spans="1:15">
      <c r="A146" s="1494" t="s">
        <v>255</v>
      </c>
      <c r="B146" s="1495"/>
      <c r="C146" s="1496"/>
      <c r="D146" s="844" t="s">
        <v>132</v>
      </c>
      <c r="E146" s="845"/>
      <c r="F146" s="845"/>
      <c r="G146" s="847">
        <f>G39+G53</f>
        <v>-524043</v>
      </c>
      <c r="H146" s="847">
        <f>G146+'24'!H146</f>
        <v>-322461.62</v>
      </c>
      <c r="I146" s="1000"/>
      <c r="J146" s="849">
        <f>H146/DAY(B2)</f>
        <v>-12898.4648</v>
      </c>
      <c r="K146" s="945"/>
      <c r="L146" s="824"/>
      <c r="O146" s="851"/>
    </row>
    <row r="147" spans="1:15">
      <c r="A147" s="1494" t="s">
        <v>256</v>
      </c>
      <c r="B147" s="1495"/>
      <c r="C147" s="1496"/>
      <c r="D147" s="844" t="s">
        <v>24</v>
      </c>
      <c r="E147" s="845"/>
      <c r="F147" s="845"/>
      <c r="G147" s="998">
        <f>G146/G7</f>
        <v>0.1057246619055468</v>
      </c>
      <c r="H147" s="847">
        <f>G147+'24'!H147</f>
        <v>9.779752511146933</v>
      </c>
      <c r="I147" s="1000"/>
      <c r="J147" s="849">
        <f>H147/DAY(B2)</f>
        <v>0.39119010044587732</v>
      </c>
      <c r="O147" s="851"/>
    </row>
    <row r="148" spans="1:15">
      <c r="A148" s="1494" t="s">
        <v>257</v>
      </c>
      <c r="B148" s="1495"/>
      <c r="C148" s="1496"/>
      <c r="D148" s="844" t="s">
        <v>183</v>
      </c>
      <c r="E148" s="845"/>
      <c r="F148" s="845"/>
      <c r="G148" s="847">
        <f>G38+G52</f>
        <v>-598611</v>
      </c>
      <c r="H148" s="847">
        <f>G148+'24'!H148</f>
        <v>-551726.20000000007</v>
      </c>
      <c r="I148" s="866"/>
      <c r="J148" s="849">
        <f>H148/DAY(B2)</f>
        <v>-22069.048000000003</v>
      </c>
      <c r="K148" s="1001"/>
      <c r="O148" s="851"/>
    </row>
    <row r="149" spans="1:15">
      <c r="A149" s="1494" t="s">
        <v>258</v>
      </c>
      <c r="B149" s="1495"/>
      <c r="C149" s="1496"/>
      <c r="D149" s="844" t="s">
        <v>24</v>
      </c>
      <c r="E149" s="845"/>
      <c r="F149" s="845"/>
      <c r="G149" s="998">
        <f>G148/G7</f>
        <v>0.12076861171304888</v>
      </c>
      <c r="H149" s="847">
        <f>G149+'24'!H149</f>
        <v>2.3210657567692916</v>
      </c>
      <c r="I149" s="1000"/>
      <c r="J149" s="849">
        <f>H149/DAY(B2)</f>
        <v>9.2842630270771664E-2</v>
      </c>
      <c r="O149" s="851"/>
    </row>
    <row r="150" spans="1:15">
      <c r="A150" s="1494" t="s">
        <v>259</v>
      </c>
      <c r="B150" s="1495"/>
      <c r="C150" s="1496"/>
      <c r="D150" s="844" t="s">
        <v>183</v>
      </c>
      <c r="E150" s="845"/>
      <c r="F150" s="845"/>
      <c r="G150" s="847">
        <f>G36+G50</f>
        <v>-744421</v>
      </c>
      <c r="H150" s="847">
        <f>G150+'24'!H150</f>
        <v>-698908.60000000009</v>
      </c>
      <c r="I150" s="1000"/>
      <c r="J150" s="849">
        <f>H150/DAY(B2)</f>
        <v>-27956.344000000005</v>
      </c>
      <c r="O150" s="851"/>
    </row>
    <row r="151" spans="1:15">
      <c r="A151" s="1494" t="s">
        <v>260</v>
      </c>
      <c r="B151" s="1495"/>
      <c r="C151" s="1496"/>
      <c r="D151" s="844" t="s">
        <v>24</v>
      </c>
      <c r="E151" s="845"/>
      <c r="F151" s="845"/>
      <c r="G151" s="998">
        <f>G150/G7</f>
        <v>0.15018549725955513</v>
      </c>
      <c r="H151" s="847">
        <f>G151+'24'!H151</f>
        <v>2.2812325366447022</v>
      </c>
      <c r="I151" s="866"/>
      <c r="J151" s="849">
        <f>H151/DAY(B2)</f>
        <v>9.124930146578808E-2</v>
      </c>
      <c r="O151" s="851"/>
    </row>
    <row r="152" spans="1:15">
      <c r="A152" s="1494" t="s">
        <v>261</v>
      </c>
      <c r="B152" s="1495"/>
      <c r="C152" s="1496"/>
      <c r="D152" s="844" t="s">
        <v>183</v>
      </c>
      <c r="E152" s="845"/>
      <c r="F152" s="845"/>
      <c r="G152" s="847">
        <f>G37+G51</f>
        <v>-188879</v>
      </c>
      <c r="H152" s="847">
        <f>G152+'24'!H152</f>
        <v>-116945.84000000001</v>
      </c>
      <c r="I152" s="866"/>
      <c r="J152" s="849">
        <f>H152/DAY(B2)</f>
        <v>-4677.8336000000008</v>
      </c>
      <c r="O152" s="851"/>
    </row>
    <row r="153" spans="1:15" ht="21" thickBot="1">
      <c r="A153" s="1520" t="s">
        <v>262</v>
      </c>
      <c r="B153" s="1521"/>
      <c r="C153" s="1522"/>
      <c r="D153" s="1002" t="s">
        <v>24</v>
      </c>
      <c r="E153" s="1003"/>
      <c r="F153" s="1003"/>
      <c r="G153" s="1004">
        <f>G152/G7</f>
        <v>3.8105973013775156E-2</v>
      </c>
      <c r="H153" s="847">
        <f>G153+'24'!H153</f>
        <v>3.4898095839464278</v>
      </c>
      <c r="I153" s="1005"/>
      <c r="J153" s="1006">
        <f>H153/DAY(B2)</f>
        <v>0.13959238335785712</v>
      </c>
      <c r="O153" s="851"/>
    </row>
    <row r="154" spans="1:15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/>
    </row>
    <row r="160" spans="1:15">
      <c r="A160" s="997" t="s">
        <v>263</v>
      </c>
      <c r="B160" s="997"/>
      <c r="C160" s="997"/>
      <c r="D160" s="831" t="s">
        <v>187</v>
      </c>
      <c r="E160" s="845">
        <f>'24'!F160</f>
        <v>32839</v>
      </c>
      <c r="F160" s="1021">
        <v>30541</v>
      </c>
      <c r="G160" s="846">
        <f t="shared" ref="G160:G163" si="16">F160-E160</f>
        <v>-2298</v>
      </c>
    </row>
    <row r="161" spans="1:7" ht="21.75" customHeight="1">
      <c r="A161" s="997" t="s">
        <v>264</v>
      </c>
      <c r="B161" s="997"/>
      <c r="C161" s="997"/>
      <c r="D161" s="831" t="s">
        <v>187</v>
      </c>
      <c r="E161" s="845">
        <f>'24'!F161</f>
        <v>65688</v>
      </c>
      <c r="F161" s="1021">
        <v>53792.22</v>
      </c>
      <c r="G161" s="846">
        <f t="shared" si="16"/>
        <v>-11895.779999999999</v>
      </c>
    </row>
    <row r="162" spans="1:7" ht="21.75" customHeight="1">
      <c r="A162" s="997" t="s">
        <v>265</v>
      </c>
      <c r="B162" s="997"/>
      <c r="C162" s="997"/>
      <c r="D162" s="831" t="s">
        <v>187</v>
      </c>
      <c r="E162" s="845">
        <f>'24'!F162</f>
        <v>27451</v>
      </c>
      <c r="F162" s="1021">
        <v>19739</v>
      </c>
      <c r="G162" s="846">
        <f t="shared" si="16"/>
        <v>-7712</v>
      </c>
    </row>
    <row r="163" spans="1:7" ht="21.75" customHeight="1">
      <c r="A163" s="997" t="s">
        <v>266</v>
      </c>
      <c r="B163" s="997"/>
      <c r="C163" s="997"/>
      <c r="D163" s="831" t="s">
        <v>187</v>
      </c>
      <c r="E163" s="845">
        <f>'24'!F163</f>
        <v>5715</v>
      </c>
      <c r="F163" s="1021">
        <v>5354</v>
      </c>
      <c r="G163" s="846">
        <f t="shared" si="16"/>
        <v>-361</v>
      </c>
    </row>
    <row r="164" spans="1:7" ht="21.75" customHeight="1">
      <c r="A164" s="927" t="s">
        <v>98</v>
      </c>
      <c r="B164" s="927"/>
      <c r="C164" s="927"/>
      <c r="D164" s="831" t="s">
        <v>187</v>
      </c>
      <c r="E164" s="928">
        <f>E62</f>
        <v>20419</v>
      </c>
      <c r="F164" s="928">
        <f>F62</f>
        <v>0</v>
      </c>
      <c r="G164" s="846">
        <f t="shared" ref="G164:G171" si="17">F164-E164</f>
        <v>-20419</v>
      </c>
    </row>
    <row r="165" spans="1:7" ht="21.75" customHeight="1">
      <c r="A165" s="927" t="s">
        <v>188</v>
      </c>
      <c r="B165" s="927"/>
      <c r="C165" s="927"/>
      <c r="D165" s="831" t="s">
        <v>187</v>
      </c>
      <c r="E165" s="928">
        <f t="shared" ref="E165:E171" si="18">E63</f>
        <v>2012</v>
      </c>
      <c r="F165" s="928">
        <f t="shared" ref="F165:F171" si="19">F63</f>
        <v>0</v>
      </c>
      <c r="G165" s="846">
        <f t="shared" si="17"/>
        <v>-2012</v>
      </c>
    </row>
    <row r="166" spans="1:7" ht="21.75" customHeight="1">
      <c r="A166" s="1538" t="s">
        <v>99</v>
      </c>
      <c r="B166" s="1538"/>
      <c r="C166" s="1538"/>
      <c r="D166" s="844" t="s">
        <v>187</v>
      </c>
      <c r="E166" s="928">
        <f t="shared" si="18"/>
        <v>135907</v>
      </c>
      <c r="F166" s="928">
        <f t="shared" si="19"/>
        <v>0</v>
      </c>
      <c r="G166" s="846">
        <f t="shared" si="17"/>
        <v>-135907</v>
      </c>
    </row>
    <row r="167" spans="1:7" ht="21.75" customHeight="1">
      <c r="A167" s="1538" t="s">
        <v>100</v>
      </c>
      <c r="B167" s="1538"/>
      <c r="C167" s="1538"/>
      <c r="D167" s="844" t="s">
        <v>187</v>
      </c>
      <c r="E167" s="928">
        <f t="shared" si="18"/>
        <v>141579</v>
      </c>
      <c r="F167" s="928">
        <f t="shared" si="19"/>
        <v>0</v>
      </c>
      <c r="G167" s="846">
        <f t="shared" si="17"/>
        <v>-141579</v>
      </c>
    </row>
    <row r="168" spans="1:7" ht="21.75" customHeight="1">
      <c r="A168" s="1538" t="s">
        <v>101</v>
      </c>
      <c r="B168" s="1538"/>
      <c r="C168" s="1538"/>
      <c r="D168" s="844" t="s">
        <v>187</v>
      </c>
      <c r="E168" s="928">
        <f t="shared" si="18"/>
        <v>34324</v>
      </c>
      <c r="F168" s="928">
        <f t="shared" si="19"/>
        <v>0</v>
      </c>
      <c r="G168" s="846">
        <f t="shared" si="17"/>
        <v>-34324</v>
      </c>
    </row>
    <row r="169" spans="1:7">
      <c r="A169" s="1538" t="s">
        <v>102</v>
      </c>
      <c r="B169" s="1538"/>
      <c r="C169" s="1538"/>
      <c r="D169" s="844" t="s">
        <v>187</v>
      </c>
      <c r="E169" s="928">
        <f t="shared" si="18"/>
        <v>224328</v>
      </c>
      <c r="F169" s="928">
        <f t="shared" si="19"/>
        <v>0</v>
      </c>
      <c r="G169" s="846">
        <f t="shared" si="17"/>
        <v>-224328</v>
      </c>
    </row>
    <row r="170" spans="1:7" ht="24" customHeight="1">
      <c r="A170" s="1538" t="s">
        <v>103</v>
      </c>
      <c r="B170" s="1538"/>
      <c r="C170" s="1538"/>
      <c r="D170" s="844" t="s">
        <v>187</v>
      </c>
      <c r="E170" s="928">
        <f t="shared" si="18"/>
        <v>80766</v>
      </c>
      <c r="F170" s="928">
        <f t="shared" si="19"/>
        <v>0</v>
      </c>
      <c r="G170" s="846">
        <f t="shared" si="17"/>
        <v>-80766</v>
      </c>
    </row>
    <row r="171" spans="1:7">
      <c r="A171" s="1538" t="s">
        <v>104</v>
      </c>
      <c r="B171" s="1538"/>
      <c r="C171" s="1538"/>
      <c r="D171" s="844" t="s">
        <v>187</v>
      </c>
      <c r="E171" s="928">
        <f t="shared" si="18"/>
        <v>72124</v>
      </c>
      <c r="F171" s="928">
        <f t="shared" si="19"/>
        <v>0</v>
      </c>
      <c r="G171" s="846">
        <f t="shared" si="17"/>
        <v>-72124</v>
      </c>
    </row>
    <row r="172" spans="1:7">
      <c r="G172" s="1012">
        <f>SUM(G160:G171)</f>
        <v>-733725.78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67" zoomScale="70" zoomScaleSheetLayoutView="70" workbookViewId="0">
      <selection activeCell="F104" activeCellId="9" sqref="F7:F12 F15 F18:F19 F22:F23 F35:F46 F49:F58 F62:F69 F72:F90 F92:F100 F104:F140"/>
    </sheetView>
  </sheetViews>
  <sheetFormatPr defaultColWidth="22.33203125" defaultRowHeight="20.25"/>
  <cols>
    <col min="1" max="1" width="51.21875" style="1010" customWidth="1"/>
    <col min="2" max="2" width="24.88671875" style="1010" customWidth="1"/>
    <col min="3" max="3" width="12.44140625" style="1010" customWidth="1"/>
    <col min="4" max="4" width="13.6640625" style="1010" customWidth="1"/>
    <col min="5" max="5" width="28.109375" style="1010" customWidth="1"/>
    <col min="6" max="6" width="23.77734375" style="1010" customWidth="1"/>
    <col min="7" max="7" width="19.88671875" style="1010" customWidth="1"/>
    <col min="8" max="8" width="39.21875" style="1011" customWidth="1"/>
    <col min="9" max="9" width="12" style="1010" bestFit="1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6.77734375" style="811" bestFit="1" customWidth="1"/>
    <col min="16" max="16384" width="22.33203125" style="811"/>
  </cols>
  <sheetData>
    <row r="1" spans="1:15" ht="20.100000000000001" customHeight="1">
      <c r="A1" s="1483" t="s">
        <v>117</v>
      </c>
      <c r="B1" s="1484"/>
      <c r="C1" s="1484"/>
      <c r="D1" s="1484"/>
      <c r="E1" s="1484"/>
      <c r="F1" s="1484"/>
      <c r="G1" s="1484"/>
      <c r="H1" s="1484"/>
      <c r="I1" s="1484"/>
      <c r="J1" s="1485"/>
    </row>
    <row r="2" spans="1:15" ht="30.75" customHeight="1">
      <c r="A2" s="812" t="s">
        <v>317</v>
      </c>
      <c r="B2" s="1084">
        <v>43887</v>
      </c>
      <c r="C2" s="813" t="s">
        <v>69</v>
      </c>
      <c r="D2" s="1026">
        <v>0.54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</row>
    <row r="3" spans="1:15" ht="20.100000000000001" customHeight="1">
      <c r="A3" s="817"/>
      <c r="B3" s="818"/>
      <c r="C3" s="813" t="s">
        <v>120</v>
      </c>
      <c r="D3" s="813">
        <v>28</v>
      </c>
      <c r="E3" s="1492" t="s">
        <v>121</v>
      </c>
      <c r="F3" s="1493"/>
      <c r="G3" s="820"/>
      <c r="H3" s="821"/>
      <c r="I3" s="821"/>
      <c r="J3" s="822"/>
      <c r="K3" s="823"/>
      <c r="L3" s="824"/>
    </row>
    <row r="4" spans="1:15" ht="20.100000000000001" customHeight="1">
      <c r="A4" s="825"/>
      <c r="B4" s="826"/>
      <c r="C4" s="813" t="s">
        <v>122</v>
      </c>
      <c r="D4" s="1026">
        <v>0.74</v>
      </c>
      <c r="E4" s="827"/>
      <c r="F4" s="827"/>
      <c r="G4" s="827"/>
      <c r="H4" s="827"/>
      <c r="I4" s="828"/>
      <c r="J4" s="822"/>
      <c r="K4" s="829"/>
      <c r="L4" s="824"/>
    </row>
    <row r="5" spans="1:15" ht="22.5" customHeight="1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</row>
    <row r="6" spans="1:15" ht="20.100000000000001" customHeight="1">
      <c r="A6" s="1486" t="s">
        <v>130</v>
      </c>
      <c r="B6" s="1487"/>
      <c r="C6" s="1488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5.5" customHeight="1" thickBot="1">
      <c r="A7" s="842" t="s">
        <v>131</v>
      </c>
      <c r="B7" s="843"/>
      <c r="C7" s="843"/>
      <c r="D7" s="844" t="s">
        <v>132</v>
      </c>
      <c r="E7" s="845">
        <f>'25'!F7</f>
        <v>0</v>
      </c>
      <c r="F7" s="845"/>
      <c r="G7" s="846">
        <f>F7-E7</f>
        <v>0</v>
      </c>
      <c r="H7" s="847">
        <f>G7+'25'!H7</f>
        <v>-4445077</v>
      </c>
      <c r="I7" s="848">
        <f>'1'!I7</f>
        <v>12000</v>
      </c>
      <c r="J7" s="849">
        <f>H7/DAY(B2)</f>
        <v>-170964.5</v>
      </c>
      <c r="K7" s="850"/>
      <c r="L7" s="824"/>
      <c r="N7" s="1024"/>
      <c r="O7" s="851"/>
    </row>
    <row r="8" spans="1:15" ht="20.100000000000001" customHeight="1" thickBot="1">
      <c r="A8" s="852" t="s">
        <v>133</v>
      </c>
      <c r="B8" s="853"/>
      <c r="C8" s="854"/>
      <c r="D8" s="855" t="s">
        <v>25</v>
      </c>
      <c r="E8" s="845">
        <f>'25'!F8</f>
        <v>0</v>
      </c>
      <c r="F8" s="856"/>
      <c r="G8" s="857">
        <f>F8-E8</f>
        <v>0</v>
      </c>
      <c r="H8" s="847">
        <f>G8+'25'!H8</f>
        <v>-4473156</v>
      </c>
      <c r="I8" s="858">
        <f>'1'!I8</f>
        <v>12000</v>
      </c>
      <c r="J8" s="849">
        <f>H8/DAY(B2)</f>
        <v>-172044.46153846153</v>
      </c>
      <c r="K8" s="850"/>
      <c r="L8" s="859"/>
      <c r="M8" s="860"/>
      <c r="O8" s="851"/>
    </row>
    <row r="9" spans="1:15" ht="20.100000000000001" customHeight="1">
      <c r="A9" s="861" t="s">
        <v>134</v>
      </c>
      <c r="B9" s="862"/>
      <c r="C9" s="862"/>
      <c r="D9" s="844" t="s">
        <v>132</v>
      </c>
      <c r="E9" s="845">
        <f>'25'!F9</f>
        <v>0</v>
      </c>
      <c r="F9" s="863"/>
      <c r="G9" s="846">
        <f>F9-E9</f>
        <v>0</v>
      </c>
      <c r="H9" s="847">
        <f>G9+'25'!H9</f>
        <v>-86909.010000000009</v>
      </c>
      <c r="I9" s="864">
        <f>I8-J8</f>
        <v>184044.46153846153</v>
      </c>
      <c r="J9" s="849">
        <f>H9/DAY(B2)</f>
        <v>-3342.6542307692312</v>
      </c>
      <c r="K9" s="865"/>
      <c r="L9" s="824"/>
      <c r="O9" s="851"/>
    </row>
    <row r="10" spans="1:15" ht="20.100000000000001" customHeight="1">
      <c r="A10" s="842" t="s">
        <v>135</v>
      </c>
      <c r="B10" s="843"/>
      <c r="C10" s="843"/>
      <c r="D10" s="844" t="s">
        <v>132</v>
      </c>
      <c r="E10" s="845">
        <f>'25'!F10</f>
        <v>0</v>
      </c>
      <c r="F10" s="863"/>
      <c r="G10" s="846">
        <f t="shared" ref="G10:G12" si="0">F10-E10</f>
        <v>0</v>
      </c>
      <c r="H10" s="847">
        <f>G10+'25'!H10</f>
        <v>334533.49</v>
      </c>
      <c r="I10" s="866"/>
      <c r="J10" s="849">
        <f>H10/DAY(B2)</f>
        <v>12866.672692307691</v>
      </c>
      <c r="K10" s="865"/>
      <c r="L10" s="824"/>
      <c r="O10" s="851"/>
    </row>
    <row r="11" spans="1:15" ht="20.100000000000001" customHeight="1">
      <c r="A11" s="842" t="s">
        <v>136</v>
      </c>
      <c r="B11" s="843"/>
      <c r="C11" s="843"/>
      <c r="D11" s="844" t="s">
        <v>132</v>
      </c>
      <c r="E11" s="845">
        <f>'25'!F11</f>
        <v>0</v>
      </c>
      <c r="F11" s="845"/>
      <c r="G11" s="846">
        <f t="shared" si="0"/>
        <v>0</v>
      </c>
      <c r="H11" s="847">
        <f>G11+'25'!H11</f>
        <v>-37000</v>
      </c>
      <c r="I11" s="866"/>
      <c r="J11" s="849">
        <f>H11/DAY(B2)</f>
        <v>-1423.0769230769231</v>
      </c>
      <c r="K11" s="865"/>
      <c r="L11" s="824">
        <v>1375467</v>
      </c>
      <c r="N11" s="1025"/>
      <c r="O11" s="851"/>
    </row>
    <row r="12" spans="1:15" ht="20.100000000000001" customHeight="1">
      <c r="A12" s="842" t="s">
        <v>137</v>
      </c>
      <c r="B12" s="843"/>
      <c r="C12" s="843"/>
      <c r="D12" s="844" t="s">
        <v>132</v>
      </c>
      <c r="E12" s="845">
        <f>'25'!F12</f>
        <v>0</v>
      </c>
      <c r="F12" s="863"/>
      <c r="G12" s="846">
        <f t="shared" si="0"/>
        <v>0</v>
      </c>
      <c r="H12" s="847">
        <f>G12+'25'!H12</f>
        <v>-40010</v>
      </c>
      <c r="I12" s="866"/>
      <c r="J12" s="849">
        <f>H12/DAY(B2)</f>
        <v>-1538.8461538461538</v>
      </c>
      <c r="K12" s="865"/>
      <c r="L12" s="824"/>
      <c r="O12" s="851"/>
    </row>
    <row r="13" spans="1:15" ht="20.100000000000001" customHeight="1">
      <c r="A13" s="867" t="s">
        <v>138</v>
      </c>
      <c r="B13" s="868"/>
      <c r="C13" s="868"/>
      <c r="D13" s="844"/>
      <c r="E13" s="845"/>
      <c r="F13" s="845"/>
      <c r="G13" s="869">
        <f>G9+G10+G11+G12</f>
        <v>0</v>
      </c>
      <c r="H13" s="847">
        <f>G13+'25'!H13</f>
        <v>149620.47999999998</v>
      </c>
      <c r="I13" s="870">
        <f>G7-G13</f>
        <v>0</v>
      </c>
      <c r="J13" s="849">
        <f>H13/DAY(B2)</f>
        <v>5754.6338461538453</v>
      </c>
      <c r="K13" s="865"/>
      <c r="L13" s="824"/>
      <c r="O13" s="851"/>
    </row>
    <row r="14" spans="1:15" ht="28.5" customHeight="1">
      <c r="A14" s="1489" t="s">
        <v>139</v>
      </c>
      <c r="B14" s="1490"/>
      <c r="C14" s="1491"/>
      <c r="D14" s="839"/>
      <c r="E14" s="839"/>
      <c r="F14" s="839"/>
      <c r="G14" s="871"/>
      <c r="H14" s="839"/>
      <c r="I14" s="839"/>
      <c r="J14" s="840"/>
      <c r="K14" s="872"/>
      <c r="L14" s="824">
        <v>1679344</v>
      </c>
      <c r="O14" s="851"/>
    </row>
    <row r="15" spans="1:15" ht="30.75" customHeight="1">
      <c r="A15" s="873" t="s">
        <v>140</v>
      </c>
      <c r="B15" s="874"/>
      <c r="C15" s="874"/>
      <c r="D15" s="844" t="s">
        <v>141</v>
      </c>
      <c r="E15" s="845">
        <f>'25'!F15</f>
        <v>0</v>
      </c>
      <c r="F15" s="875"/>
      <c r="G15" s="1022">
        <f>(F15-E15)</f>
        <v>0</v>
      </c>
      <c r="H15" s="847">
        <f>G15+'25'!H15</f>
        <v>-1619878.61</v>
      </c>
      <c r="I15" s="848">
        <f>'1'!I15</f>
        <v>800</v>
      </c>
      <c r="J15" s="849">
        <f>H15/DAY(B2)</f>
        <v>-62303.023461538469</v>
      </c>
      <c r="K15" s="865"/>
      <c r="L15" s="824"/>
      <c r="O15" s="851"/>
    </row>
    <row r="16" spans="1:15" ht="20.100000000000001" customHeight="1">
      <c r="A16" s="876"/>
      <c r="B16" s="877"/>
      <c r="C16" s="877"/>
      <c r="D16" s="878"/>
      <c r="E16" s="879"/>
      <c r="F16" s="879"/>
      <c r="G16" s="846"/>
      <c r="H16" s="880"/>
      <c r="I16" s="881">
        <f>I15-J15</f>
        <v>63103.023461538469</v>
      </c>
      <c r="J16" s="882"/>
      <c r="K16" s="865"/>
      <c r="L16" s="824">
        <f>L14-L11</f>
        <v>303877</v>
      </c>
      <c r="O16" s="851"/>
    </row>
    <row r="17" spans="1:15" ht="20.100000000000001" customHeight="1">
      <c r="A17" s="1489" t="s">
        <v>142</v>
      </c>
      <c r="B17" s="1490"/>
      <c r="C17" s="1491"/>
      <c r="D17" s="839"/>
      <c r="E17" s="839"/>
      <c r="F17" s="839"/>
      <c r="G17" s="883"/>
      <c r="H17" s="839"/>
      <c r="I17" s="839"/>
      <c r="J17" s="840"/>
      <c r="K17" s="865"/>
      <c r="L17" s="824"/>
      <c r="O17" s="851"/>
    </row>
    <row r="18" spans="1:15" ht="20.100000000000001" customHeight="1">
      <c r="A18" s="1494" t="s">
        <v>143</v>
      </c>
      <c r="B18" s="1495"/>
      <c r="C18" s="1496"/>
      <c r="D18" s="844" t="s">
        <v>144</v>
      </c>
      <c r="E18" s="845">
        <f>'25'!F18</f>
        <v>0</v>
      </c>
      <c r="F18" s="875"/>
      <c r="G18" s="869">
        <f>F18*10</f>
        <v>0</v>
      </c>
      <c r="H18" s="847">
        <f>G18+'25'!H18</f>
        <v>3150</v>
      </c>
      <c r="I18" s="848">
        <f>'1'!I18</f>
        <v>65</v>
      </c>
      <c r="J18" s="849">
        <f>H18/DAY(B2)</f>
        <v>121.15384615384616</v>
      </c>
      <c r="K18" s="865"/>
      <c r="L18" s="824"/>
      <c r="O18" s="851"/>
    </row>
    <row r="19" spans="1:15" ht="20.100000000000001" customHeight="1">
      <c r="A19" s="1494" t="s">
        <v>71</v>
      </c>
      <c r="B19" s="1495"/>
      <c r="C19" s="1496"/>
      <c r="D19" s="844" t="s">
        <v>144</v>
      </c>
      <c r="E19" s="845">
        <f>'25'!F19</f>
        <v>0</v>
      </c>
      <c r="F19" s="875"/>
      <c r="G19" s="846">
        <f t="shared" ref="G19" si="1">F19-E19</f>
        <v>0</v>
      </c>
      <c r="H19" s="847">
        <f>G19+'25'!H19</f>
        <v>-134468</v>
      </c>
      <c r="I19" s="884"/>
      <c r="J19" s="849">
        <f>H19/DAY(B2)</f>
        <v>-5171.8461538461543</v>
      </c>
      <c r="K19" s="865"/>
      <c r="L19" s="824">
        <f>L16/26</f>
        <v>11687.576923076924</v>
      </c>
      <c r="O19" s="851"/>
    </row>
    <row r="20" spans="1:15" ht="20.100000000000001" customHeight="1">
      <c r="A20" s="867" t="s">
        <v>145</v>
      </c>
      <c r="B20" s="868"/>
      <c r="C20" s="868"/>
      <c r="D20" s="885"/>
      <c r="E20" s="885"/>
      <c r="F20" s="885"/>
      <c r="G20" s="886">
        <f>G18+G19</f>
        <v>0</v>
      </c>
      <c r="H20" s="847">
        <f>G20+'25'!H20</f>
        <v>-131318</v>
      </c>
      <c r="I20" s="887">
        <f>I18-J20</f>
        <v>5115.6923076923076</v>
      </c>
      <c r="J20" s="849">
        <f>H20/DAY(B2)</f>
        <v>-5050.6923076923076</v>
      </c>
      <c r="K20" s="865"/>
      <c r="L20" s="824"/>
      <c r="O20" s="851"/>
    </row>
    <row r="21" spans="1:15" ht="20.100000000000001" customHeight="1">
      <c r="A21" s="1489" t="s">
        <v>146</v>
      </c>
      <c r="B21" s="1490"/>
      <c r="C21" s="1491"/>
      <c r="D21" s="839"/>
      <c r="E21" s="839"/>
      <c r="F21" s="839"/>
      <c r="G21" s="871"/>
      <c r="H21" s="839"/>
      <c r="I21" s="839"/>
      <c r="J21" s="840"/>
      <c r="K21" s="865"/>
      <c r="L21" s="824" t="e">
        <f>#REF!/G11</f>
        <v>#REF!</v>
      </c>
      <c r="O21" s="851"/>
    </row>
    <row r="22" spans="1:15" ht="20.100000000000001" customHeight="1">
      <c r="A22" s="873" t="s">
        <v>147</v>
      </c>
      <c r="B22" s="874"/>
      <c r="C22" s="874"/>
      <c r="D22" s="844" t="s">
        <v>148</v>
      </c>
      <c r="E22" s="875">
        <f>'25'!F22</f>
        <v>0</v>
      </c>
      <c r="F22" s="875"/>
      <c r="G22" s="869">
        <f t="shared" ref="G22:G23" si="2">E22-F22</f>
        <v>0</v>
      </c>
      <c r="H22" s="847">
        <f>G22+'25'!H22</f>
        <v>-390</v>
      </c>
      <c r="I22" s="866"/>
      <c r="J22" s="849">
        <f>H22/DAY(B2)</f>
        <v>-15</v>
      </c>
      <c r="K22" s="865"/>
      <c r="L22" s="824"/>
      <c r="O22" s="851"/>
    </row>
    <row r="23" spans="1:15" ht="20.100000000000001" customHeight="1">
      <c r="A23" s="873" t="s">
        <v>149</v>
      </c>
      <c r="B23" s="874"/>
      <c r="C23" s="874"/>
      <c r="D23" s="844" t="s">
        <v>148</v>
      </c>
      <c r="E23" s="875">
        <f>'25'!F23</f>
        <v>0</v>
      </c>
      <c r="F23" s="875"/>
      <c r="G23" s="869">
        <f t="shared" si="2"/>
        <v>0</v>
      </c>
      <c r="H23" s="847">
        <f>G23+'25'!H23</f>
        <v>0</v>
      </c>
      <c r="I23" s="866"/>
      <c r="J23" s="849">
        <f>H23/DAY(B2)</f>
        <v>0</v>
      </c>
      <c r="K23" s="865"/>
      <c r="L23" s="824"/>
      <c r="O23" s="851"/>
    </row>
    <row r="24" spans="1:15" ht="20.100000000000001" customHeight="1">
      <c r="A24" s="888" t="s">
        <v>150</v>
      </c>
      <c r="B24" s="889"/>
      <c r="C24" s="889"/>
      <c r="D24" s="831" t="s">
        <v>148</v>
      </c>
      <c r="E24" s="875">
        <f>'25'!F24</f>
        <v>4970</v>
      </c>
      <c r="F24" s="890">
        <v>4970</v>
      </c>
      <c r="G24" s="869">
        <f>E24-F24</f>
        <v>0</v>
      </c>
      <c r="H24" s="847">
        <f>G24+'25'!H24</f>
        <v>1290</v>
      </c>
      <c r="I24" s="866"/>
      <c r="J24" s="849">
        <f>H24/DAY(B2)</f>
        <v>49.615384615384613</v>
      </c>
      <c r="K24" s="865"/>
      <c r="L24" s="824"/>
      <c r="O24" s="851"/>
    </row>
    <row r="25" spans="1:15" s="896" customFormat="1" ht="18.75" customHeight="1">
      <c r="A25" s="1486" t="s">
        <v>151</v>
      </c>
      <c r="B25" s="1487"/>
      <c r="C25" s="1488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/>
    </row>
    <row r="26" spans="1:15" s="896" customFormat="1" ht="18.75" customHeight="1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/>
    </row>
    <row r="27" spans="1:15" s="896" customFormat="1" ht="18.75" customHeight="1">
      <c r="A27" s="897" t="s">
        <v>6</v>
      </c>
      <c r="B27" s="898"/>
      <c r="C27" s="899"/>
      <c r="D27" s="904" t="s">
        <v>25</v>
      </c>
      <c r="E27" s="905">
        <f>G8</f>
        <v>0</v>
      </c>
      <c r="F27" s="501">
        <v>9</v>
      </c>
      <c r="G27" s="907">
        <f>E27*F27</f>
        <v>0</v>
      </c>
      <c r="H27" s="847">
        <f>G27+'25'!H27</f>
        <v>-40258404</v>
      </c>
      <c r="I27" s="908"/>
      <c r="J27" s="849">
        <f>H27/DAY(B2)</f>
        <v>-1548400.1538461538</v>
      </c>
      <c r="K27" s="865"/>
      <c r="L27" s="895"/>
      <c r="N27" s="1014"/>
      <c r="O27" s="851"/>
    </row>
    <row r="28" spans="1:15" s="896" customFormat="1" ht="18.75" customHeight="1">
      <c r="A28" s="897" t="s">
        <v>154</v>
      </c>
      <c r="B28" s="898"/>
      <c r="C28" s="899"/>
      <c r="D28" s="904" t="s">
        <v>155</v>
      </c>
      <c r="E28" s="905">
        <f>G15</f>
        <v>0</v>
      </c>
      <c r="F28" s="501">
        <v>43.5</v>
      </c>
      <c r="G28" s="907">
        <f>E28*F28</f>
        <v>0</v>
      </c>
      <c r="H28" s="847">
        <f>G28+'25'!H28</f>
        <v>-70399129.856800005</v>
      </c>
      <c r="I28" s="909"/>
      <c r="J28" s="849">
        <f>H28/DAY(B2)</f>
        <v>-2707658.8406461542</v>
      </c>
      <c r="K28" s="865"/>
      <c r="L28" s="895"/>
      <c r="N28" s="1014"/>
      <c r="O28" s="851"/>
    </row>
    <row r="29" spans="1:15" s="896" customFormat="1" ht="18.75" customHeight="1">
      <c r="A29" s="897" t="s">
        <v>156</v>
      </c>
      <c r="B29" s="898"/>
      <c r="C29" s="899"/>
      <c r="D29" s="904" t="s">
        <v>157</v>
      </c>
      <c r="E29" s="905">
        <f>G16</f>
        <v>0</v>
      </c>
      <c r="F29" s="906">
        <v>69</v>
      </c>
      <c r="G29" s="907">
        <f>E29*F29</f>
        <v>0</v>
      </c>
      <c r="H29" s="847">
        <f>G29+'25'!H29</f>
        <v>89010</v>
      </c>
      <c r="I29" s="909"/>
      <c r="J29" s="849">
        <f>H29/DAY(B2)</f>
        <v>3423.4615384615386</v>
      </c>
      <c r="K29" s="865"/>
      <c r="L29" s="895"/>
      <c r="N29" s="1014"/>
      <c r="O29" s="851"/>
    </row>
    <row r="30" spans="1:15" s="896" customFormat="1" ht="18.75" customHeight="1">
      <c r="A30" s="897" t="s">
        <v>158</v>
      </c>
      <c r="B30" s="898"/>
      <c r="C30" s="899"/>
      <c r="D30" s="904" t="s">
        <v>159</v>
      </c>
      <c r="E30" s="905">
        <f>G19</f>
        <v>0</v>
      </c>
      <c r="F30" s="906">
        <v>134</v>
      </c>
      <c r="G30" s="907">
        <f>E30*F30</f>
        <v>0</v>
      </c>
      <c r="H30" s="847">
        <f>G30+'25'!H30</f>
        <v>-18001024</v>
      </c>
      <c r="I30" s="909"/>
      <c r="J30" s="849">
        <f>H30/DAY(B2)</f>
        <v>-692347.07692307688</v>
      </c>
      <c r="K30" s="865"/>
      <c r="L30" s="895"/>
      <c r="N30" s="1014"/>
      <c r="O30" s="851"/>
    </row>
    <row r="31" spans="1:15" s="896" customFormat="1" ht="18.75" customHeight="1">
      <c r="A31" s="897" t="s">
        <v>160</v>
      </c>
      <c r="B31" s="898"/>
      <c r="C31" s="899"/>
      <c r="D31" s="904" t="s">
        <v>144</v>
      </c>
      <c r="E31" s="905">
        <f>G18</f>
        <v>0</v>
      </c>
      <c r="F31" s="906">
        <v>80</v>
      </c>
      <c r="G31" s="907">
        <f>E31*F31</f>
        <v>0</v>
      </c>
      <c r="H31" s="847">
        <f>G31+'25'!H31</f>
        <v>241440</v>
      </c>
      <c r="I31" s="909"/>
      <c r="J31" s="849"/>
      <c r="K31" s="865"/>
      <c r="L31" s="895"/>
      <c r="N31" s="1014"/>
      <c r="O31" s="851"/>
    </row>
    <row r="32" spans="1:15" s="896" customFormat="1" ht="18.75" customHeight="1">
      <c r="A32" s="910" t="s">
        <v>161</v>
      </c>
      <c r="B32" s="911"/>
      <c r="C32" s="912"/>
      <c r="D32" s="913"/>
      <c r="E32" s="913"/>
      <c r="F32" s="913"/>
      <c r="G32" s="914">
        <f>G27+G28+G29+G30+G31</f>
        <v>0</v>
      </c>
      <c r="H32" s="847">
        <f>G32+'25'!H32</f>
        <v>-128328107.8568</v>
      </c>
      <c r="I32" s="915"/>
      <c r="J32" s="849">
        <f>H32/DAY(B2)</f>
        <v>-4935696.4560307693</v>
      </c>
      <c r="K32" s="865"/>
      <c r="L32" s="895"/>
      <c r="N32" s="1014"/>
      <c r="O32" s="851"/>
    </row>
    <row r="33" spans="1:15" ht="20.100000000000001" customHeight="1">
      <c r="A33" s="1497" t="s">
        <v>162</v>
      </c>
      <c r="B33" s="1498"/>
      <c r="C33" s="1498"/>
      <c r="D33" s="1498"/>
      <c r="E33" s="1498"/>
      <c r="F33" s="1498"/>
      <c r="G33" s="1498"/>
      <c r="H33" s="1498"/>
      <c r="I33" s="1498"/>
      <c r="J33" s="1499"/>
      <c r="K33" s="865"/>
      <c r="L33" s="824"/>
      <c r="O33" s="851"/>
    </row>
    <row r="34" spans="1:15" ht="20.100000000000001" customHeight="1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/>
    </row>
    <row r="35" spans="1:15" ht="20.100000000000001" customHeight="1">
      <c r="A35" s="842" t="s">
        <v>164</v>
      </c>
      <c r="B35" s="843"/>
      <c r="C35" s="843"/>
      <c r="D35" s="844" t="s">
        <v>132</v>
      </c>
      <c r="E35" s="845">
        <f>'25'!F35</f>
        <v>0</v>
      </c>
      <c r="F35" s="918"/>
      <c r="G35" s="846">
        <f t="shared" ref="G35:G46" si="3">F35-E35</f>
        <v>0</v>
      </c>
      <c r="H35" s="847">
        <f>G35+'25'!H35</f>
        <v>-693087.59</v>
      </c>
      <c r="I35" s="845"/>
      <c r="J35" s="849">
        <f>H35/DAY(B2)</f>
        <v>-26657.215</v>
      </c>
      <c r="K35" s="865"/>
      <c r="L35" s="824"/>
      <c r="O35" s="851"/>
    </row>
    <row r="36" spans="1:15" ht="20.100000000000001" customHeight="1">
      <c r="A36" s="842" t="s">
        <v>165</v>
      </c>
      <c r="B36" s="843"/>
      <c r="C36" s="843"/>
      <c r="D36" s="844" t="s">
        <v>132</v>
      </c>
      <c r="E36" s="845">
        <f>'25'!F36</f>
        <v>0</v>
      </c>
      <c r="F36" s="918"/>
      <c r="G36" s="846">
        <f t="shared" si="3"/>
        <v>0</v>
      </c>
      <c r="H36" s="847">
        <f>G36+'25'!H36</f>
        <v>-296445.57</v>
      </c>
      <c r="I36" s="845"/>
      <c r="J36" s="849">
        <f>H36/DAY(B2)</f>
        <v>-11401.752692307693</v>
      </c>
      <c r="K36" s="865"/>
      <c r="L36" s="824"/>
      <c r="O36" s="851"/>
    </row>
    <row r="37" spans="1:15" ht="20.100000000000001" customHeight="1">
      <c r="A37" s="842" t="s">
        <v>166</v>
      </c>
      <c r="B37" s="843"/>
      <c r="C37" s="843"/>
      <c r="D37" s="844" t="s">
        <v>132</v>
      </c>
      <c r="E37" s="845">
        <f>'25'!F37</f>
        <v>0</v>
      </c>
      <c r="F37" s="918"/>
      <c r="G37" s="846">
        <f t="shared" si="3"/>
        <v>0</v>
      </c>
      <c r="H37" s="847">
        <f>G37+'25'!H37</f>
        <v>3105.0800000000017</v>
      </c>
      <c r="I37" s="845"/>
      <c r="J37" s="849">
        <f>H37/DAY(B2)</f>
        <v>119.42615384615391</v>
      </c>
      <c r="K37" s="865"/>
      <c r="L37" s="824"/>
      <c r="O37" s="851"/>
    </row>
    <row r="38" spans="1:15" ht="20.100000000000001" customHeight="1">
      <c r="A38" s="842" t="s">
        <v>167</v>
      </c>
      <c r="B38" s="843"/>
      <c r="C38" s="843"/>
      <c r="D38" s="844" t="s">
        <v>132</v>
      </c>
      <c r="E38" s="845">
        <f>'25'!F38</f>
        <v>0</v>
      </c>
      <c r="F38" s="834"/>
      <c r="G38" s="846">
        <f t="shared" si="3"/>
        <v>0</v>
      </c>
      <c r="H38" s="847">
        <f>G38+'25'!H38</f>
        <v>-43813.49</v>
      </c>
      <c r="I38" s="845"/>
      <c r="J38" s="849">
        <f>H38/DAY(B2)</f>
        <v>-1685.1342307692307</v>
      </c>
      <c r="K38" s="865"/>
      <c r="L38" s="824"/>
      <c r="O38" s="851"/>
    </row>
    <row r="39" spans="1:15" ht="20.100000000000001" customHeight="1">
      <c r="A39" s="842" t="s">
        <v>168</v>
      </c>
      <c r="B39" s="843"/>
      <c r="C39" s="843"/>
      <c r="D39" s="844" t="s">
        <v>132</v>
      </c>
      <c r="E39" s="845">
        <f>'25'!F39</f>
        <v>0</v>
      </c>
      <c r="F39" s="918"/>
      <c r="G39" s="846">
        <f t="shared" si="3"/>
        <v>0</v>
      </c>
      <c r="H39" s="847">
        <f>G39+'25'!H39</f>
        <v>9392.890000000014</v>
      </c>
      <c r="I39" s="845"/>
      <c r="J39" s="849">
        <f>H39/DAY(B2)</f>
        <v>361.26500000000055</v>
      </c>
      <c r="K39" s="865"/>
      <c r="L39" s="824"/>
      <c r="O39" s="851"/>
    </row>
    <row r="40" spans="1:15" ht="20.100000000000001" customHeight="1">
      <c r="A40" s="919" t="s">
        <v>169</v>
      </c>
      <c r="B40" s="920"/>
      <c r="C40" s="920"/>
      <c r="D40" s="844" t="s">
        <v>132</v>
      </c>
      <c r="E40" s="845">
        <f>'25'!F40</f>
        <v>0</v>
      </c>
      <c r="F40" s="918"/>
      <c r="G40" s="846">
        <f t="shared" si="3"/>
        <v>0</v>
      </c>
      <c r="H40" s="847">
        <f>G40+'25'!H40</f>
        <v>-0.06</v>
      </c>
      <c r="I40" s="845"/>
      <c r="J40" s="849">
        <f>H40/DAY(B2)</f>
        <v>-2.3076923076923075E-3</v>
      </c>
      <c r="K40" s="872"/>
      <c r="L40" s="824"/>
      <c r="O40" s="851"/>
    </row>
    <row r="41" spans="1:15" ht="20.100000000000001" customHeight="1">
      <c r="A41" s="842" t="s">
        <v>170</v>
      </c>
      <c r="B41" s="843"/>
      <c r="C41" s="843"/>
      <c r="D41" s="844" t="s">
        <v>132</v>
      </c>
      <c r="E41" s="845">
        <f>'25'!F41</f>
        <v>0</v>
      </c>
      <c r="F41" s="918"/>
      <c r="G41" s="846">
        <f t="shared" si="3"/>
        <v>0</v>
      </c>
      <c r="H41" s="847">
        <f>G41+'25'!H41</f>
        <v>-63882.37</v>
      </c>
      <c r="I41" s="845"/>
      <c r="J41" s="849">
        <f>H41/DAY(B2)</f>
        <v>-2457.0142307692308</v>
      </c>
      <c r="K41" s="865"/>
      <c r="L41" s="824"/>
      <c r="O41" s="851"/>
    </row>
    <row r="42" spans="1:15" ht="20.100000000000001" customHeight="1">
      <c r="A42" s="842" t="s">
        <v>171</v>
      </c>
      <c r="B42" s="843"/>
      <c r="C42" s="843"/>
      <c r="D42" s="844" t="s">
        <v>132</v>
      </c>
      <c r="E42" s="845">
        <f>'25'!F42</f>
        <v>0</v>
      </c>
      <c r="F42" s="918"/>
      <c r="G42" s="846">
        <f t="shared" si="3"/>
        <v>0</v>
      </c>
      <c r="H42" s="847">
        <f>G42+'25'!H42</f>
        <v>-59128.85</v>
      </c>
      <c r="I42" s="845"/>
      <c r="J42" s="849">
        <f>H42/DAY(B2)</f>
        <v>-2274.1865384615385</v>
      </c>
      <c r="K42" s="865"/>
      <c r="L42" s="824"/>
      <c r="N42" s="1015">
        <f>3450-G42</f>
        <v>3450</v>
      </c>
      <c r="O42" s="851"/>
    </row>
    <row r="43" spans="1:15" ht="20.100000000000001" customHeight="1">
      <c r="A43" s="842" t="s">
        <v>172</v>
      </c>
      <c r="B43" s="843"/>
      <c r="C43" s="843"/>
      <c r="D43" s="844" t="s">
        <v>132</v>
      </c>
      <c r="E43" s="845">
        <f>'25'!F43</f>
        <v>0</v>
      </c>
      <c r="F43" s="918"/>
      <c r="G43" s="846">
        <f t="shared" si="3"/>
        <v>0</v>
      </c>
      <c r="H43" s="847">
        <f>G43+'25'!H43</f>
        <v>-825897.83</v>
      </c>
      <c r="I43" s="845"/>
      <c r="J43" s="849">
        <f>H43/DAY(B2)</f>
        <v>-31765.301153846151</v>
      </c>
      <c r="K43" s="865"/>
      <c r="L43" s="824"/>
      <c r="O43" s="851"/>
    </row>
    <row r="44" spans="1:15" ht="20.100000000000001" customHeight="1">
      <c r="A44" s="842" t="s">
        <v>173</v>
      </c>
      <c r="B44" s="843"/>
      <c r="C44" s="843"/>
      <c r="D44" s="844" t="s">
        <v>132</v>
      </c>
      <c r="E44" s="845">
        <f>'25'!F44</f>
        <v>0</v>
      </c>
      <c r="F44" s="918"/>
      <c r="G44" s="846">
        <f t="shared" si="3"/>
        <v>0</v>
      </c>
      <c r="H44" s="847">
        <f>G44+'25'!H44</f>
        <v>0</v>
      </c>
      <c r="I44" s="845"/>
      <c r="J44" s="849">
        <f>H44/DAY(B2)</f>
        <v>0</v>
      </c>
      <c r="K44" s="865"/>
      <c r="L44" s="824"/>
      <c r="O44" s="851"/>
    </row>
    <row r="45" spans="1:15" ht="20.100000000000001" customHeight="1">
      <c r="A45" s="842" t="s">
        <v>174</v>
      </c>
      <c r="B45" s="843"/>
      <c r="C45" s="843"/>
      <c r="D45" s="844" t="s">
        <v>132</v>
      </c>
      <c r="E45" s="845">
        <f>'25'!F45</f>
        <v>0</v>
      </c>
      <c r="F45" s="918"/>
      <c r="G45" s="846">
        <f t="shared" si="3"/>
        <v>0</v>
      </c>
      <c r="H45" s="847">
        <f>G45+'25'!H45</f>
        <v>-614</v>
      </c>
      <c r="I45" s="845"/>
      <c r="J45" s="849">
        <f>H45/DAY(B2)</f>
        <v>-23.615384615384617</v>
      </c>
      <c r="K45" s="865"/>
      <c r="L45" s="824"/>
      <c r="O45" s="851"/>
    </row>
    <row r="46" spans="1:15" ht="20.100000000000001" customHeight="1">
      <c r="A46" s="842" t="s">
        <v>175</v>
      </c>
      <c r="B46" s="843"/>
      <c r="C46" s="843"/>
      <c r="D46" s="844" t="s">
        <v>132</v>
      </c>
      <c r="E46" s="845">
        <f>'25'!F46</f>
        <v>0</v>
      </c>
      <c r="F46" s="918"/>
      <c r="G46" s="846">
        <f t="shared" si="3"/>
        <v>0</v>
      </c>
      <c r="H46" s="847">
        <f>G46+'25'!H46</f>
        <v>-187</v>
      </c>
      <c r="I46" s="845"/>
      <c r="J46" s="849">
        <f>H46/DAY(B2)</f>
        <v>-7.1923076923076925</v>
      </c>
      <c r="K46" s="865"/>
      <c r="L46" s="824"/>
      <c r="O46" s="851"/>
    </row>
    <row r="47" spans="1:15" ht="20.100000000000001" customHeight="1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0</v>
      </c>
      <c r="H47" s="847">
        <f>G47+'25'!H47</f>
        <v>-1970558.79</v>
      </c>
      <c r="I47" s="845"/>
      <c r="J47" s="849">
        <f>H47/DAY(B2)</f>
        <v>-75790.722692307696</v>
      </c>
      <c r="K47" s="865"/>
      <c r="L47" s="824"/>
      <c r="N47" s="1015"/>
      <c r="O47" s="851"/>
    </row>
    <row r="48" spans="1:15" ht="20.100000000000001" customHeight="1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/>
    </row>
    <row r="49" spans="1:15" ht="20.100000000000001" customHeight="1">
      <c r="A49" s="842" t="s">
        <v>164</v>
      </c>
      <c r="B49" s="921"/>
      <c r="C49" s="921"/>
      <c r="D49" s="844" t="s">
        <v>132</v>
      </c>
      <c r="E49" s="845">
        <f>'25'!F49</f>
        <v>0</v>
      </c>
      <c r="F49" s="918"/>
      <c r="G49" s="846">
        <f t="shared" ref="G49:G58" si="4">F49-E49</f>
        <v>0</v>
      </c>
      <c r="H49" s="847">
        <f>G49+'25'!H49</f>
        <v>-260732.13</v>
      </c>
      <c r="I49" s="845"/>
      <c r="J49" s="849">
        <f>H49/DAY(B2)</f>
        <v>-10028.158846153847</v>
      </c>
      <c r="K49" s="865"/>
      <c r="L49" s="824"/>
      <c r="O49" s="851"/>
    </row>
    <row r="50" spans="1:15" ht="20.100000000000001" customHeight="1">
      <c r="A50" s="842" t="s">
        <v>178</v>
      </c>
      <c r="B50" s="921"/>
      <c r="C50" s="921"/>
      <c r="D50" s="844" t="s">
        <v>132</v>
      </c>
      <c r="E50" s="845">
        <f>'25'!F50</f>
        <v>0</v>
      </c>
      <c r="F50" s="918"/>
      <c r="G50" s="846">
        <f t="shared" si="4"/>
        <v>0</v>
      </c>
      <c r="H50" s="847">
        <f>G50+'25'!H50</f>
        <v>-403657.03</v>
      </c>
      <c r="I50" s="845"/>
      <c r="J50" s="849">
        <f>H50/DAY(B2)</f>
        <v>-15525.270384615385</v>
      </c>
      <c r="K50" s="865"/>
      <c r="L50" s="824"/>
      <c r="O50" s="851"/>
    </row>
    <row r="51" spans="1:15" ht="20.100000000000001" customHeight="1">
      <c r="A51" s="842" t="s">
        <v>166</v>
      </c>
      <c r="B51" s="921"/>
      <c r="C51" s="921"/>
      <c r="D51" s="844" t="s">
        <v>132</v>
      </c>
      <c r="E51" s="845">
        <f>'25'!F51</f>
        <v>0</v>
      </c>
      <c r="F51" s="918"/>
      <c r="G51" s="846">
        <f t="shared" si="4"/>
        <v>0</v>
      </c>
      <c r="H51" s="847">
        <f>G51+'25'!H51</f>
        <v>-121599.92</v>
      </c>
      <c r="I51" s="845"/>
      <c r="J51" s="849">
        <f>H51/DAY(B2)</f>
        <v>-4676.92</v>
      </c>
      <c r="K51" s="865"/>
      <c r="L51" s="824"/>
      <c r="O51" s="851"/>
    </row>
    <row r="52" spans="1:15" ht="20.100000000000001" customHeight="1">
      <c r="A52" s="842" t="s">
        <v>179</v>
      </c>
      <c r="B52" s="921"/>
      <c r="C52" s="921"/>
      <c r="D52" s="844" t="s">
        <v>132</v>
      </c>
      <c r="E52" s="845">
        <f>'25'!F52</f>
        <v>0</v>
      </c>
      <c r="F52" s="918"/>
      <c r="G52" s="846">
        <f t="shared" si="4"/>
        <v>0</v>
      </c>
      <c r="H52" s="847">
        <f>G52+'25'!H52</f>
        <v>-509958.71</v>
      </c>
      <c r="I52" s="845"/>
      <c r="J52" s="849">
        <f>H52/DAY(B2)</f>
        <v>-19613.796538461538</v>
      </c>
      <c r="K52" s="865"/>
      <c r="L52" s="824"/>
      <c r="O52" s="851"/>
    </row>
    <row r="53" spans="1:15" ht="20.100000000000001" customHeight="1">
      <c r="A53" s="842" t="s">
        <v>168</v>
      </c>
      <c r="B53" s="921"/>
      <c r="C53" s="921"/>
      <c r="D53" s="844" t="s">
        <v>132</v>
      </c>
      <c r="E53" s="845">
        <f>'25'!F53</f>
        <v>0</v>
      </c>
      <c r="F53" s="918"/>
      <c r="G53" s="846">
        <f t="shared" si="4"/>
        <v>0</v>
      </c>
      <c r="H53" s="847">
        <f>G53+'25'!H53</f>
        <v>-336039.51</v>
      </c>
      <c r="I53" s="845"/>
      <c r="J53" s="849">
        <f>H53/DAY(B2)</f>
        <v>-12924.596538461539</v>
      </c>
      <c r="K53" s="865"/>
      <c r="L53" s="824"/>
      <c r="O53" s="851"/>
    </row>
    <row r="54" spans="1:15" ht="20.100000000000001" customHeight="1">
      <c r="A54" s="842" t="s">
        <v>180</v>
      </c>
      <c r="B54" s="921"/>
      <c r="C54" s="921"/>
      <c r="D54" s="844" t="s">
        <v>132</v>
      </c>
      <c r="E54" s="845">
        <f>'25'!F54</f>
        <v>0</v>
      </c>
      <c r="F54" s="918"/>
      <c r="G54" s="846">
        <f t="shared" si="4"/>
        <v>0</v>
      </c>
      <c r="H54" s="847">
        <f>G54+'25'!H54</f>
        <v>-8095.5999999999995</v>
      </c>
      <c r="I54" s="845"/>
      <c r="J54" s="849">
        <f>H54/DAY(B2)</f>
        <v>-311.36923076923074</v>
      </c>
      <c r="K54" s="865"/>
      <c r="L54" s="824"/>
      <c r="O54" s="851"/>
    </row>
    <row r="55" spans="1:15" ht="20.100000000000001" customHeight="1">
      <c r="A55" s="842" t="s">
        <v>181</v>
      </c>
      <c r="B55" s="921"/>
      <c r="C55" s="921"/>
      <c r="D55" s="844" t="s">
        <v>132</v>
      </c>
      <c r="E55" s="845">
        <f>'25'!F55</f>
        <v>0</v>
      </c>
      <c r="F55" s="918"/>
      <c r="G55" s="846">
        <f t="shared" si="4"/>
        <v>0</v>
      </c>
      <c r="H55" s="847">
        <f>G55+'25'!H55</f>
        <v>-122584.69</v>
      </c>
      <c r="I55" s="845"/>
      <c r="J55" s="849">
        <f>H55/DAY(B2)</f>
        <v>-4714.7957692307691</v>
      </c>
      <c r="K55" s="865"/>
      <c r="L55" s="824"/>
      <c r="O55" s="851"/>
    </row>
    <row r="56" spans="1:15" ht="20.100000000000001" customHeight="1">
      <c r="A56" s="842" t="s">
        <v>182</v>
      </c>
      <c r="B56" s="921"/>
      <c r="C56" s="921"/>
      <c r="D56" s="844" t="s">
        <v>183</v>
      </c>
      <c r="E56" s="845">
        <f>'25'!F56</f>
        <v>0</v>
      </c>
      <c r="F56" s="918"/>
      <c r="G56" s="846">
        <f t="shared" si="4"/>
        <v>0</v>
      </c>
      <c r="H56" s="847">
        <f>G56+'25'!H56</f>
        <v>-586051.03</v>
      </c>
      <c r="I56" s="845"/>
      <c r="J56" s="849">
        <f>H56/DAY(B2)</f>
        <v>-22540.424230769233</v>
      </c>
      <c r="K56" s="841"/>
      <c r="L56" s="824"/>
      <c r="O56" s="851"/>
    </row>
    <row r="57" spans="1:15" ht="20.100000000000001" customHeight="1">
      <c r="A57" s="842" t="s">
        <v>172</v>
      </c>
      <c r="B57" s="921"/>
      <c r="C57" s="921"/>
      <c r="D57" s="844" t="s">
        <v>132</v>
      </c>
      <c r="E57" s="845">
        <f>'25'!F57</f>
        <v>0</v>
      </c>
      <c r="F57" s="918"/>
      <c r="G57" s="846">
        <f t="shared" si="4"/>
        <v>0</v>
      </c>
      <c r="H57" s="847">
        <f>G57+'25'!H57</f>
        <v>-7711.33</v>
      </c>
      <c r="I57" s="845"/>
      <c r="J57" s="849">
        <f>H57/DAY(B2)</f>
        <v>-296.5896153846154</v>
      </c>
      <c r="K57" s="865"/>
      <c r="L57" s="824"/>
      <c r="O57" s="851"/>
    </row>
    <row r="58" spans="1:15" ht="20.100000000000001" customHeight="1">
      <c r="A58" s="842" t="s">
        <v>184</v>
      </c>
      <c r="B58" s="921"/>
      <c r="C58" s="921"/>
      <c r="D58" s="844" t="s">
        <v>132</v>
      </c>
      <c r="E58" s="845">
        <f>'25'!F58</f>
        <v>0</v>
      </c>
      <c r="F58" s="918"/>
      <c r="G58" s="846">
        <f t="shared" si="4"/>
        <v>0</v>
      </c>
      <c r="H58" s="847">
        <f>G58+'25'!H58</f>
        <v>-36064.699999999997</v>
      </c>
      <c r="I58" s="845"/>
      <c r="J58" s="849">
        <f>H58/DAY(B2)</f>
        <v>-1387.103846153846</v>
      </c>
      <c r="K58" s="865"/>
      <c r="L58" s="824"/>
      <c r="O58" s="851"/>
    </row>
    <row r="59" spans="1:15" ht="20.100000000000001" customHeight="1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0</v>
      </c>
      <c r="H59" s="847">
        <f>G59+'25'!H59</f>
        <v>-2392494.65</v>
      </c>
      <c r="I59" s="845">
        <f>G7-G60</f>
        <v>0</v>
      </c>
      <c r="J59" s="849">
        <f>H59/DAY(B2)</f>
        <v>-92019.024999999994</v>
      </c>
      <c r="K59" s="865"/>
      <c r="L59" s="824"/>
      <c r="O59" s="851"/>
    </row>
    <row r="60" spans="1:15" ht="20.100000000000001" customHeight="1">
      <c r="A60" s="842"/>
      <c r="B60" s="843"/>
      <c r="C60" s="843"/>
      <c r="D60" s="831" t="s">
        <v>185</v>
      </c>
      <c r="E60" s="831"/>
      <c r="F60" s="831"/>
      <c r="G60" s="869">
        <f>G47+G59</f>
        <v>0</v>
      </c>
      <c r="H60" s="847">
        <f>G60+'25'!H60</f>
        <v>-4348884.4400000004</v>
      </c>
      <c r="I60" s="845">
        <f>G13-G60</f>
        <v>0</v>
      </c>
      <c r="J60" s="849">
        <f>H60/DAY(B2)</f>
        <v>-167264.78615384616</v>
      </c>
      <c r="K60" s="865"/>
      <c r="L60" s="824"/>
      <c r="O60" s="851"/>
    </row>
    <row r="61" spans="1:15" ht="20.100000000000001" customHeight="1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/>
    </row>
    <row r="62" spans="1:15" ht="20.100000000000001" customHeight="1">
      <c r="A62" s="926" t="s">
        <v>98</v>
      </c>
      <c r="B62" s="927"/>
      <c r="C62" s="927"/>
      <c r="D62" s="831" t="s">
        <v>187</v>
      </c>
      <c r="E62" s="845">
        <f>'25'!F62</f>
        <v>0</v>
      </c>
      <c r="F62" s="928"/>
      <c r="G62" s="846">
        <f t="shared" ref="G62:G69" si="5">F62-E62</f>
        <v>0</v>
      </c>
      <c r="H62" s="847">
        <f>G62+'25'!H62</f>
        <v>-20419.187000000002</v>
      </c>
      <c r="I62" s="929"/>
      <c r="J62" s="849">
        <f>H62/DAY(B2)</f>
        <v>-785.35334615384625</v>
      </c>
      <c r="K62" s="865"/>
      <c r="L62" s="824"/>
      <c r="O62" s="851"/>
    </row>
    <row r="63" spans="1:15" ht="20.100000000000001" customHeight="1">
      <c r="A63" s="926" t="s">
        <v>188</v>
      </c>
      <c r="B63" s="927"/>
      <c r="C63" s="927"/>
      <c r="D63" s="831" t="s">
        <v>187</v>
      </c>
      <c r="E63" s="845">
        <f>'25'!F63</f>
        <v>0</v>
      </c>
      <c r="F63" s="928"/>
      <c r="G63" s="846">
        <f t="shared" si="5"/>
        <v>0</v>
      </c>
      <c r="H63" s="847">
        <f>G63+'25'!H63</f>
        <v>-1707.36</v>
      </c>
      <c r="I63" s="929"/>
      <c r="J63" s="849">
        <f>H63/DAY(B2)</f>
        <v>-65.667692307692306</v>
      </c>
      <c r="K63" s="865"/>
      <c r="L63" s="824"/>
      <c r="O63" s="851"/>
    </row>
    <row r="64" spans="1:15" ht="20.100000000000001" customHeight="1">
      <c r="A64" s="1500" t="s">
        <v>99</v>
      </c>
      <c r="B64" s="1501"/>
      <c r="C64" s="1502"/>
      <c r="D64" s="844" t="s">
        <v>187</v>
      </c>
      <c r="E64" s="845">
        <f>'25'!F64</f>
        <v>0</v>
      </c>
      <c r="F64" s="875"/>
      <c r="G64" s="846">
        <f t="shared" si="5"/>
        <v>0</v>
      </c>
      <c r="H64" s="847">
        <f>G64+'25'!H64</f>
        <v>-123627.3</v>
      </c>
      <c r="I64" s="866"/>
      <c r="J64" s="849">
        <f>H64/DAY(B2)</f>
        <v>-4754.8961538461535</v>
      </c>
      <c r="K64" s="865"/>
      <c r="L64" s="824"/>
      <c r="O64" s="851"/>
    </row>
    <row r="65" spans="1:15" ht="20.100000000000001" customHeight="1">
      <c r="A65" s="1500" t="s">
        <v>100</v>
      </c>
      <c r="B65" s="1501"/>
      <c r="C65" s="1502"/>
      <c r="D65" s="844" t="s">
        <v>187</v>
      </c>
      <c r="E65" s="845">
        <f>'25'!F65</f>
        <v>0</v>
      </c>
      <c r="F65" s="875"/>
      <c r="G65" s="846">
        <f t="shared" si="5"/>
        <v>0</v>
      </c>
      <c r="H65" s="847">
        <f>G65+'25'!H65</f>
        <v>-132597.29999999999</v>
      </c>
      <c r="I65" s="884"/>
      <c r="J65" s="849">
        <f>H65/DAY(B2)</f>
        <v>-5099.8961538461535</v>
      </c>
      <c r="K65" s="865"/>
      <c r="L65" s="824"/>
      <c r="O65" s="851"/>
    </row>
    <row r="66" spans="1:15" ht="20.100000000000001" customHeight="1">
      <c r="A66" s="1500" t="s">
        <v>101</v>
      </c>
      <c r="B66" s="1501"/>
      <c r="C66" s="1502"/>
      <c r="D66" s="844" t="s">
        <v>187</v>
      </c>
      <c r="E66" s="845">
        <f>'25'!F66</f>
        <v>0</v>
      </c>
      <c r="F66" s="875"/>
      <c r="G66" s="846">
        <f t="shared" si="5"/>
        <v>0</v>
      </c>
      <c r="H66" s="847">
        <f>G66+'25'!H66</f>
        <v>-25159.75</v>
      </c>
      <c r="I66" s="866"/>
      <c r="J66" s="849">
        <f>H66/DAY(B2)</f>
        <v>-967.68269230769226</v>
      </c>
      <c r="K66" s="865"/>
      <c r="L66" s="824"/>
      <c r="O66" s="851"/>
    </row>
    <row r="67" spans="1:15" ht="20.100000000000001" customHeight="1">
      <c r="A67" s="1500" t="s">
        <v>102</v>
      </c>
      <c r="B67" s="1501"/>
      <c r="C67" s="1502"/>
      <c r="D67" s="844" t="s">
        <v>187</v>
      </c>
      <c r="E67" s="845">
        <f>'25'!F67</f>
        <v>0</v>
      </c>
      <c r="F67" s="875"/>
      <c r="G67" s="846">
        <f t="shared" si="5"/>
        <v>0</v>
      </c>
      <c r="H67" s="847">
        <f>G67+'25'!H67</f>
        <v>-207841.83</v>
      </c>
      <c r="I67" s="884"/>
      <c r="J67" s="849">
        <f>H67/DAY(B2)</f>
        <v>-7993.916538461538</v>
      </c>
      <c r="K67" s="872"/>
      <c r="L67" s="824"/>
      <c r="O67" s="851"/>
    </row>
    <row r="68" spans="1:15" ht="20.100000000000001" customHeight="1">
      <c r="A68" s="1500" t="s">
        <v>103</v>
      </c>
      <c r="B68" s="1501"/>
      <c r="C68" s="1502"/>
      <c r="D68" s="844" t="s">
        <v>187</v>
      </c>
      <c r="E68" s="845">
        <f>'25'!F68</f>
        <v>0</v>
      </c>
      <c r="F68" s="875"/>
      <c r="G68" s="846">
        <f t="shared" si="5"/>
        <v>0</v>
      </c>
      <c r="H68" s="847">
        <f>G68+'25'!H68</f>
        <v>-63461.45</v>
      </c>
      <c r="I68" s="930"/>
      <c r="J68" s="849">
        <f>H68/DAY(B2)</f>
        <v>-2440.8249999999998</v>
      </c>
      <c r="K68" s="931"/>
      <c r="L68" s="824"/>
      <c r="O68" s="851"/>
    </row>
    <row r="69" spans="1:15" ht="20.100000000000001" customHeight="1">
      <c r="A69" s="1500" t="s">
        <v>104</v>
      </c>
      <c r="B69" s="1501"/>
      <c r="C69" s="1502"/>
      <c r="D69" s="844" t="s">
        <v>187</v>
      </c>
      <c r="E69" s="845">
        <f>'25'!F69</f>
        <v>0</v>
      </c>
      <c r="F69" s="875"/>
      <c r="G69" s="846">
        <f t="shared" si="5"/>
        <v>0</v>
      </c>
      <c r="H69" s="847">
        <f>G69+'25'!H69</f>
        <v>-64452.09</v>
      </c>
      <c r="I69" s="930"/>
      <c r="J69" s="849">
        <f>H69/DAY(B2)</f>
        <v>-2478.9265384615383</v>
      </c>
      <c r="K69" s="932"/>
      <c r="L69" s="824"/>
      <c r="O69" s="851"/>
    </row>
    <row r="70" spans="1:15" ht="20.100000000000001" customHeight="1">
      <c r="A70" s="1509" t="s">
        <v>189</v>
      </c>
      <c r="B70" s="1510"/>
      <c r="C70" s="1511"/>
      <c r="D70" s="844" t="s">
        <v>187</v>
      </c>
      <c r="E70" s="933"/>
      <c r="F70" s="934"/>
      <c r="G70" s="934"/>
      <c r="H70" s="847">
        <f>G70+'13'!H70</f>
        <v>0</v>
      </c>
      <c r="I70" s="934"/>
      <c r="J70" s="935"/>
      <c r="K70" s="932"/>
      <c r="L70" s="824"/>
      <c r="O70" s="851"/>
    </row>
    <row r="71" spans="1:15" ht="20.100000000000001" customHeight="1">
      <c r="A71" s="1506" t="s">
        <v>190</v>
      </c>
      <c r="B71" s="1507"/>
      <c r="C71" s="1507"/>
      <c r="D71" s="1507"/>
      <c r="E71" s="1507"/>
      <c r="F71" s="1507"/>
      <c r="G71" s="1507"/>
      <c r="H71" s="1507"/>
      <c r="I71" s="1507"/>
      <c r="J71" s="1508"/>
      <c r="K71" s="931"/>
      <c r="L71" s="824"/>
      <c r="O71" s="851"/>
    </row>
    <row r="72" spans="1:15" ht="20.100000000000001" customHeight="1">
      <c r="A72" s="1500" t="s">
        <v>191</v>
      </c>
      <c r="B72" s="1501"/>
      <c r="C72" s="1502"/>
      <c r="D72" s="844" t="s">
        <v>187</v>
      </c>
      <c r="E72" s="845">
        <f>'25'!F72</f>
        <v>0</v>
      </c>
      <c r="F72" s="936"/>
      <c r="G72" s="846">
        <f t="shared" ref="G72:G84" si="6">F72-E72</f>
        <v>0</v>
      </c>
      <c r="H72" s="847">
        <f>G72+'25'!H72</f>
        <v>-850682</v>
      </c>
      <c r="I72" s="866"/>
      <c r="J72" s="849">
        <f>H72/DAY(B2)</f>
        <v>-32718.538461538461</v>
      </c>
      <c r="K72" s="932"/>
      <c r="L72" s="824"/>
      <c r="O72" s="851"/>
    </row>
    <row r="73" spans="1:15" ht="20.100000000000001" customHeight="1">
      <c r="A73" s="1500" t="s">
        <v>192</v>
      </c>
      <c r="B73" s="1501"/>
      <c r="C73" s="1502"/>
      <c r="D73" s="844" t="s">
        <v>187</v>
      </c>
      <c r="E73" s="845">
        <f>'25'!F73</f>
        <v>0</v>
      </c>
      <c r="F73" s="937"/>
      <c r="G73" s="846">
        <f t="shared" si="6"/>
        <v>0</v>
      </c>
      <c r="H73" s="847">
        <f>G73+'25'!H73</f>
        <v>-884658</v>
      </c>
      <c r="I73" s="866"/>
      <c r="J73" s="849">
        <f>H73/DAY(B2)</f>
        <v>-34025.307692307695</v>
      </c>
      <c r="K73" s="931"/>
      <c r="L73" s="824"/>
      <c r="O73" s="851"/>
    </row>
    <row r="74" spans="1:15" ht="20.100000000000001" customHeight="1">
      <c r="A74" s="1500" t="s">
        <v>193</v>
      </c>
      <c r="B74" s="1501"/>
      <c r="C74" s="1502"/>
      <c r="D74" s="844" t="s">
        <v>187</v>
      </c>
      <c r="E74" s="845">
        <f>'25'!F74</f>
        <v>0</v>
      </c>
      <c r="F74" s="938"/>
      <c r="G74" s="846">
        <f t="shared" si="6"/>
        <v>0</v>
      </c>
      <c r="H74" s="847">
        <f>G74+'25'!H74</f>
        <v>-586.16999999999996</v>
      </c>
      <c r="I74" s="866"/>
      <c r="J74" s="849">
        <f>H74/DAY(B2)</f>
        <v>-22.544999999999998</v>
      </c>
      <c r="K74" s="932"/>
      <c r="L74" s="824"/>
      <c r="O74" s="851"/>
    </row>
    <row r="75" spans="1:15" ht="20.100000000000001" customHeight="1">
      <c r="A75" s="1503" t="s">
        <v>194</v>
      </c>
      <c r="B75" s="1504"/>
      <c r="C75" s="1505"/>
      <c r="D75" s="844" t="s">
        <v>187</v>
      </c>
      <c r="E75" s="845">
        <f>'25'!F75</f>
        <v>0</v>
      </c>
      <c r="F75" s="938"/>
      <c r="G75" s="846">
        <f t="shared" si="6"/>
        <v>0</v>
      </c>
      <c r="H75" s="847">
        <f>G75+'25'!H75</f>
        <v>-3519.22</v>
      </c>
      <c r="I75" s="866"/>
      <c r="J75" s="849">
        <f>H75/DAY(B2)</f>
        <v>-135.35461538461539</v>
      </c>
      <c r="K75" s="931"/>
      <c r="L75" s="824"/>
      <c r="O75" s="851"/>
    </row>
    <row r="76" spans="1:15" ht="20.100000000000001" customHeight="1">
      <c r="A76" s="1503" t="s">
        <v>195</v>
      </c>
      <c r="B76" s="1504"/>
      <c r="C76" s="1505"/>
      <c r="D76" s="844" t="s">
        <v>187</v>
      </c>
      <c r="E76" s="845">
        <f>'25'!F76</f>
        <v>0</v>
      </c>
      <c r="F76" s="937"/>
      <c r="G76" s="846">
        <f t="shared" si="6"/>
        <v>0</v>
      </c>
      <c r="H76" s="847">
        <f>G76+'25'!H76</f>
        <v>-475.2199999999998</v>
      </c>
      <c r="I76" s="909"/>
      <c r="J76" s="849">
        <f>H76/DAY(B2)</f>
        <v>-18.277692307692298</v>
      </c>
      <c r="K76" s="931"/>
      <c r="L76" s="824"/>
      <c r="O76" s="851"/>
    </row>
    <row r="77" spans="1:15" ht="20.100000000000001" customHeight="1">
      <c r="A77" s="1500" t="s">
        <v>196</v>
      </c>
      <c r="B77" s="1501"/>
      <c r="C77" s="1502"/>
      <c r="D77" s="844" t="s">
        <v>187</v>
      </c>
      <c r="E77" s="845">
        <f>'25'!F77</f>
        <v>0</v>
      </c>
      <c r="F77" s="937"/>
      <c r="G77" s="846">
        <f t="shared" si="6"/>
        <v>0</v>
      </c>
      <c r="H77" s="847">
        <f>G77+'25'!H77</f>
        <v>-698588</v>
      </c>
      <c r="I77" s="909"/>
      <c r="J77" s="849">
        <f>H77/DAY(B2)</f>
        <v>-26868.76923076923</v>
      </c>
      <c r="K77" s="931"/>
      <c r="L77" s="824"/>
      <c r="O77" s="851"/>
    </row>
    <row r="78" spans="1:15" ht="18.75" customHeight="1">
      <c r="A78" s="939" t="s">
        <v>197</v>
      </c>
      <c r="B78" s="1144"/>
      <c r="C78" s="1144"/>
      <c r="D78" s="844" t="s">
        <v>187</v>
      </c>
      <c r="E78" s="845">
        <f>'25'!F78</f>
        <v>0</v>
      </c>
      <c r="F78" s="938"/>
      <c r="G78" s="846">
        <f t="shared" si="6"/>
        <v>0</v>
      </c>
      <c r="H78" s="847">
        <f>G78+'25'!H78</f>
        <v>-652863</v>
      </c>
      <c r="I78" s="909"/>
      <c r="J78" s="849">
        <f>H78/DAY(B2)</f>
        <v>-25110.115384615383</v>
      </c>
      <c r="K78" s="931"/>
      <c r="L78" s="824"/>
      <c r="O78" s="851"/>
    </row>
    <row r="79" spans="1:15" ht="20.100000000000001" customHeight="1">
      <c r="A79" s="1503" t="s">
        <v>92</v>
      </c>
      <c r="B79" s="1504"/>
      <c r="C79" s="1505"/>
      <c r="D79" s="878" t="s">
        <v>187</v>
      </c>
      <c r="E79" s="845">
        <f>'25'!F79</f>
        <v>0</v>
      </c>
      <c r="F79" s="938"/>
      <c r="G79" s="846">
        <f t="shared" si="6"/>
        <v>0</v>
      </c>
      <c r="H79" s="847">
        <f>G79+'25'!H79</f>
        <v>-812599</v>
      </c>
      <c r="I79" s="909"/>
      <c r="J79" s="849">
        <f>H79/DAY(B2)</f>
        <v>-31253.807692307691</v>
      </c>
      <c r="K79" s="931"/>
      <c r="L79" s="824"/>
      <c r="O79" s="851"/>
    </row>
    <row r="80" spans="1:15" ht="20.100000000000001" customHeight="1">
      <c r="A80" s="1503" t="s">
        <v>198</v>
      </c>
      <c r="B80" s="1504"/>
      <c r="C80" s="1505"/>
      <c r="D80" s="878" t="s">
        <v>187</v>
      </c>
      <c r="E80" s="845">
        <f>'25'!F80</f>
        <v>0</v>
      </c>
      <c r="F80" s="1239"/>
      <c r="G80" s="846">
        <f t="shared" si="6"/>
        <v>0</v>
      </c>
      <c r="H80" s="847">
        <f>G80+'25'!H80</f>
        <v>-496614</v>
      </c>
      <c r="I80" s="909"/>
      <c r="J80" s="849">
        <f>H80/DAY(B2)</f>
        <v>-19100.538461538461</v>
      </c>
      <c r="K80" s="931"/>
      <c r="L80" s="824"/>
      <c r="O80" s="851"/>
    </row>
    <row r="81" spans="1:15" ht="20.100000000000001" customHeight="1">
      <c r="A81" s="1503" t="s">
        <v>199</v>
      </c>
      <c r="B81" s="1504"/>
      <c r="C81" s="1505"/>
      <c r="D81" s="878" t="s">
        <v>187</v>
      </c>
      <c r="E81" s="845">
        <f>'25'!F81</f>
        <v>0</v>
      </c>
      <c r="F81" s="937"/>
      <c r="G81" s="846">
        <f t="shared" si="6"/>
        <v>0</v>
      </c>
      <c r="H81" s="847">
        <f>G81+'25'!H81</f>
        <v>-625943.84</v>
      </c>
      <c r="I81" s="909"/>
      <c r="J81" s="849">
        <f>H81/DAY(B2)</f>
        <v>-24074.763076923075</v>
      </c>
      <c r="K81" s="931"/>
      <c r="L81" s="824"/>
      <c r="O81" s="851"/>
    </row>
    <row r="82" spans="1:15" ht="20.100000000000001" customHeight="1">
      <c r="A82" s="1503" t="s">
        <v>93</v>
      </c>
      <c r="B82" s="1504"/>
      <c r="C82" s="1505"/>
      <c r="D82" s="879" t="s">
        <v>132</v>
      </c>
      <c r="E82" s="845">
        <f>'25'!F82</f>
        <v>0</v>
      </c>
      <c r="F82" s="940"/>
      <c r="G82" s="846">
        <f t="shared" si="6"/>
        <v>0</v>
      </c>
      <c r="H82" s="847">
        <f>G82+'25'!H82</f>
        <v>-106202.48</v>
      </c>
      <c r="I82" s="880"/>
      <c r="J82" s="849">
        <f>H82/DAY(B2)</f>
        <v>-4084.7107692307691</v>
      </c>
      <c r="K82" s="931"/>
      <c r="L82" s="824"/>
      <c r="O82" s="851"/>
    </row>
    <row r="83" spans="1:15" ht="20.100000000000001" customHeight="1">
      <c r="A83" s="1503" t="s">
        <v>200</v>
      </c>
      <c r="B83" s="1504"/>
      <c r="C83" s="1505"/>
      <c r="D83" s="941" t="s">
        <v>132</v>
      </c>
      <c r="E83" s="845">
        <f>'25'!F83</f>
        <v>0</v>
      </c>
      <c r="F83" s="831"/>
      <c r="G83" s="846">
        <f t="shared" si="6"/>
        <v>0</v>
      </c>
      <c r="H83" s="847">
        <f>G83+'25'!H83</f>
        <v>3403</v>
      </c>
      <c r="I83" s="869"/>
      <c r="J83" s="849">
        <f>H83/DAY(B2)</f>
        <v>130.88461538461539</v>
      </c>
      <c r="K83" s="872"/>
      <c r="L83" s="824"/>
      <c r="O83" s="851"/>
    </row>
    <row r="84" spans="1:15" ht="20.100000000000001" customHeight="1">
      <c r="A84" s="942" t="s">
        <v>201</v>
      </c>
      <c r="B84" s="943"/>
      <c r="C84" s="943"/>
      <c r="D84" s="863" t="s">
        <v>132</v>
      </c>
      <c r="E84" s="845">
        <f>'25'!F84</f>
        <v>0</v>
      </c>
      <c r="F84" s="944"/>
      <c r="G84" s="846">
        <f t="shared" si="6"/>
        <v>0</v>
      </c>
      <c r="H84" s="847">
        <f>G84+'25'!H84</f>
        <v>-430798</v>
      </c>
      <c r="I84" s="869"/>
      <c r="J84" s="849">
        <f>H84/DAY(B2)</f>
        <v>-16569.153846153848</v>
      </c>
      <c r="K84" s="945"/>
      <c r="L84" s="824"/>
      <c r="O84" s="851"/>
    </row>
    <row r="85" spans="1:15" s="949" customFormat="1" ht="20.100000000000001" customHeight="1">
      <c r="A85" s="946" t="s">
        <v>202</v>
      </c>
      <c r="B85" s="947"/>
      <c r="C85" s="947"/>
      <c r="D85" s="884"/>
      <c r="E85" s="845">
        <f>'25'!F85</f>
        <v>0</v>
      </c>
      <c r="F85" s="844"/>
      <c r="G85" s="847">
        <f xml:space="preserve"> SUM(G72:G84)</f>
        <v>0</v>
      </c>
      <c r="H85" s="847">
        <f>G85+'25'!H85</f>
        <v>-5564784.0700000003</v>
      </c>
      <c r="I85" s="869"/>
      <c r="J85" s="849">
        <f>H85/DAY(B2)</f>
        <v>-214030.15653846154</v>
      </c>
      <c r="K85" s="945"/>
      <c r="L85" s="948"/>
      <c r="N85" s="1016"/>
      <c r="O85" s="851"/>
    </row>
    <row r="86" spans="1:15" s="959" customFormat="1">
      <c r="A86" s="950" t="s">
        <v>94</v>
      </c>
      <c r="B86" s="951"/>
      <c r="C86" s="951"/>
      <c r="D86" s="952" t="s">
        <v>183</v>
      </c>
      <c r="E86" s="845">
        <f>'25'!F86</f>
        <v>0</v>
      </c>
      <c r="F86" s="953"/>
      <c r="G86" s="954">
        <f t="shared" ref="G86:G90" si="7">F86-E86</f>
        <v>0</v>
      </c>
      <c r="H86" s="954">
        <f t="shared" ref="H86:H88" si="8">G86</f>
        <v>0</v>
      </c>
      <c r="I86" s="955"/>
      <c r="J86" s="956">
        <f>H86/DAY(B2)</f>
        <v>0</v>
      </c>
      <c r="K86" s="957"/>
      <c r="L86" s="958"/>
      <c r="N86" s="1017"/>
      <c r="O86" s="851"/>
    </row>
    <row r="87" spans="1:15" s="959" customFormat="1">
      <c r="A87" s="950" t="s">
        <v>95</v>
      </c>
      <c r="B87" s="951"/>
      <c r="C87" s="951"/>
      <c r="D87" s="952" t="s">
        <v>183</v>
      </c>
      <c r="E87" s="845">
        <f>'25'!F87</f>
        <v>0</v>
      </c>
      <c r="F87" s="1291"/>
      <c r="G87" s="954">
        <f t="shared" si="7"/>
        <v>0</v>
      </c>
      <c r="H87" s="954">
        <f t="shared" si="8"/>
        <v>0</v>
      </c>
      <c r="I87" s="955"/>
      <c r="J87" s="956">
        <f>H87/DAY(B2)</f>
        <v>0</v>
      </c>
      <c r="K87" s="957"/>
      <c r="L87" s="958"/>
      <c r="N87" s="1017"/>
      <c r="O87" s="851"/>
    </row>
    <row r="88" spans="1:15" s="959" customFormat="1">
      <c r="A88" s="950" t="s">
        <v>96</v>
      </c>
      <c r="B88" s="951"/>
      <c r="C88" s="951"/>
      <c r="D88" s="952" t="s">
        <v>183</v>
      </c>
      <c r="E88" s="845">
        <f>'25'!F88</f>
        <v>0</v>
      </c>
      <c r="F88" s="953"/>
      <c r="G88" s="954">
        <f t="shared" si="7"/>
        <v>0</v>
      </c>
      <c r="H88" s="954">
        <f t="shared" si="8"/>
        <v>0</v>
      </c>
      <c r="I88" s="955"/>
      <c r="J88" s="956">
        <f>H88/DAY(B2)</f>
        <v>0</v>
      </c>
      <c r="K88" s="957"/>
      <c r="L88" s="958"/>
      <c r="N88" s="1017"/>
      <c r="O88" s="851"/>
    </row>
    <row r="89" spans="1:15" s="959" customFormat="1">
      <c r="A89" s="950" t="s">
        <v>204</v>
      </c>
      <c r="B89" s="951"/>
      <c r="C89" s="951"/>
      <c r="D89" s="952" t="s">
        <v>183</v>
      </c>
      <c r="E89" s="845">
        <f>'25'!F89</f>
        <v>0</v>
      </c>
      <c r="F89" s="953"/>
      <c r="G89" s="954">
        <f t="shared" si="7"/>
        <v>0</v>
      </c>
      <c r="H89" s="954">
        <f>G89</f>
        <v>0</v>
      </c>
      <c r="I89" s="955"/>
      <c r="J89" s="956">
        <f>H89/DAY(B2)</f>
        <v>0</v>
      </c>
      <c r="K89" s="957"/>
      <c r="L89" s="958"/>
      <c r="N89" s="1023"/>
      <c r="O89" s="851"/>
    </row>
    <row r="90" spans="1:15" s="959" customFormat="1">
      <c r="A90" s="950" t="s">
        <v>204</v>
      </c>
      <c r="B90" s="951"/>
      <c r="C90" s="951"/>
      <c r="D90" s="952" t="s">
        <v>183</v>
      </c>
      <c r="E90" s="845">
        <f>'25'!F90</f>
        <v>0</v>
      </c>
      <c r="F90" s="953"/>
      <c r="G90" s="954">
        <f t="shared" si="7"/>
        <v>0</v>
      </c>
      <c r="H90" s="954">
        <f>G90</f>
        <v>0</v>
      </c>
      <c r="I90" s="955"/>
      <c r="J90" s="956">
        <f>H90/DAY(B2)</f>
        <v>0</v>
      </c>
      <c r="K90" s="957"/>
      <c r="L90" s="958"/>
      <c r="N90" s="1018"/>
      <c r="O90" s="851"/>
    </row>
    <row r="91" spans="1:15" s="949" customFormat="1" ht="20.100000000000001" customHeight="1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/>
    </row>
    <row r="92" spans="1:15" ht="20.100000000000001" customHeight="1">
      <c r="A92" s="1494" t="s">
        <v>206</v>
      </c>
      <c r="B92" s="1495"/>
      <c r="C92" s="1496"/>
      <c r="D92" s="844" t="s">
        <v>144</v>
      </c>
      <c r="E92" s="845">
        <f>'25'!F92</f>
        <v>0</v>
      </c>
      <c r="F92" s="875"/>
      <c r="G92" s="846">
        <f t="shared" ref="G92:G93" si="9">F92-E92</f>
        <v>0</v>
      </c>
      <c r="H92" s="847">
        <f>G92+'25'!H92</f>
        <v>-239695</v>
      </c>
      <c r="I92" s="866"/>
      <c r="J92" s="849">
        <f>H92/DAY(B2)</f>
        <v>-9219.038461538461</v>
      </c>
      <c r="K92" s="872"/>
      <c r="L92" s="824"/>
      <c r="O92" s="851"/>
    </row>
    <row r="93" spans="1:15" ht="20.100000000000001" customHeight="1">
      <c r="A93" s="1494" t="s">
        <v>207</v>
      </c>
      <c r="B93" s="1495"/>
      <c r="C93" s="1496"/>
      <c r="D93" s="844" t="s">
        <v>144</v>
      </c>
      <c r="E93" s="845">
        <f>'25'!F93</f>
        <v>0</v>
      </c>
      <c r="F93" s="875"/>
      <c r="G93" s="846">
        <f t="shared" si="9"/>
        <v>0</v>
      </c>
      <c r="H93" s="847">
        <f>G93+'25'!H93</f>
        <v>-175661</v>
      </c>
      <c r="I93" s="866"/>
      <c r="J93" s="849">
        <f>H93/DAY(B2)</f>
        <v>-6756.1923076923076</v>
      </c>
      <c r="K93" s="945"/>
      <c r="L93" s="824"/>
      <c r="O93" s="851"/>
    </row>
    <row r="94" spans="1:15" ht="20.100000000000001" customHeight="1">
      <c r="A94" s="1512" t="s">
        <v>208</v>
      </c>
      <c r="B94" s="1513"/>
      <c r="C94" s="1514"/>
      <c r="D94" s="844"/>
      <c r="E94" s="845">
        <f>'25'!F94</f>
        <v>0</v>
      </c>
      <c r="F94" s="875"/>
      <c r="G94" s="846">
        <f>G92+G93</f>
        <v>0</v>
      </c>
      <c r="H94" s="847">
        <f>G94+'25'!H94</f>
        <v>-415622</v>
      </c>
      <c r="I94" s="866"/>
      <c r="J94" s="849">
        <f>H94/DAY(B2)</f>
        <v>-15985.461538461539</v>
      </c>
      <c r="K94" s="945"/>
      <c r="L94" s="824"/>
      <c r="O94" s="851"/>
    </row>
    <row r="95" spans="1:15" ht="20.100000000000001" customHeight="1">
      <c r="A95" s="1494" t="s">
        <v>209</v>
      </c>
      <c r="B95" s="1495"/>
      <c r="C95" s="1496"/>
      <c r="D95" s="844" t="s">
        <v>144</v>
      </c>
      <c r="E95" s="845">
        <f>'25'!F95</f>
        <v>0</v>
      </c>
      <c r="F95" s="875"/>
      <c r="G95" s="846">
        <f t="shared" ref="G95:G100" si="10">F95-E95</f>
        <v>0</v>
      </c>
      <c r="H95" s="847">
        <f>G95+'25'!H95</f>
        <v>-408156</v>
      </c>
      <c r="I95" s="866"/>
      <c r="J95" s="849">
        <f>H95/DAY(B2)</f>
        <v>-15698.307692307691</v>
      </c>
      <c r="K95" s="945"/>
      <c r="L95" s="824"/>
      <c r="O95" s="851"/>
    </row>
    <row r="96" spans="1:15" ht="20.100000000000001" customHeight="1">
      <c r="A96" s="873" t="s">
        <v>210</v>
      </c>
      <c r="B96" s="874"/>
      <c r="C96" s="874"/>
      <c r="D96" s="844" t="s">
        <v>144</v>
      </c>
      <c r="E96" s="845">
        <f>'25'!F96</f>
        <v>0</v>
      </c>
      <c r="F96" s="875"/>
      <c r="G96" s="846">
        <f t="shared" si="10"/>
        <v>0</v>
      </c>
      <c r="H96" s="847">
        <f>G96+'25'!H96</f>
        <v>-101332</v>
      </c>
      <c r="I96" s="866"/>
      <c r="J96" s="849">
        <f>H96/DAY(B2)</f>
        <v>-3897.3846153846152</v>
      </c>
      <c r="K96" s="841"/>
      <c r="L96" s="824"/>
      <c r="O96" s="851"/>
    </row>
    <row r="97" spans="1:15" ht="20.100000000000001" customHeight="1">
      <c r="A97" s="873" t="s">
        <v>211</v>
      </c>
      <c r="B97" s="874"/>
      <c r="C97" s="874"/>
      <c r="D97" s="844" t="s">
        <v>144</v>
      </c>
      <c r="E97" s="845">
        <f>'25'!F97</f>
        <v>0</v>
      </c>
      <c r="F97" s="875"/>
      <c r="G97" s="846">
        <f t="shared" si="10"/>
        <v>0</v>
      </c>
      <c r="H97" s="847">
        <f>G97+'25'!H97</f>
        <v>-96449</v>
      </c>
      <c r="I97" s="866"/>
      <c r="J97" s="849">
        <f>H97/DAY(B2)</f>
        <v>-3709.5769230769229</v>
      </c>
      <c r="K97" s="961"/>
      <c r="L97" s="824"/>
      <c r="O97" s="851"/>
    </row>
    <row r="98" spans="1:15" ht="20.100000000000001" customHeight="1">
      <c r="A98" s="873" t="s">
        <v>212</v>
      </c>
      <c r="B98" s="874"/>
      <c r="C98" s="874"/>
      <c r="D98" s="844" t="s">
        <v>144</v>
      </c>
      <c r="E98" s="845">
        <f>'25'!F98</f>
        <v>0</v>
      </c>
      <c r="F98" s="875"/>
      <c r="G98" s="846">
        <f t="shared" si="10"/>
        <v>0</v>
      </c>
      <c r="H98" s="847">
        <f>G98+'25'!H98</f>
        <v>-147608</v>
      </c>
      <c r="I98" s="866"/>
      <c r="J98" s="849">
        <f>H98/DAY(B2)</f>
        <v>-5677.2307692307695</v>
      </c>
      <c r="K98" s="945"/>
      <c r="L98" s="824"/>
      <c r="O98" s="851"/>
    </row>
    <row r="99" spans="1:15" ht="20.100000000000001" customHeight="1">
      <c r="A99" s="873" t="s">
        <v>213</v>
      </c>
      <c r="B99" s="874"/>
      <c r="C99" s="874"/>
      <c r="D99" s="844" t="s">
        <v>144</v>
      </c>
      <c r="E99" s="845">
        <f>'25'!F99</f>
        <v>0</v>
      </c>
      <c r="F99" s="875"/>
      <c r="G99" s="846">
        <f t="shared" si="10"/>
        <v>0</v>
      </c>
      <c r="H99" s="847">
        <f>G99+'25'!H99</f>
        <v>-6408</v>
      </c>
      <c r="I99" s="866"/>
      <c r="J99" s="849">
        <f>H99/DAY(B2)</f>
        <v>-246.46153846153845</v>
      </c>
      <c r="K99" s="945"/>
      <c r="L99" s="824"/>
      <c r="O99" s="851"/>
    </row>
    <row r="100" spans="1:15" ht="20.100000000000001" customHeight="1">
      <c r="A100" s="873" t="s">
        <v>214</v>
      </c>
      <c r="B100" s="874"/>
      <c r="C100" s="874"/>
      <c r="D100" s="844" t="s">
        <v>144</v>
      </c>
      <c r="E100" s="845">
        <f>'25'!F100</f>
        <v>0</v>
      </c>
      <c r="F100" s="875"/>
      <c r="G100" s="846">
        <f t="shared" si="10"/>
        <v>0</v>
      </c>
      <c r="H100" s="847">
        <f>G100+'25'!H100</f>
        <v>-4543</v>
      </c>
      <c r="I100" s="866"/>
      <c r="J100" s="849">
        <f>H100/DAY(B2)</f>
        <v>-174.73076923076923</v>
      </c>
      <c r="K100" s="945"/>
      <c r="L100" s="824"/>
      <c r="O100" s="851"/>
    </row>
    <row r="101" spans="1:15" ht="20.100000000000001" customHeight="1">
      <c r="A101" s="1512" t="s">
        <v>216</v>
      </c>
      <c r="B101" s="1513"/>
      <c r="C101" s="1514"/>
      <c r="D101" s="878"/>
      <c r="E101" s="878"/>
      <c r="F101" s="878"/>
      <c r="G101" s="962">
        <f>SUM(G95:G100)</f>
        <v>0</v>
      </c>
      <c r="H101" s="847">
        <f>G101+'25'!H101</f>
        <v>-764496</v>
      </c>
      <c r="I101" s="963"/>
      <c r="J101" s="849">
        <f>H101/DAY(B2)</f>
        <v>-29403.692307692309</v>
      </c>
      <c r="K101" s="945"/>
      <c r="L101" s="824"/>
      <c r="O101" s="851"/>
    </row>
    <row r="102" spans="1:15" s="896" customFormat="1" ht="25.5" customHeight="1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/>
    </row>
    <row r="103" spans="1:15" s="896" customFormat="1" ht="21.75" customHeight="1">
      <c r="A103" s="1523" t="s">
        <v>218</v>
      </c>
      <c r="B103" s="1524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/>
    </row>
    <row r="104" spans="1:15" s="896" customFormat="1" ht="21.75" customHeight="1">
      <c r="A104" s="1525" t="s">
        <v>219</v>
      </c>
      <c r="B104" s="1526"/>
      <c r="C104" s="978"/>
      <c r="D104" s="974" t="s">
        <v>144</v>
      </c>
      <c r="E104" s="975">
        <f>'25'!F104</f>
        <v>0</v>
      </c>
      <c r="F104" s="975"/>
      <c r="G104" s="975">
        <f>F104-E104</f>
        <v>0</v>
      </c>
      <c r="H104" s="976">
        <f>SUM(G104+'1'!G76)</f>
        <v>79.150000000000091</v>
      </c>
      <c r="I104" s="975"/>
      <c r="J104" s="977">
        <f>H104/DAY(B2)</f>
        <v>3.0442307692307726</v>
      </c>
      <c r="N104" s="1014"/>
      <c r="O104" s="851"/>
    </row>
    <row r="105" spans="1:15" s="896" customFormat="1" ht="21.75" customHeight="1">
      <c r="A105" s="1525" t="s">
        <v>77</v>
      </c>
      <c r="B105" s="1526"/>
      <c r="C105" s="978"/>
      <c r="D105" s="974" t="s">
        <v>144</v>
      </c>
      <c r="E105" s="975">
        <f>'25'!F105</f>
        <v>0</v>
      </c>
      <c r="F105" s="979"/>
      <c r="G105" s="975">
        <f t="shared" ref="G105:G106" si="11">F105-E105</f>
        <v>0</v>
      </c>
      <c r="H105" s="976">
        <f>SUM(G105+'1'!G77)</f>
        <v>45</v>
      </c>
      <c r="I105" s="975"/>
      <c r="J105" s="977">
        <f>H105/DAY(B2)</f>
        <v>1.7307692307692308</v>
      </c>
      <c r="N105" s="1014"/>
      <c r="O105" s="851"/>
    </row>
    <row r="106" spans="1:15" s="896" customFormat="1" ht="21.75" customHeight="1">
      <c r="A106" s="1525" t="s">
        <v>78</v>
      </c>
      <c r="B106" s="1527"/>
      <c r="C106" s="1526"/>
      <c r="D106" s="974" t="s">
        <v>144</v>
      </c>
      <c r="E106" s="975">
        <f>'25'!F106</f>
        <v>0</v>
      </c>
      <c r="F106" s="975"/>
      <c r="G106" s="975">
        <f t="shared" si="11"/>
        <v>0</v>
      </c>
      <c r="H106" s="976">
        <f>SUM(G106+'1'!G78)</f>
        <v>390</v>
      </c>
      <c r="I106" s="975"/>
      <c r="J106" s="977">
        <f>H106/DAY(B2)</f>
        <v>15</v>
      </c>
      <c r="N106" s="1014"/>
      <c r="O106" s="851"/>
    </row>
    <row r="107" spans="1:15" s="896" customFormat="1" ht="21.75" customHeight="1">
      <c r="A107" s="1528" t="s">
        <v>202</v>
      </c>
      <c r="B107" s="1529"/>
      <c r="C107" s="978"/>
      <c r="D107" s="974"/>
      <c r="E107" s="975">
        <f>'25'!F107</f>
        <v>0</v>
      </c>
      <c r="F107" s="975"/>
      <c r="G107" s="975">
        <f>SUM(G104:G106)</f>
        <v>0</v>
      </c>
      <c r="H107" s="976">
        <f>SUM(G107+'1'!G79)</f>
        <v>192</v>
      </c>
      <c r="I107" s="975"/>
      <c r="J107" s="977">
        <f>H107/DAY(B2)</f>
        <v>7.384615384615385</v>
      </c>
      <c r="N107" s="1014"/>
      <c r="O107" s="851"/>
    </row>
    <row r="108" spans="1:15" s="896" customFormat="1" ht="21.75" customHeight="1">
      <c r="A108" s="1530" t="s">
        <v>79</v>
      </c>
      <c r="B108" s="1531"/>
      <c r="C108" s="978"/>
      <c r="D108" s="974" t="s">
        <v>144</v>
      </c>
      <c r="E108" s="975">
        <f>'25'!F108</f>
        <v>0</v>
      </c>
      <c r="F108" s="975"/>
      <c r="G108" s="975"/>
      <c r="H108" s="976"/>
      <c r="I108" s="975"/>
      <c r="J108" s="977"/>
      <c r="N108" s="1014"/>
      <c r="O108" s="851"/>
    </row>
    <row r="109" spans="1:15" s="896" customFormat="1" ht="21.75" customHeight="1">
      <c r="A109" s="1525" t="s">
        <v>220</v>
      </c>
      <c r="B109" s="1526"/>
      <c r="C109" s="978"/>
      <c r="D109" s="974" t="s">
        <v>144</v>
      </c>
      <c r="E109" s="975">
        <f>'25'!F109</f>
        <v>0</v>
      </c>
      <c r="F109" s="975"/>
      <c r="G109" s="975">
        <f>F109-E109</f>
        <v>0</v>
      </c>
      <c r="H109" s="976">
        <f>SUM(G109+'1'!G81)</f>
        <v>112.56000000005588</v>
      </c>
      <c r="I109" s="975"/>
      <c r="J109" s="977">
        <f>H109/DAY(B2)</f>
        <v>4.3292307692329182</v>
      </c>
      <c r="N109" s="1014"/>
      <c r="O109" s="851"/>
    </row>
    <row r="110" spans="1:15" s="896" customFormat="1" ht="21.75" customHeight="1">
      <c r="A110" s="1525" t="s">
        <v>221</v>
      </c>
      <c r="B110" s="1526"/>
      <c r="C110" s="978"/>
      <c r="D110" s="974" t="s">
        <v>144</v>
      </c>
      <c r="E110" s="975">
        <f>'25'!F110</f>
        <v>0</v>
      </c>
      <c r="F110" s="975"/>
      <c r="G110" s="975">
        <f t="shared" ref="G110:G111" si="12">F110-E110</f>
        <v>0</v>
      </c>
      <c r="H110" s="976">
        <f>SUM(G110+'1'!G82)</f>
        <v>18.169999999998254</v>
      </c>
      <c r="I110" s="975"/>
      <c r="J110" s="977">
        <f>H110/DAY(B2)</f>
        <v>0.69884615384608673</v>
      </c>
      <c r="N110" s="1014"/>
      <c r="O110" s="851"/>
    </row>
    <row r="111" spans="1:15" s="896" customFormat="1" ht="21.75" customHeight="1">
      <c r="A111" s="1525" t="s">
        <v>222</v>
      </c>
      <c r="B111" s="1526"/>
      <c r="C111" s="978"/>
      <c r="D111" s="974" t="s">
        <v>144</v>
      </c>
      <c r="E111" s="975">
        <f>'25'!F111</f>
        <v>0</v>
      </c>
      <c r="F111" s="975"/>
      <c r="G111" s="975">
        <f t="shared" si="12"/>
        <v>0</v>
      </c>
      <c r="H111" s="976">
        <f>SUM(G111+'1'!G83)</f>
        <v>520</v>
      </c>
      <c r="I111" s="975"/>
      <c r="J111" s="977">
        <f>H111/DAY(B2)</f>
        <v>20</v>
      </c>
      <c r="N111" s="1014"/>
      <c r="O111" s="851"/>
    </row>
    <row r="112" spans="1:15" s="896" customFormat="1" ht="21.75" customHeight="1">
      <c r="A112" s="1532" t="s">
        <v>110</v>
      </c>
      <c r="B112" s="1533"/>
      <c r="C112" s="978"/>
      <c r="D112" s="974"/>
      <c r="E112" s="975">
        <f>'25'!F112</f>
        <v>0</v>
      </c>
      <c r="F112" s="975"/>
      <c r="G112" s="975">
        <f>SUM(G109:G111)</f>
        <v>0</v>
      </c>
      <c r="H112" s="976">
        <f>SUM(G112+'1'!G84)</f>
        <v>690</v>
      </c>
      <c r="I112" s="975"/>
      <c r="J112" s="977">
        <f>H112/DAY(B2)</f>
        <v>26.53846153846154</v>
      </c>
      <c r="N112" s="1014"/>
      <c r="O112" s="851"/>
    </row>
    <row r="113" spans="1:15" s="896" customFormat="1" ht="21.75" customHeight="1">
      <c r="A113" s="1530" t="s">
        <v>223</v>
      </c>
      <c r="B113" s="1531"/>
      <c r="C113" s="978"/>
      <c r="D113" s="974"/>
      <c r="E113" s="975">
        <f>'25'!F113</f>
        <v>0</v>
      </c>
      <c r="F113" s="975"/>
      <c r="G113" s="975"/>
      <c r="H113" s="976"/>
      <c r="I113" s="975"/>
      <c r="J113" s="977">
        <f>H113/DAY(B2)</f>
        <v>0</v>
      </c>
      <c r="N113" s="1014"/>
      <c r="O113" s="851"/>
    </row>
    <row r="114" spans="1:15" s="896" customFormat="1" ht="21.75" customHeight="1">
      <c r="A114" s="1525" t="s">
        <v>224</v>
      </c>
      <c r="B114" s="1526"/>
      <c r="C114" s="980"/>
      <c r="D114" s="974" t="s">
        <v>144</v>
      </c>
      <c r="E114" s="975">
        <f>'25'!F114</f>
        <v>0</v>
      </c>
      <c r="F114" s="979"/>
      <c r="G114" s="979">
        <f>F114-E114</f>
        <v>0</v>
      </c>
      <c r="H114" s="976">
        <f>SUM(G114+'1'!G91)</f>
        <v>0</v>
      </c>
      <c r="I114" s="975"/>
      <c r="J114" s="977">
        <f>H114/DAY(B2)</f>
        <v>0</v>
      </c>
      <c r="N114" s="1014"/>
      <c r="O114" s="851"/>
    </row>
    <row r="115" spans="1:15" s="896" customFormat="1" ht="21.75" customHeight="1">
      <c r="A115" s="1525" t="s">
        <v>225</v>
      </c>
      <c r="B115" s="1526"/>
      <c r="C115" s="980"/>
      <c r="D115" s="974" t="s">
        <v>144</v>
      </c>
      <c r="E115" s="975">
        <f>'25'!F115</f>
        <v>0</v>
      </c>
      <c r="F115" s="979"/>
      <c r="G115" s="979">
        <f t="shared" ref="G115:G116" si="13">F115-E115</f>
        <v>0</v>
      </c>
      <c r="H115" s="976">
        <f>SUM(G115+'1'!G92)</f>
        <v>122</v>
      </c>
      <c r="I115" s="975"/>
      <c r="J115" s="977">
        <f>H115/DAY(B2)</f>
        <v>4.6923076923076925</v>
      </c>
      <c r="N115" s="1014"/>
      <c r="O115" s="851"/>
    </row>
    <row r="116" spans="1:15" s="896" customFormat="1" ht="21.75" customHeight="1">
      <c r="A116" s="1525" t="s">
        <v>226</v>
      </c>
      <c r="B116" s="1526"/>
      <c r="C116" s="980"/>
      <c r="D116" s="974" t="s">
        <v>144</v>
      </c>
      <c r="E116" s="979"/>
      <c r="F116" s="979"/>
      <c r="G116" s="979">
        <f t="shared" si="13"/>
        <v>0</v>
      </c>
      <c r="H116" s="976">
        <f>SUM(G116+'1'!G93)</f>
        <v>144</v>
      </c>
      <c r="I116" s="975"/>
      <c r="J116" s="977">
        <f>H116/DAY(B2)</f>
        <v>5.5384615384615383</v>
      </c>
      <c r="N116" s="1014"/>
      <c r="O116" s="851"/>
    </row>
    <row r="117" spans="1:15" s="982" customFormat="1">
      <c r="A117" s="1528" t="s">
        <v>202</v>
      </c>
      <c r="B117" s="1529"/>
      <c r="C117" s="980"/>
      <c r="D117" s="981"/>
      <c r="E117" s="979"/>
      <c r="F117" s="979"/>
      <c r="G117" s="979">
        <f>SUM(G114:G116)</f>
        <v>0</v>
      </c>
      <c r="H117" s="976">
        <f>SUM(G117+'1'!G95)</f>
        <v>76</v>
      </c>
      <c r="I117" s="979"/>
      <c r="J117" s="977">
        <f>H117/DAY(B2)</f>
        <v>2.9230769230769229</v>
      </c>
      <c r="N117" s="1019"/>
      <c r="O117" s="851"/>
    </row>
    <row r="118" spans="1:15" s="774" customFormat="1">
      <c r="A118" s="1534" t="s">
        <v>227</v>
      </c>
      <c r="B118" s="1535"/>
      <c r="C118" s="983"/>
      <c r="D118" s="984" t="s">
        <v>144</v>
      </c>
      <c r="E118" s="985"/>
      <c r="F118" s="986"/>
      <c r="G118" s="986">
        <f>SUM(G19+G92)</f>
        <v>0</v>
      </c>
      <c r="H118" s="976">
        <f>SUM(G118+'1'!G96)</f>
        <v>13</v>
      </c>
      <c r="I118" s="985"/>
      <c r="J118" s="987">
        <f>H118/DAY(B2)</f>
        <v>0.5</v>
      </c>
      <c r="N118" s="1020"/>
      <c r="O118" s="851"/>
    </row>
    <row r="119" spans="1:15" s="774" customFormat="1">
      <c r="A119" s="1534" t="s">
        <v>228</v>
      </c>
      <c r="B119" s="1535"/>
      <c r="C119" s="983"/>
      <c r="D119" s="984" t="s">
        <v>144</v>
      </c>
      <c r="E119" s="985"/>
      <c r="F119" s="986"/>
      <c r="G119" s="986">
        <f>SUM(G95,G96,G97,G99,G100)</f>
        <v>0</v>
      </c>
      <c r="H119" s="976">
        <f>SUM(G119+'1'!G98)</f>
        <v>70</v>
      </c>
      <c r="I119" s="985"/>
      <c r="J119" s="987">
        <f>H119/DAY(B2)</f>
        <v>2.6923076923076925</v>
      </c>
      <c r="N119" s="1020"/>
      <c r="O119" s="851"/>
    </row>
    <row r="120" spans="1:15" s="774" customFormat="1">
      <c r="A120" s="1534" t="s">
        <v>229</v>
      </c>
      <c r="B120" s="1535"/>
      <c r="C120" s="983"/>
      <c r="D120" s="984" t="s">
        <v>144</v>
      </c>
      <c r="E120" s="985"/>
      <c r="F120" s="979"/>
      <c r="G120" s="979">
        <f>SUM(G112)</f>
        <v>0</v>
      </c>
      <c r="H120" s="976">
        <f>SUM(G120+'1'!G100)</f>
        <v>14</v>
      </c>
      <c r="I120" s="985"/>
      <c r="J120" s="987">
        <f>H120/DAY(B2)</f>
        <v>0.53846153846153844</v>
      </c>
      <c r="N120" s="1020"/>
      <c r="O120" s="851"/>
    </row>
    <row r="121" spans="1:15" s="896" customFormat="1" ht="18.75" customHeight="1">
      <c r="A121" s="1536"/>
      <c r="B121" s="1537"/>
      <c r="C121" s="978"/>
      <c r="D121" s="973"/>
      <c r="E121" s="973"/>
      <c r="F121" s="973"/>
      <c r="G121" s="973"/>
      <c r="H121" s="988"/>
      <c r="I121" s="973"/>
      <c r="J121" s="989"/>
      <c r="N121" s="1014"/>
      <c r="O121" s="851"/>
    </row>
    <row r="122" spans="1:15" ht="20.100000000000001" customHeight="1">
      <c r="A122" s="1515" t="s">
        <v>230</v>
      </c>
      <c r="B122" s="1516"/>
      <c r="C122" s="1517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/>
    </row>
    <row r="123" spans="1:15" ht="22.5" customHeight="1">
      <c r="A123" s="873" t="s">
        <v>231</v>
      </c>
      <c r="B123" s="874"/>
      <c r="C123" s="874"/>
      <c r="D123" s="844" t="s">
        <v>141</v>
      </c>
      <c r="E123" s="845">
        <f>'25'!F123</f>
        <v>0</v>
      </c>
      <c r="F123" s="863"/>
      <c r="G123" s="846">
        <f t="shared" ref="G123:G127" si="14">F123-E123</f>
        <v>0</v>
      </c>
      <c r="H123" s="847">
        <f>G123+'25'!H123</f>
        <v>-811006.84</v>
      </c>
      <c r="I123" s="963"/>
      <c r="J123" s="849">
        <f>H123/DAY(B2)</f>
        <v>-31192.57076923077</v>
      </c>
      <c r="K123" s="945"/>
      <c r="L123" s="824"/>
      <c r="O123" s="851"/>
    </row>
    <row r="124" spans="1:15" ht="22.5" customHeight="1">
      <c r="A124" s="873" t="s">
        <v>232</v>
      </c>
      <c r="B124" s="874"/>
      <c r="C124" s="874"/>
      <c r="D124" s="844" t="s">
        <v>141</v>
      </c>
      <c r="E124" s="845">
        <f>'25'!F124</f>
        <v>0</v>
      </c>
      <c r="F124" s="991"/>
      <c r="G124" s="846">
        <f t="shared" si="14"/>
        <v>0</v>
      </c>
      <c r="H124" s="847">
        <f>G124+'25'!H124</f>
        <v>-73583.399999999994</v>
      </c>
      <c r="I124" s="963"/>
      <c r="J124" s="849">
        <f>H124/DAY(B2)</f>
        <v>-2830.1307692307691</v>
      </c>
      <c r="K124" s="945"/>
      <c r="L124" s="824"/>
      <c r="O124" s="851"/>
    </row>
    <row r="125" spans="1:15" ht="22.5" customHeight="1">
      <c r="A125" s="1500" t="s">
        <v>233</v>
      </c>
      <c r="B125" s="1501"/>
      <c r="C125" s="1502"/>
      <c r="D125" s="844" t="s">
        <v>141</v>
      </c>
      <c r="E125" s="845">
        <f>'25'!F125</f>
        <v>0</v>
      </c>
      <c r="F125" s="863"/>
      <c r="G125" s="846">
        <f t="shared" si="14"/>
        <v>0</v>
      </c>
      <c r="H125" s="847">
        <f>G125+'25'!H125</f>
        <v>-139979.34</v>
      </c>
      <c r="I125" s="963"/>
      <c r="J125" s="849">
        <f>H125/DAY(B2)</f>
        <v>-5383.8207692307687</v>
      </c>
      <c r="K125" s="945"/>
      <c r="L125" s="824"/>
      <c r="O125" s="851"/>
    </row>
    <row r="126" spans="1:15" ht="20.100000000000001" customHeight="1">
      <c r="A126" s="992" t="s">
        <v>234</v>
      </c>
      <c r="B126" s="874"/>
      <c r="C126" s="874"/>
      <c r="D126" s="844" t="s">
        <v>141</v>
      </c>
      <c r="E126" s="845">
        <f>'25'!F126</f>
        <v>0</v>
      </c>
      <c r="F126" s="991"/>
      <c r="G126" s="846">
        <f t="shared" si="14"/>
        <v>0</v>
      </c>
      <c r="H126" s="847">
        <f>G126+'25'!H126</f>
        <v>-59306.9</v>
      </c>
      <c r="I126" s="963"/>
      <c r="J126" s="849">
        <f>H126/DAY(B2)</f>
        <v>-2281.0346153846153</v>
      </c>
      <c r="K126" s="945"/>
      <c r="L126" s="824"/>
      <c r="O126" s="851"/>
    </row>
    <row r="127" spans="1:15" ht="20.100000000000001" customHeight="1">
      <c r="A127" s="992" t="s">
        <v>235</v>
      </c>
      <c r="B127" s="874"/>
      <c r="C127" s="874"/>
      <c r="D127" s="844" t="s">
        <v>141</v>
      </c>
      <c r="E127" s="845">
        <f>'25'!F127</f>
        <v>0</v>
      </c>
      <c r="F127" s="991"/>
      <c r="G127" s="846">
        <f t="shared" si="14"/>
        <v>0</v>
      </c>
      <c r="H127" s="847">
        <f>G127+'25'!H127</f>
        <v>-8887.7999999999993</v>
      </c>
      <c r="I127" s="866"/>
      <c r="J127" s="849">
        <f>H127/DAY(B2)</f>
        <v>-341.8384615384615</v>
      </c>
      <c r="K127" s="945"/>
      <c r="L127" s="824"/>
      <c r="O127" s="851"/>
    </row>
    <row r="128" spans="1:15" ht="21.75" customHeight="1">
      <c r="A128" s="992" t="s">
        <v>236</v>
      </c>
      <c r="B128" s="874"/>
      <c r="C128" s="874"/>
      <c r="D128" s="844"/>
      <c r="E128" s="845"/>
      <c r="F128" s="863"/>
      <c r="G128" s="846">
        <f>G15-SUM(G123:G127)</f>
        <v>0</v>
      </c>
      <c r="H128" s="847">
        <f>G128+'25'!H128</f>
        <v>-534980.75899999996</v>
      </c>
      <c r="I128" s="866"/>
      <c r="J128" s="849">
        <f>H128/DAY(B2)</f>
        <v>-20576.183038461539</v>
      </c>
      <c r="K128" s="945"/>
      <c r="L128" s="824"/>
      <c r="O128" s="851"/>
    </row>
    <row r="129" spans="1:15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/>
    </row>
    <row r="130" spans="1:15">
      <c r="A130" s="873" t="s">
        <v>238</v>
      </c>
      <c r="B130" s="874"/>
      <c r="C130" s="874"/>
      <c r="D130" s="844" t="s">
        <v>239</v>
      </c>
      <c r="E130" s="845">
        <f>'25'!F130</f>
        <v>0</v>
      </c>
      <c r="F130" s="875"/>
      <c r="G130" s="846">
        <f t="shared" ref="G130:G140" si="15">F130-E130</f>
        <v>0</v>
      </c>
      <c r="H130" s="847">
        <f>G130+'25'!H130</f>
        <v>0</v>
      </c>
      <c r="I130" s="866"/>
      <c r="J130" s="849">
        <f>H130/DAY(B2)</f>
        <v>0</v>
      </c>
      <c r="O130" s="851"/>
    </row>
    <row r="131" spans="1:15">
      <c r="A131" s="873" t="s">
        <v>240</v>
      </c>
      <c r="B131" s="874"/>
      <c r="C131" s="874"/>
      <c r="D131" s="844" t="s">
        <v>239</v>
      </c>
      <c r="E131" s="845">
        <f>'25'!F131</f>
        <v>0</v>
      </c>
      <c r="F131" s="875"/>
      <c r="G131" s="846">
        <f t="shared" si="15"/>
        <v>0</v>
      </c>
      <c r="H131" s="847">
        <f>G131+'25'!H131</f>
        <v>0</v>
      </c>
      <c r="I131" s="866"/>
      <c r="J131" s="849">
        <f>H131/DAY(B2)</f>
        <v>0</v>
      </c>
      <c r="O131" s="851"/>
    </row>
    <row r="132" spans="1:15">
      <c r="A132" s="873" t="s">
        <v>241</v>
      </c>
      <c r="B132" s="874"/>
      <c r="C132" s="874"/>
      <c r="D132" s="844" t="s">
        <v>239</v>
      </c>
      <c r="E132" s="845">
        <f>'25'!F132</f>
        <v>0</v>
      </c>
      <c r="F132" s="996"/>
      <c r="G132" s="846">
        <f t="shared" si="15"/>
        <v>0</v>
      </c>
      <c r="H132" s="847">
        <f>G132+'25'!H132</f>
        <v>-38838.33</v>
      </c>
      <c r="I132" s="866"/>
      <c r="J132" s="849">
        <f>H132/DAY(B2)</f>
        <v>-1493.7819230769232</v>
      </c>
      <c r="O132" s="851"/>
    </row>
    <row r="133" spans="1:15">
      <c r="A133" s="873" t="s">
        <v>242</v>
      </c>
      <c r="B133" s="874"/>
      <c r="C133" s="874"/>
      <c r="D133" s="844" t="s">
        <v>239</v>
      </c>
      <c r="E133" s="845">
        <f>'25'!F133</f>
        <v>0</v>
      </c>
      <c r="F133" s="996"/>
      <c r="G133" s="846">
        <f t="shared" si="15"/>
        <v>0</v>
      </c>
      <c r="H133" s="847">
        <f>G133+'25'!H133</f>
        <v>-300</v>
      </c>
      <c r="I133" s="866">
        <f>G130+G131+G132+G133</f>
        <v>0</v>
      </c>
      <c r="J133" s="849">
        <f>H133/DAY(B2)</f>
        <v>-11.538461538461538</v>
      </c>
      <c r="O133" s="851"/>
    </row>
    <row r="134" spans="1:15">
      <c r="A134" s="873" t="s">
        <v>243</v>
      </c>
      <c r="B134" s="874"/>
      <c r="C134" s="874"/>
      <c r="D134" s="844" t="s">
        <v>239</v>
      </c>
      <c r="E134" s="845">
        <f>'25'!F134</f>
        <v>0</v>
      </c>
      <c r="F134" s="996"/>
      <c r="G134" s="846">
        <f t="shared" si="15"/>
        <v>0</v>
      </c>
      <c r="H134" s="847">
        <f>G134+'25'!H134</f>
        <v>-40778</v>
      </c>
      <c r="I134" s="866"/>
      <c r="J134" s="849">
        <f>H134/DAY(B2)</f>
        <v>-1568.3846153846155</v>
      </c>
      <c r="O134" s="851"/>
    </row>
    <row r="135" spans="1:15">
      <c r="A135" s="873" t="s">
        <v>244</v>
      </c>
      <c r="B135" s="874"/>
      <c r="C135" s="874"/>
      <c r="D135" s="844" t="s">
        <v>239</v>
      </c>
      <c r="E135" s="845">
        <f>'25'!F135</f>
        <v>0</v>
      </c>
      <c r="F135" s="996"/>
      <c r="G135" s="846">
        <f t="shared" si="15"/>
        <v>0</v>
      </c>
      <c r="H135" s="847">
        <f>G135+'25'!H135</f>
        <v>-32569.93</v>
      </c>
      <c r="I135" s="866"/>
      <c r="J135" s="849">
        <f>H135/DAY(B2)</f>
        <v>-1252.6896153846153</v>
      </c>
      <c r="O135" s="851"/>
    </row>
    <row r="136" spans="1:15">
      <c r="A136" s="873" t="s">
        <v>245</v>
      </c>
      <c r="B136" s="874"/>
      <c r="C136" s="874"/>
      <c r="D136" s="844" t="s">
        <v>239</v>
      </c>
      <c r="E136" s="845">
        <f>'25'!F136</f>
        <v>0</v>
      </c>
      <c r="F136" s="996"/>
      <c r="G136" s="846">
        <f t="shared" si="15"/>
        <v>0</v>
      </c>
      <c r="H136" s="847">
        <f>G136+'25'!H136</f>
        <v>-22222.21</v>
      </c>
      <c r="I136" s="866">
        <f>G134+G135+G136</f>
        <v>0</v>
      </c>
      <c r="J136" s="849">
        <f>H136/DAY(B2)</f>
        <v>-854.70038461538456</v>
      </c>
      <c r="O136" s="851"/>
    </row>
    <row r="137" spans="1:15">
      <c r="A137" s="873" t="s">
        <v>246</v>
      </c>
      <c r="B137" s="874"/>
      <c r="C137" s="874"/>
      <c r="D137" s="844" t="s">
        <v>239</v>
      </c>
      <c r="E137" s="845">
        <f>'25'!F137</f>
        <v>0</v>
      </c>
      <c r="F137" s="996"/>
      <c r="G137" s="846">
        <f t="shared" si="15"/>
        <v>0</v>
      </c>
      <c r="H137" s="847">
        <f>G137+'25'!H137</f>
        <v>-25036.31</v>
      </c>
      <c r="I137" s="866"/>
      <c r="J137" s="849">
        <f>H137/DAY(B2)</f>
        <v>-962.93500000000006</v>
      </c>
      <c r="O137" s="851"/>
    </row>
    <row r="138" spans="1:15">
      <c r="A138" s="873" t="s">
        <v>247</v>
      </c>
      <c r="B138" s="874"/>
      <c r="C138" s="874"/>
      <c r="D138" s="844" t="s">
        <v>239</v>
      </c>
      <c r="E138" s="845">
        <f>'25'!F138</f>
        <v>0</v>
      </c>
      <c r="F138" s="996"/>
      <c r="G138" s="846">
        <f t="shared" si="15"/>
        <v>0</v>
      </c>
      <c r="H138" s="847">
        <f>G138+'25'!H138</f>
        <v>-70223</v>
      </c>
      <c r="I138" s="866">
        <f>G137+G138</f>
        <v>0</v>
      </c>
      <c r="J138" s="849">
        <f>H138/DAY(B2)</f>
        <v>-2700.8846153846152</v>
      </c>
      <c r="O138" s="851"/>
    </row>
    <row r="139" spans="1:15">
      <c r="A139" s="873" t="s">
        <v>248</v>
      </c>
      <c r="B139" s="874"/>
      <c r="C139" s="874"/>
      <c r="D139" s="844" t="s">
        <v>239</v>
      </c>
      <c r="E139" s="845">
        <f>'25'!F139</f>
        <v>0</v>
      </c>
      <c r="F139" s="875"/>
      <c r="G139" s="846">
        <f t="shared" si="15"/>
        <v>0</v>
      </c>
      <c r="H139" s="847">
        <f>G139+'25'!H139</f>
        <v>-1423.14</v>
      </c>
      <c r="I139" s="997"/>
      <c r="J139" s="849">
        <f>H139/DAY(B2)</f>
        <v>-54.736153846153847</v>
      </c>
      <c r="O139" s="851"/>
    </row>
    <row r="140" spans="1:15">
      <c r="A140" s="873" t="s">
        <v>249</v>
      </c>
      <c r="B140" s="874"/>
      <c r="C140" s="874"/>
      <c r="D140" s="844" t="s">
        <v>239</v>
      </c>
      <c r="E140" s="845">
        <f>'25'!F140</f>
        <v>0</v>
      </c>
      <c r="F140" s="875"/>
      <c r="G140" s="846">
        <f t="shared" si="15"/>
        <v>0</v>
      </c>
      <c r="H140" s="847">
        <f>G140+'25'!H140</f>
        <v>-4334</v>
      </c>
      <c r="I140" s="997"/>
      <c r="J140" s="849">
        <f>H140/DAY(B2)</f>
        <v>-166.69230769230768</v>
      </c>
      <c r="O140" s="851"/>
    </row>
    <row r="141" spans="1:15">
      <c r="A141" s="1518" t="s">
        <v>250</v>
      </c>
      <c r="B141" s="1519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/>
    </row>
    <row r="142" spans="1:15">
      <c r="A142" s="1494" t="s">
        <v>251</v>
      </c>
      <c r="B142" s="1495"/>
      <c r="C142" s="1496"/>
      <c r="D142" s="844" t="s">
        <v>132</v>
      </c>
      <c r="E142" s="844"/>
      <c r="F142" s="844"/>
      <c r="G142" s="847">
        <f>G35+G43+G49+G57</f>
        <v>0</v>
      </c>
      <c r="H142" s="847">
        <f>G142+'25'!H142</f>
        <v>-1789744.52</v>
      </c>
      <c r="I142" s="866"/>
      <c r="J142" s="849">
        <f>H142/DAY(B2)</f>
        <v>-68836.327692307692</v>
      </c>
      <c r="K142" s="945"/>
      <c r="L142" s="824"/>
      <c r="O142" s="851"/>
    </row>
    <row r="143" spans="1:15">
      <c r="A143" s="1494" t="s">
        <v>252</v>
      </c>
      <c r="B143" s="1495"/>
      <c r="C143" s="1496"/>
      <c r="D143" s="844" t="s">
        <v>24</v>
      </c>
      <c r="E143" s="831"/>
      <c r="F143" s="831"/>
      <c r="G143" s="998" t="e">
        <f>G142/G7</f>
        <v>#DIV/0!</v>
      </c>
      <c r="H143" s="847" t="e">
        <f>G143+'25'!H143</f>
        <v>#DIV/0!</v>
      </c>
      <c r="I143" s="999"/>
      <c r="J143" s="849" t="e">
        <f>H143/DAY(B2)</f>
        <v>#DIV/0!</v>
      </c>
      <c r="K143" s="945"/>
      <c r="L143" s="824"/>
      <c r="O143" s="851"/>
    </row>
    <row r="144" spans="1:15">
      <c r="A144" s="1494" t="s">
        <v>253</v>
      </c>
      <c r="B144" s="1495"/>
      <c r="C144" s="1496"/>
      <c r="D144" s="844" t="s">
        <v>132</v>
      </c>
      <c r="E144" s="845"/>
      <c r="F144" s="845"/>
      <c r="G144" s="847">
        <f>G41+G42+G55+G56</f>
        <v>0</v>
      </c>
      <c r="H144" s="847">
        <f>G144+'25'!H144</f>
        <v>-826647.94000000006</v>
      </c>
      <c r="I144" s="866"/>
      <c r="J144" s="849">
        <f>H144/DAY(B2)</f>
        <v>-31794.151538461541</v>
      </c>
      <c r="K144" s="945"/>
      <c r="L144" s="824"/>
      <c r="O144" s="851"/>
    </row>
    <row r="145" spans="1:15" ht="20.100000000000001" customHeight="1">
      <c r="A145" s="1494" t="s">
        <v>254</v>
      </c>
      <c r="B145" s="1495"/>
      <c r="C145" s="1496"/>
      <c r="D145" s="844" t="s">
        <v>24</v>
      </c>
      <c r="E145" s="845"/>
      <c r="F145" s="845"/>
      <c r="G145" s="998" t="e">
        <f>G144/G7</f>
        <v>#DIV/0!</v>
      </c>
      <c r="H145" s="847" t="e">
        <f>G145+'25'!H145</f>
        <v>#DIV/0!</v>
      </c>
      <c r="I145" s="999"/>
      <c r="J145" s="849" t="e">
        <f>H145/DAY(B2)</f>
        <v>#DIV/0!</v>
      </c>
      <c r="K145" s="945"/>
      <c r="L145" s="824"/>
      <c r="O145" s="851"/>
    </row>
    <row r="146" spans="1:15" ht="20.100000000000001" customHeight="1">
      <c r="A146" s="1494" t="s">
        <v>255</v>
      </c>
      <c r="B146" s="1495"/>
      <c r="C146" s="1496"/>
      <c r="D146" s="844" t="s">
        <v>132</v>
      </c>
      <c r="E146" s="845"/>
      <c r="F146" s="845"/>
      <c r="G146" s="847">
        <f>G39+G53</f>
        <v>0</v>
      </c>
      <c r="H146" s="847">
        <f>G146+'25'!H146</f>
        <v>-322461.62</v>
      </c>
      <c r="I146" s="1000"/>
      <c r="J146" s="849">
        <f>H146/DAY(B2)</f>
        <v>-12402.369999999999</v>
      </c>
      <c r="K146" s="945"/>
      <c r="L146" s="824"/>
      <c r="O146" s="851"/>
    </row>
    <row r="147" spans="1:15" ht="20.100000000000001" customHeight="1">
      <c r="A147" s="1494" t="s">
        <v>256</v>
      </c>
      <c r="B147" s="1495"/>
      <c r="C147" s="1496"/>
      <c r="D147" s="844" t="s">
        <v>24</v>
      </c>
      <c r="E147" s="845"/>
      <c r="F147" s="845"/>
      <c r="G147" s="998" t="e">
        <f>G146/G7</f>
        <v>#DIV/0!</v>
      </c>
      <c r="H147" s="847" t="e">
        <f>G147+'25'!H147</f>
        <v>#DIV/0!</v>
      </c>
      <c r="I147" s="1000"/>
      <c r="J147" s="849" t="e">
        <f>H147/DAY(B2)</f>
        <v>#DIV/0!</v>
      </c>
      <c r="O147" s="851"/>
    </row>
    <row r="148" spans="1:15" ht="20.100000000000001" customHeight="1">
      <c r="A148" s="1494" t="s">
        <v>257</v>
      </c>
      <c r="B148" s="1495"/>
      <c r="C148" s="1496"/>
      <c r="D148" s="844" t="s">
        <v>183</v>
      </c>
      <c r="E148" s="845"/>
      <c r="F148" s="845"/>
      <c r="G148" s="847">
        <f>G38+G52</f>
        <v>0</v>
      </c>
      <c r="H148" s="847">
        <f>G148+'25'!H148</f>
        <v>-551726.20000000007</v>
      </c>
      <c r="I148" s="866"/>
      <c r="J148" s="849">
        <f>H148/DAY(B2)</f>
        <v>-21220.238461538465</v>
      </c>
      <c r="K148" s="1001"/>
      <c r="O148" s="851"/>
    </row>
    <row r="149" spans="1:15" ht="20.100000000000001" customHeight="1">
      <c r="A149" s="1494" t="s">
        <v>258</v>
      </c>
      <c r="B149" s="1495"/>
      <c r="C149" s="1496"/>
      <c r="D149" s="844" t="s">
        <v>24</v>
      </c>
      <c r="E149" s="845"/>
      <c r="F149" s="845"/>
      <c r="G149" s="998" t="e">
        <f>G148/G7</f>
        <v>#DIV/0!</v>
      </c>
      <c r="H149" s="847" t="e">
        <f>G149+'25'!H149</f>
        <v>#DIV/0!</v>
      </c>
      <c r="I149" s="1000"/>
      <c r="J149" s="849" t="e">
        <f>H149/DAY(B2)</f>
        <v>#DIV/0!</v>
      </c>
      <c r="O149" s="851"/>
    </row>
    <row r="150" spans="1:15" ht="20.100000000000001" customHeight="1">
      <c r="A150" s="1494" t="s">
        <v>259</v>
      </c>
      <c r="B150" s="1495"/>
      <c r="C150" s="1496"/>
      <c r="D150" s="844" t="s">
        <v>183</v>
      </c>
      <c r="E150" s="845"/>
      <c r="F150" s="845"/>
      <c r="G150" s="847">
        <f>G36+G50</f>
        <v>0</v>
      </c>
      <c r="H150" s="847">
        <f>G150+'25'!H150</f>
        <v>-698908.60000000009</v>
      </c>
      <c r="I150" s="1000"/>
      <c r="J150" s="849">
        <f>H150/DAY(B2)</f>
        <v>-26881.100000000002</v>
      </c>
      <c r="O150" s="851"/>
    </row>
    <row r="151" spans="1:15" ht="20.100000000000001" customHeight="1">
      <c r="A151" s="1494" t="s">
        <v>260</v>
      </c>
      <c r="B151" s="1495"/>
      <c r="C151" s="1496"/>
      <c r="D151" s="844" t="s">
        <v>24</v>
      </c>
      <c r="E151" s="845"/>
      <c r="F151" s="845"/>
      <c r="G151" s="998" t="e">
        <f>G150/G7</f>
        <v>#DIV/0!</v>
      </c>
      <c r="H151" s="847" t="e">
        <f>G151+'25'!H151</f>
        <v>#DIV/0!</v>
      </c>
      <c r="I151" s="866"/>
      <c r="J151" s="849" t="e">
        <f>H151/DAY(B2)</f>
        <v>#DIV/0!</v>
      </c>
      <c r="O151" s="851"/>
    </row>
    <row r="152" spans="1:15" ht="20.100000000000001" customHeight="1">
      <c r="A152" s="1494" t="s">
        <v>261</v>
      </c>
      <c r="B152" s="1495"/>
      <c r="C152" s="1496"/>
      <c r="D152" s="844" t="s">
        <v>183</v>
      </c>
      <c r="E152" s="845"/>
      <c r="F152" s="845"/>
      <c r="G152" s="847">
        <f>G37+G51</f>
        <v>0</v>
      </c>
      <c r="H152" s="847">
        <f>G152+'25'!H152</f>
        <v>-116945.84000000001</v>
      </c>
      <c r="I152" s="866"/>
      <c r="J152" s="849">
        <f>H152/DAY(B2)</f>
        <v>-4497.9169230769239</v>
      </c>
      <c r="O152" s="851"/>
    </row>
    <row r="153" spans="1:15" ht="20.100000000000001" customHeight="1" thickBot="1">
      <c r="A153" s="1520" t="s">
        <v>262</v>
      </c>
      <c r="B153" s="1521"/>
      <c r="C153" s="1522"/>
      <c r="D153" s="1002" t="s">
        <v>24</v>
      </c>
      <c r="E153" s="1003"/>
      <c r="F153" s="1003"/>
      <c r="G153" s="1004" t="e">
        <f>G152/G7</f>
        <v>#DIV/0!</v>
      </c>
      <c r="H153" s="847" t="e">
        <f>G153+'25'!H153</f>
        <v>#DIV/0!</v>
      </c>
      <c r="I153" s="1005"/>
      <c r="J153" s="1006" t="e">
        <f>H153/DAY(B2)</f>
        <v>#DIV/0!</v>
      </c>
      <c r="O153" s="851"/>
    </row>
    <row r="154" spans="1:15" ht="44.25" customHeight="1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997" t="s">
        <v>263</v>
      </c>
      <c r="B160" s="997"/>
      <c r="C160" s="997"/>
      <c r="D160" s="831" t="s">
        <v>187</v>
      </c>
      <c r="E160" s="845">
        <f>'25'!F160</f>
        <v>30541</v>
      </c>
      <c r="F160" s="1021">
        <v>30625</v>
      </c>
      <c r="G160" s="846">
        <f t="shared" ref="G160:G163" si="16">F160-E160</f>
        <v>84</v>
      </c>
    </row>
    <row r="161" spans="1:7" ht="21.75" customHeight="1">
      <c r="A161" s="997" t="s">
        <v>264</v>
      </c>
      <c r="B161" s="997"/>
      <c r="C161" s="997"/>
      <c r="D161" s="831" t="s">
        <v>187</v>
      </c>
      <c r="E161" s="845">
        <f>'25'!F161</f>
        <v>53792.22</v>
      </c>
      <c r="F161" s="1021">
        <v>54238.47</v>
      </c>
      <c r="G161" s="846">
        <f t="shared" si="16"/>
        <v>446.25</v>
      </c>
    </row>
    <row r="162" spans="1:7" ht="21.75" customHeight="1">
      <c r="A162" s="997" t="s">
        <v>265</v>
      </c>
      <c r="B162" s="997"/>
      <c r="C162" s="997"/>
      <c r="D162" s="831" t="s">
        <v>187</v>
      </c>
      <c r="E162" s="845">
        <f>'25'!F162</f>
        <v>19739</v>
      </c>
      <c r="F162" s="1021">
        <v>20018</v>
      </c>
      <c r="G162" s="846">
        <f t="shared" si="16"/>
        <v>279</v>
      </c>
    </row>
    <row r="163" spans="1:7" ht="21.75" customHeight="1">
      <c r="A163" s="997" t="s">
        <v>266</v>
      </c>
      <c r="B163" s="997"/>
      <c r="C163" s="997"/>
      <c r="D163" s="831" t="s">
        <v>187</v>
      </c>
      <c r="E163" s="845">
        <f>'25'!F163</f>
        <v>5354</v>
      </c>
      <c r="F163" s="1021">
        <v>5371.89</v>
      </c>
      <c r="G163" s="846">
        <f t="shared" si="16"/>
        <v>17.890000000000327</v>
      </c>
    </row>
    <row r="164" spans="1:7" ht="21.75" customHeight="1">
      <c r="A164" s="927" t="s">
        <v>98</v>
      </c>
      <c r="B164" s="927"/>
      <c r="C164" s="927"/>
      <c r="D164" s="831" t="s">
        <v>187</v>
      </c>
      <c r="E164" s="928">
        <f>E62</f>
        <v>0</v>
      </c>
      <c r="F164" s="928">
        <f>F62</f>
        <v>0</v>
      </c>
      <c r="G164" s="846">
        <f t="shared" ref="G164:G171" si="17">F164-E164</f>
        <v>0</v>
      </c>
    </row>
    <row r="165" spans="1:7" ht="21.75" customHeight="1">
      <c r="A165" s="927" t="s">
        <v>188</v>
      </c>
      <c r="B165" s="927"/>
      <c r="C165" s="927"/>
      <c r="D165" s="831" t="s">
        <v>187</v>
      </c>
      <c r="E165" s="928">
        <f t="shared" ref="E165:E171" si="18">E63</f>
        <v>0</v>
      </c>
      <c r="F165" s="928">
        <f t="shared" ref="F165:F171" si="19">F63</f>
        <v>0</v>
      </c>
      <c r="G165" s="846">
        <f t="shared" si="17"/>
        <v>0</v>
      </c>
    </row>
    <row r="166" spans="1:7" ht="21.75" customHeight="1">
      <c r="A166" s="1538" t="s">
        <v>99</v>
      </c>
      <c r="B166" s="1538"/>
      <c r="C166" s="1538"/>
      <c r="D166" s="844" t="s">
        <v>187</v>
      </c>
      <c r="E166" s="928">
        <f t="shared" si="18"/>
        <v>0</v>
      </c>
      <c r="F166" s="928">
        <f t="shared" si="19"/>
        <v>0</v>
      </c>
      <c r="G166" s="846">
        <f t="shared" si="17"/>
        <v>0</v>
      </c>
    </row>
    <row r="167" spans="1:7" ht="21.75" customHeight="1">
      <c r="A167" s="1538" t="s">
        <v>100</v>
      </c>
      <c r="B167" s="1538"/>
      <c r="C167" s="1538"/>
      <c r="D167" s="844" t="s">
        <v>187</v>
      </c>
      <c r="E167" s="928">
        <f t="shared" si="18"/>
        <v>0</v>
      </c>
      <c r="F167" s="928">
        <f t="shared" si="19"/>
        <v>0</v>
      </c>
      <c r="G167" s="846">
        <f t="shared" si="17"/>
        <v>0</v>
      </c>
    </row>
    <row r="168" spans="1:7" ht="21.75" customHeight="1">
      <c r="A168" s="1538" t="s">
        <v>101</v>
      </c>
      <c r="B168" s="1538"/>
      <c r="C168" s="1538"/>
      <c r="D168" s="844" t="s">
        <v>187</v>
      </c>
      <c r="E168" s="928">
        <f t="shared" si="18"/>
        <v>0</v>
      </c>
      <c r="F168" s="928">
        <f t="shared" si="19"/>
        <v>0</v>
      </c>
      <c r="G168" s="846">
        <f t="shared" si="17"/>
        <v>0</v>
      </c>
    </row>
    <row r="169" spans="1:7" ht="21.75" customHeight="1">
      <c r="A169" s="1538" t="s">
        <v>102</v>
      </c>
      <c r="B169" s="1538"/>
      <c r="C169" s="1538"/>
      <c r="D169" s="844" t="s">
        <v>187</v>
      </c>
      <c r="E169" s="928">
        <f t="shared" si="18"/>
        <v>0</v>
      </c>
      <c r="F169" s="928">
        <f t="shared" si="19"/>
        <v>0</v>
      </c>
      <c r="G169" s="846">
        <f t="shared" si="17"/>
        <v>0</v>
      </c>
    </row>
    <row r="170" spans="1:7" ht="24" customHeight="1">
      <c r="A170" s="1538" t="s">
        <v>103</v>
      </c>
      <c r="B170" s="1538"/>
      <c r="C170" s="1538"/>
      <c r="D170" s="844" t="s">
        <v>187</v>
      </c>
      <c r="E170" s="928">
        <f t="shared" si="18"/>
        <v>0</v>
      </c>
      <c r="F170" s="928">
        <f t="shared" si="19"/>
        <v>0</v>
      </c>
      <c r="G170" s="846">
        <f t="shared" si="17"/>
        <v>0</v>
      </c>
    </row>
    <row r="171" spans="1:7">
      <c r="A171" s="1538" t="s">
        <v>104</v>
      </c>
      <c r="B171" s="1538"/>
      <c r="C171" s="1538"/>
      <c r="D171" s="844" t="s">
        <v>187</v>
      </c>
      <c r="E171" s="928">
        <f t="shared" si="18"/>
        <v>0</v>
      </c>
      <c r="F171" s="928">
        <f t="shared" si="19"/>
        <v>0</v>
      </c>
      <c r="G171" s="846">
        <f t="shared" si="17"/>
        <v>0</v>
      </c>
    </row>
    <row r="172" spans="1:7">
      <c r="G172" s="1012">
        <f>SUM(G160:G171)</f>
        <v>827.14000000000033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zoomScale="55" zoomScaleSheetLayoutView="55" workbookViewId="0">
      <selection activeCell="F104" activeCellId="9" sqref="F7:F12 F15 F18:F19 F22:F23 F35:F46 F49:F58 F62:F69 F72:F90 F92:F100 F104:F140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4" s="281" customFormat="1" ht="27">
      <c r="A2" s="576" t="s">
        <v>331</v>
      </c>
      <c r="B2" s="1084">
        <v>43888</v>
      </c>
      <c r="C2" s="1150" t="s">
        <v>69</v>
      </c>
      <c r="D2" s="612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4" s="281" customFormat="1" ht="27">
      <c r="A3" s="571"/>
      <c r="B3" s="615"/>
      <c r="C3" s="1150" t="s">
        <v>120</v>
      </c>
      <c r="D3" s="613">
        <v>22</v>
      </c>
      <c r="E3" s="1432" t="s">
        <v>121</v>
      </c>
      <c r="F3" s="1433"/>
      <c r="G3" s="462"/>
      <c r="H3" s="463"/>
      <c r="I3" s="463"/>
      <c r="J3" s="616"/>
      <c r="K3" s="371"/>
      <c r="L3" s="292"/>
    </row>
    <row r="4" spans="1:14" s="281" customFormat="1" ht="27">
      <c r="A4" s="577"/>
      <c r="B4" s="617"/>
      <c r="C4" s="1150" t="s">
        <v>122</v>
      </c>
      <c r="D4" s="612">
        <v>0.76</v>
      </c>
      <c r="E4" s="464"/>
      <c r="F4" s="464"/>
      <c r="G4" s="464"/>
      <c r="H4" s="464"/>
      <c r="I4" s="465"/>
      <c r="J4" s="616"/>
      <c r="K4" s="372"/>
      <c r="L4" s="292"/>
    </row>
    <row r="5" spans="1:1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4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4" ht="30" thickBot="1">
      <c r="A7" s="681" t="s">
        <v>131</v>
      </c>
      <c r="B7" s="682"/>
      <c r="C7" s="682"/>
      <c r="D7" s="639" t="s">
        <v>132</v>
      </c>
      <c r="E7" s="634">
        <f>'26'!F7</f>
        <v>0</v>
      </c>
      <c r="F7" s="455"/>
      <c r="G7" s="683">
        <f>F7-E7</f>
        <v>0</v>
      </c>
      <c r="H7" s="684">
        <f>G7+'26'!H7</f>
        <v>-4445077</v>
      </c>
      <c r="I7" s="685">
        <f>'1'!I7</f>
        <v>12000</v>
      </c>
      <c r="J7" s="686">
        <f>H7/DAY(B2)</f>
        <v>-164632.48148148149</v>
      </c>
      <c r="K7" s="550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7" t="s">
        <v>133</v>
      </c>
      <c r="B8" s="688"/>
      <c r="C8" s="689"/>
      <c r="D8" s="690" t="s">
        <v>25</v>
      </c>
      <c r="E8" s="634">
        <f>'26'!F8</f>
        <v>0</v>
      </c>
      <c r="F8" s="475"/>
      <c r="G8" s="694">
        <f>F8-E8</f>
        <v>0</v>
      </c>
      <c r="H8" s="684">
        <f>G8+'26'!H8</f>
        <v>-4473156</v>
      </c>
      <c r="I8" s="691">
        <f>'1'!I8</f>
        <v>12000</v>
      </c>
      <c r="J8" s="686">
        <f>H8/DAY(B2)</f>
        <v>-165672.44444444444</v>
      </c>
      <c r="K8" s="550"/>
      <c r="L8" s="425"/>
      <c r="M8" s="440"/>
      <c r="N8" s="708"/>
    </row>
    <row r="9" spans="1:14">
      <c r="A9" s="692" t="s">
        <v>134</v>
      </c>
      <c r="B9" s="693"/>
      <c r="C9" s="693"/>
      <c r="D9" s="639" t="s">
        <v>132</v>
      </c>
      <c r="E9" s="636">
        <f>'26'!F9</f>
        <v>0</v>
      </c>
      <c r="F9" s="478"/>
      <c r="G9" s="707">
        <f t="shared" ref="G9:G12" si="0">F9-E9</f>
        <v>0</v>
      </c>
      <c r="H9" s="684">
        <f>G9+'26'!H9</f>
        <v>-86909.010000000009</v>
      </c>
      <c r="I9" s="695">
        <f>I8-J8</f>
        <v>177672.44444444444</v>
      </c>
      <c r="J9" s="686">
        <f>H9/DAY(B2)</f>
        <v>-3218.8522222222227</v>
      </c>
      <c r="K9" s="428"/>
      <c r="L9" s="377"/>
      <c r="N9" s="382"/>
    </row>
    <row r="10" spans="1:14">
      <c r="A10" s="681" t="s">
        <v>135</v>
      </c>
      <c r="B10" s="682"/>
      <c r="C10" s="682"/>
      <c r="D10" s="639" t="s">
        <v>132</v>
      </c>
      <c r="E10" s="636">
        <f>'26'!F10</f>
        <v>0</v>
      </c>
      <c r="F10" s="478"/>
      <c r="G10" s="694">
        <f t="shared" si="0"/>
        <v>0</v>
      </c>
      <c r="H10" s="684">
        <f>G10+'26'!H10</f>
        <v>334533.49</v>
      </c>
      <c r="I10" s="696"/>
      <c r="J10" s="686">
        <f>H10/DAY(B2)</f>
        <v>12390.129259259258</v>
      </c>
      <c r="K10" s="428"/>
      <c r="L10" s="377"/>
      <c r="N10" s="382"/>
    </row>
    <row r="11" spans="1:14">
      <c r="A11" s="681" t="s">
        <v>136</v>
      </c>
      <c r="B11" s="682"/>
      <c r="C11" s="682"/>
      <c r="D11" s="639" t="s">
        <v>132</v>
      </c>
      <c r="E11" s="634">
        <f>'26'!F11</f>
        <v>0</v>
      </c>
      <c r="F11" s="455"/>
      <c r="G11" s="694">
        <f t="shared" si="0"/>
        <v>0</v>
      </c>
      <c r="H11" s="684">
        <f>G11+'26'!H11</f>
        <v>-37000</v>
      </c>
      <c r="I11" s="696"/>
      <c r="J11" s="686">
        <f>H11/DAY(B2)</f>
        <v>-1370.3703703703704</v>
      </c>
      <c r="K11" s="428"/>
      <c r="L11" s="377"/>
      <c r="N11" s="382"/>
    </row>
    <row r="12" spans="1:14">
      <c r="A12" s="681" t="s">
        <v>137</v>
      </c>
      <c r="B12" s="682"/>
      <c r="C12" s="682"/>
      <c r="D12" s="639" t="s">
        <v>132</v>
      </c>
      <c r="E12" s="636">
        <f>'26'!F12</f>
        <v>0</v>
      </c>
      <c r="F12" s="478"/>
      <c r="G12" s="694">
        <f t="shared" si="0"/>
        <v>0</v>
      </c>
      <c r="H12" s="684">
        <f>G12+'26'!H12</f>
        <v>-40010</v>
      </c>
      <c r="I12" s="696"/>
      <c r="J12" s="686">
        <f>H12/DAY(B2)</f>
        <v>-1481.851851851852</v>
      </c>
      <c r="K12" s="428"/>
      <c r="L12" s="377"/>
      <c r="N12" s="382"/>
    </row>
    <row r="13" spans="1:14">
      <c r="A13" s="697" t="s">
        <v>138</v>
      </c>
      <c r="B13" s="698"/>
      <c r="C13" s="698"/>
      <c r="D13" s="639"/>
      <c r="E13" s="634"/>
      <c r="F13" s="455"/>
      <c r="G13" s="699">
        <f>G9+G10+G11+G12</f>
        <v>0</v>
      </c>
      <c r="H13" s="684">
        <f>G13+'26'!H13</f>
        <v>149620.47999999998</v>
      </c>
      <c r="I13" s="700">
        <f>G7-G13</f>
        <v>0</v>
      </c>
      <c r="J13" s="686">
        <f>H13/DAY(B2)</f>
        <v>5541.4992592592589</v>
      </c>
      <c r="K13" s="428"/>
      <c r="L13" s="377"/>
      <c r="N13" s="382"/>
    </row>
    <row r="14" spans="1:14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N14" s="382"/>
    </row>
    <row r="15" spans="1:14">
      <c r="A15" s="670" t="s">
        <v>140</v>
      </c>
      <c r="B15" s="671"/>
      <c r="C15" s="671"/>
      <c r="D15" s="672" t="s">
        <v>141</v>
      </c>
      <c r="E15" s="673">
        <f>'26'!F15</f>
        <v>0</v>
      </c>
      <c r="F15" s="705"/>
      <c r="G15" s="669">
        <f>(F15-E15)</f>
        <v>0</v>
      </c>
      <c r="H15" s="675">
        <f>G15+'26'!H15</f>
        <v>-1619878.61</v>
      </c>
      <c r="I15" s="676">
        <v>800</v>
      </c>
      <c r="J15" s="1292">
        <f>H15/DAY(B2)</f>
        <v>-59995.504074074081</v>
      </c>
      <c r="K15" s="428"/>
      <c r="L15" s="377"/>
      <c r="N15" s="382"/>
    </row>
    <row r="16" spans="1:14">
      <c r="A16" s="678"/>
      <c r="B16" s="679"/>
      <c r="C16" s="679"/>
      <c r="D16" s="672"/>
      <c r="E16" s="673"/>
      <c r="F16" s="705"/>
      <c r="G16" s="674"/>
      <c r="H16" s="675"/>
      <c r="I16" s="680">
        <f>I15-J15</f>
        <v>60795.504074074081</v>
      </c>
      <c r="J16" s="677"/>
      <c r="K16" s="428"/>
      <c r="L16" s="377"/>
      <c r="N16" s="382"/>
    </row>
    <row r="17" spans="1:14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>
      <c r="A18" s="1464" t="s">
        <v>143</v>
      </c>
      <c r="B18" s="1465"/>
      <c r="C18" s="1466"/>
      <c r="D18" s="639" t="s">
        <v>144</v>
      </c>
      <c r="E18" s="636">
        <f>'26'!F18</f>
        <v>0</v>
      </c>
      <c r="F18" s="478"/>
      <c r="G18" s="699">
        <f>F18*10</f>
        <v>0</v>
      </c>
      <c r="H18" s="684">
        <f>G18+'26'!H18</f>
        <v>3150</v>
      </c>
      <c r="I18" s="685">
        <f>'1'!I18</f>
        <v>65</v>
      </c>
      <c r="J18" s="686">
        <f>H18/DAY(B2)</f>
        <v>116.66666666666667</v>
      </c>
      <c r="K18" s="428"/>
      <c r="L18" s="377"/>
      <c r="N18" s="382"/>
    </row>
    <row r="19" spans="1:14" ht="27.75">
      <c r="A19" s="1464" t="s">
        <v>71</v>
      </c>
      <c r="B19" s="1465"/>
      <c r="C19" s="1466"/>
      <c r="D19" s="639" t="s">
        <v>144</v>
      </c>
      <c r="E19" s="636">
        <f>'26'!F19</f>
        <v>0</v>
      </c>
      <c r="F19" s="478"/>
      <c r="G19" s="694">
        <f t="shared" ref="G19" si="1">F19-E19</f>
        <v>0</v>
      </c>
      <c r="H19" s="684">
        <f>G19+'26'!H19</f>
        <v>-134468</v>
      </c>
      <c r="I19" s="701"/>
      <c r="J19" s="686">
        <f>H19/DAY(B2)</f>
        <v>-4980.2962962962965</v>
      </c>
      <c r="K19" s="428"/>
      <c r="L19" s="377"/>
      <c r="N19" s="382"/>
    </row>
    <row r="20" spans="1:14">
      <c r="A20" s="697" t="s">
        <v>145</v>
      </c>
      <c r="B20" s="698"/>
      <c r="C20" s="698"/>
      <c r="D20" s="639"/>
      <c r="E20" s="639"/>
      <c r="F20" s="523"/>
      <c r="G20" s="702">
        <f>G18+G19</f>
        <v>0</v>
      </c>
      <c r="H20" s="684">
        <f>G20+'26'!H20</f>
        <v>-131318</v>
      </c>
      <c r="I20" s="703">
        <f>I18-J20</f>
        <v>4928.6296296296296</v>
      </c>
      <c r="J20" s="686">
        <f>H20/DAY(B2)</f>
        <v>-4863.6296296296296</v>
      </c>
      <c r="K20" s="428"/>
      <c r="L20" s="377"/>
      <c r="N20" s="382"/>
    </row>
    <row r="21" spans="1:14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>
      <c r="A22" s="1148" t="s">
        <v>147</v>
      </c>
      <c r="B22" s="590"/>
      <c r="C22" s="590"/>
      <c r="D22" s="523" t="s">
        <v>148</v>
      </c>
      <c r="E22" s="484">
        <f>'26'!F22</f>
        <v>0</v>
      </c>
      <c r="F22" s="478"/>
      <c r="G22" s="481">
        <f t="shared" ref="G22" si="2">(F22-E22)</f>
        <v>0</v>
      </c>
      <c r="H22" s="460">
        <f>G22+'26'!H22</f>
        <v>-390</v>
      </c>
      <c r="I22" s="480"/>
      <c r="J22" s="553">
        <f>H22/DAY(B2)</f>
        <v>-14.444444444444445</v>
      </c>
      <c r="K22" s="428"/>
      <c r="L22" s="377"/>
      <c r="N22" s="382"/>
    </row>
    <row r="23" spans="1:14">
      <c r="A23" s="1148" t="s">
        <v>149</v>
      </c>
      <c r="B23" s="590"/>
      <c r="C23" s="590"/>
      <c r="D23" s="523" t="s">
        <v>148</v>
      </c>
      <c r="E23" s="484">
        <f>'26'!F23</f>
        <v>0</v>
      </c>
      <c r="F23" s="478"/>
      <c r="G23" s="481">
        <v>0</v>
      </c>
      <c r="H23" s="460">
        <f>G23+'26'!H23</f>
        <v>0</v>
      </c>
      <c r="I23" s="480"/>
      <c r="J23" s="553">
        <f>H23/DAY(B2)</f>
        <v>0</v>
      </c>
      <c r="K23" s="428"/>
      <c r="L23" s="377"/>
      <c r="N23" s="382"/>
    </row>
    <row r="24" spans="1:14">
      <c r="A24" s="591" t="s">
        <v>150</v>
      </c>
      <c r="B24" s="592"/>
      <c r="C24" s="592"/>
      <c r="D24" s="511" t="s">
        <v>148</v>
      </c>
      <c r="E24" s="493">
        <f>'26'!F24</f>
        <v>4970</v>
      </c>
      <c r="F24" s="485">
        <v>4970</v>
      </c>
      <c r="G24" s="481">
        <v>0</v>
      </c>
      <c r="H24" s="460">
        <f>G24+'26'!H24</f>
        <v>1290</v>
      </c>
      <c r="I24" s="480"/>
      <c r="J24" s="553">
        <f>H24/DAY(B2)</f>
        <v>47.777777777777779</v>
      </c>
      <c r="K24" s="428"/>
      <c r="L24" s="377"/>
      <c r="N24" s="382"/>
    </row>
    <row r="25" spans="1:14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0</v>
      </c>
      <c r="F27" s="501">
        <v>9</v>
      </c>
      <c r="G27" s="502">
        <f>E27*F27</f>
        <v>0</v>
      </c>
      <c r="H27" s="460">
        <f>G27+'26'!H27</f>
        <v>-40258404</v>
      </c>
      <c r="I27" s="503"/>
      <c r="J27" s="553">
        <f>H27/DAY(B2)</f>
        <v>-1491052</v>
      </c>
      <c r="K27" s="373"/>
      <c r="L27" s="443"/>
      <c r="N27" s="382"/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0</v>
      </c>
      <c r="F28" s="501">
        <v>43.5</v>
      </c>
      <c r="G28" s="502">
        <f>E28*F28</f>
        <v>0</v>
      </c>
      <c r="H28" s="460">
        <f>G28+'26'!H28</f>
        <v>-70399129.856800005</v>
      </c>
      <c r="I28" s="505"/>
      <c r="J28" s="553">
        <f>H28/DAY(B2)</f>
        <v>-2607375.1798814815</v>
      </c>
      <c r="K28" s="373"/>
      <c r="L28" s="443"/>
      <c r="N28" s="382"/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G29+'26'!H29</f>
        <v>89010</v>
      </c>
      <c r="I29" s="505"/>
      <c r="J29" s="553">
        <f>H29/DAY(B2)</f>
        <v>3296.6666666666665</v>
      </c>
      <c r="K29" s="373"/>
      <c r="L29" s="443"/>
      <c r="N29" s="382"/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0</v>
      </c>
      <c r="F30" s="501">
        <v>134</v>
      </c>
      <c r="G30" s="502">
        <f>E30*F30</f>
        <v>0</v>
      </c>
      <c r="H30" s="460">
        <f>G30+'26'!H30</f>
        <v>-18001024</v>
      </c>
      <c r="I30" s="505"/>
      <c r="J30" s="553">
        <f>H30/DAY(B2)</f>
        <v>-666704.59259259258</v>
      </c>
      <c r="K30" s="373"/>
      <c r="L30" s="443"/>
      <c r="N30" s="382"/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0</v>
      </c>
      <c r="F31" s="501">
        <v>80</v>
      </c>
      <c r="G31" s="502">
        <f>E31*F31</f>
        <v>0</v>
      </c>
      <c r="H31" s="460">
        <f>G31+'26'!H31</f>
        <v>241440</v>
      </c>
      <c r="I31" s="505"/>
      <c r="J31" s="553"/>
      <c r="K31" s="373"/>
      <c r="L31" s="443"/>
      <c r="N31" s="382"/>
    </row>
    <row r="32" spans="1:14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0</v>
      </c>
      <c r="H32" s="460">
        <f>G32+'26'!H32</f>
        <v>-128328107.8568</v>
      </c>
      <c r="I32" s="509"/>
      <c r="J32" s="553">
        <f>H32/DAY(B2)</f>
        <v>-4752892.8835851857</v>
      </c>
      <c r="K32" s="373"/>
      <c r="L32" s="443"/>
      <c r="N32" s="382"/>
    </row>
    <row r="33" spans="1:14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382"/>
    </row>
    <row r="34" spans="1:14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>
      <c r="A35" s="579" t="s">
        <v>164</v>
      </c>
      <c r="B35" s="580"/>
      <c r="C35" s="580"/>
      <c r="D35" s="523" t="s">
        <v>132</v>
      </c>
      <c r="E35" s="510">
        <f>'26'!F35</f>
        <v>0</v>
      </c>
      <c r="F35" s="510"/>
      <c r="G35" s="473">
        <f t="shared" ref="G35:G46" si="3">F35-E35</f>
        <v>0</v>
      </c>
      <c r="H35" s="460">
        <f>G35+'26'!H35</f>
        <v>-693087.59</v>
      </c>
      <c r="I35" s="455"/>
      <c r="J35" s="553">
        <f>H35/DAY(B2)</f>
        <v>-25669.910740740739</v>
      </c>
      <c r="K35" s="428"/>
      <c r="L35" s="377"/>
      <c r="N35" s="382"/>
    </row>
    <row r="36" spans="1:14">
      <c r="A36" s="579" t="s">
        <v>165</v>
      </c>
      <c r="B36" s="580"/>
      <c r="C36" s="580"/>
      <c r="D36" s="523" t="s">
        <v>132</v>
      </c>
      <c r="E36" s="510">
        <f>'26'!F36</f>
        <v>0</v>
      </c>
      <c r="F36" s="510"/>
      <c r="G36" s="473">
        <f t="shared" si="3"/>
        <v>0</v>
      </c>
      <c r="H36" s="460">
        <f>G36+'26'!H36</f>
        <v>-296445.57</v>
      </c>
      <c r="I36" s="455"/>
      <c r="J36" s="553">
        <f>H36/DAY(B2)</f>
        <v>-10979.465555555556</v>
      </c>
      <c r="K36" s="428"/>
      <c r="L36" s="377"/>
      <c r="N36" s="629"/>
    </row>
    <row r="37" spans="1:14">
      <c r="A37" s="579" t="s">
        <v>166</v>
      </c>
      <c r="B37" s="580"/>
      <c r="C37" s="580"/>
      <c r="D37" s="523" t="s">
        <v>132</v>
      </c>
      <c r="E37" s="510">
        <f>'26'!F37</f>
        <v>0</v>
      </c>
      <c r="F37" s="510"/>
      <c r="G37" s="473">
        <f t="shared" si="3"/>
        <v>0</v>
      </c>
      <c r="H37" s="460">
        <f>G37+'26'!H37</f>
        <v>3105.0800000000017</v>
      </c>
      <c r="I37" s="455"/>
      <c r="J37" s="553">
        <f>H37/DAY(B2)</f>
        <v>115.00296296296303</v>
      </c>
      <c r="K37" s="428"/>
      <c r="L37" s="377"/>
      <c r="N37" s="630"/>
    </row>
    <row r="38" spans="1:14">
      <c r="A38" s="579" t="s">
        <v>167</v>
      </c>
      <c r="B38" s="580"/>
      <c r="C38" s="580"/>
      <c r="D38" s="523" t="s">
        <v>132</v>
      </c>
      <c r="E38" s="510">
        <f>'26'!F38</f>
        <v>0</v>
      </c>
      <c r="F38" s="469"/>
      <c r="G38" s="473">
        <f t="shared" si="3"/>
        <v>0</v>
      </c>
      <c r="H38" s="460">
        <f>G38+'26'!H38</f>
        <v>-43813.49</v>
      </c>
      <c r="I38" s="455"/>
      <c r="J38" s="553">
        <f>H38/DAY(B2)</f>
        <v>-1622.7218518518519</v>
      </c>
      <c r="K38" s="428"/>
      <c r="L38" s="377"/>
      <c r="N38" s="382"/>
    </row>
    <row r="39" spans="1:14">
      <c r="A39" s="579" t="s">
        <v>168</v>
      </c>
      <c r="B39" s="580"/>
      <c r="C39" s="580"/>
      <c r="D39" s="523" t="s">
        <v>132</v>
      </c>
      <c r="E39" s="510">
        <f>'26'!F39</f>
        <v>0</v>
      </c>
      <c r="F39" s="510"/>
      <c r="G39" s="473">
        <f t="shared" si="3"/>
        <v>0</v>
      </c>
      <c r="H39" s="460">
        <f>G39+'26'!H39</f>
        <v>9392.890000000014</v>
      </c>
      <c r="I39" s="455"/>
      <c r="J39" s="553">
        <f>H39/DAY(B2)</f>
        <v>347.88481481481534</v>
      </c>
      <c r="K39" s="428"/>
      <c r="L39" s="377"/>
      <c r="N39" s="382"/>
    </row>
    <row r="40" spans="1:14">
      <c r="A40" s="600" t="s">
        <v>169</v>
      </c>
      <c r="B40" s="601"/>
      <c r="C40" s="601"/>
      <c r="D40" s="523" t="s">
        <v>132</v>
      </c>
      <c r="E40" s="510">
        <f>'26'!F40</f>
        <v>0</v>
      </c>
      <c r="F40" s="510"/>
      <c r="G40" s="473">
        <f t="shared" si="3"/>
        <v>0</v>
      </c>
      <c r="H40" s="460">
        <f>G40+'26'!H40</f>
        <v>-0.06</v>
      </c>
      <c r="I40" s="455"/>
      <c r="J40" s="553">
        <f>H40/DAY(B2)</f>
        <v>-2.2222222222222222E-3</v>
      </c>
      <c r="K40" s="429"/>
      <c r="L40" s="377"/>
      <c r="N40" s="382"/>
    </row>
    <row r="41" spans="1:14">
      <c r="A41" s="579" t="s">
        <v>170</v>
      </c>
      <c r="B41" s="580"/>
      <c r="C41" s="580"/>
      <c r="D41" s="523" t="s">
        <v>132</v>
      </c>
      <c r="E41" s="510">
        <f>'26'!F41</f>
        <v>0</v>
      </c>
      <c r="F41" s="510"/>
      <c r="G41" s="473">
        <f t="shared" si="3"/>
        <v>0</v>
      </c>
      <c r="H41" s="460">
        <f>G41+'26'!H41</f>
        <v>-63882.37</v>
      </c>
      <c r="I41" s="455"/>
      <c r="J41" s="553">
        <f>H41/DAY(B2)</f>
        <v>-2366.0137037037039</v>
      </c>
      <c r="K41" s="428"/>
      <c r="L41" s="377"/>
      <c r="N41" s="382"/>
    </row>
    <row r="42" spans="1:14">
      <c r="A42" s="579" t="s">
        <v>171</v>
      </c>
      <c r="B42" s="580"/>
      <c r="C42" s="580"/>
      <c r="D42" s="523" t="s">
        <v>132</v>
      </c>
      <c r="E42" s="510">
        <f>'26'!F42</f>
        <v>0</v>
      </c>
      <c r="F42" s="510"/>
      <c r="G42" s="473">
        <f t="shared" si="3"/>
        <v>0</v>
      </c>
      <c r="H42" s="460">
        <f>G42+'26'!H42</f>
        <v>-59128.85</v>
      </c>
      <c r="I42" s="455"/>
      <c r="J42" s="553">
        <f>H42/DAY(B2)</f>
        <v>-2189.9574074074076</v>
      </c>
      <c r="K42" s="428"/>
      <c r="L42" s="377"/>
      <c r="N42" s="382"/>
    </row>
    <row r="43" spans="1:14">
      <c r="A43" s="579" t="s">
        <v>172</v>
      </c>
      <c r="B43" s="580"/>
      <c r="C43" s="580"/>
      <c r="D43" s="523" t="s">
        <v>132</v>
      </c>
      <c r="E43" s="510">
        <f>'26'!F43</f>
        <v>0</v>
      </c>
      <c r="F43" s="510"/>
      <c r="G43" s="473">
        <f t="shared" si="3"/>
        <v>0</v>
      </c>
      <c r="H43" s="460">
        <f>G43+'26'!H43</f>
        <v>-825897.83</v>
      </c>
      <c r="I43" s="455"/>
      <c r="J43" s="553">
        <f>H43/DAY(B2)</f>
        <v>-30588.808518518515</v>
      </c>
      <c r="K43" s="428"/>
      <c r="L43" s="377"/>
      <c r="N43" s="382"/>
    </row>
    <row r="44" spans="1:14">
      <c r="A44" s="579" t="s">
        <v>173</v>
      </c>
      <c r="B44" s="580"/>
      <c r="C44" s="580"/>
      <c r="D44" s="523" t="s">
        <v>132</v>
      </c>
      <c r="E44" s="510">
        <f>'26'!F44</f>
        <v>0</v>
      </c>
      <c r="F44" s="510"/>
      <c r="G44" s="473">
        <f t="shared" si="3"/>
        <v>0</v>
      </c>
      <c r="H44" s="460">
        <f>G44+'26'!H44</f>
        <v>0</v>
      </c>
      <c r="I44" s="455"/>
      <c r="J44" s="553">
        <f>H44/DAY(B2)</f>
        <v>0</v>
      </c>
      <c r="K44" s="428"/>
      <c r="L44" s="377"/>
      <c r="N44" s="382"/>
    </row>
    <row r="45" spans="1:14">
      <c r="A45" s="579" t="s">
        <v>174</v>
      </c>
      <c r="B45" s="580"/>
      <c r="C45" s="580"/>
      <c r="D45" s="523" t="s">
        <v>132</v>
      </c>
      <c r="E45" s="510">
        <f>'26'!F45</f>
        <v>0</v>
      </c>
      <c r="F45" s="510"/>
      <c r="G45" s="473">
        <f t="shared" si="3"/>
        <v>0</v>
      </c>
      <c r="H45" s="460">
        <f>G45+'26'!H45</f>
        <v>-614</v>
      </c>
      <c r="I45" s="455"/>
      <c r="J45" s="553">
        <f>H45/DAY(B2)</f>
        <v>-22.74074074074074</v>
      </c>
      <c r="K45" s="428"/>
      <c r="L45" s="377"/>
      <c r="N45" s="382"/>
    </row>
    <row r="46" spans="1:14">
      <c r="A46" s="579" t="s">
        <v>175</v>
      </c>
      <c r="B46" s="580"/>
      <c r="C46" s="580"/>
      <c r="D46" s="523" t="s">
        <v>132</v>
      </c>
      <c r="E46" s="510">
        <f>'26'!F46</f>
        <v>0</v>
      </c>
      <c r="F46" s="510"/>
      <c r="G46" s="473">
        <f t="shared" si="3"/>
        <v>0</v>
      </c>
      <c r="H46" s="460">
        <f>G46+'26'!H46</f>
        <v>-187</v>
      </c>
      <c r="I46" s="455"/>
      <c r="J46" s="553">
        <f>H46/DAY(B2)</f>
        <v>-6.9259259259259256</v>
      </c>
      <c r="K46" s="428"/>
      <c r="L46" s="377"/>
      <c r="N46" s="382"/>
    </row>
    <row r="47" spans="1:14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0</v>
      </c>
      <c r="H47" s="460">
        <f>G47+'26'!H47</f>
        <v>-1970558.79</v>
      </c>
      <c r="I47" s="455"/>
      <c r="J47" s="553">
        <f>H47/DAY(B2)</f>
        <v>-72983.658888888895</v>
      </c>
      <c r="K47" s="428"/>
      <c r="L47" s="377"/>
      <c r="N47" s="382"/>
    </row>
    <row r="48" spans="1:14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>
      <c r="A49" s="579" t="s">
        <v>164</v>
      </c>
      <c r="B49" s="602"/>
      <c r="C49" s="602"/>
      <c r="D49" s="523" t="s">
        <v>132</v>
      </c>
      <c r="E49" s="510">
        <f>'26'!F49</f>
        <v>0</v>
      </c>
      <c r="F49" s="510"/>
      <c r="G49" s="473">
        <f t="shared" ref="G49:G58" si="4">F49-E49</f>
        <v>0</v>
      </c>
      <c r="H49" s="460">
        <f>G49+'26'!H49</f>
        <v>-260732.13</v>
      </c>
      <c r="I49" s="455"/>
      <c r="J49" s="553">
        <f>H49/DAY(B2)</f>
        <v>-9656.7455555555553</v>
      </c>
      <c r="K49" s="428"/>
      <c r="L49" s="377"/>
      <c r="N49" s="382"/>
    </row>
    <row r="50" spans="1:14">
      <c r="A50" s="579" t="s">
        <v>178</v>
      </c>
      <c r="B50" s="602"/>
      <c r="C50" s="602"/>
      <c r="D50" s="523" t="s">
        <v>132</v>
      </c>
      <c r="E50" s="510">
        <f>'26'!F50</f>
        <v>0</v>
      </c>
      <c r="F50" s="510"/>
      <c r="G50" s="473">
        <f t="shared" si="4"/>
        <v>0</v>
      </c>
      <c r="H50" s="460">
        <f>G50+'26'!H50</f>
        <v>-403657.03</v>
      </c>
      <c r="I50" s="455"/>
      <c r="J50" s="553">
        <f>H50/DAY(B2)</f>
        <v>-14950.260370370372</v>
      </c>
      <c r="K50" s="428"/>
      <c r="L50" s="377"/>
      <c r="N50" s="382"/>
    </row>
    <row r="51" spans="1:14">
      <c r="A51" s="579" t="s">
        <v>166</v>
      </c>
      <c r="B51" s="602"/>
      <c r="C51" s="602"/>
      <c r="D51" s="523" t="s">
        <v>132</v>
      </c>
      <c r="E51" s="510">
        <f>'26'!F51</f>
        <v>0</v>
      </c>
      <c r="F51" s="510"/>
      <c r="G51" s="473">
        <f t="shared" si="4"/>
        <v>0</v>
      </c>
      <c r="H51" s="460">
        <f>G51+'26'!H51</f>
        <v>-121599.92</v>
      </c>
      <c r="I51" s="455"/>
      <c r="J51" s="553">
        <f>H51/DAY(B2)</f>
        <v>-4503.7007407407409</v>
      </c>
      <c r="K51" s="428"/>
      <c r="L51" s="377"/>
      <c r="N51" s="382"/>
    </row>
    <row r="52" spans="1:14">
      <c r="A52" s="579" t="s">
        <v>179</v>
      </c>
      <c r="B52" s="602"/>
      <c r="C52" s="602"/>
      <c r="D52" s="523" t="s">
        <v>132</v>
      </c>
      <c r="E52" s="510">
        <f>'26'!F52</f>
        <v>0</v>
      </c>
      <c r="F52" s="510"/>
      <c r="G52" s="473">
        <f t="shared" si="4"/>
        <v>0</v>
      </c>
      <c r="H52" s="460">
        <f>G52+'26'!H52</f>
        <v>-509958.71</v>
      </c>
      <c r="I52" s="455"/>
      <c r="J52" s="553">
        <f>H52/DAY(B2)</f>
        <v>-18887.359629629631</v>
      </c>
      <c r="K52" s="428"/>
      <c r="L52" s="377"/>
      <c r="N52" s="382"/>
    </row>
    <row r="53" spans="1:14">
      <c r="A53" s="579" t="s">
        <v>168</v>
      </c>
      <c r="B53" s="602"/>
      <c r="C53" s="602"/>
      <c r="D53" s="523" t="s">
        <v>132</v>
      </c>
      <c r="E53" s="510">
        <f>'26'!F53</f>
        <v>0</v>
      </c>
      <c r="F53" s="510"/>
      <c r="G53" s="473">
        <f t="shared" si="4"/>
        <v>0</v>
      </c>
      <c r="H53" s="460">
        <f>G53+'26'!H53</f>
        <v>-336039.51</v>
      </c>
      <c r="I53" s="455"/>
      <c r="J53" s="553">
        <f>H53/DAY(B2)</f>
        <v>-12445.907777777778</v>
      </c>
      <c r="K53" s="428"/>
      <c r="L53" s="377"/>
      <c r="N53" s="382"/>
    </row>
    <row r="54" spans="1:14">
      <c r="A54" s="579" t="s">
        <v>180</v>
      </c>
      <c r="B54" s="602"/>
      <c r="C54" s="602"/>
      <c r="D54" s="523" t="s">
        <v>132</v>
      </c>
      <c r="E54" s="510">
        <f>'26'!F54</f>
        <v>0</v>
      </c>
      <c r="F54" s="510"/>
      <c r="G54" s="473">
        <f t="shared" si="4"/>
        <v>0</v>
      </c>
      <c r="H54" s="460">
        <f>G54+'26'!H54</f>
        <v>-8095.5999999999995</v>
      </c>
      <c r="I54" s="455"/>
      <c r="J54" s="553">
        <f>H54/DAY(B2)</f>
        <v>-299.83703703703702</v>
      </c>
      <c r="K54" s="428"/>
      <c r="L54" s="377"/>
      <c r="N54" s="382"/>
    </row>
    <row r="55" spans="1:14">
      <c r="A55" s="579" t="s">
        <v>181</v>
      </c>
      <c r="B55" s="602"/>
      <c r="C55" s="602"/>
      <c r="D55" s="523" t="s">
        <v>132</v>
      </c>
      <c r="E55" s="510">
        <f>'26'!F55</f>
        <v>0</v>
      </c>
      <c r="F55" s="658"/>
      <c r="G55" s="657">
        <f t="shared" si="4"/>
        <v>0</v>
      </c>
      <c r="H55" s="710">
        <f>G55+'26'!H55</f>
        <v>-122584.69</v>
      </c>
      <c r="I55" s="711"/>
      <c r="J55" s="712">
        <f>H55/DAY(B2)</f>
        <v>-4540.1737037037037</v>
      </c>
      <c r="K55" s="428"/>
      <c r="L55" s="377"/>
      <c r="N55" s="382"/>
    </row>
    <row r="56" spans="1:14">
      <c r="A56" s="579" t="s">
        <v>182</v>
      </c>
      <c r="B56" s="602"/>
      <c r="C56" s="602"/>
      <c r="D56" s="523" t="s">
        <v>183</v>
      </c>
      <c r="E56" s="510">
        <f>'26'!F56</f>
        <v>0</v>
      </c>
      <c r="F56" s="658"/>
      <c r="G56" s="473">
        <f t="shared" si="4"/>
        <v>0</v>
      </c>
      <c r="H56" s="460">
        <f>G56+'26'!H56</f>
        <v>-586051.03</v>
      </c>
      <c r="I56" s="455"/>
      <c r="J56" s="553">
        <f>H56/DAY(B2)</f>
        <v>-21705.593703703704</v>
      </c>
      <c r="K56" s="427"/>
      <c r="L56" s="377"/>
      <c r="N56" s="382"/>
    </row>
    <row r="57" spans="1:14">
      <c r="A57" s="579" t="s">
        <v>172</v>
      </c>
      <c r="B57" s="602"/>
      <c r="C57" s="602"/>
      <c r="D57" s="523" t="s">
        <v>132</v>
      </c>
      <c r="E57" s="510">
        <f>'26'!F57</f>
        <v>0</v>
      </c>
      <c r="F57" s="510"/>
      <c r="G57" s="473">
        <f t="shared" si="4"/>
        <v>0</v>
      </c>
      <c r="H57" s="460">
        <f>G57+'26'!H57</f>
        <v>-7711.33</v>
      </c>
      <c r="I57" s="455"/>
      <c r="J57" s="553">
        <f>H57/DAY(B2)</f>
        <v>-285.6048148148148</v>
      </c>
      <c r="K57" s="428"/>
      <c r="L57" s="377"/>
      <c r="N57" s="382"/>
    </row>
    <row r="58" spans="1:14">
      <c r="A58" s="579" t="s">
        <v>184</v>
      </c>
      <c r="B58" s="602"/>
      <c r="C58" s="602"/>
      <c r="D58" s="523" t="s">
        <v>132</v>
      </c>
      <c r="E58" s="510">
        <f>'26'!F58</f>
        <v>0</v>
      </c>
      <c r="F58" s="658"/>
      <c r="G58" s="473">
        <f t="shared" si="4"/>
        <v>0</v>
      </c>
      <c r="H58" s="460">
        <f>G58+'26'!H58</f>
        <v>-36064.699999999997</v>
      </c>
      <c r="I58" s="455"/>
      <c r="J58" s="553">
        <f>H58/DAY(B2)</f>
        <v>-1335.7296296296295</v>
      </c>
      <c r="K58" s="428"/>
      <c r="L58" s="377"/>
      <c r="N58" s="382"/>
    </row>
    <row r="59" spans="1:14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0</v>
      </c>
      <c r="H59" s="460">
        <f>G59+'26'!H59</f>
        <v>-2392494.65</v>
      </c>
      <c r="I59" s="455">
        <f>G7-G60</f>
        <v>0</v>
      </c>
      <c r="J59" s="553">
        <f>H59/DAY(B2)</f>
        <v>-88610.912962962961</v>
      </c>
      <c r="K59" s="428"/>
      <c r="L59" s="377"/>
      <c r="N59" s="382"/>
    </row>
    <row r="60" spans="1:14">
      <c r="A60" s="579"/>
      <c r="B60" s="580"/>
      <c r="C60" s="580"/>
      <c r="D60" s="511" t="s">
        <v>185</v>
      </c>
      <c r="E60" s="511"/>
      <c r="F60" s="511"/>
      <c r="G60" s="481">
        <f>G47+G59</f>
        <v>0</v>
      </c>
      <c r="H60" s="460">
        <f>G60+'26'!H60</f>
        <v>-4348884.4400000004</v>
      </c>
      <c r="I60" s="455">
        <f>G13-G60</f>
        <v>0</v>
      </c>
      <c r="J60" s="553">
        <f>H60/DAY(B2)</f>
        <v>-161069.7940740741</v>
      </c>
      <c r="K60" s="428"/>
      <c r="L60" s="377"/>
      <c r="N60" s="382"/>
    </row>
    <row r="61" spans="1:14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>
      <c r="A62" s="604" t="s">
        <v>98</v>
      </c>
      <c r="B62" s="605"/>
      <c r="C62" s="605"/>
      <c r="D62" s="511" t="s">
        <v>187</v>
      </c>
      <c r="E62" s="514">
        <f>'26'!F62</f>
        <v>0</v>
      </c>
      <c r="F62" s="514"/>
      <c r="G62" s="473">
        <f t="shared" ref="G62:G69" si="5">F62-E62</f>
        <v>0</v>
      </c>
      <c r="H62" s="460">
        <f>G62+'26'!H62</f>
        <v>-20419.187000000002</v>
      </c>
      <c r="I62" s="515"/>
      <c r="J62" s="553">
        <f>H62/DAY(B2)</f>
        <v>-756.26618518518524</v>
      </c>
      <c r="K62" s="428"/>
      <c r="L62" s="377"/>
      <c r="N62" s="382"/>
    </row>
    <row r="63" spans="1:14">
      <c r="A63" s="604" t="s">
        <v>188</v>
      </c>
      <c r="B63" s="605"/>
      <c r="C63" s="605"/>
      <c r="D63" s="511" t="s">
        <v>187</v>
      </c>
      <c r="E63" s="514">
        <f>'26'!F63</f>
        <v>0</v>
      </c>
      <c r="F63" s="514"/>
      <c r="G63" s="473">
        <f t="shared" si="5"/>
        <v>0</v>
      </c>
      <c r="H63" s="460">
        <f>G63+'26'!H63</f>
        <v>-1707.36</v>
      </c>
      <c r="I63" s="515"/>
      <c r="J63" s="553">
        <f>H63/DAY(B2)</f>
        <v>-63.23555555555555</v>
      </c>
      <c r="K63" s="428"/>
      <c r="L63" s="377"/>
      <c r="N63" s="382"/>
    </row>
    <row r="64" spans="1:14" ht="27.75">
      <c r="A64" s="1408" t="s">
        <v>99</v>
      </c>
      <c r="B64" s="1409"/>
      <c r="C64" s="1410"/>
      <c r="D64" s="523" t="s">
        <v>187</v>
      </c>
      <c r="E64" s="514">
        <f>'26'!F64</f>
        <v>0</v>
      </c>
      <c r="F64" s="478"/>
      <c r="G64" s="473">
        <f t="shared" si="5"/>
        <v>0</v>
      </c>
      <c r="H64" s="460">
        <f>G64+'26'!H64</f>
        <v>-123627.3</v>
      </c>
      <c r="I64" s="480"/>
      <c r="J64" s="553">
        <f>H64/DAY(B2)</f>
        <v>-4578.7888888888892</v>
      </c>
      <c r="K64" s="428"/>
      <c r="L64" s="377"/>
      <c r="N64" s="382"/>
    </row>
    <row r="65" spans="1:14" ht="27.75">
      <c r="A65" s="1408" t="s">
        <v>100</v>
      </c>
      <c r="B65" s="1409"/>
      <c r="C65" s="1410"/>
      <c r="D65" s="523" t="s">
        <v>187</v>
      </c>
      <c r="E65" s="514">
        <f>'26'!F65</f>
        <v>0</v>
      </c>
      <c r="F65" s="656"/>
      <c r="G65" s="473">
        <f t="shared" si="5"/>
        <v>0</v>
      </c>
      <c r="H65" s="460">
        <f>G65+'26'!H65</f>
        <v>-132597.29999999999</v>
      </c>
      <c r="I65" s="489"/>
      <c r="J65" s="553">
        <f>H65/DAY(B2)</f>
        <v>-4911.0111111111109</v>
      </c>
      <c r="K65" s="428"/>
      <c r="L65" s="377"/>
      <c r="N65" s="382"/>
    </row>
    <row r="66" spans="1:14" ht="27.75">
      <c r="A66" s="1408" t="s">
        <v>101</v>
      </c>
      <c r="B66" s="1409"/>
      <c r="C66" s="1410"/>
      <c r="D66" s="523" t="s">
        <v>187</v>
      </c>
      <c r="E66" s="514">
        <f>'26'!F66</f>
        <v>0</v>
      </c>
      <c r="F66" s="478"/>
      <c r="G66" s="473">
        <f t="shared" si="5"/>
        <v>0</v>
      </c>
      <c r="H66" s="460">
        <f>G66+'26'!H66</f>
        <v>-25159.75</v>
      </c>
      <c r="I66" s="480"/>
      <c r="J66" s="553">
        <f>H66/DAY(B2)</f>
        <v>-931.84259259259261</v>
      </c>
      <c r="K66" s="428"/>
      <c r="L66" s="377"/>
      <c r="N66" s="382"/>
    </row>
    <row r="67" spans="1:14" ht="27.75">
      <c r="A67" s="1408" t="s">
        <v>102</v>
      </c>
      <c r="B67" s="1409"/>
      <c r="C67" s="1410"/>
      <c r="D67" s="523" t="s">
        <v>187</v>
      </c>
      <c r="E67" s="514">
        <f>'26'!F67</f>
        <v>0</v>
      </c>
      <c r="F67" s="478"/>
      <c r="G67" s="473">
        <f t="shared" si="5"/>
        <v>0</v>
      </c>
      <c r="H67" s="460">
        <f>G67+'26'!H67</f>
        <v>-207841.83</v>
      </c>
      <c r="I67" s="489"/>
      <c r="J67" s="553">
        <f>H67/DAY(B2)</f>
        <v>-7697.8455555555547</v>
      </c>
      <c r="K67" s="429"/>
      <c r="L67" s="377"/>
      <c r="N67" s="382"/>
    </row>
    <row r="68" spans="1:14" ht="27.75">
      <c r="A68" s="1408" t="s">
        <v>103</v>
      </c>
      <c r="B68" s="1409"/>
      <c r="C68" s="1410"/>
      <c r="D68" s="523" t="s">
        <v>187</v>
      </c>
      <c r="E68" s="514">
        <f>'26'!F68</f>
        <v>0</v>
      </c>
      <c r="F68" s="478"/>
      <c r="G68" s="473">
        <f t="shared" si="5"/>
        <v>0</v>
      </c>
      <c r="H68" s="460">
        <f>G68+'26'!H68</f>
        <v>-63461.45</v>
      </c>
      <c r="I68" s="516"/>
      <c r="J68" s="553">
        <f>H68/DAY(B2)</f>
        <v>-2350.4240740740738</v>
      </c>
      <c r="K68" s="430"/>
      <c r="L68" s="377"/>
      <c r="N68" s="382"/>
    </row>
    <row r="69" spans="1:14" ht="27.75">
      <c r="A69" s="1408" t="s">
        <v>104</v>
      </c>
      <c r="B69" s="1409"/>
      <c r="C69" s="1410"/>
      <c r="D69" s="523" t="s">
        <v>187</v>
      </c>
      <c r="E69" s="514">
        <f>'26'!F69</f>
        <v>0</v>
      </c>
      <c r="F69" s="478"/>
      <c r="G69" s="473">
        <f t="shared" si="5"/>
        <v>0</v>
      </c>
      <c r="H69" s="460">
        <f>G69+'26'!H69</f>
        <v>-64452.09</v>
      </c>
      <c r="I69" s="516"/>
      <c r="J69" s="553">
        <f>H69/DAY(B2)</f>
        <v>-2387.1144444444444</v>
      </c>
      <c r="K69" s="431"/>
      <c r="L69" s="377"/>
      <c r="N69" s="382"/>
    </row>
    <row r="70" spans="1:14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382"/>
    </row>
    <row r="71" spans="1:14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382"/>
    </row>
    <row r="72" spans="1:14" ht="27.75">
      <c r="A72" s="1408" t="s">
        <v>191</v>
      </c>
      <c r="B72" s="1409"/>
      <c r="C72" s="1410"/>
      <c r="D72" s="523" t="s">
        <v>187</v>
      </c>
      <c r="E72" s="519">
        <f>'26'!F72</f>
        <v>0</v>
      </c>
      <c r="F72" s="659"/>
      <c r="G72" s="473">
        <f t="shared" ref="G72:G84" si="6">F72-E72</f>
        <v>0</v>
      </c>
      <c r="H72" s="460">
        <f>G72+'26'!H72</f>
        <v>-850682</v>
      </c>
      <c r="I72" s="480"/>
      <c r="J72" s="553">
        <f>H72/DAY(B2)</f>
        <v>-31506.740740740741</v>
      </c>
      <c r="K72" s="431"/>
      <c r="L72" s="377"/>
      <c r="N72" s="382"/>
    </row>
    <row r="73" spans="1:14" ht="27.75">
      <c r="A73" s="1408" t="s">
        <v>192</v>
      </c>
      <c r="B73" s="1409"/>
      <c r="C73" s="1410"/>
      <c r="D73" s="523" t="s">
        <v>187</v>
      </c>
      <c r="E73" s="519">
        <f>'26'!F73</f>
        <v>0</v>
      </c>
      <c r="F73" s="660"/>
      <c r="G73" s="657">
        <f t="shared" si="6"/>
        <v>0</v>
      </c>
      <c r="H73" s="460">
        <f>G73+'26'!H73</f>
        <v>-884658</v>
      </c>
      <c r="I73" s="480"/>
      <c r="J73" s="553">
        <f>H73/DAY(B2)</f>
        <v>-32765.111111111109</v>
      </c>
      <c r="K73" s="430"/>
      <c r="L73" s="377"/>
      <c r="N73" s="382"/>
    </row>
    <row r="74" spans="1:14" ht="27.75">
      <c r="A74" s="1408" t="s">
        <v>193</v>
      </c>
      <c r="B74" s="1409"/>
      <c r="C74" s="1410"/>
      <c r="D74" s="523" t="s">
        <v>187</v>
      </c>
      <c r="E74" s="519">
        <f>'26'!F74</f>
        <v>0</v>
      </c>
      <c r="F74" s="660"/>
      <c r="G74" s="473">
        <f t="shared" si="6"/>
        <v>0</v>
      </c>
      <c r="H74" s="460">
        <f>G74+'26'!H74</f>
        <v>-586.16999999999996</v>
      </c>
      <c r="I74" s="480"/>
      <c r="J74" s="553">
        <f>H74/DAY(B2)</f>
        <v>-21.709999999999997</v>
      </c>
      <c r="K74" s="431"/>
      <c r="L74" s="377"/>
      <c r="N74" s="382"/>
    </row>
    <row r="75" spans="1:14" ht="27.75">
      <c r="A75" s="1457" t="s">
        <v>194</v>
      </c>
      <c r="B75" s="1458"/>
      <c r="C75" s="1459"/>
      <c r="D75" s="523" t="s">
        <v>187</v>
      </c>
      <c r="E75" s="519">
        <f>'26'!F75</f>
        <v>0</v>
      </c>
      <c r="F75" s="659"/>
      <c r="G75" s="473">
        <f t="shared" si="6"/>
        <v>0</v>
      </c>
      <c r="H75" s="460">
        <f>G75+'26'!H75</f>
        <v>-3519.22</v>
      </c>
      <c r="I75" s="480"/>
      <c r="J75" s="553">
        <f>H75/DAY(B2)</f>
        <v>-130.34148148148148</v>
      </c>
      <c r="K75" s="430"/>
      <c r="L75" s="377"/>
      <c r="N75" s="382"/>
    </row>
    <row r="76" spans="1:14" ht="27.75">
      <c r="A76" s="1457" t="s">
        <v>195</v>
      </c>
      <c r="B76" s="1458"/>
      <c r="C76" s="1459"/>
      <c r="D76" s="523" t="s">
        <v>187</v>
      </c>
      <c r="E76" s="519">
        <f>'26'!F76</f>
        <v>0</v>
      </c>
      <c r="F76" s="660"/>
      <c r="G76" s="473">
        <f t="shared" si="6"/>
        <v>0</v>
      </c>
      <c r="H76" s="460">
        <f>G76+'26'!H76</f>
        <v>-475.2199999999998</v>
      </c>
      <c r="I76" s="505"/>
      <c r="J76" s="553">
        <f>H76/DAY(B2)</f>
        <v>-17.600740740740733</v>
      </c>
      <c r="K76" s="430"/>
      <c r="L76" s="377"/>
      <c r="N76" s="382"/>
    </row>
    <row r="77" spans="1:14" ht="27.75">
      <c r="A77" s="1408" t="s">
        <v>196</v>
      </c>
      <c r="B77" s="1409"/>
      <c r="C77" s="1410"/>
      <c r="D77" s="523" t="s">
        <v>187</v>
      </c>
      <c r="E77" s="519">
        <f>'26'!F77</f>
        <v>0</v>
      </c>
      <c r="F77" s="660"/>
      <c r="G77" s="657">
        <f t="shared" si="6"/>
        <v>0</v>
      </c>
      <c r="H77" s="460">
        <f>G77+'26'!H77</f>
        <v>-698588</v>
      </c>
      <c r="I77" s="505"/>
      <c r="J77" s="553">
        <f>H77/DAY(B2)</f>
        <v>-25873.629629629631</v>
      </c>
      <c r="K77" s="430"/>
      <c r="L77" s="377"/>
      <c r="N77" s="382"/>
    </row>
    <row r="78" spans="1:14" ht="27.75">
      <c r="A78" s="1151" t="s">
        <v>197</v>
      </c>
      <c r="B78" s="1124"/>
      <c r="C78" s="1124"/>
      <c r="D78" s="523" t="s">
        <v>187</v>
      </c>
      <c r="E78" s="519">
        <f>'26'!F78</f>
        <v>0</v>
      </c>
      <c r="F78" s="659"/>
      <c r="G78" s="473">
        <f t="shared" si="6"/>
        <v>0</v>
      </c>
      <c r="H78" s="460">
        <f>G78+'26'!H78</f>
        <v>-652863</v>
      </c>
      <c r="I78" s="505"/>
      <c r="J78" s="553">
        <f>H78/DAY(B2)</f>
        <v>-24180.111111111109</v>
      </c>
      <c r="K78" s="430"/>
      <c r="L78" s="377"/>
      <c r="N78" s="382"/>
    </row>
    <row r="79" spans="1:14" ht="27.75">
      <c r="A79" s="1457" t="s">
        <v>92</v>
      </c>
      <c r="B79" s="1458"/>
      <c r="C79" s="1459"/>
      <c r="D79" s="524" t="s">
        <v>187</v>
      </c>
      <c r="E79" s="519">
        <f>'26'!F79</f>
        <v>0</v>
      </c>
      <c r="F79" s="659"/>
      <c r="G79" s="473">
        <f t="shared" si="6"/>
        <v>0</v>
      </c>
      <c r="H79" s="460">
        <f>G79+'26'!H79</f>
        <v>-812599</v>
      </c>
      <c r="I79" s="505"/>
      <c r="J79" s="553">
        <f>H79/DAY(B2)</f>
        <v>-30096.259259259259</v>
      </c>
      <c r="K79" s="430"/>
      <c r="L79" s="377"/>
      <c r="N79" s="382"/>
    </row>
    <row r="80" spans="1:14" ht="27.75">
      <c r="A80" s="1457" t="s">
        <v>198</v>
      </c>
      <c r="B80" s="1458"/>
      <c r="C80" s="1459"/>
      <c r="D80" s="524" t="s">
        <v>187</v>
      </c>
      <c r="E80" s="519">
        <f>'26'!F80</f>
        <v>0</v>
      </c>
      <c r="F80" s="660"/>
      <c r="G80" s="473">
        <f t="shared" si="6"/>
        <v>0</v>
      </c>
      <c r="H80" s="460">
        <f>G80+'26'!H80</f>
        <v>-496614</v>
      </c>
      <c r="I80" s="505"/>
      <c r="J80" s="553">
        <f>H80/DAY(B2)</f>
        <v>-18393.111111111109</v>
      </c>
      <c r="K80" s="430"/>
      <c r="L80" s="377"/>
      <c r="N80" s="382"/>
    </row>
    <row r="81" spans="1:15" ht="27.75">
      <c r="A81" s="1457" t="s">
        <v>199</v>
      </c>
      <c r="B81" s="1458"/>
      <c r="C81" s="1459"/>
      <c r="D81" s="524" t="s">
        <v>187</v>
      </c>
      <c r="E81" s="519">
        <f>'26'!F81</f>
        <v>0</v>
      </c>
      <c r="F81" s="660"/>
      <c r="G81" s="473">
        <f t="shared" si="6"/>
        <v>0</v>
      </c>
      <c r="H81" s="460">
        <f>G81+'26'!H81</f>
        <v>-625943.84</v>
      </c>
      <c r="I81" s="505"/>
      <c r="J81" s="553">
        <f>H81/DAY(B2)</f>
        <v>-23183.105185185184</v>
      </c>
      <c r="K81" s="430"/>
      <c r="L81" s="377"/>
      <c r="N81" s="382"/>
    </row>
    <row r="82" spans="1:15" ht="27.75">
      <c r="A82" s="1457" t="s">
        <v>93</v>
      </c>
      <c r="B82" s="1458"/>
      <c r="C82" s="1459"/>
      <c r="D82" s="485" t="s">
        <v>132</v>
      </c>
      <c r="E82" s="519">
        <f>'26'!F82</f>
        <v>0</v>
      </c>
      <c r="F82" s="656"/>
      <c r="G82" s="473">
        <f t="shared" si="6"/>
        <v>0</v>
      </c>
      <c r="H82" s="460">
        <f>G82+'26'!H82</f>
        <v>-106202.48</v>
      </c>
      <c r="I82" s="486"/>
      <c r="J82" s="553">
        <f>H82/DAY(B2)</f>
        <v>-3933.425185185185</v>
      </c>
      <c r="K82" s="430"/>
      <c r="L82" s="377"/>
      <c r="N82" s="382"/>
    </row>
    <row r="83" spans="1:15" ht="27.75">
      <c r="A83" s="1457" t="s">
        <v>200</v>
      </c>
      <c r="B83" s="1458"/>
      <c r="C83" s="1459"/>
      <c r="D83" s="621" t="s">
        <v>132</v>
      </c>
      <c r="E83" s="519">
        <f>'26'!F83</f>
        <v>0</v>
      </c>
      <c r="F83" s="621"/>
      <c r="G83" s="473">
        <f t="shared" si="6"/>
        <v>0</v>
      </c>
      <c r="H83" s="460">
        <f>G83+'26'!H83</f>
        <v>3403</v>
      </c>
      <c r="I83" s="481"/>
      <c r="J83" s="553">
        <f>H83/DAY(B2)</f>
        <v>126.03703703703704</v>
      </c>
      <c r="K83" s="429"/>
      <c r="L83" s="377"/>
      <c r="N83" s="382"/>
    </row>
    <row r="84" spans="1:15">
      <c r="A84" s="1152" t="s">
        <v>201</v>
      </c>
      <c r="B84" s="572"/>
      <c r="C84" s="572"/>
      <c r="D84" s="478" t="s">
        <v>132</v>
      </c>
      <c r="E84" s="519">
        <f>'26'!F84</f>
        <v>0</v>
      </c>
      <c r="F84" s="524"/>
      <c r="G84" s="473">
        <f t="shared" si="6"/>
        <v>0</v>
      </c>
      <c r="H84" s="460">
        <f>G84+'26'!H84</f>
        <v>-430798</v>
      </c>
      <c r="I84" s="481"/>
      <c r="J84" s="553">
        <f>H84/DAY(B2)</f>
        <v>-15955.481481481482</v>
      </c>
      <c r="K84" s="380"/>
      <c r="L84" s="377"/>
      <c r="N84" s="382"/>
    </row>
    <row r="85" spans="1:15" s="379" customFormat="1">
      <c r="A85" s="606" t="s">
        <v>202</v>
      </c>
      <c r="B85" s="573"/>
      <c r="C85" s="573"/>
      <c r="D85" s="489"/>
      <c r="E85" s="628">
        <f>'26'!F85</f>
        <v>0</v>
      </c>
      <c r="F85" s="523"/>
      <c r="G85" s="460">
        <f xml:space="preserve"> SUM(G72:G84)</f>
        <v>0</v>
      </c>
      <c r="H85" s="460">
        <f>G85+'26'!H85</f>
        <v>-5564784.0700000003</v>
      </c>
      <c r="I85" s="481"/>
      <c r="J85" s="553">
        <f>H85/DAY(B2)</f>
        <v>-206103.11370370371</v>
      </c>
      <c r="K85" s="380"/>
      <c r="L85" s="378"/>
      <c r="N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'26'!F86</f>
        <v>0</v>
      </c>
      <c r="F86" s="652"/>
      <c r="G86" s="710">
        <f>F86-E86</f>
        <v>0</v>
      </c>
      <c r="H86" s="710">
        <f t="shared" ref="H86:H88" si="7">G86</f>
        <v>0</v>
      </c>
      <c r="I86" s="657"/>
      <c r="J86" s="712">
        <f>H86/DAY(B2)</f>
        <v>0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'26'!F87</f>
        <v>0</v>
      </c>
      <c r="F87" s="652"/>
      <c r="G87" s="710">
        <f t="shared" ref="G87:G90" si="8">F87-E87</f>
        <v>0</v>
      </c>
      <c r="H87" s="710">
        <f t="shared" si="7"/>
        <v>0</v>
      </c>
      <c r="I87" s="657"/>
      <c r="J87" s="712">
        <f>H87/DAY(B2)</f>
        <v>0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'26'!F88</f>
        <v>0</v>
      </c>
      <c r="F88" s="652"/>
      <c r="G88" s="710">
        <f t="shared" si="8"/>
        <v>0</v>
      </c>
      <c r="H88" s="710">
        <f t="shared" si="7"/>
        <v>0</v>
      </c>
      <c r="I88" s="657"/>
      <c r="J88" s="712">
        <f>H88/DAY(B2)</f>
        <v>0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'26'!F89</f>
        <v>0</v>
      </c>
      <c r="F89" s="652"/>
      <c r="G89" s="710">
        <f t="shared" si="8"/>
        <v>0</v>
      </c>
      <c r="H89" s="710">
        <f>G89</f>
        <v>0</v>
      </c>
      <c r="I89" s="657"/>
      <c r="J89" s="712">
        <f>H89/DAY(B2)</f>
        <v>0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'26'!F90</f>
        <v>0</v>
      </c>
      <c r="F90" s="652"/>
      <c r="G90" s="710">
        <f t="shared" si="8"/>
        <v>0</v>
      </c>
      <c r="H90" s="710">
        <f>G90</f>
        <v>0</v>
      </c>
      <c r="I90" s="657"/>
      <c r="J90" s="712">
        <f>H90/DAY(B2)</f>
        <v>0</v>
      </c>
      <c r="K90" s="738"/>
      <c r="L90" s="739"/>
      <c r="N90" s="783"/>
      <c r="O90" s="382"/>
    </row>
    <row r="91" spans="1:15" s="379" customFormat="1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>
      <c r="A92" s="1411" t="s">
        <v>206</v>
      </c>
      <c r="B92" s="1412"/>
      <c r="C92" s="1413"/>
      <c r="D92" s="523" t="s">
        <v>144</v>
      </c>
      <c r="E92" s="484">
        <f>'26'!F92</f>
        <v>0</v>
      </c>
      <c r="F92" s="478"/>
      <c r="G92" s="473">
        <f t="shared" ref="G92:G93" si="9">F92-E92</f>
        <v>0</v>
      </c>
      <c r="H92" s="460">
        <f>G92+'26'!H92</f>
        <v>-239695</v>
      </c>
      <c r="I92" s="480"/>
      <c r="J92" s="553">
        <f>H92/DAY(B2)</f>
        <v>-8877.5925925925931</v>
      </c>
      <c r="K92" s="429"/>
      <c r="L92" s="377"/>
      <c r="N92" s="382"/>
    </row>
    <row r="93" spans="1:15" ht="27.75">
      <c r="A93" s="1411" t="s">
        <v>207</v>
      </c>
      <c r="B93" s="1412"/>
      <c r="C93" s="1413"/>
      <c r="D93" s="523" t="s">
        <v>144</v>
      </c>
      <c r="E93" s="484">
        <f>'26'!F93</f>
        <v>0</v>
      </c>
      <c r="F93" s="485"/>
      <c r="G93" s="473">
        <f t="shared" si="9"/>
        <v>0</v>
      </c>
      <c r="H93" s="460">
        <f>G93+'26'!H93</f>
        <v>-175661</v>
      </c>
      <c r="I93" s="480"/>
      <c r="J93" s="553">
        <f>H93/DAY(B2)</f>
        <v>-6505.9629629629626</v>
      </c>
      <c r="K93" s="380"/>
      <c r="L93" s="377"/>
      <c r="N93" s="382"/>
    </row>
    <row r="94" spans="1:15">
      <c r="A94" s="1405" t="s">
        <v>208</v>
      </c>
      <c r="B94" s="1406"/>
      <c r="C94" s="1407"/>
      <c r="D94" s="523"/>
      <c r="E94" s="484">
        <f>'26'!F94</f>
        <v>0</v>
      </c>
      <c r="F94" s="478"/>
      <c r="G94" s="473">
        <f>G92+G93</f>
        <v>0</v>
      </c>
      <c r="H94" s="460">
        <f>G94+'26'!H94</f>
        <v>-415622</v>
      </c>
      <c r="I94" s="480"/>
      <c r="J94" s="553">
        <f>H94/DAY(B2)</f>
        <v>-15393.407407407407</v>
      </c>
      <c r="K94" s="380"/>
      <c r="L94" s="377"/>
      <c r="N94" s="382"/>
    </row>
    <row r="95" spans="1:15" ht="27.75">
      <c r="A95" s="1411" t="s">
        <v>209</v>
      </c>
      <c r="B95" s="1412"/>
      <c r="C95" s="1413"/>
      <c r="D95" s="523" t="s">
        <v>144</v>
      </c>
      <c r="E95" s="484">
        <f>'26'!F95</f>
        <v>0</v>
      </c>
      <c r="F95" s="478"/>
      <c r="G95" s="473">
        <f t="shared" ref="G95:G100" si="10">F95-E95</f>
        <v>0</v>
      </c>
      <c r="H95" s="460">
        <f>G95+'26'!H95</f>
        <v>-408156</v>
      </c>
      <c r="I95" s="480"/>
      <c r="J95" s="553">
        <f>H95/DAY(B2)</f>
        <v>-15116.888888888889</v>
      </c>
      <c r="K95" s="380"/>
      <c r="L95" s="377"/>
      <c r="N95" s="382"/>
    </row>
    <row r="96" spans="1:15" ht="27.75">
      <c r="A96" s="1148" t="s">
        <v>210</v>
      </c>
      <c r="B96" s="1149"/>
      <c r="C96" s="1149"/>
      <c r="D96" s="523" t="s">
        <v>144</v>
      </c>
      <c r="E96" s="484">
        <f>'26'!F96</f>
        <v>0</v>
      </c>
      <c r="F96" s="478"/>
      <c r="G96" s="473">
        <f t="shared" si="10"/>
        <v>0</v>
      </c>
      <c r="H96" s="460">
        <f>G96+'26'!H96</f>
        <v>-101332</v>
      </c>
      <c r="I96" s="480"/>
      <c r="J96" s="553">
        <f>H96/DAY(B2)</f>
        <v>-3753.037037037037</v>
      </c>
      <c r="K96" s="427"/>
      <c r="L96" s="377"/>
      <c r="N96" s="382"/>
    </row>
    <row r="97" spans="1:14" ht="27.75">
      <c r="A97" s="1148" t="s">
        <v>211</v>
      </c>
      <c r="B97" s="1149"/>
      <c r="C97" s="1149"/>
      <c r="D97" s="523" t="s">
        <v>144</v>
      </c>
      <c r="E97" s="484">
        <f>'26'!F97</f>
        <v>0</v>
      </c>
      <c r="F97" s="478"/>
      <c r="G97" s="473">
        <f t="shared" si="10"/>
        <v>0</v>
      </c>
      <c r="H97" s="460">
        <f>G97+'26'!H97</f>
        <v>-96449</v>
      </c>
      <c r="I97" s="480"/>
      <c r="J97" s="553">
        <f>H97/DAY(B2)</f>
        <v>-3572.1851851851852</v>
      </c>
      <c r="K97" s="432"/>
      <c r="L97" s="377"/>
      <c r="N97" s="810"/>
    </row>
    <row r="98" spans="1:14" ht="27.75">
      <c r="A98" s="1148" t="s">
        <v>212</v>
      </c>
      <c r="B98" s="1149"/>
      <c r="C98" s="1149"/>
      <c r="D98" s="523" t="s">
        <v>144</v>
      </c>
      <c r="E98" s="484">
        <f>'26'!F98</f>
        <v>0</v>
      </c>
      <c r="F98" s="478"/>
      <c r="G98" s="473">
        <f t="shared" si="10"/>
        <v>0</v>
      </c>
      <c r="H98" s="460">
        <f>G98+'26'!H98</f>
        <v>-147608</v>
      </c>
      <c r="I98" s="480"/>
      <c r="J98" s="553">
        <f>H98/DAY(B2)</f>
        <v>-5466.9629629629626</v>
      </c>
      <c r="K98" s="380"/>
      <c r="L98" s="377"/>
      <c r="N98" s="1035"/>
    </row>
    <row r="99" spans="1:14" ht="27.75">
      <c r="A99" s="1148" t="s">
        <v>213</v>
      </c>
      <c r="B99" s="1149"/>
      <c r="C99" s="1149"/>
      <c r="D99" s="523" t="s">
        <v>144</v>
      </c>
      <c r="E99" s="484">
        <f>'26'!F99</f>
        <v>0</v>
      </c>
      <c r="F99" s="478"/>
      <c r="G99" s="473">
        <f t="shared" si="10"/>
        <v>0</v>
      </c>
      <c r="H99" s="460">
        <f>G99+'26'!H99</f>
        <v>-6408</v>
      </c>
      <c r="I99" s="480"/>
      <c r="J99" s="553">
        <f>H99/DAY(B2)</f>
        <v>-237.33333333333334</v>
      </c>
      <c r="K99" s="380"/>
      <c r="L99" s="377"/>
      <c r="N99" s="810"/>
    </row>
    <row r="100" spans="1:14" ht="27.75">
      <c r="A100" s="1148" t="s">
        <v>214</v>
      </c>
      <c r="B100" s="1149"/>
      <c r="C100" s="1149"/>
      <c r="D100" s="523" t="s">
        <v>144</v>
      </c>
      <c r="E100" s="484">
        <f>'26'!F100</f>
        <v>0</v>
      </c>
      <c r="F100" s="478"/>
      <c r="G100" s="473">
        <f t="shared" si="10"/>
        <v>0</v>
      </c>
      <c r="H100" s="460">
        <f>G100+'26'!H100</f>
        <v>-4543</v>
      </c>
      <c r="I100" s="480"/>
      <c r="J100" s="553">
        <f>H100/DAY(B2)</f>
        <v>-168.25925925925927</v>
      </c>
      <c r="K100" s="380"/>
      <c r="L100" s="377"/>
      <c r="N100" s="810"/>
    </row>
    <row r="101" spans="1:14">
      <c r="A101" s="1405" t="s">
        <v>216</v>
      </c>
      <c r="B101" s="1406"/>
      <c r="C101" s="1407"/>
      <c r="D101" s="524"/>
      <c r="E101" s="524"/>
      <c r="F101" s="524"/>
      <c r="G101" s="525">
        <f>SUM(G95:G100)</f>
        <v>0</v>
      </c>
      <c r="H101" s="460">
        <f>G101+'26'!H101</f>
        <v>-764496</v>
      </c>
      <c r="I101" s="526"/>
      <c r="J101" s="553">
        <f>H101/DAY(B2)</f>
        <v>-28314.666666666668</v>
      </c>
      <c r="K101" s="380"/>
      <c r="L101" s="377"/>
      <c r="N101" s="810"/>
    </row>
    <row r="102" spans="1:14" s="442" customFormat="1" ht="27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N102" s="382"/>
    </row>
    <row r="103" spans="1:14" s="442" customFormat="1" ht="27.75">
      <c r="A103" s="1414" t="s">
        <v>218</v>
      </c>
      <c r="B103" s="1415"/>
      <c r="C103" s="574"/>
      <c r="D103" s="623"/>
      <c r="E103" s="532"/>
      <c r="F103" s="663"/>
      <c r="G103" s="532"/>
      <c r="H103" s="533"/>
      <c r="I103" s="532"/>
      <c r="J103" s="559"/>
      <c r="N103" s="382"/>
    </row>
    <row r="104" spans="1:14" s="442" customFormat="1" ht="27.75">
      <c r="A104" s="1416" t="s">
        <v>219</v>
      </c>
      <c r="B104" s="1417"/>
      <c r="C104" s="1147"/>
      <c r="D104" s="623" t="s">
        <v>144</v>
      </c>
      <c r="E104" s="532">
        <f>'26'!F104</f>
        <v>0</v>
      </c>
      <c r="F104" s="663"/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2.9314814814814847</v>
      </c>
      <c r="N104" s="382"/>
    </row>
    <row r="105" spans="1:14" s="442" customFormat="1" ht="27.75">
      <c r="A105" s="1416" t="s">
        <v>77</v>
      </c>
      <c r="B105" s="1417"/>
      <c r="C105" s="1147"/>
      <c r="D105" s="623" t="s">
        <v>144</v>
      </c>
      <c r="E105" s="532">
        <f>'26'!F105</f>
        <v>0</v>
      </c>
      <c r="F105" s="809"/>
      <c r="G105" s="532">
        <f t="shared" ref="G105:G106" si="11">F105-E105</f>
        <v>0</v>
      </c>
      <c r="H105" s="533">
        <f>SUM(G105+'1'!G77)</f>
        <v>45</v>
      </c>
      <c r="I105" s="532"/>
      <c r="J105" s="559">
        <f>H105/DAY(B2)</f>
        <v>1.6666666666666667</v>
      </c>
      <c r="N105" s="382"/>
    </row>
    <row r="106" spans="1:14" s="442" customFormat="1" ht="27.75">
      <c r="A106" s="1416" t="s">
        <v>78</v>
      </c>
      <c r="B106" s="1418"/>
      <c r="C106" s="1417"/>
      <c r="D106" s="623" t="s">
        <v>144</v>
      </c>
      <c r="E106" s="532">
        <f>'26'!F106</f>
        <v>0</v>
      </c>
      <c r="F106" s="664"/>
      <c r="G106" s="532">
        <f t="shared" si="11"/>
        <v>0</v>
      </c>
      <c r="H106" s="533">
        <f>SUM(G106+'1'!G78)</f>
        <v>390</v>
      </c>
      <c r="I106" s="532"/>
      <c r="J106" s="559">
        <f>H106/DAY(B2)</f>
        <v>14.444444444444445</v>
      </c>
      <c r="N106" s="382"/>
    </row>
    <row r="107" spans="1:14" s="442" customFormat="1" ht="27.75">
      <c r="A107" s="1419" t="s">
        <v>202</v>
      </c>
      <c r="B107" s="1420"/>
      <c r="C107" s="1147"/>
      <c r="D107" s="623"/>
      <c r="E107" s="532">
        <f>'26'!F107</f>
        <v>0</v>
      </c>
      <c r="F107" s="664"/>
      <c r="G107" s="532">
        <f>SUM(G104:G106)</f>
        <v>0</v>
      </c>
      <c r="H107" s="533">
        <f>SUM(G107+'1'!G79)</f>
        <v>192</v>
      </c>
      <c r="I107" s="532"/>
      <c r="J107" s="559">
        <f>H107/DAY(B2)</f>
        <v>7.1111111111111107</v>
      </c>
      <c r="N107" s="382"/>
    </row>
    <row r="108" spans="1:14" s="442" customFormat="1" ht="27.75">
      <c r="A108" s="1421" t="s">
        <v>79</v>
      </c>
      <c r="B108" s="1422"/>
      <c r="C108" s="1147"/>
      <c r="D108" s="623" t="s">
        <v>144</v>
      </c>
      <c r="E108" s="532">
        <f>'26'!F108</f>
        <v>0</v>
      </c>
      <c r="F108" s="664"/>
      <c r="G108" s="532"/>
      <c r="H108" s="533"/>
      <c r="I108" s="532"/>
      <c r="J108" s="559"/>
      <c r="N108" s="382"/>
    </row>
    <row r="109" spans="1:14" s="442" customFormat="1" ht="27.75">
      <c r="A109" s="1416" t="s">
        <v>220</v>
      </c>
      <c r="B109" s="1417"/>
      <c r="C109" s="1147"/>
      <c r="D109" s="623" t="s">
        <v>144</v>
      </c>
      <c r="E109" s="532">
        <f>'26'!F109</f>
        <v>0</v>
      </c>
      <c r="F109" s="809"/>
      <c r="G109" s="532">
        <f>F109-E109</f>
        <v>0</v>
      </c>
      <c r="H109" s="533">
        <f>SUM(G109+'1'!G81)</f>
        <v>112.56000000005588</v>
      </c>
      <c r="I109" s="532"/>
      <c r="J109" s="559">
        <f>H109/DAY(B2)</f>
        <v>4.1688888888909581</v>
      </c>
      <c r="N109" s="382"/>
    </row>
    <row r="110" spans="1:14" s="442" customFormat="1" ht="27.75">
      <c r="A110" s="1416" t="s">
        <v>221</v>
      </c>
      <c r="B110" s="1417"/>
      <c r="C110" s="1147"/>
      <c r="D110" s="623" t="s">
        <v>144</v>
      </c>
      <c r="E110" s="532">
        <f>'26'!F110</f>
        <v>0</v>
      </c>
      <c r="F110" s="809"/>
      <c r="G110" s="532">
        <f t="shared" ref="G110:G111" si="12">F110-E110</f>
        <v>0</v>
      </c>
      <c r="H110" s="533">
        <f>SUM(G110+'1'!G82)</f>
        <v>18.169999999998254</v>
      </c>
      <c r="I110" s="532"/>
      <c r="J110" s="559">
        <f>H110/DAY(B2)</f>
        <v>0.67296296296289826</v>
      </c>
      <c r="N110" s="382"/>
    </row>
    <row r="111" spans="1:14" s="442" customFormat="1" ht="27.75">
      <c r="A111" s="1416" t="s">
        <v>222</v>
      </c>
      <c r="B111" s="1417"/>
      <c r="C111" s="1147"/>
      <c r="D111" s="623" t="s">
        <v>144</v>
      </c>
      <c r="E111" s="532">
        <f>'26'!F111</f>
        <v>0</v>
      </c>
      <c r="F111" s="664"/>
      <c r="G111" s="534">
        <f t="shared" si="12"/>
        <v>0</v>
      </c>
      <c r="H111" s="533">
        <f>SUM(G111+'1'!G83)</f>
        <v>520</v>
      </c>
      <c r="I111" s="532"/>
      <c r="J111" s="559">
        <f>H111/DAY(B2)</f>
        <v>19.25925925925926</v>
      </c>
      <c r="N111" s="382"/>
    </row>
    <row r="112" spans="1:14" s="442" customFormat="1" ht="27.75">
      <c r="A112" s="1419" t="s">
        <v>110</v>
      </c>
      <c r="B112" s="1420"/>
      <c r="C112" s="1147"/>
      <c r="D112" s="623"/>
      <c r="E112" s="532">
        <f>'26'!F112</f>
        <v>0</v>
      </c>
      <c r="F112" s="664"/>
      <c r="G112" s="532">
        <f>SUM(G109:G111)</f>
        <v>0</v>
      </c>
      <c r="H112" s="533">
        <f>SUM(G112+'1'!G84)</f>
        <v>690</v>
      </c>
      <c r="I112" s="532"/>
      <c r="J112" s="559">
        <f>H112/DAY(B2)</f>
        <v>25.555555555555557</v>
      </c>
      <c r="N112" s="382"/>
    </row>
    <row r="113" spans="1:14" s="442" customFormat="1" ht="27.75">
      <c r="A113" s="1421" t="s">
        <v>223</v>
      </c>
      <c r="B113" s="1422"/>
      <c r="C113" s="1147"/>
      <c r="D113" s="623"/>
      <c r="E113" s="532">
        <f>'26'!F113</f>
        <v>0</v>
      </c>
      <c r="F113" s="664"/>
      <c r="G113" s="532"/>
      <c r="H113" s="533"/>
      <c r="I113" s="532"/>
      <c r="J113" s="559">
        <f>H113/DAY(B2)</f>
        <v>0</v>
      </c>
      <c r="N113" s="382"/>
    </row>
    <row r="114" spans="1:14" s="442" customFormat="1" ht="27.75">
      <c r="A114" s="1416" t="s">
        <v>224</v>
      </c>
      <c r="B114" s="1417"/>
      <c r="C114" s="575"/>
      <c r="D114" s="623" t="s">
        <v>144</v>
      </c>
      <c r="E114" s="532">
        <f>'26'!F114</f>
        <v>0</v>
      </c>
      <c r="F114" s="664"/>
      <c r="G114" s="534">
        <f>F114-E114</f>
        <v>0</v>
      </c>
      <c r="H114" s="533">
        <f>SUM(G114+'1'!G91)</f>
        <v>0</v>
      </c>
      <c r="I114" s="532"/>
      <c r="J114" s="559">
        <f>H114/DAY(B2)</f>
        <v>0</v>
      </c>
      <c r="N114" s="382"/>
    </row>
    <row r="115" spans="1:14" s="442" customFormat="1" ht="27.75">
      <c r="A115" s="1416" t="s">
        <v>225</v>
      </c>
      <c r="B115" s="1417"/>
      <c r="C115" s="575"/>
      <c r="D115" s="623" t="s">
        <v>144</v>
      </c>
      <c r="E115" s="532">
        <f>'26'!F115</f>
        <v>0</v>
      </c>
      <c r="F115" s="664"/>
      <c r="G115" s="534">
        <f t="shared" ref="G115:G116" si="13">F115-E115</f>
        <v>0</v>
      </c>
      <c r="H115" s="533">
        <f>SUM(G115+'1'!G92)</f>
        <v>122</v>
      </c>
      <c r="I115" s="532"/>
      <c r="J115" s="559">
        <f>H115/DAY(B2)</f>
        <v>4.5185185185185182</v>
      </c>
      <c r="N115" s="382"/>
    </row>
    <row r="116" spans="1:14" s="442" customFormat="1" ht="27.75">
      <c r="A116" s="1416" t="s">
        <v>226</v>
      </c>
      <c r="B116" s="1417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5.333333333333333</v>
      </c>
      <c r="N116" s="382"/>
    </row>
    <row r="117" spans="1:14" s="445" customFormat="1" ht="27.75">
      <c r="A117" s="1419" t="s">
        <v>202</v>
      </c>
      <c r="B117" s="1420"/>
      <c r="C117" s="575"/>
      <c r="D117" s="624"/>
      <c r="E117" s="534"/>
      <c r="F117" s="664"/>
      <c r="G117" s="534">
        <f>SUM(G114:G116)</f>
        <v>0</v>
      </c>
      <c r="H117" s="533">
        <f>SUM(G117+'1'!G95)</f>
        <v>76</v>
      </c>
      <c r="I117" s="534"/>
      <c r="J117" s="559">
        <f>H117/DAY(B2)</f>
        <v>2.8148148148148149</v>
      </c>
      <c r="N117" s="382"/>
    </row>
    <row r="118" spans="1:14" s="446" customFormat="1" ht="27.75">
      <c r="A118" s="1450" t="s">
        <v>227</v>
      </c>
      <c r="B118" s="1451"/>
      <c r="C118" s="1145"/>
      <c r="D118" s="625" t="s">
        <v>144</v>
      </c>
      <c r="E118" s="536"/>
      <c r="F118" s="665"/>
      <c r="G118" s="536">
        <f>SUM(G19+G92)</f>
        <v>0</v>
      </c>
      <c r="H118" s="533">
        <f>SUM(G118+'1'!G96)</f>
        <v>13</v>
      </c>
      <c r="I118" s="535"/>
      <c r="J118" s="560">
        <f>H118/DAY(B2)</f>
        <v>0.48148148148148145</v>
      </c>
      <c r="N118" s="382"/>
    </row>
    <row r="119" spans="1:14" s="446" customFormat="1" ht="27.75">
      <c r="A119" s="1450" t="s">
        <v>228</v>
      </c>
      <c r="B119" s="1451"/>
      <c r="C119" s="1145"/>
      <c r="D119" s="625" t="s">
        <v>144</v>
      </c>
      <c r="E119" s="536"/>
      <c r="F119" s="665"/>
      <c r="G119" s="536">
        <f>SUM(G95,G96,G97,G99,G100)</f>
        <v>0</v>
      </c>
      <c r="H119" s="533">
        <f>SUM(G119+'1'!G98)</f>
        <v>70</v>
      </c>
      <c r="I119" s="535"/>
      <c r="J119" s="560">
        <f>H119/DAY(B2)</f>
        <v>2.5925925925925926</v>
      </c>
      <c r="N119" s="382"/>
    </row>
    <row r="120" spans="1:14" s="446" customFormat="1" ht="27.75">
      <c r="A120" s="1450" t="s">
        <v>229</v>
      </c>
      <c r="B120" s="1451"/>
      <c r="C120" s="1145"/>
      <c r="D120" s="625" t="s">
        <v>144</v>
      </c>
      <c r="E120" s="534"/>
      <c r="F120" s="664"/>
      <c r="G120" s="534">
        <f>SUM(G112)</f>
        <v>0</v>
      </c>
      <c r="H120" s="533">
        <f>SUM(G120+'1'!G100)</f>
        <v>14</v>
      </c>
      <c r="I120" s="535"/>
      <c r="J120" s="560">
        <f>H120/DAY(B2)</f>
        <v>0.51851851851851849</v>
      </c>
      <c r="N120" s="382"/>
    </row>
    <row r="121" spans="1:14" s="442" customFormat="1" ht="27.75">
      <c r="A121" s="1452"/>
      <c r="B121" s="1453"/>
      <c r="C121" s="1146"/>
      <c r="D121" s="561"/>
      <c r="E121" s="561"/>
      <c r="F121" s="666"/>
      <c r="G121" s="561"/>
      <c r="H121" s="562"/>
      <c r="I121" s="561"/>
      <c r="J121" s="563"/>
      <c r="N121" s="382"/>
    </row>
    <row r="122" spans="1:14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>
      <c r="A123" s="1148" t="s">
        <v>231</v>
      </c>
      <c r="B123" s="1149"/>
      <c r="C123" s="1149"/>
      <c r="D123" s="523" t="s">
        <v>141</v>
      </c>
      <c r="E123" s="478">
        <f>'26'!F123</f>
        <v>0</v>
      </c>
      <c r="F123" s="478"/>
      <c r="G123" s="473">
        <f t="shared" ref="G123:G127" si="14">F123-E123</f>
        <v>0</v>
      </c>
      <c r="H123" s="460">
        <f>G123+'26'!H123</f>
        <v>-811006.84</v>
      </c>
      <c r="I123" s="526">
        <f>G123/5</f>
        <v>0</v>
      </c>
      <c r="J123" s="553">
        <f>H123/DAY(B2)</f>
        <v>-30037.290370370371</v>
      </c>
      <c r="K123" s="380"/>
      <c r="L123" s="377"/>
      <c r="N123" s="382"/>
    </row>
    <row r="124" spans="1:14" ht="27.75">
      <c r="A124" s="1148" t="s">
        <v>232</v>
      </c>
      <c r="B124" s="1149"/>
      <c r="C124" s="1149"/>
      <c r="D124" s="523" t="s">
        <v>141</v>
      </c>
      <c r="E124" s="478">
        <f>'26'!F124</f>
        <v>0</v>
      </c>
      <c r="F124" s="627"/>
      <c r="G124" s="473">
        <f t="shared" si="14"/>
        <v>0</v>
      </c>
      <c r="H124" s="460">
        <f>G124+'26'!H124</f>
        <v>-73583.399999999994</v>
      </c>
      <c r="I124" s="526"/>
      <c r="J124" s="553">
        <f>H124/DAY(B2)</f>
        <v>-2725.3111111111107</v>
      </c>
      <c r="K124" s="380"/>
      <c r="L124" s="377"/>
      <c r="N124" s="382"/>
    </row>
    <row r="125" spans="1:14" ht="27.75">
      <c r="A125" s="1408" t="s">
        <v>233</v>
      </c>
      <c r="B125" s="1409"/>
      <c r="C125" s="1410"/>
      <c r="D125" s="523" t="s">
        <v>141</v>
      </c>
      <c r="E125" s="478">
        <f>'26'!F125</f>
        <v>0</v>
      </c>
      <c r="F125" s="485"/>
      <c r="G125" s="473">
        <f t="shared" si="14"/>
        <v>0</v>
      </c>
      <c r="H125" s="460">
        <f>G125+'26'!H125</f>
        <v>-139979.34</v>
      </c>
      <c r="I125" s="526"/>
      <c r="J125" s="553">
        <f>H125/DAY(B2)</f>
        <v>-5184.42</v>
      </c>
      <c r="K125" s="380"/>
      <c r="L125" s="377"/>
      <c r="N125" s="382"/>
    </row>
    <row r="126" spans="1:14" ht="27.75">
      <c r="A126" s="610" t="s">
        <v>234</v>
      </c>
      <c r="B126" s="1149"/>
      <c r="C126" s="1149"/>
      <c r="D126" s="523" t="s">
        <v>141</v>
      </c>
      <c r="E126" s="478">
        <f>'26'!F126</f>
        <v>0</v>
      </c>
      <c r="F126" s="627"/>
      <c r="G126" s="473">
        <f t="shared" si="14"/>
        <v>0</v>
      </c>
      <c r="H126" s="460">
        <f>G126+'26'!H126</f>
        <v>-59306.9</v>
      </c>
      <c r="I126" s="526"/>
      <c r="J126" s="553">
        <f>H126/DAY(B2)</f>
        <v>-2196.551851851852</v>
      </c>
      <c r="K126" s="380"/>
      <c r="L126" s="377"/>
      <c r="N126" s="382"/>
    </row>
    <row r="127" spans="1:14" ht="27.75">
      <c r="A127" s="610" t="s">
        <v>235</v>
      </c>
      <c r="B127" s="1149"/>
      <c r="C127" s="1149"/>
      <c r="D127" s="523" t="s">
        <v>141</v>
      </c>
      <c r="E127" s="478">
        <f>'26'!F127</f>
        <v>0</v>
      </c>
      <c r="F127" s="627"/>
      <c r="G127" s="473">
        <f t="shared" si="14"/>
        <v>0</v>
      </c>
      <c r="H127" s="460">
        <f>G127+'26'!H127</f>
        <v>-8887.7999999999993</v>
      </c>
      <c r="I127" s="480"/>
      <c r="J127" s="553">
        <f>H127/DAY(B2)</f>
        <v>-329.17777777777775</v>
      </c>
      <c r="K127" s="380"/>
      <c r="L127" s="377"/>
      <c r="N127" s="382"/>
    </row>
    <row r="128" spans="1:14" s="281" customFormat="1" ht="27.7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0</v>
      </c>
      <c r="H128" s="460">
        <f>G128+'26'!H128</f>
        <v>-534980.75899999996</v>
      </c>
      <c r="I128" s="480"/>
      <c r="J128" s="553">
        <f>H128/DAY(B2)</f>
        <v>-19814.102185185184</v>
      </c>
      <c r="K128" s="364"/>
      <c r="L128" s="292"/>
      <c r="N128" s="382"/>
    </row>
    <row r="129" spans="1:1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>
      <c r="A130" s="1148" t="s">
        <v>238</v>
      </c>
      <c r="B130" s="1149"/>
      <c r="C130" s="1149"/>
      <c r="D130" s="523" t="s">
        <v>239</v>
      </c>
      <c r="E130" s="484">
        <f>'26'!F130</f>
        <v>0</v>
      </c>
      <c r="F130" s="478"/>
      <c r="G130" s="473">
        <f t="shared" ref="G130:G140" si="15">F130-E130</f>
        <v>0</v>
      </c>
      <c r="H130" s="460">
        <f>G130+'26'!H130</f>
        <v>0</v>
      </c>
      <c r="I130" s="480"/>
      <c r="J130" s="553">
        <f>H130/DAY(B2)</f>
        <v>0</v>
      </c>
      <c r="N130" s="382"/>
    </row>
    <row r="131" spans="1:14" ht="27.75">
      <c r="A131" s="1148" t="s">
        <v>240</v>
      </c>
      <c r="B131" s="1149"/>
      <c r="C131" s="1149"/>
      <c r="D131" s="523" t="s">
        <v>239</v>
      </c>
      <c r="E131" s="484">
        <f>'26'!F131</f>
        <v>0</v>
      </c>
      <c r="F131" s="478"/>
      <c r="G131" s="473">
        <f t="shared" si="15"/>
        <v>0</v>
      </c>
      <c r="H131" s="460">
        <f>G131+'26'!H131</f>
        <v>0</v>
      </c>
      <c r="I131" s="480"/>
      <c r="J131" s="553">
        <f>H131/DAY(B2)</f>
        <v>0</v>
      </c>
      <c r="N131" s="382"/>
    </row>
    <row r="132" spans="1:14" ht="27.75">
      <c r="A132" s="1148" t="s">
        <v>241</v>
      </c>
      <c r="B132" s="1149"/>
      <c r="C132" s="1149"/>
      <c r="D132" s="523" t="s">
        <v>239</v>
      </c>
      <c r="E132" s="484">
        <f>'26'!F132</f>
        <v>0</v>
      </c>
      <c r="F132" s="485"/>
      <c r="G132" s="473">
        <f t="shared" si="15"/>
        <v>0</v>
      </c>
      <c r="H132" s="460">
        <f>G132+'26'!H132</f>
        <v>-38838.33</v>
      </c>
      <c r="I132" s="480"/>
      <c r="J132" s="553">
        <f>H132/DAY(B2)</f>
        <v>-1438.4566666666667</v>
      </c>
      <c r="N132" s="382"/>
    </row>
    <row r="133" spans="1:14" ht="27.75">
      <c r="A133" s="1148" t="s">
        <v>242</v>
      </c>
      <c r="B133" s="1149"/>
      <c r="C133" s="1149"/>
      <c r="D133" s="523" t="s">
        <v>239</v>
      </c>
      <c r="E133" s="484">
        <f>'26'!F133</f>
        <v>0</v>
      </c>
      <c r="F133" s="656"/>
      <c r="G133" s="473">
        <f t="shared" si="15"/>
        <v>0</v>
      </c>
      <c r="H133" s="460">
        <f>G133+'26'!H133</f>
        <v>-300</v>
      </c>
      <c r="I133" s="480">
        <f>G130+G131+G132+G133</f>
        <v>0</v>
      </c>
      <c r="J133" s="553">
        <f>H133/DAY(B2)</f>
        <v>-11.111111111111111</v>
      </c>
      <c r="N133" s="382"/>
    </row>
    <row r="134" spans="1:14" ht="27.75">
      <c r="A134" s="1148" t="s">
        <v>243</v>
      </c>
      <c r="B134" s="1149"/>
      <c r="C134" s="1149"/>
      <c r="D134" s="523" t="s">
        <v>239</v>
      </c>
      <c r="E134" s="484">
        <f>'26'!F134</f>
        <v>0</v>
      </c>
      <c r="F134" s="485"/>
      <c r="G134" s="473">
        <f t="shared" si="15"/>
        <v>0</v>
      </c>
      <c r="H134" s="460">
        <f>G134+'26'!H134</f>
        <v>-40778</v>
      </c>
      <c r="I134" s="480"/>
      <c r="J134" s="553">
        <f>H134/DAY(B2)</f>
        <v>-1510.2962962962963</v>
      </c>
      <c r="N134" s="382"/>
    </row>
    <row r="135" spans="1:14" ht="27.75">
      <c r="A135" s="1148" t="s">
        <v>244</v>
      </c>
      <c r="B135" s="1149"/>
      <c r="C135" s="1149"/>
      <c r="D135" s="523" t="s">
        <v>239</v>
      </c>
      <c r="E135" s="484">
        <f>'26'!F135</f>
        <v>0</v>
      </c>
      <c r="F135" s="485"/>
      <c r="G135" s="473">
        <f t="shared" si="15"/>
        <v>0</v>
      </c>
      <c r="H135" s="460">
        <f>G135+'26'!H135</f>
        <v>-32569.93</v>
      </c>
      <c r="I135" s="480"/>
      <c r="J135" s="553">
        <f>H135/DAY(B2)</f>
        <v>-1206.2937037037036</v>
      </c>
      <c r="N135" s="382"/>
    </row>
    <row r="136" spans="1:14" ht="27.75">
      <c r="A136" s="1148" t="s">
        <v>245</v>
      </c>
      <c r="B136" s="1149"/>
      <c r="C136" s="1149"/>
      <c r="D136" s="523" t="s">
        <v>239</v>
      </c>
      <c r="E136" s="484">
        <f>'26'!F136</f>
        <v>0</v>
      </c>
      <c r="F136" s="485"/>
      <c r="G136" s="473">
        <f t="shared" si="15"/>
        <v>0</v>
      </c>
      <c r="H136" s="460">
        <f>G136+'26'!H136</f>
        <v>-22222.21</v>
      </c>
      <c r="I136" s="480">
        <f>G134+G135+G136</f>
        <v>0</v>
      </c>
      <c r="J136" s="553">
        <f>H136/DAY(B2)</f>
        <v>-823.0448148148148</v>
      </c>
      <c r="N136" s="382"/>
    </row>
    <row r="137" spans="1:14" ht="27.75">
      <c r="A137" s="1148" t="s">
        <v>246</v>
      </c>
      <c r="B137" s="1149"/>
      <c r="C137" s="1149"/>
      <c r="D137" s="523" t="s">
        <v>239</v>
      </c>
      <c r="E137" s="484">
        <f>'26'!F137</f>
        <v>0</v>
      </c>
      <c r="F137" s="656"/>
      <c r="G137" s="473">
        <f t="shared" si="15"/>
        <v>0</v>
      </c>
      <c r="H137" s="460">
        <f>G137+'26'!H137</f>
        <v>-25036.31</v>
      </c>
      <c r="I137" s="480"/>
      <c r="J137" s="553">
        <f>H137/DAY(B2)</f>
        <v>-927.27074074074073</v>
      </c>
      <c r="N137" s="382"/>
    </row>
    <row r="138" spans="1:14" ht="27.75">
      <c r="A138" s="1148" t="s">
        <v>247</v>
      </c>
      <c r="B138" s="1149"/>
      <c r="C138" s="1149"/>
      <c r="D138" s="523" t="s">
        <v>239</v>
      </c>
      <c r="E138" s="484">
        <f>'26'!F138</f>
        <v>0</v>
      </c>
      <c r="F138" s="485"/>
      <c r="G138" s="473">
        <f t="shared" si="15"/>
        <v>0</v>
      </c>
      <c r="H138" s="460">
        <f>G138+'26'!H138</f>
        <v>-70223</v>
      </c>
      <c r="I138" s="480">
        <f>G137+G138</f>
        <v>0</v>
      </c>
      <c r="J138" s="553">
        <f>H138/DAY(B2)</f>
        <v>-2600.8518518518517</v>
      </c>
      <c r="N138" s="382"/>
    </row>
    <row r="139" spans="1:14" ht="27.75">
      <c r="A139" s="1148" t="s">
        <v>248</v>
      </c>
      <c r="B139" s="1149"/>
      <c r="C139" s="1149"/>
      <c r="D139" s="523" t="s">
        <v>239</v>
      </c>
      <c r="E139" s="484">
        <f>'26'!F139</f>
        <v>0</v>
      </c>
      <c r="F139" s="485"/>
      <c r="G139" s="473">
        <f t="shared" si="15"/>
        <v>0</v>
      </c>
      <c r="H139" s="460">
        <f>G139+'26'!H139</f>
        <v>-1423.14</v>
      </c>
      <c r="I139" s="543"/>
      <c r="J139" s="553">
        <f>H139/DAY(B2)</f>
        <v>-52.708888888888893</v>
      </c>
      <c r="N139" s="382"/>
    </row>
    <row r="140" spans="1:14" ht="27.75">
      <c r="A140" s="1148" t="s">
        <v>249</v>
      </c>
      <c r="B140" s="1149"/>
      <c r="C140" s="1149"/>
      <c r="D140" s="523" t="s">
        <v>239</v>
      </c>
      <c r="E140" s="484">
        <f>'26'!F140</f>
        <v>0</v>
      </c>
      <c r="F140" s="478"/>
      <c r="G140" s="473">
        <f t="shared" si="15"/>
        <v>0</v>
      </c>
      <c r="H140" s="460">
        <f>G140+'26'!H140</f>
        <v>-4334</v>
      </c>
      <c r="I140" s="543"/>
      <c r="J140" s="553">
        <f>H140/DAY(B2)</f>
        <v>-160.5185185185185</v>
      </c>
      <c r="N140" s="382"/>
    </row>
    <row r="141" spans="1:14">
      <c r="A141" s="1446" t="s">
        <v>250</v>
      </c>
      <c r="B141" s="1447"/>
      <c r="C141" s="1154"/>
      <c r="D141" s="472"/>
      <c r="E141" s="472"/>
      <c r="F141" s="472" t="s">
        <v>215</v>
      </c>
      <c r="G141" s="483"/>
      <c r="H141" s="483"/>
      <c r="I141" s="483"/>
      <c r="J141" s="564"/>
      <c r="K141" s="380"/>
      <c r="L141" s="377"/>
      <c r="N141" s="382"/>
    </row>
    <row r="142" spans="1:14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0</v>
      </c>
      <c r="H142" s="460">
        <f>G142+'26'!H142</f>
        <v>-1789744.52</v>
      </c>
      <c r="I142" s="480"/>
      <c r="J142" s="553">
        <f>H142/DAY(B2)</f>
        <v>-66286.834074074068</v>
      </c>
      <c r="K142" s="380"/>
      <c r="L142" s="377"/>
      <c r="N142" s="382"/>
    </row>
    <row r="143" spans="1:14" ht="27.75">
      <c r="A143" s="1411" t="s">
        <v>252</v>
      </c>
      <c r="B143" s="1412"/>
      <c r="C143" s="1413"/>
      <c r="D143" s="523" t="s">
        <v>24</v>
      </c>
      <c r="E143" s="511"/>
      <c r="F143" s="511"/>
      <c r="G143" s="544" t="e">
        <f>G142/G7</f>
        <v>#DIV/0!</v>
      </c>
      <c r="H143" s="460" t="e">
        <f>G143+'26'!H143</f>
        <v>#DIV/0!</v>
      </c>
      <c r="I143" s="545"/>
      <c r="J143" s="553" t="e">
        <f>H143/DAY(B2)</f>
        <v>#DIV/0!</v>
      </c>
      <c r="K143" s="380"/>
      <c r="L143" s="377"/>
      <c r="N143" s="382"/>
    </row>
    <row r="144" spans="1:14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0</v>
      </c>
      <c r="H144" s="460">
        <f>G144+'26'!H144</f>
        <v>-826647.94000000006</v>
      </c>
      <c r="I144" s="480"/>
      <c r="J144" s="553">
        <f>H144/DAY(B2)</f>
        <v>-30616.590370370373</v>
      </c>
      <c r="K144" s="380"/>
      <c r="L144" s="377"/>
      <c r="N144" s="382"/>
    </row>
    <row r="145" spans="1:14" ht="27.75">
      <c r="A145" s="1411" t="s">
        <v>254</v>
      </c>
      <c r="B145" s="1412"/>
      <c r="C145" s="1413"/>
      <c r="D145" s="523" t="s">
        <v>24</v>
      </c>
      <c r="E145" s="455"/>
      <c r="F145" s="455"/>
      <c r="G145" s="544" t="e">
        <f>G144/G7</f>
        <v>#DIV/0!</v>
      </c>
      <c r="H145" s="460" t="e">
        <f>G145+'26'!H145</f>
        <v>#DIV/0!</v>
      </c>
      <c r="I145" s="545"/>
      <c r="J145" s="553" t="e">
        <f>H145/DAY(B2)</f>
        <v>#DIV/0!</v>
      </c>
      <c r="K145" s="380"/>
      <c r="L145" s="377"/>
      <c r="N145" s="382"/>
    </row>
    <row r="146" spans="1:14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0</v>
      </c>
      <c r="H146" s="460">
        <f>G146+'26'!H146</f>
        <v>-322461.62</v>
      </c>
      <c r="I146" s="546"/>
      <c r="J146" s="553">
        <f>H146/DAY(B2)</f>
        <v>-11943.022962962963</v>
      </c>
      <c r="K146" s="380"/>
      <c r="L146" s="377"/>
      <c r="N146" s="382"/>
    </row>
    <row r="147" spans="1:14" ht="27.75">
      <c r="A147" s="1411" t="s">
        <v>256</v>
      </c>
      <c r="B147" s="1412"/>
      <c r="C147" s="1413"/>
      <c r="D147" s="523" t="s">
        <v>24</v>
      </c>
      <c r="E147" s="455"/>
      <c r="F147" s="455"/>
      <c r="G147" s="544" t="e">
        <f>G146/G7</f>
        <v>#DIV/0!</v>
      </c>
      <c r="H147" s="460" t="e">
        <f>G147+'26'!H147</f>
        <v>#DIV/0!</v>
      </c>
      <c r="I147" s="546"/>
      <c r="J147" s="553" t="e">
        <f>H147/DAY(B2)</f>
        <v>#DIV/0!</v>
      </c>
      <c r="N147" s="382"/>
    </row>
    <row r="148" spans="1:14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0</v>
      </c>
      <c r="H148" s="460">
        <f>G148+'26'!H148</f>
        <v>-551726.20000000007</v>
      </c>
      <c r="I148" s="480"/>
      <c r="J148" s="553">
        <f>H148/DAY(B2)</f>
        <v>-20434.303703703707</v>
      </c>
      <c r="K148" s="381"/>
      <c r="N148" s="382"/>
    </row>
    <row r="149" spans="1:14" ht="27.75">
      <c r="A149" s="1411" t="s">
        <v>258</v>
      </c>
      <c r="B149" s="1412"/>
      <c r="C149" s="1413"/>
      <c r="D149" s="523" t="s">
        <v>24</v>
      </c>
      <c r="E149" s="455"/>
      <c r="F149" s="455"/>
      <c r="G149" s="544" t="e">
        <f>G148/G7</f>
        <v>#DIV/0!</v>
      </c>
      <c r="H149" s="460" t="e">
        <f>G149+'26'!H149</f>
        <v>#DIV/0!</v>
      </c>
      <c r="I149" s="546"/>
      <c r="J149" s="553" t="e">
        <f>H149/DAY(B2)</f>
        <v>#DIV/0!</v>
      </c>
      <c r="N149" s="382"/>
    </row>
    <row r="150" spans="1:14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0</v>
      </c>
      <c r="H150" s="460">
        <f>G150+'26'!H150</f>
        <v>-698908.60000000009</v>
      </c>
      <c r="I150" s="546"/>
      <c r="J150" s="553">
        <f>H150/DAY(B2)</f>
        <v>-25885.503703703707</v>
      </c>
      <c r="N150" s="382"/>
    </row>
    <row r="151" spans="1:14" ht="27.75">
      <c r="A151" s="1411" t="s">
        <v>260</v>
      </c>
      <c r="B151" s="1412"/>
      <c r="C151" s="1413"/>
      <c r="D151" s="523" t="s">
        <v>24</v>
      </c>
      <c r="E151" s="455"/>
      <c r="F151" s="455"/>
      <c r="G151" s="544" t="e">
        <f>G150/G7</f>
        <v>#DIV/0!</v>
      </c>
      <c r="H151" s="460" t="e">
        <f>G151+'26'!H151</f>
        <v>#DIV/0!</v>
      </c>
      <c r="I151" s="480"/>
      <c r="J151" s="553" t="e">
        <f>H151/DAY(B2)</f>
        <v>#DIV/0!</v>
      </c>
      <c r="N151" s="382"/>
    </row>
    <row r="152" spans="1:14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0</v>
      </c>
      <c r="H152" s="460">
        <f>G152+'26'!H152</f>
        <v>-116945.84000000001</v>
      </c>
      <c r="I152" s="480"/>
      <c r="J152" s="553">
        <f>H152/DAY(B2)</f>
        <v>-4331.3274074074079</v>
      </c>
      <c r="N152" s="382"/>
    </row>
    <row r="153" spans="1:14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 t="e">
        <f>G152/G7</f>
        <v>#DIV/0!</v>
      </c>
      <c r="H153" s="460" t="e">
        <f>G153+'26'!H153</f>
        <v>#DIV/0!</v>
      </c>
      <c r="I153" s="569"/>
      <c r="J153" s="570" t="e">
        <f>H153/DAY(B2)</f>
        <v>#DIV/0!</v>
      </c>
      <c r="N153" s="382"/>
    </row>
    <row r="154" spans="1:14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60" spans="1:14">
      <c r="A160" s="790" t="s">
        <v>263</v>
      </c>
      <c r="B160" s="791"/>
      <c r="C160" s="791"/>
      <c r="D160" s="511" t="s">
        <v>187</v>
      </c>
      <c r="E160" s="542">
        <f>'26'!F160</f>
        <v>30625</v>
      </c>
      <c r="F160" s="663">
        <v>30709.599999999999</v>
      </c>
      <c r="G160" s="473">
        <f t="shared" ref="G160:G163" si="16">F160-E160</f>
        <v>84.599999999998545</v>
      </c>
    </row>
    <row r="161" spans="1:7">
      <c r="A161" s="790" t="s">
        <v>264</v>
      </c>
      <c r="B161" s="791"/>
      <c r="C161" s="791"/>
      <c r="D161" s="511" t="s">
        <v>187</v>
      </c>
      <c r="E161" s="542">
        <f>'26'!F161</f>
        <v>54238.47</v>
      </c>
      <c r="F161" s="663">
        <v>54674.61</v>
      </c>
      <c r="G161" s="473">
        <f t="shared" si="16"/>
        <v>436.13999999999942</v>
      </c>
    </row>
    <row r="162" spans="1:7">
      <c r="A162" s="790" t="s">
        <v>265</v>
      </c>
      <c r="B162" s="791"/>
      <c r="C162" s="791"/>
      <c r="D162" s="511" t="s">
        <v>187</v>
      </c>
      <c r="E162" s="542">
        <f>'26'!F162</f>
        <v>20018</v>
      </c>
      <c r="F162" s="663">
        <v>20285.330000000002</v>
      </c>
      <c r="G162" s="473">
        <f t="shared" si="16"/>
        <v>267.33000000000175</v>
      </c>
    </row>
    <row r="163" spans="1:7">
      <c r="A163" s="790" t="s">
        <v>266</v>
      </c>
      <c r="B163" s="791"/>
      <c r="C163" s="791"/>
      <c r="D163" s="511" t="s">
        <v>187</v>
      </c>
      <c r="E163" s="542">
        <f>'26'!F163</f>
        <v>5371.89</v>
      </c>
      <c r="F163" s="663">
        <v>5399.6</v>
      </c>
      <c r="G163" s="473">
        <f t="shared" si="16"/>
        <v>27.710000000000036</v>
      </c>
    </row>
    <row r="164" spans="1:7">
      <c r="A164" s="792" t="s">
        <v>98</v>
      </c>
      <c r="B164" s="605"/>
      <c r="C164" s="605"/>
      <c r="D164" s="511" t="s">
        <v>187</v>
      </c>
      <c r="E164" s="514">
        <f>E62</f>
        <v>0</v>
      </c>
      <c r="F164" s="514">
        <f>F62</f>
        <v>0</v>
      </c>
      <c r="G164" s="473">
        <f t="shared" ref="G164:G171" si="17">F164-E164</f>
        <v>0</v>
      </c>
    </row>
    <row r="165" spans="1:7">
      <c r="A165" s="792" t="s">
        <v>188</v>
      </c>
      <c r="B165" s="605"/>
      <c r="C165" s="605"/>
      <c r="D165" s="511" t="s">
        <v>187</v>
      </c>
      <c r="E165" s="514">
        <f t="shared" ref="E165:E171" si="18">E63</f>
        <v>0</v>
      </c>
      <c r="F165" s="514">
        <f t="shared" ref="F165:F171" si="19">F63</f>
        <v>0</v>
      </c>
      <c r="G165" s="473">
        <f t="shared" si="17"/>
        <v>0</v>
      </c>
    </row>
    <row r="166" spans="1:7" ht="27.75">
      <c r="A166" s="1460" t="s">
        <v>99</v>
      </c>
      <c r="B166" s="1460"/>
      <c r="C166" s="1460"/>
      <c r="D166" s="523" t="s">
        <v>187</v>
      </c>
      <c r="E166" s="514">
        <f t="shared" si="18"/>
        <v>0</v>
      </c>
      <c r="F166" s="514">
        <f t="shared" si="19"/>
        <v>0</v>
      </c>
      <c r="G166" s="473">
        <f t="shared" si="17"/>
        <v>0</v>
      </c>
    </row>
    <row r="167" spans="1:7" ht="27.75">
      <c r="A167" s="1460" t="s">
        <v>100</v>
      </c>
      <c r="B167" s="1460"/>
      <c r="C167" s="1460"/>
      <c r="D167" s="523" t="s">
        <v>187</v>
      </c>
      <c r="E167" s="514">
        <f t="shared" si="18"/>
        <v>0</v>
      </c>
      <c r="F167" s="514">
        <f t="shared" si="19"/>
        <v>0</v>
      </c>
      <c r="G167" s="473">
        <f t="shared" si="17"/>
        <v>0</v>
      </c>
    </row>
    <row r="168" spans="1:7" ht="27.75">
      <c r="A168" s="1460" t="s">
        <v>101</v>
      </c>
      <c r="B168" s="1460"/>
      <c r="C168" s="1460"/>
      <c r="D168" s="523" t="s">
        <v>187</v>
      </c>
      <c r="E168" s="514">
        <f t="shared" si="18"/>
        <v>0</v>
      </c>
      <c r="F168" s="514">
        <f t="shared" si="19"/>
        <v>0</v>
      </c>
      <c r="G168" s="473">
        <f t="shared" si="17"/>
        <v>0</v>
      </c>
    </row>
    <row r="169" spans="1:7" ht="27.75">
      <c r="A169" s="1460" t="s">
        <v>102</v>
      </c>
      <c r="B169" s="1460"/>
      <c r="C169" s="1460"/>
      <c r="D169" s="523" t="s">
        <v>187</v>
      </c>
      <c r="E169" s="514">
        <f t="shared" si="18"/>
        <v>0</v>
      </c>
      <c r="F169" s="514">
        <f t="shared" si="19"/>
        <v>0</v>
      </c>
      <c r="G169" s="473">
        <f t="shared" si="17"/>
        <v>0</v>
      </c>
    </row>
    <row r="170" spans="1:7" ht="27.75">
      <c r="A170" s="1460" t="s">
        <v>103</v>
      </c>
      <c r="B170" s="1460"/>
      <c r="C170" s="1460"/>
      <c r="D170" s="523" t="s">
        <v>187</v>
      </c>
      <c r="E170" s="514">
        <f t="shared" si="18"/>
        <v>0</v>
      </c>
      <c r="F170" s="514">
        <f t="shared" si="19"/>
        <v>0</v>
      </c>
      <c r="G170" s="473">
        <f t="shared" si="17"/>
        <v>0</v>
      </c>
    </row>
    <row r="171" spans="1:7" ht="27.75">
      <c r="A171" s="1460" t="s">
        <v>104</v>
      </c>
      <c r="B171" s="1460"/>
      <c r="C171" s="1460"/>
      <c r="D171" s="523" t="s">
        <v>187</v>
      </c>
      <c r="E171" s="514">
        <f t="shared" si="18"/>
        <v>0</v>
      </c>
      <c r="F171" s="514">
        <f t="shared" si="19"/>
        <v>0</v>
      </c>
      <c r="G171" s="473">
        <f t="shared" si="17"/>
        <v>0</v>
      </c>
    </row>
    <row r="172" spans="1:7">
      <c r="G172" s="540">
        <f>SUM(G160:G171)</f>
        <v>815.77999999999975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F104" activeCellId="9" sqref="F7:F12 F15 F18:F19 F22:F23 F35:F46 F49:F58 F62:F69 F72:F90 F92:F100 F104:F140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8" customWidth="1"/>
    <col min="5" max="5" width="30" style="540" customWidth="1"/>
    <col min="6" max="6" width="30" style="761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1109" customWidth="1"/>
    <col min="15" max="17" width="22.33203125" style="775"/>
    <col min="18" max="16384" width="22.33203125" style="376"/>
  </cols>
  <sheetData>
    <row r="1" spans="1:17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7" s="281" customFormat="1" ht="27">
      <c r="A2" s="576" t="s">
        <v>332</v>
      </c>
      <c r="B2" s="812">
        <v>43889</v>
      </c>
      <c r="C2" s="1150" t="s">
        <v>69</v>
      </c>
      <c r="D2" s="612">
        <v>0.52</v>
      </c>
      <c r="E2" s="741"/>
      <c r="F2" s="741"/>
      <c r="G2" s="461" t="s">
        <v>118</v>
      </c>
      <c r="H2" s="461" t="s">
        <v>6</v>
      </c>
      <c r="I2" s="461" t="s">
        <v>8</v>
      </c>
      <c r="J2" s="614" t="s">
        <v>119</v>
      </c>
      <c r="N2" s="1109"/>
      <c r="O2" s="775"/>
      <c r="P2" s="775"/>
      <c r="Q2" s="775"/>
    </row>
    <row r="3" spans="1:17" s="281" customFormat="1" ht="27">
      <c r="A3" s="571"/>
      <c r="B3" s="615"/>
      <c r="C3" s="1150" t="s">
        <v>120</v>
      </c>
      <c r="D3" s="613">
        <v>23</v>
      </c>
      <c r="E3" s="1432" t="s">
        <v>121</v>
      </c>
      <c r="F3" s="1433"/>
      <c r="G3" s="462"/>
      <c r="H3" s="463"/>
      <c r="I3" s="463"/>
      <c r="J3" s="616"/>
      <c r="K3" s="371"/>
      <c r="L3" s="292"/>
      <c r="N3" s="1109"/>
      <c r="O3" s="775"/>
      <c r="P3" s="775"/>
      <c r="Q3" s="775"/>
    </row>
    <row r="4" spans="1:17" s="281" customFormat="1" ht="27">
      <c r="A4" s="577"/>
      <c r="B4" s="617"/>
      <c r="C4" s="1150" t="s">
        <v>122</v>
      </c>
      <c r="D4" s="612">
        <v>0.77</v>
      </c>
      <c r="E4" s="463"/>
      <c r="F4" s="463"/>
      <c r="G4" s="464"/>
      <c r="H4" s="464"/>
      <c r="I4" s="465"/>
      <c r="J4" s="616"/>
      <c r="K4" s="372"/>
      <c r="L4" s="292"/>
      <c r="N4" s="1109"/>
      <c r="O4" s="775"/>
      <c r="P4" s="777"/>
      <c r="Q4" s="775"/>
    </row>
    <row r="5" spans="1:17">
      <c r="A5" s="578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  <c r="P5" s="777"/>
    </row>
    <row r="6" spans="1:17">
      <c r="A6" s="1426" t="s">
        <v>130</v>
      </c>
      <c r="B6" s="1427"/>
      <c r="C6" s="1428"/>
      <c r="D6" s="471"/>
      <c r="E6" s="495"/>
      <c r="F6" s="495"/>
      <c r="G6" s="471"/>
      <c r="H6" s="472"/>
      <c r="I6" s="472"/>
      <c r="J6" s="552"/>
      <c r="K6" s="427"/>
      <c r="L6" s="377"/>
      <c r="M6" s="376">
        <v>1691553</v>
      </c>
    </row>
    <row r="7" spans="1:17" ht="30" thickBot="1">
      <c r="A7" s="681" t="s">
        <v>131</v>
      </c>
      <c r="B7" s="682"/>
      <c r="C7" s="682"/>
      <c r="D7" s="639" t="s">
        <v>132</v>
      </c>
      <c r="E7" s="684">
        <f>'27'!F7</f>
        <v>0</v>
      </c>
      <c r="F7" s="460"/>
      <c r="G7" s="683">
        <f>F7-E7</f>
        <v>0</v>
      </c>
      <c r="H7" s="684">
        <f>G7+'27'!H7</f>
        <v>-4445077</v>
      </c>
      <c r="I7" s="685">
        <f>'1'!I7</f>
        <v>12000</v>
      </c>
      <c r="J7" s="686">
        <f>H7/DAY(B2)</f>
        <v>-158752.75</v>
      </c>
      <c r="K7" s="550"/>
      <c r="L7" s="377"/>
      <c r="N7" s="1110">
        <f>F7-'1'!E7</f>
        <v>-4445077</v>
      </c>
    </row>
    <row r="8" spans="1:17" ht="27.75" thickBot="1">
      <c r="A8" s="687" t="s">
        <v>133</v>
      </c>
      <c r="B8" s="688"/>
      <c r="C8" s="689"/>
      <c r="D8" s="690" t="s">
        <v>25</v>
      </c>
      <c r="E8" s="684">
        <f>'27'!F8</f>
        <v>0</v>
      </c>
      <c r="F8" s="742"/>
      <c r="G8" s="694">
        <f>F8-E8</f>
        <v>0</v>
      </c>
      <c r="H8" s="684">
        <f>G8+'27'!H8</f>
        <v>-4473156</v>
      </c>
      <c r="I8" s="691">
        <f>'1'!I8</f>
        <v>12000</v>
      </c>
      <c r="J8" s="686">
        <f>H8/DAY(B2)</f>
        <v>-159755.57142857142</v>
      </c>
      <c r="K8" s="550"/>
      <c r="L8" s="425">
        <v>1375467</v>
      </c>
      <c r="M8" s="440">
        <v>1703438</v>
      </c>
      <c r="N8" s="1110">
        <f>F8-'1'!E8</f>
        <v>-4473156</v>
      </c>
    </row>
    <row r="9" spans="1:17">
      <c r="A9" s="692" t="s">
        <v>134</v>
      </c>
      <c r="B9" s="693"/>
      <c r="C9" s="693"/>
      <c r="D9" s="639" t="s">
        <v>132</v>
      </c>
      <c r="E9" s="684">
        <f>'27'!F9</f>
        <v>0</v>
      </c>
      <c r="F9" s="743"/>
      <c r="G9" s="707">
        <f t="shared" ref="G9:G12" si="0">F9-E9</f>
        <v>0</v>
      </c>
      <c r="H9" s="684">
        <f>G9+'27'!H9</f>
        <v>-86909.010000000009</v>
      </c>
      <c r="I9" s="695">
        <f>I8-J8</f>
        <v>171755.57142857142</v>
      </c>
      <c r="J9" s="686">
        <f>H9/DAY(B2)</f>
        <v>-3103.8932142857147</v>
      </c>
      <c r="K9" s="428"/>
      <c r="L9" s="377"/>
      <c r="N9" s="1110">
        <f>F9-'1'!E9</f>
        <v>-86909.01</v>
      </c>
    </row>
    <row r="10" spans="1:17">
      <c r="A10" s="681" t="s">
        <v>135</v>
      </c>
      <c r="B10" s="682"/>
      <c r="C10" s="682"/>
      <c r="D10" s="639" t="s">
        <v>132</v>
      </c>
      <c r="E10" s="684">
        <f>'27'!F10</f>
        <v>0</v>
      </c>
      <c r="F10" s="743"/>
      <c r="G10" s="694">
        <f t="shared" si="0"/>
        <v>0</v>
      </c>
      <c r="H10" s="684">
        <f>G10+'27'!H10</f>
        <v>334533.49</v>
      </c>
      <c r="I10" s="696"/>
      <c r="J10" s="686">
        <f>H10/DAY(B2)</f>
        <v>11947.624642857143</v>
      </c>
      <c r="K10" s="428"/>
      <c r="L10" s="377"/>
      <c r="M10" s="376">
        <f>170</f>
        <v>170</v>
      </c>
      <c r="N10" s="1110">
        <f>F10-'1'!E10</f>
        <v>-25695.56</v>
      </c>
    </row>
    <row r="11" spans="1:17">
      <c r="A11" s="681" t="s">
        <v>136</v>
      </c>
      <c r="B11" s="682"/>
      <c r="C11" s="682"/>
      <c r="D11" s="639" t="s">
        <v>132</v>
      </c>
      <c r="E11" s="684">
        <f>'27'!F11</f>
        <v>0</v>
      </c>
      <c r="F11" s="460"/>
      <c r="G11" s="694">
        <f t="shared" si="0"/>
        <v>0</v>
      </c>
      <c r="H11" s="684">
        <f>G11+'27'!H11</f>
        <v>-37000</v>
      </c>
      <c r="I11" s="696"/>
      <c r="J11" s="686">
        <f>H11/DAY(B2)</f>
        <v>-1321.4285714285713</v>
      </c>
      <c r="K11" s="428"/>
      <c r="L11" s="377"/>
      <c r="N11" s="1110">
        <f>F11-'1'!E11</f>
        <v>-37000</v>
      </c>
    </row>
    <row r="12" spans="1:17">
      <c r="A12" s="681" t="s">
        <v>137</v>
      </c>
      <c r="B12" s="682"/>
      <c r="C12" s="682"/>
      <c r="D12" s="639" t="s">
        <v>132</v>
      </c>
      <c r="E12" s="684">
        <f>'27'!F12</f>
        <v>0</v>
      </c>
      <c r="F12" s="743"/>
      <c r="G12" s="694">
        <f t="shared" si="0"/>
        <v>0</v>
      </c>
      <c r="H12" s="684">
        <f>G12+'27'!H12</f>
        <v>-40010</v>
      </c>
      <c r="I12" s="696"/>
      <c r="J12" s="686">
        <f>H12/DAY(B2)</f>
        <v>-1428.9285714285713</v>
      </c>
      <c r="K12" s="428"/>
      <c r="L12" s="377"/>
      <c r="N12" s="1110">
        <f>F12-'1'!E12</f>
        <v>-40010</v>
      </c>
    </row>
    <row r="13" spans="1:17">
      <c r="A13" s="697" t="s">
        <v>138</v>
      </c>
      <c r="B13" s="698"/>
      <c r="C13" s="698"/>
      <c r="D13" s="639"/>
      <c r="E13" s="684"/>
      <c r="F13" s="460"/>
      <c r="G13" s="699">
        <f>G9+G10+G11+G12</f>
        <v>0</v>
      </c>
      <c r="H13" s="684">
        <f>G13+'27'!H13</f>
        <v>149620.47999999998</v>
      </c>
      <c r="I13" s="700">
        <f>G7-G13</f>
        <v>0</v>
      </c>
      <c r="J13" s="686">
        <f>H13/DAY(B2)</f>
        <v>5343.5885714285705</v>
      </c>
      <c r="K13" s="428"/>
      <c r="L13" s="377"/>
      <c r="N13" s="1110">
        <f>F13-'1'!E13</f>
        <v>0</v>
      </c>
    </row>
    <row r="14" spans="1:17">
      <c r="A14" s="1429" t="s">
        <v>139</v>
      </c>
      <c r="B14" s="1430"/>
      <c r="C14" s="1431"/>
      <c r="D14" s="472"/>
      <c r="E14" s="744"/>
      <c r="F14" s="744"/>
      <c r="G14" s="483"/>
      <c r="H14" s="472"/>
      <c r="I14" s="472"/>
      <c r="J14" s="552"/>
      <c r="K14" s="429"/>
      <c r="L14" s="377"/>
      <c r="N14" s="1110">
        <f>F14-'1'!E14</f>
        <v>0</v>
      </c>
    </row>
    <row r="15" spans="1:17">
      <c r="A15" s="670" t="s">
        <v>140</v>
      </c>
      <c r="B15" s="671"/>
      <c r="C15" s="671"/>
      <c r="D15" s="672" t="s">
        <v>141</v>
      </c>
      <c r="E15" s="762">
        <f>'27'!F15</f>
        <v>0</v>
      </c>
      <c r="F15" s="745"/>
      <c r="G15" s="669">
        <f>(F15-E15)</f>
        <v>0</v>
      </c>
      <c r="H15" s="1095">
        <f>G15+'27'!H15</f>
        <v>-1619878.61</v>
      </c>
      <c r="I15" s="1096">
        <v>800</v>
      </c>
      <c r="J15" s="1097">
        <f>H15/DAY(B2)</f>
        <v>-57852.807500000003</v>
      </c>
      <c r="K15" s="428"/>
      <c r="L15" s="377"/>
      <c r="N15" s="1110">
        <f>F15-'1'!E15</f>
        <v>-1619878.61</v>
      </c>
    </row>
    <row r="16" spans="1:17">
      <c r="A16" s="678"/>
      <c r="B16" s="679"/>
      <c r="C16" s="679"/>
      <c r="D16" s="672"/>
      <c r="E16" s="762"/>
      <c r="F16" s="745"/>
      <c r="G16" s="674"/>
      <c r="H16" s="1095"/>
      <c r="I16" s="1098">
        <f>I15-J15</f>
        <v>58652.807500000003</v>
      </c>
      <c r="J16" s="1097"/>
      <c r="K16" s="428"/>
      <c r="L16" s="377"/>
      <c r="N16" s="1110">
        <f>F16-'1'!E16</f>
        <v>0</v>
      </c>
    </row>
    <row r="17" spans="1:17">
      <c r="A17" s="1429" t="s">
        <v>142</v>
      </c>
      <c r="B17" s="1430"/>
      <c r="C17" s="1431"/>
      <c r="D17" s="472"/>
      <c r="E17" s="744"/>
      <c r="F17" s="744"/>
      <c r="G17" s="488"/>
      <c r="H17" s="472"/>
      <c r="I17" s="472"/>
      <c r="J17" s="552"/>
      <c r="K17" s="428"/>
      <c r="L17" s="377"/>
      <c r="N17" s="1110">
        <f>F17-'1'!E17</f>
        <v>0</v>
      </c>
    </row>
    <row r="18" spans="1:17" ht="27.75">
      <c r="A18" s="1464" t="s">
        <v>143</v>
      </c>
      <c r="B18" s="1465"/>
      <c r="C18" s="1466"/>
      <c r="D18" s="639" t="s">
        <v>144</v>
      </c>
      <c r="E18" s="763">
        <f>'27'!F18</f>
        <v>0</v>
      </c>
      <c r="F18" s="743"/>
      <c r="G18" s="699">
        <f>F18*10</f>
        <v>0</v>
      </c>
      <c r="H18" s="684">
        <f>G18+'27'!H18</f>
        <v>3150</v>
      </c>
      <c r="I18" s="685">
        <f>'1'!I18</f>
        <v>65</v>
      </c>
      <c r="J18" s="686">
        <f>H18/DAY(B2)</f>
        <v>112.5</v>
      </c>
      <c r="K18" s="428"/>
      <c r="L18" s="377"/>
      <c r="N18" s="1110">
        <f>F18-'1'!E18</f>
        <v>-17</v>
      </c>
    </row>
    <row r="19" spans="1:17" ht="27.75">
      <c r="A19" s="1464" t="s">
        <v>71</v>
      </c>
      <c r="B19" s="1465"/>
      <c r="C19" s="1466"/>
      <c r="D19" s="639" t="s">
        <v>144</v>
      </c>
      <c r="E19" s="763">
        <f>'27'!F19</f>
        <v>0</v>
      </c>
      <c r="F19" s="743"/>
      <c r="G19" s="694">
        <f t="shared" ref="G19" si="1">F19-E19</f>
        <v>0</v>
      </c>
      <c r="H19" s="684">
        <f>G19+'27'!H19</f>
        <v>-134468</v>
      </c>
      <c r="I19" s="701"/>
      <c r="J19" s="686">
        <f>H19/DAY(B2)</f>
        <v>-4802.4285714285716</v>
      </c>
      <c r="K19" s="428"/>
      <c r="L19" s="377"/>
      <c r="N19" s="1110">
        <f>F19-'1'!E19</f>
        <v>-134468</v>
      </c>
    </row>
    <row r="20" spans="1:17">
      <c r="A20" s="697" t="s">
        <v>145</v>
      </c>
      <c r="B20" s="698"/>
      <c r="C20" s="698"/>
      <c r="D20" s="639"/>
      <c r="E20" s="684"/>
      <c r="F20" s="460"/>
      <c r="G20" s="702">
        <f>G18+G19</f>
        <v>0</v>
      </c>
      <c r="H20" s="684">
        <f>G20+'27'!H20</f>
        <v>-131318</v>
      </c>
      <c r="I20" s="703">
        <f>I18-J20</f>
        <v>4754.9285714285716</v>
      </c>
      <c r="J20" s="686">
        <f>H20/DAY(B2)</f>
        <v>-4689.9285714285716</v>
      </c>
      <c r="K20" s="428"/>
      <c r="L20" s="377"/>
      <c r="N20" s="1110">
        <f>F20-'1'!E20</f>
        <v>0</v>
      </c>
    </row>
    <row r="21" spans="1:17">
      <c r="A21" s="1429" t="s">
        <v>146</v>
      </c>
      <c r="B21" s="1430"/>
      <c r="C21" s="1431"/>
      <c r="D21" s="472"/>
      <c r="E21" s="744"/>
      <c r="F21" s="744"/>
      <c r="G21" s="483"/>
      <c r="H21" s="472"/>
      <c r="I21" s="472"/>
      <c r="J21" s="552"/>
      <c r="K21" s="428"/>
      <c r="L21" s="377"/>
      <c r="N21" s="1110">
        <f>F21-'1'!E21</f>
        <v>0</v>
      </c>
    </row>
    <row r="22" spans="1:17">
      <c r="A22" s="1148" t="s">
        <v>147</v>
      </c>
      <c r="B22" s="590"/>
      <c r="C22" s="590"/>
      <c r="D22" s="523" t="s">
        <v>148</v>
      </c>
      <c r="E22" s="764">
        <f>'27'!F22</f>
        <v>0</v>
      </c>
      <c r="F22" s="743"/>
      <c r="G22" s="481">
        <f t="shared" ref="G22" si="2">(F22-E22)</f>
        <v>0</v>
      </c>
      <c r="H22" s="460">
        <f>G22+'27'!H22</f>
        <v>-390</v>
      </c>
      <c r="I22" s="480"/>
      <c r="J22" s="553">
        <f>H22/DAY(B2)</f>
        <v>-13.928571428571429</v>
      </c>
      <c r="K22" s="428"/>
      <c r="L22" s="377"/>
      <c r="N22" s="1110">
        <f>F22-'1'!E22</f>
        <v>-2970</v>
      </c>
    </row>
    <row r="23" spans="1:17">
      <c r="A23" s="1148" t="s">
        <v>149</v>
      </c>
      <c r="B23" s="590"/>
      <c r="C23" s="590"/>
      <c r="D23" s="523" t="s">
        <v>148</v>
      </c>
      <c r="E23" s="764">
        <f>'27'!F23</f>
        <v>0</v>
      </c>
      <c r="F23" s="743"/>
      <c r="G23" s="481">
        <v>0</v>
      </c>
      <c r="H23" s="460">
        <f>G23+'27'!H23</f>
        <v>0</v>
      </c>
      <c r="I23" s="480"/>
      <c r="J23" s="553">
        <f>H23/DAY(B2)</f>
        <v>0</v>
      </c>
      <c r="K23" s="428"/>
      <c r="L23" s="377"/>
      <c r="N23" s="1110">
        <f>F23-'1'!E23</f>
        <v>-1900</v>
      </c>
    </row>
    <row r="24" spans="1:17">
      <c r="A24" s="591" t="s">
        <v>150</v>
      </c>
      <c r="B24" s="592"/>
      <c r="C24" s="592"/>
      <c r="D24" s="511" t="s">
        <v>148</v>
      </c>
      <c r="E24" s="765">
        <f>'27'!F24</f>
        <v>4970</v>
      </c>
      <c r="F24" s="746">
        <v>4970</v>
      </c>
      <c r="G24" s="481">
        <v>0</v>
      </c>
      <c r="H24" s="460">
        <f>G24+'27'!H24</f>
        <v>1290</v>
      </c>
      <c r="I24" s="480"/>
      <c r="J24" s="553">
        <f>H24/DAY(B2)</f>
        <v>46.071428571428569</v>
      </c>
      <c r="K24" s="428"/>
      <c r="L24" s="377"/>
      <c r="N24" s="1110">
        <f>F24-'1'!E24</f>
        <v>0</v>
      </c>
    </row>
    <row r="25" spans="1:17" s="442" customFormat="1" ht="27">
      <c r="A25" s="1434" t="s">
        <v>151</v>
      </c>
      <c r="B25" s="1435"/>
      <c r="C25" s="1436"/>
      <c r="D25" s="471"/>
      <c r="E25" s="495"/>
      <c r="F25" s="495"/>
      <c r="G25" s="494"/>
      <c r="H25" s="495"/>
      <c r="I25" s="496"/>
      <c r="J25" s="555"/>
      <c r="K25" s="373"/>
      <c r="L25" s="443"/>
      <c r="N25" s="1110">
        <f>F25-'1'!E25</f>
        <v>0</v>
      </c>
      <c r="O25" s="775"/>
      <c r="P25" s="775"/>
      <c r="Q25" s="775"/>
    </row>
    <row r="26" spans="1:17" s="442" customFormat="1" ht="27">
      <c r="A26" s="593" t="s">
        <v>152</v>
      </c>
      <c r="B26" s="594"/>
      <c r="C26" s="595"/>
      <c r="D26" s="619" t="s">
        <v>153</v>
      </c>
      <c r="E26" s="766"/>
      <c r="F26" s="460"/>
      <c r="G26" s="498"/>
      <c r="H26" s="460"/>
      <c r="I26" s="499"/>
      <c r="J26" s="553"/>
      <c r="K26" s="374"/>
      <c r="L26" s="443"/>
      <c r="N26" s="1110">
        <f>F26-'1'!E26</f>
        <v>0</v>
      </c>
      <c r="O26" s="775"/>
      <c r="P26" s="775"/>
      <c r="Q26" s="775"/>
    </row>
    <row r="27" spans="1:17" s="442" customFormat="1" ht="27">
      <c r="A27" s="593" t="s">
        <v>6</v>
      </c>
      <c r="B27" s="594"/>
      <c r="C27" s="595"/>
      <c r="D27" s="620" t="s">
        <v>25</v>
      </c>
      <c r="E27" s="704">
        <f>G8</f>
        <v>0</v>
      </c>
      <c r="F27" s="501">
        <v>9</v>
      </c>
      <c r="G27" s="502">
        <f>E27*F27</f>
        <v>0</v>
      </c>
      <c r="H27" s="460">
        <f>G27+'27'!H27</f>
        <v>-40258404</v>
      </c>
      <c r="I27" s="503"/>
      <c r="J27" s="553">
        <f>H27/DAY(B2)</f>
        <v>-1437800.142857143</v>
      </c>
      <c r="K27" s="373"/>
      <c r="L27" s="443"/>
      <c r="N27" s="1110">
        <f>F27-'1'!E27</f>
        <v>-22545</v>
      </c>
      <c r="O27" s="775"/>
      <c r="P27" s="775"/>
      <c r="Q27" s="775"/>
    </row>
    <row r="28" spans="1:17" s="442" customFormat="1" ht="27">
      <c r="A28" s="593" t="s">
        <v>154</v>
      </c>
      <c r="B28" s="594"/>
      <c r="C28" s="595"/>
      <c r="D28" s="620" t="s">
        <v>155</v>
      </c>
      <c r="E28" s="704">
        <f>G15</f>
        <v>0</v>
      </c>
      <c r="F28" s="501">
        <v>43.5</v>
      </c>
      <c r="G28" s="502">
        <f>E28*F28</f>
        <v>0</v>
      </c>
      <c r="H28" s="460">
        <f>G28+'27'!H28</f>
        <v>-70399129.856800005</v>
      </c>
      <c r="I28" s="505"/>
      <c r="J28" s="553">
        <f>H28/DAY(B2)</f>
        <v>-2514254.6377428574</v>
      </c>
      <c r="K28" s="373"/>
      <c r="L28" s="443"/>
      <c r="N28" s="1110">
        <f>F28-'1'!E28</f>
        <v>-837.13199999998324</v>
      </c>
      <c r="O28" s="775"/>
      <c r="P28" s="775"/>
      <c r="Q28" s="775"/>
    </row>
    <row r="29" spans="1:17" s="442" customFormat="1" ht="27">
      <c r="A29" s="593" t="s">
        <v>156</v>
      </c>
      <c r="B29" s="594"/>
      <c r="C29" s="595"/>
      <c r="D29" s="620" t="s">
        <v>157</v>
      </c>
      <c r="E29" s="704">
        <f>G24</f>
        <v>0</v>
      </c>
      <c r="F29" s="704">
        <v>69</v>
      </c>
      <c r="G29" s="502">
        <f>E29*F29</f>
        <v>0</v>
      </c>
      <c r="H29" s="460">
        <f>G29+'27'!H29</f>
        <v>89010</v>
      </c>
      <c r="I29" s="505"/>
      <c r="J29" s="553">
        <f>H29/DAY(B2)</f>
        <v>3178.9285714285716</v>
      </c>
      <c r="K29" s="373"/>
      <c r="L29" s="443"/>
      <c r="N29" s="1110">
        <f>F29-'1'!E29</f>
        <v>69</v>
      </c>
      <c r="O29" s="775"/>
      <c r="P29" s="775"/>
      <c r="Q29" s="775"/>
    </row>
    <row r="30" spans="1:17" s="442" customFormat="1" ht="27">
      <c r="A30" s="593" t="s">
        <v>158</v>
      </c>
      <c r="B30" s="594"/>
      <c r="C30" s="595"/>
      <c r="D30" s="620" t="s">
        <v>159</v>
      </c>
      <c r="E30" s="704">
        <f>G19</f>
        <v>0</v>
      </c>
      <c r="F30" s="704">
        <v>134</v>
      </c>
      <c r="G30" s="502">
        <f>E30*F30</f>
        <v>0</v>
      </c>
      <c r="H30" s="460">
        <f>G30+'27'!H30</f>
        <v>-18001024</v>
      </c>
      <c r="I30" s="505"/>
      <c r="J30" s="553">
        <f>H30/DAY(B2)</f>
        <v>-642893.71428571432</v>
      </c>
      <c r="K30" s="373"/>
      <c r="L30" s="443"/>
      <c r="N30" s="1110">
        <f>F30-'1'!E30</f>
        <v>-46</v>
      </c>
      <c r="O30" s="775"/>
      <c r="P30" s="775"/>
      <c r="Q30" s="775"/>
    </row>
    <row r="31" spans="1:17" s="442" customFormat="1" ht="27">
      <c r="A31" s="593" t="s">
        <v>160</v>
      </c>
      <c r="B31" s="594"/>
      <c r="C31" s="595"/>
      <c r="D31" s="620" t="s">
        <v>144</v>
      </c>
      <c r="E31" s="704">
        <f>G18</f>
        <v>0</v>
      </c>
      <c r="F31" s="704">
        <v>80</v>
      </c>
      <c r="G31" s="502">
        <f>E31*F31</f>
        <v>0</v>
      </c>
      <c r="H31" s="460">
        <f>G31+'27'!H31</f>
        <v>241440</v>
      </c>
      <c r="I31" s="505"/>
      <c r="J31" s="553"/>
      <c r="K31" s="373"/>
      <c r="L31" s="443"/>
      <c r="N31" s="1110">
        <f>F31-'1'!E31</f>
        <v>32</v>
      </c>
      <c r="O31" s="775"/>
      <c r="P31" s="775"/>
      <c r="Q31" s="775"/>
    </row>
    <row r="32" spans="1:17" s="442" customFormat="1" ht="27">
      <c r="A32" s="596" t="s">
        <v>161</v>
      </c>
      <c r="B32" s="597"/>
      <c r="C32" s="598"/>
      <c r="D32" s="507"/>
      <c r="E32" s="767"/>
      <c r="F32" s="486"/>
      <c r="G32" s="508">
        <f>G27+G28+G29+G30+G31</f>
        <v>0</v>
      </c>
      <c r="H32" s="460">
        <f>G32+'27'!H32</f>
        <v>-128328107.8568</v>
      </c>
      <c r="I32" s="509"/>
      <c r="J32" s="553">
        <f>H32/DAY(B2)</f>
        <v>-4583146.7091714283</v>
      </c>
      <c r="K32" s="373"/>
      <c r="L32" s="443"/>
      <c r="N32" s="1110">
        <f>F32-'1'!E32</f>
        <v>0</v>
      </c>
      <c r="O32" s="775"/>
      <c r="P32" s="775"/>
      <c r="Q32" s="775"/>
    </row>
    <row r="33" spans="1:14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1110">
        <f>F33-'1'!E33</f>
        <v>0</v>
      </c>
    </row>
    <row r="34" spans="1:14">
      <c r="A34" s="599" t="s">
        <v>163</v>
      </c>
      <c r="B34" s="1153"/>
      <c r="C34" s="1153"/>
      <c r="D34" s="472"/>
      <c r="E34" s="495"/>
      <c r="F34" s="495"/>
      <c r="G34" s="472"/>
      <c r="H34" s="472"/>
      <c r="I34" s="472"/>
      <c r="J34" s="552"/>
      <c r="K34" s="428"/>
      <c r="L34" s="377"/>
      <c r="N34" s="1110">
        <f>F34-'1'!E34</f>
        <v>0</v>
      </c>
    </row>
    <row r="35" spans="1:14">
      <c r="A35" s="579" t="s">
        <v>164</v>
      </c>
      <c r="B35" s="580"/>
      <c r="C35" s="580"/>
      <c r="D35" s="523" t="s">
        <v>132</v>
      </c>
      <c r="E35" s="747">
        <f>'27'!F35</f>
        <v>0</v>
      </c>
      <c r="F35" s="747"/>
      <c r="G35" s="473">
        <f t="shared" ref="G35:G46" si="3">F35-E35</f>
        <v>0</v>
      </c>
      <c r="H35" s="460">
        <f>G35+'27'!H35</f>
        <v>-693087.59</v>
      </c>
      <c r="I35" s="455"/>
      <c r="J35" s="553">
        <f>H35/DAY(B2)</f>
        <v>-24753.128214285713</v>
      </c>
      <c r="K35" s="428"/>
      <c r="L35" s="377"/>
      <c r="N35" s="1110">
        <f>F35-'1'!E35</f>
        <v>-693087.59</v>
      </c>
    </row>
    <row r="36" spans="1:14">
      <c r="A36" s="579" t="s">
        <v>165</v>
      </c>
      <c r="B36" s="580"/>
      <c r="C36" s="580"/>
      <c r="D36" s="523" t="s">
        <v>132</v>
      </c>
      <c r="E36" s="747">
        <f>'27'!F36</f>
        <v>0</v>
      </c>
      <c r="F36" s="747"/>
      <c r="G36" s="473">
        <f t="shared" si="3"/>
        <v>0</v>
      </c>
      <c r="H36" s="460">
        <f>G36+'27'!H36</f>
        <v>-296445.57</v>
      </c>
      <c r="I36" s="455"/>
      <c r="J36" s="553">
        <f>H36/DAY(B2)</f>
        <v>-10587.341785714287</v>
      </c>
      <c r="K36" s="428"/>
      <c r="L36" s="377"/>
      <c r="N36" s="1110">
        <f>F36-'1'!E36</f>
        <v>-296445.57</v>
      </c>
    </row>
    <row r="37" spans="1:14">
      <c r="A37" s="579" t="s">
        <v>166</v>
      </c>
      <c r="B37" s="580"/>
      <c r="C37" s="580"/>
      <c r="D37" s="523" t="s">
        <v>132</v>
      </c>
      <c r="E37" s="747">
        <f>'27'!F37</f>
        <v>0</v>
      </c>
      <c r="F37" s="747"/>
      <c r="G37" s="473">
        <f t="shared" si="3"/>
        <v>0</v>
      </c>
      <c r="H37" s="460">
        <f>G37+'27'!H37</f>
        <v>3105.0800000000017</v>
      </c>
      <c r="I37" s="455"/>
      <c r="J37" s="553">
        <f>H37/DAY(B2)</f>
        <v>110.89571428571435</v>
      </c>
      <c r="K37" s="428"/>
      <c r="L37" s="377"/>
      <c r="N37" s="1110">
        <f>F37-'1'!E37</f>
        <v>-32062.1</v>
      </c>
    </row>
    <row r="38" spans="1:14">
      <c r="A38" s="579" t="s">
        <v>167</v>
      </c>
      <c r="B38" s="580"/>
      <c r="C38" s="580"/>
      <c r="D38" s="523" t="s">
        <v>132</v>
      </c>
      <c r="E38" s="747">
        <f>'27'!F38</f>
        <v>0</v>
      </c>
      <c r="F38" s="470"/>
      <c r="G38" s="473">
        <f t="shared" si="3"/>
        <v>0</v>
      </c>
      <c r="H38" s="460">
        <f>G38+'27'!H38</f>
        <v>-43813.49</v>
      </c>
      <c r="I38" s="455"/>
      <c r="J38" s="553">
        <f>H38/DAY(B2)</f>
        <v>-1564.7674999999999</v>
      </c>
      <c r="K38" s="428"/>
      <c r="L38" s="377"/>
      <c r="N38" s="1110">
        <f>F38-'1'!E38</f>
        <v>-43813.49</v>
      </c>
    </row>
    <row r="39" spans="1:14">
      <c r="A39" s="579" t="s">
        <v>168</v>
      </c>
      <c r="B39" s="580"/>
      <c r="C39" s="580"/>
      <c r="D39" s="523" t="s">
        <v>132</v>
      </c>
      <c r="E39" s="747">
        <f>'27'!F39</f>
        <v>0</v>
      </c>
      <c r="F39" s="747"/>
      <c r="G39" s="473">
        <f>F39-E39</f>
        <v>0</v>
      </c>
      <c r="H39" s="460">
        <f>G39+'27'!H39</f>
        <v>9392.890000000014</v>
      </c>
      <c r="I39" s="455"/>
      <c r="J39" s="553">
        <f>H39/DAY(B2)</f>
        <v>335.46035714285762</v>
      </c>
      <c r="K39" s="428"/>
      <c r="L39" s="377"/>
      <c r="N39" s="1110">
        <f>F39-'1'!E39</f>
        <v>-90675.39</v>
      </c>
    </row>
    <row r="40" spans="1:14">
      <c r="A40" s="600" t="s">
        <v>169</v>
      </c>
      <c r="B40" s="601"/>
      <c r="C40" s="601"/>
      <c r="D40" s="523" t="s">
        <v>132</v>
      </c>
      <c r="E40" s="747">
        <f>'27'!F40</f>
        <v>0</v>
      </c>
      <c r="F40" s="747"/>
      <c r="G40" s="473">
        <f t="shared" si="3"/>
        <v>0</v>
      </c>
      <c r="H40" s="460">
        <f>G40+'27'!H40</f>
        <v>-0.06</v>
      </c>
      <c r="I40" s="455"/>
      <c r="J40" s="553">
        <f>H40/DAY(B2)</f>
        <v>-2.142857142857143E-3</v>
      </c>
      <c r="K40" s="429"/>
      <c r="L40" s="377"/>
      <c r="N40" s="1110">
        <f>F40-'1'!E40</f>
        <v>0</v>
      </c>
    </row>
    <row r="41" spans="1:14">
      <c r="A41" s="579" t="s">
        <v>170</v>
      </c>
      <c r="B41" s="580"/>
      <c r="C41" s="580"/>
      <c r="D41" s="523" t="s">
        <v>132</v>
      </c>
      <c r="E41" s="747">
        <f>'27'!F41</f>
        <v>0</v>
      </c>
      <c r="F41" s="747"/>
      <c r="G41" s="473">
        <f t="shared" si="3"/>
        <v>0</v>
      </c>
      <c r="H41" s="460">
        <f>G41+'27'!H41</f>
        <v>-63882.37</v>
      </c>
      <c r="I41" s="455"/>
      <c r="J41" s="553">
        <f>H41/DAY(B2)</f>
        <v>-2281.5132142857142</v>
      </c>
      <c r="K41" s="428"/>
      <c r="L41" s="377"/>
      <c r="N41" s="1110">
        <f>F41-'1'!E41</f>
        <v>-63882.37</v>
      </c>
    </row>
    <row r="42" spans="1:14">
      <c r="A42" s="579" t="s">
        <v>171</v>
      </c>
      <c r="B42" s="580"/>
      <c r="C42" s="580"/>
      <c r="D42" s="523" t="s">
        <v>132</v>
      </c>
      <c r="E42" s="747">
        <f>'27'!F42</f>
        <v>0</v>
      </c>
      <c r="F42" s="747"/>
      <c r="G42" s="473">
        <f t="shared" si="3"/>
        <v>0</v>
      </c>
      <c r="H42" s="460">
        <f>G42+'27'!H42</f>
        <v>-59128.85</v>
      </c>
      <c r="I42" s="455"/>
      <c r="J42" s="553">
        <f>H42/DAY(B2)</f>
        <v>-2111.7446428571429</v>
      </c>
      <c r="K42" s="428"/>
      <c r="L42" s="377"/>
      <c r="N42" s="1110">
        <f>F42-'1'!E42</f>
        <v>-59128.85</v>
      </c>
    </row>
    <row r="43" spans="1:14">
      <c r="A43" s="579" t="s">
        <v>172</v>
      </c>
      <c r="B43" s="580"/>
      <c r="C43" s="580"/>
      <c r="D43" s="523" t="s">
        <v>132</v>
      </c>
      <c r="E43" s="747">
        <f>'27'!F43</f>
        <v>0</v>
      </c>
      <c r="F43" s="747"/>
      <c r="G43" s="473">
        <f t="shared" si="3"/>
        <v>0</v>
      </c>
      <c r="H43" s="460">
        <f>G43+'27'!H43</f>
        <v>-825897.83</v>
      </c>
      <c r="I43" s="455"/>
      <c r="J43" s="553">
        <f>H43/DAY(B2)</f>
        <v>-29496.351071428569</v>
      </c>
      <c r="K43" s="428"/>
      <c r="L43" s="377"/>
      <c r="N43" s="1110">
        <f>F43-'1'!E43</f>
        <v>-825897.83</v>
      </c>
    </row>
    <row r="44" spans="1:14">
      <c r="A44" s="579" t="s">
        <v>173</v>
      </c>
      <c r="B44" s="580"/>
      <c r="C44" s="580"/>
      <c r="D44" s="523" t="s">
        <v>132</v>
      </c>
      <c r="E44" s="747">
        <f>'27'!F44</f>
        <v>0</v>
      </c>
      <c r="F44" s="747"/>
      <c r="G44" s="473">
        <f t="shared" si="3"/>
        <v>0</v>
      </c>
      <c r="H44" s="460">
        <f>G44+'27'!H44</f>
        <v>0</v>
      </c>
      <c r="I44" s="455"/>
      <c r="J44" s="553">
        <f>H44/DAY(B2)</f>
        <v>0</v>
      </c>
      <c r="K44" s="428"/>
      <c r="L44" s="377"/>
      <c r="N44" s="1110">
        <f>F44-'1'!E44</f>
        <v>0</v>
      </c>
    </row>
    <row r="45" spans="1:14">
      <c r="A45" s="579" t="s">
        <v>174</v>
      </c>
      <c r="B45" s="580"/>
      <c r="C45" s="580"/>
      <c r="D45" s="523" t="s">
        <v>132</v>
      </c>
      <c r="E45" s="747">
        <f>'27'!F45</f>
        <v>0</v>
      </c>
      <c r="F45" s="747"/>
      <c r="G45" s="473">
        <f t="shared" si="3"/>
        <v>0</v>
      </c>
      <c r="H45" s="460">
        <f>G45+'27'!H45</f>
        <v>-614</v>
      </c>
      <c r="I45" s="455"/>
      <c r="J45" s="553">
        <f>H45/DAY(B2)</f>
        <v>-21.928571428571427</v>
      </c>
      <c r="K45" s="428"/>
      <c r="L45" s="377"/>
      <c r="N45" s="1110">
        <f>F45-'1'!E45</f>
        <v>-614</v>
      </c>
    </row>
    <row r="46" spans="1:14">
      <c r="A46" s="579" t="s">
        <v>175</v>
      </c>
      <c r="B46" s="580"/>
      <c r="C46" s="580"/>
      <c r="D46" s="523" t="s">
        <v>132</v>
      </c>
      <c r="E46" s="747">
        <f>'27'!F46</f>
        <v>0</v>
      </c>
      <c r="F46" s="747"/>
      <c r="G46" s="473">
        <f t="shared" si="3"/>
        <v>0</v>
      </c>
      <c r="H46" s="460">
        <f>G46+'27'!H46</f>
        <v>-187</v>
      </c>
      <c r="I46" s="455"/>
      <c r="J46" s="553">
        <f>H46/DAY(B2)</f>
        <v>-6.6785714285714288</v>
      </c>
      <c r="K46" s="428"/>
      <c r="L46" s="377"/>
      <c r="N46" s="1110">
        <f>F46-'1'!E46</f>
        <v>-187</v>
      </c>
    </row>
    <row r="47" spans="1:14">
      <c r="A47" s="586" t="s">
        <v>176</v>
      </c>
      <c r="B47" s="587"/>
      <c r="C47" s="587"/>
      <c r="D47" s="470"/>
      <c r="E47" s="470"/>
      <c r="F47" s="470"/>
      <c r="G47" s="481">
        <f>G35+G36+G37+G38+G39+G40+G41+G42+G43+G44+G45+G46</f>
        <v>0</v>
      </c>
      <c r="H47" s="460">
        <f>G47+'27'!H47</f>
        <v>-1970558.79</v>
      </c>
      <c r="I47" s="455"/>
      <c r="J47" s="553">
        <f>H47/DAY(B2)</f>
        <v>-70377.099642857138</v>
      </c>
      <c r="K47" s="428"/>
      <c r="L47" s="377"/>
      <c r="N47" s="1110">
        <f>F47-'1'!E47</f>
        <v>0</v>
      </c>
    </row>
    <row r="48" spans="1:14">
      <c r="A48" s="599" t="s">
        <v>177</v>
      </c>
      <c r="B48" s="1153"/>
      <c r="C48" s="1153"/>
      <c r="D48" s="472"/>
      <c r="E48" s="495"/>
      <c r="F48" s="495"/>
      <c r="G48" s="472"/>
      <c r="H48" s="472"/>
      <c r="I48" s="472"/>
      <c r="J48" s="552"/>
      <c r="K48" s="428"/>
      <c r="L48" s="377"/>
      <c r="N48" s="1110">
        <f>F48-'1'!E48</f>
        <v>0</v>
      </c>
    </row>
    <row r="49" spans="1:14">
      <c r="A49" s="579" t="s">
        <v>164</v>
      </c>
      <c r="B49" s="602"/>
      <c r="C49" s="602"/>
      <c r="D49" s="523" t="s">
        <v>132</v>
      </c>
      <c r="E49" s="747">
        <f>'27'!F49</f>
        <v>0</v>
      </c>
      <c r="F49" s="747"/>
      <c r="G49" s="473">
        <f t="shared" ref="G49:G58" si="4">F49-E49</f>
        <v>0</v>
      </c>
      <c r="H49" s="460">
        <f>G49+'27'!H49</f>
        <v>-260732.13</v>
      </c>
      <c r="I49" s="455"/>
      <c r="J49" s="553">
        <f>H49/DAY(B2)</f>
        <v>-9311.8617857142854</v>
      </c>
      <c r="K49" s="428"/>
      <c r="L49" s="377"/>
      <c r="N49" s="1110">
        <f>F49-'1'!E49</f>
        <v>-260732.13</v>
      </c>
    </row>
    <row r="50" spans="1:14">
      <c r="A50" s="579" t="s">
        <v>178</v>
      </c>
      <c r="B50" s="602"/>
      <c r="C50" s="602"/>
      <c r="D50" s="523" t="s">
        <v>132</v>
      </c>
      <c r="E50" s="747">
        <f>'27'!F50</f>
        <v>0</v>
      </c>
      <c r="F50" s="747"/>
      <c r="G50" s="473">
        <f t="shared" si="4"/>
        <v>0</v>
      </c>
      <c r="H50" s="460">
        <f>G50+'27'!H50</f>
        <v>-403657.03</v>
      </c>
      <c r="I50" s="455"/>
      <c r="J50" s="553">
        <f>H50/DAY(B2)</f>
        <v>-14416.3225</v>
      </c>
      <c r="K50" s="428"/>
      <c r="L50" s="377"/>
      <c r="N50" s="1110">
        <f>F50-'1'!E50</f>
        <v>-402463.03</v>
      </c>
    </row>
    <row r="51" spans="1:14">
      <c r="A51" s="579" t="s">
        <v>166</v>
      </c>
      <c r="B51" s="602"/>
      <c r="C51" s="602"/>
      <c r="D51" s="523" t="s">
        <v>132</v>
      </c>
      <c r="E51" s="747">
        <f>'27'!F51</f>
        <v>0</v>
      </c>
      <c r="F51" s="747"/>
      <c r="G51" s="473">
        <f t="shared" si="4"/>
        <v>0</v>
      </c>
      <c r="H51" s="460">
        <f>G51+'27'!H51</f>
        <v>-121599.92</v>
      </c>
      <c r="I51" s="455"/>
      <c r="J51" s="553">
        <f>H51/DAY(B2)</f>
        <v>-4342.8542857142857</v>
      </c>
      <c r="K51" s="428"/>
      <c r="L51" s="377"/>
      <c r="N51" s="1110">
        <f>F51-'1'!E51</f>
        <v>-120050.92</v>
      </c>
    </row>
    <row r="52" spans="1:14">
      <c r="A52" s="579" t="s">
        <v>179</v>
      </c>
      <c r="B52" s="602"/>
      <c r="C52" s="602"/>
      <c r="D52" s="523" t="s">
        <v>132</v>
      </c>
      <c r="E52" s="747">
        <f>'27'!F52</f>
        <v>0</v>
      </c>
      <c r="F52" s="747"/>
      <c r="G52" s="473">
        <f t="shared" si="4"/>
        <v>0</v>
      </c>
      <c r="H52" s="460">
        <f>G52+'27'!H52</f>
        <v>-509958.71</v>
      </c>
      <c r="I52" s="455"/>
      <c r="J52" s="553">
        <f>H52/DAY(B2)</f>
        <v>-18212.811071428572</v>
      </c>
      <c r="K52" s="428"/>
      <c r="L52" s="377"/>
      <c r="N52" s="1110">
        <f>F52-'1'!E52</f>
        <v>-507912.71</v>
      </c>
    </row>
    <row r="53" spans="1:14">
      <c r="A53" s="579" t="s">
        <v>168</v>
      </c>
      <c r="B53" s="602"/>
      <c r="C53" s="602"/>
      <c r="D53" s="523" t="s">
        <v>132</v>
      </c>
      <c r="E53" s="747">
        <f>'27'!F53</f>
        <v>0</v>
      </c>
      <c r="F53" s="747"/>
      <c r="G53" s="473">
        <f t="shared" si="4"/>
        <v>0</v>
      </c>
      <c r="H53" s="460">
        <f>G53+'27'!H53</f>
        <v>-336039.51</v>
      </c>
      <c r="I53" s="455"/>
      <c r="J53" s="553">
        <f>H53/DAY(B2)</f>
        <v>-12001.411071428573</v>
      </c>
      <c r="K53" s="428"/>
      <c r="L53" s="377"/>
      <c r="N53" s="1110">
        <f>F53-'1'!E53</f>
        <v>-331854.51</v>
      </c>
    </row>
    <row r="54" spans="1:14">
      <c r="A54" s="579" t="s">
        <v>180</v>
      </c>
      <c r="B54" s="602"/>
      <c r="C54" s="602"/>
      <c r="D54" s="523" t="s">
        <v>132</v>
      </c>
      <c r="E54" s="747">
        <f>'27'!F54</f>
        <v>0</v>
      </c>
      <c r="F54" s="747"/>
      <c r="G54" s="473">
        <f t="shared" si="4"/>
        <v>0</v>
      </c>
      <c r="H54" s="460">
        <f>G54+'27'!H54</f>
        <v>-8095.5999999999995</v>
      </c>
      <c r="I54" s="455"/>
      <c r="J54" s="553">
        <f>H54/DAY(B2)</f>
        <v>-289.12857142857143</v>
      </c>
      <c r="K54" s="428"/>
      <c r="L54" s="377"/>
      <c r="N54" s="1110">
        <f>F54-'1'!E54</f>
        <v>-8095.63</v>
      </c>
    </row>
    <row r="55" spans="1:14">
      <c r="A55" s="579" t="s">
        <v>181</v>
      </c>
      <c r="B55" s="602"/>
      <c r="C55" s="602"/>
      <c r="D55" s="523" t="s">
        <v>132</v>
      </c>
      <c r="E55" s="747">
        <f>'27'!F55</f>
        <v>0</v>
      </c>
      <c r="F55" s="748"/>
      <c r="G55" s="657">
        <f t="shared" si="4"/>
        <v>0</v>
      </c>
      <c r="H55" s="710">
        <f>G55+'27'!H55</f>
        <v>-122584.69</v>
      </c>
      <c r="I55" s="711"/>
      <c r="J55" s="712">
        <f>H55/DAY(B2)</f>
        <v>-4378.0246428571427</v>
      </c>
      <c r="K55" s="428"/>
      <c r="L55" s="377"/>
      <c r="N55" s="1110">
        <f>F55-'1'!E55</f>
        <v>-117585.69</v>
      </c>
    </row>
    <row r="56" spans="1:14">
      <c r="A56" s="579" t="s">
        <v>182</v>
      </c>
      <c r="B56" s="602"/>
      <c r="C56" s="602"/>
      <c r="D56" s="523" t="s">
        <v>183</v>
      </c>
      <c r="E56" s="747">
        <f>'27'!F56</f>
        <v>0</v>
      </c>
      <c r="F56" s="748"/>
      <c r="G56" s="473">
        <f t="shared" si="4"/>
        <v>0</v>
      </c>
      <c r="H56" s="460">
        <f>G56+'27'!H56</f>
        <v>-586051.03</v>
      </c>
      <c r="I56" s="455"/>
      <c r="J56" s="553">
        <f>H56/DAY(B2)</f>
        <v>-20930.39392857143</v>
      </c>
      <c r="K56" s="427"/>
      <c r="L56" s="377"/>
      <c r="N56" s="1110">
        <f>F56-'1'!E56</f>
        <v>-586051.03</v>
      </c>
    </row>
    <row r="57" spans="1:14">
      <c r="A57" s="579" t="s">
        <v>172</v>
      </c>
      <c r="B57" s="602"/>
      <c r="C57" s="602"/>
      <c r="D57" s="523" t="s">
        <v>132</v>
      </c>
      <c r="E57" s="747">
        <f>'27'!F57</f>
        <v>0</v>
      </c>
      <c r="F57" s="747"/>
      <c r="G57" s="473">
        <f t="shared" si="4"/>
        <v>0</v>
      </c>
      <c r="H57" s="460">
        <f>G57+'27'!H57</f>
        <v>-7711.33</v>
      </c>
      <c r="I57" s="455"/>
      <c r="J57" s="553">
        <f>H57/DAY(B2)</f>
        <v>-275.40464285714285</v>
      </c>
      <c r="K57" s="428"/>
      <c r="L57" s="377"/>
      <c r="N57" s="1110">
        <f>F57-'1'!E57</f>
        <v>-7711.33</v>
      </c>
    </row>
    <row r="58" spans="1:14">
      <c r="A58" s="579" t="s">
        <v>184</v>
      </c>
      <c r="B58" s="602"/>
      <c r="C58" s="602"/>
      <c r="D58" s="523" t="s">
        <v>132</v>
      </c>
      <c r="E58" s="747">
        <f>'27'!F58</f>
        <v>0</v>
      </c>
      <c r="F58" s="1240"/>
      <c r="G58" s="473">
        <f t="shared" si="4"/>
        <v>0</v>
      </c>
      <c r="H58" s="460">
        <f>G58+'27'!H58</f>
        <v>-36064.699999999997</v>
      </c>
      <c r="I58" s="455"/>
      <c r="J58" s="553">
        <f>H58/DAY(B2)</f>
        <v>-1288.0249999999999</v>
      </c>
      <c r="K58" s="428"/>
      <c r="L58" s="377"/>
      <c r="N58" s="1110">
        <f>F58-'1'!E58</f>
        <v>-35868.699999999997</v>
      </c>
    </row>
    <row r="59" spans="1:14">
      <c r="A59" s="586" t="s">
        <v>176</v>
      </c>
      <c r="B59" s="587"/>
      <c r="C59" s="587"/>
      <c r="D59" s="511"/>
      <c r="E59" s="470"/>
      <c r="F59" s="470"/>
      <c r="G59" s="481">
        <f>G49+G50+G51+G52+G53+G54+G55+G56+G57+G58</f>
        <v>0</v>
      </c>
      <c r="H59" s="460">
        <f>G59+'27'!H59</f>
        <v>-2392494.65</v>
      </c>
      <c r="I59" s="455">
        <f>G7-G60</f>
        <v>0</v>
      </c>
      <c r="J59" s="553">
        <f>H59/DAY(B2)</f>
        <v>-85446.237500000003</v>
      </c>
      <c r="K59" s="428"/>
      <c r="L59" s="377"/>
      <c r="N59" s="1110">
        <f>F59-'1'!E59</f>
        <v>0</v>
      </c>
    </row>
    <row r="60" spans="1:14">
      <c r="A60" s="579"/>
      <c r="B60" s="580"/>
      <c r="C60" s="580"/>
      <c r="D60" s="511" t="s">
        <v>185</v>
      </c>
      <c r="E60" s="470"/>
      <c r="F60" s="470"/>
      <c r="G60" s="481">
        <f>G47+G59</f>
        <v>0</v>
      </c>
      <c r="H60" s="460">
        <f>G60+'27'!H60</f>
        <v>-4348884.4400000004</v>
      </c>
      <c r="I60" s="455">
        <f>G13-G60</f>
        <v>0</v>
      </c>
      <c r="J60" s="553">
        <f>H60/DAY(B2)</f>
        <v>-155317.30142857143</v>
      </c>
      <c r="K60" s="428"/>
      <c r="L60" s="377"/>
      <c r="N60" s="1110">
        <f>F60-'1'!E60</f>
        <v>0</v>
      </c>
    </row>
    <row r="61" spans="1:14">
      <c r="A61" s="603" t="s">
        <v>186</v>
      </c>
      <c r="B61" s="453"/>
      <c r="C61" s="453"/>
      <c r="D61" s="513"/>
      <c r="E61" s="749"/>
      <c r="F61" s="749"/>
      <c r="G61" s="513"/>
      <c r="H61" s="513"/>
      <c r="I61" s="513"/>
      <c r="J61" s="556"/>
      <c r="K61" s="428"/>
      <c r="L61" s="377"/>
      <c r="N61" s="1110">
        <f>F61-'1'!E61</f>
        <v>0</v>
      </c>
    </row>
    <row r="62" spans="1:14">
      <c r="A62" s="604" t="s">
        <v>98</v>
      </c>
      <c r="B62" s="605"/>
      <c r="C62" s="605"/>
      <c r="D62" s="511" t="s">
        <v>187</v>
      </c>
      <c r="E62" s="514">
        <f>'27'!F62</f>
        <v>0</v>
      </c>
      <c r="F62" s="514"/>
      <c r="G62" s="473">
        <f t="shared" ref="G62:G69" si="5">F62-E62</f>
        <v>0</v>
      </c>
      <c r="H62" s="460">
        <f>G62+'27'!H62</f>
        <v>-20419.187000000002</v>
      </c>
      <c r="I62" s="515"/>
      <c r="J62" s="553">
        <f>H62/DAY(B2)</f>
        <v>-729.25667857142867</v>
      </c>
      <c r="K62" s="428"/>
      <c r="L62" s="377"/>
      <c r="N62" s="1110">
        <f>F62-'1'!E62</f>
        <v>-20419.187000000002</v>
      </c>
    </row>
    <row r="63" spans="1:14">
      <c r="A63" s="604" t="s">
        <v>188</v>
      </c>
      <c r="B63" s="605"/>
      <c r="C63" s="605"/>
      <c r="D63" s="511" t="s">
        <v>187</v>
      </c>
      <c r="E63" s="514">
        <f>'27'!F63</f>
        <v>0</v>
      </c>
      <c r="F63" s="514"/>
      <c r="G63" s="473">
        <f t="shared" si="5"/>
        <v>0</v>
      </c>
      <c r="H63" s="460">
        <f>G63+'27'!H63</f>
        <v>-1707.36</v>
      </c>
      <c r="I63" s="515"/>
      <c r="J63" s="553">
        <f>H63/DAY(B2)</f>
        <v>-60.977142857142852</v>
      </c>
      <c r="K63" s="428"/>
      <c r="L63" s="377"/>
      <c r="N63" s="1110">
        <f>F63-'1'!E63</f>
        <v>-1707.36</v>
      </c>
    </row>
    <row r="64" spans="1:14" ht="27.75">
      <c r="A64" s="1408" t="s">
        <v>99</v>
      </c>
      <c r="B64" s="1409"/>
      <c r="C64" s="1410"/>
      <c r="D64" s="523" t="s">
        <v>187</v>
      </c>
      <c r="E64" s="514">
        <f>'27'!F64</f>
        <v>0</v>
      </c>
      <c r="F64" s="743"/>
      <c r="G64" s="473">
        <f t="shared" si="5"/>
        <v>0</v>
      </c>
      <c r="H64" s="460">
        <f>G64+'27'!H64</f>
        <v>-123627.3</v>
      </c>
      <c r="I64" s="480"/>
      <c r="J64" s="553">
        <f>H64/DAY(B2)</f>
        <v>-4415.2607142857141</v>
      </c>
      <c r="K64" s="428"/>
      <c r="L64" s="377"/>
      <c r="N64" s="1110">
        <f>F64-'1'!E64</f>
        <v>-123627.3</v>
      </c>
    </row>
    <row r="65" spans="1:14" ht="27.75">
      <c r="A65" s="1408" t="s">
        <v>100</v>
      </c>
      <c r="B65" s="1409"/>
      <c r="C65" s="1410"/>
      <c r="D65" s="523" t="s">
        <v>187</v>
      </c>
      <c r="E65" s="514">
        <f>'27'!F65</f>
        <v>0</v>
      </c>
      <c r="F65" s="750"/>
      <c r="G65" s="473">
        <f t="shared" si="5"/>
        <v>0</v>
      </c>
      <c r="H65" s="460">
        <f>G65+'27'!H65</f>
        <v>-132597.29999999999</v>
      </c>
      <c r="I65" s="489"/>
      <c r="J65" s="553">
        <f>H65/DAY(B2)</f>
        <v>-4735.6178571428563</v>
      </c>
      <c r="K65" s="428"/>
      <c r="L65" s="377"/>
      <c r="N65" s="1110">
        <f>F65-'1'!E65</f>
        <v>-132597.29999999999</v>
      </c>
    </row>
    <row r="66" spans="1:14" ht="27.75">
      <c r="A66" s="1408" t="s">
        <v>101</v>
      </c>
      <c r="B66" s="1409"/>
      <c r="C66" s="1410"/>
      <c r="D66" s="523" t="s">
        <v>187</v>
      </c>
      <c r="E66" s="514">
        <f>'27'!F66</f>
        <v>0</v>
      </c>
      <c r="F66" s="743"/>
      <c r="G66" s="473">
        <f t="shared" si="5"/>
        <v>0</v>
      </c>
      <c r="H66" s="460">
        <f>G66+'27'!H66</f>
        <v>-25159.75</v>
      </c>
      <c r="I66" s="480"/>
      <c r="J66" s="553">
        <f>H66/DAY(B2)</f>
        <v>-898.5625</v>
      </c>
      <c r="K66" s="428"/>
      <c r="L66" s="377"/>
      <c r="N66" s="1110">
        <f>F66-'1'!E66</f>
        <v>-25159.75</v>
      </c>
    </row>
    <row r="67" spans="1:14" ht="27.75">
      <c r="A67" s="1408" t="s">
        <v>102</v>
      </c>
      <c r="B67" s="1409"/>
      <c r="C67" s="1410"/>
      <c r="D67" s="523" t="s">
        <v>187</v>
      </c>
      <c r="E67" s="514">
        <f>'27'!F67</f>
        <v>0</v>
      </c>
      <c r="F67" s="743"/>
      <c r="G67" s="473">
        <f t="shared" si="5"/>
        <v>0</v>
      </c>
      <c r="H67" s="460">
        <f>G67+'27'!H67</f>
        <v>-207841.83</v>
      </c>
      <c r="I67" s="489"/>
      <c r="J67" s="553">
        <f>H67/DAY(B2)</f>
        <v>-7422.9224999999997</v>
      </c>
      <c r="K67" s="429"/>
      <c r="L67" s="377"/>
      <c r="N67" s="1110">
        <f>F67-'1'!E67</f>
        <v>-207841.83</v>
      </c>
    </row>
    <row r="68" spans="1:14" ht="27.75">
      <c r="A68" s="1408" t="s">
        <v>103</v>
      </c>
      <c r="B68" s="1409"/>
      <c r="C68" s="1410"/>
      <c r="D68" s="523" t="s">
        <v>187</v>
      </c>
      <c r="E68" s="514">
        <f>'27'!F68</f>
        <v>0</v>
      </c>
      <c r="F68" s="743"/>
      <c r="G68" s="473">
        <f t="shared" si="5"/>
        <v>0</v>
      </c>
      <c r="H68" s="460">
        <f>G68+'27'!H68</f>
        <v>-63461.45</v>
      </c>
      <c r="I68" s="516"/>
      <c r="J68" s="553">
        <f>H68/DAY(B2)</f>
        <v>-2266.480357142857</v>
      </c>
      <c r="K68" s="430"/>
      <c r="L68" s="377"/>
      <c r="N68" s="1110">
        <f>F68-'1'!E68</f>
        <v>-72678.52</v>
      </c>
    </row>
    <row r="69" spans="1:14" ht="27.75">
      <c r="A69" s="1408" t="s">
        <v>104</v>
      </c>
      <c r="B69" s="1409"/>
      <c r="C69" s="1410"/>
      <c r="D69" s="523" t="s">
        <v>187</v>
      </c>
      <c r="E69" s="514">
        <f>'27'!F69</f>
        <v>0</v>
      </c>
      <c r="F69" s="743"/>
      <c r="G69" s="473">
        <f t="shared" si="5"/>
        <v>0</v>
      </c>
      <c r="H69" s="460">
        <f>G69+'27'!H69</f>
        <v>-64452.09</v>
      </c>
      <c r="I69" s="516"/>
      <c r="J69" s="553">
        <f>H69/DAY(B2)</f>
        <v>-2301.8603571428571</v>
      </c>
      <c r="K69" s="431"/>
      <c r="L69" s="377"/>
      <c r="N69" s="1110">
        <f>F69-'1'!E69</f>
        <v>-64452.09</v>
      </c>
    </row>
    <row r="70" spans="1:14" ht="27.75">
      <c r="A70" s="1440" t="s">
        <v>189</v>
      </c>
      <c r="B70" s="1441"/>
      <c r="C70" s="1442"/>
      <c r="D70" s="523" t="s">
        <v>187</v>
      </c>
      <c r="E70" s="751"/>
      <c r="F70" s="751"/>
      <c r="G70" s="518"/>
      <c r="H70" s="460">
        <f>G70+'13'!H70</f>
        <v>0</v>
      </c>
      <c r="I70" s="518"/>
      <c r="J70" s="557"/>
      <c r="K70" s="431"/>
      <c r="L70" s="377"/>
      <c r="N70" s="1110">
        <f>F70-'1'!E70</f>
        <v>0</v>
      </c>
    </row>
    <row r="71" spans="1:14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1110">
        <f>F71-'1'!E71</f>
        <v>0</v>
      </c>
    </row>
    <row r="72" spans="1:14" ht="27.75">
      <c r="A72" s="1408" t="s">
        <v>191</v>
      </c>
      <c r="B72" s="1409"/>
      <c r="C72" s="1410"/>
      <c r="D72" s="523" t="s">
        <v>187</v>
      </c>
      <c r="E72" s="768">
        <f>'27'!F72</f>
        <v>0</v>
      </c>
      <c r="F72" s="752"/>
      <c r="G72" s="473">
        <f t="shared" ref="G72:G84" si="6">F72-E72</f>
        <v>0</v>
      </c>
      <c r="H72" s="460">
        <f>G72+'27'!H72</f>
        <v>-850682</v>
      </c>
      <c r="I72" s="480"/>
      <c r="J72" s="553">
        <f>H72/DAY(B2)</f>
        <v>-30381.5</v>
      </c>
      <c r="K72" s="431"/>
      <c r="L72" s="377"/>
      <c r="N72" s="1110">
        <f>F72-'1'!E72</f>
        <v>-850592</v>
      </c>
    </row>
    <row r="73" spans="1:14" ht="27.75">
      <c r="A73" s="1408" t="s">
        <v>192</v>
      </c>
      <c r="B73" s="1409"/>
      <c r="C73" s="1410"/>
      <c r="D73" s="523" t="s">
        <v>187</v>
      </c>
      <c r="E73" s="768">
        <f>'27'!F73</f>
        <v>0</v>
      </c>
      <c r="F73" s="753"/>
      <c r="G73" s="657">
        <f t="shared" si="6"/>
        <v>0</v>
      </c>
      <c r="H73" s="460">
        <f>G73+'27'!H73</f>
        <v>-884658</v>
      </c>
      <c r="I73" s="480"/>
      <c r="J73" s="553">
        <f>H73/DAY(B2)</f>
        <v>-31594.928571428572</v>
      </c>
      <c r="K73" s="430"/>
      <c r="L73" s="377"/>
      <c r="N73" s="1110">
        <f>F73-'1'!E73</f>
        <v>-885772</v>
      </c>
    </row>
    <row r="74" spans="1:14" ht="27.75">
      <c r="A74" s="1408" t="s">
        <v>193</v>
      </c>
      <c r="B74" s="1409"/>
      <c r="C74" s="1410"/>
      <c r="D74" s="523" t="s">
        <v>187</v>
      </c>
      <c r="E74" s="768">
        <f>'27'!F74</f>
        <v>0</v>
      </c>
      <c r="F74" s="753"/>
      <c r="G74" s="473">
        <f t="shared" si="6"/>
        <v>0</v>
      </c>
      <c r="H74" s="460">
        <f>G74+'27'!H74</f>
        <v>-586.16999999999996</v>
      </c>
      <c r="I74" s="480"/>
      <c r="J74" s="553">
        <f>H74/DAY(B2)</f>
        <v>-20.934642857142855</v>
      </c>
      <c r="K74" s="431"/>
      <c r="L74" s="377"/>
      <c r="N74" s="1110">
        <f>F74-'1'!E74</f>
        <v>-586.16999999999996</v>
      </c>
    </row>
    <row r="75" spans="1:14" ht="27.75">
      <c r="A75" s="1457" t="s">
        <v>194</v>
      </c>
      <c r="B75" s="1458"/>
      <c r="C75" s="1459"/>
      <c r="D75" s="523" t="s">
        <v>187</v>
      </c>
      <c r="E75" s="768">
        <f>'27'!F75</f>
        <v>0</v>
      </c>
      <c r="F75" s="753"/>
      <c r="G75" s="473">
        <f t="shared" si="6"/>
        <v>0</v>
      </c>
      <c r="H75" s="460">
        <f>G75+'27'!H75</f>
        <v>-3519.22</v>
      </c>
      <c r="I75" s="480"/>
      <c r="J75" s="553">
        <f>H75/DAY(B2)</f>
        <v>-125.68642857142856</v>
      </c>
      <c r="K75" s="430"/>
      <c r="L75" s="377"/>
      <c r="N75" s="1110">
        <f>F75-'1'!E75</f>
        <v>-3519.22</v>
      </c>
    </row>
    <row r="76" spans="1:14" ht="27.75">
      <c r="A76" s="1457" t="s">
        <v>195</v>
      </c>
      <c r="B76" s="1458"/>
      <c r="C76" s="1459"/>
      <c r="D76" s="523" t="s">
        <v>187</v>
      </c>
      <c r="E76" s="768">
        <f>'27'!F76</f>
        <v>0</v>
      </c>
      <c r="F76" s="753"/>
      <c r="G76" s="473">
        <f t="shared" si="6"/>
        <v>0</v>
      </c>
      <c r="H76" s="460">
        <f>G76+'27'!H76</f>
        <v>-475.2199999999998</v>
      </c>
      <c r="I76" s="505"/>
      <c r="J76" s="553">
        <f>H76/DAY(B2)</f>
        <v>-16.972142857142849</v>
      </c>
      <c r="K76" s="430"/>
      <c r="L76" s="377"/>
      <c r="N76" s="1110">
        <f>F76-'1'!E76</f>
        <v>-1514.34</v>
      </c>
    </row>
    <row r="77" spans="1:14" ht="27.75">
      <c r="A77" s="1408" t="s">
        <v>196</v>
      </c>
      <c r="B77" s="1409"/>
      <c r="C77" s="1410"/>
      <c r="D77" s="523" t="s">
        <v>187</v>
      </c>
      <c r="E77" s="768">
        <f>'27'!F77</f>
        <v>0</v>
      </c>
      <c r="F77" s="753"/>
      <c r="G77" s="657">
        <f t="shared" si="6"/>
        <v>0</v>
      </c>
      <c r="H77" s="460">
        <f>G77+'27'!H77</f>
        <v>-698588</v>
      </c>
      <c r="I77" s="505"/>
      <c r="J77" s="553">
        <f>H77/DAY(B2)</f>
        <v>-24949.571428571428</v>
      </c>
      <c r="K77" s="430"/>
      <c r="L77" s="377"/>
      <c r="N77" s="1110">
        <f>F77-'1'!E77</f>
        <v>-698588</v>
      </c>
    </row>
    <row r="78" spans="1:14" ht="27.75">
      <c r="A78" s="1151" t="s">
        <v>197</v>
      </c>
      <c r="B78" s="1124"/>
      <c r="C78" s="1124"/>
      <c r="D78" s="523" t="s">
        <v>187</v>
      </c>
      <c r="E78" s="768">
        <f>'27'!F78</f>
        <v>0</v>
      </c>
      <c r="F78" s="753"/>
      <c r="G78" s="657">
        <f t="shared" si="6"/>
        <v>0</v>
      </c>
      <c r="H78" s="460">
        <f>G78+'27'!H78</f>
        <v>-652863</v>
      </c>
      <c r="I78" s="505"/>
      <c r="J78" s="553">
        <f>H78/DAY(B2)</f>
        <v>-23316.535714285714</v>
      </c>
      <c r="K78" s="430"/>
      <c r="L78" s="377"/>
      <c r="N78" s="1110">
        <f>F78-'1'!E78</f>
        <v>-652863</v>
      </c>
    </row>
    <row r="79" spans="1:14" ht="27.75">
      <c r="A79" s="1457" t="s">
        <v>92</v>
      </c>
      <c r="B79" s="1458"/>
      <c r="C79" s="1459"/>
      <c r="D79" s="524" t="s">
        <v>187</v>
      </c>
      <c r="E79" s="768">
        <f>'27'!F79</f>
        <v>0</v>
      </c>
      <c r="F79" s="754"/>
      <c r="G79" s="473">
        <f t="shared" si="6"/>
        <v>0</v>
      </c>
      <c r="H79" s="460">
        <f>G79+'27'!H79</f>
        <v>-812599</v>
      </c>
      <c r="I79" s="505"/>
      <c r="J79" s="553">
        <f>H79/DAY(B2)</f>
        <v>-29021.392857142859</v>
      </c>
      <c r="K79" s="430"/>
      <c r="L79" s="377"/>
      <c r="N79" s="1110">
        <f>F79-'1'!E79</f>
        <v>-815109</v>
      </c>
    </row>
    <row r="80" spans="1:14" ht="27.75">
      <c r="A80" s="1457" t="s">
        <v>198</v>
      </c>
      <c r="B80" s="1458"/>
      <c r="C80" s="1459"/>
      <c r="D80" s="524" t="s">
        <v>187</v>
      </c>
      <c r="E80" s="768">
        <f>'27'!F80</f>
        <v>0</v>
      </c>
      <c r="F80" s="753"/>
      <c r="G80" s="473">
        <f t="shared" si="6"/>
        <v>0</v>
      </c>
      <c r="H80" s="460">
        <f>G80+'27'!H80</f>
        <v>-496614</v>
      </c>
      <c r="I80" s="505"/>
      <c r="J80" s="553">
        <f>H80/DAY(B2)</f>
        <v>-17736.214285714286</v>
      </c>
      <c r="K80" s="430"/>
      <c r="L80" s="377"/>
      <c r="N80" s="1110">
        <f>F80-'1'!E80</f>
        <v>-494673.64</v>
      </c>
    </row>
    <row r="81" spans="1:17" ht="27.75">
      <c r="A81" s="1457" t="s">
        <v>199</v>
      </c>
      <c r="B81" s="1458"/>
      <c r="C81" s="1459"/>
      <c r="D81" s="524" t="s">
        <v>187</v>
      </c>
      <c r="E81" s="768">
        <f>'27'!F81</f>
        <v>0</v>
      </c>
      <c r="F81" s="753"/>
      <c r="G81" s="473">
        <f t="shared" si="6"/>
        <v>0</v>
      </c>
      <c r="H81" s="460">
        <f>G81+'27'!H81</f>
        <v>-625943.84</v>
      </c>
      <c r="I81" s="505"/>
      <c r="J81" s="553">
        <f>H81/DAY(B2)</f>
        <v>-22355.13714285714</v>
      </c>
      <c r="K81" s="430"/>
      <c r="L81" s="377"/>
      <c r="N81" s="1110">
        <f>F81-'1'!E81</f>
        <v>-625943.84</v>
      </c>
    </row>
    <row r="82" spans="1:17" ht="27.75">
      <c r="A82" s="1457" t="s">
        <v>93</v>
      </c>
      <c r="B82" s="1458"/>
      <c r="C82" s="1459"/>
      <c r="D82" s="485" t="s">
        <v>132</v>
      </c>
      <c r="E82" s="768">
        <f>'27'!F82</f>
        <v>0</v>
      </c>
      <c r="F82" s="750"/>
      <c r="G82" s="473">
        <f t="shared" si="6"/>
        <v>0</v>
      </c>
      <c r="H82" s="460">
        <f>G82+'27'!H82</f>
        <v>-106202.48</v>
      </c>
      <c r="I82" s="486"/>
      <c r="J82" s="553">
        <f>H82/DAY(B2)</f>
        <v>-3792.9457142857141</v>
      </c>
      <c r="K82" s="430"/>
      <c r="L82" s="377"/>
      <c r="N82" s="1110">
        <f>F82-'1'!E82</f>
        <v>-106202.48</v>
      </c>
    </row>
    <row r="83" spans="1:17" ht="27.75">
      <c r="A83" s="1457" t="s">
        <v>200</v>
      </c>
      <c r="B83" s="1458"/>
      <c r="C83" s="1459"/>
      <c r="D83" s="621" t="s">
        <v>132</v>
      </c>
      <c r="E83" s="768">
        <f>'27'!F83</f>
        <v>0</v>
      </c>
      <c r="F83" s="470"/>
      <c r="G83" s="473">
        <f t="shared" si="6"/>
        <v>0</v>
      </c>
      <c r="H83" s="460">
        <f>G83+'27'!H83</f>
        <v>3403</v>
      </c>
      <c r="I83" s="481"/>
      <c r="J83" s="553">
        <f>H83/DAY(B2)</f>
        <v>121.53571428571429</v>
      </c>
      <c r="K83" s="429"/>
      <c r="L83" s="377"/>
      <c r="N83" s="1110">
        <f>F83-'1'!E83</f>
        <v>-996449</v>
      </c>
    </row>
    <row r="84" spans="1:17">
      <c r="A84" s="1152" t="s">
        <v>201</v>
      </c>
      <c r="B84" s="572"/>
      <c r="C84" s="572"/>
      <c r="D84" s="478" t="s">
        <v>132</v>
      </c>
      <c r="E84" s="768">
        <f>'27'!F84</f>
        <v>0</v>
      </c>
      <c r="F84" s="710"/>
      <c r="G84" s="473">
        <f t="shared" si="6"/>
        <v>0</v>
      </c>
      <c r="H84" s="460">
        <f>G84+'27'!H84</f>
        <v>-430798</v>
      </c>
      <c r="I84" s="481"/>
      <c r="J84" s="553">
        <f>H84/DAY(B2)</f>
        <v>-15385.642857142857</v>
      </c>
      <c r="K84" s="380"/>
      <c r="L84" s="377"/>
      <c r="N84" s="1110">
        <f>F84-'1'!E84</f>
        <v>-430798</v>
      </c>
    </row>
    <row r="85" spans="1:17" s="379" customFormat="1">
      <c r="A85" s="606" t="s">
        <v>202</v>
      </c>
      <c r="B85" s="573"/>
      <c r="C85" s="573"/>
      <c r="D85" s="489"/>
      <c r="E85" s="710">
        <f>'27'!F85</f>
        <v>0</v>
      </c>
      <c r="F85" s="460"/>
      <c r="G85" s="460">
        <f xml:space="preserve"> SUM(G72:G84)</f>
        <v>0</v>
      </c>
      <c r="H85" s="460">
        <f>G85+'27'!H85</f>
        <v>-5564784.0700000003</v>
      </c>
      <c r="I85" s="481"/>
      <c r="J85" s="553">
        <f>H85/DAY(B2)</f>
        <v>-198742.28821428571</v>
      </c>
      <c r="K85" s="380"/>
      <c r="L85" s="378"/>
      <c r="N85" s="1110">
        <f>F85-'1'!E85</f>
        <v>0</v>
      </c>
      <c r="O85" s="775"/>
      <c r="P85" s="775"/>
      <c r="Q85" s="775"/>
    </row>
    <row r="86" spans="1:17" s="740" customFormat="1">
      <c r="A86" s="735" t="s">
        <v>94</v>
      </c>
      <c r="B86" s="736"/>
      <c r="C86" s="736"/>
      <c r="D86" s="737" t="s">
        <v>183</v>
      </c>
      <c r="E86" s="710">
        <f>'27'!F86</f>
        <v>0</v>
      </c>
      <c r="F86" s="755"/>
      <c r="G86" s="710">
        <f t="shared" ref="G86:G88" si="7">F86-E86</f>
        <v>0</v>
      </c>
      <c r="H86" s="710">
        <f t="shared" ref="H86:H88" si="8">G86</f>
        <v>0</v>
      </c>
      <c r="I86" s="657"/>
      <c r="J86" s="712">
        <f>H86/DAY(B2)</f>
        <v>0</v>
      </c>
      <c r="K86" s="738"/>
      <c r="L86" s="739"/>
      <c r="N86" s="1110">
        <f>F86-'1'!E86</f>
        <v>-450368.53</v>
      </c>
      <c r="O86" s="775"/>
      <c r="P86" s="775"/>
      <c r="Q86" s="776"/>
    </row>
    <row r="87" spans="1:17" s="740" customFormat="1">
      <c r="A87" s="735" t="s">
        <v>95</v>
      </c>
      <c r="B87" s="736"/>
      <c r="C87" s="736"/>
      <c r="D87" s="737" t="s">
        <v>183</v>
      </c>
      <c r="E87" s="710">
        <f>'27'!F87</f>
        <v>0</v>
      </c>
      <c r="F87" s="755"/>
      <c r="G87" s="710">
        <f t="shared" si="7"/>
        <v>0</v>
      </c>
      <c r="H87" s="710">
        <f t="shared" si="8"/>
        <v>0</v>
      </c>
      <c r="I87" s="657"/>
      <c r="J87" s="712">
        <f>H87/DAY(B2)</f>
        <v>0</v>
      </c>
      <c r="K87" s="738"/>
      <c r="L87" s="739"/>
      <c r="N87" s="1110">
        <f>F87-'1'!E87</f>
        <v>-79207.7</v>
      </c>
      <c r="O87" s="775"/>
      <c r="P87" s="775"/>
      <c r="Q87" s="776"/>
    </row>
    <row r="88" spans="1:17" s="740" customFormat="1">
      <c r="A88" s="735" t="s">
        <v>96</v>
      </c>
      <c r="B88" s="736"/>
      <c r="C88" s="736"/>
      <c r="D88" s="737" t="s">
        <v>183</v>
      </c>
      <c r="E88" s="710">
        <f>'27'!F88</f>
        <v>0</v>
      </c>
      <c r="F88" s="755"/>
      <c r="G88" s="710">
        <f t="shared" si="7"/>
        <v>0</v>
      </c>
      <c r="H88" s="710">
        <f t="shared" si="8"/>
        <v>0</v>
      </c>
      <c r="I88" s="657"/>
      <c r="J88" s="712">
        <f>H88/DAY(B2)</f>
        <v>0</v>
      </c>
      <c r="K88" s="738"/>
      <c r="L88" s="739"/>
      <c r="N88" s="1110">
        <f>F88-'1'!E88</f>
        <v>-148264.60999999999</v>
      </c>
      <c r="O88" s="775"/>
      <c r="P88" s="775"/>
      <c r="Q88" s="776"/>
    </row>
    <row r="89" spans="1:17" s="740" customFormat="1">
      <c r="A89" s="735" t="s">
        <v>204</v>
      </c>
      <c r="B89" s="736"/>
      <c r="C89" s="736"/>
      <c r="D89" s="737" t="s">
        <v>183</v>
      </c>
      <c r="E89" s="710">
        <f>'27'!F89</f>
        <v>0</v>
      </c>
      <c r="F89" s="755"/>
      <c r="G89" s="710">
        <f t="shared" ref="G89:G90" si="9">F89-E89</f>
        <v>0</v>
      </c>
      <c r="H89" s="710">
        <f t="shared" ref="H89:H90" si="10">G89</f>
        <v>0</v>
      </c>
      <c r="I89" s="657"/>
      <c r="J89" s="712">
        <f>H89/DAY(B2)</f>
        <v>0</v>
      </c>
      <c r="K89" s="738"/>
      <c r="L89" s="739"/>
      <c r="N89" s="1110">
        <f>F89-'1'!E89</f>
        <v>-61675.1</v>
      </c>
      <c r="O89" s="382"/>
    </row>
    <row r="90" spans="1:17" s="740" customFormat="1">
      <c r="A90" s="735" t="s">
        <v>204</v>
      </c>
      <c r="B90" s="736"/>
      <c r="C90" s="736"/>
      <c r="D90" s="737" t="s">
        <v>183</v>
      </c>
      <c r="E90" s="710">
        <f>'27'!F90</f>
        <v>0</v>
      </c>
      <c r="F90" s="755"/>
      <c r="G90" s="710">
        <f t="shared" si="9"/>
        <v>0</v>
      </c>
      <c r="H90" s="710">
        <f t="shared" si="10"/>
        <v>0</v>
      </c>
      <c r="I90" s="657"/>
      <c r="J90" s="712">
        <f>H90/DAY(B2)</f>
        <v>0</v>
      </c>
      <c r="K90" s="738"/>
      <c r="L90" s="739"/>
      <c r="N90" s="1110">
        <f>F90-'1'!E90</f>
        <v>-3162.9</v>
      </c>
      <c r="O90" s="382"/>
    </row>
    <row r="91" spans="1:17" s="379" customFormat="1">
      <c r="A91" s="607" t="s">
        <v>205</v>
      </c>
      <c r="B91" s="1154"/>
      <c r="C91" s="1154"/>
      <c r="D91" s="472"/>
      <c r="E91" s="744"/>
      <c r="F91" s="744"/>
      <c r="G91" s="488"/>
      <c r="H91" s="472"/>
      <c r="I91" s="472"/>
      <c r="J91" s="552"/>
      <c r="K91" s="380"/>
      <c r="L91" s="378"/>
      <c r="N91" s="1110">
        <f>F91-'1'!E91</f>
        <v>0</v>
      </c>
      <c r="O91" s="775"/>
      <c r="P91" s="775"/>
      <c r="Q91" s="775"/>
    </row>
    <row r="92" spans="1:17" ht="27.75">
      <c r="A92" s="1411" t="s">
        <v>206</v>
      </c>
      <c r="B92" s="1412"/>
      <c r="C92" s="1413"/>
      <c r="D92" s="523" t="s">
        <v>144</v>
      </c>
      <c r="E92" s="764">
        <f>'27'!F92</f>
        <v>0</v>
      </c>
      <c r="F92" s="743"/>
      <c r="G92" s="473">
        <f t="shared" ref="G92:G93" si="11">F92-E92</f>
        <v>0</v>
      </c>
      <c r="H92" s="460">
        <f>G92+'27'!H92</f>
        <v>-239695</v>
      </c>
      <c r="I92" s="480"/>
      <c r="J92" s="553">
        <f>H92/DAY(B2)</f>
        <v>-8560.5357142857138</v>
      </c>
      <c r="K92" s="429"/>
      <c r="L92" s="377"/>
      <c r="N92" s="1110">
        <f>F92-'1'!E92</f>
        <v>-239695</v>
      </c>
    </row>
    <row r="93" spans="1:17" ht="27.75">
      <c r="A93" s="1411" t="s">
        <v>207</v>
      </c>
      <c r="B93" s="1412"/>
      <c r="C93" s="1413"/>
      <c r="D93" s="523" t="s">
        <v>144</v>
      </c>
      <c r="E93" s="764">
        <f>'27'!F93</f>
        <v>0</v>
      </c>
      <c r="F93" s="743"/>
      <c r="G93" s="473">
        <f t="shared" si="11"/>
        <v>0</v>
      </c>
      <c r="H93" s="460">
        <f>G93+'27'!H93</f>
        <v>-175661</v>
      </c>
      <c r="I93" s="480"/>
      <c r="J93" s="553">
        <f>H93/DAY(B2)</f>
        <v>-6273.6071428571431</v>
      </c>
      <c r="K93" s="380"/>
      <c r="L93" s="377"/>
      <c r="N93" s="1110">
        <f>F93-'1'!E93</f>
        <v>-175661</v>
      </c>
    </row>
    <row r="94" spans="1:17">
      <c r="A94" s="1405" t="s">
        <v>208</v>
      </c>
      <c r="B94" s="1406"/>
      <c r="C94" s="1407"/>
      <c r="D94" s="523"/>
      <c r="E94" s="764">
        <f>'27'!F94</f>
        <v>0</v>
      </c>
      <c r="F94" s="743"/>
      <c r="G94" s="473">
        <f>G92+G93</f>
        <v>0</v>
      </c>
      <c r="H94" s="460">
        <f>G94+'27'!H94</f>
        <v>-415622</v>
      </c>
      <c r="I94" s="480"/>
      <c r="J94" s="553">
        <f>H94/DAY(B2)</f>
        <v>-14843.642857142857</v>
      </c>
      <c r="K94" s="380"/>
      <c r="L94" s="377"/>
      <c r="N94" s="1110">
        <f>F94-'1'!E94</f>
        <v>0</v>
      </c>
    </row>
    <row r="95" spans="1:17" ht="27.75">
      <c r="A95" s="1411" t="s">
        <v>209</v>
      </c>
      <c r="B95" s="1412"/>
      <c r="C95" s="1413"/>
      <c r="D95" s="523" t="s">
        <v>144</v>
      </c>
      <c r="E95" s="764">
        <f>'27'!F95</f>
        <v>0</v>
      </c>
      <c r="F95" s="743"/>
      <c r="G95" s="473">
        <f t="shared" ref="G95:G100" si="12">F95-E95</f>
        <v>0</v>
      </c>
      <c r="H95" s="460">
        <f>G95+'27'!H95</f>
        <v>-408156</v>
      </c>
      <c r="I95" s="480"/>
      <c r="J95" s="553">
        <f>H95/DAY(B2)</f>
        <v>-14577</v>
      </c>
      <c r="K95" s="380"/>
      <c r="L95" s="377"/>
      <c r="N95" s="1110">
        <f>F95-'1'!E95</f>
        <v>-408156</v>
      </c>
    </row>
    <row r="96" spans="1:17" ht="27.75">
      <c r="A96" s="1148" t="s">
        <v>210</v>
      </c>
      <c r="B96" s="1149"/>
      <c r="C96" s="1149"/>
      <c r="D96" s="523" t="s">
        <v>144</v>
      </c>
      <c r="E96" s="764">
        <f>'27'!F96</f>
        <v>0</v>
      </c>
      <c r="F96" s="743"/>
      <c r="G96" s="473">
        <f t="shared" si="12"/>
        <v>0</v>
      </c>
      <c r="H96" s="460">
        <f>G96+'27'!H96</f>
        <v>-101332</v>
      </c>
      <c r="I96" s="480"/>
      <c r="J96" s="553">
        <f>H96/DAY(B2)</f>
        <v>-3619</v>
      </c>
      <c r="K96" s="427"/>
      <c r="L96" s="377"/>
      <c r="N96" s="1110">
        <f>F96-'1'!E96</f>
        <v>-101332</v>
      </c>
    </row>
    <row r="97" spans="1:17" ht="27.75">
      <c r="A97" s="1148" t="s">
        <v>211</v>
      </c>
      <c r="B97" s="1149"/>
      <c r="C97" s="1149"/>
      <c r="D97" s="523" t="s">
        <v>144</v>
      </c>
      <c r="E97" s="764">
        <f>'27'!F97</f>
        <v>0</v>
      </c>
      <c r="F97" s="743"/>
      <c r="G97" s="473">
        <f t="shared" si="12"/>
        <v>0</v>
      </c>
      <c r="H97" s="460">
        <f>G97+'27'!H97</f>
        <v>-96449</v>
      </c>
      <c r="I97" s="480"/>
      <c r="J97" s="553">
        <f>H97/DAY(B2)</f>
        <v>-3444.6071428571427</v>
      </c>
      <c r="K97" s="432"/>
      <c r="L97" s="377"/>
      <c r="N97" s="1110">
        <f>F97-'1'!E97</f>
        <v>-96449</v>
      </c>
    </row>
    <row r="98" spans="1:17" ht="27.75">
      <c r="A98" s="1148" t="s">
        <v>212</v>
      </c>
      <c r="B98" s="1149"/>
      <c r="C98" s="1149"/>
      <c r="D98" s="523" t="s">
        <v>144</v>
      </c>
      <c r="E98" s="764">
        <f>'27'!F98</f>
        <v>0</v>
      </c>
      <c r="F98" s="743"/>
      <c r="G98" s="473">
        <f t="shared" si="12"/>
        <v>0</v>
      </c>
      <c r="H98" s="460">
        <f>G98+'27'!H98</f>
        <v>-147608</v>
      </c>
      <c r="I98" s="480"/>
      <c r="J98" s="553">
        <f>H98/DAY(B2)</f>
        <v>-5271.7142857142853</v>
      </c>
      <c r="K98" s="380"/>
      <c r="L98" s="377"/>
      <c r="N98" s="1110">
        <f>F98-'1'!E98</f>
        <v>-147608</v>
      </c>
    </row>
    <row r="99" spans="1:17" ht="27.75">
      <c r="A99" s="1148" t="s">
        <v>213</v>
      </c>
      <c r="B99" s="1149"/>
      <c r="C99" s="1149"/>
      <c r="D99" s="523" t="s">
        <v>144</v>
      </c>
      <c r="E99" s="764">
        <f>'27'!F99</f>
        <v>0</v>
      </c>
      <c r="F99" s="743"/>
      <c r="G99" s="473">
        <f t="shared" si="12"/>
        <v>0</v>
      </c>
      <c r="H99" s="460">
        <f>G99+'27'!H99</f>
        <v>-6408</v>
      </c>
      <c r="I99" s="480"/>
      <c r="J99" s="553">
        <f>H99/DAY(B2)</f>
        <v>-228.85714285714286</v>
      </c>
      <c r="K99" s="380"/>
      <c r="L99" s="377"/>
      <c r="N99" s="1110">
        <f>F99-'1'!E99</f>
        <v>-6408</v>
      </c>
    </row>
    <row r="100" spans="1:17" ht="27.75">
      <c r="A100" s="1148" t="s">
        <v>214</v>
      </c>
      <c r="B100" s="1149"/>
      <c r="C100" s="1149"/>
      <c r="D100" s="523" t="s">
        <v>144</v>
      </c>
      <c r="E100" s="764">
        <f>'27'!F100</f>
        <v>0</v>
      </c>
      <c r="F100" s="743"/>
      <c r="G100" s="473">
        <f t="shared" si="12"/>
        <v>0</v>
      </c>
      <c r="H100" s="460">
        <f>G100+'27'!H100</f>
        <v>-4543</v>
      </c>
      <c r="I100" s="480"/>
      <c r="J100" s="553">
        <f>H100/DAY(B2)</f>
        <v>-162.25</v>
      </c>
      <c r="K100" s="380"/>
      <c r="L100" s="377"/>
      <c r="N100" s="1110">
        <f>F100-'1'!E100</f>
        <v>-4543</v>
      </c>
    </row>
    <row r="101" spans="1:17">
      <c r="A101" s="1405" t="s">
        <v>216</v>
      </c>
      <c r="B101" s="1406"/>
      <c r="C101" s="1407"/>
      <c r="D101" s="524"/>
      <c r="E101" s="486"/>
      <c r="F101" s="486"/>
      <c r="G101" s="525">
        <f>SUM(G95:G100)</f>
        <v>0</v>
      </c>
      <c r="H101" s="460">
        <f>G101+'27'!H101</f>
        <v>-764496</v>
      </c>
      <c r="I101" s="526"/>
      <c r="J101" s="553">
        <f>H101/DAY(B2)</f>
        <v>-27303.428571428572</v>
      </c>
      <c r="K101" s="380"/>
      <c r="L101" s="377"/>
      <c r="N101" s="1110">
        <f>F101-'1'!E101</f>
        <v>0</v>
      </c>
    </row>
    <row r="102" spans="1:17" s="442" customFormat="1" ht="27">
      <c r="A102" s="608" t="s">
        <v>217</v>
      </c>
      <c r="B102" s="609"/>
      <c r="C102" s="609"/>
      <c r="D102" s="622"/>
      <c r="E102" s="770"/>
      <c r="F102" s="756"/>
      <c r="G102" s="529"/>
      <c r="H102" s="530"/>
      <c r="I102" s="531"/>
      <c r="J102" s="558"/>
      <c r="N102" s="1110">
        <f>F102-'1'!E102</f>
        <v>0</v>
      </c>
      <c r="O102" s="775"/>
      <c r="P102" s="775"/>
      <c r="Q102" s="775"/>
    </row>
    <row r="103" spans="1:17" s="442" customFormat="1" ht="27">
      <c r="A103" s="1414" t="s">
        <v>218</v>
      </c>
      <c r="B103" s="1415"/>
      <c r="C103" s="574"/>
      <c r="D103" s="623"/>
      <c r="E103" s="533"/>
      <c r="F103" s="757"/>
      <c r="G103" s="532"/>
      <c r="H103" s="533"/>
      <c r="I103" s="532"/>
      <c r="J103" s="559"/>
      <c r="N103" s="1110">
        <f>F103-'1'!E103</f>
        <v>0</v>
      </c>
      <c r="O103" s="775"/>
      <c r="P103" s="775"/>
      <c r="Q103" s="775"/>
    </row>
    <row r="104" spans="1:17" s="442" customFormat="1" ht="27">
      <c r="A104" s="1416" t="s">
        <v>219</v>
      </c>
      <c r="B104" s="1417"/>
      <c r="C104" s="1147"/>
      <c r="D104" s="623" t="s">
        <v>144</v>
      </c>
      <c r="E104" s="533">
        <f>'27'!F104</f>
        <v>0</v>
      </c>
      <c r="F104" s="757"/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2.8267857142857173</v>
      </c>
      <c r="N104" s="1110">
        <f>F104-'1'!E104</f>
        <v>-7128</v>
      </c>
      <c r="O104" s="775"/>
      <c r="P104" s="775"/>
      <c r="Q104" s="775"/>
    </row>
    <row r="105" spans="1:17" s="442" customFormat="1" ht="27">
      <c r="A105" s="1416" t="s">
        <v>77</v>
      </c>
      <c r="B105" s="1417"/>
      <c r="C105" s="1147"/>
      <c r="D105" s="623" t="s">
        <v>144</v>
      </c>
      <c r="E105" s="533">
        <f>'27'!F105</f>
        <v>0</v>
      </c>
      <c r="F105" s="665"/>
      <c r="G105" s="532">
        <f t="shared" ref="G105" si="13">F105-E105</f>
        <v>0</v>
      </c>
      <c r="H105" s="533">
        <f>SUM(G105+'1'!G77)</f>
        <v>45</v>
      </c>
      <c r="I105" s="532"/>
      <c r="J105" s="559">
        <f>H105/DAY(B2)</f>
        <v>1.6071428571428572</v>
      </c>
      <c r="N105" s="1110">
        <f>F105-'1'!E105</f>
        <v>-35407</v>
      </c>
      <c r="O105" s="775"/>
      <c r="P105" s="775"/>
      <c r="Q105" s="775"/>
    </row>
    <row r="106" spans="1:17" s="442" customFormat="1" ht="27">
      <c r="A106" s="1416" t="s">
        <v>78</v>
      </c>
      <c r="B106" s="1418"/>
      <c r="C106" s="1417"/>
      <c r="D106" s="623" t="s">
        <v>144</v>
      </c>
      <c r="E106" s="533">
        <f>'27'!F106</f>
        <v>0</v>
      </c>
      <c r="F106" s="665"/>
      <c r="G106" s="532">
        <f>F106-E106</f>
        <v>0</v>
      </c>
      <c r="H106" s="533">
        <f>SUM(G106+'1'!G78)</f>
        <v>390</v>
      </c>
      <c r="I106" s="532"/>
      <c r="J106" s="559">
        <f>H106/DAY(B2)</f>
        <v>13.928571428571429</v>
      </c>
      <c r="N106" s="1110">
        <f>F106-'1'!E106</f>
        <v>-19247</v>
      </c>
      <c r="O106" s="775"/>
      <c r="P106" s="775"/>
      <c r="Q106" s="775"/>
    </row>
    <row r="107" spans="1:17" s="442" customFormat="1" ht="27">
      <c r="A107" s="1419" t="s">
        <v>202</v>
      </c>
      <c r="B107" s="1420"/>
      <c r="C107" s="1147"/>
      <c r="D107" s="623"/>
      <c r="E107" s="533">
        <f>'27'!F107</f>
        <v>0</v>
      </c>
      <c r="F107" s="665"/>
      <c r="G107" s="532">
        <f>SUM(G104:G106)</f>
        <v>0</v>
      </c>
      <c r="H107" s="533">
        <f>SUM(G107+'1'!G79)</f>
        <v>192</v>
      </c>
      <c r="I107" s="532"/>
      <c r="J107" s="559">
        <f>H107/DAY(B2)</f>
        <v>6.8571428571428568</v>
      </c>
      <c r="N107" s="1110">
        <f>F107-'1'!E107</f>
        <v>0</v>
      </c>
      <c r="O107" s="775"/>
      <c r="P107" s="775"/>
      <c r="Q107" s="775"/>
    </row>
    <row r="108" spans="1:17" s="442" customFormat="1" ht="27">
      <c r="A108" s="1421" t="s">
        <v>79</v>
      </c>
      <c r="B108" s="1422"/>
      <c r="C108" s="1147"/>
      <c r="D108" s="623" t="s">
        <v>144</v>
      </c>
      <c r="E108" s="533">
        <f>'27'!F108</f>
        <v>0</v>
      </c>
      <c r="F108" s="665"/>
      <c r="G108" s="532"/>
      <c r="H108" s="533"/>
      <c r="I108" s="532"/>
      <c r="J108" s="559"/>
      <c r="N108" s="1110">
        <f>F108-'1'!E108</f>
        <v>0</v>
      </c>
      <c r="O108" s="775"/>
      <c r="P108" s="775"/>
      <c r="Q108" s="775"/>
    </row>
    <row r="109" spans="1:17" s="442" customFormat="1" ht="27">
      <c r="A109" s="1416" t="s">
        <v>220</v>
      </c>
      <c r="B109" s="1417"/>
      <c r="C109" s="1147"/>
      <c r="D109" s="623" t="s">
        <v>144</v>
      </c>
      <c r="E109" s="533">
        <f>'27'!F109</f>
        <v>0</v>
      </c>
      <c r="F109" s="665"/>
      <c r="G109" s="532">
        <f>F109-E109</f>
        <v>0</v>
      </c>
      <c r="H109" s="533">
        <f>SUM(G109+'1'!G81)</f>
        <v>112.56000000005588</v>
      </c>
      <c r="I109" s="532"/>
      <c r="J109" s="559">
        <f>H109/DAY(B2)</f>
        <v>4.0200000000019953</v>
      </c>
      <c r="N109" s="1110">
        <f>F109-'1'!E109</f>
        <v>-56353</v>
      </c>
      <c r="O109" s="775"/>
      <c r="P109" s="775"/>
      <c r="Q109" s="775"/>
    </row>
    <row r="110" spans="1:17" s="442" customFormat="1" ht="27">
      <c r="A110" s="1416" t="s">
        <v>221</v>
      </c>
      <c r="B110" s="1417"/>
      <c r="C110" s="1147"/>
      <c r="D110" s="623" t="s">
        <v>144</v>
      </c>
      <c r="E110" s="533">
        <f>'27'!F110</f>
        <v>0</v>
      </c>
      <c r="F110" s="665"/>
      <c r="G110" s="532">
        <f t="shared" ref="G110:G111" si="14">F110-E110</f>
        <v>0</v>
      </c>
      <c r="H110" s="533">
        <f>SUM(G110+'1'!G82)</f>
        <v>18.169999999998254</v>
      </c>
      <c r="I110" s="532"/>
      <c r="J110" s="559">
        <f>H110/DAY(B2)</f>
        <v>0.64892857142850902</v>
      </c>
      <c r="N110" s="1110">
        <f>F110-'1'!E110</f>
        <v>-30527</v>
      </c>
      <c r="O110" s="775"/>
      <c r="P110" s="775"/>
      <c r="Q110" s="775"/>
    </row>
    <row r="111" spans="1:17" s="442" customFormat="1" ht="27">
      <c r="A111" s="1416" t="s">
        <v>222</v>
      </c>
      <c r="B111" s="1417"/>
      <c r="C111" s="1147"/>
      <c r="D111" s="623" t="s">
        <v>144</v>
      </c>
      <c r="E111" s="533">
        <f>'27'!F111</f>
        <v>0</v>
      </c>
      <c r="F111" s="665"/>
      <c r="G111" s="534">
        <f t="shared" si="14"/>
        <v>0</v>
      </c>
      <c r="H111" s="533">
        <f>SUM(G111+'1'!G83)</f>
        <v>520</v>
      </c>
      <c r="I111" s="532"/>
      <c r="J111" s="559">
        <f>H111/DAY(B2)</f>
        <v>18.571428571428573</v>
      </c>
      <c r="N111" s="1110">
        <f>F111-'1'!E111</f>
        <v>-3980</v>
      </c>
      <c r="O111" s="775"/>
      <c r="P111" s="775"/>
      <c r="Q111" s="775"/>
    </row>
    <row r="112" spans="1:17" s="442" customFormat="1" ht="27">
      <c r="A112" s="1419" t="s">
        <v>110</v>
      </c>
      <c r="B112" s="1420"/>
      <c r="C112" s="1147"/>
      <c r="D112" s="623"/>
      <c r="E112" s="533">
        <f>'27'!F112</f>
        <v>0</v>
      </c>
      <c r="F112" s="665"/>
      <c r="G112" s="532">
        <f>SUM(G109:G111)</f>
        <v>0</v>
      </c>
      <c r="H112" s="533">
        <f>SUM(G112+'1'!G84)</f>
        <v>690</v>
      </c>
      <c r="I112" s="532"/>
      <c r="J112" s="559">
        <f>H112/DAY(B2)</f>
        <v>24.642857142857142</v>
      </c>
      <c r="N112" s="1110">
        <f>F112-'1'!E112</f>
        <v>0</v>
      </c>
      <c r="O112" s="775"/>
      <c r="P112" s="775"/>
      <c r="Q112" s="775"/>
    </row>
    <row r="113" spans="1:17" s="442" customFormat="1" ht="27">
      <c r="A113" s="1421" t="s">
        <v>223</v>
      </c>
      <c r="B113" s="1422"/>
      <c r="C113" s="1147"/>
      <c r="D113" s="623"/>
      <c r="E113" s="533">
        <f>'27'!F113</f>
        <v>0</v>
      </c>
      <c r="F113" s="665"/>
      <c r="G113" s="532"/>
      <c r="H113" s="533"/>
      <c r="I113" s="532"/>
      <c r="J113" s="559">
        <f>H113/DAY(B2)</f>
        <v>0</v>
      </c>
      <c r="N113" s="1110">
        <f>F113-'1'!E113</f>
        <v>0</v>
      </c>
      <c r="O113" s="775"/>
      <c r="P113" s="775"/>
      <c r="Q113" s="775"/>
    </row>
    <row r="114" spans="1:17" s="442" customFormat="1" ht="27">
      <c r="A114" s="1416" t="s">
        <v>224</v>
      </c>
      <c r="B114" s="1417"/>
      <c r="C114" s="575"/>
      <c r="D114" s="623" t="s">
        <v>144</v>
      </c>
      <c r="E114" s="533">
        <f>'27'!F114</f>
        <v>0</v>
      </c>
      <c r="F114" s="665"/>
      <c r="G114" s="534">
        <f>F114-E114</f>
        <v>0</v>
      </c>
      <c r="H114" s="533">
        <f>SUM(G114+'1'!G91)</f>
        <v>0</v>
      </c>
      <c r="I114" s="532"/>
      <c r="J114" s="559">
        <f>H114/DAY(B2)</f>
        <v>0</v>
      </c>
      <c r="N114" s="1110">
        <f>F114-'1'!E114</f>
        <v>-10322</v>
      </c>
      <c r="O114" s="775"/>
      <c r="P114" s="775"/>
      <c r="Q114" s="775"/>
    </row>
    <row r="115" spans="1:17" s="442" customFormat="1" ht="27">
      <c r="A115" s="1416" t="s">
        <v>225</v>
      </c>
      <c r="B115" s="1417"/>
      <c r="C115" s="575"/>
      <c r="D115" s="623" t="s">
        <v>144</v>
      </c>
      <c r="E115" s="533">
        <f>'27'!F115</f>
        <v>0</v>
      </c>
      <c r="F115" s="665"/>
      <c r="G115" s="534">
        <f t="shared" ref="G115:G116" si="15">F115-E115</f>
        <v>0</v>
      </c>
      <c r="H115" s="533">
        <f>SUM(G115+'1'!G92)</f>
        <v>122</v>
      </c>
      <c r="I115" s="532"/>
      <c r="J115" s="559">
        <f>H115/DAY(B2)</f>
        <v>4.3571428571428568</v>
      </c>
      <c r="N115" s="1110">
        <f>F115-'1'!E115</f>
        <v>-7667</v>
      </c>
      <c r="O115" s="775"/>
      <c r="P115" s="775"/>
      <c r="Q115" s="775"/>
    </row>
    <row r="116" spans="1:17" s="442" customFormat="1" ht="27">
      <c r="A116" s="1416" t="s">
        <v>226</v>
      </c>
      <c r="B116" s="1417"/>
      <c r="C116" s="575"/>
      <c r="D116" s="623" t="s">
        <v>144</v>
      </c>
      <c r="E116" s="536"/>
      <c r="F116" s="665"/>
      <c r="G116" s="534">
        <f t="shared" si="15"/>
        <v>0</v>
      </c>
      <c r="H116" s="533">
        <f>SUM(G116+'1'!G93)</f>
        <v>144</v>
      </c>
      <c r="I116" s="532"/>
      <c r="J116" s="559">
        <f>H116/DAY(B2)</f>
        <v>5.1428571428571432</v>
      </c>
      <c r="N116" s="1110">
        <f>F116-'1'!E116</f>
        <v>0</v>
      </c>
      <c r="O116" s="775"/>
      <c r="P116" s="775"/>
      <c r="Q116" s="775"/>
    </row>
    <row r="117" spans="1:17" s="445" customFormat="1" ht="27">
      <c r="A117" s="1419" t="s">
        <v>202</v>
      </c>
      <c r="B117" s="1420"/>
      <c r="C117" s="575"/>
      <c r="D117" s="624"/>
      <c r="E117" s="536"/>
      <c r="F117" s="665"/>
      <c r="G117" s="534">
        <f>SUM(G114:G116)</f>
        <v>0</v>
      </c>
      <c r="H117" s="533">
        <f>SUM(G117+'1'!G95)</f>
        <v>76</v>
      </c>
      <c r="I117" s="534"/>
      <c r="J117" s="559">
        <f>H117/DAY(B2)</f>
        <v>2.7142857142857144</v>
      </c>
      <c r="N117" s="1110">
        <f>F117-'1'!E117</f>
        <v>0</v>
      </c>
      <c r="O117" s="775"/>
      <c r="P117" s="775"/>
      <c r="Q117" s="776"/>
    </row>
    <row r="118" spans="1:17" s="446" customFormat="1" ht="27">
      <c r="A118" s="1450" t="s">
        <v>227</v>
      </c>
      <c r="B118" s="1451"/>
      <c r="C118" s="1145"/>
      <c r="D118" s="625" t="s">
        <v>144</v>
      </c>
      <c r="E118" s="536"/>
      <c r="F118" s="665"/>
      <c r="G118" s="536">
        <f>SUM(G19+G92)</f>
        <v>0</v>
      </c>
      <c r="H118" s="533">
        <f>SUM(G118+'1'!G96)</f>
        <v>13</v>
      </c>
      <c r="I118" s="535"/>
      <c r="J118" s="560">
        <f>H118/DAY(B2)</f>
        <v>0.4642857142857143</v>
      </c>
      <c r="N118" s="1110">
        <f>F118-'1'!E118</f>
        <v>-374333</v>
      </c>
      <c r="O118" s="775"/>
      <c r="P118" s="775"/>
      <c r="Q118" s="776"/>
    </row>
    <row r="119" spans="1:17" s="446" customFormat="1" ht="27">
      <c r="A119" s="1450" t="s">
        <v>228</v>
      </c>
      <c r="B119" s="1451"/>
      <c r="C119" s="1145"/>
      <c r="D119" s="625" t="s">
        <v>144</v>
      </c>
      <c r="E119" s="536"/>
      <c r="F119" s="665"/>
      <c r="G119" s="536">
        <f>SUM(G95,G96,G97,G99,G100)</f>
        <v>0</v>
      </c>
      <c r="H119" s="533">
        <f>SUM(G119+'1'!G98)</f>
        <v>70</v>
      </c>
      <c r="I119" s="535"/>
      <c r="J119" s="560">
        <f>H119/DAY(B2)</f>
        <v>2.5</v>
      </c>
      <c r="N119" s="1110">
        <f>F119-'1'!E119</f>
        <v>-617032</v>
      </c>
      <c r="O119" s="775"/>
      <c r="P119" s="775"/>
      <c r="Q119" s="776"/>
    </row>
    <row r="120" spans="1:17" s="446" customFormat="1" ht="27">
      <c r="A120" s="1450" t="s">
        <v>229</v>
      </c>
      <c r="B120" s="1451"/>
      <c r="C120" s="1145"/>
      <c r="D120" s="625" t="s">
        <v>144</v>
      </c>
      <c r="E120" s="536"/>
      <c r="F120" s="665"/>
      <c r="G120" s="534">
        <f>SUM(G112)</f>
        <v>0</v>
      </c>
      <c r="H120" s="533">
        <f>SUM(G120+'1'!G100)</f>
        <v>14</v>
      </c>
      <c r="I120" s="535"/>
      <c r="J120" s="560">
        <f>H120/DAY(B2)</f>
        <v>0.5</v>
      </c>
      <c r="N120" s="1110">
        <f>F120-'1'!E120</f>
        <v>0</v>
      </c>
      <c r="O120" s="775"/>
      <c r="P120" s="775"/>
      <c r="Q120" s="776"/>
    </row>
    <row r="121" spans="1:17" s="442" customFormat="1" ht="27">
      <c r="A121" s="1452"/>
      <c r="B121" s="1453"/>
      <c r="C121" s="1146"/>
      <c r="D121" s="561"/>
      <c r="E121" s="771"/>
      <c r="F121" s="758"/>
      <c r="G121" s="561"/>
      <c r="H121" s="562"/>
      <c r="I121" s="561"/>
      <c r="J121" s="563"/>
      <c r="N121" s="1110" t="e">
        <f>F121-'1'!E121</f>
        <v>#VALUE!</v>
      </c>
      <c r="O121" s="775"/>
      <c r="P121" s="775"/>
      <c r="Q121" s="775"/>
    </row>
    <row r="122" spans="1:17">
      <c r="A122" s="1402" t="s">
        <v>230</v>
      </c>
      <c r="B122" s="1403"/>
      <c r="C122" s="1404"/>
      <c r="D122" s="472"/>
      <c r="E122" s="744"/>
      <c r="F122" s="744"/>
      <c r="G122" s="483"/>
      <c r="H122" s="483"/>
      <c r="I122" s="483"/>
      <c r="J122" s="564"/>
      <c r="K122" s="380"/>
      <c r="L122" s="377"/>
      <c r="N122" s="1110">
        <f>F122-'1'!E122</f>
        <v>0</v>
      </c>
    </row>
    <row r="123" spans="1:17" ht="27.75">
      <c r="A123" s="1148" t="s">
        <v>231</v>
      </c>
      <c r="B123" s="1149"/>
      <c r="C123" s="1149"/>
      <c r="D123" s="523" t="s">
        <v>141</v>
      </c>
      <c r="E123" s="743">
        <f>'27'!F123</f>
        <v>0</v>
      </c>
      <c r="F123" s="743"/>
      <c r="G123" s="473">
        <f t="shared" ref="G123:G127" si="16">F123-E123</f>
        <v>0</v>
      </c>
      <c r="H123" s="460">
        <f>G123+'27'!H123</f>
        <v>-811006.84</v>
      </c>
      <c r="I123" s="526"/>
      <c r="J123" s="553">
        <f>H123/DAY(B2)</f>
        <v>-28964.53</v>
      </c>
      <c r="K123" s="380"/>
      <c r="L123" s="377"/>
      <c r="N123" s="1110">
        <f>F123-'1'!E123</f>
        <v>-811006.84</v>
      </c>
    </row>
    <row r="124" spans="1:17" ht="27.75">
      <c r="A124" s="1148" t="s">
        <v>232</v>
      </c>
      <c r="B124" s="1149"/>
      <c r="C124" s="1149"/>
      <c r="D124" s="523" t="s">
        <v>141</v>
      </c>
      <c r="E124" s="743">
        <f>'27'!F124</f>
        <v>0</v>
      </c>
      <c r="F124" s="759"/>
      <c r="G124" s="473">
        <f t="shared" si="16"/>
        <v>0</v>
      </c>
      <c r="H124" s="460">
        <f>G124+'27'!H124</f>
        <v>-73583.399999999994</v>
      </c>
      <c r="I124" s="526"/>
      <c r="J124" s="553">
        <f>H124/DAY(B2)</f>
        <v>-2627.9785714285713</v>
      </c>
      <c r="K124" s="380"/>
      <c r="L124" s="377"/>
      <c r="N124" s="1110">
        <f>F124-'1'!E124</f>
        <v>-73583.399999999994</v>
      </c>
    </row>
    <row r="125" spans="1:17" ht="27.75">
      <c r="A125" s="1408" t="s">
        <v>233</v>
      </c>
      <c r="B125" s="1409"/>
      <c r="C125" s="1410"/>
      <c r="D125" s="523" t="s">
        <v>141</v>
      </c>
      <c r="E125" s="743">
        <f>'27'!F125</f>
        <v>0</v>
      </c>
      <c r="F125" s="743"/>
      <c r="G125" s="473">
        <f t="shared" si="16"/>
        <v>0</v>
      </c>
      <c r="H125" s="460">
        <f>G125+'27'!H125</f>
        <v>-139979.34</v>
      </c>
      <c r="I125" s="526"/>
      <c r="J125" s="553">
        <f>H125/DAY(B2)</f>
        <v>-4999.2621428571429</v>
      </c>
      <c r="K125" s="380"/>
      <c r="L125" s="377"/>
      <c r="N125" s="1110">
        <f>F125-'1'!E125</f>
        <v>-139979.34</v>
      </c>
    </row>
    <row r="126" spans="1:17" ht="27.75">
      <c r="A126" s="610" t="s">
        <v>234</v>
      </c>
      <c r="B126" s="1149"/>
      <c r="C126" s="1149"/>
      <c r="D126" s="523" t="s">
        <v>141</v>
      </c>
      <c r="E126" s="743">
        <f>'27'!F126</f>
        <v>0</v>
      </c>
      <c r="F126" s="759"/>
      <c r="G126" s="473">
        <f t="shared" si="16"/>
        <v>0</v>
      </c>
      <c r="H126" s="460">
        <f>G126+'27'!H126</f>
        <v>-59306.9</v>
      </c>
      <c r="I126" s="526"/>
      <c r="J126" s="553">
        <f>H126/DAY(B2)</f>
        <v>-2118.1035714285713</v>
      </c>
      <c r="K126" s="380"/>
      <c r="L126" s="377"/>
      <c r="N126" s="1110">
        <f>F126-'1'!E126</f>
        <v>-59306.9</v>
      </c>
    </row>
    <row r="127" spans="1:17" ht="27.75">
      <c r="A127" s="610" t="s">
        <v>235</v>
      </c>
      <c r="B127" s="1149"/>
      <c r="C127" s="1149"/>
      <c r="D127" s="523" t="s">
        <v>141</v>
      </c>
      <c r="E127" s="743">
        <f>'27'!F127</f>
        <v>0</v>
      </c>
      <c r="F127" s="759"/>
      <c r="G127" s="473">
        <f t="shared" si="16"/>
        <v>0</v>
      </c>
      <c r="H127" s="460">
        <f>G127+'27'!H127</f>
        <v>-8887.7999999999993</v>
      </c>
      <c r="I127" s="480"/>
      <c r="J127" s="553">
        <f>H127/DAY(B2)</f>
        <v>-317.42142857142852</v>
      </c>
      <c r="K127" s="380"/>
      <c r="L127" s="377"/>
      <c r="N127" s="1110">
        <f>F127-'1'!E127</f>
        <v>-8887.7999999999993</v>
      </c>
    </row>
    <row r="128" spans="1:17" s="281" customFormat="1" ht="27">
      <c r="A128" s="610" t="s">
        <v>236</v>
      </c>
      <c r="B128" s="1149"/>
      <c r="C128" s="1149"/>
      <c r="D128" s="523"/>
      <c r="E128" s="743"/>
      <c r="F128" s="743"/>
      <c r="G128" s="473">
        <f>G15-SUM(G123:G127)</f>
        <v>0</v>
      </c>
      <c r="H128" s="460"/>
      <c r="I128" s="480"/>
      <c r="J128" s="553"/>
      <c r="K128" s="364"/>
      <c r="L128" s="292"/>
      <c r="N128" s="1110">
        <f>F128-'1'!E128</f>
        <v>0</v>
      </c>
      <c r="O128" s="775"/>
      <c r="P128" s="775"/>
      <c r="Q128" s="775"/>
    </row>
    <row r="129" spans="1:12">
      <c r="A129" s="611" t="s">
        <v>237</v>
      </c>
      <c r="B129" s="458"/>
      <c r="C129" s="458"/>
      <c r="D129" s="471"/>
      <c r="E129" s="495"/>
      <c r="F129" s="495"/>
      <c r="G129" s="541"/>
      <c r="H129" s="541"/>
      <c r="I129" s="541"/>
      <c r="J129" s="565"/>
    </row>
    <row r="130" spans="1:12" ht="27.75">
      <c r="A130" s="1148" t="s">
        <v>238</v>
      </c>
      <c r="B130" s="1149"/>
      <c r="C130" s="1149"/>
      <c r="D130" s="523" t="s">
        <v>239</v>
      </c>
      <c r="E130" s="764">
        <f>'27'!F130</f>
        <v>0</v>
      </c>
      <c r="F130" s="743"/>
      <c r="G130" s="473">
        <f t="shared" ref="G130:G140" si="17">F130-E130</f>
        <v>0</v>
      </c>
      <c r="H130" s="460">
        <f>G130+'27'!H130</f>
        <v>0</v>
      </c>
      <c r="I130" s="480"/>
      <c r="J130" s="553">
        <f>H130/DAY(B2)</f>
        <v>0</v>
      </c>
    </row>
    <row r="131" spans="1:12" ht="27.75">
      <c r="A131" s="1148" t="s">
        <v>240</v>
      </c>
      <c r="B131" s="1149"/>
      <c r="C131" s="1149"/>
      <c r="D131" s="523" t="s">
        <v>239</v>
      </c>
      <c r="E131" s="764">
        <f>'27'!F131</f>
        <v>0</v>
      </c>
      <c r="F131" s="743"/>
      <c r="G131" s="473">
        <f t="shared" si="17"/>
        <v>0</v>
      </c>
      <c r="H131" s="460">
        <f>G131+'27'!H131</f>
        <v>0</v>
      </c>
      <c r="I131" s="480"/>
      <c r="J131" s="553">
        <f>H131/DAY(B2)</f>
        <v>0</v>
      </c>
    </row>
    <row r="132" spans="1:12" ht="27.75">
      <c r="A132" s="1148" t="s">
        <v>241</v>
      </c>
      <c r="B132" s="1149"/>
      <c r="C132" s="1149"/>
      <c r="D132" s="523" t="s">
        <v>239</v>
      </c>
      <c r="E132" s="773">
        <f>'27'!F132</f>
        <v>0</v>
      </c>
      <c r="F132" s="759"/>
      <c r="G132" s="473">
        <f t="shared" si="17"/>
        <v>0</v>
      </c>
      <c r="H132" s="460">
        <f>G132+'27'!H132</f>
        <v>-38838.33</v>
      </c>
      <c r="I132" s="480"/>
      <c r="J132" s="553">
        <f>H132/DAY(B2)</f>
        <v>-1387.0832142857143</v>
      </c>
    </row>
    <row r="133" spans="1:12" ht="27.75">
      <c r="A133" s="1148" t="s">
        <v>242</v>
      </c>
      <c r="B133" s="1149"/>
      <c r="C133" s="1149"/>
      <c r="D133" s="523" t="s">
        <v>239</v>
      </c>
      <c r="E133" s="773">
        <f>'27'!F133</f>
        <v>0</v>
      </c>
      <c r="F133" s="759"/>
      <c r="G133" s="473">
        <f t="shared" si="17"/>
        <v>0</v>
      </c>
      <c r="H133" s="460">
        <f>G133+'27'!H133</f>
        <v>-300</v>
      </c>
      <c r="I133" s="480">
        <f>G130+G131+G132+G133</f>
        <v>0</v>
      </c>
      <c r="J133" s="553">
        <f>H133/DAY(B2)</f>
        <v>-10.714285714285714</v>
      </c>
    </row>
    <row r="134" spans="1:12" ht="27.75">
      <c r="A134" s="1148" t="s">
        <v>243</v>
      </c>
      <c r="B134" s="1149"/>
      <c r="C134" s="1149"/>
      <c r="D134" s="523" t="s">
        <v>239</v>
      </c>
      <c r="E134" s="773">
        <f>'27'!F134</f>
        <v>0</v>
      </c>
      <c r="F134" s="759"/>
      <c r="G134" s="473">
        <f t="shared" si="17"/>
        <v>0</v>
      </c>
      <c r="H134" s="460">
        <f>G134+'27'!H134</f>
        <v>-40778</v>
      </c>
      <c r="I134" s="480"/>
      <c r="J134" s="553">
        <f>H134/DAY(B2)</f>
        <v>-1456.3571428571429</v>
      </c>
    </row>
    <row r="135" spans="1:12" ht="27.75">
      <c r="A135" s="1148" t="s">
        <v>244</v>
      </c>
      <c r="B135" s="1149"/>
      <c r="C135" s="1149"/>
      <c r="D135" s="523" t="s">
        <v>239</v>
      </c>
      <c r="E135" s="772">
        <f>'27'!F135</f>
        <v>0</v>
      </c>
      <c r="F135" s="750"/>
      <c r="G135" s="473">
        <f t="shared" si="17"/>
        <v>0</v>
      </c>
      <c r="H135" s="460">
        <f>G135+'27'!H135</f>
        <v>-32569.93</v>
      </c>
      <c r="I135" s="480"/>
      <c r="J135" s="553">
        <f>H135/DAY(B2)</f>
        <v>-1163.2117857142857</v>
      </c>
    </row>
    <row r="136" spans="1:12" ht="27.75">
      <c r="A136" s="1148" t="s">
        <v>245</v>
      </c>
      <c r="B136" s="1149"/>
      <c r="C136" s="1149"/>
      <c r="D136" s="523" t="s">
        <v>239</v>
      </c>
      <c r="E136" s="772">
        <f>'27'!F136</f>
        <v>0</v>
      </c>
      <c r="F136" s="750"/>
      <c r="G136" s="473">
        <f t="shared" si="17"/>
        <v>0</v>
      </c>
      <c r="H136" s="460">
        <f>G136+'27'!H136</f>
        <v>-22222.21</v>
      </c>
      <c r="I136" s="480">
        <f>G134+G135+G136</f>
        <v>0</v>
      </c>
      <c r="J136" s="553">
        <f>H136/DAY(B2)</f>
        <v>-793.65035714285716</v>
      </c>
    </row>
    <row r="137" spans="1:12" ht="27.75">
      <c r="A137" s="1148" t="s">
        <v>246</v>
      </c>
      <c r="B137" s="1149"/>
      <c r="C137" s="1149"/>
      <c r="D137" s="523" t="s">
        <v>239</v>
      </c>
      <c r="E137" s="772">
        <f>'27'!F137</f>
        <v>0</v>
      </c>
      <c r="F137" s="750"/>
      <c r="G137" s="473">
        <f t="shared" si="17"/>
        <v>0</v>
      </c>
      <c r="H137" s="460">
        <f>G137+'27'!H137</f>
        <v>-25036.31</v>
      </c>
      <c r="I137" s="480"/>
      <c r="J137" s="553">
        <f>H137/DAY(B2)</f>
        <v>-894.15392857142865</v>
      </c>
    </row>
    <row r="138" spans="1:12" ht="27.75">
      <c r="A138" s="1148" t="s">
        <v>247</v>
      </c>
      <c r="B138" s="1149"/>
      <c r="C138" s="1149"/>
      <c r="D138" s="523" t="s">
        <v>239</v>
      </c>
      <c r="E138" s="772">
        <f>'27'!F138</f>
        <v>0</v>
      </c>
      <c r="F138" s="750"/>
      <c r="G138" s="473">
        <f t="shared" si="17"/>
        <v>0</v>
      </c>
      <c r="H138" s="460">
        <f>G138+'27'!H138</f>
        <v>-70223</v>
      </c>
      <c r="I138" s="480">
        <f>G137+G138</f>
        <v>0</v>
      </c>
      <c r="J138" s="553">
        <f>H138/DAY(B2)</f>
        <v>-2507.9642857142858</v>
      </c>
    </row>
    <row r="139" spans="1:12" ht="27.75">
      <c r="A139" s="1148" t="s">
        <v>248</v>
      </c>
      <c r="B139" s="1149"/>
      <c r="C139" s="1149"/>
      <c r="D139" s="523" t="s">
        <v>239</v>
      </c>
      <c r="E139" s="773">
        <f>'27'!F139</f>
        <v>0</v>
      </c>
      <c r="F139" s="759"/>
      <c r="G139" s="473">
        <f t="shared" si="17"/>
        <v>0</v>
      </c>
      <c r="H139" s="460">
        <f>G139+'27'!H139</f>
        <v>-1423.14</v>
      </c>
      <c r="I139" s="543"/>
      <c r="J139" s="553">
        <f>H139/DAY(B2)</f>
        <v>-50.826428571428572</v>
      </c>
    </row>
    <row r="140" spans="1:12" ht="27.75">
      <c r="A140" s="1148" t="s">
        <v>249</v>
      </c>
      <c r="B140" s="1149"/>
      <c r="C140" s="1149"/>
      <c r="D140" s="523" t="s">
        <v>239</v>
      </c>
      <c r="E140" s="772">
        <f>'27'!F140</f>
        <v>0</v>
      </c>
      <c r="F140" s="743"/>
      <c r="G140" s="473">
        <f t="shared" si="17"/>
        <v>0</v>
      </c>
      <c r="H140" s="460">
        <f>G140+'27'!H140</f>
        <v>-4334</v>
      </c>
      <c r="I140" s="543"/>
      <c r="J140" s="553">
        <f>H140/DAY(B2)</f>
        <v>-154.78571428571428</v>
      </c>
    </row>
    <row r="141" spans="1:12">
      <c r="A141" s="1446" t="s">
        <v>250</v>
      </c>
      <c r="B141" s="1447"/>
      <c r="C141" s="1154"/>
      <c r="D141" s="472"/>
      <c r="E141" s="744"/>
      <c r="F141" s="744"/>
      <c r="G141" s="483"/>
      <c r="H141" s="483"/>
      <c r="I141" s="483"/>
      <c r="J141" s="564"/>
      <c r="K141" s="380"/>
      <c r="L141" s="377"/>
    </row>
    <row r="142" spans="1:12" ht="27.75">
      <c r="A142" s="1411" t="s">
        <v>251</v>
      </c>
      <c r="B142" s="1412"/>
      <c r="C142" s="1413"/>
      <c r="D142" s="523" t="s">
        <v>132</v>
      </c>
      <c r="E142" s="460"/>
      <c r="F142" s="460"/>
      <c r="G142" s="460">
        <f>G35+G43+G49+G57</f>
        <v>0</v>
      </c>
      <c r="H142" s="460">
        <f>G142+'27'!H142</f>
        <v>-1789744.52</v>
      </c>
      <c r="I142" s="480"/>
      <c r="J142" s="553">
        <f>H142/DAY(B2)</f>
        <v>-63919.447142857141</v>
      </c>
      <c r="K142" s="380"/>
      <c r="L142" s="377"/>
    </row>
    <row r="143" spans="1:12" ht="27.75">
      <c r="A143" s="1411" t="s">
        <v>252</v>
      </c>
      <c r="B143" s="1412"/>
      <c r="C143" s="1413"/>
      <c r="D143" s="523" t="s">
        <v>24</v>
      </c>
      <c r="E143" s="470"/>
      <c r="F143" s="470"/>
      <c r="G143" s="544" t="e">
        <f>G142/G7</f>
        <v>#DIV/0!</v>
      </c>
      <c r="H143" s="460" t="e">
        <f>G143+'27'!H143</f>
        <v>#DIV/0!</v>
      </c>
      <c r="I143" s="545"/>
      <c r="J143" s="553" t="e">
        <f>H143/DAY(B2)</f>
        <v>#DIV/0!</v>
      </c>
      <c r="K143" s="380"/>
      <c r="L143" s="377"/>
    </row>
    <row r="144" spans="1:12" ht="27.75">
      <c r="A144" s="1411" t="s">
        <v>253</v>
      </c>
      <c r="B144" s="1412"/>
      <c r="C144" s="1413"/>
      <c r="D144" s="523" t="s">
        <v>132</v>
      </c>
      <c r="E144" s="460"/>
      <c r="F144" s="460"/>
      <c r="G144" s="460">
        <f>G41+G42+G55+G56</f>
        <v>0</v>
      </c>
      <c r="H144" s="460">
        <f>G144+'27'!H144</f>
        <v>-826647.94000000006</v>
      </c>
      <c r="I144" s="480"/>
      <c r="J144" s="553">
        <f>H144/DAY(B2)</f>
        <v>-29523.140714285717</v>
      </c>
      <c r="K144" s="380"/>
      <c r="L144" s="377"/>
    </row>
    <row r="145" spans="1:12" ht="27.75">
      <c r="A145" s="1411" t="s">
        <v>254</v>
      </c>
      <c r="B145" s="1412"/>
      <c r="C145" s="1413"/>
      <c r="D145" s="523" t="s">
        <v>24</v>
      </c>
      <c r="E145" s="460"/>
      <c r="F145" s="460"/>
      <c r="G145" s="544" t="e">
        <f>G144/G7</f>
        <v>#DIV/0!</v>
      </c>
      <c r="H145" s="460" t="e">
        <f>G145+'27'!H145</f>
        <v>#DIV/0!</v>
      </c>
      <c r="I145" s="545"/>
      <c r="J145" s="553" t="e">
        <f>H145/DAY(B2)</f>
        <v>#DIV/0!</v>
      </c>
      <c r="K145" s="380"/>
      <c r="L145" s="377"/>
    </row>
    <row r="146" spans="1:12" ht="27.75">
      <c r="A146" s="1411" t="s">
        <v>255</v>
      </c>
      <c r="B146" s="1412"/>
      <c r="C146" s="1413"/>
      <c r="D146" s="523" t="s">
        <v>132</v>
      </c>
      <c r="E146" s="460"/>
      <c r="F146" s="460"/>
      <c r="G146" s="460">
        <f>G39+G53</f>
        <v>0</v>
      </c>
      <c r="H146" s="460">
        <f>G146+'27'!H146</f>
        <v>-322461.62</v>
      </c>
      <c r="I146" s="546"/>
      <c r="J146" s="553">
        <f>H146/DAY(B2)</f>
        <v>-11516.486428571428</v>
      </c>
      <c r="K146" s="380"/>
      <c r="L146" s="377"/>
    </row>
    <row r="147" spans="1:12" ht="27.75">
      <c r="A147" s="1411" t="s">
        <v>256</v>
      </c>
      <c r="B147" s="1412"/>
      <c r="C147" s="1413"/>
      <c r="D147" s="523" t="s">
        <v>24</v>
      </c>
      <c r="E147" s="460"/>
      <c r="F147" s="460"/>
      <c r="G147" s="544" t="e">
        <f>G146/G7</f>
        <v>#DIV/0!</v>
      </c>
      <c r="H147" s="460" t="e">
        <f>G147+'27'!H147</f>
        <v>#DIV/0!</v>
      </c>
      <c r="I147" s="546"/>
      <c r="J147" s="553" t="e">
        <f>H147/DAY(B2)</f>
        <v>#DIV/0!</v>
      </c>
    </row>
    <row r="148" spans="1:12" ht="27.75">
      <c r="A148" s="1411" t="s">
        <v>257</v>
      </c>
      <c r="B148" s="1412"/>
      <c r="C148" s="1413"/>
      <c r="D148" s="523" t="s">
        <v>183</v>
      </c>
      <c r="E148" s="460"/>
      <c r="F148" s="460"/>
      <c r="G148" s="460">
        <f>G38+G52</f>
        <v>0</v>
      </c>
      <c r="H148" s="460">
        <f>G148+'27'!H148</f>
        <v>-551726.20000000007</v>
      </c>
      <c r="I148" s="480"/>
      <c r="J148" s="553">
        <f>H148/DAY(B2)</f>
        <v>-19704.507142857146</v>
      </c>
      <c r="K148" s="381"/>
    </row>
    <row r="149" spans="1:12" ht="27.75">
      <c r="A149" s="1411" t="s">
        <v>258</v>
      </c>
      <c r="B149" s="1412"/>
      <c r="C149" s="1413"/>
      <c r="D149" s="523" t="s">
        <v>24</v>
      </c>
      <c r="E149" s="460"/>
      <c r="F149" s="460"/>
      <c r="G149" s="544" t="e">
        <f>G148/G7</f>
        <v>#DIV/0!</v>
      </c>
      <c r="H149" s="460" t="e">
        <f>G149+'27'!H149</f>
        <v>#DIV/0!</v>
      </c>
      <c r="I149" s="546"/>
      <c r="J149" s="553" t="e">
        <f>H149/DAY(B2)</f>
        <v>#DIV/0!</v>
      </c>
    </row>
    <row r="150" spans="1:12" ht="27.75">
      <c r="A150" s="1411" t="s">
        <v>259</v>
      </c>
      <c r="B150" s="1412"/>
      <c r="C150" s="1413"/>
      <c r="D150" s="523" t="s">
        <v>183</v>
      </c>
      <c r="E150" s="460"/>
      <c r="F150" s="460"/>
      <c r="G150" s="460">
        <f>G36+G50</f>
        <v>0</v>
      </c>
      <c r="H150" s="460">
        <f>G150+'27'!H150</f>
        <v>-698908.60000000009</v>
      </c>
      <c r="I150" s="546"/>
      <c r="J150" s="553">
        <f>H150/DAY(B2)</f>
        <v>-24961.021428571432</v>
      </c>
    </row>
    <row r="151" spans="1:12" ht="27.75">
      <c r="A151" s="1411" t="s">
        <v>260</v>
      </c>
      <c r="B151" s="1412"/>
      <c r="C151" s="1413"/>
      <c r="D151" s="523" t="s">
        <v>24</v>
      </c>
      <c r="E151" s="460"/>
      <c r="F151" s="460"/>
      <c r="G151" s="544" t="e">
        <f>G150/G7</f>
        <v>#DIV/0!</v>
      </c>
      <c r="H151" s="460" t="e">
        <f>G151+'27'!H151</f>
        <v>#DIV/0!</v>
      </c>
      <c r="I151" s="480"/>
      <c r="J151" s="553" t="e">
        <f>H151/DAY(B2)</f>
        <v>#DIV/0!</v>
      </c>
    </row>
    <row r="152" spans="1:12" ht="27.75">
      <c r="A152" s="1411" t="s">
        <v>261</v>
      </c>
      <c r="B152" s="1412"/>
      <c r="C152" s="1413"/>
      <c r="D152" s="523" t="s">
        <v>183</v>
      </c>
      <c r="E152" s="460"/>
      <c r="F152" s="460"/>
      <c r="G152" s="460">
        <f>G37+G51</f>
        <v>0</v>
      </c>
      <c r="H152" s="460">
        <f>G152+'27'!H152</f>
        <v>-116945.84000000001</v>
      </c>
      <c r="I152" s="480"/>
      <c r="J152" s="553">
        <f>H152/DAY(B2)</f>
        <v>-4176.6371428571429</v>
      </c>
    </row>
    <row r="153" spans="1:12" ht="28.5" thickBot="1">
      <c r="A153" s="1443" t="s">
        <v>262</v>
      </c>
      <c r="B153" s="1444"/>
      <c r="C153" s="1445"/>
      <c r="D153" s="626" t="s">
        <v>24</v>
      </c>
      <c r="E153" s="568"/>
      <c r="F153" s="568"/>
      <c r="G153" s="567" t="e">
        <f>G152/G7</f>
        <v>#DIV/0!</v>
      </c>
      <c r="H153" s="460" t="e">
        <f>G153+'27'!H153</f>
        <v>#DIV/0!</v>
      </c>
      <c r="I153" s="569"/>
      <c r="J153" s="570" t="e">
        <f>H153/DAY(B2)</f>
        <v>#DIV/0!</v>
      </c>
    </row>
    <row r="154" spans="1:12">
      <c r="A154" s="466"/>
      <c r="B154" s="456"/>
      <c r="C154" s="456"/>
      <c r="D154" s="547"/>
      <c r="E154" s="549"/>
      <c r="F154" s="760"/>
      <c r="G154" s="547"/>
      <c r="H154" s="548"/>
      <c r="I154" s="547"/>
      <c r="J154" s="549"/>
    </row>
    <row r="160" spans="1:12">
      <c r="A160" s="790" t="s">
        <v>263</v>
      </c>
      <c r="B160" s="791"/>
      <c r="C160" s="791"/>
      <c r="D160" s="511" t="s">
        <v>187</v>
      </c>
      <c r="E160" s="772">
        <f>'27'!F160</f>
        <v>30709.599999999999</v>
      </c>
      <c r="F160" s="663">
        <v>30795.64</v>
      </c>
      <c r="G160" s="473">
        <f t="shared" ref="G160:G163" si="18">F160-E160</f>
        <v>86.040000000000873</v>
      </c>
    </row>
    <row r="161" spans="1:7">
      <c r="A161" s="790" t="s">
        <v>264</v>
      </c>
      <c r="B161" s="791"/>
      <c r="C161" s="791"/>
      <c r="D161" s="511" t="s">
        <v>187</v>
      </c>
      <c r="E161" s="772">
        <f>'27'!F161</f>
        <v>54674.61</v>
      </c>
      <c r="F161" s="663">
        <v>55098.17</v>
      </c>
      <c r="G161" s="473">
        <f t="shared" si="18"/>
        <v>423.55999999999767</v>
      </c>
    </row>
    <row r="162" spans="1:7">
      <c r="A162" s="790" t="s">
        <v>265</v>
      </c>
      <c r="B162" s="791"/>
      <c r="C162" s="791"/>
      <c r="D162" s="511" t="s">
        <v>187</v>
      </c>
      <c r="E162" s="772">
        <f>'27'!F162</f>
        <v>20285.330000000002</v>
      </c>
      <c r="F162" s="663">
        <v>20562.32</v>
      </c>
      <c r="G162" s="473">
        <f t="shared" si="18"/>
        <v>276.98999999999796</v>
      </c>
    </row>
    <row r="163" spans="1:7">
      <c r="A163" s="790" t="s">
        <v>266</v>
      </c>
      <c r="B163" s="791"/>
      <c r="C163" s="791"/>
      <c r="D163" s="511" t="s">
        <v>187</v>
      </c>
      <c r="E163" s="772">
        <f>'27'!F163</f>
        <v>5399.6</v>
      </c>
      <c r="F163" s="663">
        <v>5427.51</v>
      </c>
      <c r="G163" s="473">
        <f t="shared" si="18"/>
        <v>27.909999999999854</v>
      </c>
    </row>
    <row r="164" spans="1:7">
      <c r="A164" s="792" t="s">
        <v>98</v>
      </c>
      <c r="B164" s="605"/>
      <c r="C164" s="605"/>
      <c r="D164" s="511" t="s">
        <v>187</v>
      </c>
      <c r="E164" s="514">
        <f>E62</f>
        <v>0</v>
      </c>
      <c r="F164" s="514">
        <f>F62</f>
        <v>0</v>
      </c>
      <c r="G164" s="473">
        <f t="shared" ref="G164:G171" si="19">F164-E164</f>
        <v>0</v>
      </c>
    </row>
    <row r="165" spans="1:7">
      <c r="A165" s="792" t="s">
        <v>188</v>
      </c>
      <c r="B165" s="605"/>
      <c r="C165" s="605"/>
      <c r="D165" s="511" t="s">
        <v>187</v>
      </c>
      <c r="E165" s="514">
        <f t="shared" ref="E165:E171" si="20">E63</f>
        <v>0</v>
      </c>
      <c r="F165" s="514">
        <f t="shared" ref="F165:F171" si="21">F63</f>
        <v>0</v>
      </c>
      <c r="G165" s="473">
        <f t="shared" si="19"/>
        <v>0</v>
      </c>
    </row>
    <row r="166" spans="1:7" ht="27.75">
      <c r="A166" s="1460" t="s">
        <v>99</v>
      </c>
      <c r="B166" s="1460"/>
      <c r="C166" s="1460"/>
      <c r="D166" s="523" t="s">
        <v>187</v>
      </c>
      <c r="E166" s="514">
        <f t="shared" si="20"/>
        <v>0</v>
      </c>
      <c r="F166" s="514">
        <f t="shared" si="21"/>
        <v>0</v>
      </c>
      <c r="G166" s="473">
        <f t="shared" si="19"/>
        <v>0</v>
      </c>
    </row>
    <row r="167" spans="1:7" ht="27.75">
      <c r="A167" s="1460" t="s">
        <v>100</v>
      </c>
      <c r="B167" s="1460"/>
      <c r="C167" s="1460"/>
      <c r="D167" s="523" t="s">
        <v>187</v>
      </c>
      <c r="E167" s="514">
        <f t="shared" si="20"/>
        <v>0</v>
      </c>
      <c r="F167" s="514">
        <f t="shared" si="21"/>
        <v>0</v>
      </c>
      <c r="G167" s="473">
        <f t="shared" si="19"/>
        <v>0</v>
      </c>
    </row>
    <row r="168" spans="1:7" ht="27.75">
      <c r="A168" s="1460" t="s">
        <v>101</v>
      </c>
      <c r="B168" s="1460"/>
      <c r="C168" s="1460"/>
      <c r="D168" s="523" t="s">
        <v>187</v>
      </c>
      <c r="E168" s="514">
        <f t="shared" si="20"/>
        <v>0</v>
      </c>
      <c r="F168" s="514">
        <f t="shared" si="21"/>
        <v>0</v>
      </c>
      <c r="G168" s="473">
        <f t="shared" si="19"/>
        <v>0</v>
      </c>
    </row>
    <row r="169" spans="1:7" ht="27.75">
      <c r="A169" s="1460" t="s">
        <v>102</v>
      </c>
      <c r="B169" s="1460"/>
      <c r="C169" s="1460"/>
      <c r="D169" s="523" t="s">
        <v>187</v>
      </c>
      <c r="E169" s="514">
        <f t="shared" si="20"/>
        <v>0</v>
      </c>
      <c r="F169" s="514">
        <f t="shared" si="21"/>
        <v>0</v>
      </c>
      <c r="G169" s="473">
        <f t="shared" si="19"/>
        <v>0</v>
      </c>
    </row>
    <row r="170" spans="1:7" ht="27.75">
      <c r="A170" s="1460" t="s">
        <v>103</v>
      </c>
      <c r="B170" s="1460"/>
      <c r="C170" s="1460"/>
      <c r="D170" s="523" t="s">
        <v>187</v>
      </c>
      <c r="E170" s="514">
        <f t="shared" si="20"/>
        <v>0</v>
      </c>
      <c r="F170" s="514">
        <f t="shared" si="21"/>
        <v>0</v>
      </c>
      <c r="G170" s="473">
        <f t="shared" si="19"/>
        <v>0</v>
      </c>
    </row>
    <row r="171" spans="1:7" ht="27.75">
      <c r="A171" s="1460" t="s">
        <v>104</v>
      </c>
      <c r="B171" s="1460"/>
      <c r="C171" s="1460"/>
      <c r="D171" s="523" t="s">
        <v>187</v>
      </c>
      <c r="E171" s="514">
        <f t="shared" si="20"/>
        <v>0</v>
      </c>
      <c r="F171" s="514">
        <f t="shared" si="21"/>
        <v>0</v>
      </c>
      <c r="G171" s="473">
        <f t="shared" si="19"/>
        <v>0</v>
      </c>
    </row>
    <row r="172" spans="1:7">
      <c r="G172" s="540">
        <f>SUM(G160:G171)</f>
        <v>814.49999999999636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F104" activeCellId="9" sqref="F7:F12 F15 F18:F19 F22:F23 F35:F46 F49:F58 F62:F69 F72:F90 F92:F100 F104:F140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8" customWidth="1"/>
    <col min="5" max="5" width="30" style="540" customWidth="1"/>
    <col min="6" max="6" width="30" style="761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5" width="22.33203125" style="775"/>
    <col min="16" max="16384" width="22.33203125" style="376"/>
  </cols>
  <sheetData>
    <row r="1" spans="1:15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5" s="281" customFormat="1" ht="27">
      <c r="A2" s="576" t="s">
        <v>273</v>
      </c>
      <c r="B2" s="1084">
        <v>43859</v>
      </c>
      <c r="C2" s="1150" t="s">
        <v>69</v>
      </c>
      <c r="D2" s="612">
        <v>0.66</v>
      </c>
      <c r="E2" s="741"/>
      <c r="F2" s="741"/>
      <c r="G2" s="461" t="s">
        <v>118</v>
      </c>
      <c r="H2" s="461" t="s">
        <v>6</v>
      </c>
      <c r="I2" s="461" t="s">
        <v>8</v>
      </c>
      <c r="J2" s="614" t="s">
        <v>119</v>
      </c>
      <c r="N2" s="775"/>
      <c r="O2" s="775"/>
    </row>
    <row r="3" spans="1:15" s="281" customFormat="1" ht="27">
      <c r="A3" s="571"/>
      <c r="B3" s="615"/>
      <c r="C3" s="1150" t="s">
        <v>120</v>
      </c>
      <c r="D3" s="613">
        <v>24</v>
      </c>
      <c r="E3" s="1432" t="s">
        <v>121</v>
      </c>
      <c r="F3" s="1433"/>
      <c r="G3" s="462"/>
      <c r="H3" s="463"/>
      <c r="I3" s="463"/>
      <c r="J3" s="616"/>
      <c r="K3" s="371"/>
      <c r="L3" s="292"/>
      <c r="N3" s="775"/>
      <c r="O3" s="775"/>
    </row>
    <row r="4" spans="1:15" s="281" customFormat="1" ht="27">
      <c r="A4" s="577"/>
      <c r="B4" s="617"/>
      <c r="C4" s="1150" t="s">
        <v>122</v>
      </c>
      <c r="D4" s="612">
        <v>0.78</v>
      </c>
      <c r="E4" s="463"/>
      <c r="F4" s="463"/>
      <c r="G4" s="464"/>
      <c r="H4" s="464"/>
      <c r="I4" s="465"/>
      <c r="J4" s="616"/>
      <c r="K4" s="372"/>
      <c r="L4" s="292"/>
      <c r="N4" s="777"/>
      <c r="O4" s="775"/>
    </row>
    <row r="5" spans="1:15">
      <c r="A5" s="578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  <c r="N5" s="777"/>
    </row>
    <row r="6" spans="1:15">
      <c r="A6" s="1426" t="s">
        <v>130</v>
      </c>
      <c r="B6" s="1427"/>
      <c r="C6" s="1428"/>
      <c r="D6" s="471"/>
      <c r="E6" s="495"/>
      <c r="F6" s="495"/>
      <c r="G6" s="471"/>
      <c r="H6" s="472"/>
      <c r="I6" s="472"/>
      <c r="J6" s="552"/>
      <c r="K6" s="427"/>
      <c r="L6" s="377"/>
    </row>
    <row r="7" spans="1:15" ht="30" thickBot="1">
      <c r="A7" s="681" t="s">
        <v>131</v>
      </c>
      <c r="B7" s="682"/>
      <c r="C7" s="682"/>
      <c r="D7" s="639" t="s">
        <v>132</v>
      </c>
      <c r="E7" s="684">
        <f>'28'!F7</f>
        <v>0</v>
      </c>
      <c r="F7" s="460"/>
      <c r="G7" s="683">
        <f>F7-E7</f>
        <v>0</v>
      </c>
      <c r="H7" s="684">
        <f>G7+'28'!H7</f>
        <v>-4445077</v>
      </c>
      <c r="I7" s="685">
        <f>'1'!I7</f>
        <v>12000</v>
      </c>
      <c r="J7" s="686">
        <f>H7/DAY(B2)</f>
        <v>-153278.5172413793</v>
      </c>
      <c r="K7" s="550">
        <v>1703438</v>
      </c>
      <c r="L7" s="377">
        <v>1715917</v>
      </c>
      <c r="O7" s="778"/>
    </row>
    <row r="8" spans="1:15" ht="27.75" thickBot="1">
      <c r="A8" s="687" t="s">
        <v>133</v>
      </c>
      <c r="B8" s="688"/>
      <c r="C8" s="689"/>
      <c r="D8" s="690" t="s">
        <v>25</v>
      </c>
      <c r="E8" s="684">
        <f>'28'!F8</f>
        <v>0</v>
      </c>
      <c r="F8" s="742"/>
      <c r="G8" s="694">
        <f>F8-E8</f>
        <v>0</v>
      </c>
      <c r="H8" s="684">
        <f>G8+'28'!H8</f>
        <v>-4473156</v>
      </c>
      <c r="I8" s="691"/>
      <c r="J8" s="686">
        <f>H8/DAY(B2)</f>
        <v>-154246.75862068965</v>
      </c>
      <c r="K8" s="550">
        <v>1375467</v>
      </c>
      <c r="L8" s="425"/>
      <c r="M8" s="440"/>
      <c r="O8" s="778"/>
    </row>
    <row r="9" spans="1:15">
      <c r="A9" s="692" t="s">
        <v>134</v>
      </c>
      <c r="B9" s="693"/>
      <c r="C9" s="693"/>
      <c r="D9" s="639" t="s">
        <v>132</v>
      </c>
      <c r="E9" s="684">
        <f>'28'!F9</f>
        <v>0</v>
      </c>
      <c r="F9" s="743"/>
      <c r="G9" s="707">
        <f t="shared" ref="G9:G12" si="0">F9-E9</f>
        <v>0</v>
      </c>
      <c r="H9" s="684">
        <f>G9+'28'!H9</f>
        <v>-86909.010000000009</v>
      </c>
      <c r="I9" s="695">
        <f>I7-J7</f>
        <v>165278.5172413793</v>
      </c>
      <c r="J9" s="686">
        <f>H9/DAY(B2)</f>
        <v>-2996.8624137931038</v>
      </c>
      <c r="K9" s="428"/>
      <c r="L9" s="377"/>
      <c r="O9" s="778"/>
    </row>
    <row r="10" spans="1:15">
      <c r="A10" s="681" t="s">
        <v>135</v>
      </c>
      <c r="B10" s="682"/>
      <c r="C10" s="682"/>
      <c r="D10" s="639" t="s">
        <v>132</v>
      </c>
      <c r="E10" s="684">
        <f>'28'!F10</f>
        <v>0</v>
      </c>
      <c r="F10" s="743"/>
      <c r="G10" s="694">
        <f t="shared" si="0"/>
        <v>0</v>
      </c>
      <c r="H10" s="684">
        <f>G10+'28'!H10</f>
        <v>334533.49</v>
      </c>
      <c r="I10" s="696"/>
      <c r="J10" s="686">
        <f>H10/DAY(B2)</f>
        <v>11535.637586206896</v>
      </c>
      <c r="K10" s="428"/>
      <c r="L10" s="377"/>
    </row>
    <row r="11" spans="1:15">
      <c r="A11" s="681" t="s">
        <v>136</v>
      </c>
      <c r="B11" s="682"/>
      <c r="C11" s="682"/>
      <c r="D11" s="639" t="s">
        <v>132</v>
      </c>
      <c r="E11" s="684">
        <f>'28'!F11</f>
        <v>0</v>
      </c>
      <c r="F11" s="460"/>
      <c r="G11" s="694">
        <f t="shared" si="0"/>
        <v>0</v>
      </c>
      <c r="H11" s="684">
        <f>G11+'28'!H11</f>
        <v>-37000</v>
      </c>
      <c r="I11" s="696"/>
      <c r="J11" s="686">
        <f>H11/DAY(B2)</f>
        <v>-1275.8620689655172</v>
      </c>
      <c r="K11" s="428"/>
      <c r="L11" s="377"/>
    </row>
    <row r="12" spans="1:15">
      <c r="A12" s="681" t="s">
        <v>137</v>
      </c>
      <c r="B12" s="682"/>
      <c r="C12" s="682"/>
      <c r="D12" s="1105" t="s">
        <v>132</v>
      </c>
      <c r="E12" s="1099">
        <f>'28'!F12</f>
        <v>0</v>
      </c>
      <c r="F12" s="743"/>
      <c r="G12" s="694">
        <f t="shared" si="0"/>
        <v>0</v>
      </c>
      <c r="H12" s="684">
        <f>G12+'28'!H12</f>
        <v>-40010</v>
      </c>
      <c r="I12" s="696"/>
      <c r="J12" s="686">
        <f>H12/DAY(B2)</f>
        <v>-1379.655172413793</v>
      </c>
      <c r="K12" s="428"/>
      <c r="L12" s="377"/>
    </row>
    <row r="13" spans="1:15">
      <c r="A13" s="697" t="s">
        <v>138</v>
      </c>
      <c r="B13" s="698"/>
      <c r="C13" s="698"/>
      <c r="D13" s="1105"/>
      <c r="E13" s="1099"/>
      <c r="F13" s="460"/>
      <c r="G13" s="699">
        <f>G9+G10+G11+G12</f>
        <v>0</v>
      </c>
      <c r="H13" s="1099">
        <f>G13+'28'!H13</f>
        <v>149620.47999999998</v>
      </c>
      <c r="I13" s="1100">
        <f>G7-G13</f>
        <v>0</v>
      </c>
      <c r="J13" s="1101">
        <f>H13/DAY(B2)</f>
        <v>5159.3268965517236</v>
      </c>
      <c r="K13" s="428"/>
      <c r="L13" s="377"/>
    </row>
    <row r="14" spans="1:15">
      <c r="A14" s="1429" t="s">
        <v>139</v>
      </c>
      <c r="B14" s="1430"/>
      <c r="C14" s="1431"/>
      <c r="D14" s="1102"/>
      <c r="E14" s="1106"/>
      <c r="F14" s="744"/>
      <c r="G14" s="483"/>
      <c r="H14" s="1102"/>
      <c r="I14" s="1102"/>
      <c r="J14" s="1103"/>
      <c r="K14" s="429"/>
      <c r="L14" s="377"/>
    </row>
    <row r="15" spans="1:15">
      <c r="A15" s="670" t="s">
        <v>140</v>
      </c>
      <c r="B15" s="671"/>
      <c r="C15" s="671"/>
      <c r="D15" s="1107" t="s">
        <v>141</v>
      </c>
      <c r="E15" s="1108">
        <f>'28'!F15</f>
        <v>0</v>
      </c>
      <c r="F15" s="745"/>
      <c r="G15" s="669">
        <f>(F15-E15)</f>
        <v>0</v>
      </c>
      <c r="H15" s="1095">
        <f>G15+'28'!H15</f>
        <v>-1619878.61</v>
      </c>
      <c r="I15" s="1096">
        <f>'1'!I15</f>
        <v>800</v>
      </c>
      <c r="J15" s="1097">
        <f>H15/DAY(B2)</f>
        <v>-55857.883103448279</v>
      </c>
      <c r="K15" s="428"/>
      <c r="L15" s="377"/>
    </row>
    <row r="16" spans="1:15">
      <c r="A16" s="678"/>
      <c r="B16" s="679"/>
      <c r="C16" s="679"/>
      <c r="D16" s="1107"/>
      <c r="E16" s="1108"/>
      <c r="F16" s="745"/>
      <c r="G16" s="674"/>
      <c r="H16" s="1095"/>
      <c r="I16" s="1098">
        <f>I15-J15</f>
        <v>56657.883103448279</v>
      </c>
      <c r="J16" s="1097"/>
      <c r="K16" s="428"/>
      <c r="L16" s="377"/>
    </row>
    <row r="17" spans="1:15">
      <c r="A17" s="1429" t="s">
        <v>142</v>
      </c>
      <c r="B17" s="1430"/>
      <c r="C17" s="1431"/>
      <c r="D17" s="1102"/>
      <c r="E17" s="1106"/>
      <c r="F17" s="744"/>
      <c r="G17" s="488"/>
      <c r="H17" s="1102"/>
      <c r="I17" s="1102"/>
      <c r="J17" s="1103"/>
      <c r="K17" s="428"/>
      <c r="L17" s="377"/>
    </row>
    <row r="18" spans="1:15" ht="27.75">
      <c r="A18" s="1464" t="s">
        <v>143</v>
      </c>
      <c r="B18" s="1465"/>
      <c r="C18" s="1466"/>
      <c r="D18" s="639" t="s">
        <v>144</v>
      </c>
      <c r="E18" s="763">
        <f>'28'!F18</f>
        <v>0</v>
      </c>
      <c r="F18" s="743"/>
      <c r="G18" s="699">
        <f>F18*10</f>
        <v>0</v>
      </c>
      <c r="H18" s="1099">
        <f>G18+'28'!H18</f>
        <v>3150</v>
      </c>
      <c r="I18" s="1104">
        <f>'1'!I18</f>
        <v>65</v>
      </c>
      <c r="J18" s="1101">
        <f>H18/DAY(B2)</f>
        <v>108.62068965517241</v>
      </c>
      <c r="K18" s="428"/>
      <c r="L18" s="377"/>
    </row>
    <row r="19" spans="1:15" ht="27.75">
      <c r="A19" s="1464" t="s">
        <v>71</v>
      </c>
      <c r="B19" s="1465"/>
      <c r="C19" s="1466"/>
      <c r="D19" s="639" t="s">
        <v>144</v>
      </c>
      <c r="E19" s="763">
        <f>'28'!F19</f>
        <v>0</v>
      </c>
      <c r="F19" s="743"/>
      <c r="G19" s="694">
        <f t="shared" ref="G19" si="1">F19-E19</f>
        <v>0</v>
      </c>
      <c r="H19" s="684">
        <f>G19+'28'!H19</f>
        <v>-134468</v>
      </c>
      <c r="I19" s="701"/>
      <c r="J19" s="686">
        <f>H19/DAY(B2)</f>
        <v>-4636.8275862068967</v>
      </c>
      <c r="K19" s="428"/>
      <c r="L19" s="377"/>
    </row>
    <row r="20" spans="1:15">
      <c r="A20" s="697" t="s">
        <v>145</v>
      </c>
      <c r="B20" s="698"/>
      <c r="C20" s="698"/>
      <c r="D20" s="639"/>
      <c r="E20" s="684"/>
      <c r="F20" s="460"/>
      <c r="G20" s="702">
        <f>G18+G19</f>
        <v>0</v>
      </c>
      <c r="H20" s="684">
        <f>G20+'28'!H20</f>
        <v>-131318</v>
      </c>
      <c r="I20" s="703">
        <f>I18-J20</f>
        <v>4593.2068965517237</v>
      </c>
      <c r="J20" s="686">
        <f>H20/DAY(B2)</f>
        <v>-4528.2068965517237</v>
      </c>
      <c r="K20" s="428"/>
      <c r="L20" s="377"/>
    </row>
    <row r="21" spans="1:15">
      <c r="A21" s="1429" t="s">
        <v>146</v>
      </c>
      <c r="B21" s="1430"/>
      <c r="C21" s="1431"/>
      <c r="D21" s="472"/>
      <c r="E21" s="744"/>
      <c r="F21" s="744"/>
      <c r="G21" s="483"/>
      <c r="H21" s="472"/>
      <c r="I21" s="472"/>
      <c r="J21" s="552"/>
      <c r="K21" s="428"/>
      <c r="L21" s="377"/>
    </row>
    <row r="22" spans="1:15">
      <c r="A22" s="1148" t="s">
        <v>147</v>
      </c>
      <c r="B22" s="590"/>
      <c r="C22" s="590"/>
      <c r="D22" s="523" t="s">
        <v>148</v>
      </c>
      <c r="E22" s="764">
        <f>'28'!F22</f>
        <v>0</v>
      </c>
      <c r="F22" s="743"/>
      <c r="G22" s="481">
        <f t="shared" ref="G22" si="2">(F22-E22)</f>
        <v>0</v>
      </c>
      <c r="H22" s="460">
        <f>G22+'28'!H22</f>
        <v>-390</v>
      </c>
      <c r="I22" s="480"/>
      <c r="J22" s="553">
        <f>H22/DAY(B2)</f>
        <v>-13.448275862068966</v>
      </c>
      <c r="K22" s="428"/>
      <c r="L22" s="377"/>
    </row>
    <row r="23" spans="1:15">
      <c r="A23" s="1148" t="s">
        <v>149</v>
      </c>
      <c r="B23" s="590"/>
      <c r="C23" s="590"/>
      <c r="D23" s="523" t="s">
        <v>148</v>
      </c>
      <c r="E23" s="764">
        <f>'28'!F23</f>
        <v>0</v>
      </c>
      <c r="F23" s="743"/>
      <c r="G23" s="481">
        <v>0</v>
      </c>
      <c r="H23" s="460">
        <f>G23+'28'!H23</f>
        <v>0</v>
      </c>
      <c r="I23" s="480"/>
      <c r="J23" s="553">
        <f>H23/DAY(B2)</f>
        <v>0</v>
      </c>
      <c r="K23" s="428"/>
      <c r="L23" s="377"/>
    </row>
    <row r="24" spans="1:15">
      <c r="A24" s="591" t="s">
        <v>150</v>
      </c>
      <c r="B24" s="592"/>
      <c r="C24" s="592"/>
      <c r="D24" s="511" t="s">
        <v>148</v>
      </c>
      <c r="E24" s="765">
        <f>'28'!F24</f>
        <v>4970</v>
      </c>
      <c r="F24" s="746">
        <v>4970</v>
      </c>
      <c r="G24" s="481">
        <v>0</v>
      </c>
      <c r="H24" s="460">
        <f>G24+'28'!H24</f>
        <v>1290</v>
      </c>
      <c r="I24" s="480"/>
      <c r="J24" s="553">
        <f>H24/DAY(B2)</f>
        <v>44.482758620689658</v>
      </c>
      <c r="K24" s="428"/>
      <c r="L24" s="377"/>
    </row>
    <row r="25" spans="1:15" s="442" customFormat="1" ht="27">
      <c r="A25" s="1434" t="s">
        <v>151</v>
      </c>
      <c r="B25" s="1435"/>
      <c r="C25" s="1436"/>
      <c r="D25" s="471"/>
      <c r="E25" s="495"/>
      <c r="F25" s="495"/>
      <c r="G25" s="494"/>
      <c r="H25" s="495"/>
      <c r="I25" s="496"/>
      <c r="J25" s="555"/>
      <c r="K25" s="373"/>
      <c r="L25" s="443"/>
      <c r="N25" s="775"/>
      <c r="O25" s="775"/>
    </row>
    <row r="26" spans="1:15" s="442" customFormat="1" ht="27">
      <c r="A26" s="593" t="s">
        <v>152</v>
      </c>
      <c r="B26" s="594"/>
      <c r="C26" s="595"/>
      <c r="D26" s="619" t="s">
        <v>153</v>
      </c>
      <c r="E26" s="766"/>
      <c r="F26" s="460"/>
      <c r="G26" s="498"/>
      <c r="H26" s="460"/>
      <c r="I26" s="499"/>
      <c r="J26" s="553"/>
      <c r="K26" s="374"/>
      <c r="L26" s="443"/>
      <c r="N26" s="775"/>
      <c r="O26" s="775"/>
    </row>
    <row r="27" spans="1:15" s="442" customFormat="1" ht="27">
      <c r="A27" s="593" t="s">
        <v>6</v>
      </c>
      <c r="B27" s="594"/>
      <c r="C27" s="595"/>
      <c r="D27" s="620" t="s">
        <v>25</v>
      </c>
      <c r="E27" s="704">
        <f>G8</f>
        <v>0</v>
      </c>
      <c r="F27" s="501">
        <v>9</v>
      </c>
      <c r="G27" s="502">
        <f>E27*F27</f>
        <v>0</v>
      </c>
      <c r="H27" s="460">
        <f>G27+'28'!H27</f>
        <v>-40258404</v>
      </c>
      <c r="I27" s="503"/>
      <c r="J27" s="553">
        <f>H27/DAY(B2)</f>
        <v>-1388220.8275862068</v>
      </c>
      <c r="K27" s="373"/>
      <c r="L27" s="443"/>
      <c r="N27" s="775"/>
      <c r="O27" s="775"/>
    </row>
    <row r="28" spans="1:15" s="442" customFormat="1" ht="27">
      <c r="A28" s="593" t="s">
        <v>154</v>
      </c>
      <c r="B28" s="594"/>
      <c r="C28" s="595"/>
      <c r="D28" s="620" t="s">
        <v>155</v>
      </c>
      <c r="E28" s="704">
        <f>G15</f>
        <v>0</v>
      </c>
      <c r="F28" s="501">
        <v>43.5</v>
      </c>
      <c r="G28" s="502">
        <f>E28*F28</f>
        <v>0</v>
      </c>
      <c r="H28" s="460">
        <f>G28+'28'!H28</f>
        <v>-70399129.856800005</v>
      </c>
      <c r="I28" s="505"/>
      <c r="J28" s="553">
        <f>H28/DAY(B2)</f>
        <v>-2427556.2019586209</v>
      </c>
      <c r="K28" s="373"/>
      <c r="L28" s="443"/>
      <c r="N28" s="775"/>
      <c r="O28" s="775"/>
    </row>
    <row r="29" spans="1:15" s="442" customFormat="1" ht="27">
      <c r="A29" s="593" t="s">
        <v>156</v>
      </c>
      <c r="B29" s="594"/>
      <c r="C29" s="595"/>
      <c r="D29" s="620" t="s">
        <v>157</v>
      </c>
      <c r="E29" s="704">
        <f>G24</f>
        <v>0</v>
      </c>
      <c r="F29" s="704">
        <v>69</v>
      </c>
      <c r="G29" s="502">
        <f>E29*F29</f>
        <v>0</v>
      </c>
      <c r="H29" s="460">
        <f>G29+'28'!H29</f>
        <v>89010</v>
      </c>
      <c r="I29" s="505"/>
      <c r="J29" s="553">
        <f>H29/DAY(B2)</f>
        <v>3069.3103448275861</v>
      </c>
      <c r="K29" s="373"/>
      <c r="L29" s="443"/>
      <c r="N29" s="775"/>
      <c r="O29" s="775"/>
    </row>
    <row r="30" spans="1:15" s="442" customFormat="1" ht="27">
      <c r="A30" s="593" t="s">
        <v>158</v>
      </c>
      <c r="B30" s="594"/>
      <c r="C30" s="595"/>
      <c r="D30" s="620" t="s">
        <v>159</v>
      </c>
      <c r="E30" s="704">
        <f>G19</f>
        <v>0</v>
      </c>
      <c r="F30" s="704">
        <v>134</v>
      </c>
      <c r="G30" s="502">
        <f>E30*F30</f>
        <v>0</v>
      </c>
      <c r="H30" s="460">
        <f>G30+'28'!H30</f>
        <v>-18001024</v>
      </c>
      <c r="I30" s="505"/>
      <c r="J30" s="553">
        <f>H30/DAY(B2)</f>
        <v>-620724.96551724139</v>
      </c>
      <c r="K30" s="373"/>
      <c r="L30" s="443"/>
      <c r="N30" s="775"/>
      <c r="O30" s="775"/>
    </row>
    <row r="31" spans="1:15" s="442" customFormat="1" ht="27">
      <c r="A31" s="593" t="s">
        <v>160</v>
      </c>
      <c r="B31" s="594"/>
      <c r="C31" s="595"/>
      <c r="D31" s="620" t="s">
        <v>144</v>
      </c>
      <c r="E31" s="704">
        <f>G18</f>
        <v>0</v>
      </c>
      <c r="F31" s="704">
        <v>80</v>
      </c>
      <c r="G31" s="502">
        <f>E31*F31</f>
        <v>0</v>
      </c>
      <c r="H31" s="460">
        <f>G31+'28'!H31</f>
        <v>241440</v>
      </c>
      <c r="I31" s="505"/>
      <c r="J31" s="553"/>
      <c r="K31" s="373"/>
      <c r="L31" s="443"/>
      <c r="N31" s="775"/>
      <c r="O31" s="775"/>
    </row>
    <row r="32" spans="1:15" s="442" customFormat="1" ht="27">
      <c r="A32" s="596" t="s">
        <v>161</v>
      </c>
      <c r="B32" s="597"/>
      <c r="C32" s="598"/>
      <c r="D32" s="507"/>
      <c r="E32" s="767"/>
      <c r="F32" s="486"/>
      <c r="G32" s="508">
        <f>G27+G28+G29+G30+G31</f>
        <v>0</v>
      </c>
      <c r="H32" s="460">
        <f>G32+'28'!H32</f>
        <v>-128328107.8568</v>
      </c>
      <c r="I32" s="509"/>
      <c r="J32" s="553">
        <f>H32/DAY(B2)</f>
        <v>-4425107.1674758624</v>
      </c>
      <c r="K32" s="373"/>
      <c r="L32" s="443"/>
      <c r="N32" s="775"/>
      <c r="O32" s="775"/>
    </row>
    <row r="33" spans="1:15" ht="25.5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</row>
    <row r="34" spans="1:15">
      <c r="A34" s="599" t="s">
        <v>163</v>
      </c>
      <c r="B34" s="1153"/>
      <c r="C34" s="1153"/>
      <c r="D34" s="472"/>
      <c r="E34" s="495"/>
      <c r="F34" s="495"/>
      <c r="G34" s="472"/>
      <c r="H34" s="472"/>
      <c r="I34" s="472"/>
      <c r="J34" s="552"/>
      <c r="K34" s="428"/>
      <c r="L34" s="377"/>
    </row>
    <row r="35" spans="1:15">
      <c r="A35" s="579" t="s">
        <v>164</v>
      </c>
      <c r="B35" s="580"/>
      <c r="C35" s="580"/>
      <c r="D35" s="523" t="s">
        <v>132</v>
      </c>
      <c r="E35" s="747">
        <f>'28'!F35</f>
        <v>0</v>
      </c>
      <c r="F35" s="747"/>
      <c r="G35" s="473">
        <f t="shared" ref="G35:G46" si="3">F35-E35</f>
        <v>0</v>
      </c>
      <c r="H35" s="460">
        <f>G35+'28'!H35</f>
        <v>-693087.59</v>
      </c>
      <c r="I35" s="455"/>
      <c r="J35" s="553">
        <f>H35/DAY(B2)</f>
        <v>-23899.572068965517</v>
      </c>
      <c r="K35" s="428"/>
      <c r="L35" s="377"/>
    </row>
    <row r="36" spans="1:15">
      <c r="A36" s="579" t="s">
        <v>165</v>
      </c>
      <c r="B36" s="580"/>
      <c r="C36" s="580"/>
      <c r="D36" s="523" t="s">
        <v>132</v>
      </c>
      <c r="E36" s="747">
        <f>'28'!F36</f>
        <v>0</v>
      </c>
      <c r="F36" s="747"/>
      <c r="G36" s="473">
        <f t="shared" si="3"/>
        <v>0</v>
      </c>
      <c r="H36" s="460">
        <f>G36+'28'!H36</f>
        <v>-296445.57</v>
      </c>
      <c r="I36" s="455"/>
      <c r="J36" s="553">
        <f>H36/DAY(B2)</f>
        <v>-10222.261034482759</v>
      </c>
      <c r="K36" s="428"/>
      <c r="L36" s="377"/>
    </row>
    <row r="37" spans="1:15" s="441" customFormat="1">
      <c r="A37" s="1111" t="s">
        <v>166</v>
      </c>
      <c r="B37" s="1115"/>
      <c r="C37" s="1115"/>
      <c r="D37" s="628" t="s">
        <v>132</v>
      </c>
      <c r="E37" s="748">
        <f>'28'!F37</f>
        <v>0</v>
      </c>
      <c r="F37" s="748"/>
      <c r="G37" s="657">
        <f t="shared" si="3"/>
        <v>0</v>
      </c>
      <c r="H37" s="710">
        <f>G37+'28'!H37</f>
        <v>3105.0800000000017</v>
      </c>
      <c r="I37" s="711"/>
      <c r="J37" s="712">
        <f>H37/DAY(B2)</f>
        <v>107.0717241379311</v>
      </c>
      <c r="K37" s="1113"/>
      <c r="L37" s="1114"/>
      <c r="N37" s="776"/>
      <c r="O37" s="776"/>
    </row>
    <row r="38" spans="1:15" s="441" customFormat="1">
      <c r="A38" s="1111" t="s">
        <v>167</v>
      </c>
      <c r="B38" s="1115"/>
      <c r="C38" s="1115"/>
      <c r="D38" s="628" t="s">
        <v>132</v>
      </c>
      <c r="E38" s="748">
        <f>'28'!F38</f>
        <v>0</v>
      </c>
      <c r="F38" s="1116"/>
      <c r="G38" s="657">
        <f t="shared" si="3"/>
        <v>0</v>
      </c>
      <c r="H38" s="710">
        <f>G38+'28'!H38</f>
        <v>-43813.49</v>
      </c>
      <c r="I38" s="711"/>
      <c r="J38" s="712">
        <f>H38/DAY(B2)</f>
        <v>-1510.81</v>
      </c>
      <c r="K38" s="1113"/>
      <c r="L38" s="1114"/>
      <c r="N38" s="776"/>
      <c r="O38" s="776"/>
    </row>
    <row r="39" spans="1:15" s="441" customFormat="1">
      <c r="A39" s="1111" t="s">
        <v>168</v>
      </c>
      <c r="B39" s="1115"/>
      <c r="C39" s="1115"/>
      <c r="D39" s="628" t="s">
        <v>132</v>
      </c>
      <c r="E39" s="748">
        <f>'28'!F39</f>
        <v>0</v>
      </c>
      <c r="F39" s="748"/>
      <c r="G39" s="657">
        <f t="shared" si="3"/>
        <v>0</v>
      </c>
      <c r="H39" s="710">
        <f>G39+'28'!H39</f>
        <v>9392.890000000014</v>
      </c>
      <c r="I39" s="711"/>
      <c r="J39" s="712">
        <f>H39/DAY(B2)</f>
        <v>323.89275862069013</v>
      </c>
      <c r="K39" s="1113"/>
      <c r="L39" s="1114"/>
      <c r="N39" s="776"/>
      <c r="O39" s="776"/>
    </row>
    <row r="40" spans="1:15" s="441" customFormat="1">
      <c r="A40" s="1117" t="s">
        <v>169</v>
      </c>
      <c r="B40" s="1118"/>
      <c r="C40" s="1118"/>
      <c r="D40" s="628" t="s">
        <v>132</v>
      </c>
      <c r="E40" s="748">
        <f>'28'!F40</f>
        <v>0</v>
      </c>
      <c r="F40" s="748"/>
      <c r="G40" s="657">
        <f t="shared" si="3"/>
        <v>0</v>
      </c>
      <c r="H40" s="710">
        <f>G40+'28'!H40</f>
        <v>-0.06</v>
      </c>
      <c r="I40" s="711"/>
      <c r="J40" s="712">
        <f>H40/DAY(B2)</f>
        <v>-2.0689655172413794E-3</v>
      </c>
      <c r="K40" s="1119"/>
      <c r="L40" s="1114"/>
      <c r="N40" s="776"/>
      <c r="O40" s="776"/>
    </row>
    <row r="41" spans="1:15" s="441" customFormat="1">
      <c r="A41" s="1111" t="s">
        <v>170</v>
      </c>
      <c r="B41" s="1115"/>
      <c r="C41" s="1115"/>
      <c r="D41" s="628" t="s">
        <v>132</v>
      </c>
      <c r="E41" s="748">
        <f>'28'!F41</f>
        <v>0</v>
      </c>
      <c r="F41" s="748"/>
      <c r="G41" s="657">
        <f>F41-E41</f>
        <v>0</v>
      </c>
      <c r="H41" s="710">
        <f>G41+'28'!H41</f>
        <v>-63882.37</v>
      </c>
      <c r="I41" s="711"/>
      <c r="J41" s="712">
        <f>H41/DAY(B2)</f>
        <v>-2202.8403448275863</v>
      </c>
      <c r="K41" s="1113"/>
      <c r="L41" s="1114"/>
      <c r="N41" s="776"/>
      <c r="O41" s="776"/>
    </row>
    <row r="42" spans="1:15">
      <c r="A42" s="579" t="s">
        <v>171</v>
      </c>
      <c r="B42" s="580"/>
      <c r="C42" s="580"/>
      <c r="D42" s="523" t="s">
        <v>132</v>
      </c>
      <c r="E42" s="747">
        <f>'28'!F42</f>
        <v>0</v>
      </c>
      <c r="F42" s="747"/>
      <c r="G42" s="473">
        <f t="shared" si="3"/>
        <v>0</v>
      </c>
      <c r="H42" s="460">
        <f>G42+'28'!H42</f>
        <v>-59128.85</v>
      </c>
      <c r="I42" s="455"/>
      <c r="J42" s="553">
        <f>H42/DAY(B2)</f>
        <v>-2038.9258620689654</v>
      </c>
      <c r="K42" s="428"/>
      <c r="L42" s="377"/>
    </row>
    <row r="43" spans="1:15">
      <c r="A43" s="579" t="s">
        <v>172</v>
      </c>
      <c r="B43" s="580"/>
      <c r="C43" s="580"/>
      <c r="D43" s="523" t="s">
        <v>132</v>
      </c>
      <c r="E43" s="747">
        <f>'28'!F43</f>
        <v>0</v>
      </c>
      <c r="F43" s="747"/>
      <c r="G43" s="473">
        <f t="shared" si="3"/>
        <v>0</v>
      </c>
      <c r="H43" s="460">
        <f>G43+'28'!H43</f>
        <v>-825897.83</v>
      </c>
      <c r="I43" s="455"/>
      <c r="J43" s="553">
        <f>H43/DAY(B2)</f>
        <v>-28479.235517241377</v>
      </c>
      <c r="K43" s="428"/>
      <c r="L43" s="377"/>
    </row>
    <row r="44" spans="1:15">
      <c r="A44" s="579" t="s">
        <v>173</v>
      </c>
      <c r="B44" s="580"/>
      <c r="C44" s="580"/>
      <c r="D44" s="523" t="s">
        <v>132</v>
      </c>
      <c r="E44" s="747">
        <f>'28'!F44</f>
        <v>0</v>
      </c>
      <c r="F44" s="747"/>
      <c r="G44" s="473">
        <f t="shared" si="3"/>
        <v>0</v>
      </c>
      <c r="H44" s="460">
        <f>G44+'28'!H44</f>
        <v>0</v>
      </c>
      <c r="I44" s="455"/>
      <c r="J44" s="553">
        <f>H44/DAY(B2)</f>
        <v>0</v>
      </c>
      <c r="K44" s="428"/>
      <c r="L44" s="377"/>
    </row>
    <row r="45" spans="1:15">
      <c r="A45" s="579" t="s">
        <v>174</v>
      </c>
      <c r="B45" s="580"/>
      <c r="C45" s="580"/>
      <c r="D45" s="523" t="s">
        <v>132</v>
      </c>
      <c r="E45" s="747">
        <f>'28'!F45</f>
        <v>0</v>
      </c>
      <c r="F45" s="747"/>
      <c r="G45" s="473">
        <f t="shared" si="3"/>
        <v>0</v>
      </c>
      <c r="H45" s="460">
        <f>G45+'28'!H45</f>
        <v>-614</v>
      </c>
      <c r="I45" s="455"/>
      <c r="J45" s="553">
        <f>H45/DAY(B2)</f>
        <v>-21.172413793103448</v>
      </c>
      <c r="K45" s="428"/>
      <c r="L45" s="377"/>
    </row>
    <row r="46" spans="1:15">
      <c r="A46" s="579" t="s">
        <v>175</v>
      </c>
      <c r="B46" s="580"/>
      <c r="C46" s="580"/>
      <c r="D46" s="523" t="s">
        <v>132</v>
      </c>
      <c r="E46" s="747">
        <f>'28'!F46</f>
        <v>0</v>
      </c>
      <c r="F46" s="747"/>
      <c r="G46" s="473">
        <f t="shared" si="3"/>
        <v>0</v>
      </c>
      <c r="H46" s="460">
        <f>G46+'28'!H46</f>
        <v>-187</v>
      </c>
      <c r="I46" s="455"/>
      <c r="J46" s="553">
        <f>H46/DAY(B2)</f>
        <v>-6.4482758620689653</v>
      </c>
      <c r="K46" s="428"/>
      <c r="L46" s="377"/>
    </row>
    <row r="47" spans="1:15">
      <c r="A47" s="586" t="s">
        <v>176</v>
      </c>
      <c r="B47" s="587"/>
      <c r="C47" s="587"/>
      <c r="D47" s="470"/>
      <c r="E47" s="470"/>
      <c r="F47" s="470"/>
      <c r="G47" s="481">
        <f>G35+G36+G37+G38+G39+G40+G41+G42+G43+G44+G45+G46</f>
        <v>0</v>
      </c>
      <c r="H47" s="460">
        <f>G47+'28'!H47</f>
        <v>-1970558.79</v>
      </c>
      <c r="I47" s="455"/>
      <c r="J47" s="553">
        <f>H47/DAY(B2)</f>
        <v>-67950.30310344827</v>
      </c>
      <c r="K47" s="428"/>
      <c r="L47" s="377"/>
    </row>
    <row r="48" spans="1:15">
      <c r="A48" s="599" t="s">
        <v>177</v>
      </c>
      <c r="B48" s="1153"/>
      <c r="C48" s="1153"/>
      <c r="D48" s="472"/>
      <c r="E48" s="495"/>
      <c r="F48" s="495"/>
      <c r="G48" s="472"/>
      <c r="H48" s="472"/>
      <c r="I48" s="472"/>
      <c r="J48" s="552"/>
      <c r="K48" s="428"/>
      <c r="L48" s="377"/>
    </row>
    <row r="49" spans="1:15" s="441" customFormat="1">
      <c r="A49" s="1111" t="s">
        <v>164</v>
      </c>
      <c r="B49" s="1112"/>
      <c r="C49" s="1112"/>
      <c r="D49" s="628" t="s">
        <v>132</v>
      </c>
      <c r="E49" s="748">
        <f>'28'!F49</f>
        <v>0</v>
      </c>
      <c r="F49" s="748"/>
      <c r="G49" s="657">
        <f t="shared" ref="G49:G58" si="4">F49-E49</f>
        <v>0</v>
      </c>
      <c r="H49" s="710">
        <f>G49+'28'!H49</f>
        <v>-260732.13</v>
      </c>
      <c r="I49" s="711"/>
      <c r="J49" s="712">
        <f>H49/DAY(B2)</f>
        <v>-8990.7631034482765</v>
      </c>
      <c r="K49" s="1113"/>
      <c r="L49" s="1114"/>
      <c r="N49" s="776"/>
      <c r="O49" s="776"/>
    </row>
    <row r="50" spans="1:15" s="441" customFormat="1">
      <c r="A50" s="1111" t="s">
        <v>178</v>
      </c>
      <c r="B50" s="1112" t="s">
        <v>282</v>
      </c>
      <c r="C50" s="1112"/>
      <c r="D50" s="628" t="s">
        <v>132</v>
      </c>
      <c r="E50" s="748">
        <f>'28'!F50</f>
        <v>0</v>
      </c>
      <c r="F50" s="748"/>
      <c r="G50" s="657">
        <f t="shared" si="4"/>
        <v>0</v>
      </c>
      <c r="H50" s="710">
        <f>G50+'28'!H50</f>
        <v>-403657.03</v>
      </c>
      <c r="I50" s="711"/>
      <c r="J50" s="712">
        <f>H50/DAY(B2)</f>
        <v>-13919.207931034483</v>
      </c>
      <c r="K50" s="1113"/>
      <c r="L50" s="1114"/>
      <c r="N50" s="776"/>
      <c r="O50" s="776"/>
    </row>
    <row r="51" spans="1:15" s="441" customFormat="1">
      <c r="A51" s="1111" t="s">
        <v>166</v>
      </c>
      <c r="B51" s="1112"/>
      <c r="C51" s="1112"/>
      <c r="D51" s="628" t="s">
        <v>132</v>
      </c>
      <c r="E51" s="748">
        <f>'28'!F51</f>
        <v>0</v>
      </c>
      <c r="F51" s="748"/>
      <c r="G51" s="657">
        <f t="shared" si="4"/>
        <v>0</v>
      </c>
      <c r="H51" s="710">
        <f>G51+'28'!H51</f>
        <v>-121599.92</v>
      </c>
      <c r="I51" s="711"/>
      <c r="J51" s="712">
        <f>H51/DAY(B2)</f>
        <v>-4193.1006896551726</v>
      </c>
      <c r="K51" s="1113"/>
      <c r="L51" s="1114"/>
      <c r="N51" s="776"/>
      <c r="O51" s="776"/>
    </row>
    <row r="52" spans="1:15" s="441" customFormat="1">
      <c r="A52" s="1111" t="s">
        <v>179</v>
      </c>
      <c r="B52" s="1112"/>
      <c r="C52" s="1112"/>
      <c r="D52" s="628" t="s">
        <v>132</v>
      </c>
      <c r="E52" s="748">
        <f>'28'!F52</f>
        <v>0</v>
      </c>
      <c r="F52" s="748"/>
      <c r="G52" s="657">
        <f t="shared" si="4"/>
        <v>0</v>
      </c>
      <c r="H52" s="710">
        <f>G52+'28'!H52</f>
        <v>-509958.71</v>
      </c>
      <c r="I52" s="711"/>
      <c r="J52" s="712">
        <f>H52/DAY(B2)</f>
        <v>-17584.783103448277</v>
      </c>
      <c r="K52" s="1113"/>
      <c r="L52" s="1114"/>
      <c r="N52" s="776"/>
      <c r="O52" s="776"/>
    </row>
    <row r="53" spans="1:15" s="441" customFormat="1">
      <c r="A53" s="1111" t="s">
        <v>168</v>
      </c>
      <c r="B53" s="1112"/>
      <c r="C53" s="1112"/>
      <c r="D53" s="628" t="s">
        <v>132</v>
      </c>
      <c r="E53" s="748">
        <f>'28'!F53</f>
        <v>0</v>
      </c>
      <c r="F53" s="748"/>
      <c r="G53" s="657">
        <f t="shared" si="4"/>
        <v>0</v>
      </c>
      <c r="H53" s="710">
        <f>G53+'28'!H53</f>
        <v>-336039.51</v>
      </c>
      <c r="I53" s="711"/>
      <c r="J53" s="712">
        <f>H53/DAY(B2)</f>
        <v>-11587.569310344828</v>
      </c>
      <c r="K53" s="1113"/>
      <c r="L53" s="1114"/>
      <c r="N53" s="776"/>
      <c r="O53" s="776"/>
    </row>
    <row r="54" spans="1:15">
      <c r="A54" s="579" t="s">
        <v>180</v>
      </c>
      <c r="B54" s="602"/>
      <c r="C54" s="602"/>
      <c r="D54" s="523" t="s">
        <v>132</v>
      </c>
      <c r="E54" s="748">
        <f>'28'!F54</f>
        <v>0</v>
      </c>
      <c r="F54" s="747"/>
      <c r="G54" s="473">
        <f t="shared" si="4"/>
        <v>0</v>
      </c>
      <c r="H54" s="460">
        <f>G54+'28'!H54</f>
        <v>-8095.5999999999995</v>
      </c>
      <c r="I54" s="455"/>
      <c r="J54" s="553">
        <f>H54/DAY(B2)</f>
        <v>-279.15862068965515</v>
      </c>
      <c r="K54" s="428"/>
      <c r="L54" s="377"/>
    </row>
    <row r="55" spans="1:15">
      <c r="A55" s="579" t="s">
        <v>181</v>
      </c>
      <c r="B55" s="602"/>
      <c r="C55" s="602"/>
      <c r="D55" s="523" t="s">
        <v>132</v>
      </c>
      <c r="E55" s="748">
        <f>'28'!F55</f>
        <v>0</v>
      </c>
      <c r="F55" s="748"/>
      <c r="G55" s="657">
        <f t="shared" si="4"/>
        <v>0</v>
      </c>
      <c r="H55" s="710">
        <f>G55+'28'!H55</f>
        <v>-122584.69</v>
      </c>
      <c r="I55" s="711"/>
      <c r="J55" s="712">
        <f>H55/DAY(B2)</f>
        <v>-4227.0582758620694</v>
      </c>
      <c r="K55" s="428"/>
      <c r="L55" s="377"/>
    </row>
    <row r="56" spans="1:15">
      <c r="A56" s="579" t="s">
        <v>182</v>
      </c>
      <c r="B56" s="602"/>
      <c r="C56" s="602"/>
      <c r="D56" s="523" t="s">
        <v>183</v>
      </c>
      <c r="E56" s="748">
        <f>'28'!F56</f>
        <v>0</v>
      </c>
      <c r="F56" s="748"/>
      <c r="G56" s="473">
        <f t="shared" si="4"/>
        <v>0</v>
      </c>
      <c r="H56" s="460">
        <f>G56+'28'!H56</f>
        <v>-586051.03</v>
      </c>
      <c r="I56" s="455"/>
      <c r="J56" s="553">
        <f>H56/DAY(B2)</f>
        <v>-20208.656206896554</v>
      </c>
      <c r="K56" s="427"/>
      <c r="L56" s="377"/>
    </row>
    <row r="57" spans="1:15">
      <c r="A57" s="579" t="s">
        <v>172</v>
      </c>
      <c r="B57" s="602"/>
      <c r="C57" s="602"/>
      <c r="D57" s="523" t="s">
        <v>132</v>
      </c>
      <c r="E57" s="748">
        <f>'28'!F57</f>
        <v>0</v>
      </c>
      <c r="F57" s="747"/>
      <c r="G57" s="473">
        <f t="shared" si="4"/>
        <v>0</v>
      </c>
      <c r="H57" s="460">
        <f>G57+'28'!H57</f>
        <v>-7711.33</v>
      </c>
      <c r="I57" s="455"/>
      <c r="J57" s="553">
        <f>H57/DAY(B2)</f>
        <v>-265.90793103448277</v>
      </c>
      <c r="K57" s="428"/>
      <c r="L57" s="377"/>
    </row>
    <row r="58" spans="1:15">
      <c r="A58" s="579" t="s">
        <v>184</v>
      </c>
      <c r="B58" s="602"/>
      <c r="C58" s="602"/>
      <c r="D58" s="523" t="s">
        <v>132</v>
      </c>
      <c r="E58" s="748">
        <f>'28'!F58</f>
        <v>0</v>
      </c>
      <c r="F58" s="748"/>
      <c r="G58" s="473">
        <f t="shared" si="4"/>
        <v>0</v>
      </c>
      <c r="H58" s="460">
        <f>G58+'28'!H58</f>
        <v>-36064.699999999997</v>
      </c>
      <c r="I58" s="455"/>
      <c r="J58" s="553">
        <f>H58/DAY(B2)</f>
        <v>-1243.610344827586</v>
      </c>
      <c r="K58" s="428"/>
      <c r="L58" s="377"/>
    </row>
    <row r="59" spans="1:15">
      <c r="A59" s="586">
        <v>1</v>
      </c>
      <c r="B59" s="587"/>
      <c r="C59" s="587"/>
      <c r="D59" s="511"/>
      <c r="E59" s="470"/>
      <c r="F59" s="470"/>
      <c r="G59" s="481">
        <f>G49+G50+G51+G52+G53+G54+G55+G56+G57+G58</f>
        <v>0</v>
      </c>
      <c r="H59" s="460">
        <f>G59+'28'!H59</f>
        <v>-2392494.65</v>
      </c>
      <c r="I59" s="455">
        <f>G7-G60</f>
        <v>0</v>
      </c>
      <c r="J59" s="553">
        <f>H59/DAY(B2)</f>
        <v>-82499.815517241383</v>
      </c>
      <c r="K59" s="428"/>
      <c r="L59" s="377"/>
      <c r="O59" s="775">
        <f>159+122+341+154</f>
        <v>776</v>
      </c>
    </row>
    <row r="60" spans="1:15">
      <c r="A60" s="579"/>
      <c r="B60" s="580"/>
      <c r="C60" s="580"/>
      <c r="D60" s="511" t="s">
        <v>185</v>
      </c>
      <c r="E60" s="470"/>
      <c r="F60" s="470"/>
      <c r="G60" s="481">
        <f>G47+G59</f>
        <v>0</v>
      </c>
      <c r="H60" s="460">
        <f>G60+'28'!H60</f>
        <v>-4348884.4400000004</v>
      </c>
      <c r="I60" s="455">
        <f>G13-G60</f>
        <v>0</v>
      </c>
      <c r="J60" s="553">
        <f>H60/DAY(B2)</f>
        <v>-149961.53241379312</v>
      </c>
      <c r="K60" s="428"/>
      <c r="L60" s="377"/>
    </row>
    <row r="61" spans="1:15">
      <c r="A61" s="603" t="s">
        <v>186</v>
      </c>
      <c r="B61" s="453"/>
      <c r="C61" s="453"/>
      <c r="D61" s="513"/>
      <c r="E61" s="749"/>
      <c r="F61" s="749"/>
      <c r="G61" s="513"/>
      <c r="H61" s="513"/>
      <c r="I61" s="513"/>
      <c r="J61" s="556"/>
      <c r="K61" s="428"/>
      <c r="L61" s="377"/>
    </row>
    <row r="62" spans="1:15">
      <c r="A62" s="604" t="s">
        <v>98</v>
      </c>
      <c r="B62" s="605"/>
      <c r="C62" s="605"/>
      <c r="D62" s="511" t="s">
        <v>187</v>
      </c>
      <c r="E62" s="514">
        <f>'28'!F62</f>
        <v>0</v>
      </c>
      <c r="F62" s="514"/>
      <c r="G62" s="473">
        <f t="shared" ref="G62:G69" si="5">F62-E62</f>
        <v>0</v>
      </c>
      <c r="H62" s="460">
        <f>G62+'28'!H62</f>
        <v>-20419.187000000002</v>
      </c>
      <c r="I62" s="515"/>
      <c r="J62" s="553">
        <f>H62/DAY(B2)</f>
        <v>-704.1098965517242</v>
      </c>
      <c r="K62" s="428"/>
      <c r="L62" s="377"/>
    </row>
    <row r="63" spans="1:15">
      <c r="A63" s="604" t="s">
        <v>188</v>
      </c>
      <c r="B63" s="605"/>
      <c r="C63" s="605"/>
      <c r="D63" s="511" t="s">
        <v>187</v>
      </c>
      <c r="E63" s="514">
        <f>'28'!F63</f>
        <v>0</v>
      </c>
      <c r="F63" s="514"/>
      <c r="G63" s="473">
        <f t="shared" si="5"/>
        <v>0</v>
      </c>
      <c r="H63" s="460">
        <f>G63+'28'!H63</f>
        <v>-1707.36</v>
      </c>
      <c r="I63" s="515"/>
      <c r="J63" s="553">
        <f>H63/DAY(B2)</f>
        <v>-58.874482758620687</v>
      </c>
      <c r="K63" s="428"/>
      <c r="L63" s="377"/>
    </row>
    <row r="64" spans="1:15" ht="27.75">
      <c r="A64" s="1408" t="s">
        <v>99</v>
      </c>
      <c r="B64" s="1409"/>
      <c r="C64" s="1410"/>
      <c r="D64" s="523" t="s">
        <v>187</v>
      </c>
      <c r="E64" s="514">
        <f>'28'!F64</f>
        <v>0</v>
      </c>
      <c r="F64" s="743"/>
      <c r="G64" s="473">
        <f t="shared" si="5"/>
        <v>0</v>
      </c>
      <c r="H64" s="460">
        <f>G64+'28'!H64</f>
        <v>-123627.3</v>
      </c>
      <c r="I64" s="480"/>
      <c r="J64" s="553">
        <f>H64/DAY(B2)</f>
        <v>-4263.0103448275859</v>
      </c>
      <c r="K64" s="428"/>
      <c r="L64" s="377"/>
    </row>
    <row r="65" spans="1:12" ht="27.75">
      <c r="A65" s="1408" t="s">
        <v>100</v>
      </c>
      <c r="B65" s="1409"/>
      <c r="C65" s="1410"/>
      <c r="D65" s="523" t="s">
        <v>187</v>
      </c>
      <c r="E65" s="514">
        <f>'28'!F65</f>
        <v>0</v>
      </c>
      <c r="F65" s="750"/>
      <c r="G65" s="473">
        <f t="shared" si="5"/>
        <v>0</v>
      </c>
      <c r="H65" s="460">
        <f>G65+'28'!H65</f>
        <v>-132597.29999999999</v>
      </c>
      <c r="I65" s="489"/>
      <c r="J65" s="553">
        <f>H65/DAY(B2)</f>
        <v>-4572.3206896551719</v>
      </c>
      <c r="K65" s="428"/>
      <c r="L65" s="377"/>
    </row>
    <row r="66" spans="1:12" ht="27.75">
      <c r="A66" s="1408" t="s">
        <v>101</v>
      </c>
      <c r="B66" s="1409"/>
      <c r="C66" s="1410"/>
      <c r="D66" s="523" t="s">
        <v>187</v>
      </c>
      <c r="E66" s="514">
        <f>'28'!F66</f>
        <v>0</v>
      </c>
      <c r="F66" s="743"/>
      <c r="G66" s="473">
        <f t="shared" si="5"/>
        <v>0</v>
      </c>
      <c r="H66" s="460">
        <f>G66+'28'!H66</f>
        <v>-25159.75</v>
      </c>
      <c r="I66" s="480"/>
      <c r="J66" s="553">
        <f>H66/DAY(B2)</f>
        <v>-867.57758620689651</v>
      </c>
      <c r="K66" s="428"/>
      <c r="L66" s="377"/>
    </row>
    <row r="67" spans="1:12" ht="27.75">
      <c r="A67" s="1408" t="s">
        <v>102</v>
      </c>
      <c r="B67" s="1409"/>
      <c r="C67" s="1410"/>
      <c r="D67" s="523" t="s">
        <v>187</v>
      </c>
      <c r="E67" s="514">
        <f>'28'!F67</f>
        <v>0</v>
      </c>
      <c r="F67" s="743"/>
      <c r="G67" s="473">
        <f t="shared" si="5"/>
        <v>0</v>
      </c>
      <c r="H67" s="460">
        <f>G67+'28'!H67</f>
        <v>-207841.83</v>
      </c>
      <c r="I67" s="489"/>
      <c r="J67" s="553">
        <f>H67/DAY(B2)</f>
        <v>-7166.9596551724135</v>
      </c>
      <c r="K67" s="429"/>
      <c r="L67" s="377"/>
    </row>
    <row r="68" spans="1:12" ht="27.75">
      <c r="A68" s="1408" t="s">
        <v>103</v>
      </c>
      <c r="B68" s="1409"/>
      <c r="C68" s="1410"/>
      <c r="D68" s="523" t="s">
        <v>187</v>
      </c>
      <c r="E68" s="514">
        <f>'28'!F68</f>
        <v>0</v>
      </c>
      <c r="F68" s="743"/>
      <c r="G68" s="473">
        <f t="shared" si="5"/>
        <v>0</v>
      </c>
      <c r="H68" s="460">
        <f>G68+'28'!H68</f>
        <v>-63461.45</v>
      </c>
      <c r="I68" s="516"/>
      <c r="J68" s="553">
        <f>H68/DAY(B2)</f>
        <v>-2188.3258620689653</v>
      </c>
      <c r="K68" s="430"/>
      <c r="L68" s="377"/>
    </row>
    <row r="69" spans="1:12" ht="27.75">
      <c r="A69" s="1408" t="s">
        <v>104</v>
      </c>
      <c r="B69" s="1409"/>
      <c r="C69" s="1410"/>
      <c r="D69" s="523" t="s">
        <v>187</v>
      </c>
      <c r="E69" s="514">
        <f>'28'!F69</f>
        <v>0</v>
      </c>
      <c r="F69" s="743"/>
      <c r="G69" s="473">
        <f t="shared" si="5"/>
        <v>0</v>
      </c>
      <c r="H69" s="460">
        <f>G69+'28'!H69</f>
        <v>-64452.09</v>
      </c>
      <c r="I69" s="516"/>
      <c r="J69" s="553">
        <f>H69/DAY(B2)</f>
        <v>-2222.4858620689656</v>
      </c>
      <c r="K69" s="431"/>
      <c r="L69" s="377"/>
    </row>
    <row r="70" spans="1:12" ht="27.75">
      <c r="A70" s="1440" t="s">
        <v>189</v>
      </c>
      <c r="B70" s="1441"/>
      <c r="C70" s="1442"/>
      <c r="D70" s="523" t="s">
        <v>187</v>
      </c>
      <c r="E70" s="751"/>
      <c r="F70" s="751"/>
      <c r="G70" s="518"/>
      <c r="H70" s="460">
        <f>G70+'13'!H70</f>
        <v>0</v>
      </c>
      <c r="I70" s="518"/>
      <c r="J70" s="557"/>
      <c r="K70" s="431"/>
      <c r="L70" s="377"/>
    </row>
    <row r="71" spans="1:12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</row>
    <row r="72" spans="1:12" ht="27.75">
      <c r="A72" s="1408" t="s">
        <v>191</v>
      </c>
      <c r="B72" s="1409"/>
      <c r="C72" s="1410"/>
      <c r="D72" s="523" t="s">
        <v>187</v>
      </c>
      <c r="E72" s="768">
        <f>'28'!F72</f>
        <v>0</v>
      </c>
      <c r="F72" s="752"/>
      <c r="G72" s="473">
        <f t="shared" ref="G72:G84" si="6">F72-E72</f>
        <v>0</v>
      </c>
      <c r="H72" s="460">
        <f>G72+'28'!H72</f>
        <v>-850682</v>
      </c>
      <c r="I72" s="480"/>
      <c r="J72" s="553">
        <f>H72/DAY(B2)</f>
        <v>-29333.862068965518</v>
      </c>
      <c r="K72" s="431"/>
      <c r="L72" s="377"/>
    </row>
    <row r="73" spans="1:12" ht="27.75">
      <c r="A73" s="1408" t="s">
        <v>192</v>
      </c>
      <c r="B73" s="1409"/>
      <c r="C73" s="1410"/>
      <c r="D73" s="523" t="s">
        <v>187</v>
      </c>
      <c r="E73" s="768">
        <f>'28'!F73</f>
        <v>0</v>
      </c>
      <c r="F73" s="753"/>
      <c r="G73" s="657">
        <f>F73-E73</f>
        <v>0</v>
      </c>
      <c r="H73" s="460">
        <f>G73+'28'!H73</f>
        <v>-884658</v>
      </c>
      <c r="I73" s="480"/>
      <c r="J73" s="553">
        <f>H73/DAY(B2)</f>
        <v>-30505.448275862069</v>
      </c>
      <c r="K73" s="430"/>
      <c r="L73" s="377"/>
    </row>
    <row r="74" spans="1:12" ht="27.75">
      <c r="A74" s="1408" t="s">
        <v>193</v>
      </c>
      <c r="B74" s="1409"/>
      <c r="C74" s="1410"/>
      <c r="D74" s="523" t="s">
        <v>187</v>
      </c>
      <c r="E74" s="768">
        <f>'28'!F74</f>
        <v>0</v>
      </c>
      <c r="F74" s="753"/>
      <c r="G74" s="473">
        <f t="shared" si="6"/>
        <v>0</v>
      </c>
      <c r="H74" s="460">
        <f>G74+'28'!H74</f>
        <v>-586.16999999999996</v>
      </c>
      <c r="I74" s="480"/>
      <c r="J74" s="553">
        <f>H74/DAY(B2)</f>
        <v>-20.212758620689655</v>
      </c>
      <c r="K74" s="431"/>
      <c r="L74" s="377"/>
    </row>
    <row r="75" spans="1:12" ht="27.75">
      <c r="A75" s="1457" t="s">
        <v>194</v>
      </c>
      <c r="B75" s="1458"/>
      <c r="C75" s="1459"/>
      <c r="D75" s="523" t="s">
        <v>187</v>
      </c>
      <c r="E75" s="768">
        <f>'28'!F75</f>
        <v>0</v>
      </c>
      <c r="F75" s="753"/>
      <c r="G75" s="473">
        <f t="shared" si="6"/>
        <v>0</v>
      </c>
      <c r="H75" s="460">
        <f>G75+'28'!H75</f>
        <v>-3519.22</v>
      </c>
      <c r="I75" s="480"/>
      <c r="J75" s="553">
        <f>H75/DAY(B2)</f>
        <v>-121.35241379310344</v>
      </c>
      <c r="K75" s="430"/>
      <c r="L75" s="377"/>
    </row>
    <row r="76" spans="1:12" ht="27.75">
      <c r="A76" s="1457" t="s">
        <v>195</v>
      </c>
      <c r="B76" s="1458"/>
      <c r="C76" s="1459"/>
      <c r="D76" s="523" t="s">
        <v>187</v>
      </c>
      <c r="E76" s="768">
        <f>'28'!F76</f>
        <v>0</v>
      </c>
      <c r="F76" s="753"/>
      <c r="G76" s="473">
        <f t="shared" si="6"/>
        <v>0</v>
      </c>
      <c r="H76" s="460">
        <f>G76+'28'!H76</f>
        <v>-475.2199999999998</v>
      </c>
      <c r="I76" s="505"/>
      <c r="J76" s="553">
        <f>H76/DAY(B2)</f>
        <v>-16.386896551724131</v>
      </c>
      <c r="K76" s="430"/>
      <c r="L76" s="377"/>
    </row>
    <row r="77" spans="1:12" ht="27.75">
      <c r="A77" s="1408" t="s">
        <v>196</v>
      </c>
      <c r="B77" s="1409"/>
      <c r="C77" s="1410"/>
      <c r="D77" s="523" t="s">
        <v>187</v>
      </c>
      <c r="E77" s="768">
        <f>'28'!F77</f>
        <v>0</v>
      </c>
      <c r="F77" s="753"/>
      <c r="G77" s="657">
        <f t="shared" si="6"/>
        <v>0</v>
      </c>
      <c r="H77" s="460">
        <f>G77+'28'!H77</f>
        <v>-698588</v>
      </c>
      <c r="I77" s="505"/>
      <c r="J77" s="553">
        <f>H77/DAY(B2)</f>
        <v>-24089.241379310344</v>
      </c>
      <c r="K77" s="430"/>
      <c r="L77" s="377"/>
    </row>
    <row r="78" spans="1:12" ht="27.75">
      <c r="A78" s="1151" t="s">
        <v>197</v>
      </c>
      <c r="B78" s="1124"/>
      <c r="C78" s="1124"/>
      <c r="D78" s="523" t="s">
        <v>187</v>
      </c>
      <c r="E78" s="768">
        <f>'28'!F78</f>
        <v>0</v>
      </c>
      <c r="F78" s="753"/>
      <c r="G78" s="657">
        <f t="shared" si="6"/>
        <v>0</v>
      </c>
      <c r="H78" s="460">
        <f>G78+'28'!H78</f>
        <v>-652863</v>
      </c>
      <c r="I78" s="505"/>
      <c r="J78" s="553">
        <f>H78/DAY(B2)</f>
        <v>-22512.517241379312</v>
      </c>
      <c r="K78" s="430"/>
      <c r="L78" s="377"/>
    </row>
    <row r="79" spans="1:12" ht="27.75">
      <c r="A79" s="1457" t="s">
        <v>92</v>
      </c>
      <c r="B79" s="1458"/>
      <c r="C79" s="1459"/>
      <c r="D79" s="524" t="s">
        <v>187</v>
      </c>
      <c r="E79" s="768">
        <f>'28'!F79</f>
        <v>0</v>
      </c>
      <c r="F79" s="754"/>
      <c r="G79" s="473">
        <f t="shared" si="6"/>
        <v>0</v>
      </c>
      <c r="H79" s="460">
        <f>G79+'28'!H79</f>
        <v>-812599</v>
      </c>
      <c r="I79" s="505"/>
      <c r="J79" s="553">
        <f>H79/DAY(B2)</f>
        <v>-28020.655172413793</v>
      </c>
      <c r="K79" s="430"/>
      <c r="L79" s="377"/>
    </row>
    <row r="80" spans="1:12" ht="27.75">
      <c r="A80" s="1457" t="s">
        <v>198</v>
      </c>
      <c r="B80" s="1458"/>
      <c r="C80" s="1459"/>
      <c r="D80" s="524" t="s">
        <v>187</v>
      </c>
      <c r="E80" s="768">
        <f>'28'!F80</f>
        <v>0</v>
      </c>
      <c r="F80" s="753"/>
      <c r="G80" s="473">
        <f t="shared" si="6"/>
        <v>0</v>
      </c>
      <c r="H80" s="460">
        <f>G80+'28'!H80</f>
        <v>-496614</v>
      </c>
      <c r="I80" s="505"/>
      <c r="J80" s="553">
        <f>H80/DAY(B2)</f>
        <v>-17124.620689655174</v>
      </c>
      <c r="K80" s="430"/>
      <c r="L80" s="377"/>
    </row>
    <row r="81" spans="1:15" ht="27.75">
      <c r="A81" s="1457" t="s">
        <v>199</v>
      </c>
      <c r="B81" s="1458"/>
      <c r="C81" s="1459"/>
      <c r="D81" s="524" t="s">
        <v>187</v>
      </c>
      <c r="E81" s="768">
        <f>'28'!F81</f>
        <v>0</v>
      </c>
      <c r="F81" s="753"/>
      <c r="G81" s="473">
        <f t="shared" si="6"/>
        <v>0</v>
      </c>
      <c r="H81" s="460">
        <f>G81+'28'!H81</f>
        <v>-625943.84</v>
      </c>
      <c r="I81" s="505"/>
      <c r="J81" s="553">
        <f>H81/DAY(B2)</f>
        <v>-21584.270344827586</v>
      </c>
      <c r="K81" s="430"/>
      <c r="L81" s="377"/>
    </row>
    <row r="82" spans="1:15" ht="27.75">
      <c r="A82" s="1457" t="s">
        <v>93</v>
      </c>
      <c r="B82" s="1458"/>
      <c r="C82" s="1459"/>
      <c r="D82" s="485" t="s">
        <v>132</v>
      </c>
      <c r="E82" s="768">
        <f>'28'!F82</f>
        <v>0</v>
      </c>
      <c r="F82" s="750"/>
      <c r="G82" s="473">
        <f t="shared" si="6"/>
        <v>0</v>
      </c>
      <c r="H82" s="460">
        <f>G82+'28'!H82</f>
        <v>-106202.48</v>
      </c>
      <c r="I82" s="486"/>
      <c r="J82" s="553">
        <f>H82/DAY(B2)</f>
        <v>-3662.1544827586204</v>
      </c>
      <c r="K82" s="430"/>
      <c r="L82" s="377"/>
    </row>
    <row r="83" spans="1:15" ht="27.75">
      <c r="A83" s="1457" t="s">
        <v>200</v>
      </c>
      <c r="B83" s="1458"/>
      <c r="C83" s="1459"/>
      <c r="D83" s="621" t="s">
        <v>132</v>
      </c>
      <c r="E83" s="768">
        <f>'28'!F83</f>
        <v>0</v>
      </c>
      <c r="F83" s="470"/>
      <c r="G83" s="473">
        <f t="shared" si="6"/>
        <v>0</v>
      </c>
      <c r="H83" s="460">
        <f>G83+'28'!H83</f>
        <v>3403</v>
      </c>
      <c r="I83" s="481"/>
      <c r="J83" s="553">
        <f>H83/DAY(B2)</f>
        <v>117.34482758620689</v>
      </c>
      <c r="K83" s="429"/>
      <c r="L83" s="377"/>
    </row>
    <row r="84" spans="1:15">
      <c r="A84" s="1152" t="s">
        <v>201</v>
      </c>
      <c r="B84" s="572"/>
      <c r="C84" s="572"/>
      <c r="D84" s="478" t="s">
        <v>132</v>
      </c>
      <c r="E84" s="768">
        <f>'28'!F84</f>
        <v>0</v>
      </c>
      <c r="F84" s="710"/>
      <c r="G84" s="473">
        <f t="shared" si="6"/>
        <v>0</v>
      </c>
      <c r="H84" s="460">
        <f>G84+'28'!H84</f>
        <v>-430798</v>
      </c>
      <c r="I84" s="481"/>
      <c r="J84" s="553">
        <f>H84/DAY(B2)</f>
        <v>-14855.103448275862</v>
      </c>
      <c r="K84" s="380"/>
      <c r="L84" s="377"/>
    </row>
    <row r="85" spans="1:15" s="379" customFormat="1">
      <c r="A85" s="606" t="s">
        <v>202</v>
      </c>
      <c r="B85" s="573"/>
      <c r="C85" s="573"/>
      <c r="D85" s="489"/>
      <c r="E85" s="710">
        <f>'28'!F85</f>
        <v>0</v>
      </c>
      <c r="F85" s="460"/>
      <c r="G85" s="460">
        <f xml:space="preserve"> SUM(G72:G84)</f>
        <v>0</v>
      </c>
      <c r="H85" s="460">
        <f>G85+'28'!H85</f>
        <v>-5564784.0700000003</v>
      </c>
      <c r="I85" s="481"/>
      <c r="J85" s="553">
        <f>H85/DAY(B2)</f>
        <v>-191889.10586206897</v>
      </c>
      <c r="K85" s="380"/>
      <c r="L85" s="378"/>
      <c r="N85" s="775"/>
      <c r="O85" s="775"/>
    </row>
    <row r="86" spans="1:15" s="740" customFormat="1">
      <c r="A86" s="735" t="s">
        <v>94</v>
      </c>
      <c r="B86" s="736"/>
      <c r="C86" s="736"/>
      <c r="D86" s="737" t="s">
        <v>183</v>
      </c>
      <c r="E86" s="710">
        <f>'28'!F86</f>
        <v>0</v>
      </c>
      <c r="F86" s="755"/>
      <c r="G86" s="710">
        <f t="shared" ref="G86:G90" si="7">F86-E86</f>
        <v>0</v>
      </c>
      <c r="H86" s="710">
        <f t="shared" ref="H86:H88" si="8">G86</f>
        <v>0</v>
      </c>
      <c r="I86" s="657"/>
      <c r="J86" s="712">
        <f>H86/DAY(B2)</f>
        <v>0</v>
      </c>
      <c r="K86" s="738"/>
      <c r="L86" s="739"/>
      <c r="N86" s="776"/>
      <c r="O86" s="776"/>
    </row>
    <row r="87" spans="1:15" s="740" customFormat="1">
      <c r="A87" s="735" t="s">
        <v>95</v>
      </c>
      <c r="B87" s="736"/>
      <c r="C87" s="736"/>
      <c r="D87" s="737" t="s">
        <v>183</v>
      </c>
      <c r="E87" s="710">
        <f>'28'!F87</f>
        <v>0</v>
      </c>
      <c r="F87" s="755"/>
      <c r="G87" s="710">
        <f t="shared" si="7"/>
        <v>0</v>
      </c>
      <c r="H87" s="710">
        <f t="shared" si="8"/>
        <v>0</v>
      </c>
      <c r="I87" s="657"/>
      <c r="J87" s="712">
        <f>H87/DAY(B2)</f>
        <v>0</v>
      </c>
      <c r="K87" s="738"/>
      <c r="L87" s="739"/>
      <c r="N87" s="776"/>
      <c r="O87" s="776"/>
    </row>
    <row r="88" spans="1:15" s="740" customFormat="1">
      <c r="A88" s="735" t="s">
        <v>96</v>
      </c>
      <c r="B88" s="736"/>
      <c r="C88" s="736"/>
      <c r="D88" s="737" t="s">
        <v>183</v>
      </c>
      <c r="E88" s="710">
        <f>'28'!F88</f>
        <v>0</v>
      </c>
      <c r="F88" s="755"/>
      <c r="G88" s="710">
        <f t="shared" si="7"/>
        <v>0</v>
      </c>
      <c r="H88" s="710">
        <f t="shared" si="8"/>
        <v>0</v>
      </c>
      <c r="I88" s="657"/>
      <c r="J88" s="712">
        <f>H88/DAY(B2)</f>
        <v>0</v>
      </c>
      <c r="K88" s="738"/>
      <c r="L88" s="739"/>
      <c r="N88" s="776">
        <f>122+359</f>
        <v>481</v>
      </c>
      <c r="O88" s="776"/>
    </row>
    <row r="89" spans="1:15" s="740" customFormat="1">
      <c r="A89" s="735" t="s">
        <v>204</v>
      </c>
      <c r="B89" s="736"/>
      <c r="C89" s="736"/>
      <c r="D89" s="737" t="s">
        <v>183</v>
      </c>
      <c r="E89" s="710">
        <f>'28'!F89</f>
        <v>0</v>
      </c>
      <c r="F89" s="652"/>
      <c r="G89" s="710">
        <f t="shared" si="7"/>
        <v>0</v>
      </c>
      <c r="H89" s="710">
        <f>G89</f>
        <v>0</v>
      </c>
      <c r="I89" s="657"/>
      <c r="J89" s="712">
        <f>H89/DAY(B2)</f>
        <v>0</v>
      </c>
      <c r="K89" s="738"/>
      <c r="L89" s="739"/>
    </row>
    <row r="90" spans="1:15" s="740" customFormat="1">
      <c r="A90" s="735" t="s">
        <v>204</v>
      </c>
      <c r="B90" s="736"/>
      <c r="C90" s="736"/>
      <c r="D90" s="737" t="s">
        <v>183</v>
      </c>
      <c r="E90" s="710">
        <f>'28'!F90</f>
        <v>0</v>
      </c>
      <c r="F90" s="652"/>
      <c r="G90" s="710">
        <f t="shared" si="7"/>
        <v>0</v>
      </c>
      <c r="H90" s="710">
        <f>G90</f>
        <v>0</v>
      </c>
      <c r="I90" s="657"/>
      <c r="J90" s="712">
        <f>H90/DAY(B2)</f>
        <v>0</v>
      </c>
      <c r="K90" s="738"/>
      <c r="L90" s="739"/>
    </row>
    <row r="91" spans="1:15" s="379" customFormat="1">
      <c r="A91" s="607" t="s">
        <v>205</v>
      </c>
      <c r="B91" s="1154"/>
      <c r="C91" s="1154"/>
      <c r="D91" s="472"/>
      <c r="E91" s="744"/>
      <c r="F91" s="744"/>
      <c r="G91" s="488"/>
      <c r="H91" s="472"/>
      <c r="I91" s="472"/>
      <c r="J91" s="552"/>
      <c r="K91" s="380"/>
      <c r="L91" s="378"/>
      <c r="N91" s="775"/>
      <c r="O91" s="775"/>
    </row>
    <row r="92" spans="1:15" ht="27.75">
      <c r="A92" s="1411" t="s">
        <v>206</v>
      </c>
      <c r="B92" s="1412"/>
      <c r="C92" s="1413"/>
      <c r="D92" s="523" t="s">
        <v>144</v>
      </c>
      <c r="E92" s="764">
        <f>'28'!F92</f>
        <v>0</v>
      </c>
      <c r="F92" s="743"/>
      <c r="G92" s="473">
        <f t="shared" ref="G92:G93" si="9">F92-E92</f>
        <v>0</v>
      </c>
      <c r="H92" s="460">
        <f>G92+'28'!H92</f>
        <v>-239695</v>
      </c>
      <c r="I92" s="480"/>
      <c r="J92" s="553">
        <f>H92/DAY(B2)</f>
        <v>-8265.3448275862065</v>
      </c>
      <c r="K92" s="429"/>
      <c r="L92" s="377"/>
    </row>
    <row r="93" spans="1:15" ht="27.75">
      <c r="A93" s="1411" t="s">
        <v>207</v>
      </c>
      <c r="B93" s="1412"/>
      <c r="C93" s="1413"/>
      <c r="D93" s="523" t="s">
        <v>144</v>
      </c>
      <c r="E93" s="764">
        <f>'28'!F93</f>
        <v>0</v>
      </c>
      <c r="F93" s="743"/>
      <c r="G93" s="473">
        <f t="shared" si="9"/>
        <v>0</v>
      </c>
      <c r="H93" s="460">
        <f>G93+'28'!H93</f>
        <v>-175661</v>
      </c>
      <c r="I93" s="480"/>
      <c r="J93" s="553">
        <f>H93/DAY(B2)</f>
        <v>-6057.2758620689656</v>
      </c>
      <c r="K93" s="380"/>
      <c r="L93" s="377"/>
    </row>
    <row r="94" spans="1:15">
      <c r="A94" s="1405" t="s">
        <v>208</v>
      </c>
      <c r="B94" s="1406"/>
      <c r="C94" s="1407"/>
      <c r="D94" s="523"/>
      <c r="E94" s="764"/>
      <c r="F94" s="743"/>
      <c r="G94" s="473">
        <f>G92+G93</f>
        <v>0</v>
      </c>
      <c r="H94" s="460">
        <f>G94+'28'!H94</f>
        <v>-415622</v>
      </c>
      <c r="I94" s="480"/>
      <c r="J94" s="553">
        <f>H94/DAY(B2)</f>
        <v>-14331.793103448275</v>
      </c>
      <c r="K94" s="380"/>
      <c r="L94" s="377"/>
    </row>
    <row r="95" spans="1:15" ht="27.75">
      <c r="A95" s="1411" t="s">
        <v>209</v>
      </c>
      <c r="B95" s="1412"/>
      <c r="C95" s="1413"/>
      <c r="D95" s="523" t="s">
        <v>144</v>
      </c>
      <c r="E95" s="764">
        <f>'28'!F95</f>
        <v>0</v>
      </c>
      <c r="F95" s="743"/>
      <c r="G95" s="473">
        <f t="shared" ref="G95:G100" si="10">F95-E95</f>
        <v>0</v>
      </c>
      <c r="H95" s="460">
        <f>G95+'28'!H95</f>
        <v>-408156</v>
      </c>
      <c r="I95" s="480"/>
      <c r="J95" s="553">
        <f>H95/DAY(B2)</f>
        <v>-14074.344827586207</v>
      </c>
      <c r="K95" s="380"/>
      <c r="L95" s="377"/>
    </row>
    <row r="96" spans="1:15" ht="27.75">
      <c r="A96" s="1148" t="s">
        <v>210</v>
      </c>
      <c r="B96" s="1149"/>
      <c r="C96" s="1149"/>
      <c r="D96" s="523" t="s">
        <v>144</v>
      </c>
      <c r="E96" s="764">
        <f>'28'!F96</f>
        <v>0</v>
      </c>
      <c r="F96" s="743"/>
      <c r="G96" s="473">
        <f t="shared" si="10"/>
        <v>0</v>
      </c>
      <c r="H96" s="460">
        <f>G96+'28'!H96</f>
        <v>-101332</v>
      </c>
      <c r="I96" s="480"/>
      <c r="J96" s="553">
        <f>H96/DAY(B2)</f>
        <v>-3494.2068965517242</v>
      </c>
      <c r="K96" s="427"/>
      <c r="L96" s="377"/>
    </row>
    <row r="97" spans="1:15" ht="27.75">
      <c r="A97" s="1148" t="s">
        <v>211</v>
      </c>
      <c r="B97" s="1149"/>
      <c r="C97" s="1149"/>
      <c r="D97" s="523" t="s">
        <v>144</v>
      </c>
      <c r="E97" s="764">
        <f>'28'!F97</f>
        <v>0</v>
      </c>
      <c r="F97" s="743"/>
      <c r="G97" s="473">
        <f t="shared" si="10"/>
        <v>0</v>
      </c>
      <c r="H97" s="460">
        <f>G97+'28'!H97</f>
        <v>-96449</v>
      </c>
      <c r="I97" s="480"/>
      <c r="J97" s="553">
        <f>H97/DAY(B2)</f>
        <v>-3325.8275862068967</v>
      </c>
      <c r="K97" s="432"/>
      <c r="L97" s="377"/>
    </row>
    <row r="98" spans="1:15" ht="27.75">
      <c r="A98" s="1148" t="s">
        <v>212</v>
      </c>
      <c r="B98" s="1149"/>
      <c r="C98" s="1149"/>
      <c r="D98" s="523" t="s">
        <v>144</v>
      </c>
      <c r="E98" s="764">
        <f>'28'!F98</f>
        <v>0</v>
      </c>
      <c r="F98" s="743"/>
      <c r="G98" s="473">
        <f t="shared" si="10"/>
        <v>0</v>
      </c>
      <c r="H98" s="460">
        <f>G98+'28'!H98</f>
        <v>-147608</v>
      </c>
      <c r="I98" s="480"/>
      <c r="J98" s="553">
        <f>H98/DAY(B2)</f>
        <v>-5089.9310344827591</v>
      </c>
      <c r="K98" s="380"/>
      <c r="L98" s="377"/>
    </row>
    <row r="99" spans="1:15" ht="27.75">
      <c r="A99" s="1148" t="s">
        <v>213</v>
      </c>
      <c r="B99" s="1149"/>
      <c r="C99" s="1149"/>
      <c r="D99" s="523" t="s">
        <v>144</v>
      </c>
      <c r="E99" s="764">
        <f>'28'!F99</f>
        <v>0</v>
      </c>
      <c r="F99" s="743"/>
      <c r="G99" s="473">
        <f t="shared" si="10"/>
        <v>0</v>
      </c>
      <c r="H99" s="460">
        <f>G99+'28'!H99</f>
        <v>-6408</v>
      </c>
      <c r="I99" s="480"/>
      <c r="J99" s="553">
        <f>H99/DAY(B2)</f>
        <v>-220.9655172413793</v>
      </c>
      <c r="K99" s="380"/>
      <c r="L99" s="377"/>
    </row>
    <row r="100" spans="1:15" ht="27.75">
      <c r="A100" s="1148" t="s">
        <v>214</v>
      </c>
      <c r="B100" s="1149"/>
      <c r="C100" s="1149"/>
      <c r="D100" s="523" t="s">
        <v>144</v>
      </c>
      <c r="E100" s="764">
        <f>'28'!F100</f>
        <v>0</v>
      </c>
      <c r="F100" s="743"/>
      <c r="G100" s="473">
        <f t="shared" si="10"/>
        <v>0</v>
      </c>
      <c r="H100" s="460">
        <f>G100+'28'!H100</f>
        <v>-4543</v>
      </c>
      <c r="I100" s="480"/>
      <c r="J100" s="553">
        <f>H100/DAY(B2)</f>
        <v>-156.65517241379311</v>
      </c>
      <c r="K100" s="380"/>
      <c r="L100" s="377"/>
    </row>
    <row r="101" spans="1:15">
      <c r="A101" s="1405" t="s">
        <v>216</v>
      </c>
      <c r="B101" s="1406"/>
      <c r="C101" s="1407"/>
      <c r="D101" s="524"/>
      <c r="E101" s="486"/>
      <c r="F101" s="486"/>
      <c r="G101" s="525">
        <f>SUM(G95:G100)</f>
        <v>0</v>
      </c>
      <c r="H101" s="460">
        <f>G101+'28'!H101</f>
        <v>-764496</v>
      </c>
      <c r="I101" s="526"/>
      <c r="J101" s="553">
        <f>H101/DAY(B2)</f>
        <v>-26361.931034482757</v>
      </c>
      <c r="K101" s="380"/>
      <c r="L101" s="377"/>
    </row>
    <row r="102" spans="1:15" s="442" customFormat="1" ht="27">
      <c r="A102" s="608" t="s">
        <v>217</v>
      </c>
      <c r="B102" s="609"/>
      <c r="C102" s="609"/>
      <c r="D102" s="622"/>
      <c r="E102" s="770"/>
      <c r="F102" s="756"/>
      <c r="G102" s="529"/>
      <c r="H102" s="530"/>
      <c r="I102" s="531"/>
      <c r="J102" s="558"/>
      <c r="N102" s="775"/>
      <c r="O102" s="775"/>
    </row>
    <row r="103" spans="1:15" s="442" customFormat="1" ht="27">
      <c r="A103" s="1414" t="s">
        <v>218</v>
      </c>
      <c r="B103" s="1415"/>
      <c r="C103" s="574"/>
      <c r="D103" s="623"/>
      <c r="E103" s="533"/>
      <c r="F103" s="757"/>
      <c r="G103" s="532"/>
      <c r="H103" s="533"/>
      <c r="I103" s="532"/>
      <c r="J103" s="559"/>
      <c r="N103" s="775"/>
      <c r="O103" s="775"/>
    </row>
    <row r="104" spans="1:15" s="442" customFormat="1" ht="27">
      <c r="A104" s="1416" t="s">
        <v>219</v>
      </c>
      <c r="B104" s="1417"/>
      <c r="C104" s="1147"/>
      <c r="D104" s="623" t="s">
        <v>144</v>
      </c>
      <c r="E104" s="533">
        <f>'28'!F104</f>
        <v>0</v>
      </c>
      <c r="F104" s="757"/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2.7293103448275895</v>
      </c>
      <c r="N104" s="775"/>
      <c r="O104" s="775"/>
    </row>
    <row r="105" spans="1:15" s="442" customFormat="1" ht="27">
      <c r="A105" s="1416" t="s">
        <v>77</v>
      </c>
      <c r="B105" s="1417"/>
      <c r="C105" s="1147"/>
      <c r="D105" s="623" t="s">
        <v>144</v>
      </c>
      <c r="E105" s="533">
        <f>'28'!F105</f>
        <v>0</v>
      </c>
      <c r="F105" s="665"/>
      <c r="G105" s="532">
        <f t="shared" ref="G105:G106" si="11">F105-E105</f>
        <v>0</v>
      </c>
      <c r="H105" s="533">
        <f>SUM(G105+'1'!G77)</f>
        <v>45</v>
      </c>
      <c r="I105" s="532"/>
      <c r="J105" s="559">
        <f>H105/DAY(B2)</f>
        <v>1.5517241379310345</v>
      </c>
      <c r="N105" s="775"/>
      <c r="O105" s="775"/>
    </row>
    <row r="106" spans="1:15" s="442" customFormat="1" ht="27">
      <c r="A106" s="1416" t="s">
        <v>78</v>
      </c>
      <c r="B106" s="1418"/>
      <c r="C106" s="1417"/>
      <c r="D106" s="623" t="s">
        <v>144</v>
      </c>
      <c r="E106" s="533">
        <f>'28'!F106</f>
        <v>0</v>
      </c>
      <c r="F106" s="665"/>
      <c r="G106" s="532">
        <f t="shared" si="11"/>
        <v>0</v>
      </c>
      <c r="H106" s="533">
        <f>SUM(G106+'1'!G78)</f>
        <v>390</v>
      </c>
      <c r="I106" s="532"/>
      <c r="J106" s="559">
        <f>H106/DAY(B2)</f>
        <v>13.448275862068966</v>
      </c>
      <c r="N106" s="775"/>
      <c r="O106" s="775"/>
    </row>
    <row r="107" spans="1:15" s="442" customFormat="1" ht="27">
      <c r="A107" s="1419" t="s">
        <v>202</v>
      </c>
      <c r="B107" s="1420"/>
      <c r="C107" s="1147"/>
      <c r="D107" s="623"/>
      <c r="E107" s="533">
        <f>'28'!F107</f>
        <v>0</v>
      </c>
      <c r="F107" s="665"/>
      <c r="G107" s="532">
        <f>SUM(G104:G106)</f>
        <v>0</v>
      </c>
      <c r="H107" s="533">
        <f>SUM(G107+'1'!G79)</f>
        <v>192</v>
      </c>
      <c r="I107" s="532"/>
      <c r="J107" s="559">
        <f>H107/DAY(B2)</f>
        <v>6.6206896551724137</v>
      </c>
      <c r="N107" s="775"/>
      <c r="O107" s="775"/>
    </row>
    <row r="108" spans="1:15" s="442" customFormat="1" ht="27">
      <c r="A108" s="1421" t="s">
        <v>79</v>
      </c>
      <c r="B108" s="1422"/>
      <c r="C108" s="1147"/>
      <c r="D108" s="623" t="s">
        <v>144</v>
      </c>
      <c r="E108" s="533">
        <f>'28'!F108</f>
        <v>0</v>
      </c>
      <c r="F108" s="665"/>
      <c r="G108" s="532"/>
      <c r="H108" s="533"/>
      <c r="I108" s="532"/>
      <c r="J108" s="559"/>
      <c r="N108" s="775"/>
      <c r="O108" s="775"/>
    </row>
    <row r="109" spans="1:15" s="442" customFormat="1" ht="27">
      <c r="A109" s="1416" t="s">
        <v>220</v>
      </c>
      <c r="B109" s="1417"/>
      <c r="C109" s="1147"/>
      <c r="D109" s="623" t="s">
        <v>144</v>
      </c>
      <c r="E109" s="533">
        <f>'28'!F109</f>
        <v>0</v>
      </c>
      <c r="F109" s="665"/>
      <c r="G109" s="532">
        <f>F109-E109</f>
        <v>0</v>
      </c>
      <c r="H109" s="533">
        <f>SUM(G109+'1'!G81)</f>
        <v>112.56000000005588</v>
      </c>
      <c r="I109" s="532"/>
      <c r="J109" s="559">
        <f>H109/DAY(B2)</f>
        <v>3.8813793103467544</v>
      </c>
      <c r="N109" s="775"/>
      <c r="O109" s="775"/>
    </row>
    <row r="110" spans="1:15" s="442" customFormat="1" ht="27">
      <c r="A110" s="1416" t="s">
        <v>221</v>
      </c>
      <c r="B110" s="1417"/>
      <c r="C110" s="1147"/>
      <c r="D110" s="623" t="s">
        <v>144</v>
      </c>
      <c r="E110" s="533">
        <f>'28'!F110</f>
        <v>0</v>
      </c>
      <c r="F110" s="665"/>
      <c r="G110" s="532">
        <f t="shared" ref="G110:G111" si="12">F110-E110</f>
        <v>0</v>
      </c>
      <c r="H110" s="533">
        <f>SUM(G110+'1'!G82)</f>
        <v>18.169999999998254</v>
      </c>
      <c r="I110" s="532"/>
      <c r="J110" s="559">
        <f>H110/DAY(B2)</f>
        <v>0.62655172413787086</v>
      </c>
      <c r="N110" s="775"/>
      <c r="O110" s="775"/>
    </row>
    <row r="111" spans="1:15" s="442" customFormat="1" ht="27">
      <c r="A111" s="1416" t="s">
        <v>222</v>
      </c>
      <c r="B111" s="1417"/>
      <c r="C111" s="1147"/>
      <c r="D111" s="623" t="s">
        <v>144</v>
      </c>
      <c r="E111" s="533">
        <f>'28'!F111</f>
        <v>0</v>
      </c>
      <c r="F111" s="665"/>
      <c r="G111" s="534">
        <f t="shared" si="12"/>
        <v>0</v>
      </c>
      <c r="H111" s="533">
        <f>SUM(G111+'1'!G83)</f>
        <v>520</v>
      </c>
      <c r="I111" s="532"/>
      <c r="J111" s="559">
        <f>H111/DAY(B2)</f>
        <v>17.931034482758619</v>
      </c>
      <c r="N111" s="775"/>
      <c r="O111" s="775"/>
    </row>
    <row r="112" spans="1:15" s="442" customFormat="1" ht="27">
      <c r="A112" s="1419" t="s">
        <v>110</v>
      </c>
      <c r="B112" s="1420"/>
      <c r="C112" s="1147"/>
      <c r="D112" s="623"/>
      <c r="E112" s="533">
        <f>'28'!F112</f>
        <v>0</v>
      </c>
      <c r="F112" s="665"/>
      <c r="G112" s="532">
        <f>SUM(G109:G111)</f>
        <v>0</v>
      </c>
      <c r="H112" s="533">
        <f>SUM(G112+'1'!G84)</f>
        <v>690</v>
      </c>
      <c r="I112" s="532"/>
      <c r="J112" s="559">
        <f>H112/DAY(B2)</f>
        <v>23.793103448275861</v>
      </c>
      <c r="N112" s="775"/>
      <c r="O112" s="775"/>
    </row>
    <row r="113" spans="1:15" s="442" customFormat="1" ht="27">
      <c r="A113" s="1421" t="s">
        <v>223</v>
      </c>
      <c r="B113" s="1422"/>
      <c r="C113" s="1147"/>
      <c r="D113" s="623"/>
      <c r="E113" s="533">
        <f>'28'!F113</f>
        <v>0</v>
      </c>
      <c r="F113" s="665"/>
      <c r="G113" s="532"/>
      <c r="H113" s="533"/>
      <c r="I113" s="532"/>
      <c r="J113" s="559">
        <f>H113/DAY(B2)</f>
        <v>0</v>
      </c>
      <c r="N113" s="775"/>
      <c r="O113" s="775"/>
    </row>
    <row r="114" spans="1:15" s="442" customFormat="1" ht="27">
      <c r="A114" s="1416" t="s">
        <v>224</v>
      </c>
      <c r="B114" s="1417"/>
      <c r="C114" s="575"/>
      <c r="D114" s="623" t="s">
        <v>144</v>
      </c>
      <c r="E114" s="533">
        <f>'28'!F114</f>
        <v>0</v>
      </c>
      <c r="F114" s="665"/>
      <c r="G114" s="534">
        <f>F114-E114</f>
        <v>0</v>
      </c>
      <c r="H114" s="533">
        <f>SUM(G114+'1'!G91)</f>
        <v>0</v>
      </c>
      <c r="I114" s="532"/>
      <c r="J114" s="559">
        <f>H114/DAY(B2)</f>
        <v>0</v>
      </c>
      <c r="N114" s="775"/>
      <c r="O114" s="775"/>
    </row>
    <row r="115" spans="1:15" s="442" customFormat="1" ht="27">
      <c r="A115" s="1416" t="s">
        <v>225</v>
      </c>
      <c r="B115" s="1417"/>
      <c r="C115" s="575"/>
      <c r="D115" s="623" t="s">
        <v>144</v>
      </c>
      <c r="E115" s="533">
        <f>'28'!F115</f>
        <v>0</v>
      </c>
      <c r="F115" s="665"/>
      <c r="G115" s="534">
        <f t="shared" ref="G115:G116" si="13">F115-E115</f>
        <v>0</v>
      </c>
      <c r="H115" s="533">
        <f>SUM(G115+'1'!G92)</f>
        <v>122</v>
      </c>
      <c r="I115" s="532"/>
      <c r="J115" s="559">
        <f>H115/DAY(B2)</f>
        <v>4.2068965517241379</v>
      </c>
      <c r="N115" s="775"/>
      <c r="O115" s="775"/>
    </row>
    <row r="116" spans="1:15" s="442" customFormat="1" ht="27">
      <c r="A116" s="1416" t="s">
        <v>226</v>
      </c>
      <c r="B116" s="1417"/>
      <c r="C116" s="575"/>
      <c r="D116" s="623" t="s">
        <v>144</v>
      </c>
      <c r="E116" s="536"/>
      <c r="F116" s="665"/>
      <c r="G116" s="534">
        <f t="shared" si="13"/>
        <v>0</v>
      </c>
      <c r="H116" s="533">
        <f>SUM(G116+'1'!G93)</f>
        <v>144</v>
      </c>
      <c r="I116" s="532"/>
      <c r="J116" s="559">
        <f>H116/DAY(B2)</f>
        <v>4.9655172413793105</v>
      </c>
      <c r="N116" s="775"/>
      <c r="O116" s="775"/>
    </row>
    <row r="117" spans="1:15" s="445" customFormat="1" ht="27">
      <c r="A117" s="1419" t="s">
        <v>202</v>
      </c>
      <c r="B117" s="1420"/>
      <c r="C117" s="575"/>
      <c r="D117" s="624"/>
      <c r="E117" s="536"/>
      <c r="F117" s="665"/>
      <c r="G117" s="534">
        <f>SUM(G114:G116)</f>
        <v>0</v>
      </c>
      <c r="H117" s="533">
        <f>SUM(G117+'1'!G95)</f>
        <v>76</v>
      </c>
      <c r="I117" s="534"/>
      <c r="J117" s="559">
        <f>H117/DAY(B2)</f>
        <v>2.6206896551724137</v>
      </c>
      <c r="N117" s="775"/>
      <c r="O117" s="776"/>
    </row>
    <row r="118" spans="1:15" s="446" customFormat="1" ht="27">
      <c r="A118" s="1450" t="s">
        <v>227</v>
      </c>
      <c r="B118" s="1451"/>
      <c r="C118" s="1145"/>
      <c r="D118" s="625" t="s">
        <v>144</v>
      </c>
      <c r="E118" s="536"/>
      <c r="F118" s="665"/>
      <c r="G118" s="536">
        <f>SUM(G19+G92)</f>
        <v>0</v>
      </c>
      <c r="H118" s="533">
        <f>SUM(G118+'1'!G96)</f>
        <v>13</v>
      </c>
      <c r="I118" s="535"/>
      <c r="J118" s="560">
        <f>H118/DAY(B2)</f>
        <v>0.44827586206896552</v>
      </c>
      <c r="N118" s="775"/>
      <c r="O118" s="776"/>
    </row>
    <row r="119" spans="1:15" s="446" customFormat="1" ht="27">
      <c r="A119" s="1450" t="s">
        <v>228</v>
      </c>
      <c r="B119" s="1451"/>
      <c r="C119" s="1145"/>
      <c r="D119" s="625" t="s">
        <v>144</v>
      </c>
      <c r="E119" s="536"/>
      <c r="F119" s="665"/>
      <c r="G119" s="536">
        <f>SUM(G95,G96,G97,G99,G100)</f>
        <v>0</v>
      </c>
      <c r="H119" s="533">
        <f>SUM(G119+'1'!G98)</f>
        <v>70</v>
      </c>
      <c r="I119" s="535"/>
      <c r="J119" s="560">
        <f>H119/DAY(B2)</f>
        <v>2.4137931034482758</v>
      </c>
      <c r="N119" s="775"/>
      <c r="O119" s="776"/>
    </row>
    <row r="120" spans="1:15" s="446" customFormat="1" ht="27">
      <c r="A120" s="1450" t="s">
        <v>229</v>
      </c>
      <c r="B120" s="1451"/>
      <c r="C120" s="1145"/>
      <c r="D120" s="625" t="s">
        <v>144</v>
      </c>
      <c r="E120" s="536"/>
      <c r="F120" s="665"/>
      <c r="G120" s="534">
        <f>SUM(G112)</f>
        <v>0</v>
      </c>
      <c r="H120" s="533">
        <f>SUM(G120+'1'!G100)</f>
        <v>14</v>
      </c>
      <c r="I120" s="535"/>
      <c r="J120" s="560">
        <f>H120/DAY(B2)</f>
        <v>0.48275862068965519</v>
      </c>
      <c r="N120" s="775"/>
      <c r="O120" s="776"/>
    </row>
    <row r="121" spans="1:15" s="442" customFormat="1" ht="27">
      <c r="A121" s="1452"/>
      <c r="B121" s="1453"/>
      <c r="C121" s="1146"/>
      <c r="D121" s="561"/>
      <c r="E121" s="771"/>
      <c r="F121" s="758"/>
      <c r="G121" s="561"/>
      <c r="H121" s="562"/>
      <c r="I121" s="561"/>
      <c r="J121" s="563"/>
      <c r="N121" s="775"/>
      <c r="O121" s="775"/>
    </row>
    <row r="122" spans="1:15">
      <c r="A122" s="1402" t="s">
        <v>230</v>
      </c>
      <c r="B122" s="1403"/>
      <c r="C122" s="1404"/>
      <c r="D122" s="472"/>
      <c r="E122" s="744"/>
      <c r="F122" s="744"/>
      <c r="G122" s="483"/>
      <c r="H122" s="483"/>
      <c r="I122" s="483"/>
      <c r="J122" s="564"/>
      <c r="K122" s="380"/>
      <c r="L122" s="377"/>
    </row>
    <row r="123" spans="1:15" ht="27.75">
      <c r="A123" s="1148" t="s">
        <v>231</v>
      </c>
      <c r="B123" s="1149"/>
      <c r="C123" s="1149"/>
      <c r="D123" s="523" t="s">
        <v>141</v>
      </c>
      <c r="E123" s="743">
        <f>'28'!F123</f>
        <v>0</v>
      </c>
      <c r="F123" s="743"/>
      <c r="G123" s="473">
        <f t="shared" ref="G123:G127" si="14">F123-E123</f>
        <v>0</v>
      </c>
      <c r="H123" s="460">
        <f>G123+'28'!H123</f>
        <v>-811006.84</v>
      </c>
      <c r="I123" s="526"/>
      <c r="J123" s="553">
        <f>H123/DAY(B2)</f>
        <v>-27965.753103448274</v>
      </c>
      <c r="K123" s="380"/>
      <c r="L123" s="377"/>
    </row>
    <row r="124" spans="1:15" ht="27.75">
      <c r="A124" s="1148" t="s">
        <v>232</v>
      </c>
      <c r="B124" s="1149"/>
      <c r="C124" s="1149"/>
      <c r="D124" s="523" t="s">
        <v>141</v>
      </c>
      <c r="E124" s="743">
        <f>'28'!F124</f>
        <v>0</v>
      </c>
      <c r="F124" s="759"/>
      <c r="G124" s="473">
        <f t="shared" si="14"/>
        <v>0</v>
      </c>
      <c r="H124" s="460">
        <f>G124+'28'!H124</f>
        <v>-73583.399999999994</v>
      </c>
      <c r="I124" s="526"/>
      <c r="J124" s="553">
        <f>H124/DAY(B2)</f>
        <v>-2537.3586206896548</v>
      </c>
      <c r="K124" s="380"/>
      <c r="L124" s="377"/>
    </row>
    <row r="125" spans="1:15" ht="27.75">
      <c r="A125" s="1408" t="s">
        <v>233</v>
      </c>
      <c r="B125" s="1409"/>
      <c r="C125" s="1410"/>
      <c r="D125" s="523" t="s">
        <v>141</v>
      </c>
      <c r="E125" s="743">
        <f>'28'!F125</f>
        <v>0</v>
      </c>
      <c r="F125" s="743"/>
      <c r="G125" s="473">
        <f t="shared" si="14"/>
        <v>0</v>
      </c>
      <c r="H125" s="460">
        <f>G125+'28'!H125</f>
        <v>-139979.34</v>
      </c>
      <c r="I125" s="526"/>
      <c r="J125" s="553">
        <f>H125/DAY(B2)</f>
        <v>-4826.8737931034484</v>
      </c>
      <c r="K125" s="380"/>
      <c r="L125" s="377"/>
    </row>
    <row r="126" spans="1:15" ht="27.75">
      <c r="A126" s="610" t="s">
        <v>234</v>
      </c>
      <c r="B126" s="1149"/>
      <c r="C126" s="1149"/>
      <c r="D126" s="523" t="s">
        <v>141</v>
      </c>
      <c r="E126" s="743">
        <f>'28'!F126</f>
        <v>0</v>
      </c>
      <c r="F126" s="759"/>
      <c r="G126" s="473">
        <f t="shared" si="14"/>
        <v>0</v>
      </c>
      <c r="H126" s="460">
        <f>G126+'28'!H126</f>
        <v>-59306.9</v>
      </c>
      <c r="I126" s="526"/>
      <c r="J126" s="553">
        <f>H126/DAY(B2)</f>
        <v>-2045.0655172413794</v>
      </c>
      <c r="K126" s="380"/>
      <c r="L126" s="377"/>
    </row>
    <row r="127" spans="1:15" ht="27.75">
      <c r="A127" s="610" t="s">
        <v>235</v>
      </c>
      <c r="B127" s="1149"/>
      <c r="C127" s="1149"/>
      <c r="D127" s="523" t="s">
        <v>141</v>
      </c>
      <c r="E127" s="743">
        <f>'28'!F127</f>
        <v>0</v>
      </c>
      <c r="F127" s="759"/>
      <c r="G127" s="473">
        <f t="shared" si="14"/>
        <v>0</v>
      </c>
      <c r="H127" s="460">
        <f>G127+'28'!H127</f>
        <v>-8887.7999999999993</v>
      </c>
      <c r="I127" s="480"/>
      <c r="J127" s="553">
        <f>H127/DAY(B2)</f>
        <v>-306.47586206896551</v>
      </c>
      <c r="K127" s="380"/>
      <c r="L127" s="377"/>
    </row>
    <row r="128" spans="1:15" s="281" customFormat="1" ht="27">
      <c r="A128" s="610" t="s">
        <v>236</v>
      </c>
      <c r="B128" s="1149"/>
      <c r="C128" s="1149"/>
      <c r="D128" s="523"/>
      <c r="E128" s="743"/>
      <c r="F128" s="743"/>
      <c r="G128" s="473">
        <f>G15-SUM(G123:G127)</f>
        <v>0</v>
      </c>
      <c r="H128" s="460"/>
      <c r="I128" s="480"/>
      <c r="J128" s="553"/>
      <c r="K128" s="364"/>
      <c r="L128" s="292"/>
      <c r="N128" s="775"/>
      <c r="O128" s="775"/>
    </row>
    <row r="129" spans="1:12">
      <c r="A129" s="611" t="s">
        <v>237</v>
      </c>
      <c r="B129" s="458"/>
      <c r="C129" s="458"/>
      <c r="D129" s="471"/>
      <c r="E129" s="495"/>
      <c r="F129" s="495"/>
      <c r="G129" s="541"/>
      <c r="H129" s="541"/>
      <c r="I129" s="541"/>
      <c r="J129" s="565"/>
    </row>
    <row r="130" spans="1:12" ht="27.75">
      <c r="A130" s="1148" t="s">
        <v>238</v>
      </c>
      <c r="B130" s="1149"/>
      <c r="C130" s="1149"/>
      <c r="D130" s="523" t="s">
        <v>239</v>
      </c>
      <c r="E130" s="764">
        <f>'28'!F130</f>
        <v>0</v>
      </c>
      <c r="F130" s="743"/>
      <c r="G130" s="473">
        <f t="shared" ref="G130:G140" si="15">F130-E130</f>
        <v>0</v>
      </c>
      <c r="H130" s="460">
        <f>G130+'28'!H130</f>
        <v>0</v>
      </c>
      <c r="I130" s="480"/>
      <c r="J130" s="553">
        <f>H130/DAY(B2)</f>
        <v>0</v>
      </c>
    </row>
    <row r="131" spans="1:12" ht="27.75">
      <c r="A131" s="1148" t="s">
        <v>240</v>
      </c>
      <c r="B131" s="1149"/>
      <c r="C131" s="1149"/>
      <c r="D131" s="523" t="s">
        <v>239</v>
      </c>
      <c r="E131" s="764">
        <f>'28'!F131</f>
        <v>0</v>
      </c>
      <c r="F131" s="743"/>
      <c r="G131" s="473">
        <f t="shared" si="15"/>
        <v>0</v>
      </c>
      <c r="H131" s="460">
        <f>G131+'28'!H131</f>
        <v>0</v>
      </c>
      <c r="I131" s="480"/>
      <c r="J131" s="553">
        <f>H131/DAY(B2)</f>
        <v>0</v>
      </c>
    </row>
    <row r="132" spans="1:12" ht="27.75">
      <c r="A132" s="1148" t="s">
        <v>241</v>
      </c>
      <c r="B132" s="1149"/>
      <c r="C132" s="1149"/>
      <c r="D132" s="523" t="s">
        <v>239</v>
      </c>
      <c r="E132" s="773">
        <f>'28'!F132</f>
        <v>0</v>
      </c>
      <c r="F132" s="759"/>
      <c r="G132" s="473">
        <f t="shared" si="15"/>
        <v>0</v>
      </c>
      <c r="H132" s="460">
        <f>G132+'28'!H132</f>
        <v>-38838.33</v>
      </c>
      <c r="I132" s="480"/>
      <c r="J132" s="553">
        <f>H132/DAY(B2)</f>
        <v>-1339.2527586206897</v>
      </c>
    </row>
    <row r="133" spans="1:12" ht="27.75">
      <c r="A133" s="1148" t="s">
        <v>242</v>
      </c>
      <c r="B133" s="1149"/>
      <c r="C133" s="1149"/>
      <c r="D133" s="523" t="s">
        <v>239</v>
      </c>
      <c r="E133" s="773">
        <f>'28'!F133</f>
        <v>0</v>
      </c>
      <c r="F133" s="759"/>
      <c r="G133" s="473">
        <f t="shared" si="15"/>
        <v>0</v>
      </c>
      <c r="H133" s="460">
        <f>G133+'28'!H133</f>
        <v>-300</v>
      </c>
      <c r="I133" s="480">
        <f>G130+G131+G132+G133</f>
        <v>0</v>
      </c>
      <c r="J133" s="553">
        <f>H133/DAY(B2)</f>
        <v>-10.344827586206897</v>
      </c>
    </row>
    <row r="134" spans="1:12" ht="27.75">
      <c r="A134" s="1148" t="s">
        <v>243</v>
      </c>
      <c r="B134" s="1149"/>
      <c r="C134" s="1149"/>
      <c r="D134" s="523" t="s">
        <v>239</v>
      </c>
      <c r="E134" s="773">
        <f>'28'!F134</f>
        <v>0</v>
      </c>
      <c r="F134" s="759"/>
      <c r="G134" s="473">
        <f t="shared" si="15"/>
        <v>0</v>
      </c>
      <c r="H134" s="460">
        <f>G134+'28'!H134</f>
        <v>-40778</v>
      </c>
      <c r="I134" s="480"/>
      <c r="J134" s="553">
        <f>H134/DAY(B2)</f>
        <v>-1406.1379310344828</v>
      </c>
    </row>
    <row r="135" spans="1:12" ht="27.75">
      <c r="A135" s="1148" t="s">
        <v>244</v>
      </c>
      <c r="B135" s="1149"/>
      <c r="C135" s="1149"/>
      <c r="D135" s="523" t="s">
        <v>239</v>
      </c>
      <c r="E135" s="769">
        <f>'28'!F135</f>
        <v>0</v>
      </c>
      <c r="F135" s="746"/>
      <c r="G135" s="473">
        <f t="shared" si="15"/>
        <v>0</v>
      </c>
      <c r="H135" s="460">
        <f>G135+'28'!H135</f>
        <v>-32569.93</v>
      </c>
      <c r="I135" s="480"/>
      <c r="J135" s="553">
        <f>H135/DAY(B2)</f>
        <v>-1123.1010344827587</v>
      </c>
    </row>
    <row r="136" spans="1:12" ht="27.75">
      <c r="A136" s="1148" t="s">
        <v>245</v>
      </c>
      <c r="B136" s="1149"/>
      <c r="C136" s="1149"/>
      <c r="D136" s="523" t="s">
        <v>239</v>
      </c>
      <c r="E136" s="772">
        <f>'28'!F136</f>
        <v>0</v>
      </c>
      <c r="F136" s="750"/>
      <c r="G136" s="473">
        <f t="shared" si="15"/>
        <v>0</v>
      </c>
      <c r="H136" s="460">
        <f>G136+'28'!H136</f>
        <v>-22222.21</v>
      </c>
      <c r="I136" s="480">
        <f>G134+G135+G136</f>
        <v>0</v>
      </c>
      <c r="J136" s="553">
        <f>H136/DAY(B2)</f>
        <v>-766.28310344827582</v>
      </c>
    </row>
    <row r="137" spans="1:12" ht="27.75">
      <c r="A137" s="1148" t="s">
        <v>246</v>
      </c>
      <c r="B137" s="1149"/>
      <c r="C137" s="1149"/>
      <c r="D137" s="523" t="s">
        <v>239</v>
      </c>
      <c r="E137" s="772">
        <f>'28'!F137</f>
        <v>0</v>
      </c>
      <c r="F137" s="750"/>
      <c r="G137" s="473">
        <f t="shared" si="15"/>
        <v>0</v>
      </c>
      <c r="H137" s="460">
        <f>G137+'28'!H137</f>
        <v>-25036.31</v>
      </c>
      <c r="I137" s="480"/>
      <c r="J137" s="553">
        <f>H137/DAY(B2)</f>
        <v>-863.32103448275871</v>
      </c>
    </row>
    <row r="138" spans="1:12" ht="27.75">
      <c r="A138" s="1148" t="s">
        <v>247</v>
      </c>
      <c r="B138" s="1149"/>
      <c r="C138" s="1149"/>
      <c r="D138" s="523" t="s">
        <v>239</v>
      </c>
      <c r="E138" s="772">
        <f>'28'!F138</f>
        <v>0</v>
      </c>
      <c r="F138" s="750"/>
      <c r="G138" s="473">
        <f t="shared" si="15"/>
        <v>0</v>
      </c>
      <c r="H138" s="460">
        <f>G138+'28'!H138</f>
        <v>-70223</v>
      </c>
      <c r="I138" s="480">
        <f>G137+G138</f>
        <v>0</v>
      </c>
      <c r="J138" s="553">
        <f>H138/DAY(B2)</f>
        <v>-2421.4827586206898</v>
      </c>
    </row>
    <row r="139" spans="1:12" ht="27.75">
      <c r="A139" s="1148" t="s">
        <v>248</v>
      </c>
      <c r="B139" s="1149"/>
      <c r="C139" s="1149"/>
      <c r="D139" s="523" t="s">
        <v>239</v>
      </c>
      <c r="E139" s="773">
        <f>'28'!F139</f>
        <v>0</v>
      </c>
      <c r="F139" s="759"/>
      <c r="G139" s="473">
        <f t="shared" si="15"/>
        <v>0</v>
      </c>
      <c r="H139" s="460">
        <f>G139+'28'!H139</f>
        <v>-1423.14</v>
      </c>
      <c r="I139" s="543"/>
      <c r="J139" s="553">
        <f>H139/DAY(B2)</f>
        <v>-49.073793103448281</v>
      </c>
    </row>
    <row r="140" spans="1:12" ht="27.75">
      <c r="A140" s="1148" t="s">
        <v>249</v>
      </c>
      <c r="B140" s="1149"/>
      <c r="C140" s="1149"/>
      <c r="D140" s="523" t="s">
        <v>239</v>
      </c>
      <c r="E140" s="772">
        <f>'28'!F140</f>
        <v>0</v>
      </c>
      <c r="F140" s="743"/>
      <c r="G140" s="473">
        <f t="shared" si="15"/>
        <v>0</v>
      </c>
      <c r="H140" s="460">
        <f>G140+'28'!H140</f>
        <v>-4334</v>
      </c>
      <c r="I140" s="543"/>
      <c r="J140" s="553">
        <f>H140/DAY(B2)</f>
        <v>-149.44827586206895</v>
      </c>
    </row>
    <row r="141" spans="1:12">
      <c r="A141" s="1446" t="s">
        <v>250</v>
      </c>
      <c r="B141" s="1447"/>
      <c r="C141" s="1154"/>
      <c r="D141" s="472"/>
      <c r="E141" s="744"/>
      <c r="F141" s="744"/>
      <c r="G141" s="483"/>
      <c r="H141" s="483"/>
      <c r="I141" s="483"/>
      <c r="J141" s="564"/>
      <c r="K141" s="380"/>
      <c r="L141" s="377"/>
    </row>
    <row r="142" spans="1:12" ht="27.75">
      <c r="A142" s="1411" t="s">
        <v>251</v>
      </c>
      <c r="B142" s="1412"/>
      <c r="C142" s="1413"/>
      <c r="D142" s="523" t="s">
        <v>132</v>
      </c>
      <c r="E142" s="460"/>
      <c r="F142" s="460"/>
      <c r="G142" s="460">
        <f>G35+G43+G49+G57</f>
        <v>0</v>
      </c>
      <c r="H142" s="460">
        <f>G142+'28'!H142</f>
        <v>-1789744.52</v>
      </c>
      <c r="I142" s="480"/>
      <c r="J142" s="553">
        <f>H142/DAY(B2)</f>
        <v>-61715.32827586207</v>
      </c>
      <c r="K142" s="380"/>
      <c r="L142" s="377"/>
    </row>
    <row r="143" spans="1:12" ht="27.75">
      <c r="A143" s="1411" t="s">
        <v>252</v>
      </c>
      <c r="B143" s="1412"/>
      <c r="C143" s="1413"/>
      <c r="D143" s="523" t="s">
        <v>24</v>
      </c>
      <c r="E143" s="470"/>
      <c r="F143" s="470"/>
      <c r="G143" s="544" t="e">
        <f>G142/G7</f>
        <v>#DIV/0!</v>
      </c>
      <c r="H143" s="460" t="e">
        <f>G143+'28'!H143</f>
        <v>#DIV/0!</v>
      </c>
      <c r="I143" s="545"/>
      <c r="J143" s="553" t="e">
        <f>H143/DAY(B2)</f>
        <v>#DIV/0!</v>
      </c>
      <c r="K143" s="380"/>
      <c r="L143" s="377"/>
    </row>
    <row r="144" spans="1:12" ht="27.75">
      <c r="A144" s="1411" t="s">
        <v>253</v>
      </c>
      <c r="B144" s="1412"/>
      <c r="C144" s="1413"/>
      <c r="D144" s="523" t="s">
        <v>132</v>
      </c>
      <c r="E144" s="460"/>
      <c r="F144" s="460"/>
      <c r="G144" s="460">
        <f>G41+G42+G55+G56</f>
        <v>0</v>
      </c>
      <c r="H144" s="460">
        <f>G144+'28'!H144</f>
        <v>-826647.94000000006</v>
      </c>
      <c r="I144" s="480"/>
      <c r="J144" s="553">
        <f>H144/DAY(B2)</f>
        <v>-28505.101379310348</v>
      </c>
      <c r="K144" s="380"/>
      <c r="L144" s="377"/>
    </row>
    <row r="145" spans="1:12" ht="27.75">
      <c r="A145" s="1411" t="s">
        <v>254</v>
      </c>
      <c r="B145" s="1412"/>
      <c r="C145" s="1413"/>
      <c r="D145" s="523" t="s">
        <v>24</v>
      </c>
      <c r="E145" s="460"/>
      <c r="F145" s="460"/>
      <c r="G145" s="544" t="e">
        <f>G144/G7</f>
        <v>#DIV/0!</v>
      </c>
      <c r="H145" s="460" t="e">
        <f>G145+'28'!H145</f>
        <v>#DIV/0!</v>
      </c>
      <c r="I145" s="545"/>
      <c r="J145" s="553" t="e">
        <f>H145/DAY(B2)</f>
        <v>#DIV/0!</v>
      </c>
      <c r="K145" s="380"/>
      <c r="L145" s="377"/>
    </row>
    <row r="146" spans="1:12" ht="27.75">
      <c r="A146" s="1411" t="s">
        <v>255</v>
      </c>
      <c r="B146" s="1412"/>
      <c r="C146" s="1413"/>
      <c r="D146" s="523" t="s">
        <v>132</v>
      </c>
      <c r="E146" s="460"/>
      <c r="F146" s="460"/>
      <c r="G146" s="460">
        <f>G39+G53</f>
        <v>0</v>
      </c>
      <c r="H146" s="460">
        <f>G146+'28'!H146</f>
        <v>-322461.62</v>
      </c>
      <c r="I146" s="546"/>
      <c r="J146" s="553">
        <f>H146/DAY(B2)</f>
        <v>-11119.366206896551</v>
      </c>
      <c r="K146" s="380"/>
      <c r="L146" s="377"/>
    </row>
    <row r="147" spans="1:12" ht="27.75">
      <c r="A147" s="1411" t="s">
        <v>256</v>
      </c>
      <c r="B147" s="1412"/>
      <c r="C147" s="1413"/>
      <c r="D147" s="523" t="s">
        <v>24</v>
      </c>
      <c r="E147" s="460"/>
      <c r="F147" s="460"/>
      <c r="G147" s="544" t="e">
        <f>G146/G7</f>
        <v>#DIV/0!</v>
      </c>
      <c r="H147" s="460" t="e">
        <f>G147+'28'!H147</f>
        <v>#DIV/0!</v>
      </c>
      <c r="I147" s="546"/>
      <c r="J147" s="553" t="e">
        <f>H147/DAY(B2)</f>
        <v>#DIV/0!</v>
      </c>
    </row>
    <row r="148" spans="1:12" ht="27.75">
      <c r="A148" s="1411" t="s">
        <v>257</v>
      </c>
      <c r="B148" s="1412"/>
      <c r="C148" s="1413"/>
      <c r="D148" s="523" t="s">
        <v>183</v>
      </c>
      <c r="E148" s="460"/>
      <c r="F148" s="460"/>
      <c r="G148" s="460">
        <f>G38+G52</f>
        <v>0</v>
      </c>
      <c r="H148" s="460">
        <f>G148+'28'!H148</f>
        <v>-551726.20000000007</v>
      </c>
      <c r="I148" s="480"/>
      <c r="J148" s="553">
        <f>H148/DAY(B2)</f>
        <v>-19025.041379310347</v>
      </c>
      <c r="K148" s="381"/>
    </row>
    <row r="149" spans="1:12" ht="27.75">
      <c r="A149" s="1411" t="s">
        <v>258</v>
      </c>
      <c r="B149" s="1412"/>
      <c r="C149" s="1413"/>
      <c r="D149" s="523" t="s">
        <v>24</v>
      </c>
      <c r="E149" s="460"/>
      <c r="F149" s="460"/>
      <c r="G149" s="544" t="e">
        <f>G148/G7</f>
        <v>#DIV/0!</v>
      </c>
      <c r="H149" s="460" t="e">
        <f>G149+'28'!H149</f>
        <v>#DIV/0!</v>
      </c>
      <c r="I149" s="546"/>
      <c r="J149" s="553" t="e">
        <f>H149/DAY(B2)</f>
        <v>#DIV/0!</v>
      </c>
    </row>
    <row r="150" spans="1:12" ht="27.75">
      <c r="A150" s="1411" t="s">
        <v>259</v>
      </c>
      <c r="B150" s="1412"/>
      <c r="C150" s="1413"/>
      <c r="D150" s="523" t="s">
        <v>183</v>
      </c>
      <c r="E150" s="460"/>
      <c r="F150" s="460"/>
      <c r="G150" s="460">
        <f>G36+G50</f>
        <v>0</v>
      </c>
      <c r="H150" s="460">
        <f>G150+'28'!H150</f>
        <v>-698908.60000000009</v>
      </c>
      <c r="I150" s="546"/>
      <c r="J150" s="553">
        <f>H150/DAY(B2)</f>
        <v>-24100.296551724143</v>
      </c>
    </row>
    <row r="151" spans="1:12" ht="27.75">
      <c r="A151" s="1411" t="s">
        <v>260</v>
      </c>
      <c r="B151" s="1412"/>
      <c r="C151" s="1413"/>
      <c r="D151" s="523" t="s">
        <v>24</v>
      </c>
      <c r="E151" s="460"/>
      <c r="F151" s="460"/>
      <c r="G151" s="544" t="e">
        <f>G150/G7</f>
        <v>#DIV/0!</v>
      </c>
      <c r="H151" s="460" t="e">
        <f>G151+'28'!H151</f>
        <v>#DIV/0!</v>
      </c>
      <c r="I151" s="480"/>
      <c r="J151" s="553" t="e">
        <f>H151/DAY(B2)</f>
        <v>#DIV/0!</v>
      </c>
    </row>
    <row r="152" spans="1:12" ht="27.75">
      <c r="A152" s="1411" t="s">
        <v>261</v>
      </c>
      <c r="B152" s="1412"/>
      <c r="C152" s="1413"/>
      <c r="D152" s="523" t="s">
        <v>183</v>
      </c>
      <c r="E152" s="460"/>
      <c r="F152" s="460"/>
      <c r="G152" s="460">
        <f>G37+G51</f>
        <v>0</v>
      </c>
      <c r="H152" s="460">
        <f>G152+'28'!H152</f>
        <v>-116945.84000000001</v>
      </c>
      <c r="I152" s="480"/>
      <c r="J152" s="553">
        <f>H152/DAY(B2)</f>
        <v>-4032.6151724137935</v>
      </c>
    </row>
    <row r="153" spans="1:12" ht="28.5" thickBot="1">
      <c r="A153" s="1443" t="s">
        <v>262</v>
      </c>
      <c r="B153" s="1444"/>
      <c r="C153" s="1445"/>
      <c r="D153" s="626" t="s">
        <v>24</v>
      </c>
      <c r="E153" s="568"/>
      <c r="F153" s="568"/>
      <c r="G153" s="567" t="e">
        <f>G152/G7</f>
        <v>#DIV/0!</v>
      </c>
      <c r="H153" s="460" t="e">
        <f>G153+'28'!H153</f>
        <v>#DIV/0!</v>
      </c>
      <c r="I153" s="569"/>
      <c r="J153" s="570" t="e">
        <f>H153/DAY(B2)</f>
        <v>#DIV/0!</v>
      </c>
    </row>
    <row r="154" spans="1:12">
      <c r="A154" s="466"/>
      <c r="B154" s="456"/>
      <c r="C154" s="456"/>
      <c r="D154" s="547"/>
      <c r="E154" s="549"/>
      <c r="F154" s="760"/>
      <c r="G154" s="547"/>
      <c r="H154" s="548"/>
      <c r="I154" s="547"/>
      <c r="J154" s="549"/>
    </row>
    <row r="160" spans="1:12">
      <c r="A160" s="800" t="s">
        <v>263</v>
      </c>
      <c r="B160" s="801"/>
      <c r="C160" s="801"/>
      <c r="D160" s="621" t="s">
        <v>187</v>
      </c>
      <c r="E160" s="769">
        <f>'28'!F160</f>
        <v>30795.64</v>
      </c>
      <c r="F160" s="809">
        <v>28266.89</v>
      </c>
      <c r="G160" s="473">
        <f t="shared" ref="G160:G163" si="16">F160-E160</f>
        <v>-2528.75</v>
      </c>
    </row>
    <row r="161" spans="1:7">
      <c r="A161" s="800" t="s">
        <v>264</v>
      </c>
      <c r="B161" s="801"/>
      <c r="C161" s="801"/>
      <c r="D161" s="621" t="s">
        <v>187</v>
      </c>
      <c r="E161" s="769">
        <f>'28'!F161</f>
        <v>55098.17</v>
      </c>
      <c r="F161" s="809">
        <v>41680.800000000003</v>
      </c>
      <c r="G161" s="473">
        <f t="shared" si="16"/>
        <v>-13417.369999999995</v>
      </c>
    </row>
    <row r="162" spans="1:7">
      <c r="A162" s="800" t="s">
        <v>265</v>
      </c>
      <c r="B162" s="801"/>
      <c r="C162" s="801"/>
      <c r="D162" s="621" t="s">
        <v>187</v>
      </c>
      <c r="E162" s="769">
        <f>'28'!F162</f>
        <v>20562.32</v>
      </c>
      <c r="F162" s="809">
        <v>12319</v>
      </c>
      <c r="G162" s="473">
        <f t="shared" si="16"/>
        <v>-8243.32</v>
      </c>
    </row>
    <row r="163" spans="1:7">
      <c r="A163" s="800" t="s">
        <v>266</v>
      </c>
      <c r="B163" s="801"/>
      <c r="C163" s="801"/>
      <c r="D163" s="621" t="s">
        <v>187</v>
      </c>
      <c r="E163" s="769">
        <f>'28'!F163</f>
        <v>5427.51</v>
      </c>
      <c r="F163" s="809">
        <v>4960.6400000000003</v>
      </c>
      <c r="G163" s="473">
        <f t="shared" si="16"/>
        <v>-466.86999999999989</v>
      </c>
    </row>
    <row r="164" spans="1:7">
      <c r="A164" s="802" t="s">
        <v>98</v>
      </c>
      <c r="B164" s="803"/>
      <c r="C164" s="803"/>
      <c r="D164" s="621" t="s">
        <v>187</v>
      </c>
      <c r="E164" s="514">
        <f>E62</f>
        <v>0</v>
      </c>
      <c r="F164" s="514">
        <f>F62</f>
        <v>0</v>
      </c>
      <c r="G164" s="473">
        <f t="shared" ref="G164:G171" si="17">F164-E164</f>
        <v>0</v>
      </c>
    </row>
    <row r="165" spans="1:7">
      <c r="A165" s="802" t="s">
        <v>188</v>
      </c>
      <c r="B165" s="803"/>
      <c r="C165" s="803"/>
      <c r="D165" s="621" t="s">
        <v>187</v>
      </c>
      <c r="E165" s="514">
        <f t="shared" ref="E165:E171" si="18">E63</f>
        <v>0</v>
      </c>
      <c r="F165" s="514">
        <f t="shared" ref="F165:F171" si="19">F63</f>
        <v>0</v>
      </c>
      <c r="G165" s="473">
        <f t="shared" si="17"/>
        <v>0</v>
      </c>
    </row>
    <row r="166" spans="1:7" ht="27.75">
      <c r="A166" s="1470" t="s">
        <v>99</v>
      </c>
      <c r="B166" s="1470"/>
      <c r="C166" s="1470"/>
      <c r="D166" s="524" t="s">
        <v>187</v>
      </c>
      <c r="E166" s="514">
        <f t="shared" si="18"/>
        <v>0</v>
      </c>
      <c r="F166" s="514">
        <f t="shared" si="19"/>
        <v>0</v>
      </c>
      <c r="G166" s="473">
        <f t="shared" si="17"/>
        <v>0</v>
      </c>
    </row>
    <row r="167" spans="1:7" ht="27.75">
      <c r="A167" s="1470" t="s">
        <v>100</v>
      </c>
      <c r="B167" s="1470"/>
      <c r="C167" s="1470"/>
      <c r="D167" s="524" t="s">
        <v>187</v>
      </c>
      <c r="E167" s="514">
        <f t="shared" si="18"/>
        <v>0</v>
      </c>
      <c r="F167" s="514">
        <f t="shared" si="19"/>
        <v>0</v>
      </c>
      <c r="G167" s="473">
        <f t="shared" si="17"/>
        <v>0</v>
      </c>
    </row>
    <row r="168" spans="1:7" ht="27.75">
      <c r="A168" s="1470" t="s">
        <v>101</v>
      </c>
      <c r="B168" s="1470"/>
      <c r="C168" s="1470"/>
      <c r="D168" s="524" t="s">
        <v>187</v>
      </c>
      <c r="E168" s="514">
        <f t="shared" si="18"/>
        <v>0</v>
      </c>
      <c r="F168" s="514">
        <f t="shared" si="19"/>
        <v>0</v>
      </c>
      <c r="G168" s="473">
        <f t="shared" si="17"/>
        <v>0</v>
      </c>
    </row>
    <row r="169" spans="1:7" ht="27.75">
      <c r="A169" s="1470" t="s">
        <v>102</v>
      </c>
      <c r="B169" s="1470"/>
      <c r="C169" s="1470"/>
      <c r="D169" s="524" t="s">
        <v>187</v>
      </c>
      <c r="E169" s="514">
        <f t="shared" si="18"/>
        <v>0</v>
      </c>
      <c r="F169" s="514">
        <f t="shared" si="19"/>
        <v>0</v>
      </c>
      <c r="G169" s="473">
        <f t="shared" si="17"/>
        <v>0</v>
      </c>
    </row>
    <row r="170" spans="1:7" ht="27.75">
      <c r="A170" s="1470" t="s">
        <v>103</v>
      </c>
      <c r="B170" s="1470"/>
      <c r="C170" s="1470"/>
      <c r="D170" s="524" t="s">
        <v>187</v>
      </c>
      <c r="E170" s="514">
        <f t="shared" si="18"/>
        <v>0</v>
      </c>
      <c r="F170" s="514">
        <f t="shared" si="19"/>
        <v>0</v>
      </c>
      <c r="G170" s="473">
        <f t="shared" si="17"/>
        <v>0</v>
      </c>
    </row>
    <row r="171" spans="1:7" ht="27.75">
      <c r="A171" s="1470" t="s">
        <v>104</v>
      </c>
      <c r="B171" s="1470"/>
      <c r="C171" s="1470"/>
      <c r="D171" s="524" t="s">
        <v>187</v>
      </c>
      <c r="E171" s="514">
        <f t="shared" si="18"/>
        <v>0</v>
      </c>
      <c r="F171" s="514">
        <f t="shared" si="19"/>
        <v>0</v>
      </c>
      <c r="G171" s="473">
        <f t="shared" si="17"/>
        <v>0</v>
      </c>
    </row>
    <row r="172" spans="1:7">
      <c r="A172" s="804"/>
      <c r="B172" s="805"/>
      <c r="C172" s="805"/>
      <c r="D172" s="806"/>
      <c r="E172" s="808"/>
      <c r="F172" s="1036"/>
      <c r="G172" s="808">
        <f>SUM(G160:G171)</f>
        <v>-24656.309999999994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F104" activeCellId="9" sqref="F7:F12 F15 F18:F19 F22:F23 F35:F46 F49:F58 F62:F69 F72:F90 F92:F100 F104:F140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8" customWidth="1"/>
    <col min="5" max="5" width="32.109375" style="538" customWidth="1"/>
    <col min="6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5" s="281" customFormat="1" ht="27">
      <c r="A2" s="576" t="s">
        <v>308</v>
      </c>
      <c r="B2" s="1120">
        <v>43860</v>
      </c>
      <c r="C2" s="1150" t="s">
        <v>69</v>
      </c>
      <c r="D2" s="612">
        <v>0.83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O2" s="292"/>
    </row>
    <row r="3" spans="1:15" s="281" customFormat="1" ht="27">
      <c r="A3" s="571"/>
      <c r="B3" s="615"/>
      <c r="C3" s="1150" t="s">
        <v>120</v>
      </c>
      <c r="D3" s="613">
        <v>24</v>
      </c>
      <c r="E3" s="1565" t="s">
        <v>121</v>
      </c>
      <c r="F3" s="1565"/>
      <c r="G3" s="462"/>
      <c r="H3" s="463"/>
      <c r="I3" s="463"/>
      <c r="J3" s="616"/>
      <c r="K3" s="371"/>
      <c r="L3" s="292"/>
      <c r="O3" s="1028"/>
    </row>
    <row r="4" spans="1:15" s="281" customFormat="1" ht="27">
      <c r="A4" s="577"/>
      <c r="B4" s="617"/>
      <c r="C4" s="1150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O4" s="292"/>
    </row>
    <row r="5" spans="1:15" ht="21.95" customHeight="1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ht="21.95" customHeight="1">
      <c r="A6" s="1566" t="s">
        <v>130</v>
      </c>
      <c r="B6" s="1567"/>
      <c r="C6" s="1567"/>
      <c r="D6" s="471"/>
      <c r="E6" s="471"/>
      <c r="F6" s="471"/>
      <c r="G6" s="471"/>
      <c r="H6" s="472"/>
      <c r="I6" s="472"/>
      <c r="J6" s="552"/>
      <c r="K6" s="427"/>
      <c r="L6" s="377"/>
      <c r="O6" s="1029"/>
    </row>
    <row r="7" spans="1:15" ht="21.95" customHeight="1" thickBot="1">
      <c r="A7" s="579" t="s">
        <v>131</v>
      </c>
      <c r="B7" s="580"/>
      <c r="C7" s="580"/>
      <c r="D7" s="523" t="s">
        <v>132</v>
      </c>
      <c r="E7" s="455">
        <f>'29'!F7</f>
        <v>0</v>
      </c>
      <c r="F7" s="455"/>
      <c r="G7" s="779">
        <f>F7-E7</f>
        <v>0</v>
      </c>
      <c r="H7" s="460">
        <f>G7+'29'!H7</f>
        <v>-4445077</v>
      </c>
      <c r="I7" s="474">
        <f>'1'!I7</f>
        <v>12000</v>
      </c>
      <c r="J7" s="553">
        <f>H7/DAY(B2)</f>
        <v>-148169.23333333334</v>
      </c>
      <c r="K7" s="550">
        <v>1375467</v>
      </c>
      <c r="L7" s="377"/>
      <c r="N7" s="440">
        <f>F7-'1'!E7</f>
        <v>-4445077</v>
      </c>
      <c r="O7" s="810"/>
    </row>
    <row r="8" spans="1:15" ht="21.95" customHeight="1" thickBot="1">
      <c r="A8" s="581" t="s">
        <v>133</v>
      </c>
      <c r="B8" s="582"/>
      <c r="C8" s="583"/>
      <c r="D8" s="618" t="s">
        <v>25</v>
      </c>
      <c r="E8" s="475">
        <f>'29'!F8</f>
        <v>0</v>
      </c>
      <c r="F8" s="475"/>
      <c r="G8" s="476">
        <f>F8-E8</f>
        <v>0</v>
      </c>
      <c r="H8" s="460">
        <f>G8+'29'!H8</f>
        <v>-4473156</v>
      </c>
      <c r="I8" s="477"/>
      <c r="J8" s="553">
        <f>H8/DAY(B2)</f>
        <v>-149105.20000000001</v>
      </c>
      <c r="K8" s="550">
        <v>1715917</v>
      </c>
      <c r="L8" s="425">
        <v>1728480</v>
      </c>
      <c r="M8" s="440">
        <f>L8-K8</f>
        <v>12563</v>
      </c>
      <c r="N8" s="440">
        <f>F8-'1'!E8</f>
        <v>-4473156</v>
      </c>
      <c r="O8" s="810"/>
    </row>
    <row r="9" spans="1:15" ht="21.95" customHeight="1">
      <c r="A9" s="584" t="s">
        <v>134</v>
      </c>
      <c r="B9" s="585"/>
      <c r="C9" s="585"/>
      <c r="D9" s="523" t="s">
        <v>132</v>
      </c>
      <c r="E9" s="455">
        <f>'29'!F9</f>
        <v>0</v>
      </c>
      <c r="F9" s="478"/>
      <c r="G9" s="473">
        <f t="shared" ref="G9:G12" si="0">F9-E9</f>
        <v>0</v>
      </c>
      <c r="H9" s="460">
        <f>G9+'29'!H9</f>
        <v>-86909.010000000009</v>
      </c>
      <c r="I9" s="479">
        <f>I7-J7</f>
        <v>160169.23333333334</v>
      </c>
      <c r="J9" s="553">
        <f>H9/DAY(B2)</f>
        <v>-2896.9670000000001</v>
      </c>
      <c r="K9" s="428">
        <f>K8-100</f>
        <v>1715817</v>
      </c>
      <c r="L9" s="377"/>
      <c r="N9" s="440">
        <f>F9-'1'!E9</f>
        <v>-86909.01</v>
      </c>
      <c r="O9" s="810"/>
    </row>
    <row r="10" spans="1:15" ht="21.95" customHeight="1">
      <c r="A10" s="579" t="s">
        <v>135</v>
      </c>
      <c r="B10" s="580"/>
      <c r="C10" s="580"/>
      <c r="D10" s="523" t="s">
        <v>132</v>
      </c>
      <c r="E10" s="455">
        <f>'29'!F10</f>
        <v>0</v>
      </c>
      <c r="F10" s="478"/>
      <c r="G10" s="473">
        <f t="shared" si="0"/>
        <v>0</v>
      </c>
      <c r="H10" s="460">
        <f>G10+'29'!H10</f>
        <v>334533.49</v>
      </c>
      <c r="I10" s="480"/>
      <c r="J10" s="553">
        <f>H10/DAY(B2)</f>
        <v>11151.116333333333</v>
      </c>
      <c r="K10" s="428"/>
      <c r="L10" s="377"/>
      <c r="N10" s="440">
        <f>F10-'1'!E10</f>
        <v>-25695.56</v>
      </c>
      <c r="O10" s="810"/>
    </row>
    <row r="11" spans="1:15" ht="21.95" customHeight="1">
      <c r="A11" s="579" t="s">
        <v>136</v>
      </c>
      <c r="B11" s="580"/>
      <c r="C11" s="580"/>
      <c r="D11" s="523" t="s">
        <v>132</v>
      </c>
      <c r="E11" s="455">
        <f>'29'!F11</f>
        <v>0</v>
      </c>
      <c r="F11" s="455"/>
      <c r="G11" s="473">
        <f t="shared" si="0"/>
        <v>0</v>
      </c>
      <c r="H11" s="460">
        <f>G11+'29'!H11</f>
        <v>-37000</v>
      </c>
      <c r="I11" s="480"/>
      <c r="J11" s="553">
        <f>H11/DAY(B2)</f>
        <v>-1233.3333333333333</v>
      </c>
      <c r="K11" s="428"/>
      <c r="L11" s="377"/>
      <c r="N11" s="440">
        <f>F11-'1'!E11</f>
        <v>-37000</v>
      </c>
      <c r="O11" s="810"/>
    </row>
    <row r="12" spans="1:15" ht="21.95" customHeight="1">
      <c r="A12" s="579" t="s">
        <v>137</v>
      </c>
      <c r="B12" s="580"/>
      <c r="C12" s="580"/>
      <c r="D12" s="523" t="s">
        <v>132</v>
      </c>
      <c r="E12" s="455">
        <f>'29'!F12</f>
        <v>0</v>
      </c>
      <c r="F12" s="478"/>
      <c r="G12" s="473">
        <f t="shared" si="0"/>
        <v>0</v>
      </c>
      <c r="H12" s="460">
        <f>G12+'29'!H12</f>
        <v>-40010</v>
      </c>
      <c r="I12" s="480"/>
      <c r="J12" s="553">
        <f>H12/DAY(B2)</f>
        <v>-1333.6666666666667</v>
      </c>
      <c r="K12" s="428"/>
      <c r="L12" s="377"/>
      <c r="N12" s="440">
        <f>F12-'1'!E12</f>
        <v>-40010</v>
      </c>
      <c r="O12" s="810"/>
    </row>
    <row r="13" spans="1:15" ht="21.95" customHeight="1">
      <c r="A13" s="586" t="s">
        <v>138</v>
      </c>
      <c r="B13" s="587"/>
      <c r="C13" s="587"/>
      <c r="D13" s="523"/>
      <c r="E13" s="455"/>
      <c r="F13" s="455"/>
      <c r="G13" s="481">
        <f>G9+G10+G11+G12</f>
        <v>0</v>
      </c>
      <c r="H13" s="460">
        <f>G13+'29'!H13</f>
        <v>149620.47999999998</v>
      </c>
      <c r="I13" s="482">
        <f>G7-G13</f>
        <v>0</v>
      </c>
      <c r="J13" s="553">
        <f>H13/DAY(B2)</f>
        <v>4987.3493333333327</v>
      </c>
      <c r="K13" s="428"/>
      <c r="L13" s="377"/>
      <c r="N13" s="440">
        <f>F13-'1'!E13</f>
        <v>0</v>
      </c>
      <c r="O13" s="810"/>
    </row>
    <row r="14" spans="1:15" ht="29.25">
      <c r="A14" s="1559" t="s">
        <v>139</v>
      </c>
      <c r="B14" s="1560"/>
      <c r="C14" s="1560"/>
      <c r="D14" s="472"/>
      <c r="E14" s="472"/>
      <c r="F14" s="472"/>
      <c r="G14" s="483"/>
      <c r="H14" s="472"/>
      <c r="I14" s="472"/>
      <c r="J14" s="552"/>
      <c r="K14" s="429"/>
      <c r="L14" s="377"/>
      <c r="N14" s="440">
        <f>F14-'1'!E14</f>
        <v>0</v>
      </c>
      <c r="O14" s="810"/>
    </row>
    <row r="15" spans="1:15" ht="21.95" customHeight="1">
      <c r="A15" s="1148" t="s">
        <v>140</v>
      </c>
      <c r="B15" s="590"/>
      <c r="C15" s="590"/>
      <c r="D15" s="523" t="s">
        <v>141</v>
      </c>
      <c r="E15" s="455">
        <f>'29'!F15</f>
        <v>0</v>
      </c>
      <c r="F15" s="484"/>
      <c r="G15" s="779">
        <f>(F15-E15)</f>
        <v>0</v>
      </c>
      <c r="H15" s="460">
        <f>G15+'29'!H15</f>
        <v>-1619878.61</v>
      </c>
      <c r="I15" s="474">
        <f>'1'!I15</f>
        <v>800</v>
      </c>
      <c r="J15" s="553">
        <f>H15/DAY(B2)</f>
        <v>-53995.953666666668</v>
      </c>
      <c r="K15" s="428"/>
      <c r="L15" s="377"/>
      <c r="N15" s="440">
        <f>F15-'1'!E15</f>
        <v>-1619878.61</v>
      </c>
      <c r="O15" s="810"/>
    </row>
    <row r="16" spans="1:15" ht="21.95" customHeight="1">
      <c r="A16" s="588"/>
      <c r="B16" s="589"/>
      <c r="C16" s="589"/>
      <c r="D16" s="524"/>
      <c r="E16" s="485"/>
      <c r="F16" s="485"/>
      <c r="G16" s="473"/>
      <c r="H16" s="486"/>
      <c r="I16" s="487">
        <f>I15-J15</f>
        <v>54795.953666666668</v>
      </c>
      <c r="J16" s="554"/>
      <c r="K16" s="428"/>
      <c r="L16" s="377"/>
      <c r="N16" s="440">
        <f>F16-'1'!E16</f>
        <v>0</v>
      </c>
      <c r="O16" s="810"/>
    </row>
    <row r="17" spans="1:15" ht="29.25">
      <c r="A17" s="1559" t="s">
        <v>142</v>
      </c>
      <c r="B17" s="1560"/>
      <c r="C17" s="1560"/>
      <c r="D17" s="472"/>
      <c r="E17" s="472"/>
      <c r="F17" s="472"/>
      <c r="G17" s="488"/>
      <c r="H17" s="472"/>
      <c r="I17" s="472"/>
      <c r="J17" s="552"/>
      <c r="K17" s="428"/>
      <c r="L17" s="377"/>
      <c r="N17" s="440">
        <f>F17-'1'!E17</f>
        <v>0</v>
      </c>
      <c r="O17" s="810"/>
    </row>
    <row r="18" spans="1:15" ht="27.75">
      <c r="A18" s="1541" t="s">
        <v>143</v>
      </c>
      <c r="B18" s="1542"/>
      <c r="C18" s="1542"/>
      <c r="D18" s="523" t="s">
        <v>144</v>
      </c>
      <c r="E18" s="455">
        <f>'29'!F18</f>
        <v>0</v>
      </c>
      <c r="F18" s="484"/>
      <c r="G18" s="481">
        <f>F18*10</f>
        <v>0</v>
      </c>
      <c r="H18" s="460">
        <f>G18+'29'!H18</f>
        <v>3150</v>
      </c>
      <c r="I18" s="474">
        <f>'1'!I18</f>
        <v>65</v>
      </c>
      <c r="J18" s="553">
        <f>H18/DAY(B2)</f>
        <v>105</v>
      </c>
      <c r="K18" s="428"/>
      <c r="L18" s="377"/>
      <c r="N18" s="440">
        <f>F18-'1'!E18</f>
        <v>-17</v>
      </c>
      <c r="O18" s="810"/>
    </row>
    <row r="19" spans="1:15" ht="27.75">
      <c r="A19" s="1541" t="s">
        <v>71</v>
      </c>
      <c r="B19" s="1542"/>
      <c r="C19" s="1542"/>
      <c r="D19" s="523" t="s">
        <v>144</v>
      </c>
      <c r="E19" s="455">
        <f>'29'!F19</f>
        <v>0</v>
      </c>
      <c r="F19" s="484"/>
      <c r="G19" s="473">
        <f t="shared" ref="G19" si="1">F19-E19</f>
        <v>0</v>
      </c>
      <c r="H19" s="460">
        <f>G19+'29'!H19</f>
        <v>-134468</v>
      </c>
      <c r="I19" s="489"/>
      <c r="J19" s="553">
        <f>H19/DAY(B2)</f>
        <v>-4482.2666666666664</v>
      </c>
      <c r="K19" s="428"/>
      <c r="L19" s="377"/>
      <c r="N19" s="440">
        <f>F19-'1'!E19</f>
        <v>-134468</v>
      </c>
      <c r="O19" s="810"/>
    </row>
    <row r="20" spans="1:15" ht="21.95" customHeight="1">
      <c r="A20" s="586" t="s">
        <v>145</v>
      </c>
      <c r="B20" s="587"/>
      <c r="C20" s="587"/>
      <c r="D20" s="490"/>
      <c r="E20" s="490"/>
      <c r="F20" s="490"/>
      <c r="G20" s="1027">
        <f>G18+G19</f>
        <v>0</v>
      </c>
      <c r="H20" s="460">
        <f>G20+'29'!H20</f>
        <v>-131318</v>
      </c>
      <c r="I20" s="492">
        <f>I18-J20</f>
        <v>4442.2666666666664</v>
      </c>
      <c r="J20" s="553">
        <f>H20/DAY(B2)</f>
        <v>-4377.2666666666664</v>
      </c>
      <c r="K20" s="428"/>
      <c r="L20" s="377"/>
      <c r="N20" s="440">
        <f>F20-'1'!E20</f>
        <v>0</v>
      </c>
      <c r="O20" s="810"/>
    </row>
    <row r="21" spans="1:15" ht="29.25">
      <c r="A21" s="1559" t="s">
        <v>146</v>
      </c>
      <c r="B21" s="1560"/>
      <c r="C21" s="1560"/>
      <c r="D21" s="472"/>
      <c r="E21" s="472"/>
      <c r="F21" s="472"/>
      <c r="G21" s="483"/>
      <c r="H21" s="472"/>
      <c r="I21" s="472"/>
      <c r="J21" s="552"/>
      <c r="K21" s="428"/>
      <c r="L21" s="377"/>
      <c r="N21" s="440">
        <f>F21-'1'!E21</f>
        <v>0</v>
      </c>
      <c r="O21" s="810"/>
    </row>
    <row r="22" spans="1:15" ht="21.95" customHeight="1">
      <c r="A22" s="1148" t="s">
        <v>147</v>
      </c>
      <c r="B22" s="590"/>
      <c r="C22" s="590"/>
      <c r="D22" s="523" t="s">
        <v>148</v>
      </c>
      <c r="E22" s="484">
        <v>2250</v>
      </c>
      <c r="F22" s="484"/>
      <c r="G22" s="481">
        <f t="shared" ref="G22" si="2">(F22-E22)</f>
        <v>-2250</v>
      </c>
      <c r="H22" s="460">
        <f>G22+'29'!H22</f>
        <v>-2640</v>
      </c>
      <c r="I22" s="480"/>
      <c r="J22" s="553">
        <f>H22/DAY(B2)</f>
        <v>-88</v>
      </c>
      <c r="K22" s="428"/>
      <c r="L22" s="377"/>
      <c r="N22" s="440">
        <f>F22-'1'!E22</f>
        <v>-2970</v>
      </c>
      <c r="O22" s="810"/>
    </row>
    <row r="23" spans="1:15" ht="21.95" customHeight="1">
      <c r="A23" s="1148" t="s">
        <v>149</v>
      </c>
      <c r="B23" s="590"/>
      <c r="C23" s="590"/>
      <c r="D23" s="523" t="s">
        <v>148</v>
      </c>
      <c r="E23" s="484">
        <v>2000</v>
      </c>
      <c r="F23" s="484"/>
      <c r="G23" s="481">
        <v>0</v>
      </c>
      <c r="H23" s="460">
        <f>G23+'29'!H23</f>
        <v>0</v>
      </c>
      <c r="I23" s="480"/>
      <c r="J23" s="553">
        <f>H23/DAY(B2)</f>
        <v>0</v>
      </c>
      <c r="K23" s="428"/>
      <c r="L23" s="377"/>
      <c r="N23" s="440">
        <f>F23-'1'!E23</f>
        <v>-1900</v>
      </c>
      <c r="O23" s="810"/>
    </row>
    <row r="24" spans="1:15" ht="21.95" customHeight="1">
      <c r="A24" s="591" t="s">
        <v>150</v>
      </c>
      <c r="B24" s="592"/>
      <c r="C24" s="592"/>
      <c r="D24" s="511" t="s">
        <v>148</v>
      </c>
      <c r="E24" s="493">
        <v>4250</v>
      </c>
      <c r="F24" s="493">
        <v>4250</v>
      </c>
      <c r="G24" s="481">
        <v>0</v>
      </c>
      <c r="H24" s="460">
        <f>G24+'29'!H24</f>
        <v>1290</v>
      </c>
      <c r="I24" s="480"/>
      <c r="J24" s="553">
        <f>H24/DAY(B2)</f>
        <v>43</v>
      </c>
      <c r="K24" s="428"/>
      <c r="L24" s="377"/>
      <c r="N24" s="440">
        <f>F24-'1'!E24</f>
        <v>-720</v>
      </c>
      <c r="O24" s="810"/>
    </row>
    <row r="25" spans="1:15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440">
        <f>F25-'1'!E25</f>
        <v>0</v>
      </c>
      <c r="O25" s="810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97"/>
      <c r="G26" s="498"/>
      <c r="H26" s="460"/>
      <c r="I26" s="499"/>
      <c r="J26" s="553"/>
      <c r="K26" s="374"/>
      <c r="L26" s="443"/>
      <c r="N26" s="440">
        <f>F26-'1'!E26</f>
        <v>0</v>
      </c>
      <c r="O26" s="810"/>
    </row>
    <row r="27" spans="1:15" s="442" customFormat="1" ht="27.75">
      <c r="A27" s="593" t="s">
        <v>6</v>
      </c>
      <c r="B27" s="594"/>
      <c r="C27" s="595"/>
      <c r="D27" s="620" t="s">
        <v>25</v>
      </c>
      <c r="E27" s="500">
        <f>G8</f>
        <v>0</v>
      </c>
      <c r="F27" s="501">
        <v>9</v>
      </c>
      <c r="G27" s="1030">
        <f>E27*F27</f>
        <v>0</v>
      </c>
      <c r="H27" s="460">
        <f>G27+'29'!H27</f>
        <v>-40258404</v>
      </c>
      <c r="I27" s="503"/>
      <c r="J27" s="553">
        <f>H27/DAY(B2)</f>
        <v>-1341946.8</v>
      </c>
      <c r="K27" s="373"/>
      <c r="L27" s="443"/>
      <c r="N27" s="440"/>
      <c r="O27" s="810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4">
        <f>G15</f>
        <v>0</v>
      </c>
      <c r="F28" s="501">
        <v>43.5</v>
      </c>
      <c r="G28" s="1030">
        <f>E28*F28</f>
        <v>0</v>
      </c>
      <c r="H28" s="460">
        <f>G28+'29'!H28</f>
        <v>-70399129.856800005</v>
      </c>
      <c r="I28" s="505"/>
      <c r="J28" s="553">
        <f>H28/DAY(B2)</f>
        <v>-2346637.6618933333</v>
      </c>
      <c r="K28" s="373"/>
      <c r="L28" s="443"/>
      <c r="N28" s="440"/>
      <c r="O28" s="810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6">
        <f>G24</f>
        <v>0</v>
      </c>
      <c r="F29" s="501">
        <v>69</v>
      </c>
      <c r="G29" s="1030">
        <f>E29*F29</f>
        <v>0</v>
      </c>
      <c r="H29" s="460">
        <f>G29+'29'!H29</f>
        <v>89010</v>
      </c>
      <c r="I29" s="505"/>
      <c r="J29" s="553">
        <f>H29/DAY(B2)</f>
        <v>2967</v>
      </c>
      <c r="K29" s="373"/>
      <c r="L29" s="443"/>
      <c r="N29" s="440"/>
      <c r="O29" s="810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6">
        <f>G19</f>
        <v>0</v>
      </c>
      <c r="F30" s="501">
        <v>134</v>
      </c>
      <c r="G30" s="1030">
        <f>E30*F30</f>
        <v>0</v>
      </c>
      <c r="H30" s="460">
        <f>G30+'29'!H30</f>
        <v>-18001024</v>
      </c>
      <c r="I30" s="505"/>
      <c r="J30" s="553">
        <f>H30/DAY(B2)</f>
        <v>-600034.1333333333</v>
      </c>
      <c r="K30" s="373"/>
      <c r="L30" s="443"/>
      <c r="N30" s="440"/>
      <c r="O30" s="810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6">
        <f>G18</f>
        <v>0</v>
      </c>
      <c r="F31" s="501">
        <v>80</v>
      </c>
      <c r="G31" s="1030">
        <f>E31*F31</f>
        <v>0</v>
      </c>
      <c r="H31" s="460">
        <f>G31+'29'!H31</f>
        <v>241440</v>
      </c>
      <c r="I31" s="505"/>
      <c r="J31" s="553"/>
      <c r="K31" s="373"/>
      <c r="L31" s="443"/>
      <c r="N31" s="440"/>
      <c r="O31" s="810"/>
    </row>
    <row r="32" spans="1:15" s="442" customFormat="1" ht="27.75">
      <c r="A32" s="596" t="s">
        <v>161</v>
      </c>
      <c r="B32" s="597"/>
      <c r="C32" s="598"/>
      <c r="D32" s="507"/>
      <c r="E32" s="507"/>
      <c r="F32" s="507"/>
      <c r="G32" s="508">
        <f>G27+G28+G29+G30+G31</f>
        <v>0</v>
      </c>
      <c r="H32" s="460">
        <f>G32+'29'!H32</f>
        <v>-128328107.8568</v>
      </c>
      <c r="I32" s="509"/>
      <c r="J32" s="553">
        <f>H32/DAY(B2)</f>
        <v>-4277603.5952266669</v>
      </c>
      <c r="K32" s="373"/>
      <c r="L32" s="443"/>
      <c r="N32" s="440"/>
      <c r="O32" s="810"/>
    </row>
    <row r="33" spans="1:15" ht="25.5">
      <c r="A33" s="1561" t="s">
        <v>162</v>
      </c>
      <c r="B33" s="1562"/>
      <c r="C33" s="1562"/>
      <c r="D33" s="1562"/>
      <c r="E33" s="1562"/>
      <c r="F33" s="1562"/>
      <c r="G33" s="1562"/>
      <c r="H33" s="1562"/>
      <c r="I33" s="1562"/>
      <c r="J33" s="1563"/>
      <c r="K33" s="428"/>
      <c r="L33" s="377"/>
      <c r="N33" s="440"/>
      <c r="O33" s="810"/>
    </row>
    <row r="34" spans="1:15" ht="21.95" customHeight="1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440"/>
      <c r="O34" s="810"/>
    </row>
    <row r="35" spans="1:15" ht="21.95" customHeight="1">
      <c r="A35" s="579" t="s">
        <v>164</v>
      </c>
      <c r="B35" s="580"/>
      <c r="C35" s="580"/>
      <c r="D35" s="523" t="s">
        <v>132</v>
      </c>
      <c r="E35" s="455">
        <f>'29'!F35</f>
        <v>0</v>
      </c>
      <c r="F35" s="510"/>
      <c r="G35" s="473">
        <f t="shared" ref="G35:G46" si="3">F35-E35</f>
        <v>0</v>
      </c>
      <c r="H35" s="460">
        <f>G35+'29'!H35</f>
        <v>-693087.59</v>
      </c>
      <c r="I35" s="455"/>
      <c r="J35" s="553">
        <f>H35/DAY(B2)</f>
        <v>-23102.919666666665</v>
      </c>
      <c r="K35" s="428"/>
      <c r="L35" s="377"/>
      <c r="N35" s="440">
        <f>F35-'1'!E35</f>
        <v>-693087.59</v>
      </c>
      <c r="O35" s="810"/>
    </row>
    <row r="36" spans="1:15" ht="21.95" customHeight="1">
      <c r="A36" s="579" t="s">
        <v>165</v>
      </c>
      <c r="B36" s="580"/>
      <c r="C36" s="580"/>
      <c r="D36" s="523" t="s">
        <v>132</v>
      </c>
      <c r="E36" s="455">
        <f>'29'!F36</f>
        <v>0</v>
      </c>
      <c r="F36" s="510"/>
      <c r="G36" s="473">
        <f t="shared" si="3"/>
        <v>0</v>
      </c>
      <c r="H36" s="460">
        <f>G36+'29'!H36</f>
        <v>-296445.57</v>
      </c>
      <c r="I36" s="455"/>
      <c r="J36" s="553">
        <f>H36/DAY(B2)</f>
        <v>-9881.5190000000002</v>
      </c>
      <c r="K36" s="428"/>
      <c r="L36" s="377"/>
      <c r="N36" s="440">
        <f>F36-'1'!E36</f>
        <v>-296445.57</v>
      </c>
      <c r="O36" s="810"/>
    </row>
    <row r="37" spans="1:15" ht="21.95" customHeight="1">
      <c r="A37" s="579" t="s">
        <v>166</v>
      </c>
      <c r="B37" s="580"/>
      <c r="C37" s="580"/>
      <c r="D37" s="523" t="s">
        <v>132</v>
      </c>
      <c r="E37" s="455">
        <f>'29'!F37</f>
        <v>0</v>
      </c>
      <c r="F37" s="510"/>
      <c r="G37" s="473">
        <f t="shared" si="3"/>
        <v>0</v>
      </c>
      <c r="H37" s="460">
        <f>G37+'29'!H37</f>
        <v>3105.0800000000017</v>
      </c>
      <c r="I37" s="455"/>
      <c r="J37" s="553">
        <f>H37/DAY(B2)</f>
        <v>103.50266666666673</v>
      </c>
      <c r="K37" s="428"/>
      <c r="L37" s="377"/>
      <c r="N37" s="440">
        <f>F37-'1'!E37</f>
        <v>-32062.1</v>
      </c>
      <c r="O37" s="810"/>
    </row>
    <row r="38" spans="1:15" ht="21.95" customHeight="1">
      <c r="A38" s="579" t="s">
        <v>167</v>
      </c>
      <c r="B38" s="580"/>
      <c r="C38" s="580"/>
      <c r="D38" s="523" t="s">
        <v>132</v>
      </c>
      <c r="E38" s="455">
        <f>'29'!F38</f>
        <v>0</v>
      </c>
      <c r="F38" s="469"/>
      <c r="G38" s="473">
        <f t="shared" si="3"/>
        <v>0</v>
      </c>
      <c r="H38" s="460">
        <f>G38+'29'!H38</f>
        <v>-43813.49</v>
      </c>
      <c r="I38" s="455"/>
      <c r="J38" s="553">
        <f>H38/DAY(B2)</f>
        <v>-1460.4496666666666</v>
      </c>
      <c r="K38" s="428"/>
      <c r="L38" s="377"/>
      <c r="N38" s="440"/>
      <c r="O38" s="810"/>
    </row>
    <row r="39" spans="1:15" ht="21.95" customHeight="1">
      <c r="A39" s="579" t="s">
        <v>168</v>
      </c>
      <c r="B39" s="580"/>
      <c r="C39" s="580"/>
      <c r="D39" s="523" t="s">
        <v>132</v>
      </c>
      <c r="E39" s="455">
        <f>'29'!F39</f>
        <v>0</v>
      </c>
      <c r="F39" s="510"/>
      <c r="G39" s="473">
        <f t="shared" si="3"/>
        <v>0</v>
      </c>
      <c r="H39" s="460">
        <f>G39+'29'!H39</f>
        <v>9392.890000000014</v>
      </c>
      <c r="I39" s="455"/>
      <c r="J39" s="553">
        <f>H39/DAY(B2)</f>
        <v>313.0963333333338</v>
      </c>
      <c r="K39" s="428"/>
      <c r="L39" s="377"/>
      <c r="N39" s="440">
        <f>F39-'1'!E39</f>
        <v>-90675.39</v>
      </c>
      <c r="O39" s="810"/>
    </row>
    <row r="40" spans="1:15" ht="21.95" customHeight="1">
      <c r="A40" s="600" t="s">
        <v>169</v>
      </c>
      <c r="B40" s="601"/>
      <c r="C40" s="601"/>
      <c r="D40" s="523" t="s">
        <v>132</v>
      </c>
      <c r="E40" s="455">
        <f>'29'!F40</f>
        <v>0</v>
      </c>
      <c r="F40" s="510"/>
      <c r="G40" s="473">
        <f t="shared" si="3"/>
        <v>0</v>
      </c>
      <c r="H40" s="460">
        <f>G40+'29'!H40</f>
        <v>-0.06</v>
      </c>
      <c r="I40" s="455"/>
      <c r="J40" s="553">
        <f>H40/DAY(B2)</f>
        <v>-2E-3</v>
      </c>
      <c r="K40" s="429"/>
      <c r="L40" s="377"/>
      <c r="N40" s="440">
        <f>F40-'1'!E40</f>
        <v>0</v>
      </c>
      <c r="O40" s="810"/>
    </row>
    <row r="41" spans="1:15" ht="21.95" customHeight="1">
      <c r="A41" s="579" t="s">
        <v>170</v>
      </c>
      <c r="B41" s="580"/>
      <c r="C41" s="580"/>
      <c r="D41" s="523" t="s">
        <v>132</v>
      </c>
      <c r="E41" s="455">
        <f>'29'!F41</f>
        <v>0</v>
      </c>
      <c r="F41" s="510"/>
      <c r="G41" s="473">
        <f t="shared" si="3"/>
        <v>0</v>
      </c>
      <c r="H41" s="460">
        <f>G41+'29'!H41</f>
        <v>-63882.37</v>
      </c>
      <c r="I41" s="455"/>
      <c r="J41" s="553">
        <f>H41/DAY(B2)</f>
        <v>-2129.4123333333332</v>
      </c>
      <c r="K41" s="428"/>
      <c r="L41" s="377"/>
      <c r="N41" s="440">
        <f>F41-'1'!E41</f>
        <v>-63882.37</v>
      </c>
      <c r="O41" s="810"/>
    </row>
    <row r="42" spans="1:15" ht="21.95" customHeight="1">
      <c r="A42" s="579" t="s">
        <v>171</v>
      </c>
      <c r="B42" s="580"/>
      <c r="C42" s="580"/>
      <c r="D42" s="523" t="s">
        <v>132</v>
      </c>
      <c r="E42" s="455">
        <f>'29'!F42</f>
        <v>0</v>
      </c>
      <c r="F42" s="510"/>
      <c r="G42" s="473">
        <f t="shared" si="3"/>
        <v>0</v>
      </c>
      <c r="H42" s="460">
        <f>G42+'29'!H42</f>
        <v>-59128.85</v>
      </c>
      <c r="I42" s="455"/>
      <c r="J42" s="553">
        <f>H42/DAY(B2)</f>
        <v>-1970.9616666666666</v>
      </c>
      <c r="K42" s="428"/>
      <c r="L42" s="377"/>
      <c r="N42" s="440">
        <f>F42-'1'!E42</f>
        <v>-59128.85</v>
      </c>
      <c r="O42" s="810"/>
    </row>
    <row r="43" spans="1:15" ht="21.95" customHeight="1">
      <c r="A43" s="579" t="s">
        <v>172</v>
      </c>
      <c r="B43" s="580"/>
      <c r="C43" s="580"/>
      <c r="D43" s="523" t="s">
        <v>132</v>
      </c>
      <c r="E43" s="455">
        <f>'29'!F43</f>
        <v>0</v>
      </c>
      <c r="F43" s="510"/>
      <c r="G43" s="473">
        <f t="shared" si="3"/>
        <v>0</v>
      </c>
      <c r="H43" s="460">
        <f>G43+'29'!H43</f>
        <v>-825897.83</v>
      </c>
      <c r="I43" s="455"/>
      <c r="J43" s="553">
        <f>H43/DAY(B2)</f>
        <v>-27529.927666666666</v>
      </c>
      <c r="K43" s="428"/>
      <c r="L43" s="377"/>
      <c r="N43" s="440">
        <f>F43-'1'!E43</f>
        <v>-825897.83</v>
      </c>
      <c r="O43" s="810"/>
    </row>
    <row r="44" spans="1:15" ht="21.95" customHeight="1">
      <c r="A44" s="579" t="s">
        <v>173</v>
      </c>
      <c r="B44" s="580"/>
      <c r="C44" s="580"/>
      <c r="D44" s="523" t="s">
        <v>132</v>
      </c>
      <c r="E44" s="455">
        <f>'29'!F44</f>
        <v>0</v>
      </c>
      <c r="F44" s="510"/>
      <c r="G44" s="473">
        <f t="shared" si="3"/>
        <v>0</v>
      </c>
      <c r="H44" s="460">
        <f>G44+'29'!H44</f>
        <v>0</v>
      </c>
      <c r="I44" s="455"/>
      <c r="J44" s="553">
        <f>H44/DAY(B2)</f>
        <v>0</v>
      </c>
      <c r="K44" s="428"/>
      <c r="L44" s="377"/>
      <c r="N44" s="440">
        <f>F44-'1'!E44</f>
        <v>0</v>
      </c>
      <c r="O44" s="810"/>
    </row>
    <row r="45" spans="1:15" ht="21.95" customHeight="1">
      <c r="A45" s="579" t="s">
        <v>174</v>
      </c>
      <c r="B45" s="580"/>
      <c r="C45" s="580"/>
      <c r="D45" s="523" t="s">
        <v>132</v>
      </c>
      <c r="E45" s="455">
        <f>'29'!F45</f>
        <v>0</v>
      </c>
      <c r="F45" s="510"/>
      <c r="G45" s="473">
        <f t="shared" si="3"/>
        <v>0</v>
      </c>
      <c r="H45" s="460">
        <f>G45+'29'!H45</f>
        <v>-614</v>
      </c>
      <c r="I45" s="455"/>
      <c r="J45" s="553">
        <f>H45/DAY(B2)</f>
        <v>-20.466666666666665</v>
      </c>
      <c r="K45" s="428"/>
      <c r="L45" s="377"/>
      <c r="N45" s="440">
        <f>F45-'1'!E45</f>
        <v>-614</v>
      </c>
      <c r="O45" s="810"/>
    </row>
    <row r="46" spans="1:15" ht="21.95" customHeight="1">
      <c r="A46" s="579" t="s">
        <v>175</v>
      </c>
      <c r="B46" s="580"/>
      <c r="C46" s="580"/>
      <c r="D46" s="523" t="s">
        <v>132</v>
      </c>
      <c r="E46" s="455">
        <f>'29'!F46</f>
        <v>0</v>
      </c>
      <c r="F46" s="510"/>
      <c r="G46" s="473">
        <f t="shared" si="3"/>
        <v>0</v>
      </c>
      <c r="H46" s="460">
        <f>G46+'29'!H46</f>
        <v>-187</v>
      </c>
      <c r="I46" s="455"/>
      <c r="J46" s="553">
        <f>H46/DAY(B2)</f>
        <v>-6.2333333333333334</v>
      </c>
      <c r="K46" s="428"/>
      <c r="L46" s="377"/>
      <c r="N46" s="440">
        <f>F46-'1'!E46</f>
        <v>-187</v>
      </c>
      <c r="O46" s="810"/>
    </row>
    <row r="47" spans="1:15" ht="21.95" customHeight="1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0</v>
      </c>
      <c r="H47" s="460">
        <f>G47+'29'!H47</f>
        <v>-1970558.79</v>
      </c>
      <c r="I47" s="455"/>
      <c r="J47" s="553">
        <f>H47/DAY(B2)</f>
        <v>-65685.293000000005</v>
      </c>
      <c r="K47" s="428"/>
      <c r="L47" s="377"/>
      <c r="N47" s="440">
        <f>F47-'1'!E47</f>
        <v>0</v>
      </c>
      <c r="O47" s="810"/>
    </row>
    <row r="48" spans="1:15" ht="29.2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O48" s="810"/>
    </row>
    <row r="49" spans="1:15" ht="29.25">
      <c r="A49" s="579" t="s">
        <v>164</v>
      </c>
      <c r="B49" s="602"/>
      <c r="C49" s="602"/>
      <c r="D49" s="523" t="s">
        <v>132</v>
      </c>
      <c r="E49" s="455">
        <f>'29'!F49</f>
        <v>0</v>
      </c>
      <c r="F49" s="510"/>
      <c r="G49" s="473">
        <f t="shared" ref="G49:G58" si="4">F49-E49</f>
        <v>0</v>
      </c>
      <c r="H49" s="460">
        <f>G49+'29'!H49</f>
        <v>-260732.13</v>
      </c>
      <c r="I49" s="455"/>
      <c r="J49" s="553">
        <f>H49/DAY(B2)</f>
        <v>-8691.0709999999999</v>
      </c>
      <c r="K49" s="428"/>
      <c r="L49" s="377"/>
      <c r="O49" s="810"/>
    </row>
    <row r="50" spans="1:15" ht="29.25">
      <c r="A50" s="579" t="s">
        <v>178</v>
      </c>
      <c r="B50" s="602"/>
      <c r="C50" s="602"/>
      <c r="D50" s="523" t="s">
        <v>132</v>
      </c>
      <c r="E50" s="455">
        <f>'29'!F50</f>
        <v>0</v>
      </c>
      <c r="F50" s="510"/>
      <c r="G50" s="473">
        <f t="shared" si="4"/>
        <v>0</v>
      </c>
      <c r="H50" s="460">
        <f>G50+'29'!H50</f>
        <v>-403657.03</v>
      </c>
      <c r="I50" s="455"/>
      <c r="J50" s="553">
        <f>H50/DAY(B2)</f>
        <v>-13455.234333333334</v>
      </c>
      <c r="K50" s="428"/>
      <c r="L50" s="377"/>
      <c r="O50" s="810"/>
    </row>
    <row r="51" spans="1:15" ht="29.25">
      <c r="A51" s="579" t="s">
        <v>166</v>
      </c>
      <c r="B51" s="602"/>
      <c r="C51" s="602"/>
      <c r="D51" s="523" t="s">
        <v>132</v>
      </c>
      <c r="E51" s="455">
        <f>'29'!F51</f>
        <v>0</v>
      </c>
      <c r="F51" s="510"/>
      <c r="G51" s="473">
        <f t="shared" si="4"/>
        <v>0</v>
      </c>
      <c r="H51" s="460">
        <f>G51+'29'!H51</f>
        <v>-121599.92</v>
      </c>
      <c r="I51" s="455"/>
      <c r="J51" s="553">
        <f>H51/DAY(B2)</f>
        <v>-4053.3306666666667</v>
      </c>
      <c r="K51" s="428"/>
      <c r="L51" s="377"/>
      <c r="O51" s="810"/>
    </row>
    <row r="52" spans="1:15" ht="29.25">
      <c r="A52" s="579" t="s">
        <v>179</v>
      </c>
      <c r="B52" s="602"/>
      <c r="C52" s="602"/>
      <c r="D52" s="523" t="s">
        <v>132</v>
      </c>
      <c r="E52" s="455">
        <f>'29'!F52</f>
        <v>0</v>
      </c>
      <c r="F52" s="510"/>
      <c r="G52" s="473">
        <f t="shared" si="4"/>
        <v>0</v>
      </c>
      <c r="H52" s="460">
        <f>G52+'29'!H52</f>
        <v>-509958.71</v>
      </c>
      <c r="I52" s="455"/>
      <c r="J52" s="553">
        <f>H52/DAY(B2)</f>
        <v>-16998.623666666666</v>
      </c>
      <c r="K52" s="428"/>
      <c r="L52" s="377"/>
      <c r="O52" s="810"/>
    </row>
    <row r="53" spans="1:15" ht="29.25">
      <c r="A53" s="579" t="s">
        <v>168</v>
      </c>
      <c r="B53" s="602"/>
      <c r="C53" s="602"/>
      <c r="D53" s="523" t="s">
        <v>132</v>
      </c>
      <c r="E53" s="455">
        <f>'29'!F53</f>
        <v>0</v>
      </c>
      <c r="F53" s="510"/>
      <c r="G53" s="473">
        <f t="shared" si="4"/>
        <v>0</v>
      </c>
      <c r="H53" s="460">
        <f>G53+'29'!H53</f>
        <v>-336039.51</v>
      </c>
      <c r="I53" s="455"/>
      <c r="J53" s="553">
        <f>H53/DAY(B2)</f>
        <v>-11201.317000000001</v>
      </c>
      <c r="K53" s="428"/>
      <c r="L53" s="377"/>
      <c r="O53" s="810"/>
    </row>
    <row r="54" spans="1:15" ht="29.25">
      <c r="A54" s="579" t="s">
        <v>180</v>
      </c>
      <c r="B54" s="602"/>
      <c r="C54" s="602"/>
      <c r="D54" s="523" t="s">
        <v>132</v>
      </c>
      <c r="E54" s="455">
        <f>'29'!F54</f>
        <v>0</v>
      </c>
      <c r="F54" s="510"/>
      <c r="G54" s="473">
        <f t="shared" si="4"/>
        <v>0</v>
      </c>
      <c r="H54" s="460">
        <f>G54+'29'!H54</f>
        <v>-8095.5999999999995</v>
      </c>
      <c r="I54" s="455"/>
      <c r="J54" s="553">
        <f>H54/DAY(B2)</f>
        <v>-269.8533333333333</v>
      </c>
      <c r="K54" s="428"/>
      <c r="L54" s="377"/>
      <c r="O54" s="810"/>
    </row>
    <row r="55" spans="1:15" ht="29.25">
      <c r="A55" s="579" t="s">
        <v>181</v>
      </c>
      <c r="B55" s="602"/>
      <c r="C55" s="602"/>
      <c r="D55" s="523" t="s">
        <v>132</v>
      </c>
      <c r="E55" s="455">
        <f>'29'!F55</f>
        <v>0</v>
      </c>
      <c r="F55" s="510"/>
      <c r="G55" s="473">
        <f t="shared" si="4"/>
        <v>0</v>
      </c>
      <c r="H55" s="460">
        <f>G55+'29'!H55</f>
        <v>-122584.69</v>
      </c>
      <c r="I55" s="455"/>
      <c r="J55" s="553">
        <f>H55/DAY(B2)</f>
        <v>-4086.1563333333334</v>
      </c>
      <c r="K55" s="428"/>
      <c r="L55" s="377"/>
      <c r="O55" s="810"/>
    </row>
    <row r="56" spans="1:15" ht="29.25">
      <c r="A56" s="579" t="s">
        <v>182</v>
      </c>
      <c r="B56" s="602"/>
      <c r="C56" s="602"/>
      <c r="D56" s="523" t="s">
        <v>183</v>
      </c>
      <c r="E56" s="455">
        <f>'29'!F56</f>
        <v>0</v>
      </c>
      <c r="F56" s="510"/>
      <c r="G56" s="473">
        <f t="shared" si="4"/>
        <v>0</v>
      </c>
      <c r="H56" s="460">
        <f>G56+'29'!H56</f>
        <v>-586051.03</v>
      </c>
      <c r="I56" s="455"/>
      <c r="J56" s="553">
        <f>H56/DAY(B2)</f>
        <v>-19535.034333333333</v>
      </c>
      <c r="K56" s="427"/>
      <c r="L56" s="377"/>
      <c r="O56" s="810"/>
    </row>
    <row r="57" spans="1:15" ht="29.25">
      <c r="A57" s="579" t="s">
        <v>172</v>
      </c>
      <c r="B57" s="602"/>
      <c r="C57" s="602"/>
      <c r="D57" s="523" t="s">
        <v>132</v>
      </c>
      <c r="E57" s="455">
        <f>'29'!F57</f>
        <v>0</v>
      </c>
      <c r="F57" s="510"/>
      <c r="G57" s="473">
        <f t="shared" si="4"/>
        <v>0</v>
      </c>
      <c r="H57" s="460">
        <f>G57+'29'!H57</f>
        <v>-7711.33</v>
      </c>
      <c r="I57" s="455"/>
      <c r="J57" s="553">
        <f>H57/DAY(B2)</f>
        <v>-257.04433333333333</v>
      </c>
      <c r="K57" s="428"/>
      <c r="L57" s="377"/>
      <c r="O57" s="810"/>
    </row>
    <row r="58" spans="1:15" ht="29.25">
      <c r="A58" s="579" t="s">
        <v>184</v>
      </c>
      <c r="B58" s="602"/>
      <c r="C58" s="602"/>
      <c r="D58" s="523" t="s">
        <v>132</v>
      </c>
      <c r="E58" s="455">
        <f>'29'!F58</f>
        <v>0</v>
      </c>
      <c r="F58" s="510"/>
      <c r="G58" s="473">
        <f t="shared" si="4"/>
        <v>0</v>
      </c>
      <c r="H58" s="460">
        <f>G58+'29'!H58</f>
        <v>-36064.699999999997</v>
      </c>
      <c r="I58" s="455"/>
      <c r="J58" s="553">
        <f>H58/DAY(B2)</f>
        <v>-1202.1566666666665</v>
      </c>
      <c r="K58" s="428"/>
      <c r="L58" s="377"/>
      <c r="O58" s="810"/>
    </row>
    <row r="59" spans="1:15" ht="29.2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0</v>
      </c>
      <c r="H59" s="460">
        <f>G59+'29'!H59</f>
        <v>-2392494.65</v>
      </c>
      <c r="I59" s="455">
        <f>G7-G60</f>
        <v>0</v>
      </c>
      <c r="J59" s="553">
        <f>H59/DAY(B2)</f>
        <v>-79749.82166666667</v>
      </c>
      <c r="K59" s="428"/>
      <c r="L59" s="377"/>
      <c r="O59" s="810"/>
    </row>
    <row r="60" spans="1:15" ht="29.25">
      <c r="A60" s="579"/>
      <c r="B60" s="580"/>
      <c r="C60" s="580"/>
      <c r="D60" s="511" t="s">
        <v>185</v>
      </c>
      <c r="E60" s="511"/>
      <c r="F60" s="511"/>
      <c r="G60" s="481">
        <f>G47+G59</f>
        <v>0</v>
      </c>
      <c r="H60" s="460">
        <f>G60+'29'!H60</f>
        <v>-4348884.4400000004</v>
      </c>
      <c r="I60" s="455">
        <f>G13-G60</f>
        <v>0</v>
      </c>
      <c r="J60" s="553">
        <f>H60/DAY(B2)</f>
        <v>-144962.81466666667</v>
      </c>
      <c r="K60" s="428"/>
      <c r="L60" s="377"/>
      <c r="O60" s="810"/>
    </row>
    <row r="61" spans="1:15" ht="29.2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O61" s="810"/>
    </row>
    <row r="62" spans="1:15" ht="29.25">
      <c r="A62" s="604" t="s">
        <v>98</v>
      </c>
      <c r="B62" s="605"/>
      <c r="C62" s="605"/>
      <c r="D62" s="511" t="s">
        <v>187</v>
      </c>
      <c r="E62" s="455">
        <f>'29'!F62</f>
        <v>0</v>
      </c>
      <c r="F62" s="514"/>
      <c r="G62" s="473">
        <f t="shared" ref="G62:G69" si="5">F62-E62</f>
        <v>0</v>
      </c>
      <c r="H62" s="460">
        <f>G62+'29'!H62</f>
        <v>-20419.187000000002</v>
      </c>
      <c r="I62" s="515"/>
      <c r="J62" s="553">
        <f>H62/DAY(B2)</f>
        <v>-680.63956666666672</v>
      </c>
      <c r="K62" s="428"/>
      <c r="L62" s="377"/>
      <c r="O62" s="810"/>
    </row>
    <row r="63" spans="1:15" ht="29.25">
      <c r="A63" s="604" t="s">
        <v>188</v>
      </c>
      <c r="B63" s="605"/>
      <c r="C63" s="605"/>
      <c r="D63" s="511" t="s">
        <v>187</v>
      </c>
      <c r="E63" s="455">
        <f>'29'!F63</f>
        <v>0</v>
      </c>
      <c r="F63" s="514"/>
      <c r="G63" s="473">
        <f t="shared" si="5"/>
        <v>0</v>
      </c>
      <c r="H63" s="460">
        <f>G63+'29'!H63</f>
        <v>-1707.36</v>
      </c>
      <c r="I63" s="515"/>
      <c r="J63" s="553">
        <f>H63/DAY(B2)</f>
        <v>-56.911999999999999</v>
      </c>
      <c r="K63" s="428"/>
      <c r="L63" s="377"/>
      <c r="O63" s="810"/>
    </row>
    <row r="64" spans="1:15" ht="27.75">
      <c r="A64" s="1547" t="s">
        <v>99</v>
      </c>
      <c r="B64" s="1460"/>
      <c r="C64" s="1460"/>
      <c r="D64" s="523" t="s">
        <v>187</v>
      </c>
      <c r="E64" s="455">
        <f>'29'!F64</f>
        <v>0</v>
      </c>
      <c r="F64" s="484"/>
      <c r="G64" s="473">
        <f t="shared" si="5"/>
        <v>0</v>
      </c>
      <c r="H64" s="460">
        <f>G64+'29'!H64</f>
        <v>-123627.3</v>
      </c>
      <c r="I64" s="480"/>
      <c r="J64" s="553">
        <f>H64/DAY(B2)</f>
        <v>-4120.91</v>
      </c>
      <c r="K64" s="428"/>
      <c r="L64" s="377"/>
      <c r="O64" s="810"/>
    </row>
    <row r="65" spans="1:15" ht="27.75">
      <c r="A65" s="1547" t="s">
        <v>100</v>
      </c>
      <c r="B65" s="1460"/>
      <c r="C65" s="1460"/>
      <c r="D65" s="523" t="s">
        <v>187</v>
      </c>
      <c r="E65" s="455">
        <f>'29'!F65</f>
        <v>0</v>
      </c>
      <c r="F65" s="484"/>
      <c r="G65" s="473">
        <f t="shared" si="5"/>
        <v>0</v>
      </c>
      <c r="H65" s="460">
        <f>G65+'29'!H65</f>
        <v>-132597.29999999999</v>
      </c>
      <c r="I65" s="489"/>
      <c r="J65" s="553">
        <f>H65/DAY(B2)</f>
        <v>-4419.91</v>
      </c>
      <c r="K65" s="428"/>
      <c r="L65" s="377"/>
      <c r="O65" s="810"/>
    </row>
    <row r="66" spans="1:15" ht="27.75">
      <c r="A66" s="1547" t="s">
        <v>101</v>
      </c>
      <c r="B66" s="1460"/>
      <c r="C66" s="1460"/>
      <c r="D66" s="523" t="s">
        <v>187</v>
      </c>
      <c r="E66" s="455">
        <f>'29'!F66</f>
        <v>0</v>
      </c>
      <c r="F66" s="484"/>
      <c r="G66" s="473">
        <f t="shared" si="5"/>
        <v>0</v>
      </c>
      <c r="H66" s="460">
        <f>G66+'29'!H66</f>
        <v>-25159.75</v>
      </c>
      <c r="I66" s="480"/>
      <c r="J66" s="553">
        <f>H66/DAY(B2)</f>
        <v>-838.6583333333333</v>
      </c>
      <c r="K66" s="428"/>
      <c r="L66" s="377"/>
      <c r="O66" s="810"/>
    </row>
    <row r="67" spans="1:15" ht="27.75">
      <c r="A67" s="1547" t="s">
        <v>102</v>
      </c>
      <c r="B67" s="1460"/>
      <c r="C67" s="1460"/>
      <c r="D67" s="523" t="s">
        <v>187</v>
      </c>
      <c r="E67" s="455">
        <f>'29'!F67</f>
        <v>0</v>
      </c>
      <c r="F67" s="484"/>
      <c r="G67" s="473">
        <f t="shared" si="5"/>
        <v>0</v>
      </c>
      <c r="H67" s="460">
        <f>G67+'29'!H67</f>
        <v>-207841.83</v>
      </c>
      <c r="I67" s="489"/>
      <c r="J67" s="553">
        <f>H67/DAY(B2)</f>
        <v>-6928.0609999999997</v>
      </c>
      <c r="K67" s="429"/>
      <c r="L67" s="377"/>
      <c r="O67" s="810"/>
    </row>
    <row r="68" spans="1:15" ht="27.75">
      <c r="A68" s="1547" t="s">
        <v>103</v>
      </c>
      <c r="B68" s="1460"/>
      <c r="C68" s="1460"/>
      <c r="D68" s="523" t="s">
        <v>187</v>
      </c>
      <c r="E68" s="455">
        <f>'29'!F68</f>
        <v>0</v>
      </c>
      <c r="F68" s="484"/>
      <c r="G68" s="473">
        <f t="shared" si="5"/>
        <v>0</v>
      </c>
      <c r="H68" s="460">
        <f>G68+'29'!H68</f>
        <v>-63461.45</v>
      </c>
      <c r="I68" s="516"/>
      <c r="J68" s="553">
        <f>H68/DAY(B2)</f>
        <v>-2115.3816666666667</v>
      </c>
      <c r="K68" s="430"/>
      <c r="L68" s="377"/>
      <c r="O68" s="810"/>
    </row>
    <row r="69" spans="1:15" ht="27.75">
      <c r="A69" s="1547" t="s">
        <v>104</v>
      </c>
      <c r="B69" s="1460"/>
      <c r="C69" s="1460"/>
      <c r="D69" s="523" t="s">
        <v>187</v>
      </c>
      <c r="E69" s="455">
        <f>'29'!F69</f>
        <v>0</v>
      </c>
      <c r="F69" s="484"/>
      <c r="G69" s="473">
        <f t="shared" si="5"/>
        <v>0</v>
      </c>
      <c r="H69" s="460">
        <f>G69+'29'!H69</f>
        <v>-64452.09</v>
      </c>
      <c r="I69" s="516"/>
      <c r="J69" s="553">
        <f>H69/DAY(B2)</f>
        <v>-2148.4029999999998</v>
      </c>
      <c r="K69" s="431"/>
      <c r="L69" s="377"/>
      <c r="O69" s="810"/>
    </row>
    <row r="70" spans="1:15" ht="27.75">
      <c r="A70" s="1564" t="s">
        <v>189</v>
      </c>
      <c r="B70" s="1470"/>
      <c r="C70" s="1470"/>
      <c r="D70" s="523" t="s">
        <v>187</v>
      </c>
      <c r="E70" s="517"/>
      <c r="F70" s="518"/>
      <c r="G70" s="518"/>
      <c r="H70" s="460">
        <f>G70+'29'!H70</f>
        <v>0</v>
      </c>
      <c r="I70" s="518"/>
      <c r="J70" s="557"/>
      <c r="K70" s="431"/>
      <c r="L70" s="377"/>
      <c r="O70" s="810"/>
    </row>
    <row r="71" spans="1:15" ht="31.5">
      <c r="A71" s="1556" t="s">
        <v>190</v>
      </c>
      <c r="B71" s="1557"/>
      <c r="C71" s="1557"/>
      <c r="D71" s="1557"/>
      <c r="E71" s="1557"/>
      <c r="F71" s="1557"/>
      <c r="G71" s="1557"/>
      <c r="H71" s="1557"/>
      <c r="I71" s="1557"/>
      <c r="J71" s="1558"/>
      <c r="K71" s="430"/>
      <c r="L71" s="377"/>
      <c r="O71" s="810"/>
    </row>
    <row r="72" spans="1:15" ht="27.75">
      <c r="A72" s="1547" t="s">
        <v>191</v>
      </c>
      <c r="B72" s="1460"/>
      <c r="C72" s="1460"/>
      <c r="D72" s="523" t="s">
        <v>187</v>
      </c>
      <c r="E72" s="455">
        <f>'29'!F72</f>
        <v>0</v>
      </c>
      <c r="F72" s="519"/>
      <c r="G72" s="473">
        <f t="shared" ref="G72:G84" si="6">F72-E72</f>
        <v>0</v>
      </c>
      <c r="H72" s="460">
        <f>G72+'29'!H72</f>
        <v>-850682</v>
      </c>
      <c r="I72" s="480"/>
      <c r="J72" s="553">
        <f>H72/DAY(B2)</f>
        <v>-28356.066666666666</v>
      </c>
      <c r="K72" s="431"/>
      <c r="L72" s="377"/>
      <c r="O72" s="810"/>
    </row>
    <row r="73" spans="1:15" ht="27.75">
      <c r="A73" s="1547" t="s">
        <v>192</v>
      </c>
      <c r="B73" s="1460"/>
      <c r="C73" s="1460"/>
      <c r="D73" s="523" t="s">
        <v>187</v>
      </c>
      <c r="E73" s="455">
        <f>'29'!F73</f>
        <v>0</v>
      </c>
      <c r="F73" s="520"/>
      <c r="G73" s="473">
        <f t="shared" si="6"/>
        <v>0</v>
      </c>
      <c r="H73" s="460">
        <f>G73+'29'!H73</f>
        <v>-884658</v>
      </c>
      <c r="I73" s="480"/>
      <c r="J73" s="553">
        <f>H73/DAY(B2)</f>
        <v>-29488.6</v>
      </c>
      <c r="K73" s="430"/>
      <c r="L73" s="377"/>
      <c r="O73" s="810"/>
    </row>
    <row r="74" spans="1:15" ht="27.75">
      <c r="A74" s="1547" t="s">
        <v>193</v>
      </c>
      <c r="B74" s="1460"/>
      <c r="C74" s="1460"/>
      <c r="D74" s="523" t="s">
        <v>187</v>
      </c>
      <c r="E74" s="455">
        <f>'29'!F74</f>
        <v>0</v>
      </c>
      <c r="F74" s="521"/>
      <c r="G74" s="473">
        <f t="shared" si="6"/>
        <v>0</v>
      </c>
      <c r="H74" s="460">
        <f>G74+'29'!H74</f>
        <v>-586.16999999999996</v>
      </c>
      <c r="I74" s="480"/>
      <c r="J74" s="553">
        <f>H74/DAY(B2)</f>
        <v>-19.538999999999998</v>
      </c>
      <c r="K74" s="431"/>
      <c r="L74" s="377"/>
      <c r="O74" s="810"/>
    </row>
    <row r="75" spans="1:15" ht="27.75">
      <c r="A75" s="1554" t="s">
        <v>194</v>
      </c>
      <c r="B75" s="1555"/>
      <c r="C75" s="1555"/>
      <c r="D75" s="523" t="s">
        <v>187</v>
      </c>
      <c r="E75" s="455">
        <f>'29'!F75</f>
        <v>0</v>
      </c>
      <c r="F75" s="521"/>
      <c r="G75" s="473">
        <f t="shared" si="6"/>
        <v>0</v>
      </c>
      <c r="H75" s="460">
        <f>G75+'29'!H75</f>
        <v>-3519.22</v>
      </c>
      <c r="I75" s="480"/>
      <c r="J75" s="553">
        <f>H75/DAY(B2)</f>
        <v>-117.30733333333333</v>
      </c>
      <c r="K75" s="430"/>
      <c r="L75" s="377"/>
      <c r="O75" s="810"/>
    </row>
    <row r="76" spans="1:15" ht="27.75">
      <c r="A76" s="1554" t="s">
        <v>195</v>
      </c>
      <c r="B76" s="1555"/>
      <c r="C76" s="1555"/>
      <c r="D76" s="523" t="s">
        <v>187</v>
      </c>
      <c r="E76" s="455">
        <f>'29'!F76</f>
        <v>0</v>
      </c>
      <c r="F76" s="520"/>
      <c r="G76" s="473">
        <f t="shared" si="6"/>
        <v>0</v>
      </c>
      <c r="H76" s="460">
        <f>G76+'29'!H76</f>
        <v>-475.2199999999998</v>
      </c>
      <c r="I76" s="505"/>
      <c r="J76" s="553">
        <f>H76/DAY(B2)</f>
        <v>-15.84066666666666</v>
      </c>
      <c r="K76" s="430"/>
      <c r="L76" s="377"/>
      <c r="O76" s="810"/>
    </row>
    <row r="77" spans="1:15" ht="27.75">
      <c r="A77" s="1547" t="s">
        <v>196</v>
      </c>
      <c r="B77" s="1460"/>
      <c r="C77" s="1460"/>
      <c r="D77" s="523" t="s">
        <v>187</v>
      </c>
      <c r="E77" s="455">
        <f>'29'!F77</f>
        <v>0</v>
      </c>
      <c r="F77" s="521"/>
      <c r="G77" s="473">
        <f t="shared" si="6"/>
        <v>0</v>
      </c>
      <c r="H77" s="460">
        <f>G77+'29'!H77</f>
        <v>-698588</v>
      </c>
      <c r="I77" s="505"/>
      <c r="J77" s="553">
        <f>H77/DAY(B2)</f>
        <v>-23286.266666666666</v>
      </c>
      <c r="K77" s="430"/>
      <c r="L77" s="377"/>
      <c r="O77" s="810"/>
    </row>
    <row r="78" spans="1:15" ht="27.75">
      <c r="A78" s="1151" t="s">
        <v>197</v>
      </c>
      <c r="B78" s="1124"/>
      <c r="C78" s="1124"/>
      <c r="D78" s="523" t="s">
        <v>187</v>
      </c>
      <c r="E78" s="455">
        <f>'29'!F78</f>
        <v>0</v>
      </c>
      <c r="F78" s="521"/>
      <c r="G78" s="473">
        <f t="shared" si="6"/>
        <v>0</v>
      </c>
      <c r="H78" s="460">
        <f>G78+'29'!H78</f>
        <v>-652863</v>
      </c>
      <c r="I78" s="505"/>
      <c r="J78" s="553">
        <f>H78/DAY(B2)</f>
        <v>-21762.1</v>
      </c>
      <c r="K78" s="430"/>
      <c r="L78" s="377"/>
      <c r="O78" s="810"/>
    </row>
    <row r="79" spans="1:15" ht="27.75">
      <c r="A79" s="1554" t="s">
        <v>92</v>
      </c>
      <c r="B79" s="1555"/>
      <c r="C79" s="1555"/>
      <c r="D79" s="524" t="s">
        <v>187</v>
      </c>
      <c r="E79" s="455">
        <f>'29'!F79</f>
        <v>0</v>
      </c>
      <c r="F79" s="521"/>
      <c r="G79" s="473">
        <f t="shared" si="6"/>
        <v>0</v>
      </c>
      <c r="H79" s="460">
        <f>G79+'29'!H79</f>
        <v>-812599</v>
      </c>
      <c r="I79" s="505"/>
      <c r="J79" s="553">
        <f>H79/DAY(B2)</f>
        <v>-27086.633333333335</v>
      </c>
      <c r="K79" s="430"/>
      <c r="L79" s="377"/>
      <c r="O79" s="810"/>
    </row>
    <row r="80" spans="1:15" ht="27.75">
      <c r="A80" s="1554" t="s">
        <v>198</v>
      </c>
      <c r="B80" s="1555"/>
      <c r="C80" s="1555"/>
      <c r="D80" s="524" t="s">
        <v>187</v>
      </c>
      <c r="E80" s="455">
        <f>'29'!F80</f>
        <v>0</v>
      </c>
      <c r="F80" s="520"/>
      <c r="G80" s="473">
        <f t="shared" si="6"/>
        <v>0</v>
      </c>
      <c r="H80" s="460">
        <f>G80+'29'!H80</f>
        <v>-496614</v>
      </c>
      <c r="I80" s="505"/>
      <c r="J80" s="553">
        <f>H80/DAY(B2)</f>
        <v>-16553.8</v>
      </c>
      <c r="K80" s="430"/>
      <c r="L80" s="377"/>
      <c r="O80" s="810"/>
    </row>
    <row r="81" spans="1:15" ht="27.75">
      <c r="A81" s="1554" t="s">
        <v>199</v>
      </c>
      <c r="B81" s="1555"/>
      <c r="C81" s="1555"/>
      <c r="D81" s="524" t="s">
        <v>187</v>
      </c>
      <c r="E81" s="455">
        <f>'29'!F81</f>
        <v>0</v>
      </c>
      <c r="F81" s="520"/>
      <c r="G81" s="473">
        <f t="shared" si="6"/>
        <v>0</v>
      </c>
      <c r="H81" s="460">
        <f>G81+'29'!H81</f>
        <v>-625943.84</v>
      </c>
      <c r="I81" s="505"/>
      <c r="J81" s="553">
        <f>H81/DAY(B2)</f>
        <v>-20864.794666666665</v>
      </c>
      <c r="K81" s="430"/>
      <c r="L81" s="377"/>
      <c r="O81" s="810"/>
    </row>
    <row r="82" spans="1:15" ht="27.75">
      <c r="A82" s="1554" t="s">
        <v>93</v>
      </c>
      <c r="B82" s="1555"/>
      <c r="C82" s="1555"/>
      <c r="D82" s="485" t="s">
        <v>132</v>
      </c>
      <c r="E82" s="455">
        <f>'29'!F82</f>
        <v>0</v>
      </c>
      <c r="F82" s="522"/>
      <c r="G82" s="473">
        <f t="shared" si="6"/>
        <v>0</v>
      </c>
      <c r="H82" s="460">
        <f>G82+'29'!H82</f>
        <v>-106202.48</v>
      </c>
      <c r="I82" s="486"/>
      <c r="J82" s="553">
        <f>H82/DAY(B2)</f>
        <v>-3540.0826666666667</v>
      </c>
      <c r="K82" s="430"/>
      <c r="L82" s="377"/>
      <c r="O82" s="810"/>
    </row>
    <row r="83" spans="1:15" ht="27.75">
      <c r="A83" s="1554" t="s">
        <v>200</v>
      </c>
      <c r="B83" s="1555"/>
      <c r="C83" s="1555"/>
      <c r="D83" s="621" t="s">
        <v>132</v>
      </c>
      <c r="E83" s="455">
        <f>'29'!F83</f>
        <v>0</v>
      </c>
      <c r="F83" s="511"/>
      <c r="G83" s="473">
        <f t="shared" si="6"/>
        <v>0</v>
      </c>
      <c r="H83" s="460">
        <f>G83+'29'!H83</f>
        <v>3403</v>
      </c>
      <c r="I83" s="481"/>
      <c r="J83" s="553">
        <f>H83/DAY(B2)</f>
        <v>113.43333333333334</v>
      </c>
      <c r="K83" s="429"/>
      <c r="L83" s="377"/>
      <c r="O83" s="810"/>
    </row>
    <row r="84" spans="1:15" ht="29.25">
      <c r="A84" s="1152" t="s">
        <v>201</v>
      </c>
      <c r="B84" s="572"/>
      <c r="C84" s="572"/>
      <c r="D84" s="478" t="s">
        <v>132</v>
      </c>
      <c r="E84" s="455">
        <f>'29'!F84</f>
        <v>0</v>
      </c>
      <c r="F84" s="523"/>
      <c r="G84" s="473">
        <f t="shared" si="6"/>
        <v>0</v>
      </c>
      <c r="H84" s="460">
        <f>G84+'29'!H84</f>
        <v>-430798</v>
      </c>
      <c r="I84" s="481"/>
      <c r="J84" s="553">
        <f>H84/DAY(B2)</f>
        <v>-14359.933333333332</v>
      </c>
      <c r="K84" s="380"/>
      <c r="L84" s="377"/>
      <c r="O84" s="810"/>
    </row>
    <row r="85" spans="1:15" s="379" customFormat="1" ht="21.95" customHeight="1">
      <c r="A85" s="606" t="s">
        <v>202</v>
      </c>
      <c r="B85" s="573"/>
      <c r="C85" s="573"/>
      <c r="D85" s="489"/>
      <c r="E85" s="455">
        <f>'29'!F85</f>
        <v>0</v>
      </c>
      <c r="F85" s="523"/>
      <c r="G85" s="460">
        <f xml:space="preserve"> SUM(G72:G84)</f>
        <v>0</v>
      </c>
      <c r="H85" s="460">
        <f>G85+'29'!H85</f>
        <v>-5564784.0700000003</v>
      </c>
      <c r="I85" s="481"/>
      <c r="J85" s="553">
        <f>H85/DAY(B2)</f>
        <v>-185492.80233333335</v>
      </c>
      <c r="K85" s="380"/>
      <c r="L85" s="378"/>
      <c r="O85" s="810"/>
    </row>
    <row r="86" spans="1:15" s="740" customFormat="1" ht="29.25">
      <c r="A86" s="735" t="s">
        <v>94</v>
      </c>
      <c r="B86" s="736"/>
      <c r="C86" s="736"/>
      <c r="D86" s="737" t="s">
        <v>183</v>
      </c>
      <c r="E86" s="455">
        <f>'29'!F86</f>
        <v>0</v>
      </c>
      <c r="F86" s="652"/>
      <c r="G86" s="710">
        <f t="shared" ref="G86:G90" si="7">F86-E86</f>
        <v>0</v>
      </c>
      <c r="H86" s="710">
        <f t="shared" ref="H86:H88" si="8">G86</f>
        <v>0</v>
      </c>
      <c r="I86" s="657"/>
      <c r="J86" s="712">
        <f>H86/DAY(B2)</f>
        <v>0</v>
      </c>
      <c r="K86" s="738"/>
      <c r="L86" s="739"/>
      <c r="O86" s="810"/>
    </row>
    <row r="87" spans="1:15" s="740" customFormat="1" ht="27.75" customHeight="1">
      <c r="A87" s="735" t="s">
        <v>95</v>
      </c>
      <c r="B87" s="736"/>
      <c r="C87" s="736"/>
      <c r="D87" s="737" t="s">
        <v>183</v>
      </c>
      <c r="E87" s="455">
        <f>'29'!F87</f>
        <v>0</v>
      </c>
      <c r="F87" s="652"/>
      <c r="G87" s="710">
        <f t="shared" si="7"/>
        <v>0</v>
      </c>
      <c r="H87" s="710">
        <f t="shared" si="8"/>
        <v>0</v>
      </c>
      <c r="I87" s="657"/>
      <c r="J87" s="712">
        <f>H87/DAY(B2)</f>
        <v>0</v>
      </c>
      <c r="K87" s="738"/>
      <c r="L87" s="739"/>
      <c r="O87" s="810"/>
    </row>
    <row r="88" spans="1:15" s="740" customFormat="1" ht="29.25">
      <c r="A88" s="735" t="s">
        <v>96</v>
      </c>
      <c r="B88" s="736"/>
      <c r="C88" s="736"/>
      <c r="D88" s="737" t="s">
        <v>183</v>
      </c>
      <c r="E88" s="455">
        <f>'29'!F88</f>
        <v>0</v>
      </c>
      <c r="F88" s="652"/>
      <c r="G88" s="710">
        <f t="shared" si="7"/>
        <v>0</v>
      </c>
      <c r="H88" s="710">
        <f t="shared" si="8"/>
        <v>0</v>
      </c>
      <c r="I88" s="657"/>
      <c r="J88" s="712">
        <f>H88/DAY(B2)</f>
        <v>0</v>
      </c>
      <c r="K88" s="738"/>
      <c r="L88" s="739"/>
      <c r="O88" s="810"/>
    </row>
    <row r="89" spans="1:15" s="740" customFormat="1" ht="29.25">
      <c r="A89" s="735" t="s">
        <v>204</v>
      </c>
      <c r="B89" s="736"/>
      <c r="C89" s="736"/>
      <c r="D89" s="737" t="s">
        <v>183</v>
      </c>
      <c r="E89" s="455">
        <f>'29'!F89</f>
        <v>0</v>
      </c>
      <c r="F89" s="652"/>
      <c r="G89" s="710">
        <f t="shared" si="7"/>
        <v>0</v>
      </c>
      <c r="H89" s="710">
        <f>G89</f>
        <v>0</v>
      </c>
      <c r="I89" s="657"/>
      <c r="J89" s="712">
        <f>H89/DAY(B2)</f>
        <v>0</v>
      </c>
      <c r="K89" s="738"/>
      <c r="L89" s="739"/>
      <c r="N89" s="783"/>
      <c r="O89" s="810"/>
    </row>
    <row r="90" spans="1:15" s="740" customFormat="1" ht="29.25">
      <c r="A90" s="735" t="s">
        <v>204</v>
      </c>
      <c r="B90" s="736"/>
      <c r="C90" s="736"/>
      <c r="D90" s="737" t="s">
        <v>183</v>
      </c>
      <c r="E90" s="455">
        <f>'29'!F90</f>
        <v>0</v>
      </c>
      <c r="F90" s="652"/>
      <c r="G90" s="710">
        <f t="shared" si="7"/>
        <v>0</v>
      </c>
      <c r="H90" s="710">
        <f>G90</f>
        <v>0</v>
      </c>
      <c r="I90" s="657"/>
      <c r="J90" s="712">
        <f>H90/DAY(B2)</f>
        <v>0</v>
      </c>
      <c r="K90" s="738"/>
      <c r="L90" s="739"/>
      <c r="N90" s="783"/>
      <c r="O90" s="810"/>
    </row>
    <row r="91" spans="1:15" s="379" customFormat="1" ht="29.2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O91" s="810"/>
    </row>
    <row r="92" spans="1:15" ht="27.75">
      <c r="A92" s="1541" t="s">
        <v>206</v>
      </c>
      <c r="B92" s="1542"/>
      <c r="C92" s="1542"/>
      <c r="D92" s="523" t="s">
        <v>144</v>
      </c>
      <c r="E92" s="455">
        <f>'29'!F92</f>
        <v>0</v>
      </c>
      <c r="F92" s="484"/>
      <c r="G92" s="473">
        <f t="shared" ref="G92:G93" si="9">F92-E92</f>
        <v>0</v>
      </c>
      <c r="H92" s="460">
        <f>G92+'29'!H92</f>
        <v>-239695</v>
      </c>
      <c r="I92" s="480"/>
      <c r="J92" s="553">
        <f>H92/DAY(B2)</f>
        <v>-7989.833333333333</v>
      </c>
      <c r="K92" s="429"/>
      <c r="L92" s="377"/>
      <c r="O92" s="810"/>
    </row>
    <row r="93" spans="1:15" ht="27.75">
      <c r="A93" s="1541" t="s">
        <v>207</v>
      </c>
      <c r="B93" s="1542"/>
      <c r="C93" s="1542"/>
      <c r="D93" s="523" t="s">
        <v>144</v>
      </c>
      <c r="E93" s="455">
        <f>'29'!F93</f>
        <v>0</v>
      </c>
      <c r="F93" s="484"/>
      <c r="G93" s="473">
        <f t="shared" si="9"/>
        <v>0</v>
      </c>
      <c r="H93" s="460">
        <f>G93+'29'!H93</f>
        <v>-175661</v>
      </c>
      <c r="I93" s="480"/>
      <c r="J93" s="553">
        <f>H93/DAY(B2)</f>
        <v>-5855.3666666666668</v>
      </c>
      <c r="K93" s="380"/>
      <c r="L93" s="377"/>
      <c r="O93" s="810"/>
    </row>
    <row r="94" spans="1:15" ht="29.25">
      <c r="A94" s="1543" t="s">
        <v>208</v>
      </c>
      <c r="B94" s="1544"/>
      <c r="C94" s="1544"/>
      <c r="D94" s="523"/>
      <c r="E94" s="455"/>
      <c r="F94" s="484"/>
      <c r="G94" s="473">
        <f>G92+G93</f>
        <v>0</v>
      </c>
      <c r="H94" s="460">
        <f>G94+'29'!H94</f>
        <v>-415622</v>
      </c>
      <c r="I94" s="480"/>
      <c r="J94" s="553">
        <f>H94/DAY(B2)</f>
        <v>-13854.066666666668</v>
      </c>
      <c r="K94" s="380"/>
      <c r="L94" s="377"/>
      <c r="O94" s="810"/>
    </row>
    <row r="95" spans="1:15" ht="27.75">
      <c r="A95" s="1541" t="s">
        <v>209</v>
      </c>
      <c r="B95" s="1542"/>
      <c r="C95" s="1542"/>
      <c r="D95" s="523" t="s">
        <v>144</v>
      </c>
      <c r="E95" s="455">
        <f>'29'!F95</f>
        <v>0</v>
      </c>
      <c r="F95" s="484"/>
      <c r="G95" s="473">
        <f t="shared" ref="G95:G99" si="10">F95-E95</f>
        <v>0</v>
      </c>
      <c r="H95" s="460">
        <f>G95+'29'!H95</f>
        <v>-408156</v>
      </c>
      <c r="I95" s="480"/>
      <c r="J95" s="553">
        <f>H95/DAY(B2)</f>
        <v>-13605.2</v>
      </c>
      <c r="K95" s="380"/>
      <c r="L95" s="377"/>
      <c r="O95" s="810"/>
    </row>
    <row r="96" spans="1:15" ht="27.75">
      <c r="A96" s="1148" t="s">
        <v>210</v>
      </c>
      <c r="B96" s="1149"/>
      <c r="C96" s="1149"/>
      <c r="D96" s="523" t="s">
        <v>144</v>
      </c>
      <c r="E96" s="455">
        <f>'29'!F96</f>
        <v>0</v>
      </c>
      <c r="F96" s="484"/>
      <c r="G96" s="473">
        <f t="shared" si="10"/>
        <v>0</v>
      </c>
      <c r="H96" s="460">
        <f>G96+'29'!H96</f>
        <v>-101332</v>
      </c>
      <c r="I96" s="480"/>
      <c r="J96" s="553">
        <f>H96/DAY(B2)</f>
        <v>-3377.7333333333331</v>
      </c>
      <c r="K96" s="427"/>
      <c r="L96" s="377"/>
      <c r="O96" s="810"/>
    </row>
    <row r="97" spans="1:15" ht="27.75">
      <c r="A97" s="1148" t="s">
        <v>211</v>
      </c>
      <c r="B97" s="1149"/>
      <c r="C97" s="1149"/>
      <c r="D97" s="523" t="s">
        <v>144</v>
      </c>
      <c r="E97" s="455">
        <f>'29'!F97</f>
        <v>0</v>
      </c>
      <c r="F97" s="484"/>
      <c r="G97" s="473">
        <f t="shared" si="10"/>
        <v>0</v>
      </c>
      <c r="H97" s="460">
        <f>G97+'29'!H97</f>
        <v>-96449</v>
      </c>
      <c r="I97" s="480"/>
      <c r="J97" s="553">
        <f>H97/DAY(B2)</f>
        <v>-3214.9666666666667</v>
      </c>
      <c r="K97" s="432"/>
      <c r="L97" s="377"/>
      <c r="O97" s="810"/>
    </row>
    <row r="98" spans="1:15" ht="27.75">
      <c r="A98" s="1148" t="s">
        <v>212</v>
      </c>
      <c r="B98" s="1149"/>
      <c r="C98" s="1149"/>
      <c r="D98" s="523" t="s">
        <v>144</v>
      </c>
      <c r="E98" s="455">
        <f>'29'!F98</f>
        <v>0</v>
      </c>
      <c r="F98" s="484"/>
      <c r="G98" s="473">
        <f t="shared" si="10"/>
        <v>0</v>
      </c>
      <c r="H98" s="460">
        <f>G98+'29'!H98</f>
        <v>-147608</v>
      </c>
      <c r="I98" s="480"/>
      <c r="J98" s="553">
        <f>H98/DAY(B2)</f>
        <v>-4920.2666666666664</v>
      </c>
      <c r="K98" s="380"/>
      <c r="L98" s="377"/>
      <c r="O98" s="810"/>
    </row>
    <row r="99" spans="1:15" ht="27.75">
      <c r="A99" s="1148" t="s">
        <v>213</v>
      </c>
      <c r="B99" s="1149"/>
      <c r="C99" s="1149"/>
      <c r="D99" s="523" t="s">
        <v>144</v>
      </c>
      <c r="E99" s="455">
        <f>'29'!F99</f>
        <v>0</v>
      </c>
      <c r="F99" s="484"/>
      <c r="G99" s="473">
        <f t="shared" si="10"/>
        <v>0</v>
      </c>
      <c r="H99" s="460">
        <f>G99+'29'!H99</f>
        <v>-6408</v>
      </c>
      <c r="I99" s="480"/>
      <c r="J99" s="553">
        <f>H99/DAY(B2)</f>
        <v>-213.6</v>
      </c>
      <c r="K99" s="380"/>
      <c r="L99" s="377"/>
      <c r="O99" s="810"/>
    </row>
    <row r="100" spans="1:15" ht="27.75">
      <c r="A100" s="1148" t="s">
        <v>214</v>
      </c>
      <c r="B100" s="1149"/>
      <c r="C100" s="1149"/>
      <c r="D100" s="523" t="s">
        <v>144</v>
      </c>
      <c r="E100" s="455">
        <f>'29'!F100</f>
        <v>0</v>
      </c>
      <c r="F100" s="484"/>
      <c r="G100" s="473">
        <f>F100-E100</f>
        <v>0</v>
      </c>
      <c r="H100" s="460">
        <f>G100+'29'!H100</f>
        <v>-4543</v>
      </c>
      <c r="I100" s="480"/>
      <c r="J100" s="553">
        <f>H100/DAY(B2)</f>
        <v>-151.43333333333334</v>
      </c>
      <c r="K100" s="380"/>
      <c r="L100" s="377"/>
      <c r="O100" s="810"/>
    </row>
    <row r="101" spans="1:15" ht="29.25">
      <c r="A101" s="1543" t="s">
        <v>216</v>
      </c>
      <c r="B101" s="1544"/>
      <c r="C101" s="1544"/>
      <c r="D101" s="524"/>
      <c r="E101" s="524"/>
      <c r="F101" s="524"/>
      <c r="G101" s="525">
        <f>SUM(G95:G100)</f>
        <v>0</v>
      </c>
      <c r="H101" s="460">
        <f>G101+'29'!H101</f>
        <v>-764496</v>
      </c>
      <c r="I101" s="526"/>
      <c r="J101" s="553">
        <f>H101/DAY(B2)</f>
        <v>-25483.200000000001</v>
      </c>
      <c r="K101" s="380"/>
      <c r="L101" s="377"/>
      <c r="O101" s="810"/>
    </row>
    <row r="102" spans="1:15" s="442" customFormat="1" ht="27">
      <c r="A102" s="608" t="s">
        <v>217</v>
      </c>
      <c r="B102" s="609"/>
      <c r="C102" s="609"/>
      <c r="D102" s="622"/>
      <c r="E102" s="527"/>
      <c r="F102" s="528"/>
      <c r="G102" s="529"/>
      <c r="H102" s="530"/>
      <c r="I102" s="531"/>
      <c r="J102" s="558"/>
      <c r="O102" s="810"/>
    </row>
    <row r="103" spans="1:15" s="442" customFormat="1" ht="27.75">
      <c r="A103" s="1550" t="s">
        <v>218</v>
      </c>
      <c r="B103" s="1551"/>
      <c r="C103" s="574"/>
      <c r="D103" s="623"/>
      <c r="E103" s="532"/>
      <c r="F103" s="532"/>
      <c r="G103" s="532"/>
      <c r="H103" s="533"/>
      <c r="I103" s="532"/>
      <c r="J103" s="559"/>
      <c r="O103" s="810"/>
    </row>
    <row r="104" spans="1:15" s="442" customFormat="1" ht="27.75">
      <c r="A104" s="1552" t="s">
        <v>219</v>
      </c>
      <c r="B104" s="1553"/>
      <c r="C104" s="1146"/>
      <c r="D104" s="623" t="s">
        <v>144</v>
      </c>
      <c r="E104" s="532">
        <f>'29'!F104</f>
        <v>0</v>
      </c>
      <c r="F104" s="532"/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2.6383333333333363</v>
      </c>
      <c r="O104" s="810"/>
    </row>
    <row r="105" spans="1:15" s="442" customFormat="1" ht="27.75">
      <c r="A105" s="1552" t="s">
        <v>77</v>
      </c>
      <c r="B105" s="1553"/>
      <c r="C105" s="1146"/>
      <c r="D105" s="623" t="s">
        <v>144</v>
      </c>
      <c r="E105" s="532">
        <f>'29'!F105</f>
        <v>0</v>
      </c>
      <c r="F105" s="534"/>
      <c r="G105" s="532">
        <f t="shared" ref="G105:G106" si="11">F105-E105</f>
        <v>0</v>
      </c>
      <c r="H105" s="533">
        <f>SUM(G105+'1'!G77)</f>
        <v>45</v>
      </c>
      <c r="I105" s="532"/>
      <c r="J105" s="559">
        <f>H105/DAY(B2)</f>
        <v>1.5</v>
      </c>
      <c r="O105" s="810"/>
    </row>
    <row r="106" spans="1:15" s="442" customFormat="1" ht="27.75">
      <c r="A106" s="1552" t="s">
        <v>78</v>
      </c>
      <c r="B106" s="1553"/>
      <c r="C106" s="1553"/>
      <c r="D106" s="623" t="s">
        <v>144</v>
      </c>
      <c r="E106" s="532">
        <f>'29'!F106</f>
        <v>0</v>
      </c>
      <c r="F106" s="532"/>
      <c r="G106" s="532">
        <f t="shared" si="11"/>
        <v>0</v>
      </c>
      <c r="H106" s="533">
        <f>SUM(G106+'1'!G78)</f>
        <v>390</v>
      </c>
      <c r="I106" s="532"/>
      <c r="J106" s="559">
        <f>H106/DAY(B2)</f>
        <v>13</v>
      </c>
      <c r="O106" s="810"/>
    </row>
    <row r="107" spans="1:15" s="442" customFormat="1" ht="27.75">
      <c r="A107" s="1568" t="s">
        <v>202</v>
      </c>
      <c r="B107" s="1569"/>
      <c r="C107" s="1146"/>
      <c r="D107" s="623"/>
      <c r="E107" s="532">
        <f>'29'!F107</f>
        <v>0</v>
      </c>
      <c r="F107" s="532"/>
      <c r="G107" s="532">
        <f>SUM(G104:G106)</f>
        <v>0</v>
      </c>
      <c r="H107" s="533">
        <f>SUM(G107+'1'!G79)</f>
        <v>192</v>
      </c>
      <c r="I107" s="532"/>
      <c r="J107" s="559">
        <f>H107/DAY(B2)</f>
        <v>6.4</v>
      </c>
      <c r="O107" s="810"/>
    </row>
    <row r="108" spans="1:15" s="442" customFormat="1" ht="27.75">
      <c r="A108" s="1570" t="s">
        <v>79</v>
      </c>
      <c r="B108" s="1571"/>
      <c r="C108" s="1146"/>
      <c r="D108" s="623" t="s">
        <v>144</v>
      </c>
      <c r="E108" s="532">
        <f>'29'!F108</f>
        <v>0</v>
      </c>
      <c r="F108" s="532"/>
      <c r="G108" s="532"/>
      <c r="H108" s="533"/>
      <c r="I108" s="532"/>
      <c r="J108" s="559"/>
      <c r="O108" s="810"/>
    </row>
    <row r="109" spans="1:15" s="442" customFormat="1" ht="27.75">
      <c r="A109" s="1552" t="s">
        <v>220</v>
      </c>
      <c r="B109" s="1553"/>
      <c r="C109" s="1146"/>
      <c r="D109" s="623" t="s">
        <v>144</v>
      </c>
      <c r="E109" s="532">
        <f>'29'!F109</f>
        <v>0</v>
      </c>
      <c r="F109" s="532"/>
      <c r="G109" s="532">
        <f>F109-E109</f>
        <v>0</v>
      </c>
      <c r="H109" s="533">
        <f>SUM(G109+'1'!G81)</f>
        <v>112.56000000005588</v>
      </c>
      <c r="I109" s="532"/>
      <c r="J109" s="559">
        <f>H109/DAY(B2)</f>
        <v>3.7520000000018627</v>
      </c>
      <c r="O109" s="810"/>
    </row>
    <row r="110" spans="1:15" s="442" customFormat="1" ht="27.75">
      <c r="A110" s="1552" t="s">
        <v>221</v>
      </c>
      <c r="B110" s="1553"/>
      <c r="C110" s="1146"/>
      <c r="D110" s="623" t="s">
        <v>144</v>
      </c>
      <c r="E110" s="532">
        <f>'29'!F110</f>
        <v>0</v>
      </c>
      <c r="F110" s="532"/>
      <c r="G110" s="532">
        <f t="shared" ref="G110:G111" si="12">F110-E110</f>
        <v>0</v>
      </c>
      <c r="H110" s="533">
        <f>SUM(G110+'1'!G82)</f>
        <v>18.169999999998254</v>
      </c>
      <c r="I110" s="532"/>
      <c r="J110" s="559">
        <f>H110/DAY(B2)</f>
        <v>0.60566666666660851</v>
      </c>
      <c r="O110" s="810"/>
    </row>
    <row r="111" spans="1:15" s="442" customFormat="1" ht="27.75">
      <c r="A111" s="1552" t="s">
        <v>222</v>
      </c>
      <c r="B111" s="1553"/>
      <c r="C111" s="1146"/>
      <c r="D111" s="623" t="s">
        <v>144</v>
      </c>
      <c r="E111" s="532">
        <f>'29'!F111</f>
        <v>0</v>
      </c>
      <c r="F111" s="532"/>
      <c r="G111" s="532">
        <f t="shared" si="12"/>
        <v>0</v>
      </c>
      <c r="H111" s="533">
        <f>SUM(G111+'1'!G83)</f>
        <v>520</v>
      </c>
      <c r="I111" s="532"/>
      <c r="J111" s="559">
        <f>H111/DAY(B2)</f>
        <v>17.333333333333332</v>
      </c>
      <c r="O111" s="810"/>
    </row>
    <row r="112" spans="1:15" s="442" customFormat="1" ht="27.75">
      <c r="A112" s="1572" t="s">
        <v>110</v>
      </c>
      <c r="B112" s="1573"/>
      <c r="C112" s="1146"/>
      <c r="D112" s="623"/>
      <c r="E112" s="532">
        <f>'29'!F112</f>
        <v>0</v>
      </c>
      <c r="F112" s="532"/>
      <c r="G112" s="532">
        <f>SUM(G109:G111)</f>
        <v>0</v>
      </c>
      <c r="H112" s="533">
        <f>SUM(G112+'1'!G84)</f>
        <v>690</v>
      </c>
      <c r="I112" s="532"/>
      <c r="J112" s="559">
        <f>H112/DAY(B2)</f>
        <v>23</v>
      </c>
      <c r="O112" s="810"/>
    </row>
    <row r="113" spans="1:15" s="442" customFormat="1" ht="27.75">
      <c r="A113" s="1570" t="s">
        <v>223</v>
      </c>
      <c r="B113" s="1571"/>
      <c r="C113" s="1146"/>
      <c r="D113" s="623"/>
      <c r="E113" s="532">
        <f>'29'!F113</f>
        <v>0</v>
      </c>
      <c r="F113" s="532"/>
      <c r="G113" s="532"/>
      <c r="H113" s="533"/>
      <c r="I113" s="532"/>
      <c r="J113" s="559">
        <f>H113/DAY(B2)</f>
        <v>0</v>
      </c>
      <c r="O113" s="810"/>
    </row>
    <row r="114" spans="1:15" s="442" customFormat="1" ht="27.75">
      <c r="A114" s="1552" t="s">
        <v>224</v>
      </c>
      <c r="B114" s="1553"/>
      <c r="C114" s="575"/>
      <c r="D114" s="623" t="s">
        <v>144</v>
      </c>
      <c r="E114" s="532">
        <f>'29'!F114</f>
        <v>0</v>
      </c>
      <c r="F114" s="534"/>
      <c r="G114" s="534">
        <f>F114-E114</f>
        <v>0</v>
      </c>
      <c r="H114" s="534">
        <f>SUM(G114+'1'!G91)</f>
        <v>0</v>
      </c>
      <c r="I114" s="532"/>
      <c r="J114" s="559">
        <f>H114/DAY(B2)</f>
        <v>0</v>
      </c>
      <c r="O114" s="810"/>
    </row>
    <row r="115" spans="1:15" s="442" customFormat="1" ht="27.75">
      <c r="A115" s="1552" t="s">
        <v>225</v>
      </c>
      <c r="B115" s="1553"/>
      <c r="C115" s="575"/>
      <c r="D115" s="623" t="s">
        <v>144</v>
      </c>
      <c r="E115" s="532">
        <f>'29'!F115</f>
        <v>0</v>
      </c>
      <c r="F115" s="534"/>
      <c r="G115" s="534">
        <f t="shared" ref="G115:G116" si="13">F115-E115</f>
        <v>0</v>
      </c>
      <c r="H115" s="534">
        <f>SUM(G115+'1'!G92)</f>
        <v>122</v>
      </c>
      <c r="I115" s="532"/>
      <c r="J115" s="559">
        <f>H115/DAY(B2)</f>
        <v>4.0666666666666664</v>
      </c>
      <c r="O115" s="810"/>
    </row>
    <row r="116" spans="1:15" s="442" customFormat="1" ht="27.75">
      <c r="A116" s="1552" t="s">
        <v>226</v>
      </c>
      <c r="B116" s="1553"/>
      <c r="C116" s="575"/>
      <c r="D116" s="623" t="s">
        <v>144</v>
      </c>
      <c r="E116" s="534"/>
      <c r="F116" s="534"/>
      <c r="G116" s="534">
        <f t="shared" si="13"/>
        <v>0</v>
      </c>
      <c r="H116" s="534">
        <f>SUM(G116+'1'!G93)</f>
        <v>144</v>
      </c>
      <c r="I116" s="532"/>
      <c r="J116" s="559">
        <f>H116/DAY(B2)</f>
        <v>4.8</v>
      </c>
      <c r="O116" s="810"/>
    </row>
    <row r="117" spans="1:15" s="445" customFormat="1" ht="27.75">
      <c r="A117" s="1568" t="s">
        <v>202</v>
      </c>
      <c r="B117" s="1569"/>
      <c r="C117" s="575"/>
      <c r="D117" s="624"/>
      <c r="E117" s="534"/>
      <c r="F117" s="534"/>
      <c r="G117" s="534">
        <f>SUM(G114:G116)</f>
        <v>0</v>
      </c>
      <c r="H117" s="534">
        <f>SUM(G117+'1'!G95)</f>
        <v>76</v>
      </c>
      <c r="I117" s="534"/>
      <c r="J117" s="559">
        <f>H117/DAY(B2)</f>
        <v>2.5333333333333332</v>
      </c>
      <c r="O117" s="810"/>
    </row>
    <row r="118" spans="1:15" s="446" customFormat="1" ht="27.75">
      <c r="A118" s="1574" t="s">
        <v>227</v>
      </c>
      <c r="B118" s="1575"/>
      <c r="C118" s="1145"/>
      <c r="D118" s="625" t="s">
        <v>144</v>
      </c>
      <c r="E118" s="535"/>
      <c r="F118" s="536"/>
      <c r="G118" s="536">
        <f>SUM(G19+G92)</f>
        <v>0</v>
      </c>
      <c r="H118" s="537">
        <f>SUM(G118+'1'!G96)</f>
        <v>13</v>
      </c>
      <c r="I118" s="535"/>
      <c r="J118" s="560">
        <f>H118/DAY(B2)</f>
        <v>0.43333333333333335</v>
      </c>
      <c r="O118" s="810"/>
    </row>
    <row r="119" spans="1:15" s="446" customFormat="1" ht="27.75">
      <c r="A119" s="1574" t="s">
        <v>228</v>
      </c>
      <c r="B119" s="1575"/>
      <c r="C119" s="1145"/>
      <c r="D119" s="625" t="s">
        <v>144</v>
      </c>
      <c r="E119" s="535"/>
      <c r="F119" s="536"/>
      <c r="G119" s="536">
        <f>SUM(G95,G96,G97,G99,G100)</f>
        <v>0</v>
      </c>
      <c r="H119" s="537">
        <f>SUM(G119+'1'!G98)</f>
        <v>70</v>
      </c>
      <c r="I119" s="535"/>
      <c r="J119" s="560">
        <f>H119/DAY(B2)</f>
        <v>2.3333333333333335</v>
      </c>
      <c r="O119" s="810"/>
    </row>
    <row r="120" spans="1:15" s="446" customFormat="1" ht="27.75">
      <c r="A120" s="1574" t="s">
        <v>229</v>
      </c>
      <c r="B120" s="1575"/>
      <c r="C120" s="1145"/>
      <c r="D120" s="625" t="s">
        <v>144</v>
      </c>
      <c r="E120" s="535"/>
      <c r="F120" s="534"/>
      <c r="G120" s="534">
        <f>SUM(G112)</f>
        <v>0</v>
      </c>
      <c r="H120" s="537">
        <f>SUM(G120+'1'!G100)</f>
        <v>14</v>
      </c>
      <c r="I120" s="535"/>
      <c r="J120" s="560">
        <f>H120/DAY(B2)</f>
        <v>0.46666666666666667</v>
      </c>
      <c r="O120" s="810"/>
    </row>
    <row r="121" spans="1:15" s="442" customFormat="1" ht="27.75">
      <c r="A121" s="1576"/>
      <c r="B121" s="1577"/>
      <c r="C121" s="1146"/>
      <c r="D121" s="561"/>
      <c r="E121" s="561"/>
      <c r="F121" s="561"/>
      <c r="G121" s="561"/>
      <c r="H121" s="562"/>
      <c r="I121" s="561"/>
      <c r="J121" s="563"/>
      <c r="O121" s="810"/>
    </row>
    <row r="122" spans="1:15" ht="29.25">
      <c r="A122" s="1545" t="s">
        <v>230</v>
      </c>
      <c r="B122" s="1546"/>
      <c r="C122" s="1546"/>
      <c r="D122" s="472"/>
      <c r="E122" s="472"/>
      <c r="F122" s="472"/>
      <c r="G122" s="483"/>
      <c r="H122" s="483"/>
      <c r="I122" s="483"/>
      <c r="J122" s="564"/>
      <c r="K122" s="380"/>
      <c r="L122" s="377"/>
      <c r="O122" s="810"/>
    </row>
    <row r="123" spans="1:15" ht="21.95" customHeight="1">
      <c r="A123" s="1148" t="s">
        <v>231</v>
      </c>
      <c r="B123" s="1149"/>
      <c r="C123" s="1149"/>
      <c r="D123" s="523" t="s">
        <v>141</v>
      </c>
      <c r="E123" s="455">
        <f>'29'!F123</f>
        <v>0</v>
      </c>
      <c r="F123" s="478"/>
      <c r="G123" s="473">
        <f t="shared" ref="G123:G127" si="14">F123-E123</f>
        <v>0</v>
      </c>
      <c r="H123" s="460">
        <f>G123+'29'!H123</f>
        <v>-811006.84</v>
      </c>
      <c r="I123" s="526"/>
      <c r="J123" s="553">
        <f>H123/DAY(B2)</f>
        <v>-27033.561333333331</v>
      </c>
      <c r="K123" s="380"/>
      <c r="L123" s="377"/>
      <c r="O123" s="810"/>
    </row>
    <row r="124" spans="1:15" ht="21.95" customHeight="1">
      <c r="A124" s="1148" t="s">
        <v>232</v>
      </c>
      <c r="B124" s="1149"/>
      <c r="C124" s="1149"/>
      <c r="D124" s="523" t="s">
        <v>141</v>
      </c>
      <c r="E124" s="455">
        <f>'29'!F124</f>
        <v>0</v>
      </c>
      <c r="F124" s="478"/>
      <c r="G124" s="473">
        <f t="shared" si="14"/>
        <v>0</v>
      </c>
      <c r="H124" s="460">
        <f>G124+'29'!H124</f>
        <v>-73583.399999999994</v>
      </c>
      <c r="I124" s="526"/>
      <c r="J124" s="553">
        <f>H124/DAY(B2)</f>
        <v>-2452.7799999999997</v>
      </c>
      <c r="K124" s="380"/>
      <c r="L124" s="377"/>
      <c r="O124" s="810"/>
    </row>
    <row r="125" spans="1:15" ht="21.95" customHeight="1">
      <c r="A125" s="1547" t="s">
        <v>233</v>
      </c>
      <c r="B125" s="1460"/>
      <c r="C125" s="1460"/>
      <c r="D125" s="523" t="s">
        <v>141</v>
      </c>
      <c r="E125" s="455">
        <f>'29'!F125</f>
        <v>0</v>
      </c>
      <c r="F125" s="478"/>
      <c r="G125" s="473">
        <f t="shared" si="14"/>
        <v>0</v>
      </c>
      <c r="H125" s="460">
        <f>G125+'29'!H125</f>
        <v>-139979.34</v>
      </c>
      <c r="I125" s="526"/>
      <c r="J125" s="553">
        <f>H125/DAY(B2)</f>
        <v>-4665.9780000000001</v>
      </c>
      <c r="K125" s="380"/>
      <c r="L125" s="377"/>
      <c r="O125" s="810"/>
    </row>
    <row r="126" spans="1:15" ht="21.95" customHeight="1">
      <c r="A126" s="610" t="s">
        <v>234</v>
      </c>
      <c r="B126" s="1149"/>
      <c r="C126" s="1149"/>
      <c r="D126" s="523" t="s">
        <v>141</v>
      </c>
      <c r="E126" s="455">
        <f>'29'!F126</f>
        <v>0</v>
      </c>
      <c r="F126" s="478"/>
      <c r="G126" s="473">
        <f t="shared" si="14"/>
        <v>0</v>
      </c>
      <c r="H126" s="460">
        <f>G126+'29'!H126</f>
        <v>-59306.9</v>
      </c>
      <c r="I126" s="526"/>
      <c r="J126" s="553">
        <f>H126/DAY(B2)</f>
        <v>-1976.8966666666668</v>
      </c>
      <c r="K126" s="380"/>
      <c r="L126" s="377"/>
      <c r="O126" s="810"/>
    </row>
    <row r="127" spans="1:15" ht="21.95" customHeight="1">
      <c r="A127" s="610" t="s">
        <v>235</v>
      </c>
      <c r="B127" s="1149"/>
      <c r="C127" s="1149"/>
      <c r="D127" s="523" t="s">
        <v>141</v>
      </c>
      <c r="E127" s="455">
        <f>'29'!F127</f>
        <v>0</v>
      </c>
      <c r="F127" s="478"/>
      <c r="G127" s="473">
        <f t="shared" si="14"/>
        <v>0</v>
      </c>
      <c r="H127" s="460">
        <f>G127+'29'!H127</f>
        <v>-8887.7999999999993</v>
      </c>
      <c r="I127" s="480"/>
      <c r="J127" s="553">
        <f>H127/DAY(B2)</f>
        <v>-296.26</v>
      </c>
      <c r="K127" s="380"/>
      <c r="L127" s="377"/>
      <c r="O127" s="810"/>
    </row>
    <row r="128" spans="1:15" s="281" customFormat="1" ht="21.75" customHeight="1">
      <c r="A128" s="610" t="s">
        <v>236</v>
      </c>
      <c r="B128" s="1149"/>
      <c r="C128" s="1149"/>
      <c r="D128" s="523"/>
      <c r="E128" s="455"/>
      <c r="F128" s="478"/>
      <c r="G128" s="473">
        <f>G15-SUM(G123:G127)</f>
        <v>0</v>
      </c>
      <c r="H128" s="460"/>
      <c r="I128" s="480"/>
      <c r="J128" s="553"/>
      <c r="K128" s="364"/>
      <c r="L128" s="292"/>
      <c r="O128" s="810"/>
    </row>
    <row r="129" spans="1:15" ht="29.25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O129" s="810"/>
    </row>
    <row r="130" spans="1:15" ht="27.75">
      <c r="A130" s="1148" t="s">
        <v>238</v>
      </c>
      <c r="B130" s="1149"/>
      <c r="C130" s="1149"/>
      <c r="D130" s="523" t="s">
        <v>239</v>
      </c>
      <c r="E130" s="455">
        <f>'29'!F130</f>
        <v>0</v>
      </c>
      <c r="F130" s="484"/>
      <c r="G130" s="473">
        <f t="shared" ref="G130:G140" si="15">F130-E130</f>
        <v>0</v>
      </c>
      <c r="H130" s="460">
        <f>G130+'29'!H130</f>
        <v>0</v>
      </c>
      <c r="I130" s="480"/>
      <c r="J130" s="553">
        <f>H130/DAY(B2)</f>
        <v>0</v>
      </c>
      <c r="O130" s="810"/>
    </row>
    <row r="131" spans="1:15" ht="27.75">
      <c r="A131" s="1148" t="s">
        <v>240</v>
      </c>
      <c r="B131" s="1149"/>
      <c r="C131" s="1149"/>
      <c r="D131" s="523" t="s">
        <v>239</v>
      </c>
      <c r="E131" s="455">
        <f>'29'!F131</f>
        <v>0</v>
      </c>
      <c r="F131" s="484"/>
      <c r="G131" s="473">
        <f t="shared" si="15"/>
        <v>0</v>
      </c>
      <c r="H131" s="460">
        <f>G131+'29'!H131</f>
        <v>0</v>
      </c>
      <c r="I131" s="480"/>
      <c r="J131" s="553">
        <f>H131/DAY(B2)</f>
        <v>0</v>
      </c>
      <c r="O131" s="810"/>
    </row>
    <row r="132" spans="1:15" ht="27.75">
      <c r="A132" s="1148" t="s">
        <v>241</v>
      </c>
      <c r="B132" s="1149"/>
      <c r="C132" s="1149"/>
      <c r="D132" s="523" t="s">
        <v>239</v>
      </c>
      <c r="E132" s="455">
        <f>'29'!F132</f>
        <v>0</v>
      </c>
      <c r="F132" s="542"/>
      <c r="G132" s="473">
        <f t="shared" si="15"/>
        <v>0</v>
      </c>
      <c r="H132" s="460">
        <f>G132+'29'!H132</f>
        <v>-38838.33</v>
      </c>
      <c r="I132" s="480"/>
      <c r="J132" s="553">
        <f>H132/DAY(B2)</f>
        <v>-1294.6110000000001</v>
      </c>
      <c r="O132" s="810"/>
    </row>
    <row r="133" spans="1:15" ht="27.75">
      <c r="A133" s="1148" t="s">
        <v>242</v>
      </c>
      <c r="B133" s="1149"/>
      <c r="C133" s="1149"/>
      <c r="D133" s="523" t="s">
        <v>239</v>
      </c>
      <c r="E133" s="455">
        <f>'29'!F133</f>
        <v>0</v>
      </c>
      <c r="F133" s="542"/>
      <c r="G133" s="473">
        <f t="shared" si="15"/>
        <v>0</v>
      </c>
      <c r="H133" s="460">
        <f>G133+'29'!H133</f>
        <v>-300</v>
      </c>
      <c r="I133" s="480">
        <f>G130+G131+G132+G133</f>
        <v>0</v>
      </c>
      <c r="J133" s="553">
        <f>H133/DAY(B2)</f>
        <v>-10</v>
      </c>
      <c r="O133" s="810"/>
    </row>
    <row r="134" spans="1:15" ht="27.75">
      <c r="A134" s="1148" t="s">
        <v>243</v>
      </c>
      <c r="B134" s="1149"/>
      <c r="C134" s="1149"/>
      <c r="D134" s="523" t="s">
        <v>239</v>
      </c>
      <c r="E134" s="455">
        <f>'29'!F134</f>
        <v>0</v>
      </c>
      <c r="F134" s="542"/>
      <c r="G134" s="473">
        <f t="shared" si="15"/>
        <v>0</v>
      </c>
      <c r="H134" s="460">
        <f>G134+'29'!H134</f>
        <v>-40778</v>
      </c>
      <c r="I134" s="480"/>
      <c r="J134" s="553">
        <f>H134/DAY(B2)</f>
        <v>-1359.2666666666667</v>
      </c>
      <c r="O134" s="810"/>
    </row>
    <row r="135" spans="1:15" ht="27.75">
      <c r="A135" s="1148" t="s">
        <v>244</v>
      </c>
      <c r="B135" s="1149"/>
      <c r="C135" s="1149"/>
      <c r="D135" s="523" t="s">
        <v>239</v>
      </c>
      <c r="E135" s="455">
        <f>'29'!F135</f>
        <v>0</v>
      </c>
      <c r="F135" s="542"/>
      <c r="G135" s="473">
        <f t="shared" si="15"/>
        <v>0</v>
      </c>
      <c r="H135" s="460">
        <f>G135+'29'!H135</f>
        <v>-32569.93</v>
      </c>
      <c r="I135" s="480"/>
      <c r="J135" s="553">
        <f>H135/DAY(B2)</f>
        <v>-1085.6643333333334</v>
      </c>
      <c r="O135" s="810"/>
    </row>
    <row r="136" spans="1:15" ht="27.75">
      <c r="A136" s="1148" t="s">
        <v>245</v>
      </c>
      <c r="B136" s="1149"/>
      <c r="C136" s="1149"/>
      <c r="D136" s="523" t="s">
        <v>239</v>
      </c>
      <c r="E136" s="455">
        <f>'29'!F136</f>
        <v>0</v>
      </c>
      <c r="F136" s="542"/>
      <c r="G136" s="473">
        <f t="shared" si="15"/>
        <v>0</v>
      </c>
      <c r="H136" s="460">
        <f>G136+'29'!H136</f>
        <v>-22222.21</v>
      </c>
      <c r="I136" s="480">
        <f>G134+G135+G136</f>
        <v>0</v>
      </c>
      <c r="J136" s="553">
        <f>H136/DAY(B2)</f>
        <v>-740.7403333333333</v>
      </c>
      <c r="O136" s="810"/>
    </row>
    <row r="137" spans="1:15" ht="27.75">
      <c r="A137" s="1148" t="s">
        <v>246</v>
      </c>
      <c r="B137" s="1149"/>
      <c r="C137" s="1149"/>
      <c r="D137" s="523" t="s">
        <v>239</v>
      </c>
      <c r="E137" s="455">
        <f>'29'!F137</f>
        <v>0</v>
      </c>
      <c r="F137" s="542"/>
      <c r="G137" s="473">
        <f t="shared" si="15"/>
        <v>0</v>
      </c>
      <c r="H137" s="460">
        <f>G137+'29'!H137</f>
        <v>-25036.31</v>
      </c>
      <c r="I137" s="480"/>
      <c r="J137" s="553">
        <f>H137/DAY(B2)</f>
        <v>-834.5436666666667</v>
      </c>
      <c r="O137" s="810"/>
    </row>
    <row r="138" spans="1:15" ht="27.75">
      <c r="A138" s="1148" t="s">
        <v>247</v>
      </c>
      <c r="B138" s="1149"/>
      <c r="C138" s="1149"/>
      <c r="D138" s="523" t="s">
        <v>239</v>
      </c>
      <c r="E138" s="455">
        <f>'29'!F138</f>
        <v>0</v>
      </c>
      <c r="F138" s="542"/>
      <c r="G138" s="473">
        <f t="shared" si="15"/>
        <v>0</v>
      </c>
      <c r="H138" s="460">
        <f>G138+'29'!H138</f>
        <v>-70223</v>
      </c>
      <c r="I138" s="480">
        <f>G137+G138</f>
        <v>0</v>
      </c>
      <c r="J138" s="553">
        <f>H138/DAY(B2)</f>
        <v>-2340.7666666666669</v>
      </c>
      <c r="O138" s="810"/>
    </row>
    <row r="139" spans="1:15" ht="27.75">
      <c r="A139" s="1148" t="s">
        <v>248</v>
      </c>
      <c r="B139" s="1149"/>
      <c r="C139" s="1149"/>
      <c r="D139" s="523" t="s">
        <v>239</v>
      </c>
      <c r="E139" s="455">
        <f>'29'!F139</f>
        <v>0</v>
      </c>
      <c r="F139" s="484"/>
      <c r="G139" s="473">
        <f t="shared" si="15"/>
        <v>0</v>
      </c>
      <c r="H139" s="460">
        <f>G139+'29'!H139</f>
        <v>-1423.14</v>
      </c>
      <c r="I139" s="543"/>
      <c r="J139" s="553">
        <f>H139/DAY(B2)</f>
        <v>-47.438000000000002</v>
      </c>
      <c r="O139" s="810"/>
    </row>
    <row r="140" spans="1:15" ht="27.75">
      <c r="A140" s="1148" t="s">
        <v>249</v>
      </c>
      <c r="B140" s="1149"/>
      <c r="C140" s="1149"/>
      <c r="D140" s="523" t="s">
        <v>239</v>
      </c>
      <c r="E140" s="455">
        <f>'29'!F140</f>
        <v>0</v>
      </c>
      <c r="F140" s="484"/>
      <c r="G140" s="473">
        <f t="shared" si="15"/>
        <v>0</v>
      </c>
      <c r="H140" s="460">
        <f>G140+'29'!H140</f>
        <v>-4334</v>
      </c>
      <c r="I140" s="543"/>
      <c r="J140" s="553">
        <f>H140/DAY(B2)</f>
        <v>-144.46666666666667</v>
      </c>
      <c r="O140" s="810"/>
    </row>
    <row r="141" spans="1:15" ht="21.95" customHeight="1">
      <c r="A141" s="1548" t="s">
        <v>250</v>
      </c>
      <c r="B141" s="1549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O141" s="810"/>
    </row>
    <row r="142" spans="1:15" ht="21.95" customHeight="1">
      <c r="A142" s="1541" t="s">
        <v>251</v>
      </c>
      <c r="B142" s="1542"/>
      <c r="C142" s="1542"/>
      <c r="D142" s="523" t="s">
        <v>132</v>
      </c>
      <c r="E142" s="523"/>
      <c r="F142" s="523"/>
      <c r="G142" s="460">
        <f>G35+G43+G49+G57</f>
        <v>0</v>
      </c>
      <c r="H142" s="460">
        <f>G142+'29'!H142</f>
        <v>-1789744.52</v>
      </c>
      <c r="I142" s="480"/>
      <c r="J142" s="553">
        <f>H142/DAY(B2)</f>
        <v>-59658.150666666668</v>
      </c>
      <c r="K142" s="380"/>
      <c r="L142" s="377"/>
      <c r="O142" s="810"/>
    </row>
    <row r="143" spans="1:15" ht="21.95" customHeight="1">
      <c r="A143" s="1541" t="s">
        <v>252</v>
      </c>
      <c r="B143" s="1542"/>
      <c r="C143" s="1542"/>
      <c r="D143" s="523" t="s">
        <v>24</v>
      </c>
      <c r="E143" s="511"/>
      <c r="F143" s="511"/>
      <c r="G143" s="544" t="e">
        <f>G142/G7</f>
        <v>#DIV/0!</v>
      </c>
      <c r="H143" s="460" t="e">
        <f>G143+'29'!H143</f>
        <v>#DIV/0!</v>
      </c>
      <c r="I143" s="545"/>
      <c r="J143" s="553" t="e">
        <f>H143/DAY(B2)</f>
        <v>#DIV/0!</v>
      </c>
      <c r="K143" s="380"/>
      <c r="L143" s="377"/>
      <c r="O143" s="810"/>
    </row>
    <row r="144" spans="1:15" ht="21.95" customHeight="1">
      <c r="A144" s="1541" t="s">
        <v>253</v>
      </c>
      <c r="B144" s="1542"/>
      <c r="C144" s="1542"/>
      <c r="D144" s="523" t="s">
        <v>132</v>
      </c>
      <c r="E144" s="455"/>
      <c r="F144" s="455"/>
      <c r="G144" s="460">
        <f>G41+G42+G55+G56</f>
        <v>0</v>
      </c>
      <c r="H144" s="460">
        <f>G144+'29'!H144</f>
        <v>-826647.94000000006</v>
      </c>
      <c r="I144" s="480"/>
      <c r="J144" s="553">
        <f>H144/DAY(B2)</f>
        <v>-27554.931333333334</v>
      </c>
      <c r="K144" s="380"/>
      <c r="L144" s="377"/>
      <c r="O144" s="810"/>
    </row>
    <row r="145" spans="1:15" ht="21.95" customHeight="1">
      <c r="A145" s="1541" t="s">
        <v>254</v>
      </c>
      <c r="B145" s="1542"/>
      <c r="C145" s="1542"/>
      <c r="D145" s="523" t="s">
        <v>24</v>
      </c>
      <c r="E145" s="455"/>
      <c r="F145" s="455"/>
      <c r="G145" s="544" t="e">
        <f>G144/G7</f>
        <v>#DIV/0!</v>
      </c>
      <c r="H145" s="460" t="e">
        <f>G145+'29'!H145</f>
        <v>#DIV/0!</v>
      </c>
      <c r="I145" s="545"/>
      <c r="J145" s="553" t="e">
        <f>H145/DAY(B2)</f>
        <v>#DIV/0!</v>
      </c>
      <c r="K145" s="380"/>
      <c r="L145" s="377"/>
      <c r="O145" s="810"/>
    </row>
    <row r="146" spans="1:15" ht="21.95" customHeight="1">
      <c r="A146" s="1541" t="s">
        <v>255</v>
      </c>
      <c r="B146" s="1542"/>
      <c r="C146" s="1542"/>
      <c r="D146" s="523" t="s">
        <v>132</v>
      </c>
      <c r="E146" s="455"/>
      <c r="F146" s="455"/>
      <c r="G146" s="460">
        <f>G39+G53</f>
        <v>0</v>
      </c>
      <c r="H146" s="460">
        <f>G146+'29'!H146</f>
        <v>-322461.62</v>
      </c>
      <c r="I146" s="546"/>
      <c r="J146" s="553">
        <f>H146/DAY(B2)</f>
        <v>-10748.720666666666</v>
      </c>
      <c r="K146" s="380"/>
      <c r="L146" s="377"/>
      <c r="O146" s="810"/>
    </row>
    <row r="147" spans="1:15" ht="21.95" customHeight="1">
      <c r="A147" s="1541" t="s">
        <v>256</v>
      </c>
      <c r="B147" s="1542"/>
      <c r="C147" s="1542"/>
      <c r="D147" s="523" t="s">
        <v>24</v>
      </c>
      <c r="E147" s="455"/>
      <c r="F147" s="455"/>
      <c r="G147" s="544" t="e">
        <f>G146/G7</f>
        <v>#DIV/0!</v>
      </c>
      <c r="H147" s="460" t="e">
        <f>G147+'29'!H147</f>
        <v>#DIV/0!</v>
      </c>
      <c r="I147" s="546"/>
      <c r="J147" s="553" t="e">
        <f>H147/DAY(B2)</f>
        <v>#DIV/0!</v>
      </c>
      <c r="O147" s="810"/>
    </row>
    <row r="148" spans="1:15" ht="21.95" customHeight="1">
      <c r="A148" s="1541" t="s">
        <v>257</v>
      </c>
      <c r="B148" s="1542"/>
      <c r="C148" s="1542"/>
      <c r="D148" s="523" t="s">
        <v>183</v>
      </c>
      <c r="E148" s="455"/>
      <c r="F148" s="455"/>
      <c r="G148" s="460">
        <f>G38+G52</f>
        <v>0</v>
      </c>
      <c r="H148" s="460">
        <f>G148+'29'!H148</f>
        <v>-551726.20000000007</v>
      </c>
      <c r="I148" s="480"/>
      <c r="J148" s="553">
        <f>H148/DAY(B2)</f>
        <v>-18390.873333333337</v>
      </c>
      <c r="K148" s="381"/>
      <c r="O148" s="810"/>
    </row>
    <row r="149" spans="1:15" ht="21.95" customHeight="1">
      <c r="A149" s="1541" t="s">
        <v>258</v>
      </c>
      <c r="B149" s="1542"/>
      <c r="C149" s="1542"/>
      <c r="D149" s="523" t="s">
        <v>24</v>
      </c>
      <c r="E149" s="455"/>
      <c r="F149" s="455"/>
      <c r="G149" s="544" t="e">
        <f>G148/G7</f>
        <v>#DIV/0!</v>
      </c>
      <c r="H149" s="460" t="e">
        <f>G149+'29'!H149</f>
        <v>#DIV/0!</v>
      </c>
      <c r="I149" s="546"/>
      <c r="J149" s="553" t="e">
        <f>H149/DAY(B2)</f>
        <v>#DIV/0!</v>
      </c>
      <c r="O149" s="810"/>
    </row>
    <row r="150" spans="1:15" ht="21.95" customHeight="1">
      <c r="A150" s="1541" t="s">
        <v>259</v>
      </c>
      <c r="B150" s="1542"/>
      <c r="C150" s="1542"/>
      <c r="D150" s="523" t="s">
        <v>183</v>
      </c>
      <c r="E150" s="455"/>
      <c r="F150" s="455"/>
      <c r="G150" s="460">
        <f>G36+G50</f>
        <v>0</v>
      </c>
      <c r="H150" s="460">
        <f>G150+'29'!H150</f>
        <v>-698908.60000000009</v>
      </c>
      <c r="I150" s="546"/>
      <c r="J150" s="553">
        <f>H150/DAY(B2)</f>
        <v>-23296.953333333335</v>
      </c>
      <c r="O150" s="810"/>
    </row>
    <row r="151" spans="1:15" ht="21.95" customHeight="1">
      <c r="A151" s="1541" t="s">
        <v>260</v>
      </c>
      <c r="B151" s="1542"/>
      <c r="C151" s="1542"/>
      <c r="D151" s="523" t="s">
        <v>24</v>
      </c>
      <c r="E151" s="455"/>
      <c r="F151" s="455"/>
      <c r="G151" s="544" t="e">
        <f>G150/G7</f>
        <v>#DIV/0!</v>
      </c>
      <c r="H151" s="460" t="e">
        <f>G151+'29'!H151</f>
        <v>#DIV/0!</v>
      </c>
      <c r="I151" s="480"/>
      <c r="J151" s="553" t="e">
        <f>H151/DAY(B2)</f>
        <v>#DIV/0!</v>
      </c>
      <c r="O151" s="810"/>
    </row>
    <row r="152" spans="1:15" ht="27.75">
      <c r="A152" s="1541" t="s">
        <v>261</v>
      </c>
      <c r="B152" s="1542"/>
      <c r="C152" s="1542"/>
      <c r="D152" s="523" t="s">
        <v>183</v>
      </c>
      <c r="E152" s="455"/>
      <c r="F152" s="455"/>
      <c r="G152" s="460">
        <f>G37+G51</f>
        <v>0</v>
      </c>
      <c r="H152" s="460">
        <f>G152+'29'!H152</f>
        <v>-116945.84000000001</v>
      </c>
      <c r="I152" s="480"/>
      <c r="J152" s="553">
        <f>H152/DAY(B2)</f>
        <v>-3898.1946666666672</v>
      </c>
      <c r="O152" s="810"/>
    </row>
    <row r="153" spans="1:15" ht="28.5" thickBot="1">
      <c r="A153" s="1539" t="s">
        <v>262</v>
      </c>
      <c r="B153" s="1540"/>
      <c r="C153" s="1540"/>
      <c r="D153" s="626" t="s">
        <v>24</v>
      </c>
      <c r="E153" s="566"/>
      <c r="F153" s="566"/>
      <c r="G153" s="567" t="e">
        <f>G152/G7</f>
        <v>#DIV/0!</v>
      </c>
      <c r="H153" s="568" t="e">
        <f>G153+'29'!H153</f>
        <v>#DIV/0!</v>
      </c>
      <c r="I153" s="569"/>
      <c r="J153" s="570" t="e">
        <f>H153/DAY(B2)</f>
        <v>#DIV/0!</v>
      </c>
      <c r="O153" s="810"/>
    </row>
    <row r="154" spans="1:15" ht="29.25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</row>
    <row r="160" spans="1:15" ht="21.95" customHeight="1">
      <c r="A160" s="790" t="s">
        <v>263</v>
      </c>
      <c r="B160" s="791"/>
      <c r="C160" s="791"/>
      <c r="D160" s="511" t="s">
        <v>187</v>
      </c>
      <c r="E160" s="455">
        <f>'29'!F160</f>
        <v>28266.89</v>
      </c>
      <c r="F160" s="663">
        <v>28347.759999999998</v>
      </c>
      <c r="G160" s="473">
        <f t="shared" ref="G160:G163" si="16">F160-E160</f>
        <v>80.869999999998981</v>
      </c>
    </row>
    <row r="161" spans="1:7" ht="21.95" customHeight="1">
      <c r="A161" s="790" t="s">
        <v>264</v>
      </c>
      <c r="B161" s="791"/>
      <c r="C161" s="791"/>
      <c r="D161" s="511" t="s">
        <v>187</v>
      </c>
      <c r="E161" s="455">
        <f>'29'!F161</f>
        <v>41680.800000000003</v>
      </c>
      <c r="F161" s="663">
        <v>42121.97</v>
      </c>
      <c r="G161" s="473">
        <f t="shared" si="16"/>
        <v>441.16999999999825</v>
      </c>
    </row>
    <row r="162" spans="1:7" ht="21.95" customHeight="1">
      <c r="A162" s="790" t="s">
        <v>265</v>
      </c>
      <c r="B162" s="791"/>
      <c r="C162" s="791"/>
      <c r="D162" s="511" t="s">
        <v>187</v>
      </c>
      <c r="E162" s="455">
        <f>'29'!F162</f>
        <v>12319</v>
      </c>
      <c r="F162" s="663">
        <v>12556</v>
      </c>
      <c r="G162" s="473">
        <f t="shared" si="16"/>
        <v>237</v>
      </c>
    </row>
    <row r="163" spans="1:7" ht="21.95" customHeight="1">
      <c r="A163" s="790" t="s">
        <v>266</v>
      </c>
      <c r="B163" s="791"/>
      <c r="C163" s="791"/>
      <c r="D163" s="511" t="s">
        <v>187</v>
      </c>
      <c r="E163" s="455">
        <f>'29'!F163</f>
        <v>4960.6400000000003</v>
      </c>
      <c r="F163" s="663">
        <v>4976.6499999999996</v>
      </c>
      <c r="G163" s="473">
        <f t="shared" si="16"/>
        <v>16.009999999999309</v>
      </c>
    </row>
    <row r="164" spans="1:7" ht="21.95" customHeight="1">
      <c r="A164" s="792" t="s">
        <v>98</v>
      </c>
      <c r="B164" s="605"/>
      <c r="C164" s="605"/>
      <c r="D164" s="511" t="s">
        <v>187</v>
      </c>
      <c r="E164" s="514">
        <f>E62</f>
        <v>0</v>
      </c>
      <c r="F164" s="514">
        <f>F62</f>
        <v>0</v>
      </c>
      <c r="G164" s="473">
        <f t="shared" ref="G164:G171" si="17">F164-E164</f>
        <v>0</v>
      </c>
    </row>
    <row r="165" spans="1:7" ht="21.95" customHeight="1">
      <c r="A165" s="792" t="s">
        <v>188</v>
      </c>
      <c r="B165" s="605"/>
      <c r="C165" s="605"/>
      <c r="D165" s="511" t="s">
        <v>187</v>
      </c>
      <c r="E165" s="514">
        <f t="shared" ref="E165:E171" si="18">E63</f>
        <v>0</v>
      </c>
      <c r="F165" s="514">
        <f t="shared" ref="F165:F171" si="19">F63</f>
        <v>0</v>
      </c>
      <c r="G165" s="473">
        <f t="shared" si="17"/>
        <v>0</v>
      </c>
    </row>
    <row r="166" spans="1:7" ht="21.95" customHeight="1">
      <c r="A166" s="1460" t="s">
        <v>99</v>
      </c>
      <c r="B166" s="1460"/>
      <c r="C166" s="1460"/>
      <c r="D166" s="523" t="s">
        <v>187</v>
      </c>
      <c r="E166" s="514">
        <f t="shared" si="18"/>
        <v>0</v>
      </c>
      <c r="F166" s="514">
        <f t="shared" si="19"/>
        <v>0</v>
      </c>
      <c r="G166" s="473">
        <f t="shared" si="17"/>
        <v>0</v>
      </c>
    </row>
    <row r="167" spans="1:7" ht="21.95" customHeight="1">
      <c r="A167" s="1460" t="s">
        <v>100</v>
      </c>
      <c r="B167" s="1460"/>
      <c r="C167" s="1460"/>
      <c r="D167" s="523" t="s">
        <v>187</v>
      </c>
      <c r="E167" s="514">
        <f t="shared" si="18"/>
        <v>0</v>
      </c>
      <c r="F167" s="514">
        <f t="shared" si="19"/>
        <v>0</v>
      </c>
      <c r="G167" s="473">
        <f t="shared" si="17"/>
        <v>0</v>
      </c>
    </row>
    <row r="168" spans="1:7" ht="21.95" customHeight="1">
      <c r="A168" s="1460" t="s">
        <v>101</v>
      </c>
      <c r="B168" s="1460"/>
      <c r="C168" s="1460"/>
      <c r="D168" s="523" t="s">
        <v>187</v>
      </c>
      <c r="E168" s="514">
        <f t="shared" si="18"/>
        <v>0</v>
      </c>
      <c r="F168" s="514">
        <f t="shared" si="19"/>
        <v>0</v>
      </c>
      <c r="G168" s="473">
        <f t="shared" si="17"/>
        <v>0</v>
      </c>
    </row>
    <row r="169" spans="1:7" ht="21.95" customHeight="1">
      <c r="A169" s="1460" t="s">
        <v>102</v>
      </c>
      <c r="B169" s="1460"/>
      <c r="C169" s="1460"/>
      <c r="D169" s="523" t="s">
        <v>187</v>
      </c>
      <c r="E169" s="514">
        <f t="shared" si="18"/>
        <v>0</v>
      </c>
      <c r="F169" s="514">
        <f t="shared" si="19"/>
        <v>0</v>
      </c>
      <c r="G169" s="473">
        <f t="shared" si="17"/>
        <v>0</v>
      </c>
    </row>
    <row r="170" spans="1:7" ht="21.95" customHeight="1">
      <c r="A170" s="1460" t="s">
        <v>103</v>
      </c>
      <c r="B170" s="1460"/>
      <c r="C170" s="1460"/>
      <c r="D170" s="523" t="s">
        <v>187</v>
      </c>
      <c r="E170" s="514">
        <f t="shared" si="18"/>
        <v>0</v>
      </c>
      <c r="F170" s="514">
        <f t="shared" si="19"/>
        <v>0</v>
      </c>
      <c r="G170" s="473">
        <f t="shared" si="17"/>
        <v>0</v>
      </c>
    </row>
    <row r="171" spans="1:7" ht="21.95" customHeight="1">
      <c r="A171" s="1460" t="s">
        <v>104</v>
      </c>
      <c r="B171" s="1460"/>
      <c r="C171" s="1460"/>
      <c r="D171" s="523" t="s">
        <v>187</v>
      </c>
      <c r="E171" s="514">
        <f t="shared" si="18"/>
        <v>0</v>
      </c>
      <c r="F171" s="514">
        <f t="shared" si="19"/>
        <v>0</v>
      </c>
      <c r="G171" s="473">
        <f t="shared" si="17"/>
        <v>0</v>
      </c>
    </row>
    <row r="172" spans="1:7" ht="21.95" customHeight="1">
      <c r="G172" s="540">
        <f>SUM(G160:G171)</f>
        <v>775.04999999999654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topLeftCell="A142" zoomScale="55" zoomScaleNormal="75" zoomScaleSheetLayoutView="55" workbookViewId="0">
      <selection activeCell="F104" activeCellId="9" sqref="F7:F12 F15 F18:F19 F22:F23 F35:F46 F49:F58 F62:F69 F72:F90 F92:F100 F104:F140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23" t="s">
        <v>117</v>
      </c>
      <c r="B1" s="1424"/>
      <c r="C1" s="1424"/>
      <c r="D1" s="1424"/>
      <c r="E1" s="1424"/>
      <c r="F1" s="1424"/>
      <c r="G1" s="1424"/>
      <c r="H1" s="1424"/>
      <c r="I1" s="1424"/>
      <c r="J1" s="1425"/>
    </row>
    <row r="2" spans="1:15" s="281" customFormat="1" ht="27">
      <c r="A2" s="576" t="s">
        <v>268</v>
      </c>
      <c r="B2" s="1120">
        <v>44227</v>
      </c>
      <c r="C2" s="1150" t="s">
        <v>69</v>
      </c>
      <c r="D2" s="612">
        <v>0.59599999999999997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150" t="s">
        <v>120</v>
      </c>
      <c r="D3" s="613">
        <v>24</v>
      </c>
      <c r="E3" s="1432" t="s">
        <v>121</v>
      </c>
      <c r="F3" s="1433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150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</row>
    <row r="5" spans="1:15" ht="21.95" customHeight="1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ht="21.95" customHeight="1">
      <c r="A6" s="1426" t="s">
        <v>130</v>
      </c>
      <c r="B6" s="1427"/>
      <c r="C6" s="1428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21.95" customHeight="1" thickBot="1">
      <c r="A7" s="579" t="s">
        <v>131</v>
      </c>
      <c r="B7" s="580"/>
      <c r="C7" s="580"/>
      <c r="D7" s="523" t="s">
        <v>132</v>
      </c>
      <c r="E7" s="455">
        <f>'30'!F7</f>
        <v>0</v>
      </c>
      <c r="F7" s="455"/>
      <c r="G7" s="473">
        <f>F7-E7</f>
        <v>0</v>
      </c>
      <c r="H7" s="460">
        <f>G7+'30'!H7</f>
        <v>-4445077</v>
      </c>
      <c r="I7" s="474">
        <f>'1'!I7</f>
        <v>12000</v>
      </c>
      <c r="J7" s="553">
        <f>H7/DAY(B2)</f>
        <v>-143389.5806451613</v>
      </c>
      <c r="K7" s="550">
        <v>1375467</v>
      </c>
      <c r="L7" s="377"/>
      <c r="N7" s="440">
        <f>F7-'1'!E7</f>
        <v>-4445077</v>
      </c>
      <c r="O7" s="382"/>
    </row>
    <row r="8" spans="1:15" ht="21.95" customHeight="1" thickBot="1">
      <c r="A8" s="581" t="s">
        <v>133</v>
      </c>
      <c r="B8" s="582"/>
      <c r="C8" s="583"/>
      <c r="D8" s="618" t="s">
        <v>25</v>
      </c>
      <c r="E8" s="455">
        <f>'30'!F8</f>
        <v>0</v>
      </c>
      <c r="F8" s="475"/>
      <c r="G8" s="476">
        <f>F8-E8</f>
        <v>0</v>
      </c>
      <c r="H8" s="460">
        <f>G8+'30'!H8</f>
        <v>-4473156</v>
      </c>
      <c r="I8" s="477"/>
      <c r="J8" s="553">
        <f>H8/DAY(B2)</f>
        <v>-144295.35483870967</v>
      </c>
      <c r="K8" s="550">
        <v>1715917</v>
      </c>
      <c r="L8" s="425">
        <v>1728480</v>
      </c>
      <c r="M8" s="440">
        <f>L8-K8</f>
        <v>12563</v>
      </c>
      <c r="N8" s="440">
        <f>F8-'1'!E8</f>
        <v>-4473156</v>
      </c>
      <c r="O8" s="382"/>
    </row>
    <row r="9" spans="1:15" ht="21.95" customHeight="1">
      <c r="A9" s="584" t="s">
        <v>134</v>
      </c>
      <c r="B9" s="585"/>
      <c r="C9" s="585"/>
      <c r="D9" s="523" t="s">
        <v>132</v>
      </c>
      <c r="E9" s="455">
        <f>'30'!F9</f>
        <v>0</v>
      </c>
      <c r="F9" s="478"/>
      <c r="G9" s="473">
        <f>F9-E9</f>
        <v>0</v>
      </c>
      <c r="H9" s="460">
        <f>G9+'30'!H9</f>
        <v>-86909.010000000009</v>
      </c>
      <c r="I9" s="479">
        <f>I7-J7</f>
        <v>155389.5806451613</v>
      </c>
      <c r="J9" s="553">
        <f>H9/DAY(B2)</f>
        <v>-2803.5164516129034</v>
      </c>
      <c r="K9" s="428">
        <f>K8-100</f>
        <v>1715817</v>
      </c>
      <c r="L9" s="377"/>
      <c r="N9" s="440">
        <f>F9-'1'!E9</f>
        <v>-86909.01</v>
      </c>
      <c r="O9" s="382"/>
    </row>
    <row r="10" spans="1:15" ht="21.95" customHeight="1">
      <c r="A10" s="579" t="s">
        <v>135</v>
      </c>
      <c r="B10" s="580"/>
      <c r="C10" s="580"/>
      <c r="D10" s="523" t="s">
        <v>132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334533.49</v>
      </c>
      <c r="I10" s="480"/>
      <c r="J10" s="553">
        <f>H10/DAY(B2)</f>
        <v>10791.402903225806</v>
      </c>
      <c r="K10" s="428"/>
      <c r="L10" s="377"/>
      <c r="N10" s="440">
        <f>F10-'1'!E10</f>
        <v>-25695.56</v>
      </c>
      <c r="O10" s="382"/>
    </row>
    <row r="11" spans="1:15" ht="21.95" customHeight="1">
      <c r="A11" s="579" t="s">
        <v>136</v>
      </c>
      <c r="B11" s="580"/>
      <c r="C11" s="580"/>
      <c r="D11" s="523" t="s">
        <v>132</v>
      </c>
      <c r="E11" s="455">
        <f>'30'!F11</f>
        <v>0</v>
      </c>
      <c r="F11" s="455"/>
      <c r="G11" s="473">
        <f t="shared" si="0"/>
        <v>0</v>
      </c>
      <c r="H11" s="460">
        <f>G11+'30'!H11</f>
        <v>-37000</v>
      </c>
      <c r="I11" s="480"/>
      <c r="J11" s="553">
        <f>H11/DAY(B2)</f>
        <v>-1193.5483870967741</v>
      </c>
      <c r="K11" s="428"/>
      <c r="L11" s="377"/>
      <c r="N11" s="440">
        <f>F11-'1'!E11</f>
        <v>-37000</v>
      </c>
      <c r="O11" s="382"/>
    </row>
    <row r="12" spans="1:15" ht="21.95" customHeight="1">
      <c r="A12" s="579" t="s">
        <v>137</v>
      </c>
      <c r="B12" s="580"/>
      <c r="C12" s="580"/>
      <c r="D12" s="523" t="s">
        <v>132</v>
      </c>
      <c r="E12" s="455">
        <f>'30'!F12</f>
        <v>0</v>
      </c>
      <c r="F12" s="478"/>
      <c r="G12" s="473">
        <f t="shared" si="0"/>
        <v>0</v>
      </c>
      <c r="H12" s="460">
        <f>G12+'30'!H12</f>
        <v>-40010</v>
      </c>
      <c r="I12" s="480"/>
      <c r="J12" s="553">
        <f>H12/DAY(B2)</f>
        <v>-1290.6451612903227</v>
      </c>
      <c r="K12" s="428"/>
      <c r="L12" s="377"/>
      <c r="N12" s="440">
        <f>F12-'1'!E12</f>
        <v>-40010</v>
      </c>
      <c r="O12" s="382"/>
    </row>
    <row r="13" spans="1:15" ht="21.95" customHeight="1">
      <c r="A13" s="586" t="s">
        <v>138</v>
      </c>
      <c r="B13" s="587"/>
      <c r="C13" s="587"/>
      <c r="D13" s="523"/>
      <c r="E13" s="455"/>
      <c r="F13" s="455"/>
      <c r="G13" s="481">
        <f>G9+G10+G11+G12</f>
        <v>0</v>
      </c>
      <c r="H13" s="460">
        <f>G13+'30'!H13</f>
        <v>149620.47999999998</v>
      </c>
      <c r="I13" s="482">
        <f>G7-G13</f>
        <v>0</v>
      </c>
      <c r="J13" s="553">
        <f>H13/DAY(B2)</f>
        <v>4826.4670967741931</v>
      </c>
      <c r="K13" s="428"/>
      <c r="L13" s="377"/>
      <c r="N13" s="440">
        <f>F13-'1'!E13</f>
        <v>0</v>
      </c>
      <c r="O13" s="382"/>
    </row>
    <row r="14" spans="1:15" ht="29.25">
      <c r="A14" s="1429" t="s">
        <v>139</v>
      </c>
      <c r="B14" s="1430"/>
      <c r="C14" s="1431"/>
      <c r="D14" s="472"/>
      <c r="E14" s="472"/>
      <c r="F14" s="472"/>
      <c r="G14" s="483"/>
      <c r="H14" s="472"/>
      <c r="I14" s="472"/>
      <c r="J14" s="552"/>
      <c r="K14" s="429"/>
      <c r="L14" s="377"/>
      <c r="N14" s="440">
        <f>F14-'1'!E14</f>
        <v>0</v>
      </c>
      <c r="O14" s="382"/>
    </row>
    <row r="15" spans="1:15" ht="21.95" customHeight="1">
      <c r="A15" s="1148" t="s">
        <v>140</v>
      </c>
      <c r="B15" s="590"/>
      <c r="C15" s="590"/>
      <c r="D15" s="523" t="s">
        <v>141</v>
      </c>
      <c r="E15" s="455">
        <f>'30'!F15</f>
        <v>0</v>
      </c>
      <c r="F15" s="484"/>
      <c r="G15" s="473">
        <f>(F15-E15)</f>
        <v>0</v>
      </c>
      <c r="H15" s="460">
        <f>'30'!H15</f>
        <v>-1619878.61</v>
      </c>
      <c r="I15" s="474">
        <f>'1'!I15</f>
        <v>800</v>
      </c>
      <c r="J15" s="553">
        <f>H15/DAY(B2)</f>
        <v>-52254.148709677422</v>
      </c>
      <c r="K15" s="428"/>
      <c r="L15" s="377"/>
      <c r="N15" s="440">
        <f>F15-'1'!E15</f>
        <v>-1619878.61</v>
      </c>
      <c r="O15" s="382"/>
    </row>
    <row r="16" spans="1:15" ht="21.95" customHeight="1">
      <c r="A16" s="588"/>
      <c r="B16" s="589"/>
      <c r="C16" s="589"/>
      <c r="D16" s="524"/>
      <c r="E16" s="485"/>
      <c r="F16" s="485"/>
      <c r="G16" s="473"/>
      <c r="H16" s="486"/>
      <c r="I16" s="487">
        <f>I15-J15</f>
        <v>53054.148709677422</v>
      </c>
      <c r="J16" s="554"/>
      <c r="K16" s="428"/>
      <c r="L16" s="377"/>
      <c r="N16" s="440">
        <f>F16-'1'!E16</f>
        <v>0</v>
      </c>
      <c r="O16" s="382"/>
    </row>
    <row r="17" spans="1:15" ht="29.25">
      <c r="A17" s="1429" t="s">
        <v>142</v>
      </c>
      <c r="B17" s="1430"/>
      <c r="C17" s="1431"/>
      <c r="D17" s="472"/>
      <c r="E17" s="472"/>
      <c r="F17" s="472"/>
      <c r="G17" s="488"/>
      <c r="H17" s="472"/>
      <c r="I17" s="472"/>
      <c r="J17" s="552"/>
      <c r="K17" s="428"/>
      <c r="L17" s="377"/>
      <c r="N17" s="440">
        <f>F17-'1'!E17</f>
        <v>0</v>
      </c>
      <c r="O17" s="382"/>
    </row>
    <row r="18" spans="1:15" ht="27.75">
      <c r="A18" s="1411" t="s">
        <v>143</v>
      </c>
      <c r="B18" s="1412"/>
      <c r="C18" s="1413"/>
      <c r="D18" s="523" t="s">
        <v>144</v>
      </c>
      <c r="E18" s="455">
        <f>'30'!F18</f>
        <v>0</v>
      </c>
      <c r="F18" s="484"/>
      <c r="G18" s="481">
        <f>F18*10</f>
        <v>0</v>
      </c>
      <c r="H18" s="460">
        <f>G18+'30'!H18</f>
        <v>3150</v>
      </c>
      <c r="I18" s="474">
        <f>'1'!I18</f>
        <v>65</v>
      </c>
      <c r="J18" s="553">
        <f>H18/DAY(B2)</f>
        <v>101.61290322580645</v>
      </c>
      <c r="K18" s="428"/>
      <c r="L18" s="377"/>
      <c r="N18" s="440">
        <f>F18-'1'!E18</f>
        <v>-17</v>
      </c>
      <c r="O18" s="382"/>
    </row>
    <row r="19" spans="1:15" ht="27.75">
      <c r="A19" s="1411" t="s">
        <v>71</v>
      </c>
      <c r="B19" s="1412"/>
      <c r="C19" s="1413"/>
      <c r="D19" s="523" t="s">
        <v>144</v>
      </c>
      <c r="E19" s="455">
        <f>'30'!F19</f>
        <v>0</v>
      </c>
      <c r="F19" s="484"/>
      <c r="G19" s="473">
        <f t="shared" ref="G19" si="1">F19-E19</f>
        <v>0</v>
      </c>
      <c r="H19" s="460">
        <f>G19+'30'!H19</f>
        <v>-134468</v>
      </c>
      <c r="I19" s="489"/>
      <c r="J19" s="553">
        <f>H19/DAY(B2)</f>
        <v>-4337.677419354839</v>
      </c>
      <c r="K19" s="428"/>
      <c r="L19" s="377"/>
      <c r="N19" s="440">
        <f>F19-'1'!E19</f>
        <v>-134468</v>
      </c>
      <c r="O19" s="382"/>
    </row>
    <row r="20" spans="1:15" ht="29.25">
      <c r="A20" s="586" t="s">
        <v>145</v>
      </c>
      <c r="B20" s="587"/>
      <c r="C20" s="587"/>
      <c r="D20" s="490"/>
      <c r="E20" s="490"/>
      <c r="F20" s="490"/>
      <c r="G20" s="491">
        <f>G18+G19</f>
        <v>0</v>
      </c>
      <c r="H20" s="460">
        <f>G20+'30'!H20</f>
        <v>-131318</v>
      </c>
      <c r="I20" s="492">
        <f>I18-J20</f>
        <v>4301.0645161290322</v>
      </c>
      <c r="J20" s="553">
        <f>H20/DAY(B2)</f>
        <v>-4236.0645161290322</v>
      </c>
      <c r="K20" s="428"/>
      <c r="L20" s="377"/>
      <c r="N20" s="440">
        <f>F20-'1'!E20</f>
        <v>0</v>
      </c>
      <c r="O20" s="382"/>
    </row>
    <row r="21" spans="1:15" ht="29.25">
      <c r="A21" s="1429" t="s">
        <v>146</v>
      </c>
      <c r="B21" s="1430"/>
      <c r="C21" s="1431"/>
      <c r="D21" s="472"/>
      <c r="E21" s="472"/>
      <c r="F21" s="472"/>
      <c r="G21" s="483"/>
      <c r="H21" s="472"/>
      <c r="I21" s="472"/>
      <c r="J21" s="552"/>
      <c r="K21" s="428"/>
      <c r="L21" s="377"/>
      <c r="N21" s="440">
        <f>F21-'1'!E21</f>
        <v>0</v>
      </c>
      <c r="O21" s="382"/>
    </row>
    <row r="22" spans="1:15" ht="29.25">
      <c r="A22" s="1148" t="s">
        <v>147</v>
      </c>
      <c r="B22" s="590"/>
      <c r="C22" s="590"/>
      <c r="D22" s="523" t="s">
        <v>148</v>
      </c>
      <c r="E22" s="484">
        <f>'30'!F22</f>
        <v>0</v>
      </c>
      <c r="F22" s="484"/>
      <c r="G22" s="481">
        <f t="shared" ref="G22" si="2">(F22-E22)</f>
        <v>0</v>
      </c>
      <c r="H22" s="460">
        <f>'30'!H22</f>
        <v>-2640</v>
      </c>
      <c r="I22" s="480"/>
      <c r="J22" s="553">
        <f>H22/DAY(B2)</f>
        <v>-85.161290322580641</v>
      </c>
      <c r="K22" s="428"/>
      <c r="L22" s="377"/>
      <c r="N22" s="440">
        <f>F22-'1'!E22</f>
        <v>-2970</v>
      </c>
      <c r="O22" s="382"/>
    </row>
    <row r="23" spans="1:15" ht="29.25">
      <c r="A23" s="1148" t="s">
        <v>149</v>
      </c>
      <c r="B23" s="590"/>
      <c r="C23" s="590"/>
      <c r="D23" s="523" t="s">
        <v>148</v>
      </c>
      <c r="E23" s="484">
        <f>'30'!F23</f>
        <v>0</v>
      </c>
      <c r="F23" s="484"/>
      <c r="G23" s="481">
        <v>0</v>
      </c>
      <c r="H23" s="460">
        <f>'30'!H23</f>
        <v>0</v>
      </c>
      <c r="I23" s="480"/>
      <c r="J23" s="553">
        <f>H23/DAY(B2)</f>
        <v>0</v>
      </c>
      <c r="K23" s="428"/>
      <c r="L23" s="377"/>
      <c r="N23" s="440">
        <f>F23-'1'!E23</f>
        <v>-1900</v>
      </c>
      <c r="O23" s="382"/>
    </row>
    <row r="24" spans="1:15" ht="29.25">
      <c r="A24" s="591" t="s">
        <v>150</v>
      </c>
      <c r="B24" s="592"/>
      <c r="C24" s="592"/>
      <c r="D24" s="511" t="s">
        <v>148</v>
      </c>
      <c r="E24" s="484">
        <f>'30'!F24</f>
        <v>4250</v>
      </c>
      <c r="F24" s="493">
        <v>4250</v>
      </c>
      <c r="G24" s="481">
        <v>0</v>
      </c>
      <c r="H24" s="460">
        <f>'30'!H24</f>
        <v>1290</v>
      </c>
      <c r="I24" s="480"/>
      <c r="J24" s="553">
        <f>H24/DAY(B2)</f>
        <v>41.612903225806448</v>
      </c>
      <c r="K24" s="428"/>
      <c r="L24" s="377"/>
      <c r="N24" s="440">
        <f>F24-'1'!E24</f>
        <v>-720</v>
      </c>
      <c r="O24" s="382"/>
    </row>
    <row r="25" spans="1:15" s="442" customFormat="1" ht="27">
      <c r="A25" s="1434" t="s">
        <v>151</v>
      </c>
      <c r="B25" s="1435"/>
      <c r="C25" s="1436"/>
      <c r="D25" s="471"/>
      <c r="E25" s="471"/>
      <c r="F25" s="471"/>
      <c r="G25" s="494"/>
      <c r="H25" s="495"/>
      <c r="I25" s="496"/>
      <c r="J25" s="555"/>
      <c r="K25" s="373"/>
      <c r="L25" s="443"/>
      <c r="N25" s="440">
        <f>F25-'1'!E25</f>
        <v>0</v>
      </c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97"/>
      <c r="G26" s="498"/>
      <c r="H26" s="460"/>
      <c r="I26" s="499"/>
      <c r="J26" s="553"/>
      <c r="K26" s="374"/>
      <c r="L26" s="443"/>
      <c r="N26" s="440">
        <f>F26-'1'!E26</f>
        <v>0</v>
      </c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0">
        <f>G8</f>
        <v>0</v>
      </c>
      <c r="F27" s="501">
        <v>9</v>
      </c>
      <c r="G27" s="502">
        <f>E27*F27</f>
        <v>0</v>
      </c>
      <c r="H27" s="460">
        <f>G27+'30'!H27</f>
        <v>-40258404</v>
      </c>
      <c r="I27" s="503"/>
      <c r="J27" s="553">
        <f>H27/DAY(B2)</f>
        <v>-1298658.1935483871</v>
      </c>
      <c r="K27" s="373"/>
      <c r="L27" s="443"/>
      <c r="N27" s="440">
        <f>F27-'1'!E27</f>
        <v>-22545</v>
      </c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4">
        <f>G15</f>
        <v>0</v>
      </c>
      <c r="F28" s="501">
        <v>43.5</v>
      </c>
      <c r="G28" s="502">
        <f>E28*F28</f>
        <v>0</v>
      </c>
      <c r="H28" s="460">
        <f>G28+'30'!H28</f>
        <v>-70399129.856800005</v>
      </c>
      <c r="I28" s="505"/>
      <c r="J28" s="553">
        <f>H28/DAY(B2)</f>
        <v>-2270939.6728000003</v>
      </c>
      <c r="K28" s="373"/>
      <c r="L28" s="443"/>
      <c r="N28" s="440">
        <f>F28-'1'!E28</f>
        <v>-837.13199999998324</v>
      </c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89010</v>
      </c>
      <c r="I29" s="505"/>
      <c r="J29" s="553">
        <f>H29/DAY(B2)</f>
        <v>2871.2903225806454</v>
      </c>
      <c r="K29" s="373"/>
      <c r="L29" s="443"/>
      <c r="N29" s="440">
        <f>F29-'1'!E29</f>
        <v>69</v>
      </c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6">
        <f>G19</f>
        <v>0</v>
      </c>
      <c r="F30" s="501">
        <v>134</v>
      </c>
      <c r="G30" s="502">
        <f>E30*F30</f>
        <v>0</v>
      </c>
      <c r="H30" s="460">
        <f>G30+'30'!H30</f>
        <v>-18001024</v>
      </c>
      <c r="I30" s="505"/>
      <c r="J30" s="553">
        <f>H30/DAY(B2)</f>
        <v>-580678.19354838715</v>
      </c>
      <c r="K30" s="373"/>
      <c r="L30" s="443"/>
      <c r="N30" s="440">
        <f>F30-'1'!E30</f>
        <v>-46</v>
      </c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6">
        <f>G18</f>
        <v>0</v>
      </c>
      <c r="F31" s="501">
        <v>80</v>
      </c>
      <c r="G31" s="502">
        <f>E31*F31</f>
        <v>0</v>
      </c>
      <c r="H31" s="460">
        <f>G31+'30'!H31</f>
        <v>241440</v>
      </c>
      <c r="I31" s="505"/>
      <c r="J31" s="553"/>
      <c r="K31" s="373"/>
      <c r="L31" s="443"/>
      <c r="N31" s="440">
        <f>F31-'1'!E31</f>
        <v>32</v>
      </c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07"/>
      <c r="G32" s="508">
        <f>G27+G28+G29+G30+G31</f>
        <v>0</v>
      </c>
      <c r="H32" s="460">
        <f>G32+'30'!H32</f>
        <v>-128328107.8568</v>
      </c>
      <c r="I32" s="509"/>
      <c r="J32" s="553">
        <f>H32/DAY(B2)</f>
        <v>-4139616.3824774195</v>
      </c>
      <c r="K32" s="373"/>
      <c r="L32" s="443"/>
      <c r="N32" s="440">
        <f>F32-'1'!E32</f>
        <v>0</v>
      </c>
      <c r="O32" s="382"/>
    </row>
    <row r="33" spans="1:15" ht="25.5" customHeight="1">
      <c r="A33" s="1437" t="s">
        <v>162</v>
      </c>
      <c r="B33" s="1438"/>
      <c r="C33" s="1438"/>
      <c r="D33" s="1438"/>
      <c r="E33" s="1438"/>
      <c r="F33" s="1438"/>
      <c r="G33" s="1438"/>
      <c r="H33" s="1438"/>
      <c r="I33" s="1438"/>
      <c r="J33" s="1439"/>
      <c r="K33" s="428"/>
      <c r="L33" s="377"/>
      <c r="N33" s="440">
        <f>F33-'1'!E33</f>
        <v>0</v>
      </c>
      <c r="O33" s="382"/>
    </row>
    <row r="34" spans="1:15" ht="29.2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440">
        <f>F34-'1'!E34</f>
        <v>0</v>
      </c>
      <c r="O34" s="382"/>
    </row>
    <row r="35" spans="1:15" ht="29.25">
      <c r="A35" s="579" t="s">
        <v>164</v>
      </c>
      <c r="B35" s="580"/>
      <c r="C35" s="580"/>
      <c r="D35" s="523" t="s">
        <v>132</v>
      </c>
      <c r="E35" s="455">
        <f>'30'!F35</f>
        <v>0</v>
      </c>
      <c r="F35" s="510"/>
      <c r="G35" s="473">
        <f t="shared" ref="G35:G46" si="3">F35-E35</f>
        <v>0</v>
      </c>
      <c r="H35" s="460">
        <f>G35+'30'!H35</f>
        <v>-693087.59</v>
      </c>
      <c r="I35" s="455"/>
      <c r="J35" s="553">
        <f>H35/DAY(B2)</f>
        <v>-22357.664193548386</v>
      </c>
      <c r="K35" s="428"/>
      <c r="L35" s="377"/>
      <c r="N35" s="440">
        <f>F35-'1'!E35</f>
        <v>-693087.59</v>
      </c>
      <c r="O35" s="382"/>
    </row>
    <row r="36" spans="1:15" ht="29.25">
      <c r="A36" s="579" t="s">
        <v>165</v>
      </c>
      <c r="B36" s="580"/>
      <c r="C36" s="580"/>
      <c r="D36" s="523" t="s">
        <v>132</v>
      </c>
      <c r="E36" s="455">
        <f>'30'!F36</f>
        <v>0</v>
      </c>
      <c r="F36" s="510"/>
      <c r="G36" s="473">
        <f t="shared" si="3"/>
        <v>0</v>
      </c>
      <c r="H36" s="460">
        <f>G36+'30'!H36</f>
        <v>-296445.57</v>
      </c>
      <c r="I36" s="455"/>
      <c r="J36" s="553">
        <f>H36/DAY(B2)</f>
        <v>-9562.7603225806452</v>
      </c>
      <c r="K36" s="428"/>
      <c r="L36" s="377"/>
      <c r="N36" s="440">
        <f>F36-'1'!E36</f>
        <v>-296445.57</v>
      </c>
      <c r="O36" s="629"/>
    </row>
    <row r="37" spans="1:15" ht="29.25">
      <c r="A37" s="579" t="s">
        <v>166</v>
      </c>
      <c r="B37" s="580"/>
      <c r="C37" s="580"/>
      <c r="D37" s="523" t="s">
        <v>132</v>
      </c>
      <c r="E37" s="455">
        <f>'30'!F37</f>
        <v>0</v>
      </c>
      <c r="F37" s="510"/>
      <c r="G37" s="473">
        <f t="shared" si="3"/>
        <v>0</v>
      </c>
      <c r="H37" s="460">
        <f>G37+'30'!H37</f>
        <v>3105.0800000000017</v>
      </c>
      <c r="I37" s="455"/>
      <c r="J37" s="553">
        <f>H37/DAY(B2)</f>
        <v>100.16387096774199</v>
      </c>
      <c r="K37" s="428"/>
      <c r="L37" s="377"/>
      <c r="N37" s="440">
        <f>F37-'1'!E37</f>
        <v>-32062.1</v>
      </c>
      <c r="O37" s="630"/>
    </row>
    <row r="38" spans="1:15" ht="29.25">
      <c r="A38" s="579" t="s">
        <v>167</v>
      </c>
      <c r="B38" s="580"/>
      <c r="C38" s="580"/>
      <c r="D38" s="523" t="s">
        <v>132</v>
      </c>
      <c r="E38" s="455">
        <v>0</v>
      </c>
      <c r="F38" s="469"/>
      <c r="G38" s="473">
        <f t="shared" si="3"/>
        <v>0</v>
      </c>
      <c r="H38" s="460">
        <f>G38+'30'!H38</f>
        <v>-43813.49</v>
      </c>
      <c r="I38" s="455"/>
      <c r="J38" s="553">
        <f>H38/DAY(B2)</f>
        <v>-1413.3383870967741</v>
      </c>
      <c r="K38" s="428"/>
      <c r="L38" s="377"/>
      <c r="N38" s="440">
        <f>F38-'1'!E38</f>
        <v>-43813.49</v>
      </c>
      <c r="O38" s="382"/>
    </row>
    <row r="39" spans="1:15" ht="29.25">
      <c r="A39" s="579" t="s">
        <v>168</v>
      </c>
      <c r="B39" s="580"/>
      <c r="C39" s="580"/>
      <c r="D39" s="523" t="s">
        <v>132</v>
      </c>
      <c r="E39" s="455">
        <f>'30'!F39</f>
        <v>0</v>
      </c>
      <c r="F39" s="510"/>
      <c r="G39" s="473">
        <f t="shared" si="3"/>
        <v>0</v>
      </c>
      <c r="H39" s="460">
        <f>G39+'30'!H39</f>
        <v>9392.890000000014</v>
      </c>
      <c r="I39" s="455"/>
      <c r="J39" s="553">
        <f>H39/DAY(B2)</f>
        <v>302.99645161290368</v>
      </c>
      <c r="K39" s="428"/>
      <c r="L39" s="377"/>
      <c r="N39" s="440">
        <f>F39-'1'!E39</f>
        <v>-90675.39</v>
      </c>
      <c r="O39" s="382"/>
    </row>
    <row r="40" spans="1:15" ht="29.25">
      <c r="A40" s="600" t="s">
        <v>169</v>
      </c>
      <c r="B40" s="601"/>
      <c r="C40" s="601"/>
      <c r="D40" s="523" t="s">
        <v>132</v>
      </c>
      <c r="E40" s="455">
        <f>'30'!F40</f>
        <v>0</v>
      </c>
      <c r="F40" s="510"/>
      <c r="G40" s="473">
        <f t="shared" si="3"/>
        <v>0</v>
      </c>
      <c r="H40" s="460">
        <f>G40+'30'!H40</f>
        <v>-0.06</v>
      </c>
      <c r="I40" s="455"/>
      <c r="J40" s="553">
        <f>H40/DAY(B2)</f>
        <v>-1.9354838709677419E-3</v>
      </c>
      <c r="K40" s="429"/>
      <c r="L40" s="377"/>
      <c r="N40" s="440">
        <f>F40-'1'!E40</f>
        <v>0</v>
      </c>
      <c r="O40" s="382"/>
    </row>
    <row r="41" spans="1:15" ht="29.25">
      <c r="A41" s="579" t="s">
        <v>170</v>
      </c>
      <c r="B41" s="580"/>
      <c r="C41" s="580"/>
      <c r="D41" s="523" t="s">
        <v>132</v>
      </c>
      <c r="E41" s="455">
        <f>'30'!F41</f>
        <v>0</v>
      </c>
      <c r="F41" s="510"/>
      <c r="G41" s="473">
        <f t="shared" si="3"/>
        <v>0</v>
      </c>
      <c r="H41" s="460">
        <f>G41+'30'!H41</f>
        <v>-63882.37</v>
      </c>
      <c r="I41" s="455"/>
      <c r="J41" s="553">
        <f>H41/DAY(B2)</f>
        <v>-2060.7216129032258</v>
      </c>
      <c r="K41" s="428"/>
      <c r="L41" s="377"/>
      <c r="N41" s="440">
        <f>H41-'1'!E41</f>
        <v>-127764.74</v>
      </c>
      <c r="O41" s="382"/>
    </row>
    <row r="42" spans="1:15" ht="29.25">
      <c r="A42" s="579" t="s">
        <v>171</v>
      </c>
      <c r="B42" s="580"/>
      <c r="C42" s="580"/>
      <c r="D42" s="523" t="s">
        <v>132</v>
      </c>
      <c r="E42" s="455">
        <f>'30'!F42</f>
        <v>0</v>
      </c>
      <c r="F42" s="510"/>
      <c r="G42" s="473">
        <f t="shared" si="3"/>
        <v>0</v>
      </c>
      <c r="H42" s="460">
        <f>G42+'30'!H42</f>
        <v>-59128.85</v>
      </c>
      <c r="I42" s="455"/>
      <c r="J42" s="553">
        <f>H42/DAY(B2)</f>
        <v>-1907.382258064516</v>
      </c>
      <c r="K42" s="428"/>
      <c r="L42" s="377"/>
      <c r="N42" s="440">
        <f>H42-'1'!E42</f>
        <v>-118257.7</v>
      </c>
      <c r="O42" s="382"/>
    </row>
    <row r="43" spans="1:15" ht="29.25">
      <c r="A43" s="579" t="s">
        <v>172</v>
      </c>
      <c r="B43" s="580"/>
      <c r="C43" s="580"/>
      <c r="D43" s="523" t="s">
        <v>132</v>
      </c>
      <c r="E43" s="455">
        <f>'30'!F43</f>
        <v>0</v>
      </c>
      <c r="F43" s="510"/>
      <c r="G43" s="473">
        <f t="shared" si="3"/>
        <v>0</v>
      </c>
      <c r="H43" s="460">
        <f>G43+'30'!H43</f>
        <v>-825897.83</v>
      </c>
      <c r="I43" s="455"/>
      <c r="J43" s="553">
        <f>H43/DAY(B2)</f>
        <v>-26641.865483870966</v>
      </c>
      <c r="K43" s="428"/>
      <c r="L43" s="377"/>
      <c r="N43" s="440">
        <f>H43-'1'!E43</f>
        <v>-1651795.66</v>
      </c>
      <c r="O43" s="382"/>
    </row>
    <row r="44" spans="1:15" ht="29.25">
      <c r="A44" s="579" t="s">
        <v>173</v>
      </c>
      <c r="B44" s="580"/>
      <c r="C44" s="580"/>
      <c r="D44" s="523" t="s">
        <v>132</v>
      </c>
      <c r="E44" s="455">
        <f>'30'!F44</f>
        <v>0</v>
      </c>
      <c r="F44" s="510"/>
      <c r="G44" s="473">
        <f t="shared" si="3"/>
        <v>0</v>
      </c>
      <c r="H44" s="460">
        <f>G44+'30'!H44</f>
        <v>0</v>
      </c>
      <c r="I44" s="455"/>
      <c r="J44" s="553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9" t="s">
        <v>174</v>
      </c>
      <c r="B45" s="580"/>
      <c r="C45" s="580"/>
      <c r="D45" s="523" t="s">
        <v>132</v>
      </c>
      <c r="E45" s="455">
        <f>'30'!F45</f>
        <v>0</v>
      </c>
      <c r="F45" s="510"/>
      <c r="G45" s="473">
        <f t="shared" si="3"/>
        <v>0</v>
      </c>
      <c r="H45" s="460">
        <f>G45+'30'!H45</f>
        <v>-614</v>
      </c>
      <c r="I45" s="455"/>
      <c r="J45" s="553">
        <f>H45/DAY(B2)</f>
        <v>-19.806451612903224</v>
      </c>
      <c r="K45" s="428"/>
      <c r="L45" s="377"/>
      <c r="N45" s="440">
        <f>H45-'1'!E45</f>
        <v>-1228</v>
      </c>
      <c r="O45" s="382"/>
    </row>
    <row r="46" spans="1:15" ht="29.25">
      <c r="A46" s="579" t="s">
        <v>175</v>
      </c>
      <c r="B46" s="580"/>
      <c r="C46" s="580"/>
      <c r="D46" s="523" t="s">
        <v>132</v>
      </c>
      <c r="E46" s="455">
        <f>'30'!F46</f>
        <v>0</v>
      </c>
      <c r="F46" s="510"/>
      <c r="G46" s="473">
        <f t="shared" si="3"/>
        <v>0</v>
      </c>
      <c r="H46" s="460">
        <f>G46+'30'!H46</f>
        <v>-187</v>
      </c>
      <c r="I46" s="455"/>
      <c r="J46" s="553">
        <f>H46/DAY(B2)</f>
        <v>-6.032258064516129</v>
      </c>
      <c r="K46" s="428"/>
      <c r="L46" s="377"/>
      <c r="N46" s="440">
        <f>H46-'1'!E46</f>
        <v>-374</v>
      </c>
      <c r="O46" s="382"/>
    </row>
    <row r="47" spans="1:15" ht="29.2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0</v>
      </c>
      <c r="H47" s="460">
        <f>G47+'30'!H47</f>
        <v>-1970558.79</v>
      </c>
      <c r="I47" s="455"/>
      <c r="J47" s="553">
        <f>H47/DAY(B2)</f>
        <v>-63566.412580645163</v>
      </c>
      <c r="K47" s="428"/>
      <c r="L47" s="377"/>
      <c r="N47" s="440">
        <f>H47-'1'!E47</f>
        <v>-1970558.79</v>
      </c>
      <c r="O47" s="382"/>
    </row>
    <row r="48" spans="1:15" ht="29.2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440">
        <f>H48-'1'!E48</f>
        <v>0</v>
      </c>
      <c r="O48" s="382"/>
    </row>
    <row r="49" spans="1:15" ht="29.25">
      <c r="A49" s="579" t="s">
        <v>164</v>
      </c>
      <c r="B49" s="602"/>
      <c r="C49" s="602"/>
      <c r="D49" s="523" t="s">
        <v>132</v>
      </c>
      <c r="E49" s="455">
        <f>'30'!F49</f>
        <v>0</v>
      </c>
      <c r="F49" s="510"/>
      <c r="G49" s="473">
        <f t="shared" ref="G49:G58" si="4">F49-E49</f>
        <v>0</v>
      </c>
      <c r="H49" s="460">
        <f>G49+'30'!H49</f>
        <v>-260732.13</v>
      </c>
      <c r="I49" s="455"/>
      <c r="J49" s="553">
        <f>H49/DAY(B2)</f>
        <v>-8410.713870967742</v>
      </c>
      <c r="K49" s="428"/>
      <c r="L49" s="377"/>
      <c r="N49" s="440">
        <f>H49-'1'!E49</f>
        <v>-521464.26</v>
      </c>
      <c r="O49" s="382"/>
    </row>
    <row r="50" spans="1:15" ht="29.25">
      <c r="A50" s="579" t="s">
        <v>178</v>
      </c>
      <c r="B50" s="602"/>
      <c r="C50" s="602"/>
      <c r="D50" s="523" t="s">
        <v>132</v>
      </c>
      <c r="E50" s="455">
        <f>'30'!F50</f>
        <v>0</v>
      </c>
      <c r="F50" s="510"/>
      <c r="G50" s="473">
        <f t="shared" si="4"/>
        <v>0</v>
      </c>
      <c r="H50" s="460">
        <f>G50+'30'!H50</f>
        <v>-403657.03</v>
      </c>
      <c r="I50" s="455"/>
      <c r="J50" s="553">
        <f>H50/DAY(B2)</f>
        <v>-13021.194516129033</v>
      </c>
      <c r="K50" s="428"/>
      <c r="L50" s="377"/>
      <c r="N50" s="440">
        <f>H50-'1'!E50</f>
        <v>-806120.06</v>
      </c>
      <c r="O50" s="382"/>
    </row>
    <row r="51" spans="1:15" ht="29.25">
      <c r="A51" s="579" t="s">
        <v>166</v>
      </c>
      <c r="B51" s="602"/>
      <c r="C51" s="602"/>
      <c r="D51" s="523" t="s">
        <v>132</v>
      </c>
      <c r="E51" s="455">
        <f>'30'!F51</f>
        <v>0</v>
      </c>
      <c r="F51" s="510"/>
      <c r="G51" s="473">
        <f t="shared" si="4"/>
        <v>0</v>
      </c>
      <c r="H51" s="460">
        <f>G51+'30'!H51</f>
        <v>-121599.92</v>
      </c>
      <c r="I51" s="455"/>
      <c r="J51" s="553">
        <f>H51/DAY(B2)</f>
        <v>-3922.578064516129</v>
      </c>
      <c r="K51" s="428"/>
      <c r="L51" s="377"/>
      <c r="N51" s="440">
        <f>H51-'1'!E51</f>
        <v>-241650.84</v>
      </c>
      <c r="O51" s="382"/>
    </row>
    <row r="52" spans="1:15" ht="29.25">
      <c r="A52" s="579" t="s">
        <v>179</v>
      </c>
      <c r="B52" s="602"/>
      <c r="C52" s="602"/>
      <c r="D52" s="523" t="s">
        <v>132</v>
      </c>
      <c r="E52" s="455">
        <f>'30'!F52</f>
        <v>0</v>
      </c>
      <c r="F52" s="510"/>
      <c r="G52" s="473">
        <f t="shared" si="4"/>
        <v>0</v>
      </c>
      <c r="H52" s="460">
        <f>G52+'30'!H52</f>
        <v>-509958.71</v>
      </c>
      <c r="I52" s="455"/>
      <c r="J52" s="553">
        <f>H52/DAY(B2)</f>
        <v>-16450.280967741935</v>
      </c>
      <c r="K52" s="428"/>
      <c r="L52" s="377"/>
      <c r="N52" s="440">
        <f>H52-'1'!E52</f>
        <v>-1017871.42</v>
      </c>
      <c r="O52" s="382"/>
    </row>
    <row r="53" spans="1:15" ht="29.25">
      <c r="A53" s="579" t="s">
        <v>168</v>
      </c>
      <c r="B53" s="602"/>
      <c r="C53" s="602"/>
      <c r="D53" s="523" t="s">
        <v>132</v>
      </c>
      <c r="E53" s="455">
        <f>'30'!F53</f>
        <v>0</v>
      </c>
      <c r="F53" s="510"/>
      <c r="G53" s="473">
        <f t="shared" si="4"/>
        <v>0</v>
      </c>
      <c r="H53" s="460">
        <f>G53+'30'!H53</f>
        <v>-336039.51</v>
      </c>
      <c r="I53" s="455"/>
      <c r="J53" s="553">
        <f>H53/DAY(B2)</f>
        <v>-10839.984193548387</v>
      </c>
      <c r="K53" s="428"/>
      <c r="L53" s="377"/>
      <c r="N53" s="440">
        <f>H53-'1'!E53</f>
        <v>-667894.02</v>
      </c>
      <c r="O53" s="382"/>
    </row>
    <row r="54" spans="1:15" ht="29.25">
      <c r="A54" s="579" t="s">
        <v>180</v>
      </c>
      <c r="B54" s="602"/>
      <c r="C54" s="602"/>
      <c r="D54" s="523" t="s">
        <v>132</v>
      </c>
      <c r="E54" s="455">
        <f>'30'!F54</f>
        <v>0</v>
      </c>
      <c r="F54" s="510"/>
      <c r="G54" s="473">
        <f t="shared" si="4"/>
        <v>0</v>
      </c>
      <c r="H54" s="460">
        <f>G54+'30'!H54</f>
        <v>-8095.5999999999995</v>
      </c>
      <c r="I54" s="455"/>
      <c r="J54" s="553">
        <f>H54/DAY(B2)</f>
        <v>-261.14838709677417</v>
      </c>
      <c r="K54" s="428"/>
      <c r="L54" s="377"/>
      <c r="N54" s="440">
        <f>H54-'1'!E54</f>
        <v>-16191.23</v>
      </c>
      <c r="O54" s="382"/>
    </row>
    <row r="55" spans="1:15" ht="29.25">
      <c r="A55" s="579" t="s">
        <v>181</v>
      </c>
      <c r="B55" s="602"/>
      <c r="C55" s="602"/>
      <c r="D55" s="523" t="s">
        <v>132</v>
      </c>
      <c r="E55" s="455">
        <f>'30'!F55</f>
        <v>0</v>
      </c>
      <c r="F55" s="510"/>
      <c r="G55" s="473">
        <f t="shared" si="4"/>
        <v>0</v>
      </c>
      <c r="H55" s="460">
        <f>G55+'30'!H55</f>
        <v>-122584.69</v>
      </c>
      <c r="I55" s="455"/>
      <c r="J55" s="553">
        <f>H55/DAY(B2)</f>
        <v>-3954.3448387096773</v>
      </c>
      <c r="K55" s="428"/>
      <c r="L55" s="377"/>
      <c r="N55" s="440">
        <f>H55-'1'!E55</f>
        <v>-240170.38</v>
      </c>
      <c r="O55" s="382"/>
    </row>
    <row r="56" spans="1:15" ht="29.25">
      <c r="A56" s="579" t="s">
        <v>182</v>
      </c>
      <c r="B56" s="602"/>
      <c r="C56" s="602"/>
      <c r="D56" s="523" t="s">
        <v>183</v>
      </c>
      <c r="E56" s="455">
        <f>'30'!F56</f>
        <v>0</v>
      </c>
      <c r="F56" s="510"/>
      <c r="G56" s="473">
        <f t="shared" si="4"/>
        <v>0</v>
      </c>
      <c r="H56" s="460">
        <f>G56+'30'!H56</f>
        <v>-586051.03</v>
      </c>
      <c r="I56" s="455"/>
      <c r="J56" s="553">
        <f>H56/DAY(B2)</f>
        <v>-18904.871935483872</v>
      </c>
      <c r="K56" s="427"/>
      <c r="L56" s="377"/>
      <c r="N56" s="440">
        <f>H56-'1'!E56</f>
        <v>-1172102.06</v>
      </c>
      <c r="O56" s="382"/>
    </row>
    <row r="57" spans="1:15" ht="29.25">
      <c r="A57" s="579" t="s">
        <v>172</v>
      </c>
      <c r="B57" s="602"/>
      <c r="C57" s="602"/>
      <c r="D57" s="523" t="s">
        <v>132</v>
      </c>
      <c r="E57" s="455">
        <f>'30'!F57</f>
        <v>0</v>
      </c>
      <c r="F57" s="510"/>
      <c r="G57" s="473">
        <f t="shared" si="4"/>
        <v>0</v>
      </c>
      <c r="H57" s="460">
        <f>G57+'30'!H57</f>
        <v>-7711.33</v>
      </c>
      <c r="I57" s="455"/>
      <c r="J57" s="553">
        <f>H57/DAY(B2)</f>
        <v>-248.75258064516129</v>
      </c>
      <c r="K57" s="428"/>
      <c r="L57" s="377"/>
      <c r="N57" s="440">
        <f>H57-'1'!E57</f>
        <v>-15422.66</v>
      </c>
      <c r="O57" s="382"/>
    </row>
    <row r="58" spans="1:15" ht="29.25">
      <c r="A58" s="579" t="s">
        <v>184</v>
      </c>
      <c r="B58" s="602"/>
      <c r="C58" s="602"/>
      <c r="D58" s="523" t="s">
        <v>132</v>
      </c>
      <c r="E58" s="455">
        <f>'30'!F58</f>
        <v>0</v>
      </c>
      <c r="F58" s="510"/>
      <c r="G58" s="473">
        <f t="shared" si="4"/>
        <v>0</v>
      </c>
      <c r="H58" s="460">
        <f>G58+'30'!H58</f>
        <v>-36064.699999999997</v>
      </c>
      <c r="I58" s="455"/>
      <c r="J58" s="553">
        <f>H58/DAY(B2)</f>
        <v>-1163.3774193548386</v>
      </c>
      <c r="K58" s="428"/>
      <c r="L58" s="377"/>
      <c r="N58" s="440">
        <f>H58-'1'!E58</f>
        <v>-71933.399999999994</v>
      </c>
      <c r="O58" s="382"/>
    </row>
    <row r="59" spans="1:15" ht="29.2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0</v>
      </c>
      <c r="H59" s="460">
        <f>G59+'30'!H59</f>
        <v>-2392494.65</v>
      </c>
      <c r="I59" s="455">
        <f>G7-G60</f>
        <v>0</v>
      </c>
      <c r="J59" s="553">
        <f>H59/DAY(B2)</f>
        <v>-77177.24677419354</v>
      </c>
      <c r="K59" s="428"/>
      <c r="L59" s="377"/>
      <c r="N59" s="440">
        <f>H59-'1'!E59</f>
        <v>-2392494.65</v>
      </c>
      <c r="O59" s="382"/>
    </row>
    <row r="60" spans="1:15" ht="29.25">
      <c r="A60" s="579"/>
      <c r="B60" s="580"/>
      <c r="C60" s="580"/>
      <c r="D60" s="511" t="s">
        <v>185</v>
      </c>
      <c r="E60" s="511"/>
      <c r="F60" s="511"/>
      <c r="G60" s="481">
        <f>G47+G59</f>
        <v>0</v>
      </c>
      <c r="H60" s="460">
        <f>G60+'30'!H60</f>
        <v>-4348884.4400000004</v>
      </c>
      <c r="I60" s="455">
        <f>G13-G60</f>
        <v>0</v>
      </c>
      <c r="J60" s="553">
        <f>H60/DAY(B2)</f>
        <v>-140286.59483870969</v>
      </c>
      <c r="K60" s="428"/>
      <c r="L60" s="377"/>
      <c r="N60" s="440">
        <f>H60-'1'!E60</f>
        <v>-4348884.4400000004</v>
      </c>
      <c r="O60" s="382"/>
    </row>
    <row r="61" spans="1:15" ht="29.2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440">
        <f>H61-'1'!E61</f>
        <v>0</v>
      </c>
      <c r="O61" s="382"/>
    </row>
    <row r="62" spans="1:15" ht="29.25">
      <c r="A62" s="604" t="s">
        <v>98</v>
      </c>
      <c r="B62" s="605"/>
      <c r="C62" s="605"/>
      <c r="D62" s="511" t="s">
        <v>187</v>
      </c>
      <c r="E62" s="455">
        <f>'30'!F62</f>
        <v>0</v>
      </c>
      <c r="F62" s="514"/>
      <c r="G62" s="473">
        <f t="shared" ref="G62:G69" si="5">F62-E62</f>
        <v>0</v>
      </c>
      <c r="H62" s="460">
        <f>G62+'30'!H62</f>
        <v>-20419.187000000002</v>
      </c>
      <c r="I62" s="515"/>
      <c r="J62" s="553">
        <f>H62/DAY(B2)</f>
        <v>-658.68345161290324</v>
      </c>
      <c r="K62" s="428"/>
      <c r="L62" s="377"/>
      <c r="N62" s="440">
        <f>H62-'1'!E62</f>
        <v>-40838.374000000003</v>
      </c>
      <c r="O62" s="382"/>
    </row>
    <row r="63" spans="1:15" ht="29.25">
      <c r="A63" s="604" t="s">
        <v>188</v>
      </c>
      <c r="B63" s="605"/>
      <c r="C63" s="605"/>
      <c r="D63" s="511" t="s">
        <v>187</v>
      </c>
      <c r="E63" s="455">
        <f>'30'!F63</f>
        <v>0</v>
      </c>
      <c r="F63" s="514"/>
      <c r="G63" s="473">
        <f t="shared" si="5"/>
        <v>0</v>
      </c>
      <c r="H63" s="460">
        <f>G63+'30'!H63</f>
        <v>-1707.36</v>
      </c>
      <c r="I63" s="515"/>
      <c r="J63" s="553">
        <f>H63/DAY(B2)</f>
        <v>-55.076129032258059</v>
      </c>
      <c r="K63" s="428"/>
      <c r="L63" s="377"/>
      <c r="N63" s="440">
        <f>H63-'1'!E63</f>
        <v>-3414.72</v>
      </c>
      <c r="O63" s="382"/>
    </row>
    <row r="64" spans="1:15" ht="27.75">
      <c r="A64" s="1408" t="s">
        <v>99</v>
      </c>
      <c r="B64" s="1409"/>
      <c r="C64" s="1410"/>
      <c r="D64" s="523" t="s">
        <v>187</v>
      </c>
      <c r="E64" s="455">
        <f>'30'!F64</f>
        <v>0</v>
      </c>
      <c r="F64" s="484"/>
      <c r="G64" s="473">
        <f t="shared" si="5"/>
        <v>0</v>
      </c>
      <c r="H64" s="460">
        <f>G64+'30'!H64</f>
        <v>-123627.3</v>
      </c>
      <c r="I64" s="480"/>
      <c r="J64" s="553">
        <f>H64/DAY(B2)</f>
        <v>-3987.9774193548387</v>
      </c>
      <c r="K64" s="428"/>
      <c r="L64" s="377"/>
      <c r="N64" s="440">
        <f>H64-'1'!E64</f>
        <v>-247254.6</v>
      </c>
      <c r="O64" s="382"/>
    </row>
    <row r="65" spans="1:15" ht="27.75">
      <c r="A65" s="1408" t="s">
        <v>100</v>
      </c>
      <c r="B65" s="1409"/>
      <c r="C65" s="1410"/>
      <c r="D65" s="523" t="s">
        <v>187</v>
      </c>
      <c r="E65" s="455">
        <f>'30'!F65</f>
        <v>0</v>
      </c>
      <c r="F65" s="484"/>
      <c r="G65" s="473">
        <f t="shared" si="5"/>
        <v>0</v>
      </c>
      <c r="H65" s="460">
        <f>G65+'30'!H65</f>
        <v>-132597.29999999999</v>
      </c>
      <c r="I65" s="489"/>
      <c r="J65" s="553">
        <f>H65/DAY(B2)</f>
        <v>-4277.3322580645154</v>
      </c>
      <c r="K65" s="428"/>
      <c r="L65" s="377"/>
      <c r="N65" s="440">
        <f>H65-'1'!E65</f>
        <v>-265194.59999999998</v>
      </c>
      <c r="O65" s="382"/>
    </row>
    <row r="66" spans="1:15" ht="27.75">
      <c r="A66" s="1408" t="s">
        <v>101</v>
      </c>
      <c r="B66" s="1409"/>
      <c r="C66" s="1410"/>
      <c r="D66" s="523" t="s">
        <v>187</v>
      </c>
      <c r="E66" s="455">
        <f>'30'!F66</f>
        <v>0</v>
      </c>
      <c r="F66" s="484"/>
      <c r="G66" s="473">
        <f t="shared" si="5"/>
        <v>0</v>
      </c>
      <c r="H66" s="460">
        <f>G66+'30'!H66</f>
        <v>-25159.75</v>
      </c>
      <c r="I66" s="480"/>
      <c r="J66" s="553">
        <f>H66/DAY(B2)</f>
        <v>-811.60483870967744</v>
      </c>
      <c r="K66" s="428"/>
      <c r="L66" s="377"/>
      <c r="N66" s="440">
        <f>H66-'1'!E66</f>
        <v>-50319.5</v>
      </c>
      <c r="O66" s="382"/>
    </row>
    <row r="67" spans="1:15" ht="27.75">
      <c r="A67" s="1408" t="s">
        <v>102</v>
      </c>
      <c r="B67" s="1409"/>
      <c r="C67" s="1410"/>
      <c r="D67" s="523" t="s">
        <v>187</v>
      </c>
      <c r="E67" s="455">
        <f>'30'!F67</f>
        <v>0</v>
      </c>
      <c r="F67" s="484"/>
      <c r="G67" s="473">
        <f t="shared" si="5"/>
        <v>0</v>
      </c>
      <c r="H67" s="460">
        <f>G67+'30'!H67</f>
        <v>-207841.83</v>
      </c>
      <c r="I67" s="489"/>
      <c r="J67" s="553">
        <f>H67/DAY(B2)</f>
        <v>-6704.5751612903223</v>
      </c>
      <c r="K67" s="429"/>
      <c r="L67" s="377"/>
      <c r="N67" s="440">
        <f>H67-'1'!E67</f>
        <v>-415683.66</v>
      </c>
      <c r="O67" s="382"/>
    </row>
    <row r="68" spans="1:15" ht="27.75">
      <c r="A68" s="1408" t="s">
        <v>103</v>
      </c>
      <c r="B68" s="1409"/>
      <c r="C68" s="1410"/>
      <c r="D68" s="523" t="s">
        <v>187</v>
      </c>
      <c r="E68" s="455">
        <f>'30'!F68</f>
        <v>0</v>
      </c>
      <c r="F68" s="484"/>
      <c r="G68" s="473">
        <f t="shared" si="5"/>
        <v>0</v>
      </c>
      <c r="H68" s="460">
        <f>G68+'30'!H68</f>
        <v>-63461.45</v>
      </c>
      <c r="I68" s="516"/>
      <c r="J68" s="553">
        <f>H68/DAY(B2)</f>
        <v>-2047.1435483870966</v>
      </c>
      <c r="K68" s="430"/>
      <c r="L68" s="377"/>
      <c r="N68" s="440">
        <f>H68-'1'!E68</f>
        <v>-136139.97</v>
      </c>
      <c r="O68" s="382"/>
    </row>
    <row r="69" spans="1:15" ht="27.75">
      <c r="A69" s="1408" t="s">
        <v>104</v>
      </c>
      <c r="B69" s="1409"/>
      <c r="C69" s="1410"/>
      <c r="D69" s="523" t="s">
        <v>187</v>
      </c>
      <c r="E69" s="455">
        <f>'30'!F69</f>
        <v>0</v>
      </c>
      <c r="F69" s="484"/>
      <c r="G69" s="473">
        <f t="shared" si="5"/>
        <v>0</v>
      </c>
      <c r="H69" s="460">
        <f>G69+'30'!H69</f>
        <v>-64452.09</v>
      </c>
      <c r="I69" s="516"/>
      <c r="J69" s="553">
        <f>H69/DAY(B2)</f>
        <v>-2079.0996774193545</v>
      </c>
      <c r="K69" s="431"/>
      <c r="L69" s="377"/>
      <c r="N69" s="440">
        <f>H69-'1'!E69</f>
        <v>-128904.18</v>
      </c>
      <c r="O69" s="382"/>
    </row>
    <row r="70" spans="1:15" ht="27.75">
      <c r="A70" s="1440" t="s">
        <v>189</v>
      </c>
      <c r="B70" s="1441"/>
      <c r="C70" s="1442"/>
      <c r="D70" s="523" t="s">
        <v>187</v>
      </c>
      <c r="E70" s="518"/>
      <c r="F70" s="518"/>
      <c r="G70" s="518"/>
      <c r="H70" s="460">
        <f>G70+'30'!H70</f>
        <v>0</v>
      </c>
      <c r="I70" s="518"/>
      <c r="J70" s="557"/>
      <c r="K70" s="431"/>
      <c r="L70" s="377"/>
      <c r="N70" s="440">
        <f>H70-'1'!E70</f>
        <v>0</v>
      </c>
      <c r="O70" s="382"/>
    </row>
    <row r="71" spans="1:15" ht="31.5">
      <c r="A71" s="1454" t="s">
        <v>190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430"/>
      <c r="L71" s="377"/>
      <c r="N71" s="440">
        <f>H71-'1'!E71</f>
        <v>0</v>
      </c>
      <c r="O71" s="382"/>
    </row>
    <row r="72" spans="1:15" ht="27.75">
      <c r="A72" s="1408" t="s">
        <v>191</v>
      </c>
      <c r="B72" s="1409"/>
      <c r="C72" s="1410"/>
      <c r="D72" s="523" t="s">
        <v>187</v>
      </c>
      <c r="E72" s="455">
        <f>'30'!F72</f>
        <v>0</v>
      </c>
      <c r="F72" s="519"/>
      <c r="G72" s="473">
        <f t="shared" ref="G72:G84" si="6">F72-E72</f>
        <v>0</v>
      </c>
      <c r="H72" s="460">
        <f>G72+'30'!H72</f>
        <v>-850682</v>
      </c>
      <c r="I72" s="480"/>
      <c r="J72" s="553">
        <f>H72/DAY(B2)</f>
        <v>-27441.354838709678</v>
      </c>
      <c r="K72" s="431"/>
      <c r="L72" s="377"/>
      <c r="N72" s="440">
        <f>H72-'1'!E72</f>
        <v>-1701274</v>
      </c>
      <c r="O72" s="382"/>
    </row>
    <row r="73" spans="1:15" ht="27.75">
      <c r="A73" s="1408" t="s">
        <v>192</v>
      </c>
      <c r="B73" s="1409"/>
      <c r="C73" s="1410"/>
      <c r="D73" s="523" t="s">
        <v>187</v>
      </c>
      <c r="E73" s="455">
        <f>'30'!F73</f>
        <v>0</v>
      </c>
      <c r="F73" s="520"/>
      <c r="G73" s="473">
        <f t="shared" si="6"/>
        <v>0</v>
      </c>
      <c r="H73" s="460">
        <f>G73+'30'!H73</f>
        <v>-884658</v>
      </c>
      <c r="I73" s="480"/>
      <c r="J73" s="553">
        <f>H73/DAY(B2)</f>
        <v>-28537.354838709678</v>
      </c>
      <c r="K73" s="430"/>
      <c r="L73" s="377"/>
      <c r="N73" s="440">
        <f>H73-'1'!E73</f>
        <v>-1770430</v>
      </c>
      <c r="O73" s="382"/>
    </row>
    <row r="74" spans="1:15" ht="27.75">
      <c r="A74" s="1408" t="s">
        <v>193</v>
      </c>
      <c r="B74" s="1409"/>
      <c r="C74" s="1410"/>
      <c r="D74" s="523" t="s">
        <v>187</v>
      </c>
      <c r="E74" s="455">
        <f>'30'!F74</f>
        <v>0</v>
      </c>
      <c r="F74" s="521"/>
      <c r="G74" s="473">
        <f t="shared" si="6"/>
        <v>0</v>
      </c>
      <c r="H74" s="460">
        <f>G74+'30'!H74</f>
        <v>-586.16999999999996</v>
      </c>
      <c r="I74" s="480"/>
      <c r="J74" s="553">
        <f>H74/DAY(B2)</f>
        <v>-18.908709677419353</v>
      </c>
      <c r="K74" s="431"/>
      <c r="L74" s="377"/>
      <c r="N74" s="440">
        <f>H74-'1'!E74</f>
        <v>-1172.3399999999999</v>
      </c>
      <c r="O74" s="382"/>
    </row>
    <row r="75" spans="1:15" ht="27.75">
      <c r="A75" s="1457" t="s">
        <v>194</v>
      </c>
      <c r="B75" s="1458"/>
      <c r="C75" s="1459"/>
      <c r="D75" s="523" t="s">
        <v>187</v>
      </c>
      <c r="E75" s="455">
        <f>'30'!F75</f>
        <v>0</v>
      </c>
      <c r="F75" s="521"/>
      <c r="G75" s="473">
        <f t="shared" si="6"/>
        <v>0</v>
      </c>
      <c r="H75" s="460">
        <f>G75+'30'!H75</f>
        <v>-3519.22</v>
      </c>
      <c r="I75" s="480"/>
      <c r="J75" s="553">
        <f>H75/DAY(B2)</f>
        <v>-113.52322580645161</v>
      </c>
      <c r="K75" s="430"/>
      <c r="L75" s="377"/>
      <c r="N75" s="440">
        <f>H75-'1'!E75</f>
        <v>-7038.44</v>
      </c>
      <c r="O75" s="382"/>
    </row>
    <row r="76" spans="1:15" ht="27.75">
      <c r="A76" s="1457" t="s">
        <v>195</v>
      </c>
      <c r="B76" s="1458"/>
      <c r="C76" s="1459"/>
      <c r="D76" s="523" t="s">
        <v>187</v>
      </c>
      <c r="E76" s="455">
        <f>'30'!F76</f>
        <v>0</v>
      </c>
      <c r="F76" s="520"/>
      <c r="G76" s="473">
        <f t="shared" si="6"/>
        <v>0</v>
      </c>
      <c r="H76" s="460">
        <f>G76+'30'!H76</f>
        <v>-475.2199999999998</v>
      </c>
      <c r="I76" s="505"/>
      <c r="J76" s="553">
        <f>H76/DAY(B2)</f>
        <v>-15.329677419354832</v>
      </c>
      <c r="K76" s="430"/>
      <c r="L76" s="377"/>
      <c r="N76" s="440">
        <f>H76-'1'!E76</f>
        <v>-1989.5599999999997</v>
      </c>
      <c r="O76" s="382"/>
    </row>
    <row r="77" spans="1:15" ht="27.75">
      <c r="A77" s="1408" t="s">
        <v>196</v>
      </c>
      <c r="B77" s="1409"/>
      <c r="C77" s="1410"/>
      <c r="D77" s="523" t="s">
        <v>187</v>
      </c>
      <c r="E77" s="455">
        <f>'30'!F77</f>
        <v>0</v>
      </c>
      <c r="F77" s="521"/>
      <c r="G77" s="473">
        <f t="shared" si="6"/>
        <v>0</v>
      </c>
      <c r="H77" s="460">
        <f>G77+'30'!H77</f>
        <v>-698588</v>
      </c>
      <c r="I77" s="505"/>
      <c r="J77" s="553">
        <f>H77/DAY(B2)</f>
        <v>-22535.096774193549</v>
      </c>
      <c r="K77" s="430"/>
      <c r="L77" s="377"/>
      <c r="N77" s="440">
        <f>H77-'1'!E77</f>
        <v>-1397176</v>
      </c>
      <c r="O77" s="382"/>
    </row>
    <row r="78" spans="1:15" ht="27.75">
      <c r="A78" s="1151" t="s">
        <v>197</v>
      </c>
      <c r="B78" s="1124"/>
      <c r="C78" s="1124"/>
      <c r="D78" s="523" t="s">
        <v>187</v>
      </c>
      <c r="E78" s="455">
        <f>'30'!F78</f>
        <v>0</v>
      </c>
      <c r="F78" s="521"/>
      <c r="G78" s="473">
        <f t="shared" si="6"/>
        <v>0</v>
      </c>
      <c r="H78" s="460">
        <f>G78+'30'!H78</f>
        <v>-652863</v>
      </c>
      <c r="I78" s="505"/>
      <c r="J78" s="553">
        <f>H78/DAY(B2)</f>
        <v>-21060.096774193549</v>
      </c>
      <c r="K78" s="430"/>
      <c r="L78" s="377"/>
      <c r="N78" s="440">
        <f>H78-'1'!E78</f>
        <v>-1305726</v>
      </c>
      <c r="O78" s="382"/>
    </row>
    <row r="79" spans="1:15" ht="27.75">
      <c r="A79" s="1457" t="s">
        <v>92</v>
      </c>
      <c r="B79" s="1458"/>
      <c r="C79" s="1459"/>
      <c r="D79" s="524" t="s">
        <v>187</v>
      </c>
      <c r="E79" s="455">
        <f>'30'!F79</f>
        <v>0</v>
      </c>
      <c r="F79" s="521"/>
      <c r="G79" s="473">
        <f t="shared" si="6"/>
        <v>0</v>
      </c>
      <c r="H79" s="460">
        <f>G79+'30'!H79</f>
        <v>-812599</v>
      </c>
      <c r="I79" s="505"/>
      <c r="J79" s="553">
        <f>H79/DAY(B2)</f>
        <v>-26212.870967741936</v>
      </c>
      <c r="K79" s="430"/>
      <c r="L79" s="377"/>
      <c r="N79" s="440">
        <f>H79-'1'!E79</f>
        <v>-1627708</v>
      </c>
      <c r="O79" s="382"/>
    </row>
    <row r="80" spans="1:15" ht="27.75">
      <c r="A80" s="1457" t="s">
        <v>198</v>
      </c>
      <c r="B80" s="1458"/>
      <c r="C80" s="1459"/>
      <c r="D80" s="524" t="s">
        <v>187</v>
      </c>
      <c r="E80" s="455">
        <f>'30'!F80</f>
        <v>0</v>
      </c>
      <c r="F80" s="520"/>
      <c r="G80" s="473">
        <f t="shared" si="6"/>
        <v>0</v>
      </c>
      <c r="H80" s="460">
        <f>G80+'30'!H80</f>
        <v>-496614</v>
      </c>
      <c r="I80" s="505"/>
      <c r="J80" s="553">
        <f>H80/DAY(B2)</f>
        <v>-16019.806451612903</v>
      </c>
      <c r="K80" s="430"/>
      <c r="L80" s="377"/>
      <c r="N80" s="440">
        <f>H80-'1'!E80</f>
        <v>-991287.64</v>
      </c>
      <c r="O80" s="382"/>
    </row>
    <row r="81" spans="1:15" ht="27.75">
      <c r="A81" s="1457" t="s">
        <v>199</v>
      </c>
      <c r="B81" s="1458"/>
      <c r="C81" s="1459"/>
      <c r="D81" s="524" t="s">
        <v>187</v>
      </c>
      <c r="E81" s="455">
        <f>'30'!F81</f>
        <v>0</v>
      </c>
      <c r="F81" s="520"/>
      <c r="G81" s="473">
        <f t="shared" si="6"/>
        <v>0</v>
      </c>
      <c r="H81" s="460">
        <f>G81+'30'!H81</f>
        <v>-625943.84</v>
      </c>
      <c r="I81" s="505"/>
      <c r="J81" s="553">
        <f>H81/DAY(B2)</f>
        <v>-20191.736774193549</v>
      </c>
      <c r="K81" s="430"/>
      <c r="L81" s="377"/>
      <c r="N81" s="440">
        <f>H81-'1'!E81</f>
        <v>-1251887.68</v>
      </c>
      <c r="O81" s="382"/>
    </row>
    <row r="82" spans="1:15" ht="27.75">
      <c r="A82" s="1457" t="s">
        <v>93</v>
      </c>
      <c r="B82" s="1458"/>
      <c r="C82" s="1459"/>
      <c r="D82" s="485" t="s">
        <v>132</v>
      </c>
      <c r="E82" s="455">
        <f>'30'!F82</f>
        <v>0</v>
      </c>
      <c r="F82" s="522"/>
      <c r="G82" s="473">
        <f t="shared" si="6"/>
        <v>0</v>
      </c>
      <c r="H82" s="460">
        <f>G82+'30'!H82</f>
        <v>-106202.48</v>
      </c>
      <c r="I82" s="486"/>
      <c r="J82" s="553">
        <f>H82/DAY(B2)</f>
        <v>-3425.8864516129029</v>
      </c>
      <c r="K82" s="430"/>
      <c r="L82" s="377"/>
      <c r="N82" s="440">
        <f>H82-'1'!E82</f>
        <v>-212404.96</v>
      </c>
      <c r="O82" s="382"/>
    </row>
    <row r="83" spans="1:15" ht="27.75">
      <c r="A83" s="1457" t="s">
        <v>200</v>
      </c>
      <c r="B83" s="1458"/>
      <c r="C83" s="1459"/>
      <c r="D83" s="621" t="s">
        <v>132</v>
      </c>
      <c r="E83" s="455">
        <f>'30'!F83</f>
        <v>0</v>
      </c>
      <c r="F83" s="511"/>
      <c r="G83" s="473">
        <f t="shared" si="6"/>
        <v>0</v>
      </c>
      <c r="H83" s="460">
        <f>G83+'30'!H83</f>
        <v>3403</v>
      </c>
      <c r="I83" s="481"/>
      <c r="J83" s="553">
        <f>H83/DAY(B2)</f>
        <v>109.7741935483871</v>
      </c>
      <c r="K83" s="429"/>
      <c r="L83" s="377"/>
      <c r="N83" s="440">
        <f>H83-'1'!E83</f>
        <v>-993046</v>
      </c>
      <c r="O83" s="382"/>
    </row>
    <row r="84" spans="1:15" ht="29.25">
      <c r="A84" s="1152" t="s">
        <v>201</v>
      </c>
      <c r="B84" s="572"/>
      <c r="C84" s="572"/>
      <c r="D84" s="478" t="s">
        <v>132</v>
      </c>
      <c r="E84" s="455">
        <f>'30'!F84</f>
        <v>0</v>
      </c>
      <c r="F84" s="628"/>
      <c r="G84" s="473">
        <f t="shared" si="6"/>
        <v>0</v>
      </c>
      <c r="H84" s="460">
        <f>G84+'30'!H84</f>
        <v>-430798</v>
      </c>
      <c r="I84" s="481"/>
      <c r="J84" s="553">
        <f>H84/DAY(B2)</f>
        <v>-13896.709677419354</v>
      </c>
      <c r="K84" s="380"/>
      <c r="L84" s="377"/>
      <c r="N84" s="440">
        <f>H84-'1'!E84</f>
        <v>-861596</v>
      </c>
      <c r="O84" s="382"/>
    </row>
    <row r="85" spans="1:15" s="379" customFormat="1" ht="29.25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0</v>
      </c>
      <c r="H85" s="460">
        <f>G85+'30'!H85</f>
        <v>-5564784.0700000003</v>
      </c>
      <c r="I85" s="481"/>
      <c r="J85" s="553">
        <f>H85/DAY(B2)</f>
        <v>-179509.16354838709</v>
      </c>
      <c r="K85" s="380"/>
      <c r="L85" s="378"/>
      <c r="N85" s="440">
        <f>H85-'1'!E85</f>
        <v>-5564784.0700000003</v>
      </c>
      <c r="O85" s="382"/>
    </row>
    <row r="86" spans="1:15" s="740" customFormat="1" ht="29.25">
      <c r="A86" s="735" t="s">
        <v>94</v>
      </c>
      <c r="B86" s="736"/>
      <c r="C86" s="736"/>
      <c r="D86" s="737" t="s">
        <v>183</v>
      </c>
      <c r="E86" s="455">
        <f>'30'!F86</f>
        <v>0</v>
      </c>
      <c r="F86" s="652"/>
      <c r="G86" s="710">
        <f t="shared" ref="G86:G90" si="7">F86-E86</f>
        <v>0</v>
      </c>
      <c r="H86" s="460">
        <f>G86+'30'!H86</f>
        <v>0</v>
      </c>
      <c r="I86" s="657"/>
      <c r="J86" s="712">
        <f>H86/DAY(B2)</f>
        <v>0</v>
      </c>
      <c r="K86" s="738"/>
      <c r="L86" s="739"/>
      <c r="N86" s="440">
        <f>H86-'1'!E86</f>
        <v>-450368.53</v>
      </c>
      <c r="O86" s="718"/>
    </row>
    <row r="87" spans="1:15" s="740" customFormat="1" ht="29.25">
      <c r="A87" s="735" t="s">
        <v>95</v>
      </c>
      <c r="B87" s="736"/>
      <c r="C87" s="736"/>
      <c r="D87" s="737" t="s">
        <v>183</v>
      </c>
      <c r="E87" s="455">
        <f>'30'!F87</f>
        <v>0</v>
      </c>
      <c r="F87" s="652"/>
      <c r="G87" s="710">
        <f t="shared" si="7"/>
        <v>0</v>
      </c>
      <c r="H87" s="460">
        <f>G87+'30'!H87</f>
        <v>0</v>
      </c>
      <c r="I87" s="657"/>
      <c r="J87" s="712">
        <f>H87/DAY(B2)</f>
        <v>0</v>
      </c>
      <c r="K87" s="738"/>
      <c r="L87" s="739"/>
      <c r="N87" s="440">
        <f>H87-'1'!E87</f>
        <v>-79207.7</v>
      </c>
      <c r="O87" s="718"/>
    </row>
    <row r="88" spans="1:15" s="740" customFormat="1" ht="29.25">
      <c r="A88" s="735" t="s">
        <v>96</v>
      </c>
      <c r="B88" s="736"/>
      <c r="C88" s="736"/>
      <c r="D88" s="737" t="s">
        <v>183</v>
      </c>
      <c r="E88" s="455">
        <f>'30'!F88</f>
        <v>0</v>
      </c>
      <c r="F88" s="652"/>
      <c r="G88" s="710">
        <f t="shared" si="7"/>
        <v>0</v>
      </c>
      <c r="H88" s="460">
        <f>G88+'30'!H88</f>
        <v>0</v>
      </c>
      <c r="I88" s="657"/>
      <c r="J88" s="712">
        <f>H88/DAY(B2)</f>
        <v>0</v>
      </c>
      <c r="K88" s="738"/>
      <c r="L88" s="739"/>
      <c r="N88" s="440">
        <f>H88-'1'!E88</f>
        <v>-148264.60999999999</v>
      </c>
      <c r="O88" s="718"/>
    </row>
    <row r="89" spans="1:15" s="740" customFormat="1" ht="29.25">
      <c r="A89" s="735" t="s">
        <v>204</v>
      </c>
      <c r="B89" s="736"/>
      <c r="C89" s="736"/>
      <c r="D89" s="737" t="s">
        <v>183</v>
      </c>
      <c r="E89" s="455">
        <f>'30'!F89</f>
        <v>0</v>
      </c>
      <c r="F89" s="652"/>
      <c r="G89" s="710">
        <f t="shared" si="7"/>
        <v>0</v>
      </c>
      <c r="H89" s="460">
        <f>G89+'30'!H89</f>
        <v>0</v>
      </c>
      <c r="I89" s="657"/>
      <c r="J89" s="712">
        <f>H89/DAY(B2)</f>
        <v>0</v>
      </c>
      <c r="K89" s="738"/>
      <c r="L89" s="739"/>
      <c r="N89" s="440">
        <f>H89-'1'!E89</f>
        <v>-61675.1</v>
      </c>
      <c r="O89" s="382"/>
    </row>
    <row r="90" spans="1:15" s="740" customFormat="1" ht="29.25">
      <c r="A90" s="735" t="s">
        <v>204</v>
      </c>
      <c r="B90" s="736"/>
      <c r="C90" s="736"/>
      <c r="D90" s="737" t="s">
        <v>183</v>
      </c>
      <c r="E90" s="455">
        <f>'30'!F90</f>
        <v>0</v>
      </c>
      <c r="F90" s="652"/>
      <c r="G90" s="710">
        <f t="shared" si="7"/>
        <v>0</v>
      </c>
      <c r="H90" s="460">
        <f>G90+'30'!H90</f>
        <v>0</v>
      </c>
      <c r="I90" s="657"/>
      <c r="J90" s="712">
        <f>H90/DAY(B2)</f>
        <v>0</v>
      </c>
      <c r="K90" s="738"/>
      <c r="L90" s="739"/>
      <c r="N90" s="440">
        <f>H90-'1'!E90</f>
        <v>-3162.9</v>
      </c>
      <c r="O90" s="382"/>
    </row>
    <row r="91" spans="1:15" s="379" customFormat="1" ht="29.2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440">
        <f>H91-'1'!E91</f>
        <v>0</v>
      </c>
      <c r="O91" s="382"/>
    </row>
    <row r="92" spans="1:15" ht="27.75">
      <c r="A92" s="1411" t="s">
        <v>206</v>
      </c>
      <c r="B92" s="1412"/>
      <c r="C92" s="1413"/>
      <c r="D92" s="523" t="s">
        <v>144</v>
      </c>
      <c r="E92" s="455">
        <f>'30'!F92</f>
        <v>0</v>
      </c>
      <c r="F92" s="484"/>
      <c r="G92" s="473">
        <f t="shared" ref="G92:G93" si="8">F92-E92</f>
        <v>0</v>
      </c>
      <c r="H92" s="460">
        <f>G92+'30'!H92</f>
        <v>-239695</v>
      </c>
      <c r="I92" s="480"/>
      <c r="J92" s="553">
        <f>H92/DAY(B2)</f>
        <v>-7732.0967741935483</v>
      </c>
      <c r="K92" s="429"/>
      <c r="L92" s="377"/>
      <c r="N92" s="440">
        <f>H92-'1'!E92</f>
        <v>-479390</v>
      </c>
      <c r="O92" s="382"/>
    </row>
    <row r="93" spans="1:15" ht="27.75">
      <c r="A93" s="1411" t="s">
        <v>207</v>
      </c>
      <c r="B93" s="1412"/>
      <c r="C93" s="1413"/>
      <c r="D93" s="523" t="s">
        <v>144</v>
      </c>
      <c r="E93" s="455">
        <f>'30'!F93</f>
        <v>0</v>
      </c>
      <c r="F93" s="484"/>
      <c r="G93" s="473">
        <f t="shared" si="8"/>
        <v>0</v>
      </c>
      <c r="H93" s="460">
        <f>G93+'30'!H93</f>
        <v>-175661</v>
      </c>
      <c r="I93" s="480"/>
      <c r="J93" s="553">
        <f>H93/DAY(B2)</f>
        <v>-5666.4838709677415</v>
      </c>
      <c r="K93" s="380"/>
      <c r="L93" s="377"/>
      <c r="N93" s="440">
        <f>H93-'1'!E93</f>
        <v>-351322</v>
      </c>
      <c r="O93" s="382"/>
    </row>
    <row r="94" spans="1:15" ht="29.25">
      <c r="A94" s="1405" t="s">
        <v>208</v>
      </c>
      <c r="B94" s="1406"/>
      <c r="C94" s="1407"/>
      <c r="D94" s="523"/>
      <c r="E94" s="484"/>
      <c r="F94" s="484"/>
      <c r="G94" s="473">
        <f>G92+G93</f>
        <v>0</v>
      </c>
      <c r="H94" s="460">
        <f>G94+'30'!H94</f>
        <v>-415622</v>
      </c>
      <c r="I94" s="480"/>
      <c r="J94" s="553">
        <f>H94/DAY(B2)</f>
        <v>-13407.161290322581</v>
      </c>
      <c r="K94" s="380"/>
      <c r="L94" s="377"/>
      <c r="N94" s="440">
        <f>H94-'1'!E94</f>
        <v>-415622</v>
      </c>
      <c r="O94" s="382"/>
    </row>
    <row r="95" spans="1:15" ht="27.75">
      <c r="A95" s="1411" t="s">
        <v>209</v>
      </c>
      <c r="B95" s="1412"/>
      <c r="C95" s="1413"/>
      <c r="D95" s="523" t="s">
        <v>144</v>
      </c>
      <c r="E95" s="455">
        <f>'30'!F95</f>
        <v>0</v>
      </c>
      <c r="F95" s="484"/>
      <c r="G95" s="473">
        <f t="shared" ref="G95:G100" si="9">F95-E95</f>
        <v>0</v>
      </c>
      <c r="H95" s="460">
        <f>G95+'30'!H95</f>
        <v>-408156</v>
      </c>
      <c r="I95" s="480"/>
      <c r="J95" s="553">
        <f>H95/DAY(B2)</f>
        <v>-13166.322580645161</v>
      </c>
      <c r="K95" s="380"/>
      <c r="L95" s="377"/>
      <c r="N95" s="440">
        <f>H95-'1'!E95</f>
        <v>-816312</v>
      </c>
      <c r="O95" s="382"/>
    </row>
    <row r="96" spans="1:15" ht="27.75">
      <c r="A96" s="1148" t="s">
        <v>210</v>
      </c>
      <c r="B96" s="1149"/>
      <c r="C96" s="1149"/>
      <c r="D96" s="523" t="s">
        <v>144</v>
      </c>
      <c r="E96" s="455">
        <f>'30'!F96</f>
        <v>0</v>
      </c>
      <c r="F96" s="484"/>
      <c r="G96" s="473">
        <f t="shared" si="9"/>
        <v>0</v>
      </c>
      <c r="H96" s="460">
        <f>G96+'30'!H96</f>
        <v>-101332</v>
      </c>
      <c r="I96" s="480"/>
      <c r="J96" s="553">
        <f>H96/DAY(B2)</f>
        <v>-3268.7741935483873</v>
      </c>
      <c r="K96" s="427"/>
      <c r="L96" s="377"/>
      <c r="N96" s="440">
        <f>H96-'1'!E96</f>
        <v>-202664</v>
      </c>
      <c r="O96" s="382"/>
    </row>
    <row r="97" spans="1:15" ht="27.75">
      <c r="A97" s="1148" t="s">
        <v>211</v>
      </c>
      <c r="B97" s="1149"/>
      <c r="C97" s="1149"/>
      <c r="D97" s="523" t="s">
        <v>144</v>
      </c>
      <c r="E97" s="455">
        <f>'30'!F97</f>
        <v>0</v>
      </c>
      <c r="F97" s="484"/>
      <c r="G97" s="473">
        <f t="shared" si="9"/>
        <v>0</v>
      </c>
      <c r="H97" s="460">
        <f>G97+'30'!H97</f>
        <v>-96449</v>
      </c>
      <c r="I97" s="480"/>
      <c r="J97" s="553">
        <f>H97/DAY(B2)</f>
        <v>-3111.2580645161293</v>
      </c>
      <c r="K97" s="432"/>
      <c r="L97" s="377"/>
      <c r="N97" s="440">
        <f>H97-'1'!E97</f>
        <v>-192898</v>
      </c>
      <c r="O97" s="382"/>
    </row>
    <row r="98" spans="1:15" ht="27.75">
      <c r="A98" s="1148" t="s">
        <v>212</v>
      </c>
      <c r="B98" s="1149"/>
      <c r="C98" s="1149"/>
      <c r="D98" s="523" t="s">
        <v>144</v>
      </c>
      <c r="E98" s="455">
        <f>'30'!F98</f>
        <v>0</v>
      </c>
      <c r="F98" s="484"/>
      <c r="G98" s="473">
        <f t="shared" si="9"/>
        <v>0</v>
      </c>
      <c r="H98" s="460">
        <f>G98+'30'!H98</f>
        <v>-147608</v>
      </c>
      <c r="I98" s="480"/>
      <c r="J98" s="553">
        <f>H98/DAY(B2)</f>
        <v>-4761.5483870967746</v>
      </c>
      <c r="K98" s="380"/>
      <c r="L98" s="377"/>
      <c r="N98" s="440">
        <f>H98-'1'!E98</f>
        <v>-295216</v>
      </c>
      <c r="O98" s="382"/>
    </row>
    <row r="99" spans="1:15" ht="27.75">
      <c r="A99" s="1148" t="s">
        <v>213</v>
      </c>
      <c r="B99" s="1149"/>
      <c r="C99" s="1149"/>
      <c r="D99" s="523" t="s">
        <v>144</v>
      </c>
      <c r="E99" s="455">
        <f>'30'!F99</f>
        <v>0</v>
      </c>
      <c r="F99" s="484"/>
      <c r="G99" s="473">
        <f t="shared" si="9"/>
        <v>0</v>
      </c>
      <c r="H99" s="460">
        <f>G99+'30'!H99</f>
        <v>-6408</v>
      </c>
      <c r="I99" s="480"/>
      <c r="J99" s="553">
        <f>H99/DAY(B2)</f>
        <v>-206.70967741935485</v>
      </c>
      <c r="K99" s="380"/>
      <c r="L99" s="377"/>
      <c r="N99" s="440">
        <f>H99-'1'!E99</f>
        <v>-12816</v>
      </c>
      <c r="O99" s="382"/>
    </row>
    <row r="100" spans="1:15" ht="27.75">
      <c r="A100" s="1148" t="s">
        <v>214</v>
      </c>
      <c r="B100" s="1149"/>
      <c r="C100" s="1149"/>
      <c r="D100" s="523" t="s">
        <v>144</v>
      </c>
      <c r="E100" s="455">
        <f>'30'!F100</f>
        <v>0</v>
      </c>
      <c r="F100" s="484"/>
      <c r="G100" s="473">
        <f t="shared" si="9"/>
        <v>0</v>
      </c>
      <c r="H100" s="460">
        <f>G100+'30'!H100</f>
        <v>-4543</v>
      </c>
      <c r="I100" s="480"/>
      <c r="J100" s="553">
        <f>H100/DAY(B2)</f>
        <v>-146.54838709677421</v>
      </c>
      <c r="K100" s="380"/>
      <c r="L100" s="377"/>
      <c r="N100" s="440">
        <f>H100-'1'!E100</f>
        <v>-9086</v>
      </c>
      <c r="O100" s="382"/>
    </row>
    <row r="101" spans="1:15" ht="29.25">
      <c r="A101" s="1405" t="s">
        <v>216</v>
      </c>
      <c r="B101" s="1406"/>
      <c r="C101" s="1407"/>
      <c r="D101" s="524"/>
      <c r="E101" s="524"/>
      <c r="F101" s="524"/>
      <c r="G101" s="525">
        <f>SUM(G95:G100)</f>
        <v>0</v>
      </c>
      <c r="H101" s="460">
        <f>G101+'30'!H101</f>
        <v>-764496</v>
      </c>
      <c r="I101" s="526"/>
      <c r="J101" s="553">
        <f>H101/DAY(B2)</f>
        <v>-24661.16129032258</v>
      </c>
      <c r="K101" s="380"/>
      <c r="L101" s="377"/>
      <c r="N101" s="440">
        <f>H101-'1'!E101</f>
        <v>-764496</v>
      </c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528"/>
      <c r="G102" s="529"/>
      <c r="H102" s="530"/>
      <c r="I102" s="531"/>
      <c r="J102" s="558"/>
      <c r="N102" s="440">
        <f>H102-'1'!E102</f>
        <v>0</v>
      </c>
      <c r="O102" s="382"/>
    </row>
    <row r="103" spans="1:15" s="442" customFormat="1" ht="27.75">
      <c r="A103" s="1414" t="s">
        <v>218</v>
      </c>
      <c r="B103" s="1415"/>
      <c r="C103" s="574"/>
      <c r="D103" s="623"/>
      <c r="E103" s="532"/>
      <c r="F103" s="532"/>
      <c r="G103" s="532"/>
      <c r="H103" s="533"/>
      <c r="I103" s="532"/>
      <c r="J103" s="559"/>
      <c r="N103" s="440">
        <f>H103-'1'!E103</f>
        <v>0</v>
      </c>
      <c r="O103" s="382"/>
    </row>
    <row r="104" spans="1:15" s="442" customFormat="1" ht="27.75">
      <c r="A104" s="1416" t="s">
        <v>219</v>
      </c>
      <c r="B104" s="1417"/>
      <c r="C104" s="1146"/>
      <c r="D104" s="623" t="s">
        <v>144</v>
      </c>
      <c r="E104" s="532">
        <f>'30'!F104</f>
        <v>0</v>
      </c>
      <c r="F104" s="532"/>
      <c r="G104" s="532">
        <f>F104-E104</f>
        <v>0</v>
      </c>
      <c r="H104" s="460">
        <f>G104+'30'!H104</f>
        <v>79.150000000000091</v>
      </c>
      <c r="I104" s="532"/>
      <c r="J104" s="559">
        <f>H104/DAY(B2)</f>
        <v>2.553225806451616</v>
      </c>
      <c r="N104" s="440">
        <f>H104-'1'!E104</f>
        <v>-7048.85</v>
      </c>
      <c r="O104" s="382"/>
    </row>
    <row r="105" spans="1:15" s="442" customFormat="1" ht="27.75">
      <c r="A105" s="1416" t="s">
        <v>77</v>
      </c>
      <c r="B105" s="1417"/>
      <c r="C105" s="1146"/>
      <c r="D105" s="623" t="s">
        <v>144</v>
      </c>
      <c r="E105" s="532">
        <f>'30'!F105</f>
        <v>0</v>
      </c>
      <c r="F105" s="534"/>
      <c r="G105" s="532">
        <f t="shared" ref="G105:G106" si="10">F105-E105</f>
        <v>0</v>
      </c>
      <c r="H105" s="460">
        <f>G105+'30'!H105</f>
        <v>45</v>
      </c>
      <c r="I105" s="532"/>
      <c r="J105" s="559">
        <f>H105/DAY(B2)</f>
        <v>1.4516129032258065</v>
      </c>
      <c r="N105" s="440">
        <f>H105-'1'!E105</f>
        <v>-35362</v>
      </c>
      <c r="O105" s="382"/>
    </row>
    <row r="106" spans="1:15" s="442" customFormat="1" ht="27.75">
      <c r="A106" s="1416" t="s">
        <v>78</v>
      </c>
      <c r="B106" s="1418"/>
      <c r="C106" s="1417"/>
      <c r="D106" s="623" t="s">
        <v>144</v>
      </c>
      <c r="E106" s="532">
        <f>'30'!F106</f>
        <v>0</v>
      </c>
      <c r="F106" s="532"/>
      <c r="G106" s="532">
        <f t="shared" si="10"/>
        <v>0</v>
      </c>
      <c r="H106" s="460">
        <f>G106+'30'!H106</f>
        <v>390</v>
      </c>
      <c r="I106" s="532"/>
      <c r="J106" s="559">
        <f>H106/DAY(B2)</f>
        <v>12.580645161290322</v>
      </c>
      <c r="N106" s="440">
        <f>H106-'1'!E106</f>
        <v>-18857</v>
      </c>
      <c r="O106" s="382"/>
    </row>
    <row r="107" spans="1:15" s="442" customFormat="1" ht="27.75">
      <c r="A107" s="1419" t="s">
        <v>202</v>
      </c>
      <c r="B107" s="1420"/>
      <c r="C107" s="1146"/>
      <c r="D107" s="623"/>
      <c r="E107" s="532"/>
      <c r="F107" s="532"/>
      <c r="G107" s="532">
        <f>SUM(G104:G106)</f>
        <v>0</v>
      </c>
      <c r="H107" s="460">
        <f>G107+'30'!H107</f>
        <v>192</v>
      </c>
      <c r="I107" s="532"/>
      <c r="J107" s="559">
        <f>H107/DAY(B2)</f>
        <v>6.193548387096774</v>
      </c>
      <c r="N107" s="440">
        <f>H107-'1'!E107</f>
        <v>192</v>
      </c>
      <c r="O107" s="382"/>
    </row>
    <row r="108" spans="1:15" s="442" customFormat="1" ht="27.75">
      <c r="A108" s="1421" t="s">
        <v>79</v>
      </c>
      <c r="B108" s="1422"/>
      <c r="C108" s="1146"/>
      <c r="D108" s="623" t="s">
        <v>144</v>
      </c>
      <c r="E108" s="532"/>
      <c r="F108" s="532"/>
      <c r="G108" s="532"/>
      <c r="H108" s="460">
        <f>G108+'30'!H108</f>
        <v>0</v>
      </c>
      <c r="I108" s="532"/>
      <c r="J108" s="559"/>
      <c r="N108" s="440">
        <f>H108-'1'!E108</f>
        <v>0</v>
      </c>
      <c r="O108" s="382"/>
    </row>
    <row r="109" spans="1:15" s="442" customFormat="1" ht="27.75">
      <c r="A109" s="1416" t="s">
        <v>220</v>
      </c>
      <c r="B109" s="1417"/>
      <c r="C109" s="1146"/>
      <c r="D109" s="623" t="s">
        <v>144</v>
      </c>
      <c r="E109" s="532">
        <f>'30'!F109</f>
        <v>0</v>
      </c>
      <c r="F109" s="532"/>
      <c r="G109" s="532">
        <f>F109-E109</f>
        <v>0</v>
      </c>
      <c r="H109" s="460">
        <f>G109+'30'!H109</f>
        <v>112.56000000005588</v>
      </c>
      <c r="I109" s="532"/>
      <c r="J109" s="559">
        <f>H109/DAY(B2)</f>
        <v>3.6309677419372863</v>
      </c>
      <c r="N109" s="440">
        <f>H109-'1'!E109</f>
        <v>-56240.439999999944</v>
      </c>
      <c r="O109" s="382"/>
    </row>
    <row r="110" spans="1:15" s="442" customFormat="1" ht="27.75">
      <c r="A110" s="1416" t="s">
        <v>221</v>
      </c>
      <c r="B110" s="1417"/>
      <c r="C110" s="1146"/>
      <c r="D110" s="623" t="s">
        <v>144</v>
      </c>
      <c r="E110" s="532">
        <f>'30'!F110</f>
        <v>0</v>
      </c>
      <c r="F110" s="532"/>
      <c r="G110" s="532">
        <f t="shared" ref="G110:G111" si="11">F110-E110</f>
        <v>0</v>
      </c>
      <c r="H110" s="460">
        <f>G110+'30'!H110</f>
        <v>18.169999999998254</v>
      </c>
      <c r="I110" s="532"/>
      <c r="J110" s="559">
        <f>H110/DAY(B2)</f>
        <v>0.58612903225800816</v>
      </c>
      <c r="N110" s="440">
        <f>H110-'1'!E110</f>
        <v>-30508.83</v>
      </c>
      <c r="O110" s="382"/>
    </row>
    <row r="111" spans="1:15" s="442" customFormat="1" ht="27.75">
      <c r="A111" s="1416" t="s">
        <v>222</v>
      </c>
      <c r="B111" s="1417"/>
      <c r="C111" s="1146"/>
      <c r="D111" s="623" t="s">
        <v>144</v>
      </c>
      <c r="E111" s="532">
        <f>'30'!F111</f>
        <v>0</v>
      </c>
      <c r="F111" s="532"/>
      <c r="G111" s="532">
        <f t="shared" si="11"/>
        <v>0</v>
      </c>
      <c r="H111" s="460">
        <f>G111+'30'!H111</f>
        <v>520</v>
      </c>
      <c r="I111" s="532"/>
      <c r="J111" s="559">
        <f>H111/DAY(B2)</f>
        <v>16.774193548387096</v>
      </c>
      <c r="N111" s="440">
        <f>H111-'1'!E111</f>
        <v>-3460</v>
      </c>
      <c r="O111" s="382"/>
    </row>
    <row r="112" spans="1:15" s="442" customFormat="1" ht="27.75">
      <c r="A112" s="1448" t="s">
        <v>110</v>
      </c>
      <c r="B112" s="1449"/>
      <c r="C112" s="1146"/>
      <c r="D112" s="623"/>
      <c r="E112" s="532"/>
      <c r="F112" s="532"/>
      <c r="G112" s="532">
        <f>SUM(G109:G111)</f>
        <v>0</v>
      </c>
      <c r="H112" s="460">
        <f>G112+'30'!H112</f>
        <v>690</v>
      </c>
      <c r="I112" s="532"/>
      <c r="J112" s="559">
        <f>H112/DAY(B2)</f>
        <v>22.258064516129032</v>
      </c>
      <c r="N112" s="440">
        <f>H112-'1'!E112</f>
        <v>690</v>
      </c>
      <c r="O112" s="382"/>
    </row>
    <row r="113" spans="1:15" s="442" customFormat="1" ht="27.75">
      <c r="A113" s="1421" t="s">
        <v>223</v>
      </c>
      <c r="B113" s="1422"/>
      <c r="C113" s="1146"/>
      <c r="D113" s="623"/>
      <c r="E113" s="532"/>
      <c r="F113" s="532"/>
      <c r="G113" s="532"/>
      <c r="H113" s="460">
        <f>G113+'30'!H113</f>
        <v>0</v>
      </c>
      <c r="I113" s="532"/>
      <c r="J113" s="559">
        <f>H113/DAY(B2)</f>
        <v>0</v>
      </c>
      <c r="N113" s="440">
        <f>H113-'1'!E113</f>
        <v>0</v>
      </c>
      <c r="O113" s="382"/>
    </row>
    <row r="114" spans="1:15" s="442" customFormat="1" ht="27.75">
      <c r="A114" s="1416" t="s">
        <v>224</v>
      </c>
      <c r="B114" s="1417"/>
      <c r="C114" s="575"/>
      <c r="D114" s="623" t="s">
        <v>144</v>
      </c>
      <c r="E114" s="532">
        <f>'30'!F114</f>
        <v>0</v>
      </c>
      <c r="F114" s="534"/>
      <c r="G114" s="534">
        <f>F114-E114</f>
        <v>0</v>
      </c>
      <c r="H114" s="460">
        <f>G114+'30'!H114</f>
        <v>0</v>
      </c>
      <c r="I114" s="532"/>
      <c r="J114" s="559">
        <f>H114/DAY(B2)</f>
        <v>0</v>
      </c>
      <c r="N114" s="440">
        <f>H114-'1'!E114</f>
        <v>-10322</v>
      </c>
      <c r="O114" s="382"/>
    </row>
    <row r="115" spans="1:15" s="442" customFormat="1" ht="27.75">
      <c r="A115" s="1416" t="s">
        <v>225</v>
      </c>
      <c r="B115" s="1417"/>
      <c r="C115" s="575"/>
      <c r="D115" s="623" t="s">
        <v>144</v>
      </c>
      <c r="E115" s="532">
        <f>'30'!F115</f>
        <v>0</v>
      </c>
      <c r="F115" s="534"/>
      <c r="G115" s="534">
        <f t="shared" ref="G115:G116" si="12">F115-E115</f>
        <v>0</v>
      </c>
      <c r="H115" s="460">
        <f>G115+'30'!H115</f>
        <v>122</v>
      </c>
      <c r="I115" s="532"/>
      <c r="J115" s="559">
        <f>H115/DAY(B2)</f>
        <v>3.935483870967742</v>
      </c>
      <c r="N115" s="440">
        <f>H115-'1'!E115</f>
        <v>-7545</v>
      </c>
      <c r="O115" s="382"/>
    </row>
    <row r="116" spans="1:15" s="442" customFormat="1" ht="27.75">
      <c r="A116" s="1416" t="s">
        <v>226</v>
      </c>
      <c r="B116" s="1417"/>
      <c r="C116" s="575"/>
      <c r="D116" s="623" t="s">
        <v>144</v>
      </c>
      <c r="E116" s="534"/>
      <c r="F116" s="534"/>
      <c r="G116" s="534">
        <f t="shared" si="12"/>
        <v>0</v>
      </c>
      <c r="H116" s="460">
        <f>G116+'30'!H116</f>
        <v>144</v>
      </c>
      <c r="I116" s="532"/>
      <c r="J116" s="559">
        <f>H116/DAY(B2)</f>
        <v>4.645161290322581</v>
      </c>
      <c r="N116" s="440">
        <f>H116-'1'!E116</f>
        <v>144</v>
      </c>
      <c r="O116" s="382"/>
    </row>
    <row r="117" spans="1:15" s="445" customFormat="1" ht="27.75">
      <c r="A117" s="1419" t="s">
        <v>202</v>
      </c>
      <c r="B117" s="1420"/>
      <c r="C117" s="575"/>
      <c r="D117" s="624"/>
      <c r="E117" s="534"/>
      <c r="F117" s="534"/>
      <c r="G117" s="534">
        <f>SUM(G114:G116)</f>
        <v>0</v>
      </c>
      <c r="H117" s="460">
        <f>G117+'30'!H117</f>
        <v>76</v>
      </c>
      <c r="I117" s="534"/>
      <c r="J117" s="559">
        <f>H117/DAY(B2)</f>
        <v>2.4516129032258065</v>
      </c>
      <c r="N117" s="440">
        <f>H117-'1'!E117</f>
        <v>76</v>
      </c>
      <c r="O117" s="382"/>
    </row>
    <row r="118" spans="1:15" s="446" customFormat="1" ht="27.75">
      <c r="A118" s="1450" t="s">
        <v>227</v>
      </c>
      <c r="B118" s="1451"/>
      <c r="C118" s="1145"/>
      <c r="D118" s="625" t="s">
        <v>144</v>
      </c>
      <c r="E118" s="536"/>
      <c r="F118" s="536"/>
      <c r="G118" s="536">
        <f>SUM(G19+G92)</f>
        <v>0</v>
      </c>
      <c r="H118" s="460">
        <f>G118+'30'!H118</f>
        <v>13</v>
      </c>
      <c r="I118" s="535"/>
      <c r="J118" s="560">
        <f>H118/DAY(B2)</f>
        <v>0.41935483870967744</v>
      </c>
      <c r="N118" s="440">
        <f>H118-'1'!E118</f>
        <v>-374320</v>
      </c>
      <c r="O118" s="382"/>
    </row>
    <row r="119" spans="1:15" s="446" customFormat="1" ht="27.75">
      <c r="A119" s="1450" t="s">
        <v>228</v>
      </c>
      <c r="B119" s="1451"/>
      <c r="C119" s="1145"/>
      <c r="D119" s="625" t="s">
        <v>144</v>
      </c>
      <c r="E119" s="536"/>
      <c r="F119" s="536"/>
      <c r="G119" s="536">
        <f>SUM(G95,G96,G97,G99,G100)</f>
        <v>0</v>
      </c>
      <c r="H119" s="460">
        <f>G119+'30'!H119</f>
        <v>70</v>
      </c>
      <c r="I119" s="535"/>
      <c r="J119" s="560">
        <f>H119/DAY(B2)</f>
        <v>2.2580645161290325</v>
      </c>
      <c r="N119" s="440">
        <f>H119-'1'!E119</f>
        <v>-616962</v>
      </c>
      <c r="O119" s="382"/>
    </row>
    <row r="120" spans="1:15" s="446" customFormat="1" ht="27.75">
      <c r="A120" s="1450" t="s">
        <v>229</v>
      </c>
      <c r="B120" s="1451"/>
      <c r="C120" s="1145"/>
      <c r="D120" s="625" t="s">
        <v>144</v>
      </c>
      <c r="E120" s="534"/>
      <c r="F120" s="534"/>
      <c r="G120" s="534">
        <f>SUM(G112)</f>
        <v>0</v>
      </c>
      <c r="H120" s="460">
        <f>G120+'30'!H120</f>
        <v>14</v>
      </c>
      <c r="I120" s="535"/>
      <c r="J120" s="560">
        <f>H120/DAY(B2)</f>
        <v>0.45161290322580644</v>
      </c>
      <c r="N120" s="440">
        <f>H120-'1'!E120</f>
        <v>14</v>
      </c>
      <c r="O120" s="382"/>
    </row>
    <row r="121" spans="1:15" s="442" customFormat="1" ht="27.75">
      <c r="A121" s="1452"/>
      <c r="B121" s="1453"/>
      <c r="C121" s="1146"/>
      <c r="D121" s="561"/>
      <c r="E121" s="561" t="s">
        <v>215</v>
      </c>
      <c r="F121" s="561"/>
      <c r="G121" s="561"/>
      <c r="H121" s="562"/>
      <c r="I121" s="561"/>
      <c r="J121" s="563"/>
      <c r="N121" s="440" t="e">
        <f>H121-'1'!E121</f>
        <v>#VALUE!</v>
      </c>
      <c r="O121" s="382"/>
    </row>
    <row r="122" spans="1:15" ht="29.25">
      <c r="A122" s="1402" t="s">
        <v>230</v>
      </c>
      <c r="B122" s="1403"/>
      <c r="C122" s="1404"/>
      <c r="D122" s="472"/>
      <c r="E122" s="472"/>
      <c r="F122" s="472"/>
      <c r="G122" s="483"/>
      <c r="H122" s="483"/>
      <c r="I122" s="483"/>
      <c r="J122" s="564"/>
      <c r="K122" s="380"/>
      <c r="L122" s="377"/>
      <c r="N122" s="440">
        <f>H122-'1'!E122</f>
        <v>0</v>
      </c>
      <c r="O122" s="382"/>
    </row>
    <row r="123" spans="1:15" ht="27.75">
      <c r="A123" s="1148" t="s">
        <v>231</v>
      </c>
      <c r="B123" s="1149"/>
      <c r="C123" s="1149"/>
      <c r="D123" s="523" t="s">
        <v>141</v>
      </c>
      <c r="E123" s="455">
        <f>'30'!F123</f>
        <v>0</v>
      </c>
      <c r="F123" s="478"/>
      <c r="G123" s="473">
        <f t="shared" ref="G123:G127" si="13">F123-E123</f>
        <v>0</v>
      </c>
      <c r="H123" s="460">
        <f>G123+'30'!H123</f>
        <v>-811006.84</v>
      </c>
      <c r="I123" s="526"/>
      <c r="J123" s="553">
        <f>H123/DAY(B2)</f>
        <v>-26161.510967741935</v>
      </c>
      <c r="K123" s="380"/>
      <c r="L123" s="377"/>
      <c r="N123" s="440">
        <f>H123-'1'!E123</f>
        <v>-1622013.68</v>
      </c>
      <c r="O123" s="382"/>
    </row>
    <row r="124" spans="1:15" ht="27.75">
      <c r="A124" s="1148" t="s">
        <v>232</v>
      </c>
      <c r="B124" s="1149"/>
      <c r="C124" s="1149"/>
      <c r="D124" s="523" t="s">
        <v>141</v>
      </c>
      <c r="E124" s="455">
        <f>'30'!F124</f>
        <v>0</v>
      </c>
      <c r="F124" s="627"/>
      <c r="G124" s="473">
        <f t="shared" si="13"/>
        <v>0</v>
      </c>
      <c r="H124" s="460">
        <f>G124+'30'!H124</f>
        <v>-73583.399999999994</v>
      </c>
      <c r="I124" s="526"/>
      <c r="J124" s="553">
        <f>H124/DAY(B2)</f>
        <v>-2373.6580645161289</v>
      </c>
      <c r="K124" s="380"/>
      <c r="L124" s="377"/>
      <c r="N124" s="440">
        <f>H124-'1'!E124</f>
        <v>-147166.79999999999</v>
      </c>
      <c r="O124" s="382"/>
    </row>
    <row r="125" spans="1:15" ht="27.75">
      <c r="A125" s="1408" t="s">
        <v>233</v>
      </c>
      <c r="B125" s="1409"/>
      <c r="C125" s="1410"/>
      <c r="D125" s="523" t="s">
        <v>141</v>
      </c>
      <c r="E125" s="455">
        <f>'30'!F125</f>
        <v>0</v>
      </c>
      <c r="F125" s="478"/>
      <c r="G125" s="473">
        <f t="shared" si="13"/>
        <v>0</v>
      </c>
      <c r="H125" s="460">
        <f>G125+'30'!H125</f>
        <v>-139979.34</v>
      </c>
      <c r="I125" s="526"/>
      <c r="J125" s="553">
        <f>H125/DAY(B2)</f>
        <v>-4515.4625806451613</v>
      </c>
      <c r="K125" s="380"/>
      <c r="L125" s="377"/>
      <c r="N125" s="440">
        <f>H125-'1'!E125</f>
        <v>-279958.68</v>
      </c>
      <c r="O125" s="382"/>
    </row>
    <row r="126" spans="1:15" ht="27.75">
      <c r="A126" s="610" t="s">
        <v>234</v>
      </c>
      <c r="B126" s="1149"/>
      <c r="C126" s="1149"/>
      <c r="D126" s="523" t="s">
        <v>141</v>
      </c>
      <c r="E126" s="455">
        <f>'30'!F126</f>
        <v>0</v>
      </c>
      <c r="F126" s="627"/>
      <c r="G126" s="473">
        <f t="shared" si="13"/>
        <v>0</v>
      </c>
      <c r="H126" s="460">
        <f>G126+'30'!H126</f>
        <v>-59306.9</v>
      </c>
      <c r="I126" s="526"/>
      <c r="J126" s="553">
        <f>H126/DAY(B2)</f>
        <v>-1913.125806451613</v>
      </c>
      <c r="K126" s="380"/>
      <c r="L126" s="377"/>
      <c r="N126" s="440">
        <f>H126-'1'!E126</f>
        <v>-118613.8</v>
      </c>
      <c r="O126" s="382"/>
    </row>
    <row r="127" spans="1:15" ht="27.75">
      <c r="A127" s="610" t="s">
        <v>235</v>
      </c>
      <c r="B127" s="1149"/>
      <c r="C127" s="1149"/>
      <c r="D127" s="523" t="s">
        <v>141</v>
      </c>
      <c r="E127" s="455">
        <f>'30'!F127</f>
        <v>0</v>
      </c>
      <c r="F127" s="627"/>
      <c r="G127" s="473">
        <f t="shared" si="13"/>
        <v>0</v>
      </c>
      <c r="H127" s="460">
        <f>G127+'30'!H127</f>
        <v>-8887.7999999999993</v>
      </c>
      <c r="I127" s="480"/>
      <c r="J127" s="553">
        <f>H127/DAY(B2)</f>
        <v>-286.7032258064516</v>
      </c>
      <c r="K127" s="380"/>
      <c r="L127" s="377"/>
      <c r="N127" s="440">
        <f>H127-'1'!E127</f>
        <v>-17775.599999999999</v>
      </c>
      <c r="O127" s="382"/>
    </row>
    <row r="128" spans="1:15" s="281" customFormat="1" ht="27.7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0</v>
      </c>
      <c r="H128" s="460">
        <f>G128+'30'!H128</f>
        <v>0</v>
      </c>
      <c r="I128" s="480"/>
      <c r="J128" s="553"/>
      <c r="K128" s="364"/>
      <c r="L128" s="292"/>
      <c r="N128" s="440">
        <f>H128-'1'!E128</f>
        <v>0</v>
      </c>
      <c r="O128" s="382"/>
    </row>
    <row r="129" spans="1:15" ht="29.25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O129" s="382"/>
    </row>
    <row r="130" spans="1:15" ht="27.75">
      <c r="A130" s="1148" t="s">
        <v>238</v>
      </c>
      <c r="B130" s="1149"/>
      <c r="C130" s="1149"/>
      <c r="D130" s="523" t="s">
        <v>239</v>
      </c>
      <c r="E130" s="455">
        <f>'30'!F130</f>
        <v>0</v>
      </c>
      <c r="F130" s="484"/>
      <c r="G130" s="473">
        <f t="shared" ref="G130:G140" si="14">F130-E130</f>
        <v>0</v>
      </c>
      <c r="H130" s="460">
        <f>G130+'30'!H130</f>
        <v>0</v>
      </c>
      <c r="I130" s="480"/>
      <c r="J130" s="553">
        <f>H130/DAY(B2)</f>
        <v>0</v>
      </c>
      <c r="O130" s="382"/>
    </row>
    <row r="131" spans="1:15" ht="27.75">
      <c r="A131" s="1148" t="s">
        <v>240</v>
      </c>
      <c r="B131" s="1149"/>
      <c r="C131" s="1149"/>
      <c r="D131" s="523" t="s">
        <v>239</v>
      </c>
      <c r="E131" s="455">
        <f>'30'!F131</f>
        <v>0</v>
      </c>
      <c r="F131" s="484"/>
      <c r="G131" s="473">
        <f t="shared" si="14"/>
        <v>0</v>
      </c>
      <c r="H131" s="460">
        <f>G131+'30'!H131</f>
        <v>0</v>
      </c>
      <c r="I131" s="480"/>
      <c r="J131" s="553">
        <f>H131/DAY(B2)</f>
        <v>0</v>
      </c>
      <c r="O131" s="382"/>
    </row>
    <row r="132" spans="1:15" ht="27.75">
      <c r="A132" s="1148" t="s">
        <v>241</v>
      </c>
      <c r="B132" s="1149"/>
      <c r="C132" s="1149"/>
      <c r="D132" s="523" t="s">
        <v>239</v>
      </c>
      <c r="E132" s="455">
        <f>'30'!F132</f>
        <v>0</v>
      </c>
      <c r="F132" s="542"/>
      <c r="G132" s="473">
        <f t="shared" si="14"/>
        <v>0</v>
      </c>
      <c r="H132" s="460">
        <f>G132+'30'!H132</f>
        <v>-38838.33</v>
      </c>
      <c r="I132" s="480"/>
      <c r="J132" s="553">
        <f>H132/DAY(B2)</f>
        <v>-1252.8493548387098</v>
      </c>
      <c r="O132" s="382"/>
    </row>
    <row r="133" spans="1:15" ht="27.75">
      <c r="A133" s="1148" t="s">
        <v>242</v>
      </c>
      <c r="B133" s="1149"/>
      <c r="C133" s="1149"/>
      <c r="D133" s="523" t="s">
        <v>239</v>
      </c>
      <c r="E133" s="455">
        <f>'30'!F133</f>
        <v>0</v>
      </c>
      <c r="F133" s="542"/>
      <c r="G133" s="473">
        <f t="shared" si="14"/>
        <v>0</v>
      </c>
      <c r="H133" s="460">
        <f>G133+'30'!H133</f>
        <v>-300</v>
      </c>
      <c r="I133" s="480">
        <f>G130+G131+G132+G133</f>
        <v>0</v>
      </c>
      <c r="J133" s="553">
        <f>H133/DAY(B2)</f>
        <v>-9.67741935483871</v>
      </c>
      <c r="O133" s="382"/>
    </row>
    <row r="134" spans="1:15" ht="27.75">
      <c r="A134" s="1148" t="s">
        <v>243</v>
      </c>
      <c r="B134" s="1149"/>
      <c r="C134" s="1149"/>
      <c r="D134" s="523" t="s">
        <v>239</v>
      </c>
      <c r="E134" s="455">
        <f>'30'!F134</f>
        <v>0</v>
      </c>
      <c r="F134" s="542"/>
      <c r="G134" s="473">
        <f t="shared" si="14"/>
        <v>0</v>
      </c>
      <c r="H134" s="460">
        <f>G134+'30'!H134</f>
        <v>-40778</v>
      </c>
      <c r="I134" s="480"/>
      <c r="J134" s="553">
        <f>H134/DAY(B2)</f>
        <v>-1315.4193548387098</v>
      </c>
      <c r="O134" s="382"/>
    </row>
    <row r="135" spans="1:15" ht="27.75">
      <c r="A135" s="1148" t="s">
        <v>244</v>
      </c>
      <c r="B135" s="1149"/>
      <c r="C135" s="1149"/>
      <c r="D135" s="523" t="s">
        <v>239</v>
      </c>
      <c r="E135" s="455">
        <f>'30'!F135</f>
        <v>0</v>
      </c>
      <c r="F135" s="542"/>
      <c r="G135" s="473">
        <f t="shared" si="14"/>
        <v>0</v>
      </c>
      <c r="H135" s="460">
        <f>G135+'30'!H135</f>
        <v>-32569.93</v>
      </c>
      <c r="I135" s="480"/>
      <c r="J135" s="553">
        <f>H135/DAY(B2)</f>
        <v>-1050.6429032258065</v>
      </c>
      <c r="O135" s="382"/>
    </row>
    <row r="136" spans="1:15" ht="27.75">
      <c r="A136" s="1148" t="s">
        <v>245</v>
      </c>
      <c r="B136" s="1149"/>
      <c r="C136" s="1149"/>
      <c r="D136" s="523" t="s">
        <v>239</v>
      </c>
      <c r="E136" s="455">
        <f>'30'!F136</f>
        <v>0</v>
      </c>
      <c r="F136" s="542"/>
      <c r="G136" s="473">
        <f t="shared" si="14"/>
        <v>0</v>
      </c>
      <c r="H136" s="460">
        <f>G136+'30'!H136</f>
        <v>-22222.21</v>
      </c>
      <c r="I136" s="480">
        <f>G134+G135+G136</f>
        <v>0</v>
      </c>
      <c r="J136" s="553">
        <f>H136/DAY(B2)</f>
        <v>-716.84548387096777</v>
      </c>
      <c r="O136" s="382"/>
    </row>
    <row r="137" spans="1:15" ht="27.75">
      <c r="A137" s="1148" t="s">
        <v>246</v>
      </c>
      <c r="B137" s="1149"/>
      <c r="C137" s="1149"/>
      <c r="D137" s="523" t="s">
        <v>239</v>
      </c>
      <c r="E137" s="455">
        <f>'30'!F137</f>
        <v>0</v>
      </c>
      <c r="F137" s="542"/>
      <c r="G137" s="473">
        <f t="shared" si="14"/>
        <v>0</v>
      </c>
      <c r="H137" s="460">
        <f>G137+'30'!H137</f>
        <v>-25036.31</v>
      </c>
      <c r="I137" s="480"/>
      <c r="J137" s="553">
        <f>H137/DAY(B2)</f>
        <v>-807.62290322580645</v>
      </c>
      <c r="O137" s="382"/>
    </row>
    <row r="138" spans="1:15" ht="27.75">
      <c r="A138" s="1148" t="s">
        <v>247</v>
      </c>
      <c r="B138" s="1149"/>
      <c r="C138" s="1149"/>
      <c r="D138" s="523" t="s">
        <v>239</v>
      </c>
      <c r="E138" s="455">
        <f>'30'!F138</f>
        <v>0</v>
      </c>
      <c r="F138" s="542"/>
      <c r="G138" s="473">
        <f t="shared" si="14"/>
        <v>0</v>
      </c>
      <c r="H138" s="460">
        <f>G138+'30'!H138</f>
        <v>-70223</v>
      </c>
      <c r="I138" s="480">
        <f>G137+G138</f>
        <v>0</v>
      </c>
      <c r="J138" s="553">
        <f>H138/DAY(B2)</f>
        <v>-2265.2580645161293</v>
      </c>
      <c r="O138" s="382"/>
    </row>
    <row r="139" spans="1:15" ht="27.75">
      <c r="A139" s="1148" t="s">
        <v>248</v>
      </c>
      <c r="B139" s="1149"/>
      <c r="C139" s="1149"/>
      <c r="D139" s="523" t="s">
        <v>239</v>
      </c>
      <c r="E139" s="455">
        <f>'30'!F139</f>
        <v>0</v>
      </c>
      <c r="F139" s="484"/>
      <c r="G139" s="473">
        <f t="shared" si="14"/>
        <v>0</v>
      </c>
      <c r="H139" s="460">
        <f>G139+'30'!H139</f>
        <v>-1423.14</v>
      </c>
      <c r="I139" s="543"/>
      <c r="J139" s="553">
        <f>H139/DAY(B2)</f>
        <v>-45.907741935483877</v>
      </c>
      <c r="O139" s="382"/>
    </row>
    <row r="140" spans="1:15" ht="27.75">
      <c r="A140" s="1148" t="s">
        <v>249</v>
      </c>
      <c r="B140" s="1149"/>
      <c r="C140" s="1149"/>
      <c r="D140" s="523" t="s">
        <v>239</v>
      </c>
      <c r="E140" s="455">
        <f>'30'!F140</f>
        <v>0</v>
      </c>
      <c r="F140" s="484"/>
      <c r="G140" s="473">
        <f t="shared" si="14"/>
        <v>0</v>
      </c>
      <c r="H140" s="460">
        <f>G140+'30'!H140</f>
        <v>-4334</v>
      </c>
      <c r="I140" s="543"/>
      <c r="J140" s="553">
        <f>H140/DAY(B2)</f>
        <v>-139.80645161290323</v>
      </c>
      <c r="O140" s="382"/>
    </row>
    <row r="141" spans="1:15" ht="29.25">
      <c r="A141" s="1446" t="s">
        <v>250</v>
      </c>
      <c r="B141" s="1447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O141" s="382"/>
    </row>
    <row r="142" spans="1:15" ht="27.75">
      <c r="A142" s="1411" t="s">
        <v>251</v>
      </c>
      <c r="B142" s="1412"/>
      <c r="C142" s="1413"/>
      <c r="D142" s="523" t="s">
        <v>132</v>
      </c>
      <c r="E142" s="523"/>
      <c r="F142" s="523"/>
      <c r="G142" s="460">
        <f>G35+G43+G49+G57</f>
        <v>0</v>
      </c>
      <c r="H142" s="460">
        <f>G142+'30'!H142</f>
        <v>-1789744.52</v>
      </c>
      <c r="I142" s="480"/>
      <c r="J142" s="553">
        <f>H142/DAY(B2)</f>
        <v>-57733.694193548385</v>
      </c>
      <c r="K142" s="380"/>
      <c r="L142" s="377"/>
      <c r="O142" s="382"/>
    </row>
    <row r="143" spans="1:15" ht="27.75">
      <c r="A143" s="1411" t="s">
        <v>252</v>
      </c>
      <c r="B143" s="1412"/>
      <c r="C143" s="1413"/>
      <c r="D143" s="523" t="s">
        <v>24</v>
      </c>
      <c r="E143" s="511"/>
      <c r="F143" s="511"/>
      <c r="G143" s="544" t="e">
        <f>G142/G7</f>
        <v>#DIV/0!</v>
      </c>
      <c r="H143" s="460" t="e">
        <f>G143+'30'!H143</f>
        <v>#DIV/0!</v>
      </c>
      <c r="I143" s="545"/>
      <c r="J143" s="553" t="e">
        <f>H143/DAY(B2)</f>
        <v>#DIV/0!</v>
      </c>
      <c r="K143" s="380"/>
      <c r="L143" s="377"/>
      <c r="O143" s="382"/>
    </row>
    <row r="144" spans="1:15" ht="27.75">
      <c r="A144" s="1411" t="s">
        <v>253</v>
      </c>
      <c r="B144" s="1412"/>
      <c r="C144" s="1413"/>
      <c r="D144" s="523" t="s">
        <v>132</v>
      </c>
      <c r="E144" s="455"/>
      <c r="F144" s="455"/>
      <c r="G144" s="460">
        <f>G41+G42+G55+G56</f>
        <v>0</v>
      </c>
      <c r="H144" s="460">
        <f>G144+'30'!H144</f>
        <v>-826647.94000000006</v>
      </c>
      <c r="I144" s="480"/>
      <c r="J144" s="553">
        <f>H144/DAY(B2)</f>
        <v>-26666.062580645164</v>
      </c>
      <c r="K144" s="380"/>
      <c r="L144" s="377"/>
      <c r="O144" s="382"/>
    </row>
    <row r="145" spans="1:15" ht="27.75">
      <c r="A145" s="1411" t="s">
        <v>254</v>
      </c>
      <c r="B145" s="1412"/>
      <c r="C145" s="1413"/>
      <c r="D145" s="523" t="s">
        <v>24</v>
      </c>
      <c r="E145" s="455"/>
      <c r="F145" s="455"/>
      <c r="G145" s="544" t="e">
        <f>G144/G7</f>
        <v>#DIV/0!</v>
      </c>
      <c r="H145" s="460" t="e">
        <f>G145+'30'!H145</f>
        <v>#DIV/0!</v>
      </c>
      <c r="I145" s="545"/>
      <c r="J145" s="553" t="e">
        <f>H145/DAY(B2)</f>
        <v>#DIV/0!</v>
      </c>
      <c r="K145" s="380"/>
      <c r="L145" s="377"/>
      <c r="O145" s="382"/>
    </row>
    <row r="146" spans="1:15" ht="27.75">
      <c r="A146" s="1411" t="s">
        <v>255</v>
      </c>
      <c r="B146" s="1412"/>
      <c r="C146" s="1413"/>
      <c r="D146" s="523" t="s">
        <v>132</v>
      </c>
      <c r="E146" s="455"/>
      <c r="F146" s="455"/>
      <c r="G146" s="460">
        <f>G39+G53</f>
        <v>0</v>
      </c>
      <c r="H146" s="460">
        <f>G146+'30'!H146</f>
        <v>-322461.62</v>
      </c>
      <c r="I146" s="546"/>
      <c r="J146" s="553">
        <f>H146/DAY(B2)</f>
        <v>-10401.987741935483</v>
      </c>
      <c r="K146" s="380"/>
      <c r="L146" s="377"/>
      <c r="O146" s="382"/>
    </row>
    <row r="147" spans="1:15" ht="27.75">
      <c r="A147" s="1411" t="s">
        <v>256</v>
      </c>
      <c r="B147" s="1412"/>
      <c r="C147" s="1413"/>
      <c r="D147" s="523" t="s">
        <v>24</v>
      </c>
      <c r="E147" s="455"/>
      <c r="F147" s="455"/>
      <c r="G147" s="544" t="e">
        <f>G146/G7</f>
        <v>#DIV/0!</v>
      </c>
      <c r="H147" s="460" t="e">
        <f>G147+'30'!H147</f>
        <v>#DIV/0!</v>
      </c>
      <c r="I147" s="546"/>
      <c r="J147" s="553" t="e">
        <f>H147/DAY(B2)</f>
        <v>#DIV/0!</v>
      </c>
      <c r="O147" s="382"/>
    </row>
    <row r="148" spans="1:15" ht="27.75">
      <c r="A148" s="1411" t="s">
        <v>257</v>
      </c>
      <c r="B148" s="1412"/>
      <c r="C148" s="1413"/>
      <c r="D148" s="523" t="s">
        <v>183</v>
      </c>
      <c r="E148" s="455"/>
      <c r="F148" s="455"/>
      <c r="G148" s="460">
        <f>G38+G52</f>
        <v>0</v>
      </c>
      <c r="H148" s="460">
        <f>G148+'30'!H148</f>
        <v>-551726.20000000007</v>
      </c>
      <c r="I148" s="480"/>
      <c r="J148" s="553">
        <f>H148/DAY(B2)</f>
        <v>-17797.619354838713</v>
      </c>
      <c r="K148" s="381"/>
      <c r="O148" s="382"/>
    </row>
    <row r="149" spans="1:15" ht="27.75">
      <c r="A149" s="1411" t="s">
        <v>258</v>
      </c>
      <c r="B149" s="1412"/>
      <c r="C149" s="1413"/>
      <c r="D149" s="523" t="s">
        <v>24</v>
      </c>
      <c r="E149" s="455"/>
      <c r="F149" s="455"/>
      <c r="G149" s="544" t="e">
        <f>G148/G7</f>
        <v>#DIV/0!</v>
      </c>
      <c r="H149" s="460" t="e">
        <f>G149+'30'!H149</f>
        <v>#DIV/0!</v>
      </c>
      <c r="I149" s="546"/>
      <c r="J149" s="553" t="e">
        <f>H149/DAY(B2)</f>
        <v>#DIV/0!</v>
      </c>
      <c r="O149" s="382"/>
    </row>
    <row r="150" spans="1:15" ht="27.75">
      <c r="A150" s="1411" t="s">
        <v>259</v>
      </c>
      <c r="B150" s="1412"/>
      <c r="C150" s="1413"/>
      <c r="D150" s="523" t="s">
        <v>183</v>
      </c>
      <c r="E150" s="455"/>
      <c r="F150" s="455"/>
      <c r="G150" s="460">
        <f>G36+G50</f>
        <v>0</v>
      </c>
      <c r="H150" s="460">
        <f>G150+'30'!H150</f>
        <v>-698908.60000000009</v>
      </c>
      <c r="I150" s="546"/>
      <c r="J150" s="553">
        <f>H150/DAY(B2)</f>
        <v>-22545.438709677423</v>
      </c>
      <c r="O150" s="382"/>
    </row>
    <row r="151" spans="1:15" ht="27.75">
      <c r="A151" s="1411" t="s">
        <v>260</v>
      </c>
      <c r="B151" s="1412"/>
      <c r="C151" s="1413"/>
      <c r="D151" s="523" t="s">
        <v>24</v>
      </c>
      <c r="E151" s="455"/>
      <c r="F151" s="455"/>
      <c r="G151" s="544" t="e">
        <f>G150/G7</f>
        <v>#DIV/0!</v>
      </c>
      <c r="H151" s="460" t="e">
        <f>G151+'30'!H151</f>
        <v>#DIV/0!</v>
      </c>
      <c r="I151" s="480"/>
      <c r="J151" s="553" t="e">
        <f>H151/DAY(B2)</f>
        <v>#DIV/0!</v>
      </c>
      <c r="O151" s="382"/>
    </row>
    <row r="152" spans="1:15" ht="27.75">
      <c r="A152" s="1411" t="s">
        <v>261</v>
      </c>
      <c r="B152" s="1412"/>
      <c r="C152" s="1413"/>
      <c r="D152" s="523" t="s">
        <v>183</v>
      </c>
      <c r="E152" s="455"/>
      <c r="F152" s="455"/>
      <c r="G152" s="460">
        <f>G37+G51</f>
        <v>0</v>
      </c>
      <c r="H152" s="460">
        <f>G152+'30'!H152</f>
        <v>-116945.84000000001</v>
      </c>
      <c r="I152" s="480"/>
      <c r="J152" s="553">
        <f>H152/DAY(B2)</f>
        <v>-3772.4464516129037</v>
      </c>
      <c r="O152" s="382"/>
    </row>
    <row r="153" spans="1:15" ht="28.5" thickBot="1">
      <c r="A153" s="1443" t="s">
        <v>262</v>
      </c>
      <c r="B153" s="1444"/>
      <c r="C153" s="1445"/>
      <c r="D153" s="626" t="s">
        <v>24</v>
      </c>
      <c r="E153" s="566"/>
      <c r="F153" s="566"/>
      <c r="G153" s="567" t="e">
        <f>G152/G7</f>
        <v>#DIV/0!</v>
      </c>
      <c r="H153" s="460" t="e">
        <f>G153+'30'!H153</f>
        <v>#DIV/0!</v>
      </c>
      <c r="I153" s="569"/>
      <c r="J153" s="570" t="e">
        <f>H153/DAY(B2)</f>
        <v>#DIV/0!</v>
      </c>
      <c r="O153" s="382"/>
    </row>
    <row r="154" spans="1:15" ht="29.25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  <c r="O154" s="382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790" t="s">
        <v>263</v>
      </c>
      <c r="B160" s="791"/>
      <c r="C160" s="791"/>
      <c r="D160" s="511" t="s">
        <v>187</v>
      </c>
      <c r="E160" s="455">
        <f>'30'!F160</f>
        <v>28347.759999999998</v>
      </c>
      <c r="F160" s="663">
        <v>28430.42</v>
      </c>
      <c r="G160" s="473">
        <f t="shared" ref="G160:G163" si="15">F160-E160</f>
        <v>82.659999999999854</v>
      </c>
    </row>
    <row r="161" spans="1:7" ht="29.25">
      <c r="A161" s="790" t="s">
        <v>264</v>
      </c>
      <c r="B161" s="791"/>
      <c r="C161" s="791"/>
      <c r="D161" s="511" t="s">
        <v>187</v>
      </c>
      <c r="E161" s="455">
        <f>'30'!F161</f>
        <v>42121.97</v>
      </c>
      <c r="F161" s="663">
        <v>42555.62</v>
      </c>
      <c r="G161" s="473">
        <f t="shared" si="15"/>
        <v>433.65000000000146</v>
      </c>
    </row>
    <row r="162" spans="1:7" ht="29.25">
      <c r="A162" s="790" t="s">
        <v>265</v>
      </c>
      <c r="B162" s="791"/>
      <c r="C162" s="791"/>
      <c r="D162" s="511" t="s">
        <v>187</v>
      </c>
      <c r="E162" s="455">
        <f>'30'!F162</f>
        <v>12556</v>
      </c>
      <c r="F162" s="663">
        <v>12801.7</v>
      </c>
      <c r="G162" s="473">
        <f t="shared" si="15"/>
        <v>245.70000000000073</v>
      </c>
    </row>
    <row r="163" spans="1:7" ht="29.25">
      <c r="A163" s="790" t="s">
        <v>266</v>
      </c>
      <c r="B163" s="791"/>
      <c r="C163" s="791"/>
      <c r="D163" s="511" t="s">
        <v>187</v>
      </c>
      <c r="E163" s="455">
        <f>'30'!F163</f>
        <v>4976.6499999999996</v>
      </c>
      <c r="F163" s="663">
        <v>4997.0600000000004</v>
      </c>
      <c r="G163" s="473">
        <f t="shared" si="15"/>
        <v>20.410000000000764</v>
      </c>
    </row>
    <row r="164" spans="1:7" ht="29.25">
      <c r="A164" s="792" t="s">
        <v>98</v>
      </c>
      <c r="B164" s="605"/>
      <c r="C164" s="605"/>
      <c r="D164" s="511" t="s">
        <v>187</v>
      </c>
      <c r="E164" s="514">
        <f>E62</f>
        <v>0</v>
      </c>
      <c r="F164" s="514">
        <f>F62</f>
        <v>0</v>
      </c>
      <c r="G164" s="473">
        <f t="shared" ref="G164:G171" si="16">F164-E164</f>
        <v>0</v>
      </c>
    </row>
    <row r="165" spans="1:7" ht="29.25">
      <c r="A165" s="792" t="s">
        <v>188</v>
      </c>
      <c r="B165" s="605"/>
      <c r="C165" s="605"/>
      <c r="D165" s="511" t="s">
        <v>187</v>
      </c>
      <c r="E165" s="514">
        <f t="shared" ref="E165:E171" si="17">E63</f>
        <v>0</v>
      </c>
      <c r="F165" s="514">
        <f t="shared" ref="F165:F171" si="18">F63</f>
        <v>0</v>
      </c>
      <c r="G165" s="473">
        <f t="shared" si="16"/>
        <v>0</v>
      </c>
    </row>
    <row r="166" spans="1:7" ht="27.75">
      <c r="A166" s="1460" t="s">
        <v>99</v>
      </c>
      <c r="B166" s="1460"/>
      <c r="C166" s="1460"/>
      <c r="D166" s="523" t="s">
        <v>187</v>
      </c>
      <c r="E166" s="514">
        <f t="shared" si="17"/>
        <v>0</v>
      </c>
      <c r="F166" s="514">
        <f t="shared" si="18"/>
        <v>0</v>
      </c>
      <c r="G166" s="473">
        <f t="shared" si="16"/>
        <v>0</v>
      </c>
    </row>
    <row r="167" spans="1:7" ht="27.75">
      <c r="A167" s="1460" t="s">
        <v>100</v>
      </c>
      <c r="B167" s="1460"/>
      <c r="C167" s="1460"/>
      <c r="D167" s="523" t="s">
        <v>187</v>
      </c>
      <c r="E167" s="514">
        <f t="shared" si="17"/>
        <v>0</v>
      </c>
      <c r="F167" s="514">
        <f t="shared" si="18"/>
        <v>0</v>
      </c>
      <c r="G167" s="473">
        <f t="shared" si="16"/>
        <v>0</v>
      </c>
    </row>
    <row r="168" spans="1:7" ht="27.75">
      <c r="A168" s="1460" t="s">
        <v>101</v>
      </c>
      <c r="B168" s="1460"/>
      <c r="C168" s="1460"/>
      <c r="D168" s="523" t="s">
        <v>187</v>
      </c>
      <c r="E168" s="514">
        <f t="shared" si="17"/>
        <v>0</v>
      </c>
      <c r="F168" s="514">
        <f t="shared" si="18"/>
        <v>0</v>
      </c>
      <c r="G168" s="473">
        <f t="shared" si="16"/>
        <v>0</v>
      </c>
    </row>
    <row r="169" spans="1:7" ht="27.75">
      <c r="A169" s="1460" t="s">
        <v>102</v>
      </c>
      <c r="B169" s="1460"/>
      <c r="C169" s="1460"/>
      <c r="D169" s="523" t="s">
        <v>187</v>
      </c>
      <c r="E169" s="514">
        <f t="shared" si="17"/>
        <v>0</v>
      </c>
      <c r="F169" s="514">
        <f t="shared" si="18"/>
        <v>0</v>
      </c>
      <c r="G169" s="473">
        <f t="shared" si="16"/>
        <v>0</v>
      </c>
    </row>
    <row r="170" spans="1:7" ht="27.75">
      <c r="A170" s="1460" t="s">
        <v>103</v>
      </c>
      <c r="B170" s="1460"/>
      <c r="C170" s="1460"/>
      <c r="D170" s="523" t="s">
        <v>187</v>
      </c>
      <c r="E170" s="514">
        <f t="shared" si="17"/>
        <v>0</v>
      </c>
      <c r="F170" s="514">
        <f t="shared" si="18"/>
        <v>0</v>
      </c>
      <c r="G170" s="473">
        <f t="shared" si="16"/>
        <v>0</v>
      </c>
    </row>
    <row r="171" spans="1:7" ht="27.75">
      <c r="A171" s="1460" t="s">
        <v>104</v>
      </c>
      <c r="B171" s="1460"/>
      <c r="C171" s="1460"/>
      <c r="D171" s="523" t="s">
        <v>187</v>
      </c>
      <c r="E171" s="514">
        <f t="shared" si="17"/>
        <v>0</v>
      </c>
      <c r="F171" s="514">
        <f t="shared" si="18"/>
        <v>0</v>
      </c>
      <c r="G171" s="473">
        <f t="shared" si="16"/>
        <v>0</v>
      </c>
    </row>
    <row r="172" spans="1:7" ht="29.25">
      <c r="G172" s="540">
        <f>SUM(G160:G171)</f>
        <v>782.4200000000028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84"/>
      <c r="B1" s="1384"/>
      <c r="C1" s="1384"/>
      <c r="D1" s="1384"/>
      <c r="E1" s="1384"/>
      <c r="F1" s="1384"/>
      <c r="G1" s="1384"/>
      <c r="H1" s="1384"/>
      <c r="I1" s="1384"/>
      <c r="J1" s="1384"/>
      <c r="K1" s="1384"/>
      <c r="L1" s="1384"/>
      <c r="M1" s="1384"/>
      <c r="N1" s="1384"/>
      <c r="O1" s="1384"/>
    </row>
    <row r="2" spans="1:15" ht="28.5" customHeight="1">
      <c r="A2" s="1" t="s">
        <v>0</v>
      </c>
      <c r="B2" s="1" t="s">
        <v>0</v>
      </c>
      <c r="C2" s="1122" t="s">
        <v>1</v>
      </c>
      <c r="D2" s="4" t="s">
        <v>4</v>
      </c>
      <c r="E2" s="1386" t="s">
        <v>7</v>
      </c>
      <c r="F2" s="1386"/>
      <c r="G2" s="1386"/>
      <c r="H2" s="1392" t="s">
        <v>15</v>
      </c>
      <c r="I2" s="1392"/>
      <c r="J2" s="1392"/>
      <c r="K2" s="1122" t="s">
        <v>16</v>
      </c>
      <c r="L2" s="1392" t="s">
        <v>17</v>
      </c>
      <c r="M2" s="1392"/>
      <c r="N2" s="1392"/>
      <c r="O2" s="1122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283</v>
      </c>
      <c r="O3" s="12"/>
    </row>
    <row r="4" spans="1:15">
      <c r="A4" s="16">
        <v>1</v>
      </c>
      <c r="B4" s="17">
        <v>1</v>
      </c>
      <c r="C4" s="18"/>
      <c r="D4" s="19">
        <f>'1'!F8</f>
        <v>4495710</v>
      </c>
      <c r="E4" s="19">
        <f>'1'!G96</f>
        <v>13</v>
      </c>
      <c r="F4" s="19">
        <f>'1'!F141</f>
        <v>0</v>
      </c>
      <c r="G4" s="21">
        <f>E4*F4</f>
        <v>0</v>
      </c>
      <c r="H4" s="19">
        <f>'1'!G68</f>
        <v>348.89999999999418</v>
      </c>
      <c r="I4" s="19">
        <f>'1'!G69</f>
        <v>324.00100000000384</v>
      </c>
      <c r="J4" s="19">
        <f>'1'!G70</f>
        <v>0</v>
      </c>
      <c r="K4" s="23">
        <f>H4+I4</f>
        <v>672.90099999999802</v>
      </c>
      <c r="L4" s="19">
        <f>'1'!G71</f>
        <v>0</v>
      </c>
      <c r="M4" s="19">
        <f>'1'!G72</f>
        <v>70</v>
      </c>
      <c r="N4" s="19">
        <v>0</v>
      </c>
      <c r="O4" s="23">
        <f>L4+M4+N4</f>
        <v>70</v>
      </c>
    </row>
    <row r="5" spans="1:15">
      <c r="A5" s="16">
        <v>2</v>
      </c>
      <c r="B5" s="26">
        <v>2</v>
      </c>
      <c r="C5" s="26"/>
      <c r="D5" s="19">
        <f>'2'!F8</f>
        <v>4518306</v>
      </c>
      <c r="E5" s="19">
        <f>'2'!G95</f>
        <v>85</v>
      </c>
      <c r="F5" s="19">
        <f>'2'!F122</f>
        <v>0</v>
      </c>
      <c r="G5" s="21">
        <f t="shared" ref="G5:G18" si="0">E5*F5</f>
        <v>0</v>
      </c>
      <c r="H5" s="19">
        <f>'2'!G68</f>
        <v>364.49000000000524</v>
      </c>
      <c r="I5" s="19">
        <f>'2'!G69</f>
        <v>327.02900000000227</v>
      </c>
      <c r="J5" s="19">
        <f>'2'!G70</f>
        <v>0</v>
      </c>
      <c r="K5" s="23">
        <f t="shared" ref="K5:K18" si="1">H5+I5</f>
        <v>691.51900000000751</v>
      </c>
      <c r="L5" s="19">
        <f>'2'!G71</f>
        <v>0</v>
      </c>
      <c r="M5" s="19">
        <f>'2'!G72</f>
        <v>73</v>
      </c>
      <c r="N5" s="19">
        <v>0</v>
      </c>
      <c r="O5" s="23">
        <f t="shared" ref="O5:O18" si="2">L5+M5+N5</f>
        <v>73</v>
      </c>
    </row>
    <row r="6" spans="1:15">
      <c r="A6" s="16">
        <v>3</v>
      </c>
      <c r="B6" s="26">
        <v>3</v>
      </c>
      <c r="C6" s="26"/>
      <c r="D6" s="19">
        <f>'4'!F8</f>
        <v>4559427</v>
      </c>
      <c r="E6" s="19">
        <f>'3'!G95</f>
        <v>76</v>
      </c>
      <c r="F6" s="19">
        <f>'3'!F122</f>
        <v>0</v>
      </c>
      <c r="G6" s="21">
        <f t="shared" si="0"/>
        <v>0</v>
      </c>
      <c r="H6" s="19">
        <f>'4'!G68</f>
        <v>331.85000000000582</v>
      </c>
      <c r="I6" s="19">
        <f>'4'!G69</f>
        <v>314.91000000000349</v>
      </c>
      <c r="J6" s="19">
        <f>'4'!G70</f>
        <v>0</v>
      </c>
      <c r="K6" s="23">
        <f t="shared" si="1"/>
        <v>646.76000000000931</v>
      </c>
      <c r="L6" s="19">
        <f>'4'!G71</f>
        <v>0</v>
      </c>
      <c r="M6" s="19">
        <f>'4'!G72</f>
        <v>90</v>
      </c>
      <c r="N6" s="19">
        <v>0</v>
      </c>
      <c r="O6" s="23">
        <f t="shared" si="2"/>
        <v>90</v>
      </c>
    </row>
    <row r="7" spans="1:15">
      <c r="A7" s="16">
        <v>4</v>
      </c>
      <c r="B7" s="27">
        <v>4</v>
      </c>
      <c r="C7" s="27"/>
      <c r="D7" s="19">
        <f>'3'!F8</f>
        <v>4539500</v>
      </c>
      <c r="E7" s="19">
        <f>'4'!G95</f>
        <v>98</v>
      </c>
      <c r="F7" s="19">
        <f>'1'!F141</f>
        <v>0</v>
      </c>
      <c r="G7" s="21">
        <f t="shared" si="0"/>
        <v>0</v>
      </c>
      <c r="H7" s="19">
        <f>'3'!G68</f>
        <v>359.23999999999069</v>
      </c>
      <c r="I7" s="19">
        <f>'3'!G69</f>
        <v>321.96999999999389</v>
      </c>
      <c r="J7" s="19">
        <f>'3'!G70</f>
        <v>0</v>
      </c>
      <c r="K7" s="23">
        <f t="shared" si="1"/>
        <v>681.20999999998457</v>
      </c>
      <c r="L7" s="19">
        <f>'3'!G71</f>
        <v>0</v>
      </c>
      <c r="M7" s="19">
        <f>'3'!G72</f>
        <v>98</v>
      </c>
      <c r="N7" s="19">
        <v>0</v>
      </c>
      <c r="O7" s="23">
        <f t="shared" si="2"/>
        <v>98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4601933</v>
      </c>
      <c r="E9" s="19">
        <f>'6'!G95</f>
        <v>120</v>
      </c>
      <c r="F9" s="19">
        <f>'1'!F141</f>
        <v>0</v>
      </c>
      <c r="G9" s="21">
        <f t="shared" si="0"/>
        <v>0</v>
      </c>
      <c r="H9" s="19">
        <f>'6'!G68</f>
        <v>335</v>
      </c>
      <c r="I9" s="19">
        <f>'6'!G69</f>
        <v>332</v>
      </c>
      <c r="J9" s="19">
        <f>'6'!G70</f>
        <v>0</v>
      </c>
      <c r="K9" s="23">
        <f t="shared" si="1"/>
        <v>667</v>
      </c>
      <c r="L9" s="19">
        <f>'6'!G71</f>
        <v>0</v>
      </c>
      <c r="M9" s="19">
        <f>'6'!G72</f>
        <v>75</v>
      </c>
      <c r="N9" s="19">
        <v>0</v>
      </c>
      <c r="O9" s="23">
        <f t="shared" si="2"/>
        <v>75</v>
      </c>
    </row>
    <row r="10" spans="1:15">
      <c r="A10" s="16">
        <v>7</v>
      </c>
      <c r="B10" s="26">
        <v>7</v>
      </c>
      <c r="C10" s="27"/>
      <c r="D10" s="19">
        <f>'7'!F8</f>
        <v>4623614</v>
      </c>
      <c r="E10" s="19">
        <f>'7'!G95</f>
        <v>119</v>
      </c>
      <c r="F10" s="19">
        <f>'1'!F141</f>
        <v>0</v>
      </c>
      <c r="G10" s="21">
        <f t="shared" si="0"/>
        <v>0</v>
      </c>
      <c r="H10" s="19">
        <f>'7'!G68</f>
        <v>324</v>
      </c>
      <c r="I10" s="19">
        <f>'7'!G69</f>
        <v>329</v>
      </c>
      <c r="J10" s="19">
        <f>'7'!G70</f>
        <v>0</v>
      </c>
      <c r="K10" s="23">
        <f t="shared" si="1"/>
        <v>653</v>
      </c>
      <c r="L10" s="19">
        <f>'7'!G71</f>
        <v>0</v>
      </c>
      <c r="M10" s="19">
        <f>'7'!G72</f>
        <v>72</v>
      </c>
      <c r="N10" s="19">
        <v>0</v>
      </c>
      <c r="O10" s="23">
        <f t="shared" si="2"/>
        <v>72</v>
      </c>
    </row>
    <row r="11" spans="1:15">
      <c r="A11" s="16">
        <v>8</v>
      </c>
      <c r="B11" s="26">
        <v>8</v>
      </c>
      <c r="C11" s="18"/>
      <c r="D11" s="19">
        <f>'8'!F8</f>
        <v>4646286</v>
      </c>
      <c r="E11" s="19">
        <f>'8'!G95</f>
        <v>72</v>
      </c>
      <c r="F11" s="19">
        <f>'1'!F141</f>
        <v>0</v>
      </c>
      <c r="G11" s="21">
        <f t="shared" si="0"/>
        <v>0</v>
      </c>
      <c r="H11" s="19">
        <f>'8'!G68</f>
        <v>343</v>
      </c>
      <c r="I11" s="19">
        <f>'8'!G69</f>
        <v>331</v>
      </c>
      <c r="J11" s="19">
        <f>'8'!G70</f>
        <v>0</v>
      </c>
      <c r="K11" s="23">
        <f t="shared" si="1"/>
        <v>674</v>
      </c>
      <c r="L11" s="19">
        <f>'8'!G71</f>
        <v>0</v>
      </c>
      <c r="M11" s="19">
        <f>'8'!G72</f>
        <v>106</v>
      </c>
      <c r="N11" s="19">
        <v>0</v>
      </c>
      <c r="O11" s="23">
        <f t="shared" si="2"/>
        <v>106</v>
      </c>
    </row>
    <row r="12" spans="1:15">
      <c r="A12" s="16">
        <v>9</v>
      </c>
      <c r="B12" s="27">
        <v>9</v>
      </c>
      <c r="C12" s="26"/>
      <c r="D12" s="19">
        <f>'9'!F8</f>
        <v>4667409</v>
      </c>
      <c r="E12" s="19">
        <f>'9'!G95</f>
        <v>91</v>
      </c>
      <c r="F12" s="19">
        <f>'1'!F141</f>
        <v>0</v>
      </c>
      <c r="G12" s="21">
        <f t="shared" si="0"/>
        <v>0</v>
      </c>
      <c r="H12" s="19">
        <f>'9'!G68</f>
        <v>337</v>
      </c>
      <c r="I12" s="19">
        <f>'9'!G69</f>
        <v>332</v>
      </c>
      <c r="J12" s="19">
        <f>'9'!G70</f>
        <v>0</v>
      </c>
      <c r="K12" s="23">
        <f t="shared" si="1"/>
        <v>669</v>
      </c>
      <c r="L12" s="19">
        <f>'9'!G71</f>
        <v>0</v>
      </c>
      <c r="M12" s="19">
        <f>'9'!G72</f>
        <v>100</v>
      </c>
      <c r="N12" s="19">
        <v>0</v>
      </c>
      <c r="O12" s="23">
        <f t="shared" si="2"/>
        <v>100</v>
      </c>
    </row>
    <row r="13" spans="1:15">
      <c r="A13" s="16">
        <v>10</v>
      </c>
      <c r="B13" s="27">
        <v>10</v>
      </c>
      <c r="C13" s="26"/>
      <c r="D13" s="19">
        <f>'10'!F8</f>
        <v>4689349</v>
      </c>
      <c r="E13" s="19">
        <f>'10'!G95</f>
        <v>68</v>
      </c>
      <c r="F13" s="19">
        <f>'1'!F141</f>
        <v>0</v>
      </c>
      <c r="G13" s="21">
        <f t="shared" si="0"/>
        <v>0</v>
      </c>
      <c r="H13" s="19">
        <f>'10'!G68</f>
        <v>328</v>
      </c>
      <c r="I13" s="19">
        <f>'10'!G69</f>
        <v>327</v>
      </c>
      <c r="J13" s="19">
        <f>'10'!G70</f>
        <v>0</v>
      </c>
      <c r="K13" s="23">
        <f t="shared" si="1"/>
        <v>655</v>
      </c>
      <c r="L13" s="19">
        <f>'10'!G71</f>
        <v>0</v>
      </c>
      <c r="M13" s="19">
        <f>'10'!G72</f>
        <v>87</v>
      </c>
      <c r="N13" s="19">
        <v>0</v>
      </c>
      <c r="O13" s="23">
        <f t="shared" si="2"/>
        <v>87</v>
      </c>
    </row>
    <row r="14" spans="1:15">
      <c r="A14" s="16">
        <v>11</v>
      </c>
      <c r="B14" s="17">
        <v>11</v>
      </c>
      <c r="C14" s="27"/>
      <c r="D14" s="19">
        <f>'11'!F8</f>
        <v>4710747</v>
      </c>
      <c r="E14" s="19">
        <f>'11'!G95</f>
        <v>79</v>
      </c>
      <c r="F14" s="19">
        <f>'1'!F141</f>
        <v>0</v>
      </c>
      <c r="G14" s="21">
        <f t="shared" si="0"/>
        <v>0</v>
      </c>
      <c r="H14" s="19">
        <f>'11'!G68</f>
        <v>302</v>
      </c>
      <c r="I14" s="19">
        <f>'11'!G69</f>
        <v>330</v>
      </c>
      <c r="J14" s="19">
        <f>'11'!G70</f>
        <v>0</v>
      </c>
      <c r="K14" s="23">
        <f t="shared" si="1"/>
        <v>632</v>
      </c>
      <c r="L14" s="19">
        <f>'11'!G71</f>
        <v>0</v>
      </c>
      <c r="M14" s="19">
        <f>'11'!G72</f>
        <v>95</v>
      </c>
      <c r="N14" s="19">
        <v>0</v>
      </c>
      <c r="O14" s="23">
        <f t="shared" si="2"/>
        <v>95</v>
      </c>
    </row>
    <row r="15" spans="1:15">
      <c r="A15" s="16">
        <v>12</v>
      </c>
      <c r="B15" s="26">
        <v>12</v>
      </c>
      <c r="C15" s="27"/>
      <c r="D15" s="19">
        <f>'12'!F8</f>
        <v>4732018</v>
      </c>
      <c r="E15" s="19">
        <f>'12'!G95</f>
        <v>71</v>
      </c>
      <c r="F15" s="19">
        <f>'1'!F141</f>
        <v>0</v>
      </c>
      <c r="G15" s="20">
        <f t="shared" si="0"/>
        <v>0</v>
      </c>
      <c r="H15" s="19">
        <f>'12'!G68</f>
        <v>333</v>
      </c>
      <c r="I15" s="19">
        <f>'12'!G69</f>
        <v>328</v>
      </c>
      <c r="J15" s="19">
        <f>'12'!G70</f>
        <v>0</v>
      </c>
      <c r="K15" s="23">
        <f t="shared" si="1"/>
        <v>661</v>
      </c>
      <c r="L15" s="19">
        <f>'12'!G71</f>
        <v>0</v>
      </c>
      <c r="M15" s="19">
        <f>'12'!G72</f>
        <v>87</v>
      </c>
      <c r="N15" s="19">
        <v>0</v>
      </c>
      <c r="O15" s="23">
        <f t="shared" si="2"/>
        <v>87</v>
      </c>
    </row>
    <row r="16" spans="1:15">
      <c r="A16" s="16">
        <v>13</v>
      </c>
      <c r="B16" s="26">
        <v>13</v>
      </c>
      <c r="C16" s="26"/>
      <c r="D16" s="19">
        <f>'13'!F8</f>
        <v>4753603</v>
      </c>
      <c r="E16" s="19">
        <f>'13'!G95</f>
        <v>105</v>
      </c>
      <c r="F16" s="19">
        <f>'1'!F141</f>
        <v>0</v>
      </c>
      <c r="G16" s="20">
        <f t="shared" si="0"/>
        <v>0</v>
      </c>
      <c r="H16" s="19">
        <f>'13'!G68</f>
        <v>354</v>
      </c>
      <c r="I16" s="19">
        <f>'13'!G69</f>
        <v>329</v>
      </c>
      <c r="J16" s="19">
        <f>'13'!G70</f>
        <v>0</v>
      </c>
      <c r="K16" s="23">
        <f t="shared" si="1"/>
        <v>683</v>
      </c>
      <c r="L16" s="19">
        <f>'13'!G71</f>
        <v>0</v>
      </c>
      <c r="M16" s="19">
        <f>'13'!G72</f>
        <v>90</v>
      </c>
      <c r="N16" s="19">
        <v>0</v>
      </c>
      <c r="O16" s="23">
        <f t="shared" si="2"/>
        <v>90</v>
      </c>
    </row>
    <row r="17" spans="1:15">
      <c r="A17" s="16">
        <v>14</v>
      </c>
      <c r="B17" s="17">
        <v>14</v>
      </c>
      <c r="C17" s="27"/>
      <c r="D17" s="19">
        <f>'14'!F8</f>
        <v>4774628</v>
      </c>
      <c r="E17" s="19">
        <f>'14'!G95</f>
        <v>74</v>
      </c>
      <c r="F17" s="19">
        <f>'1'!F141</f>
        <v>0</v>
      </c>
      <c r="G17" s="20">
        <f t="shared" si="0"/>
        <v>0</v>
      </c>
      <c r="H17" s="19">
        <f>'14'!G68</f>
        <v>350</v>
      </c>
      <c r="I17" s="19">
        <f>'14'!G69</f>
        <v>313</v>
      </c>
      <c r="J17" s="19">
        <f>'14'!G71</f>
        <v>0</v>
      </c>
      <c r="K17" s="23">
        <f t="shared" si="1"/>
        <v>663</v>
      </c>
      <c r="L17" s="19">
        <f>'14'!G72</f>
        <v>90</v>
      </c>
      <c r="M17" s="19">
        <f>'14'!G73</f>
        <v>0</v>
      </c>
      <c r="N17" s="19">
        <v>0</v>
      </c>
      <c r="O17" s="23">
        <f t="shared" si="2"/>
        <v>90</v>
      </c>
    </row>
    <row r="18" spans="1:15">
      <c r="A18" s="16">
        <v>15</v>
      </c>
      <c r="B18" s="26">
        <v>15</v>
      </c>
      <c r="C18" s="18"/>
      <c r="D18" s="19">
        <f>'15'!F8</f>
        <v>4795702</v>
      </c>
      <c r="E18" s="19">
        <f>'15'!G95</f>
        <v>72</v>
      </c>
      <c r="F18" s="19">
        <f>'1'!F141</f>
        <v>0</v>
      </c>
      <c r="G18" s="20">
        <f t="shared" si="0"/>
        <v>0</v>
      </c>
      <c r="H18" s="19">
        <f>'15'!G68</f>
        <v>346.16999999999825</v>
      </c>
      <c r="I18" s="19">
        <f>'15'!G69</f>
        <v>307.39999999999418</v>
      </c>
      <c r="J18" s="19">
        <f>'15'!G71</f>
        <v>0</v>
      </c>
      <c r="K18" s="23">
        <f t="shared" si="1"/>
        <v>653.56999999999243</v>
      </c>
      <c r="L18" s="19">
        <f>'15'!G72</f>
        <v>103</v>
      </c>
      <c r="M18" s="19">
        <f>'15'!G73</f>
        <v>1</v>
      </c>
      <c r="N18" s="19">
        <v>0</v>
      </c>
      <c r="O18" s="23">
        <f t="shared" si="2"/>
        <v>104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578" t="s">
        <v>117</v>
      </c>
      <c r="B1" s="1578"/>
      <c r="C1" s="1578"/>
      <c r="D1" s="1578"/>
      <c r="E1" s="1578"/>
      <c r="F1" s="1578"/>
      <c r="G1" s="1578"/>
      <c r="H1" s="1578"/>
      <c r="I1" s="1578"/>
      <c r="J1" s="1578"/>
    </row>
    <row r="2" spans="1:12" ht="23.25" customHeight="1">
      <c r="A2" s="214" t="s">
        <v>284</v>
      </c>
      <c r="B2" s="195">
        <v>42328</v>
      </c>
      <c r="C2" s="1579" t="s">
        <v>285</v>
      </c>
      <c r="D2" s="1580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42" t="s">
        <v>286</v>
      </c>
      <c r="B3" s="189"/>
      <c r="C3" s="189"/>
      <c r="D3" s="1143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287</v>
      </c>
      <c r="J3" s="42" t="s">
        <v>288</v>
      </c>
      <c r="K3" s="116"/>
      <c r="L3" s="117"/>
    </row>
    <row r="4" spans="1:12" ht="18.75" customHeight="1">
      <c r="A4" s="45" t="s">
        <v>289</v>
      </c>
      <c r="B4" s="46" t="s">
        <v>290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595" t="s">
        <v>130</v>
      </c>
      <c r="B6" s="1596"/>
      <c r="C6" s="1597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592" t="s">
        <v>139</v>
      </c>
      <c r="B14" s="1593"/>
      <c r="C14" s="1594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592" t="s">
        <v>142</v>
      </c>
      <c r="B17" s="1593"/>
      <c r="C17" s="1594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598" t="s">
        <v>143</v>
      </c>
      <c r="B18" s="1599"/>
      <c r="C18" s="1600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598" t="s">
        <v>71</v>
      </c>
      <c r="B19" s="1599"/>
      <c r="C19" s="1600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592" t="s">
        <v>146</v>
      </c>
      <c r="B21" s="1593"/>
      <c r="C21" s="1594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9" t="s">
        <v>147</v>
      </c>
      <c r="B22" s="1140"/>
      <c r="C22" s="1141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9" t="s">
        <v>149</v>
      </c>
      <c r="B23" s="1140"/>
      <c r="C23" s="1141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01" t="s">
        <v>151</v>
      </c>
      <c r="B25" s="1602"/>
      <c r="C25" s="1603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581" t="s">
        <v>162</v>
      </c>
      <c r="B32" s="1582"/>
      <c r="C32" s="1582"/>
      <c r="D32" s="1582"/>
      <c r="E32" s="1582"/>
      <c r="F32" s="1582"/>
      <c r="G32" s="1582"/>
      <c r="H32" s="1582"/>
      <c r="I32" s="1582"/>
      <c r="J32" s="1583"/>
      <c r="K32" s="59"/>
      <c r="L32" s="117"/>
    </row>
    <row r="33" spans="1:12" ht="18.75" customHeight="1">
      <c r="A33" s="1155" t="s">
        <v>163</v>
      </c>
      <c r="B33" s="1156"/>
      <c r="C33" s="1157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5" t="s">
        <v>177</v>
      </c>
      <c r="B47" s="1156"/>
      <c r="C47" s="1157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586" t="s">
        <v>99</v>
      </c>
      <c r="B63" s="1587"/>
      <c r="C63" s="1588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586" t="s">
        <v>100</v>
      </c>
      <c r="B64" s="1587"/>
      <c r="C64" s="1588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586" t="s">
        <v>101</v>
      </c>
      <c r="B65" s="1587"/>
      <c r="C65" s="1588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586" t="s">
        <v>102</v>
      </c>
      <c r="B66" s="1587"/>
      <c r="C66" s="1588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586" t="s">
        <v>103</v>
      </c>
      <c r="B67" s="1587"/>
      <c r="C67" s="1588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586" t="s">
        <v>104</v>
      </c>
      <c r="B68" s="1587"/>
      <c r="C68" s="1588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586" t="s">
        <v>191</v>
      </c>
      <c r="B70" s="1587"/>
      <c r="C70" s="1588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586" t="s">
        <v>192</v>
      </c>
      <c r="B71" s="1587"/>
      <c r="C71" s="1588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586" t="s">
        <v>193</v>
      </c>
      <c r="B72" s="1587"/>
      <c r="C72" s="1588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589" t="s">
        <v>194</v>
      </c>
      <c r="B73" s="1590"/>
      <c r="C73" s="1591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589" t="s">
        <v>195</v>
      </c>
      <c r="B74" s="1590"/>
      <c r="C74" s="1591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586" t="s">
        <v>196</v>
      </c>
      <c r="B75" s="1587"/>
      <c r="C75" s="1588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04" t="s">
        <v>92</v>
      </c>
      <c r="B76" s="1605"/>
      <c r="C76" s="1606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04" t="s">
        <v>198</v>
      </c>
      <c r="B77" s="1605"/>
      <c r="C77" s="1606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04" t="s">
        <v>199</v>
      </c>
      <c r="B78" s="1605"/>
      <c r="C78" s="1606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07" t="s">
        <v>93</v>
      </c>
      <c r="B79" s="1605"/>
      <c r="C79" s="1606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07" t="s">
        <v>200</v>
      </c>
      <c r="B80" s="1605"/>
      <c r="C80" s="1606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07" t="s">
        <v>291</v>
      </c>
      <c r="B81" s="1605"/>
      <c r="C81" s="1606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598" t="s">
        <v>207</v>
      </c>
      <c r="B84" s="1599"/>
      <c r="C84" s="1600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598" t="s">
        <v>209</v>
      </c>
      <c r="B85" s="1599"/>
      <c r="C85" s="1600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598" t="s">
        <v>210</v>
      </c>
      <c r="B86" s="1599"/>
      <c r="C86" s="1600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598" t="s">
        <v>211</v>
      </c>
      <c r="B87" s="1599"/>
      <c r="C87" s="1600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598" t="s">
        <v>212</v>
      </c>
      <c r="B88" s="1599"/>
      <c r="C88" s="1600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598" t="s">
        <v>213</v>
      </c>
      <c r="B89" s="1599"/>
      <c r="C89" s="1600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598" t="s">
        <v>214</v>
      </c>
      <c r="B90" s="1599"/>
      <c r="C90" s="1600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598" t="s">
        <v>219</v>
      </c>
      <c r="B91" s="1599"/>
      <c r="C91" s="1600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598" t="s">
        <v>77</v>
      </c>
      <c r="B92" s="1599"/>
      <c r="C92" s="1600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598" t="s">
        <v>78</v>
      </c>
      <c r="B93" s="1599"/>
      <c r="C93" s="1600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598" t="s">
        <v>206</v>
      </c>
      <c r="B94" s="1599"/>
      <c r="C94" s="1600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08" t="s">
        <v>230</v>
      </c>
      <c r="B95" s="1609"/>
      <c r="C95" s="1610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40"/>
      <c r="C97" s="1141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584" t="s">
        <v>250</v>
      </c>
      <c r="B98" s="1585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598" t="s">
        <v>251</v>
      </c>
      <c r="B99" s="1599"/>
      <c r="C99" s="1600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598" t="s">
        <v>252</v>
      </c>
      <c r="B100" s="1599"/>
      <c r="C100" s="1600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598" t="s">
        <v>253</v>
      </c>
      <c r="B101" s="1599"/>
      <c r="C101" s="1600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598" t="s">
        <v>254</v>
      </c>
      <c r="B102" s="1599"/>
      <c r="C102" s="1600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598" t="s">
        <v>255</v>
      </c>
      <c r="B103" s="1599"/>
      <c r="C103" s="1600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598" t="s">
        <v>256</v>
      </c>
      <c r="B104" s="1599"/>
      <c r="C104" s="1600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598" t="s">
        <v>257</v>
      </c>
      <c r="B105" s="1599"/>
      <c r="C105" s="1600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598" t="s">
        <v>258</v>
      </c>
      <c r="B106" s="1599"/>
      <c r="C106" s="1600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598" t="s">
        <v>259</v>
      </c>
      <c r="B107" s="1599"/>
      <c r="C107" s="1600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598" t="s">
        <v>260</v>
      </c>
      <c r="B108" s="1599"/>
      <c r="C108" s="1600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598" t="s">
        <v>261</v>
      </c>
      <c r="B109" s="1599"/>
      <c r="C109" s="1600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598" t="s">
        <v>262</v>
      </c>
      <c r="B110" s="1599"/>
      <c r="C110" s="1600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578" t="s">
        <v>117</v>
      </c>
      <c r="B1" s="1578"/>
      <c r="C1" s="1578"/>
      <c r="D1" s="1578"/>
      <c r="E1" s="1578"/>
      <c r="F1" s="1578"/>
      <c r="G1" s="1578"/>
      <c r="H1" s="1578"/>
      <c r="I1" s="1578"/>
      <c r="J1" s="1578"/>
    </row>
    <row r="2" spans="1:12" ht="23.25" customHeight="1">
      <c r="A2" s="282" t="s">
        <v>292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8" t="s">
        <v>120</v>
      </c>
      <c r="D3" s="386">
        <v>32</v>
      </c>
      <c r="E3" s="1644" t="s">
        <v>121</v>
      </c>
      <c r="F3" s="164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646" t="s">
        <v>130</v>
      </c>
      <c r="B6" s="1647"/>
      <c r="C6" s="1648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0</v>
      </c>
      <c r="F7" s="306">
        <v>3615871.9</v>
      </c>
      <c r="G7" s="307">
        <f>F7-E7</f>
        <v>3615871.9</v>
      </c>
      <c r="H7" s="57">
        <f>G7+'29'!H7</f>
        <v>-829205.10000000009</v>
      </c>
      <c r="I7" s="276">
        <f>'1'!I7</f>
        <v>12000</v>
      </c>
      <c r="J7" s="58">
        <f>H7/DAY(B2)</f>
        <v>-27640.170000000002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0</v>
      </c>
      <c r="F9" s="264">
        <v>2288314.7000000002</v>
      </c>
      <c r="G9" s="318">
        <f t="shared" ref="G9:G11" si="0">F9-E9</f>
        <v>2288314.7000000002</v>
      </c>
      <c r="H9" s="57">
        <f>G9+'29'!H9</f>
        <v>2201405.6900000004</v>
      </c>
      <c r="I9" s="278">
        <f>I7-J7</f>
        <v>39640.17</v>
      </c>
      <c r="J9" s="58">
        <f>H9/DAY(B2)</f>
        <v>73380.189666666687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1560592.89</v>
      </c>
      <c r="I10" s="69"/>
      <c r="J10" s="58">
        <f>H10/DAY(B2)</f>
        <v>52019.762999999999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0</v>
      </c>
      <c r="F11" s="263">
        <v>33860</v>
      </c>
      <c r="G11" s="318">
        <f t="shared" si="0"/>
        <v>33860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0</v>
      </c>
      <c r="F12" s="264">
        <v>3760</v>
      </c>
      <c r="G12" s="318">
        <v>0</v>
      </c>
      <c r="H12" s="57">
        <f>G12+'29'!H12</f>
        <v>-40010</v>
      </c>
      <c r="I12" s="69"/>
      <c r="J12" s="58">
        <f>H12/DAY(B2)</f>
        <v>-1333.6666666666667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3548234.1</v>
      </c>
      <c r="H13" s="57">
        <f>G13+'29'!H13</f>
        <v>3697854.58</v>
      </c>
      <c r="I13" s="369">
        <f>G7-G13</f>
        <v>67637.799999999814</v>
      </c>
      <c r="J13" s="308">
        <f>H13/DAY(B2)</f>
        <v>123261.81933333333</v>
      </c>
      <c r="K13" s="59"/>
      <c r="L13" s="117"/>
    </row>
    <row r="14" spans="1:12" ht="23.25" customHeight="1">
      <c r="A14" s="1635" t="s">
        <v>139</v>
      </c>
      <c r="B14" s="1636"/>
      <c r="C14" s="1637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0</v>
      </c>
      <c r="F15" s="266">
        <v>1040573.68</v>
      </c>
      <c r="G15" s="318">
        <f>(F15-E15)</f>
        <v>1040573.68</v>
      </c>
      <c r="H15" s="57">
        <f>G15+'29'!H15</f>
        <v>-579304.93000000005</v>
      </c>
      <c r="I15" s="276">
        <f>'1'!I15</f>
        <v>800</v>
      </c>
      <c r="J15" s="58">
        <f>H15/DAY(B2)</f>
        <v>-19310.164333333334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20110.164333333334</v>
      </c>
      <c r="J16" s="229"/>
      <c r="K16" s="59"/>
      <c r="L16" s="117"/>
    </row>
    <row r="17" spans="1:12" ht="23.25" customHeight="1">
      <c r="A17" s="1635" t="s">
        <v>142</v>
      </c>
      <c r="B17" s="1636"/>
      <c r="C17" s="1637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611" t="s">
        <v>143</v>
      </c>
      <c r="B18" s="1612"/>
      <c r="C18" s="1613"/>
      <c r="D18" s="268" t="s">
        <v>144</v>
      </c>
      <c r="E18" s="415">
        <f>'29'!F18</f>
        <v>0</v>
      </c>
      <c r="F18" s="267">
        <v>24</v>
      </c>
      <c r="G18" s="279">
        <f>F18*10</f>
        <v>240</v>
      </c>
      <c r="H18" s="57">
        <f>G18+'29'!H18</f>
        <v>3390</v>
      </c>
      <c r="I18" s="158">
        <f>'1'!I18</f>
        <v>65</v>
      </c>
      <c r="J18" s="58">
        <f>H18/DAY(B2)</f>
        <v>113</v>
      </c>
      <c r="K18" s="59"/>
      <c r="L18" s="117"/>
    </row>
    <row r="19" spans="1:12" ht="23.25" customHeight="1">
      <c r="A19" s="1611" t="s">
        <v>71</v>
      </c>
      <c r="B19" s="1612"/>
      <c r="C19" s="1613"/>
      <c r="D19" s="268" t="s">
        <v>144</v>
      </c>
      <c r="E19" s="56">
        <f>'29'!F19</f>
        <v>0</v>
      </c>
      <c r="F19" s="267">
        <v>99778</v>
      </c>
      <c r="G19" s="318">
        <f t="shared" ref="G19" si="1">F19-E19</f>
        <v>99778</v>
      </c>
      <c r="H19" s="57">
        <f>G19+'29'!H19</f>
        <v>-34690</v>
      </c>
      <c r="I19" s="80"/>
      <c r="J19" s="58">
        <f>H19/DAY(B2)</f>
        <v>-1156.3333333333333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100018</v>
      </c>
      <c r="H20" s="57">
        <f>G20+'29'!H20</f>
        <v>-31300</v>
      </c>
      <c r="I20" s="127">
        <f>J20-I18</f>
        <v>-1108.3333333333333</v>
      </c>
      <c r="J20" s="58">
        <f>H20/DAY(B2)</f>
        <v>-1043.3333333333333</v>
      </c>
      <c r="K20" s="59"/>
      <c r="L20" s="117"/>
    </row>
    <row r="21" spans="1:12" ht="23.25" customHeight="1">
      <c r="A21" s="1635" t="s">
        <v>146</v>
      </c>
      <c r="B21" s="1636"/>
      <c r="C21" s="1637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30" t="s">
        <v>147</v>
      </c>
      <c r="B22" s="1131"/>
      <c r="C22" s="1132"/>
      <c r="D22" s="268" t="s">
        <v>148</v>
      </c>
      <c r="E22" s="415">
        <f>'29'!F22</f>
        <v>0</v>
      </c>
      <c r="F22" s="267">
        <v>2010</v>
      </c>
      <c r="G22" s="279">
        <f t="shared" ref="G22" si="2">(F22-E22)</f>
        <v>2010</v>
      </c>
      <c r="H22" s="57">
        <f>G22+'29'!H22</f>
        <v>1620</v>
      </c>
      <c r="I22" s="69"/>
      <c r="J22" s="58">
        <f>H22/DAY(B2)</f>
        <v>54</v>
      </c>
      <c r="K22" s="59"/>
      <c r="L22" s="117"/>
    </row>
    <row r="23" spans="1:12" ht="23.25" customHeight="1">
      <c r="A23" s="1130" t="s">
        <v>149</v>
      </c>
      <c r="B23" s="1131"/>
      <c r="C23" s="1132"/>
      <c r="D23" s="268" t="s">
        <v>148</v>
      </c>
      <c r="E23" s="56">
        <f>'29'!F23</f>
        <v>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4970</v>
      </c>
      <c r="F24" s="332">
        <v>4085</v>
      </c>
      <c r="G24" s="279">
        <v>0</v>
      </c>
      <c r="H24" s="57">
        <f>G24+'29'!H24</f>
        <v>1290</v>
      </c>
      <c r="I24" s="69"/>
      <c r="J24" s="58">
        <f>H24/DAY(B2)</f>
        <v>43</v>
      </c>
      <c r="K24" s="59"/>
      <c r="L24" s="117"/>
    </row>
    <row r="25" spans="1:12" ht="23.25" customHeight="1">
      <c r="A25" s="1638" t="s">
        <v>151</v>
      </c>
      <c r="B25" s="1639"/>
      <c r="C25" s="1640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293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3615871.9</v>
      </c>
      <c r="F27" s="412">
        <v>10.86</v>
      </c>
      <c r="G27" s="366">
        <f>E27*F27</f>
        <v>39268368.833999999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1040573.68</v>
      </c>
      <c r="F28" s="412">
        <v>44</v>
      </c>
      <c r="G28" s="366">
        <f>E28*F28</f>
        <v>45785241.920000002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100018</v>
      </c>
      <c r="F30" s="412">
        <v>95</v>
      </c>
      <c r="G30" s="366">
        <f>E30*F30</f>
        <v>9501710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94555320.754000008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581" t="s">
        <v>162</v>
      </c>
      <c r="B32" s="1582"/>
      <c r="C32" s="1582"/>
      <c r="D32" s="1582"/>
      <c r="E32" s="1582"/>
      <c r="F32" s="1582"/>
      <c r="G32" s="1582"/>
      <c r="H32" s="1582"/>
      <c r="I32" s="1582"/>
      <c r="J32" s="1583"/>
      <c r="K32" s="59"/>
      <c r="L32" s="117"/>
    </row>
    <row r="33" spans="1:12" ht="23.25" customHeight="1">
      <c r="A33" s="1125" t="s">
        <v>163</v>
      </c>
      <c r="B33" s="1126"/>
      <c r="C33" s="1127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0</v>
      </c>
      <c r="F34" s="344">
        <v>0</v>
      </c>
      <c r="G34" s="318">
        <f t="shared" ref="G34:G45" si="3">F34-E34</f>
        <v>0</v>
      </c>
      <c r="H34" s="57">
        <f>G34+'29'!H35</f>
        <v>-693087.59</v>
      </c>
      <c r="I34" s="56"/>
      <c r="J34" s="58">
        <f>H34/DAY(B2)</f>
        <v>-23102.919666666665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0</v>
      </c>
      <c r="F35" s="344">
        <v>694322.47</v>
      </c>
      <c r="G35" s="318">
        <f t="shared" si="3"/>
        <v>694322.47</v>
      </c>
      <c r="H35" s="57">
        <f>G35+'29'!H36</f>
        <v>397876.89999999997</v>
      </c>
      <c r="I35" s="56"/>
      <c r="J35" s="58">
        <f>H35/DAY(B2)</f>
        <v>13262.563333333332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0</v>
      </c>
      <c r="F36" s="344">
        <v>392708.87</v>
      </c>
      <c r="G36" s="318">
        <f t="shared" si="3"/>
        <v>392708.87</v>
      </c>
      <c r="H36" s="57">
        <f>G36+'29'!H37</f>
        <v>395813.95</v>
      </c>
      <c r="I36" s="56"/>
      <c r="J36" s="58">
        <f>H36/DAY(B2)</f>
        <v>13193.798333333334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0</v>
      </c>
      <c r="F37" s="345">
        <v>675505.75</v>
      </c>
      <c r="G37" s="318">
        <f t="shared" si="3"/>
        <v>675505.75</v>
      </c>
      <c r="H37" s="57">
        <f>G37+'29'!H38</f>
        <v>631692.26</v>
      </c>
      <c r="I37" s="56"/>
      <c r="J37" s="58">
        <f>H37/DAY(B2)</f>
        <v>21056.408666666666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0</v>
      </c>
      <c r="F38" s="344">
        <v>2497766.1</v>
      </c>
      <c r="G38" s="318">
        <f t="shared" si="3"/>
        <v>2497766.1</v>
      </c>
      <c r="H38" s="57">
        <f>G38+'29'!H39</f>
        <v>2507158.9900000002</v>
      </c>
      <c r="I38" s="56"/>
      <c r="J38" s="58">
        <f>H38/DAY(B2)</f>
        <v>83571.966333333345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0</v>
      </c>
      <c r="F39" s="344">
        <v>0</v>
      </c>
      <c r="G39" s="318">
        <f t="shared" si="3"/>
        <v>0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0</v>
      </c>
      <c r="F40" s="344">
        <v>1138016.5</v>
      </c>
      <c r="G40" s="318">
        <f t="shared" si="3"/>
        <v>1138016.5</v>
      </c>
      <c r="H40" s="57">
        <f>G40+'29'!H41</f>
        <v>1074134.1299999999</v>
      </c>
      <c r="I40" s="56"/>
      <c r="J40" s="58">
        <f>H40/DAY(B2)</f>
        <v>35804.470999999998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0</v>
      </c>
      <c r="F41" s="344">
        <v>1251783.8</v>
      </c>
      <c r="G41" s="318">
        <f t="shared" si="3"/>
        <v>1251783.8</v>
      </c>
      <c r="H41" s="57">
        <f>G41+'29'!H42</f>
        <v>1192654.95</v>
      </c>
      <c r="I41" s="56"/>
      <c r="J41" s="58">
        <f>H41/DAY(B2)</f>
        <v>39755.165000000001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0</v>
      </c>
      <c r="F42" s="344">
        <v>1479848.9</v>
      </c>
      <c r="G42" s="318">
        <f t="shared" si="3"/>
        <v>1479848.9</v>
      </c>
      <c r="H42" s="57">
        <f>G42+'29'!H43</f>
        <v>653951.06999999995</v>
      </c>
      <c r="I42" s="56"/>
      <c r="J42" s="58">
        <f>H42/DAY(B2)</f>
        <v>21798.368999999999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0</v>
      </c>
      <c r="F44" s="344">
        <v>945</v>
      </c>
      <c r="G44" s="318">
        <f t="shared" si="3"/>
        <v>945</v>
      </c>
      <c r="H44" s="57">
        <f>G44+'29'!H45</f>
        <v>331</v>
      </c>
      <c r="I44" s="56"/>
      <c r="J44" s="58">
        <f>H44/DAY(B2)</f>
        <v>11.033333333333333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0</v>
      </c>
      <c r="F45" s="344">
        <v>375</v>
      </c>
      <c r="G45" s="318">
        <f t="shared" si="3"/>
        <v>375</v>
      </c>
      <c r="H45" s="57">
        <f>G45+'29'!H46</f>
        <v>188</v>
      </c>
      <c r="I45" s="56"/>
      <c r="J45" s="58">
        <f>H45/DAY(B2)</f>
        <v>6.2666666666666666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8132172.3899999987</v>
      </c>
      <c r="H46" s="57">
        <f>G46+'29'!H47</f>
        <v>6161613.5999999987</v>
      </c>
      <c r="I46" s="56"/>
      <c r="J46" s="58">
        <f>H46/DAY(B2)</f>
        <v>205387.11999999997</v>
      </c>
      <c r="K46" s="59"/>
      <c r="L46" s="117"/>
    </row>
    <row r="47" spans="1:12" ht="23.25" customHeight="1">
      <c r="A47" s="1125" t="s">
        <v>177</v>
      </c>
      <c r="B47" s="1126"/>
      <c r="C47" s="1127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0</v>
      </c>
      <c r="F48" s="344">
        <v>793704.71</v>
      </c>
      <c r="G48" s="318">
        <f t="shared" ref="G48:G57" si="4">F48-E48</f>
        <v>793704.71</v>
      </c>
      <c r="H48" s="57">
        <f>G48+'29'!H49</f>
        <v>532972.57999999996</v>
      </c>
      <c r="I48" s="56"/>
      <c r="J48" s="58">
        <f>H48/DAY(B2)</f>
        <v>17765.752666666664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0</v>
      </c>
      <c r="F49" s="344">
        <v>707853.75</v>
      </c>
      <c r="G49" s="318">
        <f t="shared" si="4"/>
        <v>707853.75</v>
      </c>
      <c r="H49" s="57">
        <f>G49+'29'!H50</f>
        <v>304196.71999999997</v>
      </c>
      <c r="I49" s="56"/>
      <c r="J49" s="58">
        <f>H49/DAY(B2)</f>
        <v>10139.890666666666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0</v>
      </c>
      <c r="F50" s="344">
        <v>552102.06999999995</v>
      </c>
      <c r="G50" s="318">
        <f t="shared" si="4"/>
        <v>552102.06999999995</v>
      </c>
      <c r="H50" s="57">
        <f>G50+'29'!H51</f>
        <v>430502.14999999997</v>
      </c>
      <c r="I50" s="56"/>
      <c r="J50" s="58">
        <f>H50/DAY(B2)</f>
        <v>14350.071666666665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0</v>
      </c>
      <c r="F51" s="344">
        <v>1244061</v>
      </c>
      <c r="G51" s="318">
        <f t="shared" si="4"/>
        <v>1244061</v>
      </c>
      <c r="H51" s="57">
        <f>G51+'29'!H52</f>
        <v>734102.29</v>
      </c>
      <c r="I51" s="56"/>
      <c r="J51" s="58">
        <f>H51/DAY(B2)</f>
        <v>24470.076333333334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0</v>
      </c>
      <c r="F52" s="344">
        <v>495803.59</v>
      </c>
      <c r="G52" s="318">
        <f t="shared" si="4"/>
        <v>495803.59</v>
      </c>
      <c r="H52" s="57">
        <f>G52+'29'!H53</f>
        <v>159764.08000000002</v>
      </c>
      <c r="I52" s="56"/>
      <c r="J52" s="58">
        <f>H52/DAY(B2)</f>
        <v>5325.4693333333335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0</v>
      </c>
      <c r="F53" s="344">
        <v>55471.01</v>
      </c>
      <c r="G53" s="318">
        <f t="shared" si="4"/>
        <v>55471.01</v>
      </c>
      <c r="H53" s="57">
        <f>G53+'29'!H54</f>
        <v>47375.41</v>
      </c>
      <c r="I53" s="56"/>
      <c r="J53" s="58">
        <f>H53/DAY(B2)</f>
        <v>1579.1803333333335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0</v>
      </c>
      <c r="F54" s="344">
        <v>741511.59</v>
      </c>
      <c r="G54" s="318">
        <f t="shared" si="4"/>
        <v>741511.59</v>
      </c>
      <c r="H54" s="57">
        <f>G54+'29'!H55</f>
        <v>618926.89999999991</v>
      </c>
      <c r="I54" s="56"/>
      <c r="J54" s="58">
        <f>H54/DAY(B2)</f>
        <v>20630.896666666664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0</v>
      </c>
      <c r="F55" s="344">
        <v>334966</v>
      </c>
      <c r="G55" s="318">
        <f t="shared" si="4"/>
        <v>334966</v>
      </c>
      <c r="H55" s="57">
        <f>G55+'29'!H56</f>
        <v>-251085.03000000003</v>
      </c>
      <c r="I55" s="56"/>
      <c r="J55" s="58">
        <f>H55/DAY(B2)</f>
        <v>-8369.5010000000002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0</v>
      </c>
      <c r="F56" s="344">
        <v>0</v>
      </c>
      <c r="G56" s="318">
        <f t="shared" si="4"/>
        <v>0</v>
      </c>
      <c r="H56" s="57">
        <f>G56+'29'!H57</f>
        <v>-7711.33</v>
      </c>
      <c r="I56" s="56"/>
      <c r="J56" s="58">
        <f>H56/DAY(B2)</f>
        <v>-257.04433333333333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0</v>
      </c>
      <c r="F57" s="344">
        <v>2065.9499999999998</v>
      </c>
      <c r="G57" s="318">
        <f t="shared" si="4"/>
        <v>2065.9499999999998</v>
      </c>
      <c r="H57" s="57">
        <f>G57+'29'!H58</f>
        <v>-33998.75</v>
      </c>
      <c r="I57" s="56"/>
      <c r="J57" s="58">
        <f>H57/DAY(B2)</f>
        <v>-1133.2916666666667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4927539.67</v>
      </c>
      <c r="H58" s="57">
        <f>G58+'29'!H59</f>
        <v>2535045.02</v>
      </c>
      <c r="I58" s="56">
        <f>G7-G59</f>
        <v>-9443840.1599999983</v>
      </c>
      <c r="J58" s="58">
        <f>H58/DAY(B2)</f>
        <v>84501.500666666674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13059712.059999999</v>
      </c>
      <c r="H59" s="57">
        <f>G59+'29'!H60</f>
        <v>8710827.6199999973</v>
      </c>
      <c r="I59" s="56">
        <f>G13-G59</f>
        <v>-9511477.959999999</v>
      </c>
      <c r="J59" s="58">
        <f>H59/DAY(B2)</f>
        <v>290360.92066666659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0</v>
      </c>
      <c r="F61" s="270">
        <v>55085</v>
      </c>
      <c r="G61" s="318">
        <f t="shared" ref="G61:G68" si="5">F61-E61</f>
        <v>55085</v>
      </c>
      <c r="H61" s="57">
        <f>G61+'29'!H62</f>
        <v>34665.812999999995</v>
      </c>
      <c r="I61" s="201"/>
      <c r="J61" s="58">
        <f>H61/DAY(B2)</f>
        <v>1155.5270999999998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0</v>
      </c>
      <c r="F62" s="270">
        <v>113360.74</v>
      </c>
      <c r="G62" s="318">
        <f t="shared" si="5"/>
        <v>113360.74</v>
      </c>
      <c r="H62" s="57">
        <f>G62+'29'!H63</f>
        <v>111653.38</v>
      </c>
      <c r="I62" s="201"/>
      <c r="J62" s="58">
        <f>H62/DAY(B2)</f>
        <v>3721.7793333333334</v>
      </c>
      <c r="K62" s="59"/>
      <c r="L62" s="117"/>
    </row>
    <row r="63" spans="1:12" ht="23.25" customHeight="1">
      <c r="A63" s="1620" t="s">
        <v>99</v>
      </c>
      <c r="B63" s="1621"/>
      <c r="C63" s="1622"/>
      <c r="D63" s="268" t="s">
        <v>187</v>
      </c>
      <c r="E63" s="56">
        <f>'29'!F64</f>
        <v>0</v>
      </c>
      <c r="F63" s="267">
        <v>274089</v>
      </c>
      <c r="G63" s="318">
        <f t="shared" si="5"/>
        <v>274089</v>
      </c>
      <c r="H63" s="57">
        <f>G63+'29'!H64</f>
        <v>150461.70000000001</v>
      </c>
      <c r="I63" s="69"/>
      <c r="J63" s="58">
        <f>H63/DAY(B2)</f>
        <v>5015.3900000000003</v>
      </c>
      <c r="K63" s="59"/>
      <c r="L63" s="117"/>
    </row>
    <row r="64" spans="1:12" ht="23.25" customHeight="1">
      <c r="A64" s="1620" t="s">
        <v>100</v>
      </c>
      <c r="B64" s="1621"/>
      <c r="C64" s="1622"/>
      <c r="D64" s="268" t="s">
        <v>187</v>
      </c>
      <c r="E64" s="56">
        <f>'29'!F65</f>
        <v>0</v>
      </c>
      <c r="F64" s="267">
        <v>218102.43</v>
      </c>
      <c r="G64" s="318">
        <f t="shared" si="5"/>
        <v>218102.43</v>
      </c>
      <c r="H64" s="57">
        <f>G64+'29'!H65</f>
        <v>85505.13</v>
      </c>
      <c r="I64" s="80"/>
      <c r="J64" s="58">
        <f>H64/DAY(B2)</f>
        <v>2850.1710000000003</v>
      </c>
      <c r="K64" s="59"/>
      <c r="L64" s="117"/>
    </row>
    <row r="65" spans="1:12" ht="23.25" customHeight="1">
      <c r="A65" s="1620" t="s">
        <v>101</v>
      </c>
      <c r="B65" s="1621"/>
      <c r="C65" s="1622"/>
      <c r="D65" s="268" t="s">
        <v>187</v>
      </c>
      <c r="E65" s="56">
        <f>'29'!F66</f>
        <v>0</v>
      </c>
      <c r="F65" s="267">
        <v>7977.92</v>
      </c>
      <c r="G65" s="318">
        <f t="shared" si="5"/>
        <v>7977.92</v>
      </c>
      <c r="H65" s="57">
        <f>G65+'29'!H66</f>
        <v>-17181.830000000002</v>
      </c>
      <c r="I65" s="69"/>
      <c r="J65" s="58">
        <f>H65/DAY(B2)</f>
        <v>-572.72766666666678</v>
      </c>
      <c r="K65" s="59"/>
      <c r="L65" s="117"/>
    </row>
    <row r="66" spans="1:12" ht="23.25" customHeight="1">
      <c r="A66" s="1620" t="s">
        <v>102</v>
      </c>
      <c r="B66" s="1621"/>
      <c r="C66" s="1622"/>
      <c r="D66" s="268" t="s">
        <v>187</v>
      </c>
      <c r="E66" s="56">
        <f>'29'!F67</f>
        <v>0</v>
      </c>
      <c r="F66" s="267">
        <v>350190.03</v>
      </c>
      <c r="G66" s="318">
        <f t="shared" si="5"/>
        <v>350190.03</v>
      </c>
      <c r="H66" s="57">
        <f>G66+'29'!H67</f>
        <v>142348.20000000004</v>
      </c>
      <c r="I66" s="80"/>
      <c r="J66" s="58">
        <f>H66/DAY(B2)</f>
        <v>4744.9400000000014</v>
      </c>
      <c r="K66" s="75"/>
      <c r="L66" s="117"/>
    </row>
    <row r="67" spans="1:12" ht="23.25" customHeight="1">
      <c r="A67" s="1620" t="s">
        <v>103</v>
      </c>
      <c r="B67" s="1621"/>
      <c r="C67" s="1622"/>
      <c r="D67" s="268" t="s">
        <v>187</v>
      </c>
      <c r="E67" s="56">
        <f>'29'!F68</f>
        <v>0</v>
      </c>
      <c r="F67" s="267">
        <v>0</v>
      </c>
      <c r="G67" s="318">
        <f t="shared" si="5"/>
        <v>0</v>
      </c>
      <c r="H67" s="57">
        <f>G67+'29'!H68</f>
        <v>-63461.45</v>
      </c>
      <c r="I67" s="105"/>
      <c r="J67" s="58">
        <f>H67/DAY(B2)</f>
        <v>-2115.3816666666667</v>
      </c>
      <c r="K67" s="83"/>
      <c r="L67" s="117"/>
    </row>
    <row r="68" spans="1:12" ht="23.25" customHeight="1">
      <c r="A68" s="1620" t="s">
        <v>104</v>
      </c>
      <c r="B68" s="1621"/>
      <c r="C68" s="1622"/>
      <c r="D68" s="268" t="s">
        <v>187</v>
      </c>
      <c r="E68" s="56">
        <f>'29'!F69</f>
        <v>0</v>
      </c>
      <c r="F68" s="267">
        <v>156094.09</v>
      </c>
      <c r="G68" s="318">
        <f t="shared" si="5"/>
        <v>156094.09</v>
      </c>
      <c r="H68" s="57">
        <f>G68+'29'!H69</f>
        <v>91642</v>
      </c>
      <c r="I68" s="105"/>
      <c r="J68" s="58">
        <f>H68/DAY(B2)</f>
        <v>3054.7333333333331</v>
      </c>
      <c r="K68" s="85"/>
      <c r="L68" s="117"/>
    </row>
    <row r="69" spans="1:12" ht="23.25" customHeight="1">
      <c r="A69" s="1641" t="s">
        <v>189</v>
      </c>
      <c r="B69" s="1642"/>
      <c r="C69" s="1643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632" t="s">
        <v>190</v>
      </c>
      <c r="B70" s="1633"/>
      <c r="C70" s="1633"/>
      <c r="D70" s="1633"/>
      <c r="E70" s="1633"/>
      <c r="F70" s="1633"/>
      <c r="G70" s="1633"/>
      <c r="H70" s="1633"/>
      <c r="I70" s="1633"/>
      <c r="J70" s="1634"/>
      <c r="K70" s="83"/>
      <c r="L70" s="117"/>
    </row>
    <row r="71" spans="1:12" ht="23.25" customHeight="1">
      <c r="A71" s="1620" t="s">
        <v>191</v>
      </c>
      <c r="B71" s="1621"/>
      <c r="C71" s="1622"/>
      <c r="D71" s="268" t="s">
        <v>187</v>
      </c>
      <c r="E71" s="415">
        <f>'29'!F72</f>
        <v>0</v>
      </c>
      <c r="F71" s="271">
        <v>788748</v>
      </c>
      <c r="G71" s="318">
        <f t="shared" ref="G71:G83" si="6">F71-E71</f>
        <v>788748</v>
      </c>
      <c r="H71" s="57">
        <f>G71+'29'!H72</f>
        <v>-61934</v>
      </c>
      <c r="I71" s="69"/>
      <c r="J71" s="58">
        <f>H71/DAY(B2)</f>
        <v>-2064.4666666666667</v>
      </c>
      <c r="K71" s="85"/>
      <c r="L71" s="117"/>
    </row>
    <row r="72" spans="1:12" ht="23.25" customHeight="1">
      <c r="A72" s="1620" t="s">
        <v>192</v>
      </c>
      <c r="B72" s="1621"/>
      <c r="C72" s="1622"/>
      <c r="D72" s="268" t="s">
        <v>187</v>
      </c>
      <c r="E72" s="56">
        <f>'29'!F73</f>
        <v>0</v>
      </c>
      <c r="F72" s="271">
        <v>883770</v>
      </c>
      <c r="G72" s="318">
        <f t="shared" si="6"/>
        <v>883770</v>
      </c>
      <c r="H72" s="57">
        <f>G72+'29'!H73</f>
        <v>-888</v>
      </c>
      <c r="I72" s="69"/>
      <c r="J72" s="58">
        <f>H72/DAY(B2)</f>
        <v>-29.6</v>
      </c>
      <c r="K72" s="83"/>
      <c r="L72" s="117"/>
    </row>
    <row r="73" spans="1:12" ht="23.25" customHeight="1">
      <c r="A73" s="1620" t="s">
        <v>193</v>
      </c>
      <c r="B73" s="1621"/>
      <c r="C73" s="1622"/>
      <c r="D73" s="268" t="s">
        <v>187</v>
      </c>
      <c r="E73" s="56">
        <f>'29'!F74</f>
        <v>0</v>
      </c>
      <c r="F73" s="271">
        <v>783142</v>
      </c>
      <c r="G73" s="318">
        <f t="shared" si="6"/>
        <v>783142</v>
      </c>
      <c r="H73" s="57">
        <f>G73+'29'!H74</f>
        <v>782555.83</v>
      </c>
      <c r="I73" s="69"/>
      <c r="J73" s="58">
        <f>H73/DAY(B2)</f>
        <v>26085.194333333333</v>
      </c>
      <c r="K73" s="85"/>
      <c r="L73" s="117"/>
    </row>
    <row r="74" spans="1:12" ht="23.25" customHeight="1">
      <c r="A74" s="1625" t="s">
        <v>194</v>
      </c>
      <c r="B74" s="1626"/>
      <c r="C74" s="1627"/>
      <c r="D74" s="268" t="s">
        <v>187</v>
      </c>
      <c r="E74" s="56">
        <f>'29'!F75</f>
        <v>0</v>
      </c>
      <c r="F74" s="271">
        <v>641404</v>
      </c>
      <c r="G74" s="318">
        <f t="shared" si="6"/>
        <v>641404</v>
      </c>
      <c r="H74" s="57">
        <f>G74+'29'!H75</f>
        <v>637884.78</v>
      </c>
      <c r="I74" s="69"/>
      <c r="J74" s="58">
        <f>H74/DAY(B2)</f>
        <v>21262.826000000001</v>
      </c>
      <c r="K74" s="83"/>
      <c r="L74" s="117"/>
    </row>
    <row r="75" spans="1:12" ht="23.25" customHeight="1">
      <c r="A75" s="1625" t="s">
        <v>195</v>
      </c>
      <c r="B75" s="1626"/>
      <c r="C75" s="1627"/>
      <c r="D75" s="268" t="s">
        <v>187</v>
      </c>
      <c r="E75" s="56">
        <f>'29'!F76</f>
        <v>0</v>
      </c>
      <c r="F75" s="271">
        <v>615603</v>
      </c>
      <c r="G75" s="318">
        <f t="shared" si="6"/>
        <v>615603</v>
      </c>
      <c r="H75" s="57">
        <f>G75+'29'!H76</f>
        <v>615127.78</v>
      </c>
      <c r="I75" s="112"/>
      <c r="J75" s="58">
        <f>H75/DAY(B2)</f>
        <v>20504.259333333335</v>
      </c>
      <c r="K75" s="83"/>
      <c r="L75" s="117"/>
    </row>
    <row r="76" spans="1:12" ht="23.25" customHeight="1">
      <c r="A76" s="1620" t="s">
        <v>196</v>
      </c>
      <c r="B76" s="1621"/>
      <c r="C76" s="1622"/>
      <c r="D76" s="268" t="s">
        <v>187</v>
      </c>
      <c r="E76" s="56">
        <f>'29'!F77</f>
        <v>0</v>
      </c>
      <c r="F76" s="271">
        <v>669905</v>
      </c>
      <c r="G76" s="318">
        <f t="shared" si="6"/>
        <v>669905</v>
      </c>
      <c r="H76" s="57">
        <f>G76+'29'!H77</f>
        <v>-28683</v>
      </c>
      <c r="I76" s="112"/>
      <c r="J76" s="58">
        <f>H76/DAY(B2)</f>
        <v>-956.1</v>
      </c>
      <c r="K76" s="83"/>
      <c r="L76" s="117"/>
    </row>
    <row r="77" spans="1:12" ht="23.25" customHeight="1">
      <c r="A77" s="1133" t="s">
        <v>197</v>
      </c>
      <c r="B77" s="1134"/>
      <c r="C77" s="1135"/>
      <c r="D77" s="268" t="s">
        <v>187</v>
      </c>
      <c r="E77" s="56">
        <f>'29'!F78</f>
        <v>0</v>
      </c>
      <c r="F77" s="271">
        <v>487314</v>
      </c>
      <c r="G77" s="318">
        <f t="shared" si="6"/>
        <v>487314</v>
      </c>
      <c r="H77" s="57">
        <f>G77+'29'!H78</f>
        <v>-165549</v>
      </c>
      <c r="I77" s="112"/>
      <c r="J77" s="58">
        <f>H77/DAY(B2)</f>
        <v>-5518.3</v>
      </c>
      <c r="K77" s="83"/>
      <c r="L77" s="117"/>
    </row>
    <row r="78" spans="1:12" ht="23.25" customHeight="1">
      <c r="A78" s="1628" t="s">
        <v>92</v>
      </c>
      <c r="B78" s="1629"/>
      <c r="C78" s="1630"/>
      <c r="D78" s="356" t="s">
        <v>187</v>
      </c>
      <c r="E78" s="56">
        <f>'29'!F79</f>
        <v>0</v>
      </c>
      <c r="F78" s="271">
        <v>677157</v>
      </c>
      <c r="G78" s="318">
        <f t="shared" si="6"/>
        <v>677157</v>
      </c>
      <c r="H78" s="57">
        <f>G78+'29'!H79</f>
        <v>-135442</v>
      </c>
      <c r="I78" s="112"/>
      <c r="J78" s="58">
        <f>H78/DAY(B2)</f>
        <v>-4514.7333333333336</v>
      </c>
      <c r="K78" s="83"/>
      <c r="L78" s="117"/>
    </row>
    <row r="79" spans="1:12" ht="23.25" customHeight="1">
      <c r="A79" s="1628" t="s">
        <v>198</v>
      </c>
      <c r="B79" s="1629"/>
      <c r="C79" s="1630"/>
      <c r="D79" s="356" t="s">
        <v>187</v>
      </c>
      <c r="E79" s="56">
        <f>'29'!F80</f>
        <v>0</v>
      </c>
      <c r="F79" s="271">
        <v>341072.6</v>
      </c>
      <c r="G79" s="318">
        <f t="shared" si="6"/>
        <v>341072.6</v>
      </c>
      <c r="H79" s="57">
        <f>G79+'29'!H80</f>
        <v>-155541.40000000002</v>
      </c>
      <c r="I79" s="112"/>
      <c r="J79" s="58">
        <f>H79/DAY(B2)</f>
        <v>-5184.713333333334</v>
      </c>
      <c r="K79" s="83"/>
      <c r="L79" s="117"/>
    </row>
    <row r="80" spans="1:12" ht="23.25" customHeight="1">
      <c r="A80" s="1628" t="s">
        <v>199</v>
      </c>
      <c r="B80" s="1629"/>
      <c r="C80" s="1630"/>
      <c r="D80" s="356" t="s">
        <v>187</v>
      </c>
      <c r="E80" s="56">
        <f>'29'!F81</f>
        <v>0</v>
      </c>
      <c r="F80" s="271">
        <v>407588.2</v>
      </c>
      <c r="G80" s="318">
        <f t="shared" si="6"/>
        <v>407588.2</v>
      </c>
      <c r="H80" s="57">
        <f>G80+'29'!H81</f>
        <v>-218355.63999999996</v>
      </c>
      <c r="I80" s="112"/>
      <c r="J80" s="58">
        <f>H80/DAY(B2)</f>
        <v>-7278.5213333333322</v>
      </c>
      <c r="K80" s="83"/>
      <c r="L80" s="117"/>
    </row>
    <row r="81" spans="1:12" ht="23.25" customHeight="1">
      <c r="A81" s="1631" t="s">
        <v>93</v>
      </c>
      <c r="B81" s="1629"/>
      <c r="C81" s="1630"/>
      <c r="D81" s="357" t="s">
        <v>132</v>
      </c>
      <c r="E81" s="56">
        <f>'29'!F82</f>
        <v>0</v>
      </c>
      <c r="F81" s="272">
        <v>72586.12</v>
      </c>
      <c r="G81" s="318">
        <f t="shared" si="6"/>
        <v>72586.12</v>
      </c>
      <c r="H81" s="57">
        <f>G81+'29'!H82</f>
        <v>-33616.36</v>
      </c>
      <c r="I81" s="206"/>
      <c r="J81" s="58">
        <f>H81/DAY(B2)</f>
        <v>-1120.5453333333332</v>
      </c>
      <c r="K81" s="83"/>
      <c r="L81" s="117"/>
    </row>
    <row r="82" spans="1:12" ht="23.25" customHeight="1">
      <c r="A82" s="1631" t="s">
        <v>200</v>
      </c>
      <c r="B82" s="1629"/>
      <c r="C82" s="1630"/>
      <c r="D82" s="273" t="s">
        <v>132</v>
      </c>
      <c r="E82" s="56">
        <f>'29'!F83</f>
        <v>0</v>
      </c>
      <c r="F82" s="269">
        <v>725847</v>
      </c>
      <c r="G82" s="318">
        <f t="shared" si="6"/>
        <v>725847</v>
      </c>
      <c r="H82" s="57">
        <f>G82+'29'!H83</f>
        <v>729250</v>
      </c>
      <c r="I82" s="68"/>
      <c r="J82" s="58">
        <f>H82/DAY(B2)</f>
        <v>24308.333333333332</v>
      </c>
      <c r="K82" s="75"/>
      <c r="L82" s="117"/>
    </row>
    <row r="83" spans="1:12" ht="23.25" customHeight="1">
      <c r="A83" s="1136" t="s">
        <v>201</v>
      </c>
      <c r="B83" s="1136"/>
      <c r="C83" s="1137"/>
      <c r="D83" s="358" t="s">
        <v>132</v>
      </c>
      <c r="E83" s="56">
        <f>'29'!F84</f>
        <v>0</v>
      </c>
      <c r="F83" s="268">
        <v>960770</v>
      </c>
      <c r="G83" s="318">
        <f t="shared" si="6"/>
        <v>960770</v>
      </c>
      <c r="H83" s="57">
        <f>G83+'29'!H84</f>
        <v>529972</v>
      </c>
      <c r="I83" s="68"/>
      <c r="J83" s="58">
        <f>H83/DAY(B2)</f>
        <v>17665.733333333334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8054906.9199999999</v>
      </c>
      <c r="H84" s="57">
        <f>G84+'29'!H85</f>
        <v>2490122.8499999996</v>
      </c>
      <c r="I84" s="68"/>
      <c r="J84" s="58">
        <f>H84/DAY(B2)</f>
        <v>83004.094999999987</v>
      </c>
      <c r="K84" s="88"/>
      <c r="L84" s="44"/>
    </row>
    <row r="85" spans="1:12" s="38" customFormat="1" ht="23.25" customHeight="1">
      <c r="A85" s="1128" t="s">
        <v>205</v>
      </c>
      <c r="B85" s="398"/>
      <c r="C85" s="1129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611" t="s">
        <v>206</v>
      </c>
      <c r="B86" s="1612"/>
      <c r="C86" s="1613"/>
      <c r="D86" s="268" t="s">
        <v>144</v>
      </c>
      <c r="E86" s="415">
        <f>'29'!F92</f>
        <v>0</v>
      </c>
      <c r="F86" s="267">
        <v>175511</v>
      </c>
      <c r="G86" s="318">
        <f t="shared" ref="G86:G87" si="7">F86-E86</f>
        <v>175511</v>
      </c>
      <c r="H86" s="57">
        <f>G86+'29'!H92</f>
        <v>-64184</v>
      </c>
      <c r="I86" s="69"/>
      <c r="J86" s="58">
        <f>H86/DAY(B2)</f>
        <v>-2139.4666666666667</v>
      </c>
      <c r="K86" s="75"/>
      <c r="L86" s="117"/>
    </row>
    <row r="87" spans="1:12" ht="23.25" customHeight="1">
      <c r="A87" s="1611" t="s">
        <v>207</v>
      </c>
      <c r="B87" s="1612"/>
      <c r="C87" s="1613"/>
      <c r="D87" s="268" t="s">
        <v>144</v>
      </c>
      <c r="E87" s="56">
        <f>'29'!F93</f>
        <v>0</v>
      </c>
      <c r="F87" s="267">
        <v>60336</v>
      </c>
      <c r="G87" s="318">
        <f t="shared" si="7"/>
        <v>60336</v>
      </c>
      <c r="H87" s="57">
        <f>G87+'29'!H93</f>
        <v>-115325</v>
      </c>
      <c r="I87" s="69"/>
      <c r="J87" s="58">
        <f>H87/DAY(B2)</f>
        <v>-3844.1666666666665</v>
      </c>
      <c r="K87" s="88"/>
      <c r="L87" s="117"/>
    </row>
    <row r="88" spans="1:12" ht="23.25" customHeight="1">
      <c r="A88" s="1614" t="s">
        <v>208</v>
      </c>
      <c r="B88" s="1615"/>
      <c r="C88" s="1616"/>
      <c r="D88" s="268"/>
      <c r="E88" s="56">
        <f>'29'!F94</f>
        <v>0</v>
      </c>
      <c r="F88" s="267"/>
      <c r="G88" s="318">
        <f>G86+G87</f>
        <v>235847</v>
      </c>
      <c r="H88" s="57">
        <f>G88+'29'!H94</f>
        <v>-179775</v>
      </c>
      <c r="I88" s="69"/>
      <c r="J88" s="58">
        <f>H88/DAY(B2)</f>
        <v>-5992.5</v>
      </c>
      <c r="K88" s="88"/>
      <c r="L88" s="117"/>
    </row>
    <row r="89" spans="1:12" ht="23.25" customHeight="1">
      <c r="A89" s="1611" t="s">
        <v>209</v>
      </c>
      <c r="B89" s="1612"/>
      <c r="C89" s="1613"/>
      <c r="D89" s="268" t="s">
        <v>144</v>
      </c>
      <c r="E89" s="56">
        <f>'29'!F95</f>
        <v>0</v>
      </c>
      <c r="F89" s="267">
        <v>351186</v>
      </c>
      <c r="G89" s="318">
        <f t="shared" ref="G89:G94" si="8">F89-E89</f>
        <v>351186</v>
      </c>
      <c r="H89" s="57">
        <f>G89+'29'!H95</f>
        <v>-56970</v>
      </c>
      <c r="I89" s="69"/>
      <c r="J89" s="58">
        <f>H89/DAY(B2)</f>
        <v>-1899</v>
      </c>
      <c r="K89" s="88"/>
      <c r="L89" s="117"/>
    </row>
    <row r="90" spans="1:12" ht="23.25" customHeight="1">
      <c r="A90" s="1130" t="s">
        <v>210</v>
      </c>
      <c r="B90" s="1131"/>
      <c r="C90" s="1132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G90+'29'!H96</f>
        <v>-101320</v>
      </c>
      <c r="I90" s="69"/>
      <c r="J90" s="58">
        <f>H90/DAY(B2)</f>
        <v>-3377.3333333333335</v>
      </c>
      <c r="K90" s="43"/>
      <c r="L90" s="117"/>
    </row>
    <row r="91" spans="1:12" ht="23.25" customHeight="1">
      <c r="A91" s="1130" t="s">
        <v>211</v>
      </c>
      <c r="B91" s="1131"/>
      <c r="C91" s="1132"/>
      <c r="D91" s="268" t="s">
        <v>144</v>
      </c>
      <c r="E91" s="56">
        <f>'29'!F97</f>
        <v>0</v>
      </c>
      <c r="F91" s="267">
        <v>82333</v>
      </c>
      <c r="G91" s="318">
        <f t="shared" si="8"/>
        <v>82333</v>
      </c>
      <c r="H91" s="57">
        <f>G91+'29'!H97</f>
        <v>-14116</v>
      </c>
      <c r="I91" s="69"/>
      <c r="J91" s="58">
        <f>H91/DAY(B2)</f>
        <v>-470.53333333333336</v>
      </c>
      <c r="K91" s="51"/>
      <c r="L91" s="117"/>
    </row>
    <row r="92" spans="1:12" ht="23.25" customHeight="1">
      <c r="A92" s="1130" t="s">
        <v>212</v>
      </c>
      <c r="B92" s="1131"/>
      <c r="C92" s="1132"/>
      <c r="D92" s="268" t="s">
        <v>144</v>
      </c>
      <c r="E92" s="56">
        <f>'29'!F98</f>
        <v>0</v>
      </c>
      <c r="F92" s="267">
        <v>115948</v>
      </c>
      <c r="G92" s="318">
        <f t="shared" si="8"/>
        <v>115948</v>
      </c>
      <c r="H92" s="57">
        <f>G92+'29'!H98</f>
        <v>-31660</v>
      </c>
      <c r="I92" s="69"/>
      <c r="J92" s="58">
        <f>H92/DAY(B2)</f>
        <v>-1055.3333333333333</v>
      </c>
      <c r="K92" s="88"/>
      <c r="L92" s="117"/>
    </row>
    <row r="93" spans="1:12" ht="23.25" customHeight="1">
      <c r="A93" s="1130" t="s">
        <v>213</v>
      </c>
      <c r="B93" s="1131"/>
      <c r="C93" s="1132"/>
      <c r="D93" s="268" t="s">
        <v>144</v>
      </c>
      <c r="E93" s="56">
        <f>'29'!F99</f>
        <v>0</v>
      </c>
      <c r="F93" s="267">
        <v>2658</v>
      </c>
      <c r="G93" s="318">
        <f t="shared" si="8"/>
        <v>2658</v>
      </c>
      <c r="H93" s="57">
        <f>G93+'29'!H99</f>
        <v>-3750</v>
      </c>
      <c r="I93" s="69"/>
      <c r="J93" s="58">
        <f>H93/DAY(B2)</f>
        <v>-125</v>
      </c>
      <c r="K93" s="88"/>
      <c r="L93" s="117"/>
    </row>
    <row r="94" spans="1:12" ht="23.25" customHeight="1">
      <c r="A94" s="1130" t="s">
        <v>214</v>
      </c>
      <c r="B94" s="1131"/>
      <c r="C94" s="1132"/>
      <c r="D94" s="268" t="s">
        <v>144</v>
      </c>
      <c r="E94" s="56">
        <f>'29'!F100</f>
        <v>0</v>
      </c>
      <c r="F94" s="267">
        <v>2507</v>
      </c>
      <c r="G94" s="318">
        <f t="shared" si="8"/>
        <v>2507</v>
      </c>
      <c r="H94" s="57">
        <f>G94+'29'!H100</f>
        <v>-2036</v>
      </c>
      <c r="I94" s="69"/>
      <c r="J94" s="58">
        <f>H94/DAY(B2)</f>
        <v>-67.86666666666666</v>
      </c>
      <c r="K94" s="88"/>
      <c r="L94" s="117"/>
    </row>
    <row r="95" spans="1:12" ht="23.25" customHeight="1">
      <c r="A95" s="1614" t="s">
        <v>216</v>
      </c>
      <c r="B95" s="1615"/>
      <c r="C95" s="1616"/>
      <c r="D95" s="274"/>
      <c r="E95" s="416"/>
      <c r="F95" s="274"/>
      <c r="G95" s="411">
        <f>SUM(G89:G94)</f>
        <v>554644</v>
      </c>
      <c r="H95" s="57">
        <f>G95+'29'!H101</f>
        <v>-209852</v>
      </c>
      <c r="I95" s="140"/>
      <c r="J95" s="58">
        <f>H95/DAY(B2)</f>
        <v>-6995.0666666666666</v>
      </c>
      <c r="K95" s="88"/>
      <c r="L95" s="117"/>
    </row>
    <row r="96" spans="1:12" ht="23.25" customHeight="1">
      <c r="A96" s="1617" t="s">
        <v>230</v>
      </c>
      <c r="B96" s="1618"/>
      <c r="C96" s="1619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'29'!F123</f>
        <v>0</v>
      </c>
      <c r="F97" s="275">
        <v>650192.71</v>
      </c>
      <c r="G97" s="318">
        <f t="shared" ref="G97:G101" si="9">F97-E97</f>
        <v>650192.71</v>
      </c>
      <c r="H97" s="57">
        <f>G97+'29'!H123</f>
        <v>-160814.13</v>
      </c>
      <c r="I97" s="87"/>
      <c r="J97" s="58">
        <f>H97/DAY(B2)</f>
        <v>-5360.4710000000005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'29'!F124</f>
        <v>0</v>
      </c>
      <c r="F98" s="275">
        <v>51370</v>
      </c>
      <c r="G98" s="318">
        <f t="shared" si="9"/>
        <v>51370</v>
      </c>
      <c r="H98" s="57">
        <f>G98+'29'!H124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620" t="s">
        <v>233</v>
      </c>
      <c r="B99" s="1621"/>
      <c r="C99" s="1622"/>
      <c r="D99" s="268" t="s">
        <v>141</v>
      </c>
      <c r="E99" s="56">
        <f>'29'!F125</f>
        <v>0</v>
      </c>
      <c r="F99" s="264">
        <v>83294.490000000005</v>
      </c>
      <c r="G99" s="318">
        <f t="shared" si="9"/>
        <v>83294.490000000005</v>
      </c>
      <c r="H99" s="57">
        <f>G99+'29'!H125</f>
        <v>-56684.849999999991</v>
      </c>
      <c r="I99" s="363"/>
      <c r="J99" s="58">
        <f>H99/DAY(B2)</f>
        <v>-1889.4949999999997</v>
      </c>
      <c r="K99" s="88"/>
      <c r="L99" s="117"/>
    </row>
    <row r="100" spans="1:12" ht="23.25" customHeight="1">
      <c r="A100" s="385" t="s">
        <v>234</v>
      </c>
      <c r="B100" s="1131"/>
      <c r="C100" s="1132"/>
      <c r="D100" s="268" t="s">
        <v>141</v>
      </c>
      <c r="E100" s="56">
        <f>'29'!F126</f>
        <v>0</v>
      </c>
      <c r="F100" s="264">
        <v>39666</v>
      </c>
      <c r="G100" s="318">
        <f t="shared" si="9"/>
        <v>39666</v>
      </c>
      <c r="H100" s="57">
        <f>G100+'29'!H126</f>
        <v>-19640.900000000001</v>
      </c>
      <c r="I100" s="363"/>
      <c r="J100" s="58">
        <f>H100/DAY(B2)</f>
        <v>-654.69666666666672</v>
      </c>
      <c r="K100" s="88"/>
      <c r="L100" s="117"/>
    </row>
    <row r="101" spans="1:12" ht="23.25" customHeight="1">
      <c r="A101" s="385" t="s">
        <v>235</v>
      </c>
      <c r="B101" s="1131"/>
      <c r="C101" s="1132"/>
      <c r="D101" s="268" t="s">
        <v>141</v>
      </c>
      <c r="E101" s="56">
        <f>'29'!F127</f>
        <v>0</v>
      </c>
      <c r="F101" s="264">
        <v>6221.3</v>
      </c>
      <c r="G101" s="318">
        <f t="shared" si="9"/>
        <v>6221.3</v>
      </c>
      <c r="H101" s="57">
        <f>G101+'29'!H127</f>
        <v>-2666.4999999999991</v>
      </c>
      <c r="I101" s="319"/>
      <c r="J101" s="308">
        <f>H101/DAY(B2)</f>
        <v>-88.883333333333297</v>
      </c>
      <c r="K101" s="88"/>
      <c r="L101" s="117"/>
    </row>
    <row r="102" spans="1:12" ht="23.25" customHeight="1">
      <c r="A102" s="1623" t="s">
        <v>250</v>
      </c>
      <c r="B102" s="1624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611" t="s">
        <v>251</v>
      </c>
      <c r="B103" s="1612"/>
      <c r="C103" s="1613"/>
      <c r="D103" s="268" t="s">
        <v>132</v>
      </c>
      <c r="E103" s="268"/>
      <c r="F103" s="268"/>
      <c r="G103" s="277">
        <f>G34+G42+G48+G56</f>
        <v>2273553.61</v>
      </c>
      <c r="H103" s="57">
        <f>G103+'29'!H142</f>
        <v>483809.08999999985</v>
      </c>
      <c r="I103" s="69"/>
      <c r="J103" s="58">
        <f>H103/DAY(B2)</f>
        <v>16126.969666666662</v>
      </c>
      <c r="K103" s="88"/>
      <c r="L103" s="117"/>
    </row>
    <row r="104" spans="1:12" ht="23.25" customHeight="1">
      <c r="A104" s="1611" t="s">
        <v>252</v>
      </c>
      <c r="B104" s="1612"/>
      <c r="C104" s="1613"/>
      <c r="D104" s="268" t="s">
        <v>24</v>
      </c>
      <c r="E104" s="269"/>
      <c r="F104" s="269"/>
      <c r="G104" s="280">
        <f>G103/G7</f>
        <v>0.62877050760564834</v>
      </c>
      <c r="H104" s="57" t="e">
        <f>G104+'29'!H143</f>
        <v>#DIV/0!</v>
      </c>
      <c r="I104" s="84"/>
      <c r="J104" s="58" t="e">
        <f>H104/DAY(B2)</f>
        <v>#DIV/0!</v>
      </c>
      <c r="K104" s="111"/>
      <c r="L104" s="117"/>
    </row>
    <row r="105" spans="1:12" ht="23.25" customHeight="1">
      <c r="A105" s="1611" t="s">
        <v>253</v>
      </c>
      <c r="B105" s="1612"/>
      <c r="C105" s="1613"/>
      <c r="D105" s="268" t="s">
        <v>132</v>
      </c>
      <c r="E105" s="265"/>
      <c r="F105" s="265"/>
      <c r="G105" s="277">
        <f>G40+G41+G54+G55</f>
        <v>3466277.8899999997</v>
      </c>
      <c r="H105" s="57">
        <f>G105+'29'!H144</f>
        <v>2639629.9499999997</v>
      </c>
      <c r="I105" s="69"/>
      <c r="J105" s="58">
        <f>H105/DAY(B2)</f>
        <v>87987.664999999994</v>
      </c>
      <c r="K105" s="111"/>
      <c r="L105" s="117"/>
    </row>
    <row r="106" spans="1:12" ht="23.25" customHeight="1">
      <c r="A106" s="1611" t="s">
        <v>254</v>
      </c>
      <c r="B106" s="1612"/>
      <c r="C106" s="1613"/>
      <c r="D106" s="268" t="s">
        <v>24</v>
      </c>
      <c r="E106" s="265"/>
      <c r="F106" s="265"/>
      <c r="G106" s="280">
        <f>G105/G7</f>
        <v>0.95862850948895606</v>
      </c>
      <c r="H106" s="57" t="e">
        <f>G106+'29'!H145</f>
        <v>#DIV/0!</v>
      </c>
      <c r="I106" s="84"/>
      <c r="J106" s="58" t="e">
        <f>H106/DAY(B2)</f>
        <v>#DIV/0!</v>
      </c>
      <c r="K106" s="111"/>
      <c r="L106" s="117"/>
    </row>
    <row r="107" spans="1:12" ht="23.25" customHeight="1">
      <c r="A107" s="1611" t="s">
        <v>255</v>
      </c>
      <c r="B107" s="1612"/>
      <c r="C107" s="1613"/>
      <c r="D107" s="268" t="s">
        <v>132</v>
      </c>
      <c r="E107" s="265"/>
      <c r="F107" s="265"/>
      <c r="G107" s="277">
        <f>G38+G52</f>
        <v>2993569.69</v>
      </c>
      <c r="H107" s="57">
        <f>G107+'29'!H146</f>
        <v>2671108.0699999998</v>
      </c>
      <c r="I107" s="86"/>
      <c r="J107" s="58">
        <f>H107/DAY(B2)</f>
        <v>89036.935666666657</v>
      </c>
      <c r="K107" s="111"/>
      <c r="L107" s="117"/>
    </row>
    <row r="108" spans="1:12" ht="23.25" customHeight="1">
      <c r="A108" s="1611" t="s">
        <v>256</v>
      </c>
      <c r="B108" s="1612"/>
      <c r="C108" s="1613"/>
      <c r="D108" s="268" t="s">
        <v>24</v>
      </c>
      <c r="E108" s="265"/>
      <c r="F108" s="265"/>
      <c r="G108" s="280">
        <f>G107/G7</f>
        <v>0.82789705299017924</v>
      </c>
      <c r="H108" s="57" t="e">
        <f>G108+'29'!H147</f>
        <v>#DIV/0!</v>
      </c>
      <c r="I108" s="86"/>
      <c r="J108" s="58" t="e">
        <f>H108/DAY(B2)</f>
        <v>#DIV/0!</v>
      </c>
    </row>
    <row r="109" spans="1:12" ht="23.25" customHeight="1">
      <c r="A109" s="1611" t="s">
        <v>257</v>
      </c>
      <c r="B109" s="1612"/>
      <c r="C109" s="1613"/>
      <c r="D109" s="268" t="s">
        <v>183</v>
      </c>
      <c r="E109" s="265"/>
      <c r="F109" s="265"/>
      <c r="G109" s="277">
        <f>G37+G51</f>
        <v>1919566.75</v>
      </c>
      <c r="H109" s="57">
        <f>G109+'29'!H148</f>
        <v>1367840.5499999998</v>
      </c>
      <c r="I109" s="69"/>
      <c r="J109" s="58">
        <f>H109/DAY(B2)</f>
        <v>45594.68499999999</v>
      </c>
      <c r="K109" s="153"/>
    </row>
    <row r="110" spans="1:12" ht="23.25" customHeight="1">
      <c r="A110" s="1611" t="s">
        <v>258</v>
      </c>
      <c r="B110" s="1612"/>
      <c r="C110" s="1613"/>
      <c r="D110" s="268" t="s">
        <v>24</v>
      </c>
      <c r="E110" s="265"/>
      <c r="F110" s="265"/>
      <c r="G110" s="280">
        <f>G109/G7</f>
        <v>0.53087244324114469</v>
      </c>
      <c r="H110" s="57" t="e">
        <f>G110+'29'!H149</f>
        <v>#DIV/0!</v>
      </c>
      <c r="I110" s="86"/>
      <c r="J110" s="58" t="e">
        <f>H110/DAY(B2)</f>
        <v>#DIV/0!</v>
      </c>
    </row>
    <row r="111" spans="1:12" ht="23.25" customHeight="1">
      <c r="A111" s="1611" t="s">
        <v>259</v>
      </c>
      <c r="B111" s="1612"/>
      <c r="C111" s="1613"/>
      <c r="D111" s="268" t="s">
        <v>183</v>
      </c>
      <c r="E111" s="265"/>
      <c r="F111" s="265"/>
      <c r="G111" s="277">
        <f>G35+G49</f>
        <v>1402176.22</v>
      </c>
      <c r="H111" s="57">
        <f>G111+'29'!H150</f>
        <v>703267.61999999988</v>
      </c>
      <c r="I111" s="86"/>
      <c r="J111" s="58">
        <f>H111/DAY(B2)</f>
        <v>23442.253999999997</v>
      </c>
    </row>
    <row r="112" spans="1:12" ht="23.25" customHeight="1">
      <c r="A112" s="1611" t="s">
        <v>260</v>
      </c>
      <c r="B112" s="1612"/>
      <c r="C112" s="1613"/>
      <c r="D112" s="268" t="s">
        <v>24</v>
      </c>
      <c r="E112" s="265"/>
      <c r="F112" s="265"/>
      <c r="G112" s="280">
        <f>G111/G7</f>
        <v>0.38778370992622829</v>
      </c>
      <c r="H112" s="57" t="e">
        <f>G112+'29'!H151</f>
        <v>#DIV/0!</v>
      </c>
      <c r="I112" s="69"/>
      <c r="J112" s="58" t="e">
        <f>H112/DAY(B2)</f>
        <v>#DIV/0!</v>
      </c>
    </row>
    <row r="113" spans="1:10" ht="23.25" customHeight="1">
      <c r="A113" s="1611" t="s">
        <v>261</v>
      </c>
      <c r="B113" s="1612"/>
      <c r="C113" s="1613"/>
      <c r="D113" s="268" t="s">
        <v>183</v>
      </c>
      <c r="E113" s="265"/>
      <c r="F113" s="265"/>
      <c r="G113" s="277">
        <f>G36+G50</f>
        <v>944810.94</v>
      </c>
      <c r="H113" s="57">
        <f>G113+'29'!H152</f>
        <v>827865.1</v>
      </c>
      <c r="I113" s="69"/>
      <c r="J113" s="58">
        <f>H113/DAY(B2)</f>
        <v>27595.503333333334</v>
      </c>
    </row>
    <row r="114" spans="1:10" ht="23.25" customHeight="1">
      <c r="A114" s="1611" t="s">
        <v>262</v>
      </c>
      <c r="B114" s="1612"/>
      <c r="C114" s="1613"/>
      <c r="D114" s="268" t="s">
        <v>24</v>
      </c>
      <c r="E114" s="265"/>
      <c r="F114" s="265"/>
      <c r="G114" s="280">
        <f>G113/G7</f>
        <v>0.26129546790637131</v>
      </c>
      <c r="H114" s="57" t="e">
        <f>G114+'29'!H153</f>
        <v>#DIV/0!</v>
      </c>
      <c r="I114" s="69"/>
      <c r="J114" s="58" t="e">
        <f>H114/DAY(B2)</f>
        <v>#DIV/0!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'29'!F130</f>
        <v>0</v>
      </c>
      <c r="F116" s="267">
        <v>0</v>
      </c>
      <c r="G116" s="318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'29'!F131</f>
        <v>0</v>
      </c>
      <c r="F117" s="267">
        <v>0</v>
      </c>
      <c r="G117" s="318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'29'!F132</f>
        <v>0</v>
      </c>
      <c r="F118" s="267">
        <v>36196</v>
      </c>
      <c r="G118" s="318">
        <f t="shared" si="10"/>
        <v>36196</v>
      </c>
      <c r="H118" s="57">
        <f>G118+'29'!H132</f>
        <v>-2642.3300000000017</v>
      </c>
      <c r="I118" s="69"/>
      <c r="J118" s="58">
        <f>H118/DAY(B2)</f>
        <v>-88.07766666666673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'29'!F133</f>
        <v>0</v>
      </c>
      <c r="F119" s="267">
        <v>32397.32</v>
      </c>
      <c r="G119" s="318">
        <f t="shared" si="10"/>
        <v>32397.32</v>
      </c>
      <c r="H119" s="57">
        <f>G119+'29'!H133</f>
        <v>32097.32</v>
      </c>
      <c r="I119" s="69">
        <f>G116+G117+G118+G119</f>
        <v>68593.320000000007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'29'!F134</f>
        <v>0</v>
      </c>
      <c r="F120" s="267">
        <v>30495.25</v>
      </c>
      <c r="G120" s="318">
        <f t="shared" si="10"/>
        <v>30495.25</v>
      </c>
      <c r="H120" s="57">
        <f>G120+'29'!H134</f>
        <v>-10282.75</v>
      </c>
      <c r="I120" s="69"/>
      <c r="J120" s="58">
        <f>H120/DAY(B2)</f>
        <v>-342.75833333333333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'29'!F135</f>
        <v>0</v>
      </c>
      <c r="F121" s="267">
        <v>25683.26</v>
      </c>
      <c r="G121" s="318">
        <f t="shared" si="10"/>
        <v>25683.26</v>
      </c>
      <c r="H121" s="57">
        <f>G121+'29'!H135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'29'!F136</f>
        <v>0</v>
      </c>
      <c r="F122" s="267">
        <v>21285.49</v>
      </c>
      <c r="G122" s="318">
        <f t="shared" si="10"/>
        <v>21285.49</v>
      </c>
      <c r="H122" s="57">
        <f>G122+'29'!H136</f>
        <v>-936.71999999999753</v>
      </c>
      <c r="I122" s="69">
        <f>G120+G121+G122</f>
        <v>77464</v>
      </c>
      <c r="J122" s="58">
        <f>H122/DAY(B2)</f>
        <v>-31.223999999999918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'29'!F137</f>
        <v>0</v>
      </c>
      <c r="F123" s="267">
        <v>22354.720000000001</v>
      </c>
      <c r="G123" s="318">
        <f t="shared" si="10"/>
        <v>22354.720000000001</v>
      </c>
      <c r="H123" s="57">
        <f>G123+'29'!H137</f>
        <v>-2681.59</v>
      </c>
      <c r="I123" s="69"/>
      <c r="J123" s="58">
        <f>H123/DAY(B2)</f>
        <v>-89.38633333333334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'29'!F138</f>
        <v>0</v>
      </c>
      <c r="F124" s="267">
        <v>64789.37</v>
      </c>
      <c r="G124" s="318">
        <f t="shared" si="10"/>
        <v>64789.37</v>
      </c>
      <c r="H124" s="57">
        <f>G124+'29'!H138</f>
        <v>-5433.6299999999974</v>
      </c>
      <c r="I124" s="69">
        <f>G123+G124</f>
        <v>87144.09</v>
      </c>
      <c r="J124" s="58">
        <f>H124/DAY(B2)</f>
        <v>-181.12099999999992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'29'!F139</f>
        <v>0</v>
      </c>
      <c r="F125" s="267">
        <v>17.899999999999999</v>
      </c>
      <c r="G125" s="318">
        <f t="shared" si="10"/>
        <v>17.899999999999999</v>
      </c>
      <c r="H125" s="57">
        <f>G125+'29'!H139</f>
        <v>-1405.24</v>
      </c>
      <c r="J125" s="58">
        <f>H125/DAY(B2)</f>
        <v>-46.841333333333331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'29'!F140</f>
        <v>0</v>
      </c>
      <c r="F126" s="267">
        <v>603.07000000000005</v>
      </c>
      <c r="G126" s="318">
        <f t="shared" si="10"/>
        <v>603.07000000000005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22397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22379</v>
      </c>
      <c r="B4" s="213"/>
    </row>
    <row r="5" spans="1:9">
      <c r="A5" s="213">
        <f>'3'!G7</f>
        <v>21109</v>
      </c>
    </row>
    <row r="6" spans="1:9">
      <c r="A6" s="213">
        <f>'4'!G7</f>
        <v>19792</v>
      </c>
    </row>
    <row r="7" spans="1:9">
      <c r="A7" s="213">
        <f>'5'!G7</f>
        <v>20391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2021-03-25T05:59:08Z</dcterms:modified>
</cp:coreProperties>
</file>