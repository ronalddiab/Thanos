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109" documentId="8_{5B502D95-7A37-4D5A-8B6B-374537CC2F26}" xr6:coauthVersionLast="47" xr6:coauthVersionMax="47" xr10:uidLastSave="{68F41F65-B113-419F-80EA-0547300FD253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1" i="2" l="1"/>
  <c r="N32" i="2"/>
  <c r="M32" i="2"/>
  <c r="L32" i="2"/>
  <c r="F32" i="2"/>
  <c r="K31" i="6"/>
  <c r="I31" i="6"/>
  <c r="G31" i="6"/>
  <c r="E31" i="6"/>
  <c r="V26" i="2"/>
  <c r="V27" i="2"/>
  <c r="V28" i="2"/>
  <c r="V29" i="2"/>
  <c r="V30" i="2"/>
  <c r="N27" i="2"/>
  <c r="N28" i="2"/>
  <c r="N29" i="2"/>
  <c r="N30" i="2"/>
  <c r="N31" i="2"/>
  <c r="M27" i="2"/>
  <c r="M28" i="2"/>
  <c r="M29" i="2"/>
  <c r="M30" i="2"/>
  <c r="M31" i="2"/>
  <c r="L27" i="2"/>
  <c r="L28" i="2"/>
  <c r="L29" i="2"/>
  <c r="L30" i="2"/>
  <c r="L31" i="2"/>
  <c r="F27" i="2"/>
  <c r="F28" i="2"/>
  <c r="F29" i="2"/>
  <c r="F30" i="2"/>
  <c r="F31" i="2"/>
  <c r="K30" i="6"/>
  <c r="I30" i="6"/>
  <c r="G30" i="6"/>
  <c r="E30" i="6"/>
  <c r="K28" i="6"/>
  <c r="I28" i="6"/>
  <c r="G28" i="6"/>
  <c r="E28" i="6"/>
  <c r="K27" i="6"/>
  <c r="I27" i="6"/>
  <c r="G27" i="6"/>
  <c r="E27" i="6"/>
  <c r="K26" i="6"/>
  <c r="I26" i="6"/>
  <c r="G26" i="6"/>
  <c r="E26" i="6"/>
  <c r="V25" i="2"/>
  <c r="N26" i="2"/>
  <c r="M26" i="2"/>
  <c r="L26" i="2"/>
  <c r="F26" i="2"/>
  <c r="K25" i="6"/>
  <c r="I25" i="6"/>
  <c r="G25" i="6"/>
  <c r="E25" i="6"/>
  <c r="V24" i="2"/>
  <c r="N25" i="2"/>
  <c r="M25" i="2"/>
  <c r="L25" i="2"/>
  <c r="F25" i="2"/>
  <c r="K24" i="6"/>
  <c r="I24" i="6"/>
  <c r="G24" i="6"/>
  <c r="E24" i="6"/>
  <c r="V21" i="2"/>
  <c r="V22" i="2"/>
  <c r="V23" i="2"/>
  <c r="N22" i="2"/>
  <c r="N23" i="2"/>
  <c r="N24" i="2"/>
  <c r="M22" i="2"/>
  <c r="M23" i="2"/>
  <c r="M24" i="2"/>
  <c r="L22" i="2"/>
  <c r="L23" i="2"/>
  <c r="L24" i="2"/>
  <c r="F22" i="2"/>
  <c r="F23" i="2"/>
  <c r="F24" i="2"/>
  <c r="K21" i="6"/>
  <c r="I21" i="6"/>
  <c r="G21" i="6"/>
  <c r="E21" i="6"/>
  <c r="E22" i="6"/>
  <c r="E23" i="6"/>
  <c r="V20" i="2"/>
  <c r="N21" i="2"/>
  <c r="M21" i="2"/>
  <c r="L21" i="2"/>
  <c r="F21" i="2"/>
  <c r="K20" i="6"/>
  <c r="I20" i="6"/>
  <c r="G20" i="6"/>
  <c r="E20" i="6"/>
  <c r="V19" i="2"/>
  <c r="N20" i="2"/>
  <c r="M20" i="2"/>
  <c r="L20" i="2"/>
  <c r="F20" i="2"/>
  <c r="K19" i="6"/>
  <c r="I19" i="6"/>
  <c r="G19" i="6"/>
  <c r="E19" i="6"/>
  <c r="V18" i="2"/>
  <c r="N19" i="2"/>
  <c r="L19" i="2"/>
  <c r="F19" i="2"/>
  <c r="K18" i="6"/>
  <c r="I18" i="6"/>
  <c r="G18" i="6"/>
  <c r="E18" i="6"/>
  <c r="V17" i="2"/>
  <c r="N18" i="2"/>
  <c r="M18" i="2"/>
  <c r="M19" i="2"/>
  <c r="L18" i="2"/>
  <c r="F18" i="2"/>
  <c r="K17" i="6"/>
  <c r="I17" i="6"/>
  <c r="G17" i="6"/>
  <c r="E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Q39" i="2"/>
  <c r="O39" i="2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34" i="6"/>
  <c r="I34" i="6"/>
  <c r="G34" i="6"/>
  <c r="E34" i="6"/>
  <c r="K33" i="6"/>
  <c r="I33" i="6"/>
  <c r="G33" i="6"/>
  <c r="E33" i="6"/>
  <c r="K29" i="6"/>
  <c r="I29" i="6"/>
  <c r="G29" i="6"/>
  <c r="E29" i="6"/>
  <c r="K23" i="6"/>
  <c r="I23" i="6"/>
  <c r="G23" i="6"/>
  <c r="G17" i="4"/>
  <c r="K22" i="6"/>
  <c r="I22" i="6"/>
  <c r="G22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K39" i="6"/>
  <c r="I39" i="6"/>
  <c r="G39" i="6"/>
  <c r="E39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G27" i="4"/>
  <c r="E8" i="4"/>
  <c r="E12" i="4"/>
  <c r="E13" i="4"/>
  <c r="E14" i="4"/>
  <c r="E15" i="4"/>
  <c r="E16" i="4"/>
  <c r="E17" i="4"/>
  <c r="E18" i="4"/>
  <c r="E22" i="4"/>
  <c r="E24" i="4"/>
  <c r="E26" i="4"/>
  <c r="E27" i="4"/>
  <c r="C8" i="4"/>
  <c r="C12" i="4"/>
  <c r="C13" i="4"/>
  <c r="C14" i="4"/>
  <c r="C15" i="4"/>
  <c r="C16" i="4"/>
  <c r="C17" i="4"/>
  <c r="C18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0" i="4" l="1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<sst xmlns="http://schemas.openxmlformats.org/spreadsheetml/2006/main" count="476" uniqueCount="186">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</sst>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7">
                  <c:v>108.59999999999127</c:v>
                </c:pt>
                <c:pt idx="18">
                  <c:v>91.30000000000291</c:v>
                </c:pt>
                <c:pt idx="19">
                  <c:v>90.30000000000291</c:v>
                </c:pt>
                <c:pt idx="20">
                  <c:v>96.19999999999709</c:v>
                </c:pt>
                <c:pt idx="21">
                  <c:v>90.600000000005821</c:v>
                </c:pt>
                <c:pt idx="22">
                  <c:v>108.69999999999709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7">
                  <c:v>3312</c:v>
                </c:pt>
                <c:pt idx="18">
                  <c:v>2996</c:v>
                </c:pt>
                <c:pt idx="19">
                  <c:v>3226</c:v>
                </c:pt>
                <c:pt idx="20">
                  <c:v>4218</c:v>
                </c:pt>
                <c:pt idx="21">
                  <c:v>3566</c:v>
                </c:pt>
                <c:pt idx="22">
                  <c:v>3799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7">
                  <c:v>5080</c:v>
                </c:pt>
                <c:pt idx="18">
                  <c:v>4826</c:v>
                </c:pt>
                <c:pt idx="19">
                  <c:v>5164</c:v>
                </c:pt>
                <c:pt idx="20">
                  <c:v>5085</c:v>
                </c:pt>
                <c:pt idx="21">
                  <c:v>5167</c:v>
                </c:pt>
                <c:pt idx="22">
                  <c:v>5344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7">
                  <c:v>2268</c:v>
                </c:pt>
                <c:pt idx="18">
                  <c:v>2333</c:v>
                </c:pt>
                <c:pt idx="19">
                  <c:v>2412</c:v>
                </c:pt>
                <c:pt idx="20">
                  <c:v>2384</c:v>
                </c:pt>
                <c:pt idx="21">
                  <c:v>2405</c:v>
                </c:pt>
                <c:pt idx="22">
                  <c:v>2540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895.97788000000003</c:v>
                </c:pt>
                <c:pt idx="17">
                  <c:v>511.98736000000002</c:v>
                </c:pt>
                <c:pt idx="18">
                  <c:v>511.98736000000002</c:v>
                </c:pt>
                <c:pt idx="19">
                  <c:v>511.98736000000002</c:v>
                </c:pt>
                <c:pt idx="20">
                  <c:v>575.98577999999998</c:v>
                </c:pt>
                <c:pt idx="21">
                  <c:v>511.98736000000002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énergie'!V19</f>
        <v>735.98183000000006</v>
      </c>
      <c r="H10" s="134">
        <v>9.9649999999999999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énergie'!V20</f>
        <v>575.98577999999998</v>
      </c>
      <c r="H11" s="134">
        <v>9.9649999999999999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énergie'!V22</f>
        <v>415.98973000000001</v>
      </c>
      <c r="H13" s="134">
        <v>9.9649999999999999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énergie'!V24</f>
        <v>767.98104000000001</v>
      </c>
      <c r="H15" s="134">
        <v>9.9649999999999999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énergie'!V25</f>
        <v>543.98657000000003</v>
      </c>
      <c r="H16" s="134">
        <v>9.9649999999999999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1.05</v>
      </c>
      <c r="G17" s="134">
        <f>'Consommation mensuel énergie'!V26</f>
        <v>895.97788000000003</v>
      </c>
      <c r="H17" s="134">
        <v>9.9649999999999999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1.05</v>
      </c>
      <c r="G18" s="134">
        <f>'Consommation mensuel énergie'!V27</f>
        <v>511.98736000000002</v>
      </c>
      <c r="H18" s="134">
        <v>9.9649999999999999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72</v>
      </c>
      <c r="L18" s="137">
        <f>'Consommation mensuel énergie'!E26</f>
        <v>101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10660</v>
      </c>
      <c r="F19" s="134">
        <v>1.05</v>
      </c>
      <c r="G19" s="134">
        <f>'Consommation mensuel énergie'!V28</f>
        <v>511.98736000000002</v>
      </c>
      <c r="H19" s="134">
        <v>9.9649999999999999</v>
      </c>
      <c r="I19" s="134">
        <f>'Consommation mensuel énergie'!F27</f>
        <v>108.59999999999127</v>
      </c>
      <c r="J19" s="134">
        <v>11.4</v>
      </c>
      <c r="K19" s="137">
        <f>'Consommation mensuel énergie'!D27</f>
        <v>82</v>
      </c>
      <c r="L19" s="137">
        <f>'Consommation mensuel énergie'!E27</f>
        <v>124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10155</v>
      </c>
      <c r="F20" s="134">
        <v>1.05</v>
      </c>
      <c r="G20" s="134">
        <f>'Consommation mensuel énergie'!V29</f>
        <v>511.98736000000002</v>
      </c>
      <c r="H20" s="134">
        <v>9.9649999999999999</v>
      </c>
      <c r="I20" s="134">
        <f>'Consommation mensuel énergie'!F28</f>
        <v>91.30000000000291</v>
      </c>
      <c r="J20" s="134">
        <v>11.4</v>
      </c>
      <c r="K20" s="137">
        <f>'Consommation mensuel énergie'!D28</f>
        <v>88</v>
      </c>
      <c r="L20" s="137">
        <f>'Consommation mensuel énergie'!E28</f>
        <v>129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10802</v>
      </c>
      <c r="F21" s="134">
        <v>1.05</v>
      </c>
      <c r="G21" s="134">
        <f>'Consommation mensuel énergie'!V30</f>
        <v>575.98577999999998</v>
      </c>
      <c r="H21" s="134">
        <v>9.9649999999999999</v>
      </c>
      <c r="I21" s="134">
        <f>'Consommation mensuel énergie'!F29</f>
        <v>90.30000000000291</v>
      </c>
      <c r="J21" s="134">
        <v>11.4</v>
      </c>
      <c r="K21" s="137">
        <f>'Consommation mensuel énergie'!D29</f>
        <v>74</v>
      </c>
      <c r="L21" s="137">
        <f>'Consommation mensuel énergie'!E29</f>
        <v>122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11687</v>
      </c>
      <c r="F22" s="134">
        <v>1.05</v>
      </c>
      <c r="G22" s="134">
        <f>'Consommation mensuel énergie'!V31</f>
        <v>511.98736000000002</v>
      </c>
      <c r="H22" s="134">
        <v>9.9649999999999999</v>
      </c>
      <c r="I22" s="134">
        <f>'Consommation mensuel énergie'!F30</f>
        <v>96.19999999999709</v>
      </c>
      <c r="J22" s="134">
        <v>11.4</v>
      </c>
      <c r="K22" s="137">
        <f>'Consommation mensuel énergie'!D30</f>
        <v>80</v>
      </c>
      <c r="L22" s="137">
        <f>'Consommation mensuel énergie'!E30</f>
        <v>109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11138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90.600000000005821</v>
      </c>
      <c r="J23" s="134">
        <v>11.4</v>
      </c>
      <c r="K23" s="137">
        <f>'Consommation mensuel énergie'!D31</f>
        <v>104</v>
      </c>
      <c r="L23" s="137">
        <f>'Consommation mensuel énergie'!E31</f>
        <v>144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11683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108.69999999999709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12092.227199999998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72</v>
      </c>
      <c r="I18" s="137">
        <f>'Consommation mensuel énergie'!E26</f>
        <v>101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3312</v>
      </c>
      <c r="F19" s="137">
        <f>'Consommation mensuel énergie'!M27</f>
        <v>5080</v>
      </c>
      <c r="G19" s="137">
        <f>'Consommation mensuel énergie'!N27</f>
        <v>2268</v>
      </c>
      <c r="H19" s="137">
        <f>'Consommation mensuel énergie'!D27</f>
        <v>82</v>
      </c>
      <c r="I19" s="137">
        <f>'Consommation mensuel énergie'!E27</f>
        <v>124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2996</v>
      </c>
      <c r="F20" s="137">
        <f>'Consommation mensuel énergie'!M28</f>
        <v>4826</v>
      </c>
      <c r="G20" s="137">
        <f>'Consommation mensuel énergie'!N28</f>
        <v>2333</v>
      </c>
      <c r="H20" s="137">
        <f>'Consommation mensuel énergie'!D28</f>
        <v>88</v>
      </c>
      <c r="I20" s="137">
        <f>'Consommation mensuel énergie'!E28</f>
        <v>129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3226</v>
      </c>
      <c r="F21" s="137">
        <f>'Consommation mensuel énergie'!M29</f>
        <v>5164</v>
      </c>
      <c r="G21" s="137">
        <f>'Consommation mensuel énergie'!N29</f>
        <v>2412</v>
      </c>
      <c r="H21" s="137">
        <f>'Consommation mensuel énergie'!D29</f>
        <v>74</v>
      </c>
      <c r="I21" s="137">
        <f>'Consommation mensuel énergie'!E29</f>
        <v>122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4218</v>
      </c>
      <c r="F22" s="137">
        <f>'Consommation mensuel énergie'!M30</f>
        <v>5085</v>
      </c>
      <c r="G22" s="137">
        <f>'Consommation mensuel énergie'!N30</f>
        <v>2384</v>
      </c>
      <c r="H22" s="137">
        <f>'Consommation mensuel énergie'!D30</f>
        <v>80</v>
      </c>
      <c r="I22" s="137">
        <f>'Consommation mensuel énergie'!E30</f>
        <v>109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3566</v>
      </c>
      <c r="F23" s="137">
        <f>'Consommation mensuel énergie'!M31</f>
        <v>5167</v>
      </c>
      <c r="G23" s="137">
        <f>'Consommation mensuel énergie'!N31</f>
        <v>2405</v>
      </c>
      <c r="H23" s="137">
        <f>'Consommation mensuel énergie'!D31</f>
        <v>104</v>
      </c>
      <c r="I23" s="137">
        <f>'Consommation mensuel énergie'!E31</f>
        <v>144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3799</v>
      </c>
      <c r="F24" s="137">
        <f>'Consommation mensuel énergie'!M32</f>
        <v>5344</v>
      </c>
      <c r="G24" s="137">
        <f>'Consommation mensuel énergie'!N32</f>
        <v>2540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6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V10*11.2513</f>
        <v>5832.8989460000012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V11*11.2513</f>
        <v>5416.2633070000011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3749.7207510000007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5843.9252200000001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8280.7523638790008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7200.6542294600004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7560.6869409330011</v>
      </c>
    </row>
    <row r="17" spans="1:24" s="5" customFormat="1" ht="32.25" customHeight="1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1"/>
        <v>5400.4906720950003</v>
      </c>
    </row>
    <row r="18" spans="1:24" ht="32.25" customHeight="1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6">
        <f t="shared" si="0"/>
        <v>939.65099999994879</v>
      </c>
      <c r="I18" s="167"/>
      <c r="J18" s="167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2"/>
        <v>11791</v>
      </c>
      <c r="P18" s="12"/>
      <c r="Q18" s="34">
        <f t="shared" si="3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3960.359826203</v>
      </c>
    </row>
    <row r="19" spans="1:24" ht="32.25" customHeight="1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6">
        <f t="shared" si="0"/>
        <v>860.54100000007668</v>
      </c>
      <c r="I19" s="167"/>
      <c r="J19" s="167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2"/>
        <v>10942</v>
      </c>
      <c r="P19" s="12"/>
      <c r="Q19" s="34">
        <f t="shared" si="3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1"/>
        <v>8280.7523638790008</v>
      </c>
    </row>
    <row r="20" spans="1:24" ht="32.25" customHeight="1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6">
        <f t="shared" si="0"/>
        <v>806.92200000002549</v>
      </c>
      <c r="I20" s="167"/>
      <c r="J20" s="167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2"/>
        <v>10681</v>
      </c>
      <c r="P20" s="12"/>
      <c r="Q20" s="34">
        <f t="shared" si="3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1"/>
        <v>6480.5888065139998</v>
      </c>
    </row>
    <row r="21" spans="1:24" ht="32.25" customHeight="1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6">
        <f t="shared" si="0"/>
        <v>767.36699999989764</v>
      </c>
      <c r="I21" s="167"/>
      <c r="J21" s="167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>L21+M21+N21</f>
        <v>11552</v>
      </c>
      <c r="P21" s="12"/>
      <c r="Q21" s="34">
        <f t="shared" si="3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4320.3925376759998</v>
      </c>
    </row>
    <row r="22" spans="1:24" ht="32.25" customHeight="1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6">
        <f t="shared" ref="H22:H35" si="4">F22*8.79</f>
        <v>1023.1560000000767</v>
      </c>
      <c r="I22" s="167"/>
      <c r="J22" s="167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2"/>
        <v>11515</v>
      </c>
      <c r="P22" s="12"/>
      <c r="Q22" s="34">
        <f t="shared" si="3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4680.4252491490006</v>
      </c>
    </row>
    <row r="23" spans="1:24" ht="32.25" customHeight="1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6">
        <f t="shared" si="4"/>
        <v>999.42299999997431</v>
      </c>
      <c r="I23" s="167"/>
      <c r="J23" s="167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>L23+M23+N23</f>
        <v>11657</v>
      </c>
      <c r="P23" s="12"/>
      <c r="Q23" s="34">
        <f>L23*0.6985+M23*0.9514+N23*1.3304</f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4680.4252491490006</v>
      </c>
    </row>
    <row r="24" spans="1:24" ht="32.25" customHeight="1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6">
        <f t="shared" si="4"/>
        <v>826.25999999999988</v>
      </c>
      <c r="I24" s="167"/>
      <c r="J24" s="167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>L24+M24+N24</f>
        <v>10923</v>
      </c>
      <c r="P24" s="12"/>
      <c r="Q24" s="34">
        <f>L24*0.6985+M24*0.9514+N24*1.3304</f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1"/>
        <v>8640.7850753519997</v>
      </c>
    </row>
    <row r="25" spans="1:24" ht="32.25" customHeight="1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6">
        <f t="shared" si="4"/>
        <v>753.3029999999743</v>
      </c>
      <c r="I25" s="167"/>
      <c r="J25" s="167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2"/>
        <v>10532</v>
      </c>
      <c r="P25" s="12"/>
      <c r="Q25" s="34">
        <f t="shared" si="3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1"/>
        <v>6120.5560950410008</v>
      </c>
    </row>
    <row r="26" spans="1:24" ht="32.25" customHeight="1">
      <c r="A26" s="2"/>
      <c r="B26" s="6">
        <v>44517</v>
      </c>
      <c r="C26" s="7"/>
      <c r="D26" s="143">
        <v>72</v>
      </c>
      <c r="E26" s="143">
        <v>101</v>
      </c>
      <c r="F26" s="13">
        <f>'Suivi EAU-ELEC'!E25</f>
        <v>91.100000000005821</v>
      </c>
      <c r="G26" s="14"/>
      <c r="H26" s="166">
        <f t="shared" si="4"/>
        <v>800.76900000005105</v>
      </c>
      <c r="I26" s="167"/>
      <c r="J26" s="167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2"/>
        <v>11124</v>
      </c>
      <c r="P26" s="14"/>
      <c r="Q26" s="34">
        <f t="shared" si="3"/>
        <v>10690.350999999999</v>
      </c>
      <c r="R26" s="14"/>
      <c r="S26" s="28"/>
      <c r="T26" s="14"/>
      <c r="U26" s="28"/>
      <c r="V26" s="146">
        <f>'Suvi Gaz'!O20</f>
        <v>895.97788000000003</v>
      </c>
      <c r="W26" s="11"/>
      <c r="X26" s="34">
        <f t="shared" si="1"/>
        <v>10080.915921244001</v>
      </c>
    </row>
    <row r="27" spans="1:24" ht="32.25" customHeight="1">
      <c r="A27" s="2"/>
      <c r="B27" s="6">
        <v>44518</v>
      </c>
      <c r="C27" s="7"/>
      <c r="D27" s="143">
        <v>82</v>
      </c>
      <c r="E27" s="143">
        <v>124</v>
      </c>
      <c r="F27" s="13">
        <f>'Suivi EAU-ELEC'!E26</f>
        <v>108.59999999999127</v>
      </c>
      <c r="G27" s="14"/>
      <c r="H27" s="166">
        <f t="shared" si="4"/>
        <v>954.5939999999232</v>
      </c>
      <c r="I27" s="167"/>
      <c r="J27" s="167"/>
      <c r="K27" s="60">
        <v>42295</v>
      </c>
      <c r="L27" s="90">
        <f>'Suivi EAU-ELEC'!G26</f>
        <v>3312</v>
      </c>
      <c r="M27" s="91">
        <f>'Suivi EAU-ELEC'!I26</f>
        <v>5080</v>
      </c>
      <c r="N27" s="91">
        <f>'Suivi EAU-ELEC'!K26</f>
        <v>2268</v>
      </c>
      <c r="O27" s="91">
        <f t="shared" si="2"/>
        <v>10660</v>
      </c>
      <c r="P27" s="14"/>
      <c r="Q27" s="34">
        <f t="shared" si="3"/>
        <v>10163.8912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5760.5233835680001</v>
      </c>
    </row>
    <row r="28" spans="1:24" ht="32.25" customHeight="1">
      <c r="A28" s="2"/>
      <c r="B28" s="6">
        <v>44519</v>
      </c>
      <c r="C28" s="7"/>
      <c r="D28" s="143">
        <v>88</v>
      </c>
      <c r="E28" s="143">
        <v>129</v>
      </c>
      <c r="F28" s="13">
        <f>'Suivi EAU-ELEC'!E27</f>
        <v>91.30000000000291</v>
      </c>
      <c r="G28" s="11"/>
      <c r="H28" s="166">
        <f t="shared" si="4"/>
        <v>802.52700000002551</v>
      </c>
      <c r="I28" s="167"/>
      <c r="J28" s="167"/>
      <c r="K28" s="60">
        <v>42296</v>
      </c>
      <c r="L28" s="90">
        <f>'Suivi EAU-ELEC'!G27</f>
        <v>2996</v>
      </c>
      <c r="M28" s="91">
        <f>'Suivi EAU-ELEC'!I27</f>
        <v>4826</v>
      </c>
      <c r="N28" s="91">
        <f>'Suivi EAU-ELEC'!K27</f>
        <v>2333</v>
      </c>
      <c r="O28" s="91">
        <f t="shared" si="2"/>
        <v>10155</v>
      </c>
      <c r="P28" s="11"/>
      <c r="Q28" s="34">
        <f>L28*0.6985+M28*0.9514+N28*1.3304</f>
        <v>9787.9856</v>
      </c>
      <c r="R28" s="11"/>
      <c r="S28" s="28"/>
      <c r="T28" s="11"/>
      <c r="U28" s="28"/>
      <c r="V28" s="146">
        <f>'Suvi Gaz'!O22</f>
        <v>511.98736000000002</v>
      </c>
      <c r="W28" s="11"/>
      <c r="X28" s="34">
        <f t="shared" si="1"/>
        <v>5760.5233835680001</v>
      </c>
    </row>
    <row r="29" spans="1:24" ht="32.25" customHeight="1">
      <c r="A29" s="2"/>
      <c r="B29" s="6">
        <v>44520</v>
      </c>
      <c r="C29" s="7"/>
      <c r="D29" s="143">
        <v>74</v>
      </c>
      <c r="E29" s="143">
        <v>122</v>
      </c>
      <c r="F29" s="13">
        <f>'Suivi EAU-ELEC'!E28</f>
        <v>90.30000000000291</v>
      </c>
      <c r="G29" s="11"/>
      <c r="H29" s="166">
        <f t="shared" si="4"/>
        <v>793.73700000002555</v>
      </c>
      <c r="I29" s="167"/>
      <c r="J29" s="167"/>
      <c r="K29" s="60">
        <v>42297</v>
      </c>
      <c r="L29" s="90">
        <f>'Suivi EAU-ELEC'!G28</f>
        <v>3226</v>
      </c>
      <c r="M29" s="91">
        <f>'Suivi EAU-ELEC'!I28</f>
        <v>5164</v>
      </c>
      <c r="N29" s="91">
        <f>'Suivi EAU-ELEC'!K28</f>
        <v>2412</v>
      </c>
      <c r="O29" s="91">
        <f>L29+M29+N29</f>
        <v>10802</v>
      </c>
      <c r="P29" s="11"/>
      <c r="Q29" s="34">
        <f t="shared" si="3"/>
        <v>10375.315399999999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1"/>
        <v>5760.5233835680001</v>
      </c>
    </row>
    <row r="30" spans="1:24" ht="32.25" customHeight="1">
      <c r="A30" s="2"/>
      <c r="B30" s="6">
        <v>44521</v>
      </c>
      <c r="C30" s="7"/>
      <c r="D30" s="143">
        <v>80</v>
      </c>
      <c r="E30" s="143">
        <v>109</v>
      </c>
      <c r="F30" s="13">
        <f>'Suivi EAU-ELEC'!E29</f>
        <v>96.19999999999709</v>
      </c>
      <c r="G30" s="11"/>
      <c r="H30" s="166">
        <f t="shared" si="4"/>
        <v>845.59799999997438</v>
      </c>
      <c r="I30" s="167"/>
      <c r="J30" s="167"/>
      <c r="K30" s="60">
        <v>42298</v>
      </c>
      <c r="L30" s="90">
        <f>'Suivi EAU-ELEC'!G29</f>
        <v>4218</v>
      </c>
      <c r="M30" s="91">
        <f>'Suivi EAU-ELEC'!I29</f>
        <v>5085</v>
      </c>
      <c r="N30" s="91">
        <f>'Suivi EAU-ELEC'!K29</f>
        <v>2384</v>
      </c>
      <c r="O30" s="91">
        <f>L30+M30+N30</f>
        <v>11687</v>
      </c>
      <c r="P30" s="11"/>
      <c r="Q30" s="34">
        <f>L30*0.6985+M30*0.9514+N30*1.3304</f>
        <v>10955.8156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6480.5888065139998</v>
      </c>
    </row>
    <row r="31" spans="1:24" ht="27.75" customHeight="1">
      <c r="A31" s="2"/>
      <c r="B31" s="6">
        <v>44522</v>
      </c>
      <c r="C31" s="7"/>
      <c r="D31" s="143">
        <v>104</v>
      </c>
      <c r="E31" s="143">
        <v>144</v>
      </c>
      <c r="F31" s="13">
        <f>'Suivi EAU-ELEC'!E30</f>
        <v>90.600000000005821</v>
      </c>
      <c r="G31" s="11"/>
      <c r="H31" s="166">
        <f t="shared" si="4"/>
        <v>796.37400000005107</v>
      </c>
      <c r="I31" s="167"/>
      <c r="J31" s="167"/>
      <c r="K31" s="60">
        <v>42299</v>
      </c>
      <c r="L31" s="90">
        <f>'Suivi EAU-ELEC'!G30</f>
        <v>3566</v>
      </c>
      <c r="M31" s="91">
        <f>'Suivi EAU-ELEC'!I30</f>
        <v>5167</v>
      </c>
      <c r="N31" s="91">
        <f>'Suivi EAU-ELEC'!K30</f>
        <v>2405</v>
      </c>
      <c r="O31" s="91">
        <f>L31+M31+N31</f>
        <v>11138</v>
      </c>
      <c r="P31" s="11"/>
      <c r="Q31" s="34">
        <f>L31*0.6985+M31*0.9514+N31*1.3304</f>
        <v>10606.346799999999</v>
      </c>
      <c r="R31" s="11"/>
      <c r="S31" s="28"/>
      <c r="T31" s="11"/>
      <c r="U31" s="28"/>
      <c r="V31" s="146">
        <f>'Suvi Gaz'!O25</f>
        <v>511.98736000000002</v>
      </c>
      <c r="W31" s="11"/>
      <c r="X31" s="34">
        <f t="shared" si="1"/>
        <v>5760.5233835680001</v>
      </c>
    </row>
    <row r="32" spans="1:24" ht="37.5" customHeight="1">
      <c r="A32" s="2"/>
      <c r="B32" s="6">
        <v>44523</v>
      </c>
      <c r="C32" s="7"/>
      <c r="D32" s="143"/>
      <c r="E32" s="143"/>
      <c r="F32" s="13">
        <f>'Suivi EAU-ELEC'!E31</f>
        <v>108.69999999999709</v>
      </c>
      <c r="G32" s="11"/>
      <c r="H32" s="166">
        <f t="shared" si="4"/>
        <v>955.47299999997438</v>
      </c>
      <c r="I32" s="167"/>
      <c r="J32" s="167"/>
      <c r="K32" s="60">
        <v>42300</v>
      </c>
      <c r="L32" s="90">
        <f>'Suivi EAU-ELEC'!G31</f>
        <v>3799</v>
      </c>
      <c r="M32" s="91">
        <f>'Suivi EAU-ELEC'!I31</f>
        <v>5344</v>
      </c>
      <c r="N32" s="91">
        <f>'Suivi EAU-ELEC'!K31</f>
        <v>2540</v>
      </c>
      <c r="O32" s="91">
        <f t="shared" si="2"/>
        <v>11683</v>
      </c>
      <c r="P32" s="11"/>
      <c r="Q32" s="34">
        <f t="shared" si="3"/>
        <v>11117.099100000001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44524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44525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44526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44527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44528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44529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44530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2011</v>
      </c>
      <c r="E40" s="8">
        <f>SUM(E10:E39)</f>
        <v>2926</v>
      </c>
      <c r="F40" s="152">
        <f>SUM(F10:F39)</f>
        <v>2335.1000000000058</v>
      </c>
      <c r="G40" s="1"/>
      <c r="H40" s="204">
        <f>SUM(H10:H39)</f>
        <v>20525.529000000046</v>
      </c>
      <c r="I40" s="205"/>
      <c r="J40" s="206"/>
      <c r="K40" s="1"/>
      <c r="L40" s="53">
        <f>SUM(L10:L39)</f>
        <v>84535</v>
      </c>
      <c r="M40" s="53">
        <f>SUM(M10:M39)</f>
        <v>130980</v>
      </c>
      <c r="N40" s="54">
        <f>SUM(N10:N39)</f>
        <v>59130</v>
      </c>
      <c r="O40" s="55">
        <f>SUM(O10:O39)</f>
        <v>274645</v>
      </c>
      <c r="P40" s="31"/>
      <c r="Q40" s="32">
        <f>SUM(Q10:Q39)</f>
        <v>262356.55989999999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12092.227199999998</v>
      </c>
      <c r="W40" s="31"/>
      <c r="X40" s="32">
        <f>SUM(X10:X39)</f>
        <v>136053.27589536001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4" t="s">
        <v>33</v>
      </c>
      <c r="B42" s="185"/>
      <c r="C42" s="185"/>
      <c r="D42" s="185"/>
      <c r="E42" s="185"/>
      <c r="F42" s="186"/>
      <c r="G42" s="26"/>
      <c r="H42" s="27" t="s">
        <v>34</v>
      </c>
      <c r="I42" s="196" t="s">
        <v>35</v>
      </c>
      <c r="J42" s="197"/>
      <c r="K42" s="198"/>
      <c r="L42" s="227" t="s">
        <v>36</v>
      </c>
      <c r="M42" s="228"/>
      <c r="N42" s="184" t="s">
        <v>37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6"/>
    </row>
    <row r="43" spans="1:24" s="18" customFormat="1" ht="29.25" customHeight="1" thickBot="1">
      <c r="A43" s="221" t="s">
        <v>38</v>
      </c>
      <c r="B43" s="222"/>
      <c r="C43" s="223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18">
        <f>L40</f>
        <v>84535</v>
      </c>
      <c r="J43" s="219"/>
      <c r="K43" s="220"/>
      <c r="L43" s="202">
        <f>I43*H43</f>
        <v>59047.697500000002</v>
      </c>
      <c r="M43" s="203"/>
      <c r="N43" s="175">
        <f>L43+L44+L45</f>
        <v>262328.62150000001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7"/>
    </row>
    <row r="44" spans="1:24" s="18" customFormat="1" ht="29.25" customHeight="1" thickBot="1">
      <c r="A44" s="224"/>
      <c r="B44" s="225"/>
      <c r="C44" s="226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18">
        <f>M40</f>
        <v>130980</v>
      </c>
      <c r="J44" s="219"/>
      <c r="K44" s="220"/>
      <c r="L44" s="202">
        <f>I44*H44</f>
        <v>124614.372</v>
      </c>
      <c r="M44" s="203"/>
      <c r="N44" s="178"/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4.75" customHeight="1" thickBot="1">
      <c r="A45" s="224"/>
      <c r="B45" s="225"/>
      <c r="C45" s="226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3">
        <f>N40</f>
        <v>59130</v>
      </c>
      <c r="J45" s="194"/>
      <c r="K45" s="195"/>
      <c r="L45" s="202">
        <f>I45*H45</f>
        <v>78666.551999999996</v>
      </c>
      <c r="M45" s="203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199">
        <f>N43*1.3</f>
        <v>341027.20795000001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1"/>
    </row>
    <row r="47" spans="1:24" s="23" customFormat="1" ht="32.25" customHeight="1" thickBot="1">
      <c r="A47" s="213" t="s">
        <v>39</v>
      </c>
      <c r="B47" s="214"/>
      <c r="C47" s="214"/>
      <c r="D47" s="214"/>
      <c r="E47" s="214"/>
      <c r="F47" s="215"/>
      <c r="G47" s="21"/>
      <c r="H47" s="22">
        <v>8.7899999999999991</v>
      </c>
      <c r="I47" s="213">
        <f>F40</f>
        <v>2335.1000000000058</v>
      </c>
      <c r="J47" s="214"/>
      <c r="K47" s="215"/>
      <c r="L47" s="216">
        <f>I47*H47</f>
        <v>20525.52900000005</v>
      </c>
      <c r="M47" s="217"/>
      <c r="N47" s="172">
        <f>L47</f>
        <v>20525.52900000005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6.75" customHeight="1">
      <c r="A48" s="187" t="s">
        <v>40</v>
      </c>
      <c r="B48" s="188"/>
      <c r="C48" s="188"/>
      <c r="D48" s="188"/>
      <c r="E48" s="188"/>
      <c r="F48" s="189"/>
      <c r="G48" s="24"/>
      <c r="H48" s="25">
        <v>11.251300000000001</v>
      </c>
      <c r="I48" s="190">
        <f>V40</f>
        <v>12092.227199999998</v>
      </c>
      <c r="J48" s="191"/>
      <c r="K48" s="192"/>
      <c r="L48" s="190">
        <f>I48*H48</f>
        <v>136053.27589535998</v>
      </c>
      <c r="M48" s="192"/>
      <c r="N48" s="169">
        <f>L48</f>
        <v>136053.27589535998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9" activePane="bottomRight" state="frozen"/>
      <selection pane="bottomRight" activeCell="K30" sqref="K30:K3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>
        <v>2560</v>
      </c>
      <c r="C17" s="115">
        <v>0</v>
      </c>
      <c r="D17" s="57">
        <v>128535.9</v>
      </c>
      <c r="E17" s="50">
        <f>D17-D16</f>
        <v>106.89999999999418</v>
      </c>
      <c r="F17" s="51">
        <v>11202576</v>
      </c>
      <c r="G17" s="50">
        <f t="shared" si="0"/>
        <v>3343</v>
      </c>
      <c r="H17" s="51">
        <v>19090410</v>
      </c>
      <c r="I17" s="50">
        <f t="shared" si="1"/>
        <v>5773</v>
      </c>
      <c r="J17" s="51">
        <v>8373748</v>
      </c>
      <c r="K17" s="50">
        <f t="shared" si="2"/>
        <v>2675</v>
      </c>
    </row>
    <row r="18" spans="1:29" ht="19.5">
      <c r="A18" s="59">
        <v>44510</v>
      </c>
      <c r="B18" s="116">
        <v>2560</v>
      </c>
      <c r="C18" s="115">
        <v>0</v>
      </c>
      <c r="D18" s="57">
        <v>128633.8</v>
      </c>
      <c r="E18" s="50">
        <f>D18-D17</f>
        <v>97.900000000008731</v>
      </c>
      <c r="F18" s="51">
        <v>11205852</v>
      </c>
      <c r="G18" s="50">
        <f t="shared" si="0"/>
        <v>3276</v>
      </c>
      <c r="H18" s="51">
        <v>19095656</v>
      </c>
      <c r="I18" s="50">
        <f t="shared" si="1"/>
        <v>5246</v>
      </c>
      <c r="J18" s="51">
        <v>8376168</v>
      </c>
      <c r="K18" s="50">
        <f t="shared" si="2"/>
        <v>2420</v>
      </c>
    </row>
    <row r="19" spans="1:29" ht="19.5">
      <c r="A19" s="59">
        <v>44511</v>
      </c>
      <c r="B19" s="116">
        <v>2560</v>
      </c>
      <c r="C19" s="115">
        <v>0</v>
      </c>
      <c r="D19" s="57">
        <v>128725.6</v>
      </c>
      <c r="E19" s="50">
        <f>D19-D18</f>
        <v>91.80000000000291</v>
      </c>
      <c r="F19" s="51">
        <v>11209176</v>
      </c>
      <c r="G19" s="50">
        <f t="shared" si="0"/>
        <v>3324</v>
      </c>
      <c r="H19" s="51">
        <v>19100652</v>
      </c>
      <c r="I19" s="50">
        <f t="shared" si="1"/>
        <v>4996</v>
      </c>
      <c r="J19" s="51">
        <v>8378529</v>
      </c>
      <c r="K19" s="50">
        <f t="shared" si="2"/>
        <v>2361</v>
      </c>
    </row>
    <row r="20" spans="1:29" ht="25.5">
      <c r="A20" s="59">
        <v>44512</v>
      </c>
      <c r="B20" s="116">
        <v>2560</v>
      </c>
      <c r="C20" s="115">
        <v>0</v>
      </c>
      <c r="D20" s="57">
        <v>128812.9</v>
      </c>
      <c r="E20" s="50">
        <f>D20-D19</f>
        <v>87.299999999988358</v>
      </c>
      <c r="F20" s="51">
        <v>11212785</v>
      </c>
      <c r="G20" s="50">
        <f t="shared" si="0"/>
        <v>3609</v>
      </c>
      <c r="H20" s="51">
        <v>19106135</v>
      </c>
      <c r="I20" s="50">
        <f t="shared" si="1"/>
        <v>5483</v>
      </c>
      <c r="J20" s="51">
        <v>8380989</v>
      </c>
      <c r="K20" s="50">
        <f t="shared" si="2"/>
        <v>2460</v>
      </c>
      <c r="L20" s="117" t="s">
        <v>18</v>
      </c>
      <c r="AC20" t="s">
        <v>56</v>
      </c>
    </row>
    <row r="21" spans="1:29" ht="19.5">
      <c r="A21" s="59">
        <v>44513</v>
      </c>
      <c r="B21" s="116">
        <v>2560</v>
      </c>
      <c r="C21" s="115">
        <v>0</v>
      </c>
      <c r="D21" s="57">
        <v>128929.3</v>
      </c>
      <c r="E21" s="50">
        <f t="shared" ref="E21:E28" si="3">D21-D20</f>
        <v>116.40000000000873</v>
      </c>
      <c r="F21" s="51">
        <v>11216380</v>
      </c>
      <c r="G21" s="50">
        <f t="shared" si="0"/>
        <v>3595</v>
      </c>
      <c r="H21" s="51">
        <v>19111376</v>
      </c>
      <c r="I21" s="50">
        <f t="shared" si="1"/>
        <v>5241</v>
      </c>
      <c r="J21" s="51">
        <v>8383668</v>
      </c>
      <c r="K21" s="50">
        <f t="shared" si="2"/>
        <v>2679</v>
      </c>
    </row>
    <row r="22" spans="1:29" ht="19.5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3"/>
        <v>113.69999999999709</v>
      </c>
      <c r="F22" s="51">
        <v>11220604</v>
      </c>
      <c r="G22" s="50">
        <f t="shared" si="0"/>
        <v>4224</v>
      </c>
      <c r="H22" s="51">
        <v>19116422</v>
      </c>
      <c r="I22" s="50">
        <f t="shared" si="1"/>
        <v>5046</v>
      </c>
      <c r="J22" s="51">
        <v>8386055</v>
      </c>
      <c r="K22" s="50">
        <f t="shared" si="2"/>
        <v>2387</v>
      </c>
    </row>
    <row r="23" spans="1:29" ht="19.5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3"/>
        <v>94</v>
      </c>
      <c r="F23" s="51">
        <v>11224002</v>
      </c>
      <c r="G23" s="50">
        <f t="shared" si="0"/>
        <v>3398</v>
      </c>
      <c r="H23" s="51">
        <v>19121510</v>
      </c>
      <c r="I23" s="50">
        <f t="shared" si="1"/>
        <v>5088</v>
      </c>
      <c r="J23" s="51">
        <v>8388492</v>
      </c>
      <c r="K23" s="50">
        <f t="shared" si="2"/>
        <v>2437</v>
      </c>
    </row>
    <row r="24" spans="1:29" ht="19.5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3"/>
        <v>85.69999999999709</v>
      </c>
      <c r="F24" s="51">
        <v>11226717</v>
      </c>
      <c r="G24" s="50">
        <f t="shared" si="0"/>
        <v>2715</v>
      </c>
      <c r="H24" s="51">
        <v>19126844</v>
      </c>
      <c r="I24" s="50">
        <f t="shared" si="1"/>
        <v>5334</v>
      </c>
      <c r="J24" s="51">
        <v>8390975</v>
      </c>
      <c r="K24" s="50">
        <f t="shared" si="2"/>
        <v>2483</v>
      </c>
    </row>
    <row r="25" spans="1:29" ht="19.5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3"/>
        <v>91.100000000005821</v>
      </c>
      <c r="F25" s="51">
        <v>11230081</v>
      </c>
      <c r="G25" s="50">
        <f t="shared" si="0"/>
        <v>3364</v>
      </c>
      <c r="H25" s="51">
        <v>19132077</v>
      </c>
      <c r="I25" s="50">
        <f t="shared" si="1"/>
        <v>5233</v>
      </c>
      <c r="J25" s="51">
        <v>8393502</v>
      </c>
      <c r="K25" s="50">
        <f t="shared" si="2"/>
        <v>2527</v>
      </c>
    </row>
    <row r="26" spans="1:29" ht="19.5">
      <c r="A26" s="59">
        <v>44518</v>
      </c>
      <c r="B26" s="116">
        <v>2560</v>
      </c>
      <c r="C26" s="115">
        <v>0</v>
      </c>
      <c r="D26" s="57">
        <v>129422.39999999999</v>
      </c>
      <c r="E26" s="50">
        <f t="shared" si="3"/>
        <v>108.59999999999127</v>
      </c>
      <c r="F26" s="51">
        <v>11233393</v>
      </c>
      <c r="G26" s="50">
        <f t="shared" si="0"/>
        <v>3312</v>
      </c>
      <c r="H26" s="51">
        <v>19137157</v>
      </c>
      <c r="I26" s="50">
        <f t="shared" si="1"/>
        <v>5080</v>
      </c>
      <c r="J26" s="51">
        <v>8395770</v>
      </c>
      <c r="K26" s="50">
        <f t="shared" si="2"/>
        <v>2268</v>
      </c>
    </row>
    <row r="27" spans="1:29" ht="19.5">
      <c r="A27" s="59">
        <v>44519</v>
      </c>
      <c r="B27" s="116">
        <v>2560</v>
      </c>
      <c r="C27" s="115">
        <v>0</v>
      </c>
      <c r="D27" s="57">
        <v>129513.7</v>
      </c>
      <c r="E27" s="50">
        <f t="shared" si="3"/>
        <v>91.30000000000291</v>
      </c>
      <c r="F27" s="51">
        <v>11236389</v>
      </c>
      <c r="G27" s="50">
        <f t="shared" si="0"/>
        <v>2996</v>
      </c>
      <c r="H27" s="51">
        <v>19141983</v>
      </c>
      <c r="I27" s="50">
        <f t="shared" si="1"/>
        <v>4826</v>
      </c>
      <c r="J27" s="51">
        <v>8398103</v>
      </c>
      <c r="K27" s="50">
        <f t="shared" si="2"/>
        <v>2333</v>
      </c>
    </row>
    <row r="28" spans="1:29" ht="19.5">
      <c r="A28" s="59">
        <v>44520</v>
      </c>
      <c r="B28" s="116">
        <v>2560</v>
      </c>
      <c r="C28" s="115">
        <v>0</v>
      </c>
      <c r="D28" s="57">
        <v>129604</v>
      </c>
      <c r="E28" s="50">
        <f t="shared" si="3"/>
        <v>90.30000000000291</v>
      </c>
      <c r="F28" s="51">
        <v>11239615</v>
      </c>
      <c r="G28" s="50">
        <f t="shared" si="0"/>
        <v>3226</v>
      </c>
      <c r="H28" s="51">
        <v>19147147</v>
      </c>
      <c r="I28" s="50">
        <f t="shared" si="1"/>
        <v>5164</v>
      </c>
      <c r="J28" s="51">
        <v>8400515</v>
      </c>
      <c r="K28" s="50">
        <f t="shared" si="2"/>
        <v>2412</v>
      </c>
    </row>
    <row r="29" spans="1:29" ht="19.5">
      <c r="A29" s="59">
        <v>44521</v>
      </c>
      <c r="B29" s="116">
        <v>2560</v>
      </c>
      <c r="C29" s="115">
        <v>0</v>
      </c>
      <c r="D29" s="57">
        <v>129700.2</v>
      </c>
      <c r="E29" s="50">
        <f>D29-D28</f>
        <v>96.19999999999709</v>
      </c>
      <c r="F29" s="51">
        <v>11243833</v>
      </c>
      <c r="G29" s="50">
        <f t="shared" si="0"/>
        <v>4218</v>
      </c>
      <c r="H29" s="51">
        <v>19152232</v>
      </c>
      <c r="I29" s="50">
        <f t="shared" si="1"/>
        <v>5085</v>
      </c>
      <c r="J29" s="51">
        <v>8402899</v>
      </c>
      <c r="K29" s="50">
        <f t="shared" si="2"/>
        <v>2384</v>
      </c>
    </row>
    <row r="30" spans="1:29" ht="19.5">
      <c r="A30" s="59">
        <v>44522</v>
      </c>
      <c r="B30" s="116">
        <v>2560</v>
      </c>
      <c r="C30" s="115">
        <v>0</v>
      </c>
      <c r="D30" s="57">
        <v>129790.8</v>
      </c>
      <c r="E30" s="50">
        <f>D30-D29</f>
        <v>90.600000000005821</v>
      </c>
      <c r="F30" s="51">
        <v>11247399</v>
      </c>
      <c r="G30" s="50">
        <f t="shared" si="0"/>
        <v>3566</v>
      </c>
      <c r="H30" s="51">
        <v>19157399</v>
      </c>
      <c r="I30" s="50">
        <f t="shared" si="1"/>
        <v>5167</v>
      </c>
      <c r="J30" s="51">
        <v>8405304</v>
      </c>
      <c r="K30" s="50">
        <f t="shared" si="2"/>
        <v>2405</v>
      </c>
    </row>
    <row r="31" spans="1:29" ht="19.5">
      <c r="A31" s="59">
        <v>44523</v>
      </c>
      <c r="B31" s="116">
        <v>2560</v>
      </c>
      <c r="C31" s="115">
        <v>0</v>
      </c>
      <c r="D31" s="57">
        <v>129899.5</v>
      </c>
      <c r="E31" s="50">
        <f>D31-D30</f>
        <v>108.69999999999709</v>
      </c>
      <c r="F31" s="51">
        <v>11251198</v>
      </c>
      <c r="G31" s="50">
        <f t="shared" si="0"/>
        <v>3799</v>
      </c>
      <c r="H31" s="51">
        <v>19162743</v>
      </c>
      <c r="I31" s="50">
        <f t="shared" si="1"/>
        <v>5344</v>
      </c>
      <c r="J31" s="51">
        <v>8407844</v>
      </c>
      <c r="K31" s="50">
        <f t="shared" si="2"/>
        <v>2540</v>
      </c>
    </row>
    <row r="32" spans="1:29" ht="19.5">
      <c r="A32" s="59">
        <v>44524</v>
      </c>
      <c r="B32" s="116"/>
      <c r="C32" s="115">
        <v>0</v>
      </c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44525</v>
      </c>
      <c r="B33" s="116"/>
      <c r="C33" s="115">
        <v>0</v>
      </c>
      <c r="D33" s="57"/>
      <c r="E33" s="50">
        <f t="shared" ref="E31:E38" si="4">D33-D32</f>
        <v>0</v>
      </c>
      <c r="F33" s="51"/>
      <c r="G33" s="50">
        <f t="shared" si="0"/>
        <v>0</v>
      </c>
      <c r="H33" s="51"/>
      <c r="I33" s="50">
        <f t="shared" si="1"/>
        <v>0</v>
      </c>
      <c r="J33" s="51"/>
      <c r="K33" s="50">
        <f t="shared" si="2"/>
        <v>0</v>
      </c>
    </row>
    <row r="34" spans="1:11" ht="19.5">
      <c r="A34" s="59">
        <v>44526</v>
      </c>
      <c r="B34" s="116"/>
      <c r="C34" s="115">
        <v>0</v>
      </c>
      <c r="D34" s="57"/>
      <c r="E34" s="50">
        <f t="shared" si="4"/>
        <v>0</v>
      </c>
      <c r="F34" s="51"/>
      <c r="G34" s="50">
        <f t="shared" si="0"/>
        <v>0</v>
      </c>
      <c r="H34" s="51"/>
      <c r="I34" s="50">
        <f t="shared" si="1"/>
        <v>0</v>
      </c>
      <c r="J34" s="51"/>
      <c r="K34" s="50">
        <f t="shared" si="2"/>
        <v>0</v>
      </c>
    </row>
    <row r="35" spans="1:11" ht="19.5">
      <c r="A35" s="59">
        <v>44527</v>
      </c>
      <c r="B35" s="116"/>
      <c r="C35" s="115">
        <v>0</v>
      </c>
      <c r="D35" s="57"/>
      <c r="E35" s="50">
        <f t="shared" si="4"/>
        <v>0</v>
      </c>
      <c r="F35" s="51"/>
      <c r="G35" s="50">
        <f t="shared" si="0"/>
        <v>0</v>
      </c>
      <c r="H35" s="51"/>
      <c r="I35" s="50">
        <f t="shared" si="1"/>
        <v>0</v>
      </c>
      <c r="J35" s="51"/>
      <c r="K35" s="50">
        <f t="shared" si="2"/>
        <v>0</v>
      </c>
    </row>
    <row r="36" spans="1:11" ht="19.5">
      <c r="A36" s="59">
        <v>44528</v>
      </c>
      <c r="B36" s="116"/>
      <c r="C36" s="115">
        <v>0</v>
      </c>
      <c r="D36" s="57"/>
      <c r="E36" s="50">
        <f t="shared" si="4"/>
        <v>0</v>
      </c>
      <c r="F36" s="51"/>
      <c r="G36" s="50">
        <f t="shared" si="0"/>
        <v>0</v>
      </c>
      <c r="H36" s="51"/>
      <c r="I36" s="50">
        <f t="shared" si="1"/>
        <v>0</v>
      </c>
      <c r="J36" s="51"/>
      <c r="K36" s="50">
        <f t="shared" si="2"/>
        <v>0</v>
      </c>
    </row>
    <row r="37" spans="1:11" ht="19.5">
      <c r="A37" s="59">
        <v>44529</v>
      </c>
      <c r="B37" s="116"/>
      <c r="C37" s="115">
        <v>0</v>
      </c>
      <c r="D37" s="57"/>
      <c r="E37" s="50">
        <f t="shared" si="4"/>
        <v>0</v>
      </c>
      <c r="F37" s="51"/>
      <c r="G37" s="50">
        <f t="shared" si="0"/>
        <v>0</v>
      </c>
      <c r="H37" s="51"/>
      <c r="I37" s="50">
        <f t="shared" si="1"/>
        <v>0</v>
      </c>
      <c r="J37" s="51"/>
      <c r="K37" s="50">
        <f t="shared" si="2"/>
        <v>0</v>
      </c>
    </row>
    <row r="38" spans="1:11" ht="19.5">
      <c r="A38" s="59">
        <v>44530</v>
      </c>
      <c r="B38" s="116"/>
      <c r="C38" s="115">
        <v>0</v>
      </c>
      <c r="D38" s="57"/>
      <c r="E38" s="50">
        <f t="shared" si="4"/>
        <v>0</v>
      </c>
      <c r="F38" s="51"/>
      <c r="G38" s="50">
        <f t="shared" si="0"/>
        <v>0</v>
      </c>
      <c r="H38" s="51"/>
      <c r="I38" s="50">
        <f t="shared" si="1"/>
        <v>0</v>
      </c>
      <c r="J38" s="51"/>
      <c r="K38" s="50">
        <f t="shared" si="2"/>
        <v>0</v>
      </c>
    </row>
    <row r="39" spans="1:11" ht="19.5">
      <c r="A39" s="59">
        <v>44531</v>
      </c>
      <c r="B39" s="116"/>
      <c r="C39" s="115">
        <f t="shared" ref="C39" si="5">B39-B38</f>
        <v>0</v>
      </c>
      <c r="D39" s="57"/>
      <c r="E39" s="50">
        <f t="shared" ref="E39" si="6">D39-D38</f>
        <v>0</v>
      </c>
      <c r="F39" s="51"/>
      <c r="G39" s="50">
        <f t="shared" ref="G39" si="7">F39-F38</f>
        <v>0</v>
      </c>
      <c r="H39" s="51"/>
      <c r="I39" s="50">
        <f t="shared" ref="I39" si="8">H39-H38</f>
        <v>0</v>
      </c>
      <c r="J39" s="51"/>
      <c r="K39" s="50">
        <f t="shared" ref="K39" si="9">J39-J38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bottomRight" activeCell="H27" sqref="H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O4*11.2513</f>
        <v>5832.8989460000012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10">O5*11.2513</f>
        <v>5416.2633070000011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3749.7207510000007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5843.9252200000001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8280.7523638790008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7200.6542294600004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7560.6869409330011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1"/>
        <v>1</v>
      </c>
      <c r="J11" s="39">
        <f t="shared" si="12"/>
        <v>213</v>
      </c>
      <c r="K11" s="39">
        <f t="shared" si="13"/>
        <v>53.25</v>
      </c>
      <c r="L11" s="39">
        <f t="shared" si="14"/>
        <v>3.75</v>
      </c>
      <c r="M11" s="149">
        <f t="shared" si="17"/>
        <v>24196</v>
      </c>
      <c r="N11" s="39">
        <f t="shared" si="15"/>
        <v>907.35</v>
      </c>
      <c r="O11" s="39">
        <f t="shared" si="16"/>
        <v>479.98815000000002</v>
      </c>
      <c r="P11" s="42">
        <f t="shared" si="10"/>
        <v>5400.4906720950003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1"/>
        <v>5</v>
      </c>
      <c r="J12" s="39">
        <f t="shared" si="12"/>
        <v>334</v>
      </c>
      <c r="K12" s="39">
        <f t="shared" si="13"/>
        <v>83.5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3960.359826203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1"/>
        <v>5</v>
      </c>
      <c r="J13" s="39">
        <f t="shared" si="12"/>
        <v>323</v>
      </c>
      <c r="K13" s="39">
        <f t="shared" si="13"/>
        <v>80.75</v>
      </c>
      <c r="L13" s="39">
        <f t="shared" si="14"/>
        <v>5.75</v>
      </c>
      <c r="M13" s="149">
        <f t="shared" si="17"/>
        <v>24196</v>
      </c>
      <c r="N13" s="39">
        <f t="shared" si="15"/>
        <v>1391.27</v>
      </c>
      <c r="O13" s="39">
        <f t="shared" si="16"/>
        <v>735.98183000000006</v>
      </c>
      <c r="P13" s="42">
        <f t="shared" si="10"/>
        <v>8280.7523638790008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2"/>
        <v>300</v>
      </c>
      <c r="K14" s="39">
        <f t="shared" si="13"/>
        <v>75</v>
      </c>
      <c r="L14" s="39">
        <f t="shared" si="14"/>
        <v>4.5</v>
      </c>
      <c r="M14" s="149">
        <f t="shared" si="17"/>
        <v>24196</v>
      </c>
      <c r="N14" s="39">
        <f t="shared" si="15"/>
        <v>1088.82</v>
      </c>
      <c r="O14" s="39">
        <f t="shared" si="16"/>
        <v>575.98577999999998</v>
      </c>
      <c r="P14" s="42">
        <f t="shared" si="10"/>
        <v>6480.5888065139998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2"/>
        <v>282</v>
      </c>
      <c r="K15" s="39">
        <f t="shared" si="13"/>
        <v>70.5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4320.3925376759998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1"/>
        <v>3</v>
      </c>
      <c r="J16" s="39">
        <f t="shared" si="12"/>
        <v>270</v>
      </c>
      <c r="K16" s="39">
        <f t="shared" si="13"/>
        <v>67.5</v>
      </c>
      <c r="L16" s="39">
        <f t="shared" si="14"/>
        <v>3.25</v>
      </c>
      <c r="M16" s="149">
        <f t="shared" si="17"/>
        <v>24196</v>
      </c>
      <c r="N16" s="39">
        <f t="shared" si="15"/>
        <v>786.37</v>
      </c>
      <c r="O16" s="39">
        <f t="shared" si="16"/>
        <v>415.98973000000001</v>
      </c>
      <c r="P16" s="42">
        <f t="shared" si="10"/>
        <v>4680.4252491490006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1"/>
        <v>3</v>
      </c>
      <c r="J17" s="39">
        <f t="shared" si="12"/>
        <v>257</v>
      </c>
      <c r="K17" s="39">
        <f t="shared" si="13"/>
        <v>64.25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4680.4252491490006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1"/>
        <v>8</v>
      </c>
      <c r="J18" s="39">
        <f t="shared" si="12"/>
        <v>244</v>
      </c>
      <c r="K18" s="39">
        <f t="shared" si="13"/>
        <v>61</v>
      </c>
      <c r="L18" s="39">
        <f t="shared" si="14"/>
        <v>6</v>
      </c>
      <c r="M18" s="149">
        <f t="shared" si="17"/>
        <v>24196</v>
      </c>
      <c r="N18" s="39">
        <f t="shared" si="15"/>
        <v>1451.76</v>
      </c>
      <c r="O18" s="39">
        <f t="shared" si="16"/>
        <v>767.98104000000001</v>
      </c>
      <c r="P18" s="42">
        <f t="shared" si="10"/>
        <v>8640.7850753519997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1"/>
        <v>4</v>
      </c>
      <c r="J19" s="39">
        <f t="shared" si="12"/>
        <v>220</v>
      </c>
      <c r="K19" s="39">
        <f t="shared" si="13"/>
        <v>55</v>
      </c>
      <c r="L19" s="39">
        <f t="shared" si="14"/>
        <v>4.25</v>
      </c>
      <c r="M19" s="149">
        <f t="shared" si="17"/>
        <v>24196</v>
      </c>
      <c r="N19" s="39">
        <f t="shared" si="15"/>
        <v>1028.33</v>
      </c>
      <c r="O19" s="39">
        <f t="shared" si="16"/>
        <v>543.98657000000003</v>
      </c>
      <c r="P19" s="42">
        <f t="shared" si="10"/>
        <v>6120.5560950410008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>
        <v>50</v>
      </c>
      <c r="C20" s="39">
        <f t="shared" si="6"/>
        <v>8</v>
      </c>
      <c r="D20" s="41">
        <v>51</v>
      </c>
      <c r="E20" s="39">
        <f t="shared" si="7"/>
        <v>9</v>
      </c>
      <c r="F20" s="41">
        <v>51</v>
      </c>
      <c r="G20" s="39">
        <f t="shared" si="8"/>
        <v>6</v>
      </c>
      <c r="H20" s="41">
        <v>51</v>
      </c>
      <c r="I20" s="39">
        <f t="shared" si="11"/>
        <v>5</v>
      </c>
      <c r="J20" s="39">
        <f t="shared" si="12"/>
        <v>203</v>
      </c>
      <c r="K20" s="39">
        <f t="shared" si="13"/>
        <v>50.75</v>
      </c>
      <c r="L20" s="39">
        <f t="shared" ref="L20:L42" si="18">IF(AC20&gt;0,((K20-AD20)+(AE20-K21)),IF(K21=0, ,(K20-K21)))</f>
        <v>7</v>
      </c>
      <c r="M20" s="149">
        <f t="shared" si="17"/>
        <v>24196</v>
      </c>
      <c r="N20" s="39">
        <f t="shared" si="15"/>
        <v>1693.72</v>
      </c>
      <c r="O20" s="39">
        <f t="shared" si="16"/>
        <v>895.97788000000003</v>
      </c>
      <c r="P20" s="42">
        <f t="shared" si="10"/>
        <v>10080.915921244001</v>
      </c>
      <c r="Q20" s="39">
        <v>2932</v>
      </c>
      <c r="R20" s="39">
        <v>45</v>
      </c>
      <c r="S20" s="39">
        <v>85</v>
      </c>
      <c r="T20" s="39">
        <v>2903</v>
      </c>
      <c r="U20" s="39">
        <v>45</v>
      </c>
      <c r="V20" s="39">
        <v>85</v>
      </c>
      <c r="W20" s="39">
        <v>2965</v>
      </c>
      <c r="X20" s="39">
        <v>45</v>
      </c>
      <c r="Y20" s="39">
        <v>85</v>
      </c>
      <c r="Z20" s="39">
        <v>2864</v>
      </c>
      <c r="AA20" s="39">
        <v>47</v>
      </c>
      <c r="AB20" s="39">
        <v>85</v>
      </c>
      <c r="AC20" s="39">
        <f t="shared" si="3"/>
        <v>11664</v>
      </c>
      <c r="AD20" s="38">
        <f t="shared" si="4"/>
        <v>45.5</v>
      </c>
      <c r="AE20" s="38">
        <f t="shared" si="5"/>
        <v>85</v>
      </c>
    </row>
    <row r="21" spans="1:31" ht="32.25" customHeight="1">
      <c r="A21" s="40">
        <v>44518</v>
      </c>
      <c r="B21" s="41">
        <v>82</v>
      </c>
      <c r="C21" s="39">
        <f t="shared" si="6"/>
        <v>5</v>
      </c>
      <c r="D21" s="41">
        <v>82</v>
      </c>
      <c r="E21" s="39">
        <f t="shared" si="7"/>
        <v>5</v>
      </c>
      <c r="F21" s="41">
        <v>85</v>
      </c>
      <c r="G21" s="39">
        <f t="shared" si="8"/>
        <v>0</v>
      </c>
      <c r="H21" s="41">
        <v>84</v>
      </c>
      <c r="I21" s="39">
        <f t="shared" si="11"/>
        <v>6</v>
      </c>
      <c r="J21" s="39">
        <f t="shared" si="12"/>
        <v>333</v>
      </c>
      <c r="K21" s="39">
        <f t="shared" si="13"/>
        <v>83.25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5760.5233835680001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>
        <v>77</v>
      </c>
      <c r="C22" s="39">
        <f t="shared" si="6"/>
        <v>6</v>
      </c>
      <c r="D22" s="41">
        <v>77</v>
      </c>
      <c r="E22" s="39">
        <f t="shared" si="7"/>
        <v>5</v>
      </c>
      <c r="F22" s="41">
        <v>85</v>
      </c>
      <c r="G22" s="39">
        <f t="shared" si="8"/>
        <v>0</v>
      </c>
      <c r="H22" s="41">
        <v>78</v>
      </c>
      <c r="I22" s="39">
        <f t="shared" si="11"/>
        <v>5</v>
      </c>
      <c r="J22" s="39">
        <f t="shared" si="12"/>
        <v>317</v>
      </c>
      <c r="K22" s="39">
        <f t="shared" si="13"/>
        <v>79.25</v>
      </c>
      <c r="L22" s="39">
        <f>IF(AC22&gt;0,((K22-AD22)+(AE22-K23)),IF(K23=0, ,(K22-K23)))</f>
        <v>4</v>
      </c>
      <c r="M22" s="149">
        <f t="shared" si="17"/>
        <v>24196</v>
      </c>
      <c r="N22" s="39">
        <f t="shared" si="15"/>
        <v>967.84</v>
      </c>
      <c r="O22" s="39">
        <f t="shared" si="16"/>
        <v>511.98736000000002</v>
      </c>
      <c r="P22" s="42">
        <f t="shared" si="10"/>
        <v>5760.5233835680001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>
        <v>71</v>
      </c>
      <c r="C23" s="39">
        <f t="shared" si="6"/>
        <v>5</v>
      </c>
      <c r="D23" s="41">
        <v>72</v>
      </c>
      <c r="E23" s="39">
        <f t="shared" si="7"/>
        <v>7</v>
      </c>
      <c r="F23" s="41">
        <v>85</v>
      </c>
      <c r="G23" s="39">
        <f t="shared" si="8"/>
        <v>0</v>
      </c>
      <c r="H23" s="41">
        <v>73</v>
      </c>
      <c r="I23" s="39">
        <f t="shared" si="11"/>
        <v>4</v>
      </c>
      <c r="J23" s="39">
        <f t="shared" si="12"/>
        <v>301</v>
      </c>
      <c r="K23" s="39">
        <f t="shared" si="13"/>
        <v>75.25</v>
      </c>
      <c r="L23" s="39">
        <f t="shared" si="18"/>
        <v>4</v>
      </c>
      <c r="M23" s="149">
        <f t="shared" si="17"/>
        <v>24196</v>
      </c>
      <c r="N23" s="39">
        <f t="shared" si="15"/>
        <v>967.84</v>
      </c>
      <c r="O23" s="39">
        <f t="shared" si="16"/>
        <v>511.98736000000002</v>
      </c>
      <c r="P23" s="42">
        <f t="shared" si="10"/>
        <v>5760.5233835680001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>
        <v>66</v>
      </c>
      <c r="C24" s="39">
        <f t="shared" si="6"/>
        <v>6</v>
      </c>
      <c r="D24" s="41">
        <v>65</v>
      </c>
      <c r="E24" s="39">
        <f t="shared" si="7"/>
        <v>5</v>
      </c>
      <c r="F24" s="41">
        <v>85</v>
      </c>
      <c r="G24" s="39">
        <f t="shared" si="8"/>
        <v>0</v>
      </c>
      <c r="H24" s="41">
        <v>69</v>
      </c>
      <c r="I24" s="39">
        <f t="shared" si="11"/>
        <v>7</v>
      </c>
      <c r="J24" s="39">
        <f t="shared" si="12"/>
        <v>285</v>
      </c>
      <c r="K24" s="39">
        <f t="shared" si="13"/>
        <v>71.25</v>
      </c>
      <c r="L24" s="39">
        <f t="shared" si="18"/>
        <v>4.5</v>
      </c>
      <c r="M24" s="149">
        <f t="shared" si="17"/>
        <v>24196</v>
      </c>
      <c r="N24" s="39">
        <f t="shared" si="15"/>
        <v>1088.82</v>
      </c>
      <c r="O24" s="39">
        <f t="shared" si="16"/>
        <v>575.98577999999998</v>
      </c>
      <c r="P24" s="42">
        <f t="shared" si="10"/>
        <v>6480.5888065139998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>
        <v>60</v>
      </c>
      <c r="C25" s="39">
        <f t="shared" si="6"/>
        <v>5</v>
      </c>
      <c r="D25" s="41">
        <v>60</v>
      </c>
      <c r="E25" s="39">
        <f t="shared" si="7"/>
        <v>5</v>
      </c>
      <c r="F25" s="41">
        <v>85</v>
      </c>
      <c r="G25" s="39">
        <f t="shared" si="8"/>
        <v>0</v>
      </c>
      <c r="H25" s="41">
        <v>62</v>
      </c>
      <c r="I25" s="39">
        <f t="shared" si="11"/>
        <v>6</v>
      </c>
      <c r="J25" s="39">
        <f t="shared" si="12"/>
        <v>267</v>
      </c>
      <c r="K25" s="39">
        <f t="shared" si="13"/>
        <v>66.75</v>
      </c>
      <c r="L25" s="39">
        <f t="shared" si="18"/>
        <v>4</v>
      </c>
      <c r="M25" s="149">
        <f t="shared" si="17"/>
        <v>24196</v>
      </c>
      <c r="N25" s="39">
        <f t="shared" si="15"/>
        <v>967.84</v>
      </c>
      <c r="O25" s="39">
        <f t="shared" si="16"/>
        <v>511.98736000000002</v>
      </c>
      <c r="P25" s="42">
        <f t="shared" si="10"/>
        <v>5760.5233835680001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>
        <v>55</v>
      </c>
      <c r="C26" s="39">
        <f t="shared" si="6"/>
        <v>0</v>
      </c>
      <c r="D26" s="41">
        <v>55</v>
      </c>
      <c r="E26" s="39">
        <f t="shared" si="7"/>
        <v>0</v>
      </c>
      <c r="F26" s="41">
        <v>85</v>
      </c>
      <c r="G26" s="39">
        <f t="shared" si="8"/>
        <v>0</v>
      </c>
      <c r="H26" s="41">
        <v>56</v>
      </c>
      <c r="I26" s="39">
        <f t="shared" si="11"/>
        <v>0</v>
      </c>
      <c r="J26" s="39">
        <f t="shared" si="12"/>
        <v>251</v>
      </c>
      <c r="K26" s="39">
        <f t="shared" si="13"/>
        <v>62.75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44525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7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22856.800000000003</v>
      </c>
      <c r="O43" s="39">
        <f>N43*0.529</f>
        <v>12091.247200000002</v>
      </c>
      <c r="P43" s="42">
        <f>O43*11.2513</f>
        <v>136042.24962136004</v>
      </c>
      <c r="Q43" s="284">
        <f>SUM(Q4:Q42)</f>
        <v>8008</v>
      </c>
      <c r="R43" s="285"/>
      <c r="S43" s="286"/>
      <c r="T43" s="287">
        <f>SUM(T4:T42)</f>
        <v>7696</v>
      </c>
      <c r="U43" s="285"/>
      <c r="V43" s="286"/>
      <c r="W43" s="287">
        <f>SUM(W4:W42)</f>
        <v>7339</v>
      </c>
      <c r="X43" s="285"/>
      <c r="Y43" s="286"/>
      <c r="Z43" s="287">
        <f>SUM(Z4:Z42)</f>
        <v>7393</v>
      </c>
      <c r="AA43" s="285"/>
      <c r="AB43" s="286"/>
      <c r="AC43" s="39">
        <f t="shared" si="20"/>
        <v>30436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30436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30436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22856.800000000003</v>
      </c>
      <c r="L47" s="46">
        <f>O43</f>
        <v>12091.247200000002</v>
      </c>
      <c r="M47" s="46">
        <f>P43</f>
        <v>136042.24962136004</v>
      </c>
    </row>
    <row r="48" spans="1:31" ht="54.75" customHeight="1" thickBot="1">
      <c r="H48" s="280" t="s">
        <v>86</v>
      </c>
      <c r="I48" s="281"/>
      <c r="J48" s="282"/>
      <c r="K48" s="43">
        <f>AC44</f>
        <v>30436</v>
      </c>
      <c r="L48" s="44">
        <f>K48*0.529</f>
        <v>16100.644</v>
      </c>
      <c r="M48" s="44">
        <f>L48*11.2513</f>
        <v>181153.17583720002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I19" sqref="I19:J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44467</v>
      </c>
      <c r="D8" s="350"/>
      <c r="E8" s="113">
        <v>44497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971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6"/>
      <c r="H17" s="337"/>
      <c r="I17" s="336">
        <f>+E17</f>
        <v>223158</v>
      </c>
      <c r="J17" s="337"/>
    </row>
    <row r="18" spans="1:10">
      <c r="A18" s="334" t="s">
        <v>111</v>
      </c>
      <c r="B18" s="335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6"/>
      <c r="H18" s="337"/>
      <c r="I18" s="336">
        <f>+E18</f>
        <v>125172</v>
      </c>
      <c r="J18" s="337"/>
    </row>
    <row r="19" spans="1:10">
      <c r="A19" s="334" t="s">
        <v>112</v>
      </c>
      <c r="B19" s="335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6"/>
      <c r="H19" s="337"/>
      <c r="I19" s="336">
        <f>+E19</f>
        <v>95869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444199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02">
        <f>SUM(H25,F25)</f>
        <v>242036.27416800003</v>
      </c>
      <c r="J25" s="303"/>
    </row>
    <row r="26" spans="1:10" ht="15">
      <c r="A26" s="299" t="s">
        <v>124</v>
      </c>
      <c r="B26" s="300"/>
      <c r="C26" s="301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2">
        <f t="shared" ref="I26:I31" si="0">SUM(H26,F26)</f>
        <v>99673.211880000017</v>
      </c>
      <c r="J26" s="303"/>
    </row>
    <row r="27" spans="1:10" ht="15">
      <c r="A27" s="299" t="s">
        <v>125</v>
      </c>
      <c r="B27" s="300"/>
      <c r="C27" s="301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2">
        <f>SUM(H27,F27)</f>
        <v>145400.29406399999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473503.95079999999</v>
      </c>
      <c r="G32" s="85"/>
      <c r="H32" s="86"/>
      <c r="I32" s="311">
        <f>SUM(I25:J31)</f>
        <v>539740.523912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3330.5</v>
      </c>
      <c r="C13" s="394"/>
      <c r="D13" s="394">
        <v>8.7899999999999991</v>
      </c>
      <c r="E13" s="394"/>
      <c r="F13" s="398">
        <f>PRODUCT(D13,B13)</f>
        <v>29275.094999999998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7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2021-11-23T10:03:59Z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