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<sst xmlns="http://schemas.openxmlformats.org/spreadsheetml/2006/main" count="108" uniqueCount="33">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</sst>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v>0.71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v>0.71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125.03999999999999</v>
      </c>
      <c r="H4" s="16">
        <v>0.71</v>
      </c>
      <c r="I4" s="20">
        <f>Submetering!J5+Submetering!I5+Submetering!H5</f>
        <v>68.63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v>2021</v>
      </c>
      <c r="E5" s="20">
        <f>Submetering!E6</f>
        <v>8460</v>
      </c>
      <c r="F5" s="16">
        <v>0.12</v>
      </c>
      <c r="G5" s="20">
        <f>Submetering!F6+Submetering!G6</f>
        <v>128.07</v>
      </c>
      <c r="H5" s="16">
        <v>0.71</v>
      </c>
      <c r="I5" s="20">
        <f>Submetering!J6+Submetering!I6+Submetering!H6</f>
        <v>89.16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v>2021</v>
      </c>
      <c r="E6" s="20">
        <f>Submetering!E7</f>
        <v>8525.0300000000007</v>
      </c>
      <c r="F6" s="16">
        <v>0.12</v>
      </c>
      <c r="G6" s="20">
        <f>Submetering!F7+Submetering!G7</f>
        <v>137</v>
      </c>
      <c r="H6" s="16">
        <v>0.71</v>
      </c>
      <c r="I6" s="20">
        <f>Submetering!J7+Submetering!I7+Submetering!H7</f>
        <v>86.16</v>
      </c>
      <c r="J6" s="16">
        <v>2.3196172978505634</v>
      </c>
      <c r="K6" s="20">
        <f>Submetering!K6</f>
        <v>83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v>2021</v>
      </c>
      <c r="E7" s="20">
        <f>Submetering!E8</f>
        <v>8834.66</v>
      </c>
      <c r="F7" s="16">
        <v>0.12</v>
      </c>
      <c r="G7" s="20">
        <f>Submetering!F8+Submetering!G8</f>
        <v>99.58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83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v>2021</v>
      </c>
      <c r="E8" s="20">
        <f>Submetering!E9</f>
        <v>8582.9599999999991</v>
      </c>
      <c r="F8" s="16">
        <v>0.12</v>
      </c>
      <c r="G8" s="20">
        <f>Submetering!F9+Submetering!G9</f>
        <v>84.210000000000008</v>
      </c>
      <c r="H8" s="16">
        <v>0.71</v>
      </c>
      <c r="I8" s="20">
        <f>Submetering!J9+Submetering!I9+Submetering!H9</f>
        <v>75.28</v>
      </c>
      <c r="J8" s="16">
        <v>2.3196172978505634</v>
      </c>
      <c r="K8" s="20">
        <f>Submetering!K8</f>
        <v>71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v>2021</v>
      </c>
      <c r="E9" s="20">
        <f>Submetering!E9</f>
        <v>8582.9599999999991</v>
      </c>
      <c r="F9" s="16">
        <v>0.12</v>
      </c>
      <c r="G9" s="20">
        <f>Submetering!F10+Submetering!G10</f>
        <v>89.24</v>
      </c>
      <c r="H9" s="16">
        <v>0.71</v>
      </c>
      <c r="I9" s="20">
        <f>Submetering!J10+Submetering!I10+Submetering!H10</f>
        <v>75.3</v>
      </c>
      <c r="J9" s="16">
        <v>2.3196172978505634</v>
      </c>
      <c r="K9" s="20">
        <f>Submetering!K9</f>
        <v>72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v>2021</v>
      </c>
      <c r="E10" s="20">
        <f>Submetering!E10</f>
        <v>8496.36</v>
      </c>
      <c r="F10" s="16">
        <v>0.12</v>
      </c>
      <c r="G10" s="20">
        <f>Submetering!F11+Submetering!G11</f>
        <v>109.91000000000001</v>
      </c>
      <c r="H10" s="16">
        <v>0.71</v>
      </c>
      <c r="I10" s="20">
        <f>Submetering!J10+Submetering!I10+Submetering!H10</f>
        <v>75.3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v>2021</v>
      </c>
      <c r="E11" s="20">
        <f>Submetering!E11</f>
        <v>8770.01</v>
      </c>
      <c r="F11" s="16">
        <v>0.12</v>
      </c>
      <c r="G11" s="20">
        <f>Submetering!F11+Submetering!G11</f>
        <v>109.91000000000001</v>
      </c>
      <c r="H11" s="16">
        <v>0.71</v>
      </c>
      <c r="I11" s="20">
        <f>Submetering!J11+Submetering!I11+Submetering!H11</f>
        <v>76.430000000000007</v>
      </c>
      <c r="J11" s="16">
        <v>2.3196172978505634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v>2021</v>
      </c>
      <c r="E12" s="20">
        <f>Submetering!E12</f>
        <v>8282.06</v>
      </c>
      <c r="F12" s="16">
        <v>0.12</v>
      </c>
      <c r="G12" s="20">
        <f>Submetering!F12+Submetering!G12</f>
        <v>58.46</v>
      </c>
      <c r="H12" s="16">
        <v>0.71</v>
      </c>
      <c r="I12" s="20">
        <f>Submetering!J12+Submetering!I12+Submetering!H12</f>
        <v>62.77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v>2021</v>
      </c>
      <c r="E13" s="20">
        <f>Submetering!E13</f>
        <v>9018.0400000000009</v>
      </c>
      <c r="F13" s="16">
        <v>0.12</v>
      </c>
      <c r="G13" s="20">
        <f>Submetering!F13+Submetering!G13</f>
        <v>114.96000000000001</v>
      </c>
      <c r="H13" s="16">
        <v>0.71</v>
      </c>
      <c r="I13" s="20">
        <f>Submetering!J13+Submetering!I13+Submetering!H13</f>
        <v>85.18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v>2021</v>
      </c>
      <c r="E14" s="20">
        <f>Submetering!E14</f>
        <v>8118.11</v>
      </c>
      <c r="F14" s="16">
        <v>0.12</v>
      </c>
      <c r="G14" s="20">
        <f>Submetering!F14+Submetering!G14</f>
        <v>106.39</v>
      </c>
      <c r="H14" s="16">
        <v>0.71</v>
      </c>
      <c r="I14" s="20">
        <f>Submetering!H12+Submetering!J12+Submetering!I12</f>
        <v>62.77</v>
      </c>
      <c r="J14" s="16">
        <v>2.3196172978505634</v>
      </c>
      <c r="K14" s="20">
        <f>Submetering!K14</f>
        <v>88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v>2021</v>
      </c>
      <c r="E15" s="20">
        <f>Submetering!E15</f>
        <v>8199.15</v>
      </c>
      <c r="F15" s="16">
        <v>0.12</v>
      </c>
      <c r="G15" s="20">
        <f>Submetering!F15+Submetering!G15</f>
        <v>132.60999999999999</v>
      </c>
      <c r="H15" s="16">
        <v>0.71</v>
      </c>
      <c r="I15" s="20">
        <f>Submetering!J15+Submetering!I15+Submetering!H15</f>
        <v>94.01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98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5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3.425781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>
        <v>79</v>
      </c>
    </row>
    <row r="3" spans="1:12" x14ac:dyDescent="0.25">
      <c r="A3" s="17" t="s">
        <v>32</v>
      </c>
      <c r="B3" s="6">
        <f>B2+1</f>
        <v>2</v>
      </c>
      <c r="C3" s="6">
        <f>C2</f>
        <v>7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>
        <v>75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7</v>
      </c>
      <c r="D5" s="6">
        <v>2021</v>
      </c>
      <c r="E5" s="32">
        <v>7968.08</v>
      </c>
      <c r="F5" s="20">
        <v>100.33</v>
      </c>
      <c r="G5" s="20">
        <v>24.71</v>
      </c>
      <c r="H5" s="32">
        <v>2.63</v>
      </c>
      <c r="I5" s="32">
        <v>41</v>
      </c>
      <c r="J5" s="32">
        <v>25</v>
      </c>
      <c r="K5">
        <v>78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7</v>
      </c>
      <c r="D6" s="6">
        <v>2021</v>
      </c>
      <c r="E6" s="32">
        <v>8460</v>
      </c>
      <c r="F6" s="20">
        <v>112.94</v>
      </c>
      <c r="G6" s="20">
        <v>15.13</v>
      </c>
      <c r="H6" s="32">
        <v>6.66</v>
      </c>
      <c r="I6" s="32">
        <v>49</v>
      </c>
      <c r="J6" s="32">
        <v>33.5</v>
      </c>
      <c r="K6">
        <v>83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7</v>
      </c>
      <c r="D7" s="6">
        <v>2021</v>
      </c>
      <c r="E7" s="32">
        <v>8525.0300000000007</v>
      </c>
      <c r="F7" s="20">
        <v>121.62</v>
      </c>
      <c r="G7" s="20">
        <v>15.38</v>
      </c>
      <c r="H7" s="32">
        <v>6.66</v>
      </c>
      <c r="I7" s="32">
        <v>47</v>
      </c>
      <c r="J7" s="32">
        <v>32.5</v>
      </c>
      <c r="K7">
        <v>83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7</v>
      </c>
      <c r="D8" s="6">
        <v>2021</v>
      </c>
      <c r="E8" s="32">
        <v>8834.66</v>
      </c>
      <c r="F8" s="20">
        <v>85.46</v>
      </c>
      <c r="G8" s="20">
        <v>14.12</v>
      </c>
      <c r="H8" s="32">
        <v>5.47</v>
      </c>
      <c r="I8" s="32">
        <v>47.5</v>
      </c>
      <c r="J8" s="32">
        <v>32</v>
      </c>
      <c r="K8">
        <v>71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7</v>
      </c>
      <c r="D9" s="6">
        <v>2021</v>
      </c>
      <c r="E9" s="32">
        <v>8582.9599999999991</v>
      </c>
      <c r="F9" s="20">
        <v>70.09</v>
      </c>
      <c r="G9" s="20">
        <v>14.12</v>
      </c>
      <c r="H9" s="32">
        <v>2.78</v>
      </c>
      <c r="I9" s="32">
        <v>44</v>
      </c>
      <c r="J9" s="32">
        <v>28.5</v>
      </c>
      <c r="K9">
        <v>72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7</v>
      </c>
      <c r="D10" s="6">
        <v>2021</v>
      </c>
      <c r="E10" s="32">
        <v>8496.36</v>
      </c>
      <c r="F10" s="32">
        <v>75.63</v>
      </c>
      <c r="G10" s="32">
        <v>13.61</v>
      </c>
      <c r="H10" s="32">
        <v>2.8</v>
      </c>
      <c r="I10" s="32">
        <v>38.5</v>
      </c>
      <c r="J10" s="32">
        <v>34</v>
      </c>
      <c r="K10">
        <v>71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7</v>
      </c>
      <c r="D11" s="6">
        <v>2021</v>
      </c>
      <c r="E11" s="32">
        <v>8770.01</v>
      </c>
      <c r="F11" s="32">
        <v>95.29</v>
      </c>
      <c r="G11" s="32">
        <v>14.62</v>
      </c>
      <c r="H11" s="32">
        <v>2.93</v>
      </c>
      <c r="I11" s="32">
        <v>43</v>
      </c>
      <c r="J11" s="32">
        <v>30.5</v>
      </c>
      <c r="K11">
        <v>63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7</v>
      </c>
      <c r="D12" s="6">
        <v>2021</v>
      </c>
      <c r="E12" s="32">
        <v>8282.06</v>
      </c>
      <c r="F12" s="32">
        <v>43.34</v>
      </c>
      <c r="G12" s="32">
        <v>15.12</v>
      </c>
      <c r="H12" s="32">
        <v>2.77</v>
      </c>
      <c r="I12" s="32">
        <v>30</v>
      </c>
      <c r="J12" s="32">
        <v>30</v>
      </c>
      <c r="K12">
        <v>72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7</v>
      </c>
      <c r="D13" s="6">
        <v>2021</v>
      </c>
      <c r="E13" s="32">
        <v>9018.0400000000009</v>
      </c>
      <c r="F13" s="32">
        <v>100.84</v>
      </c>
      <c r="G13" s="32">
        <v>14.12</v>
      </c>
      <c r="H13" s="32">
        <v>3.18</v>
      </c>
      <c r="I13" s="32">
        <v>46.5</v>
      </c>
      <c r="J13" s="32">
        <v>35.5</v>
      </c>
      <c r="K13">
        <v>88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7</v>
      </c>
      <c r="D14" s="6">
        <v>2021</v>
      </c>
      <c r="E14" s="32">
        <v>8118.11</v>
      </c>
      <c r="F14" s="32">
        <v>94.29</v>
      </c>
      <c r="G14" s="32">
        <v>12.1</v>
      </c>
      <c r="H14" s="32">
        <v>3.39</v>
      </c>
      <c r="I14" s="32">
        <v>49</v>
      </c>
      <c r="J14" s="32">
        <v>32.5</v>
      </c>
      <c r="K14">
        <v>88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7</v>
      </c>
      <c r="D15" s="6">
        <v>2021</v>
      </c>
      <c r="E15" s="32">
        <v>8199.15</v>
      </c>
      <c r="F15" s="32">
        <v>118.49</v>
      </c>
      <c r="G15" s="32">
        <v>14.12</v>
      </c>
      <c r="H15" s="32">
        <v>3.51</v>
      </c>
      <c r="I15" s="32">
        <v>58</v>
      </c>
      <c r="J15" s="32">
        <v>32.5</v>
      </c>
      <c r="K15">
        <v>99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7</v>
      </c>
      <c r="D16" s="6">
        <v>2021</v>
      </c>
      <c r="E16" s="32"/>
      <c r="F16" s="32"/>
      <c r="G16" s="32"/>
      <c r="H16" s="32"/>
      <c r="I16" s="32"/>
      <c r="J16" s="32"/>
      <c r="K16">
        <v>98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7</v>
      </c>
      <c r="D17" s="6">
        <v>2021</v>
      </c>
      <c r="E17" s="32"/>
      <c r="F17" s="32"/>
      <c r="G17" s="32"/>
      <c r="H17" s="32"/>
      <c r="I17" s="32"/>
      <c r="J17" s="32"/>
      <c r="K17">
        <v>95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7</v>
      </c>
      <c r="D18" s="6">
        <v>2021</v>
      </c>
      <c r="E18" s="32"/>
      <c r="F18" s="32"/>
      <c r="G18" s="32"/>
      <c r="H18" s="32"/>
      <c r="I18" s="32"/>
      <c r="J18" s="32"/>
      <c r="K18" s="35"/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7</v>
      </c>
      <c r="D19" s="6">
        <v>2021</v>
      </c>
      <c r="E19" s="32"/>
      <c r="F19" s="32"/>
      <c r="G19" s="32"/>
      <c r="H19" s="32"/>
      <c r="I19" s="32"/>
      <c r="J19" s="32"/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7</v>
      </c>
      <c r="D20" s="6">
        <v>2021</v>
      </c>
      <c r="E20" s="32"/>
      <c r="F20" s="32"/>
      <c r="G20" s="32"/>
      <c r="H20" s="32"/>
      <c r="I20" s="32"/>
      <c r="J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7</v>
      </c>
      <c r="D21" s="6">
        <v>2021</v>
      </c>
      <c r="E21" s="32"/>
      <c r="F21" s="32"/>
      <c r="G21" s="32"/>
      <c r="H21" s="32"/>
      <c r="I21" s="32"/>
      <c r="J21" s="32"/>
      <c r="K21" s="35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7</v>
      </c>
      <c r="D22" s="6">
        <v>2021</v>
      </c>
      <c r="E22" s="32"/>
      <c r="F22" s="32"/>
      <c r="G22" s="32"/>
      <c r="H22" s="32"/>
      <c r="I22" s="32"/>
      <c r="J22" s="32"/>
      <c r="K22" s="35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7</v>
      </c>
      <c r="D23" s="6">
        <v>2021</v>
      </c>
      <c r="E23" s="32"/>
      <c r="F23" s="32"/>
      <c r="G23" s="32"/>
      <c r="H23" s="32"/>
      <c r="I23" s="32"/>
      <c r="J23" s="32"/>
      <c r="K23" s="35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7</v>
      </c>
      <c r="D24" s="6">
        <v>2021</v>
      </c>
      <c r="E24" s="32"/>
      <c r="F24" s="32"/>
      <c r="G24" s="32"/>
      <c r="H24" s="32"/>
      <c r="I24" s="32"/>
      <c r="J24" s="32"/>
      <c r="K24" s="35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7</v>
      </c>
      <c r="D25" s="6">
        <v>2021</v>
      </c>
      <c r="E25" s="32"/>
      <c r="F25" s="32"/>
      <c r="G25" s="32"/>
      <c r="H25" s="32"/>
      <c r="I25" s="32"/>
      <c r="J25" s="32"/>
      <c r="K25" s="35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7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2021-07-16T14:20:03Z</dcterms:modified>
</cp:coreProperties>
</file>