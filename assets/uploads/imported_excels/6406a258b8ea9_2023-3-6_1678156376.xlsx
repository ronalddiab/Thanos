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H23" i="4" l="1"/>
  <c r="H22" i="4"/>
  <c r="H21" i="4"/>
  <c r="L26" i="4" l="1"/>
  <c r="AD6" i="3" l="1"/>
  <c r="AC6" i="3"/>
  <c r="Z6" i="3"/>
  <c r="Y6" i="3"/>
  <c r="U6" i="3"/>
  <c r="Q6" i="3"/>
  <c r="BF36" i="5" l="1"/>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Z36" i="5"/>
  <c r="Z35" i="5"/>
  <c r="Z34" i="5"/>
  <c r="Z33" i="5"/>
  <c r="Z32" i="5"/>
  <c r="Z31" i="5"/>
  <c r="Z30" i="5"/>
  <c r="Z29" i="5"/>
  <c r="Z28" i="5"/>
  <c r="Z27" i="5"/>
  <c r="Z26" i="5"/>
  <c r="Z25" i="5"/>
  <c r="Z24" i="5"/>
  <c r="Z23" i="5"/>
  <c r="Z22" i="5"/>
  <c r="Z21" i="5"/>
  <c r="Z20" i="5"/>
  <c r="Z19" i="5"/>
  <c r="Z18" i="5"/>
  <c r="Z17" i="5"/>
  <c r="Z16" i="5"/>
  <c r="Z15" i="5"/>
  <c r="Z14" i="5"/>
  <c r="Z13" i="5"/>
  <c r="Z12" i="5"/>
  <c r="Z11" i="5"/>
  <c r="Z10" i="5"/>
  <c r="X36" i="5"/>
  <c r="X35" i="5"/>
  <c r="X34" i="5"/>
  <c r="X33" i="5"/>
  <c r="X32" i="5"/>
  <c r="X31" i="5"/>
  <c r="X30" i="5"/>
  <c r="X29" i="5"/>
  <c r="X28" i="5"/>
  <c r="X27" i="5"/>
  <c r="X26" i="5"/>
  <c r="X25" i="5"/>
  <c r="X24" i="5"/>
  <c r="X23" i="5"/>
  <c r="X22" i="5"/>
  <c r="X21" i="5"/>
  <c r="X20" i="5"/>
  <c r="X19" i="5"/>
  <c r="X18" i="5"/>
  <c r="X17" i="5"/>
  <c r="X16" i="5"/>
  <c r="X15" i="5"/>
  <c r="X14" i="5"/>
  <c r="X13" i="5"/>
  <c r="X12" i="5"/>
  <c r="X11" i="5"/>
  <c r="X10" i="5"/>
  <c r="V36" i="5"/>
  <c r="V35" i="5"/>
  <c r="V34" i="5"/>
  <c r="V33" i="5"/>
  <c r="V32" i="5"/>
  <c r="V31" i="5"/>
  <c r="V30" i="5"/>
  <c r="V29" i="5"/>
  <c r="V28" i="5"/>
  <c r="V27" i="5"/>
  <c r="V26" i="5"/>
  <c r="V25" i="5"/>
  <c r="V24" i="5"/>
  <c r="V23" i="5"/>
  <c r="V22" i="5"/>
  <c r="V21" i="5"/>
  <c r="V20" i="5"/>
  <c r="V19" i="5"/>
  <c r="V18" i="5"/>
  <c r="V17" i="5"/>
  <c r="V16" i="5"/>
  <c r="V15" i="5"/>
  <c r="V14" i="5"/>
  <c r="V13" i="5"/>
  <c r="V12" i="5"/>
  <c r="V11" i="5"/>
  <c r="V10" i="5"/>
  <c r="T36" i="5"/>
  <c r="T35" i="5"/>
  <c r="T34" i="5"/>
  <c r="T33" i="5"/>
  <c r="T32" i="5"/>
  <c r="T31" i="5"/>
  <c r="T30" i="5"/>
  <c r="T29" i="5"/>
  <c r="T28" i="5"/>
  <c r="T27" i="5"/>
  <c r="T26" i="5"/>
  <c r="T25" i="5"/>
  <c r="T24" i="5"/>
  <c r="T23" i="5"/>
  <c r="T22" i="5"/>
  <c r="T21" i="5"/>
  <c r="T20" i="5"/>
  <c r="T19" i="5"/>
  <c r="T18" i="5"/>
  <c r="T17" i="5"/>
  <c r="T16" i="5"/>
  <c r="T15" i="5"/>
  <c r="T14" i="5"/>
  <c r="T13" i="5"/>
  <c r="T12" i="5"/>
  <c r="T11" i="5"/>
  <c r="T10" i="5"/>
  <c r="R36" i="5"/>
  <c r="R35" i="5"/>
  <c r="R34" i="5"/>
  <c r="R33" i="5"/>
  <c r="R32" i="5"/>
  <c r="R31" i="5"/>
  <c r="R30" i="5"/>
  <c r="R29" i="5"/>
  <c r="R28" i="5"/>
  <c r="R27" i="5"/>
  <c r="R26" i="5"/>
  <c r="R25" i="5"/>
  <c r="R24" i="5"/>
  <c r="R23" i="5"/>
  <c r="R22" i="5"/>
  <c r="R21" i="5"/>
  <c r="R20" i="5"/>
  <c r="R19" i="5"/>
  <c r="R18" i="5"/>
  <c r="R17" i="5"/>
  <c r="R16" i="5"/>
  <c r="R15" i="5"/>
  <c r="R14" i="5"/>
  <c r="R13" i="5"/>
  <c r="R12" i="5"/>
  <c r="R11" i="5"/>
  <c r="R10" i="5"/>
  <c r="P36" i="5"/>
  <c r="P35" i="5"/>
  <c r="P34" i="5"/>
  <c r="P33" i="5"/>
  <c r="P32" i="5"/>
  <c r="P31" i="5"/>
  <c r="P30" i="5"/>
  <c r="P29" i="5"/>
  <c r="P28" i="5"/>
  <c r="P27" i="5"/>
  <c r="P26" i="5"/>
  <c r="P25" i="5"/>
  <c r="P24" i="5"/>
  <c r="P23" i="5"/>
  <c r="P22" i="5"/>
  <c r="P21" i="5"/>
  <c r="P20" i="5"/>
  <c r="P19" i="5"/>
  <c r="P18" i="5"/>
  <c r="P17" i="5"/>
  <c r="P16" i="5"/>
  <c r="P15" i="5"/>
  <c r="P14" i="5"/>
  <c r="P13" i="5"/>
  <c r="P12" i="5"/>
  <c r="P11" i="5"/>
  <c r="P10" i="5"/>
  <c r="N36" i="5"/>
  <c r="N35" i="5"/>
  <c r="N34" i="5"/>
  <c r="N33" i="5"/>
  <c r="N32" i="5"/>
  <c r="N31" i="5"/>
  <c r="N30" i="5"/>
  <c r="N29" i="5"/>
  <c r="N28" i="5"/>
  <c r="N27" i="5"/>
  <c r="N26" i="5"/>
  <c r="N25" i="5"/>
  <c r="N24" i="5"/>
  <c r="N23" i="5"/>
  <c r="N22" i="5"/>
  <c r="N21" i="5"/>
  <c r="N20" i="5"/>
  <c r="N19" i="5"/>
  <c r="N18" i="5"/>
  <c r="N17" i="5"/>
  <c r="N16" i="5"/>
  <c r="N15" i="5"/>
  <c r="N14" i="5"/>
  <c r="N13" i="5"/>
  <c r="N12" i="5"/>
  <c r="N11" i="5"/>
  <c r="N10" i="5"/>
  <c r="L36" i="5"/>
  <c r="L35" i="5"/>
  <c r="L34" i="5"/>
  <c r="L33" i="5"/>
  <c r="L32" i="5"/>
  <c r="L31" i="5"/>
  <c r="L30" i="5"/>
  <c r="L29" i="5"/>
  <c r="L28" i="5"/>
  <c r="L27" i="5"/>
  <c r="L26" i="5"/>
  <c r="L25" i="5"/>
  <c r="L24" i="5"/>
  <c r="L23" i="5"/>
  <c r="L22" i="5"/>
  <c r="L21" i="5"/>
  <c r="L20" i="5"/>
  <c r="L19" i="5"/>
  <c r="L18" i="5"/>
  <c r="L17" i="5"/>
  <c r="L16" i="5"/>
  <c r="L15" i="5"/>
  <c r="L14" i="5"/>
  <c r="L13" i="5"/>
  <c r="L12" i="5"/>
  <c r="L11" i="5"/>
  <c r="L10" i="5"/>
  <c r="J36" i="5"/>
  <c r="J35" i="5"/>
  <c r="J34" i="5"/>
  <c r="J33" i="5"/>
  <c r="J32" i="5"/>
  <c r="J31" i="5"/>
  <c r="J30" i="5"/>
  <c r="J29" i="5"/>
  <c r="J28" i="5"/>
  <c r="J27" i="5"/>
  <c r="J26" i="5"/>
  <c r="J25" i="5"/>
  <c r="J24" i="5"/>
  <c r="J23" i="5"/>
  <c r="J22" i="5"/>
  <c r="J21" i="5"/>
  <c r="J20" i="5"/>
  <c r="J19" i="5"/>
  <c r="J18" i="5"/>
  <c r="J17" i="5"/>
  <c r="J16" i="5"/>
  <c r="J15" i="5"/>
  <c r="J14" i="5"/>
  <c r="J13" i="5"/>
  <c r="J12" i="5"/>
  <c r="J11" i="5"/>
  <c r="J10" i="5"/>
  <c r="H36" i="5"/>
  <c r="H35" i="5"/>
  <c r="H34" i="5"/>
  <c r="H33" i="5"/>
  <c r="H32" i="5"/>
  <c r="H31" i="5"/>
  <c r="H30" i="5"/>
  <c r="H29" i="5"/>
  <c r="H28" i="5"/>
  <c r="H27" i="5"/>
  <c r="H26" i="5"/>
  <c r="H25" i="5"/>
  <c r="H24" i="5"/>
  <c r="H23" i="5"/>
  <c r="H22" i="5"/>
  <c r="H21" i="5"/>
  <c r="H20" i="5"/>
  <c r="H19" i="5"/>
  <c r="H18" i="5"/>
  <c r="H17" i="5"/>
  <c r="H16" i="5"/>
  <c r="H15" i="5"/>
  <c r="H14" i="5"/>
  <c r="H13" i="5"/>
  <c r="H12" i="5"/>
  <c r="H11" i="5"/>
  <c r="H10" i="5"/>
  <c r="D36" i="5"/>
  <c r="D35" i="5"/>
  <c r="D34" i="5"/>
  <c r="D33" i="5"/>
  <c r="D32" i="5"/>
  <c r="D31" i="5"/>
  <c r="D30" i="5"/>
  <c r="D29" i="5"/>
  <c r="D28" i="5"/>
  <c r="D27" i="5"/>
  <c r="D26" i="5"/>
  <c r="D25" i="5"/>
  <c r="D24" i="5"/>
  <c r="D23" i="5"/>
  <c r="D22" i="5"/>
  <c r="D21" i="5"/>
  <c r="D20" i="5"/>
  <c r="D19" i="5"/>
  <c r="D18" i="5"/>
  <c r="D17" i="5"/>
  <c r="D16" i="5"/>
  <c r="D15" i="5"/>
  <c r="D14" i="5"/>
  <c r="D13" i="5"/>
  <c r="D12" i="5"/>
  <c r="D11" i="5"/>
  <c r="D10" i="5"/>
  <c r="P34" i="4" l="1"/>
  <c r="P33" i="4"/>
  <c r="P32" i="4"/>
  <c r="P31" i="4"/>
  <c r="P30" i="4"/>
  <c r="P29" i="4"/>
  <c r="P28" i="4"/>
  <c r="P27" i="4"/>
  <c r="P26" i="4"/>
  <c r="P25" i="4"/>
  <c r="P24" i="4"/>
  <c r="P23" i="4"/>
  <c r="P22" i="4"/>
  <c r="P21" i="4"/>
  <c r="P20" i="4"/>
  <c r="P19" i="4"/>
  <c r="P18" i="4"/>
  <c r="P17" i="4"/>
  <c r="P16" i="4"/>
  <c r="L34" i="4"/>
  <c r="N34" i="4" s="1"/>
  <c r="L33" i="4"/>
  <c r="M33" i="4" s="1"/>
  <c r="L32" i="4"/>
  <c r="N32" i="4" s="1"/>
  <c r="L31" i="4"/>
  <c r="M31" i="4" s="1"/>
  <c r="L30" i="4"/>
  <c r="N30" i="4" s="1"/>
  <c r="L29" i="4"/>
  <c r="N29" i="4" s="1"/>
  <c r="L28" i="4"/>
  <c r="N28" i="4" s="1"/>
  <c r="L27" i="4"/>
  <c r="M27" i="4" s="1"/>
  <c r="M26" i="4"/>
  <c r="L25" i="4"/>
  <c r="N25" i="4" s="1"/>
  <c r="L24" i="4"/>
  <c r="N24" i="4" s="1"/>
  <c r="L23" i="4"/>
  <c r="M23" i="4" s="1"/>
  <c r="L22" i="4"/>
  <c r="N22" i="4" s="1"/>
  <c r="L21" i="4"/>
  <c r="N21" i="4" s="1"/>
  <c r="L20" i="4"/>
  <c r="N20" i="4" s="1"/>
  <c r="L19" i="4"/>
  <c r="M19" i="4" s="1"/>
  <c r="L18" i="4"/>
  <c r="M18" i="4" s="1"/>
  <c r="L17" i="4"/>
  <c r="N17" i="4" s="1"/>
  <c r="J34" i="4"/>
  <c r="J33" i="4"/>
  <c r="J32" i="4"/>
  <c r="J31" i="4"/>
  <c r="J30" i="4"/>
  <c r="J29" i="4"/>
  <c r="J28" i="4"/>
  <c r="J27" i="4"/>
  <c r="J26" i="4"/>
  <c r="J25" i="4"/>
  <c r="J24" i="4"/>
  <c r="J23" i="4"/>
  <c r="J22" i="4"/>
  <c r="J21" i="4"/>
  <c r="J20" i="4"/>
  <c r="J19" i="4"/>
  <c r="J18" i="4"/>
  <c r="J17" i="4"/>
  <c r="J16" i="4"/>
  <c r="J15" i="4"/>
  <c r="H34" i="4"/>
  <c r="H33" i="4"/>
  <c r="H32" i="4"/>
  <c r="H31" i="4"/>
  <c r="H30" i="4"/>
  <c r="H29" i="4"/>
  <c r="H28" i="4"/>
  <c r="H27" i="4"/>
  <c r="H26" i="4"/>
  <c r="H25" i="4"/>
  <c r="H24" i="4"/>
  <c r="H20" i="4"/>
  <c r="H19" i="4"/>
  <c r="H18" i="4"/>
  <c r="H17" i="4"/>
  <c r="F34" i="4"/>
  <c r="F33" i="4"/>
  <c r="F32" i="4"/>
  <c r="F31" i="4"/>
  <c r="F30" i="4"/>
  <c r="F29" i="4"/>
  <c r="F28" i="4"/>
  <c r="F27" i="4"/>
  <c r="F26" i="4"/>
  <c r="F25" i="4"/>
  <c r="F24" i="4"/>
  <c r="F23" i="4"/>
  <c r="F22" i="4"/>
  <c r="F21" i="4"/>
  <c r="F20" i="4"/>
  <c r="F19" i="4"/>
  <c r="F18" i="4"/>
  <c r="F17" i="4"/>
  <c r="F16" i="4"/>
  <c r="F15" i="4"/>
  <c r="D34" i="4"/>
  <c r="D33" i="4"/>
  <c r="D32" i="4"/>
  <c r="D31" i="4"/>
  <c r="D30" i="4"/>
  <c r="D29" i="4"/>
  <c r="D28" i="4"/>
  <c r="D27" i="4"/>
  <c r="D26" i="4"/>
  <c r="D25" i="4"/>
  <c r="D24" i="4"/>
  <c r="D23" i="4"/>
  <c r="D22" i="4"/>
  <c r="D21" i="4"/>
  <c r="D20" i="4"/>
  <c r="D19" i="4"/>
  <c r="D18" i="4"/>
  <c r="D17" i="4"/>
  <c r="D16" i="4"/>
  <c r="D15" i="4"/>
  <c r="D14" i="4"/>
  <c r="D13" i="4"/>
  <c r="D12" i="4"/>
  <c r="H8" i="4"/>
  <c r="H7" i="4"/>
  <c r="J8" i="4"/>
  <c r="J7" i="4"/>
  <c r="L8" i="4"/>
  <c r="N8" i="4" s="1"/>
  <c r="L7" i="4"/>
  <c r="N7" i="4" s="1"/>
  <c r="P8" i="4"/>
  <c r="P7" i="4"/>
  <c r="F8" i="4"/>
  <c r="F7" i="4"/>
  <c r="D8" i="4"/>
  <c r="D7" i="4"/>
  <c r="S28" i="4" l="1"/>
  <c r="S7" i="4"/>
  <c r="S8" i="4"/>
  <c r="S29" i="4"/>
  <c r="N26" i="4"/>
  <c r="S24" i="4"/>
  <c r="S32" i="4"/>
  <c r="M22" i="4"/>
  <c r="R22" i="4" s="1"/>
  <c r="M8" i="4"/>
  <c r="R8" i="4" s="1"/>
  <c r="S17" i="4"/>
  <c r="S25" i="4"/>
  <c r="N31" i="4"/>
  <c r="S31" i="4" s="1"/>
  <c r="M34" i="4"/>
  <c r="R34" i="4" s="1"/>
  <c r="S22" i="4"/>
  <c r="R26" i="4"/>
  <c r="S21" i="4"/>
  <c r="N27" i="4"/>
  <c r="S27" i="4" s="1"/>
  <c r="M30" i="4"/>
  <c r="R30" i="4" s="1"/>
  <c r="N18" i="4"/>
  <c r="N23" i="4"/>
  <c r="S23" i="4" s="1"/>
  <c r="S20" i="4"/>
  <c r="N19" i="4"/>
  <c r="S19" i="4" s="1"/>
  <c r="S18" i="4"/>
  <c r="R18" i="4"/>
  <c r="S30" i="4"/>
  <c r="S34" i="4"/>
  <c r="S26" i="4"/>
  <c r="R19" i="4"/>
  <c r="M17" i="4"/>
  <c r="R17" i="4" s="1"/>
  <c r="M21" i="4"/>
  <c r="R21" i="4" s="1"/>
  <c r="M25" i="4"/>
  <c r="R25" i="4" s="1"/>
  <c r="M29" i="4"/>
  <c r="R29" i="4" s="1"/>
  <c r="M20" i="4"/>
  <c r="R20" i="4" s="1"/>
  <c r="M24" i="4"/>
  <c r="R24" i="4" s="1"/>
  <c r="M28" i="4"/>
  <c r="R28" i="4" s="1"/>
  <c r="M32" i="4"/>
  <c r="R32" i="4" s="1"/>
  <c r="N33" i="4"/>
  <c r="S33" i="4" s="1"/>
  <c r="R33" i="4"/>
  <c r="R27" i="4"/>
  <c r="R23" i="4"/>
  <c r="R31" i="4"/>
  <c r="M7" i="4"/>
  <c r="R7" i="4" s="1"/>
  <c r="I33" i="8" l="1"/>
  <c r="H33" i="8"/>
  <c r="L33" i="8"/>
  <c r="K33" i="8"/>
  <c r="E33" i="8" l="1"/>
  <c r="F33" i="8"/>
  <c r="H13" i="4" l="1"/>
  <c r="AN33" i="3" l="1"/>
  <c r="L9" i="5" l="1"/>
  <c r="L37" i="5" s="1"/>
  <c r="T33" i="3" l="1"/>
  <c r="T32" i="3"/>
  <c r="T31" i="3"/>
  <c r="T30" i="3"/>
  <c r="V32" i="3" l="1"/>
  <c r="U32" i="3"/>
  <c r="V30" i="3"/>
  <c r="U30" i="3"/>
  <c r="V31" i="3"/>
  <c r="U31" i="3"/>
  <c r="V33" i="3"/>
  <c r="U33" i="3"/>
  <c r="T29" i="3"/>
  <c r="V29" i="3" l="1"/>
  <c r="U29" i="3"/>
  <c r="P15" i="4" l="1"/>
  <c r="P14" i="4"/>
  <c r="P13" i="4"/>
  <c r="P12" i="4"/>
  <c r="P11" i="4"/>
  <c r="P10" i="4"/>
  <c r="P9" i="4"/>
  <c r="L16" i="4"/>
  <c r="N16" i="4" s="1"/>
  <c r="S16" i="4" s="1"/>
  <c r="L15" i="4"/>
  <c r="N15" i="4" s="1"/>
  <c r="S15" i="4" s="1"/>
  <c r="L14" i="4"/>
  <c r="N14" i="4" s="1"/>
  <c r="S14" i="4" s="1"/>
  <c r="L13" i="4"/>
  <c r="N13" i="4" s="1"/>
  <c r="S13" i="4" s="1"/>
  <c r="L12" i="4"/>
  <c r="N12" i="4" s="1"/>
  <c r="S12" i="4" s="1"/>
  <c r="L11" i="4"/>
  <c r="N11" i="4" s="1"/>
  <c r="S11" i="4" s="1"/>
  <c r="L10" i="4"/>
  <c r="L9" i="4"/>
  <c r="N9" i="4" s="1"/>
  <c r="S9" i="4" s="1"/>
  <c r="J14" i="4"/>
  <c r="J13" i="4"/>
  <c r="J12" i="4"/>
  <c r="J11" i="4"/>
  <c r="J10" i="4"/>
  <c r="J9" i="4"/>
  <c r="H16" i="4"/>
  <c r="H15" i="4"/>
  <c r="H14" i="4"/>
  <c r="H12" i="4"/>
  <c r="H11" i="4"/>
  <c r="H10" i="4"/>
  <c r="H9" i="4"/>
  <c r="F14" i="4"/>
  <c r="F13" i="4"/>
  <c r="F12" i="4"/>
  <c r="F11" i="4"/>
  <c r="F10" i="4"/>
  <c r="F9" i="4"/>
  <c r="D11" i="4"/>
  <c r="D10" i="4"/>
  <c r="D9" i="4"/>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5" i="3"/>
  <c r="T34" i="3"/>
  <c r="T28" i="3"/>
  <c r="T27" i="3"/>
  <c r="T26" i="3"/>
  <c r="T25" i="3"/>
  <c r="T24" i="3"/>
  <c r="T23" i="3"/>
  <c r="T22" i="3"/>
  <c r="T21" i="3"/>
  <c r="T20" i="3"/>
  <c r="T19" i="3"/>
  <c r="T18" i="3"/>
  <c r="T17" i="3"/>
  <c r="T16" i="3"/>
  <c r="T15" i="3"/>
  <c r="T14" i="3"/>
  <c r="T13" i="3"/>
  <c r="T12" i="3"/>
  <c r="T11" i="3"/>
  <c r="T10" i="3"/>
  <c r="T9" i="3"/>
  <c r="T8"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4" i="3"/>
  <c r="F33" i="3"/>
  <c r="F32" i="3"/>
  <c r="F31" i="3"/>
  <c r="F30" i="3"/>
  <c r="F29" i="3"/>
  <c r="F28" i="3"/>
  <c r="F27" i="3"/>
  <c r="F26" i="3"/>
  <c r="F25" i="3"/>
  <c r="F24" i="3"/>
  <c r="F23" i="3"/>
  <c r="F22" i="3"/>
  <c r="F21" i="3"/>
  <c r="F20" i="3"/>
  <c r="F19" i="3"/>
  <c r="F18" i="3"/>
  <c r="F17" i="3"/>
  <c r="F16" i="3"/>
  <c r="F15" i="3"/>
  <c r="F14" i="3"/>
  <c r="F13" i="3"/>
  <c r="F12" i="3"/>
  <c r="F11" i="3"/>
  <c r="F10" i="3"/>
  <c r="F9" i="3"/>
  <c r="F8"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23" i="3" l="1"/>
  <c r="I23" i="3"/>
  <c r="J8" i="3"/>
  <c r="I8" i="3"/>
  <c r="J12" i="3"/>
  <c r="I12" i="3"/>
  <c r="J16" i="3"/>
  <c r="I16" i="3"/>
  <c r="J24" i="3"/>
  <c r="I24" i="3"/>
  <c r="J28" i="3"/>
  <c r="I28" i="3"/>
  <c r="J32" i="3"/>
  <c r="I32" i="3"/>
  <c r="Q10" i="3"/>
  <c r="R10" i="3"/>
  <c r="R14" i="3"/>
  <c r="Q14" i="3"/>
  <c r="Q22" i="3"/>
  <c r="R22" i="3"/>
  <c r="R26" i="3"/>
  <c r="Q26" i="3"/>
  <c r="Q30" i="3"/>
  <c r="R30" i="3"/>
  <c r="R34" i="3"/>
  <c r="Q34" i="3"/>
  <c r="V8" i="3"/>
  <c r="U8" i="3"/>
  <c r="V12" i="3"/>
  <c r="U12" i="3"/>
  <c r="V16" i="3"/>
  <c r="U16" i="3"/>
  <c r="V24" i="3"/>
  <c r="U24" i="3"/>
  <c r="V28" i="3"/>
  <c r="U28" i="3"/>
  <c r="Z11" i="3"/>
  <c r="Y11" i="3"/>
  <c r="Z15" i="3"/>
  <c r="Y15" i="3"/>
  <c r="Z23" i="3"/>
  <c r="Y23" i="3"/>
  <c r="Z27" i="3"/>
  <c r="Y27" i="3"/>
  <c r="Z31" i="3"/>
  <c r="Y31" i="3"/>
  <c r="Z35" i="3"/>
  <c r="Y35" i="3"/>
  <c r="AD9" i="3"/>
  <c r="AC9" i="3"/>
  <c r="AD13" i="3"/>
  <c r="AC13" i="3"/>
  <c r="AD17" i="3"/>
  <c r="AC17" i="3"/>
  <c r="AD25" i="3"/>
  <c r="AC25" i="3"/>
  <c r="AD29" i="3"/>
  <c r="AC29" i="3"/>
  <c r="AD33" i="3"/>
  <c r="AC33" i="3"/>
  <c r="J15" i="3"/>
  <c r="I15" i="3"/>
  <c r="J27" i="3"/>
  <c r="I27" i="3"/>
  <c r="J35" i="3"/>
  <c r="I35" i="3"/>
  <c r="R13" i="3"/>
  <c r="Q13" i="3"/>
  <c r="R29" i="3"/>
  <c r="Q29" i="3"/>
  <c r="V15" i="3"/>
  <c r="U15" i="3"/>
  <c r="V23" i="3"/>
  <c r="U23" i="3"/>
  <c r="Z14" i="3"/>
  <c r="Y14" i="3"/>
  <c r="Z22" i="3"/>
  <c r="Y22" i="3"/>
  <c r="Z26" i="3"/>
  <c r="Y26" i="3"/>
  <c r="Z34" i="3"/>
  <c r="Y34" i="3"/>
  <c r="AD12" i="3"/>
  <c r="AC12" i="3"/>
  <c r="AD28" i="3"/>
  <c r="AC28" i="3"/>
  <c r="J13" i="3"/>
  <c r="I13" i="3"/>
  <c r="J29" i="3"/>
  <c r="I29" i="3"/>
  <c r="R11" i="3"/>
  <c r="Q11" i="3"/>
  <c r="R27" i="3"/>
  <c r="Q27" i="3"/>
  <c r="R35" i="3"/>
  <c r="Q35" i="3"/>
  <c r="V13" i="3"/>
  <c r="U13" i="3"/>
  <c r="V34" i="3"/>
  <c r="U34" i="3"/>
  <c r="Z12" i="3"/>
  <c r="Y12" i="3"/>
  <c r="Z28" i="3"/>
  <c r="Y28" i="3"/>
  <c r="AD14" i="3"/>
  <c r="AC14" i="3"/>
  <c r="AD26" i="3"/>
  <c r="AC26" i="3"/>
  <c r="AD34" i="3"/>
  <c r="AC34" i="3"/>
  <c r="J11" i="3"/>
  <c r="I11" i="3"/>
  <c r="J31" i="3"/>
  <c r="I31" i="3"/>
  <c r="R9" i="3"/>
  <c r="Q9" i="3"/>
  <c r="R17" i="3"/>
  <c r="Q17" i="3"/>
  <c r="R25" i="3"/>
  <c r="Q25" i="3"/>
  <c r="R33" i="3"/>
  <c r="Q33" i="3"/>
  <c r="V11" i="3"/>
  <c r="U11" i="3"/>
  <c r="V27" i="3"/>
  <c r="U27" i="3"/>
  <c r="Z10" i="3"/>
  <c r="Y10" i="3"/>
  <c r="Z30" i="3"/>
  <c r="Y30" i="3"/>
  <c r="AD8" i="3"/>
  <c r="AC8" i="3"/>
  <c r="AD16" i="3"/>
  <c r="AC16" i="3"/>
  <c r="AD24" i="3"/>
  <c r="AC24" i="3"/>
  <c r="AD32" i="3"/>
  <c r="AC32" i="3"/>
  <c r="J9" i="3"/>
  <c r="I9" i="3"/>
  <c r="J17" i="3"/>
  <c r="I17" i="3"/>
  <c r="J25" i="3"/>
  <c r="I25" i="3"/>
  <c r="J33" i="3"/>
  <c r="I33" i="3"/>
  <c r="R15" i="3"/>
  <c r="Q15" i="3"/>
  <c r="R23" i="3"/>
  <c r="Q23" i="3"/>
  <c r="R31" i="3"/>
  <c r="Q31" i="3"/>
  <c r="V9" i="3"/>
  <c r="U9" i="3"/>
  <c r="V17" i="3"/>
  <c r="U17" i="3"/>
  <c r="V25" i="3"/>
  <c r="U25" i="3"/>
  <c r="Z8" i="3"/>
  <c r="Y8" i="3"/>
  <c r="Z16" i="3"/>
  <c r="Y16" i="3"/>
  <c r="Z24" i="3"/>
  <c r="Y24" i="3"/>
  <c r="Z32" i="3"/>
  <c r="Y32" i="3"/>
  <c r="AD10" i="3"/>
  <c r="AC10" i="3"/>
  <c r="AD22" i="3"/>
  <c r="AC22" i="3"/>
  <c r="AD30" i="3"/>
  <c r="AC30" i="3"/>
  <c r="J10" i="3"/>
  <c r="I10" i="3"/>
  <c r="J14" i="3"/>
  <c r="I14" i="3"/>
  <c r="J22" i="3"/>
  <c r="I22" i="3"/>
  <c r="J26" i="3"/>
  <c r="I26" i="3"/>
  <c r="J30" i="3"/>
  <c r="I30" i="3"/>
  <c r="J34" i="3"/>
  <c r="I34" i="3"/>
  <c r="R8" i="3"/>
  <c r="Q8" i="3"/>
  <c r="R12" i="3"/>
  <c r="Q12" i="3"/>
  <c r="R16" i="3"/>
  <c r="AQ16" i="3" s="1"/>
  <c r="F11" i="8" s="1"/>
  <c r="Q16" i="3"/>
  <c r="R24" i="3"/>
  <c r="Q24" i="3"/>
  <c r="R28" i="3"/>
  <c r="Q28" i="3"/>
  <c r="R32" i="3"/>
  <c r="AQ32" i="3" s="1"/>
  <c r="F27" i="8" s="1"/>
  <c r="Q32" i="3"/>
  <c r="V10" i="3"/>
  <c r="U10" i="3"/>
  <c r="V14" i="3"/>
  <c r="U14" i="3"/>
  <c r="V22" i="3"/>
  <c r="U22" i="3"/>
  <c r="V26" i="3"/>
  <c r="U26" i="3"/>
  <c r="V35" i="3"/>
  <c r="U35" i="3"/>
  <c r="Z9" i="3"/>
  <c r="Y9" i="3"/>
  <c r="Z13" i="3"/>
  <c r="Y13" i="3"/>
  <c r="Z17" i="3"/>
  <c r="Y17" i="3"/>
  <c r="Z25" i="3"/>
  <c r="Y25" i="3"/>
  <c r="Z29" i="3"/>
  <c r="Y29" i="3"/>
  <c r="Z33" i="3"/>
  <c r="Y33" i="3"/>
  <c r="AD11" i="3"/>
  <c r="AC11" i="3"/>
  <c r="AD15" i="3"/>
  <c r="AC15" i="3"/>
  <c r="AD23" i="3"/>
  <c r="AC23" i="3"/>
  <c r="AD27" i="3"/>
  <c r="AC27" i="3"/>
  <c r="AD31" i="3"/>
  <c r="AC31" i="3"/>
  <c r="AD35" i="3"/>
  <c r="AC35" i="3"/>
  <c r="V21" i="3"/>
  <c r="U21" i="3"/>
  <c r="AD21" i="3"/>
  <c r="AC21" i="3"/>
  <c r="Y21" i="3"/>
  <c r="Z21" i="3"/>
  <c r="Q21" i="3"/>
  <c r="R21" i="3"/>
  <c r="I21" i="3"/>
  <c r="J21" i="3"/>
  <c r="AD20" i="3"/>
  <c r="AC20" i="3"/>
  <c r="Z20" i="3"/>
  <c r="Y20" i="3"/>
  <c r="U20" i="3"/>
  <c r="V20" i="3"/>
  <c r="Q20" i="3"/>
  <c r="R20" i="3"/>
  <c r="J20" i="3"/>
  <c r="I20" i="3"/>
  <c r="AD18" i="3"/>
  <c r="AC18" i="3"/>
  <c r="AD19" i="3"/>
  <c r="AC19" i="3"/>
  <c r="Z18" i="3"/>
  <c r="Y18" i="3"/>
  <c r="Z19" i="3"/>
  <c r="Y19" i="3"/>
  <c r="V19" i="3"/>
  <c r="U19" i="3"/>
  <c r="V18" i="3"/>
  <c r="U18" i="3"/>
  <c r="Q19" i="3"/>
  <c r="R19" i="3"/>
  <c r="R18" i="3"/>
  <c r="Q18" i="3"/>
  <c r="J19" i="3"/>
  <c r="I19" i="3"/>
  <c r="J18" i="3"/>
  <c r="I18" i="3"/>
  <c r="M13" i="4"/>
  <c r="R13" i="4" s="1"/>
  <c r="M9" i="4"/>
  <c r="R9" i="4" s="1"/>
  <c r="M11" i="4"/>
  <c r="R11" i="4" s="1"/>
  <c r="M15" i="4"/>
  <c r="R15" i="4" s="1"/>
  <c r="N36" i="3"/>
  <c r="F36" i="3"/>
  <c r="F35" i="4"/>
  <c r="AL36" i="3"/>
  <c r="AB36" i="3"/>
  <c r="D35" i="4"/>
  <c r="J35" i="4"/>
  <c r="P36" i="3"/>
  <c r="X36" i="3"/>
  <c r="AF36" i="3"/>
  <c r="AN36" i="3"/>
  <c r="P35" i="4"/>
  <c r="D36" i="3"/>
  <c r="H36" i="3"/>
  <c r="T36" i="3"/>
  <c r="AJ36" i="3"/>
  <c r="L35" i="4"/>
  <c r="M10" i="4"/>
  <c r="R10" i="4" s="1"/>
  <c r="M12" i="4"/>
  <c r="R12" i="4" s="1"/>
  <c r="M14" i="4"/>
  <c r="R14" i="4" s="1"/>
  <c r="M16" i="4"/>
  <c r="R16" i="4" s="1"/>
  <c r="L36" i="3"/>
  <c r="AH36" i="3"/>
  <c r="H35" i="4"/>
  <c r="N10" i="4"/>
  <c r="S10" i="4" s="1"/>
  <c r="AP16" i="3" l="1"/>
  <c r="E11" i="8" s="1"/>
  <c r="AP28" i="3"/>
  <c r="E23" i="8" s="1"/>
  <c r="AP30" i="3"/>
  <c r="E25" i="8" s="1"/>
  <c r="AQ29" i="3"/>
  <c r="F24" i="8" s="1"/>
  <c r="AP8" i="3"/>
  <c r="AP18" i="3"/>
  <c r="E13" i="8" s="1"/>
  <c r="E31" i="8"/>
  <c r="AP21" i="3"/>
  <c r="E16" i="8" s="1"/>
  <c r="AP29" i="3"/>
  <c r="E24" i="8" s="1"/>
  <c r="AP24" i="3"/>
  <c r="E19" i="8" s="1"/>
  <c r="AP26" i="3"/>
  <c r="E21" i="8" s="1"/>
  <c r="AP22" i="3"/>
  <c r="E17" i="8" s="1"/>
  <c r="AP10" i="3"/>
  <c r="E5" i="8" s="1"/>
  <c r="AP23" i="3"/>
  <c r="E18" i="8" s="1"/>
  <c r="AP33" i="3"/>
  <c r="E28" i="8" s="1"/>
  <c r="AP27" i="3"/>
  <c r="E22" i="8" s="1"/>
  <c r="AQ31" i="3"/>
  <c r="F26" i="8" s="1"/>
  <c r="AQ8" i="3"/>
  <c r="F3" i="8" s="1"/>
  <c r="AP32" i="3"/>
  <c r="E27" i="8" s="1"/>
  <c r="AP12" i="3"/>
  <c r="E7" i="8" s="1"/>
  <c r="AP35" i="3"/>
  <c r="E30" i="8" s="1"/>
  <c r="AP34" i="3"/>
  <c r="E29" i="8" s="1"/>
  <c r="AP14" i="3"/>
  <c r="E9" i="8" s="1"/>
  <c r="AP17" i="3"/>
  <c r="E12" i="8" s="1"/>
  <c r="AP31" i="3"/>
  <c r="E26" i="8" s="1"/>
  <c r="AP15" i="3"/>
  <c r="E10" i="8" s="1"/>
  <c r="AP25" i="3"/>
  <c r="E20" i="8" s="1"/>
  <c r="AP9" i="3"/>
  <c r="E4" i="8" s="1"/>
  <c r="AP11" i="3"/>
  <c r="E6" i="8" s="1"/>
  <c r="E32" i="8"/>
  <c r="AP13" i="3"/>
  <c r="E8" i="8" s="1"/>
  <c r="AQ28" i="3"/>
  <c r="F23" i="8" s="1"/>
  <c r="AQ26" i="3"/>
  <c r="F21" i="8" s="1"/>
  <c r="F31" i="8"/>
  <c r="AQ25" i="3"/>
  <c r="F20" i="8" s="1"/>
  <c r="AQ14" i="3"/>
  <c r="F9" i="8" s="1"/>
  <c r="AQ18" i="3"/>
  <c r="F13" i="8" s="1"/>
  <c r="AQ20" i="3"/>
  <c r="F15" i="8" s="1"/>
  <c r="F32" i="8"/>
  <c r="AQ13" i="3"/>
  <c r="F8" i="8" s="1"/>
  <c r="AQ30" i="3"/>
  <c r="F25" i="8" s="1"/>
  <c r="AQ22" i="3"/>
  <c r="F17" i="8" s="1"/>
  <c r="AQ10" i="3"/>
  <c r="AQ15" i="3"/>
  <c r="F10" i="8" s="1"/>
  <c r="AQ9" i="3"/>
  <c r="F4" i="8" s="1"/>
  <c r="AQ27" i="3"/>
  <c r="F22" i="8" s="1"/>
  <c r="AQ34" i="3"/>
  <c r="F29" i="8" s="1"/>
  <c r="AQ24" i="3"/>
  <c r="F19" i="8" s="1"/>
  <c r="AQ12" i="3"/>
  <c r="F7" i="8" s="1"/>
  <c r="AQ23" i="3"/>
  <c r="F18" i="8" s="1"/>
  <c r="AQ33" i="3"/>
  <c r="F28" i="8" s="1"/>
  <c r="AQ17" i="3"/>
  <c r="F12" i="8" s="1"/>
  <c r="AQ35" i="3"/>
  <c r="F30" i="8" s="1"/>
  <c r="AQ11" i="3"/>
  <c r="F6" i="8" s="1"/>
  <c r="AP20" i="3"/>
  <c r="E15" i="8" s="1"/>
  <c r="AQ21" i="3"/>
  <c r="F16" i="8" s="1"/>
  <c r="AP19" i="3"/>
  <c r="E14" i="8" s="1"/>
  <c r="AQ19" i="3"/>
  <c r="F14" i="8" s="1"/>
  <c r="F5" i="8"/>
  <c r="N9" i="5"/>
  <c r="N37" i="5" s="1"/>
  <c r="J9" i="5"/>
  <c r="J37" i="5" s="1"/>
  <c r="H9" i="5"/>
  <c r="H37" i="5" s="1"/>
  <c r="D9" i="5"/>
  <c r="E9" i="5" l="1"/>
  <c r="D37" i="5"/>
  <c r="F9" i="5"/>
  <c r="F10" i="5"/>
  <c r="E10" i="5"/>
  <c r="F11" i="5"/>
  <c r="E11" i="5"/>
  <c r="I4" i="8" l="1"/>
  <c r="I6" i="8"/>
  <c r="I8" i="8"/>
  <c r="I10" i="8"/>
  <c r="I11" i="8" l="1"/>
  <c r="I9" i="8"/>
  <c r="I7" i="8"/>
  <c r="I5" i="8"/>
  <c r="I3" i="8"/>
  <c r="T9" i="5" l="1"/>
  <c r="T37" i="5" s="1"/>
  <c r="A9" i="3" l="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I31" i="8" l="1"/>
  <c r="BI10" i="5"/>
  <c r="L4" i="8" s="1"/>
  <c r="BH10" i="5"/>
  <c r="K4" i="8" s="1"/>
  <c r="H31" i="8"/>
  <c r="V9" i="5" l="1"/>
  <c r="V37" i="5" s="1"/>
  <c r="BF9" i="5" l="1"/>
  <c r="BF37" i="5" s="1"/>
  <c r="BD9" i="5"/>
  <c r="BD37" i="5" s="1"/>
  <c r="BB9" i="5"/>
  <c r="BB37" i="5" s="1"/>
  <c r="AZ9" i="5"/>
  <c r="AZ37" i="5" s="1"/>
  <c r="AX9" i="5"/>
  <c r="AX37" i="5" s="1"/>
  <c r="AV9" i="5"/>
  <c r="AV37" i="5" s="1"/>
  <c r="AT9" i="5"/>
  <c r="AT37" i="5" s="1"/>
  <c r="AR9" i="5"/>
  <c r="AR37" i="5" s="1"/>
  <c r="AP9" i="5"/>
  <c r="AP37" i="5" s="1"/>
  <c r="AN9" i="5"/>
  <c r="AN37" i="5" s="1"/>
  <c r="AL9" i="5"/>
  <c r="AL37" i="5" s="1"/>
  <c r="AJ9" i="5"/>
  <c r="AJ37" i="5" s="1"/>
  <c r="AH9" i="5"/>
  <c r="AH37" i="5" s="1"/>
  <c r="AF9" i="5"/>
  <c r="AF37" i="5" s="1"/>
  <c r="AD9" i="5"/>
  <c r="AD37" i="5" s="1"/>
  <c r="AB9" i="5"/>
  <c r="AB37" i="5" s="1"/>
  <c r="Z9" i="5"/>
  <c r="Z37" i="5" s="1"/>
  <c r="X9" i="5"/>
  <c r="X37" i="5" s="1"/>
  <c r="R9" i="5"/>
  <c r="R37" i="5" s="1"/>
  <c r="P9" i="5"/>
  <c r="P37" i="5" s="1"/>
  <c r="E25" i="5" l="1"/>
  <c r="F25" i="5"/>
  <c r="BI25" i="5" s="1"/>
  <c r="L19" i="8" s="1"/>
  <c r="E28" i="5"/>
  <c r="BH28" i="5" s="1"/>
  <c r="K22" i="8" s="1"/>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BI18" i="5" s="1"/>
  <c r="L12" i="8" s="1"/>
  <c r="E18" i="5"/>
  <c r="BH18" i="5" s="1"/>
  <c r="K12" i="8" s="1"/>
  <c r="F23" i="5"/>
  <c r="BI23" i="5" s="1"/>
  <c r="L17" i="8" s="1"/>
  <c r="E23" i="5"/>
  <c r="F31" i="5"/>
  <c r="BI31" i="5" s="1"/>
  <c r="L25" i="8" s="1"/>
  <c r="E31" i="5"/>
  <c r="BH31" i="5" s="1"/>
  <c r="K25" i="8" s="1"/>
  <c r="L31" i="8"/>
  <c r="K31" i="8"/>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L32" i="8"/>
  <c r="BI9" i="5"/>
  <c r="L3" i="8" s="1"/>
  <c r="BH9" i="5"/>
  <c r="BH25" i="5"/>
  <c r="K19" i="8" s="1"/>
  <c r="I28" i="8"/>
  <c r="I32" i="8"/>
  <c r="I29" i="8"/>
  <c r="I27" i="8"/>
  <c r="I24" i="8"/>
  <c r="I22" i="8"/>
  <c r="H32" i="8"/>
  <c r="I14" i="8"/>
  <c r="I19" i="8"/>
  <c r="I21" i="8"/>
  <c r="I26" i="8"/>
  <c r="H30" i="8"/>
  <c r="I30" i="8"/>
  <c r="H29" i="8"/>
  <c r="I25" i="8"/>
  <c r="I23" i="8"/>
  <c r="I20" i="8"/>
  <c r="I17" i="8"/>
  <c r="I18" i="8"/>
  <c r="I16" i="8"/>
  <c r="I15" i="8"/>
  <c r="BH23" i="5"/>
  <c r="K17" i="8" s="1"/>
  <c r="I13" i="8"/>
  <c r="BI11" i="5"/>
  <c r="L5" i="8" s="1"/>
  <c r="BH11" i="5"/>
  <c r="K5" i="8" s="1"/>
  <c r="I12" i="8"/>
  <c r="BI36" i="5" l="1"/>
  <c r="L30" i="8" s="1"/>
  <c r="F37"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G30" i="1" l="1"/>
  <c r="H30" i="1" s="1"/>
  <c r="K32" i="8"/>
  <c r="M32" i="8" s="1"/>
  <c r="G31" i="10" s="1"/>
</calcChain>
</file>

<file path=xl/sharedStrings.xml><?xml version="1.0" encoding="utf-8"?>
<sst xmlns="http://schemas.openxmlformats.org/spreadsheetml/2006/main" count="1415" uniqueCount="404">
  <si>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</si>
  <si>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</si>
  <si>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</si>
  <si>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</si>
  <si>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</si>
  <si>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</si>
  <si>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</si>
  <si>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</si>
  <si>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</si>
  <si>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</si>
  <si>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</si>
  <si>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</si>
  <si>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</si>
  <si>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</si>
  <si>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</si>
  <si>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</si>
  <si>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</si>
  <si>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</si>
  <si>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</si>
  <si>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</si>
  <si>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</si>
  <si>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</si>
  <si>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</si>
  <si>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</si>
  <si>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</si>
  <si>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</si>
  <si>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</si>
  <si>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</si>
  <si>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</si>
  <si>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</si>
  <si>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</si>
  <si>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</si>
  <si>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</si>
  <si>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</si>
  <si>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</si>
  <si>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</si>
  <si>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</si>
  <si>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</si>
  <si>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</si>
  <si>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</si>
  <si>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</si>
  <si>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</si>
  <si>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</si>
  <si>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</si>
  <si>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</si>
  <si>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</si>
  <si>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</si>
  <si>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</si>
  <si>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</si>
  <si>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</si>
  <si>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</si>
  <si>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</si>
  <si>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</si>
  <si>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</si>
  <si>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</si>
  <si>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</si>
  <si>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</si>
  <si>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</si>
  <si>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</si>
  <si>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</si>
  <si>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</si>
  <si>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</si>
  <si>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</si>
  <si>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</si>
  <si>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</si>
  <si>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</si>
  <si>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</si>
  <si>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</si>
  <si>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</si>
  <si>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</si>
  <si>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</si>
  <si>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</si>
  <si>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</si>
  <si>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</si>
  <si>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</si>
  <si>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</si>
  <si>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</si>
  <si>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</si>
  <si>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</si>
  <si>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</si>
  <si>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</si>
  <si>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</si>
  <si>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</si>
  <si>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</si>
  <si>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</si>
  <si>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</si>
  <si>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</si>
  <si>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</si>
  <si>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</si>
  <si>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</si>
  <si>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</si>
  <si>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</si>
  <si>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</si>
  <si>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</si>
  <si>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</si>
  <si>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</si>
  <si>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</si>
  <si>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</si>
  <si>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</si>
  <si>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</si>
  <si>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</si>
  <si>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</si>
  <si>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</si>
  <si>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</si>
  <si>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</si>
  <si>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</si>
  <si>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</si>
  <si>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</si>
  <si>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</si>
  <si>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</si>
  <si>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</si>
  <si>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</si>
  <si>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</si>
  <si>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</si>
  <si>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</si>
  <si>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</si>
  <si>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</si>
  <si>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</si>
  <si>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</si>
  <si>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</si>
  <si>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</si>
  <si>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</si>
  <si>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</si>
  <si>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</si>
  <si>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</si>
  <si>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</si>
  <si>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</si>
  <si>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</si>
  <si>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</si>
  <si>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</si>
  <si>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</si>
  <si>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</si>
  <si>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</si>
  <si>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</si>
  <si>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</si>
  <si>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</si>
  <si>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</si>
  <si>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</si>
  <si>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</si>
  <si>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</si>
  <si>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</si>
  <si>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</si>
  <si>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</si>
  <si>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</si>
  <si>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</si>
  <si>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</si>
  <si>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</si>
  <si>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</si>
  <si>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</si>
  <si>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</si>
  <si>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</si>
  <si>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</si>
  <si>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</si>
  <si>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</si>
  <si>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</si>
  <si>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</si>
  <si>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</si>
  <si>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</si>
  <si>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</si>
  <si>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</si>
  <si>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</si>
  <si>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</si>
  <si>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</si>
  <si>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</si>
  <si>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</si>
  <si>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</si>
  <si>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</si>
  <si>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</si>
  <si>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</si>
  <si>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</si>
  <si>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</si>
  <si>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</si>
  <si>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</si>
  <si>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</si>
  <si>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</si>
  <si>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</si>
  <si>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</si>
  <si>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</si>
  <si>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</si>
  <si>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</si>
  <si>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</si>
  <si>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</si>
  <si>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</si>
  <si>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</si>
  <si>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</si>
  <si>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</si>
  <si>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</si>
  <si>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</si>
  <si>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</si>
  <si>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</si>
  <si>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</si>
  <si>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</si>
  <si>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</si>
  <si>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</si>
  <si>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</si>
  <si>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</si>
  <si>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</si>
  <si>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</si>
  <si>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</si>
  <si>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</si>
  <si>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</si>
  <si>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</si>
  <si>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</si>
  <si>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</si>
  <si>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</si>
  <si>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</si>
  <si>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</si>
  <si>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</si>
  <si>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</si>
  <si>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</si>
  <si>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</si>
  <si>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</si>
  <si>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</si>
  <si>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</si>
  <si>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</si>
  <si>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</si>
  <si>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</si>
  <si>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</si>
  <si>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</si>
  <si>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</si>
  <si>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</si>
  <si>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</si>
  <si>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</si>
  <si>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</si>
  <si>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</si>
  <si>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</si>
  <si>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</si>
  <si>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</si>
  <si>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</si>
  <si>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</si>
  <si>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</si>
  <si>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</si>
  <si>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</si>
  <si>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</si>
  <si>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</si>
  <si>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</si>
  <si>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</si>
  <si>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</si>
  <si>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</si>
  <si>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</si>
  <si>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</si>
  <si>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</si>
  <si>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</si>
  <si>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</si>
  <si>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</si>
  <si>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</si>
  <si>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</si>
  <si>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</si>
  <si>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</si>
  <si>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</si>
  <si>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</si>
  <si>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</si>
  <si>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</si>
  <si>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</si>
  <si>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</si>
  <si>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</si>
  <si>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</si>
  <si>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</si>
  <si>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</si>
  <si>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</si>
  <si>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</si>
  <si>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</si>
  <si>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</si>
  <si>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</si>
  <si>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</si>
  <si>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</si>
  <si>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</si>
  <si>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</si>
  <si>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</si>
  <si>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</si>
  <si>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</si>
  <si>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</si>
  <si>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</si>
  <si>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</si>
  <si>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</si>
  <si>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</si>
  <si>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</si>
  <si>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</si>
  <si>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</si>
  <si>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</si>
  <si>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</si>
  <si>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</si>
  <si>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</si>
  <si>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</si>
  <si>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</si>
  <si>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</si>
  <si>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</si>
  <si>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</si>
  <si>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</si>
  <si>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</si>
  <si>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</si>
  <si>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</si>
  <si>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</si>
  <si>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</si>
  <si>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</si>
  <si>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</si>
  <si>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</si>
  <si>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</si>
  <si>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</si>
  <si>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</si>
  <si>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</si>
  <si>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</si>
  <si>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</si>
  <si>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</si>
  <si>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</si>
  <si>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</si>
  <si>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</si>
  <si>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</si>
  <si>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</si>
  <si>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</si>
  <si>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</si>
  <si>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</si>
  <si>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</si>
  <si>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</si>
  <si>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</si>
  <si>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</si>
  <si>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</si>
  <si>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</si>
  <si>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</si>
  <si>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</si>
  <si>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</si>
  <si>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</si>
  <si>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</si>
  <si>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</si>
  <si>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</si>
  <si>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</si>
  <si>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</si>
  <si>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</si>
  <si>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</si>
  <si>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</si>
  <si>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</si>
  <si>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</si>
  <si>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</si>
  <si>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</si>
  <si>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</si>
  <si>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</si>
  <si>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</si>
  <si>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</si>
  <si>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</si>
  <si>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</si>
  <si>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</si>
  <si>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</si>
  <si>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</si>
  <si>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</si>
  <si>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</si>
  <si>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</si>
  <si>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</si>
  <si>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</si>
  <si>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</si>
  <si>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</si>
  <si>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</si>
  <si>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</si>
  <si>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</si>
  <si>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</si>
  <si>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</si>
  <si>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</si>
  <si>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</si>
  <si>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</si>
  <si>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</si>
  <si>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</si>
  <si>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</si>
  <si>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</si>
  <si>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</si>
  <si>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</si>
  <si>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</si>
  <si>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</si>
  <si>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</si>
  <si>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</si>
  <si>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</si>
  <si>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</si>
  <si>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</si>
  <si>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</si>
  <si>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</si>
  <si>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</si>
  <si>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</si>
  <si>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</si>
  <si>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</si>
  <si>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</si>
  <si>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</si>
  <si>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</si>
  <si>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</si>
  <si>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</si>
  <si>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</si>
  <si>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</si>
  <si>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</si>
  <si>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</si>
  <si>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</si>
  <si>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</si>
  <si>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</si>
  <si>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</si>
  <si>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</si>
  <si>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</si>
  <si>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</si>
  <si>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</si>
  <si>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</si>
  <si>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</si>
  <si>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</si>
  <si>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</si>
  <si>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</si>
  <si>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</si>
  <si>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</si>
  <si>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</si>
  <si>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</si>
  <si>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Feb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</si>
</sst>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Fill="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22" fillId="4" borderId="2" xfId="0" applyFont="1" applyFill="1" applyBorder="1" applyAlignment="1" applyProtection="1">
      <alignment horizontal="center" vertical="center"/>
      <protection locked="0"/>
    </xf>
    <xf numFmtId="0" fontId="0" fillId="5" borderId="29" xfId="0" applyFill="1" applyBorder="1" applyAlignment="1" applyProtection="1">
      <alignment horizontal="center"/>
      <protection locked="0"/>
    </xf>
    <xf numFmtId="0" fontId="0" fillId="5" borderId="30" xfId="0" applyFill="1" applyBorder="1" applyAlignment="1" applyProtection="1">
      <alignment horizontal="center"/>
      <protection locked="0"/>
    </xf>
    <xf numFmtId="0" fontId="24" fillId="5" borderId="29" xfId="2" applyNumberFormat="1" applyFont="1" applyFill="1" applyBorder="1" applyAlignment="1" applyProtection="1">
      <alignment horizontal="center"/>
      <protection locked="0"/>
    </xf>
    <xf numFmtId="0" fontId="0" fillId="5" borderId="31" xfId="0" applyFill="1" applyBorder="1" applyAlignment="1" applyProtection="1">
      <alignment horizontal="center"/>
      <protection locked="0"/>
    </xf>
    <xf numFmtId="0" fontId="0" fillId="5" borderId="32" xfId="0" applyFill="1" applyBorder="1" applyAlignment="1" applyProtection="1">
      <alignment horizontal="center"/>
      <protection locked="0"/>
    </xf>
    <xf numFmtId="0" fontId="24" fillId="5" borderId="31" xfId="2" applyNumberFormat="1" applyFont="1" applyFill="1" applyBorder="1" applyAlignment="1" applyProtection="1">
      <alignment horizontal="center"/>
      <protection locked="0"/>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38" sqref="E3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4" t="s">
        <v>3</v>
      </c>
      <c r="B1" s="164" t="s">
        <v>4</v>
      </c>
      <c r="C1" s="165" t="s">
        <v>5</v>
      </c>
      <c r="D1" s="164" t="s">
        <v>64</v>
      </c>
      <c r="E1" s="166" t="s">
        <v>394</v>
      </c>
      <c r="F1" s="167" t="s">
        <v>395</v>
      </c>
      <c r="G1" s="166" t="s">
        <v>401</v>
      </c>
      <c r="H1" s="167" t="s">
        <v>396</v>
      </c>
      <c r="I1" s="166" t="s">
        <v>397</v>
      </c>
      <c r="J1" s="168" t="s">
        <v>398</v>
      </c>
      <c r="K1" s="166" t="s">
        <v>399</v>
      </c>
      <c r="L1" s="166" t="s">
        <v>63</v>
      </c>
    </row>
    <row r="2" spans="1:12">
      <c r="A2" s="169" t="s">
        <v>400</v>
      </c>
      <c r="B2" s="170">
        <v>1</v>
      </c>
      <c r="C2" s="171">
        <v>2</v>
      </c>
      <c r="D2" s="170">
        <v>2023</v>
      </c>
      <c r="E2" s="114">
        <f>Combine!G3</f>
        <v>64760</v>
      </c>
      <c r="F2" s="172">
        <v>1.8924351574814853</v>
      </c>
      <c r="G2" s="114">
        <f>Combine!M3</f>
        <v>7567.9129759129746</v>
      </c>
      <c r="H2" s="173">
        <v>9.4525541387733796</v>
      </c>
      <c r="I2" s="114">
        <f>Combine!J3</f>
        <v>803.36599999999999</v>
      </c>
      <c r="J2" s="172">
        <v>8.3787077622729171</v>
      </c>
      <c r="K2" s="114">
        <f>Combine!N3</f>
        <v>588</v>
      </c>
      <c r="L2" s="114">
        <f>Combine!O3</f>
        <v>1155</v>
      </c>
    </row>
    <row r="3" spans="1:12">
      <c r="A3" s="169" t="s">
        <v>400</v>
      </c>
      <c r="B3" s="170">
        <v>2</v>
      </c>
      <c r="C3" s="171">
        <v>2</v>
      </c>
      <c r="D3" s="170">
        <v>2023</v>
      </c>
      <c r="E3" s="114">
        <f>Combine!G4</f>
        <v>70400</v>
      </c>
      <c r="F3" s="172">
        <v>1.8924351574814853</v>
      </c>
      <c r="G3" s="114">
        <f>Combine!M4</f>
        <v>6774.6772338772353</v>
      </c>
      <c r="H3" s="173">
        <v>9.4525541387733796</v>
      </c>
      <c r="I3" s="114">
        <f>Combine!J4</f>
        <v>814.58259999999996</v>
      </c>
      <c r="J3" s="172">
        <v>8.3787077622729171</v>
      </c>
      <c r="K3" s="114">
        <f>Combine!N4</f>
        <v>600</v>
      </c>
      <c r="L3" s="114">
        <f>Combine!O4</f>
        <v>1179</v>
      </c>
    </row>
    <row r="4" spans="1:12">
      <c r="A4" s="169" t="s">
        <v>400</v>
      </c>
      <c r="B4" s="170">
        <v>3</v>
      </c>
      <c r="C4" s="171">
        <v>2</v>
      </c>
      <c r="D4" s="170">
        <v>2023</v>
      </c>
      <c r="E4" s="114">
        <f>Combine!G5</f>
        <v>65750</v>
      </c>
      <c r="F4" s="172">
        <v>1.8924351574814853</v>
      </c>
      <c r="G4" s="114">
        <f>Combine!M5</f>
        <v>6444.6358974358955</v>
      </c>
      <c r="H4" s="173">
        <v>9.4525541387733796</v>
      </c>
      <c r="I4" s="114">
        <f>Combine!J5</f>
        <v>736.19740000000002</v>
      </c>
      <c r="J4" s="172">
        <v>8.3787077622729171</v>
      </c>
      <c r="K4" s="114">
        <f>Combine!N5</f>
        <v>577</v>
      </c>
      <c r="L4" s="114">
        <f>Combine!O5</f>
        <v>1155</v>
      </c>
    </row>
    <row r="5" spans="1:12">
      <c r="A5" s="169" t="s">
        <v>400</v>
      </c>
      <c r="B5" s="170">
        <v>4</v>
      </c>
      <c r="C5" s="171">
        <v>2</v>
      </c>
      <c r="D5" s="170">
        <v>2023</v>
      </c>
      <c r="E5" s="114">
        <f>Combine!G6</f>
        <v>63670</v>
      </c>
      <c r="F5" s="172">
        <v>1.8924351574814853</v>
      </c>
      <c r="G5" s="114">
        <f>Combine!M6</f>
        <v>6755.7010101010101</v>
      </c>
      <c r="H5" s="173">
        <v>9.4525541387733796</v>
      </c>
      <c r="I5" s="114">
        <f>Combine!J6</f>
        <v>808.22</v>
      </c>
      <c r="J5" s="172">
        <v>8.3787077622729171</v>
      </c>
      <c r="K5" s="114">
        <f>Combine!N6</f>
        <v>570</v>
      </c>
      <c r="L5" s="114">
        <f>Combine!O6</f>
        <v>1153</v>
      </c>
    </row>
    <row r="6" spans="1:12">
      <c r="A6" s="169" t="s">
        <v>400</v>
      </c>
      <c r="B6" s="170">
        <v>5</v>
      </c>
      <c r="C6" s="171">
        <v>2</v>
      </c>
      <c r="D6" s="170">
        <v>2023</v>
      </c>
      <c r="E6" s="114">
        <f>Combine!G7</f>
        <v>61550</v>
      </c>
      <c r="F6" s="172">
        <v>1.8924351574814853</v>
      </c>
      <c r="G6" s="114">
        <f>Combine!M7</f>
        <v>7181.7982905982908</v>
      </c>
      <c r="H6" s="173">
        <v>9.4525541387733796</v>
      </c>
      <c r="I6" s="114">
        <f>Combine!J7</f>
        <v>816</v>
      </c>
      <c r="J6" s="172">
        <v>8.3787077622729171</v>
      </c>
      <c r="K6" s="114">
        <f>Combine!N7</f>
        <v>599</v>
      </c>
      <c r="L6" s="114">
        <f>Combine!O7</f>
        <v>1170</v>
      </c>
    </row>
    <row r="7" spans="1:12">
      <c r="A7" s="169" t="s">
        <v>400</v>
      </c>
      <c r="B7" s="170">
        <v>6</v>
      </c>
      <c r="C7" s="171">
        <v>2</v>
      </c>
      <c r="D7" s="170">
        <v>2023</v>
      </c>
      <c r="E7" s="114">
        <f>Combine!G8</f>
        <v>59370</v>
      </c>
      <c r="F7" s="172">
        <v>1.8924351574814853</v>
      </c>
      <c r="G7" s="114">
        <f>Combine!M8</f>
        <v>7450.1109557109567</v>
      </c>
      <c r="H7" s="173">
        <v>9.4525541387733796</v>
      </c>
      <c r="I7" s="114">
        <f>Combine!J8</f>
        <v>752</v>
      </c>
      <c r="J7" s="172">
        <v>8.3787077622729171</v>
      </c>
      <c r="K7" s="114">
        <f>Combine!N8</f>
        <v>626</v>
      </c>
      <c r="L7" s="114">
        <f>Combine!O8</f>
        <v>1184</v>
      </c>
    </row>
    <row r="8" spans="1:12">
      <c r="A8" s="169" t="s">
        <v>400</v>
      </c>
      <c r="B8" s="170">
        <v>7</v>
      </c>
      <c r="C8" s="171">
        <v>2</v>
      </c>
      <c r="D8" s="170">
        <v>2023</v>
      </c>
      <c r="E8" s="114">
        <f>Combine!G9</f>
        <v>66610</v>
      </c>
      <c r="F8" s="172">
        <v>1.8924351574814853</v>
      </c>
      <c r="G8" s="114">
        <f>Combine!M9</f>
        <v>6549.276146076144</v>
      </c>
      <c r="H8" s="173">
        <v>9.4525541387733796</v>
      </c>
      <c r="I8" s="114">
        <f>Combine!J9</f>
        <v>758</v>
      </c>
      <c r="J8" s="172">
        <v>8.3787077622729171</v>
      </c>
      <c r="K8" s="114">
        <f>Combine!N9</f>
        <v>655</v>
      </c>
      <c r="L8" s="114">
        <f>Combine!O9</f>
        <v>1224</v>
      </c>
    </row>
    <row r="9" spans="1:12">
      <c r="A9" s="169" t="s">
        <v>400</v>
      </c>
      <c r="B9" s="170">
        <v>8</v>
      </c>
      <c r="C9" s="171">
        <v>2</v>
      </c>
      <c r="D9" s="170">
        <v>2023</v>
      </c>
      <c r="E9" s="114">
        <f>Combine!G10</f>
        <v>61100</v>
      </c>
      <c r="F9" s="172">
        <v>1.8924351574814853</v>
      </c>
      <c r="G9" s="114">
        <f>Combine!M10</f>
        <v>6611.3019425019429</v>
      </c>
      <c r="H9" s="173">
        <v>9.4525541387733796</v>
      </c>
      <c r="I9" s="114">
        <f>Combine!J10</f>
        <v>795</v>
      </c>
      <c r="J9" s="172">
        <v>8.3787077622729171</v>
      </c>
      <c r="K9" s="114">
        <f>Combine!N10</f>
        <v>670</v>
      </c>
      <c r="L9" s="114">
        <f>Combine!O10</f>
        <v>1256</v>
      </c>
    </row>
    <row r="10" spans="1:12">
      <c r="A10" s="169" t="s">
        <v>400</v>
      </c>
      <c r="B10" s="170">
        <v>9</v>
      </c>
      <c r="C10" s="171">
        <v>2</v>
      </c>
      <c r="D10" s="170">
        <v>2023</v>
      </c>
      <c r="E10" s="114">
        <f>Combine!G11</f>
        <v>63820</v>
      </c>
      <c r="F10" s="172">
        <v>1.8924351574814853</v>
      </c>
      <c r="G10" s="114">
        <f>Combine!M11</f>
        <v>6433.8312354312357</v>
      </c>
      <c r="H10" s="173">
        <v>9.4525541387733796</v>
      </c>
      <c r="I10" s="114">
        <f>Combine!J11</f>
        <v>784</v>
      </c>
      <c r="J10" s="172">
        <v>8.3787077622729171</v>
      </c>
      <c r="K10" s="114">
        <f>Combine!N11</f>
        <v>651</v>
      </c>
      <c r="L10" s="114">
        <f>Combine!O11</f>
        <v>1244</v>
      </c>
    </row>
    <row r="11" spans="1:12">
      <c r="A11" s="169" t="s">
        <v>400</v>
      </c>
      <c r="B11" s="170">
        <v>10</v>
      </c>
      <c r="C11" s="171">
        <v>2</v>
      </c>
      <c r="D11" s="170">
        <v>2023</v>
      </c>
      <c r="E11" s="114">
        <f>Combine!G12</f>
        <v>65250</v>
      </c>
      <c r="F11" s="172">
        <v>1.8924351574814853</v>
      </c>
      <c r="G11" s="114">
        <f>Combine!M12</f>
        <v>5559.5337995338004</v>
      </c>
      <c r="H11" s="173">
        <v>9.4525541387733796</v>
      </c>
      <c r="I11" s="114">
        <f>Combine!J12</f>
        <v>770</v>
      </c>
      <c r="J11" s="172">
        <v>8.3787077622729171</v>
      </c>
      <c r="K11" s="114">
        <f>Combine!N12</f>
        <v>629</v>
      </c>
      <c r="L11" s="114">
        <f>Combine!O12</f>
        <v>1247</v>
      </c>
    </row>
    <row r="12" spans="1:12">
      <c r="A12" s="169" t="s">
        <v>400</v>
      </c>
      <c r="B12" s="170">
        <v>11</v>
      </c>
      <c r="C12" s="171">
        <v>2</v>
      </c>
      <c r="D12" s="170">
        <v>2023</v>
      </c>
      <c r="E12" s="114">
        <f>Combine!G13</f>
        <v>65110</v>
      </c>
      <c r="F12" s="172">
        <v>1.8924351574814853</v>
      </c>
      <c r="G12" s="114">
        <f>Combine!M13</f>
        <v>6261.859207459207</v>
      </c>
      <c r="H12" s="173">
        <v>9.4525541387733796</v>
      </c>
      <c r="I12" s="114">
        <f>Combine!J13</f>
        <v>919</v>
      </c>
      <c r="J12" s="172">
        <v>8.3787077622729171</v>
      </c>
      <c r="K12" s="114">
        <f>Combine!N13</f>
        <v>613</v>
      </c>
      <c r="L12" s="114">
        <f>Combine!O13</f>
        <v>1221</v>
      </c>
    </row>
    <row r="13" spans="1:12">
      <c r="A13" s="169" t="s">
        <v>400</v>
      </c>
      <c r="B13" s="170">
        <v>12</v>
      </c>
      <c r="C13" s="171">
        <v>2</v>
      </c>
      <c r="D13" s="170">
        <v>2023</v>
      </c>
      <c r="E13" s="114">
        <f>Combine!G14</f>
        <v>64510</v>
      </c>
      <c r="F13" s="172">
        <v>1.8924351574814853</v>
      </c>
      <c r="G13" s="114">
        <f>Combine!M14</f>
        <v>6598.9121989121986</v>
      </c>
      <c r="H13" s="173">
        <v>9.4525541387733796</v>
      </c>
      <c r="I13" s="114">
        <f>Combine!J14</f>
        <v>890</v>
      </c>
      <c r="J13" s="172">
        <v>8.3787077622729171</v>
      </c>
      <c r="K13" s="114">
        <f>Combine!N14</f>
        <v>611</v>
      </c>
      <c r="L13" s="114">
        <f>Combine!O14</f>
        <v>1183</v>
      </c>
    </row>
    <row r="14" spans="1:12">
      <c r="A14" s="169" t="s">
        <v>400</v>
      </c>
      <c r="B14" s="170">
        <v>13</v>
      </c>
      <c r="C14" s="171">
        <v>2</v>
      </c>
      <c r="D14" s="170">
        <v>2023</v>
      </c>
      <c r="E14" s="114">
        <f>Combine!G15</f>
        <v>70450</v>
      </c>
      <c r="F14" s="172">
        <v>1.8924351574814853</v>
      </c>
      <c r="G14" s="114">
        <f>Combine!M15</f>
        <v>6020.8236208236212</v>
      </c>
      <c r="H14" s="173">
        <v>9.4525541387733796</v>
      </c>
      <c r="I14" s="114">
        <f>Combine!J15</f>
        <v>761</v>
      </c>
      <c r="J14" s="172">
        <v>8.3787077622729171</v>
      </c>
      <c r="K14" s="114">
        <f>Combine!N15</f>
        <v>647</v>
      </c>
      <c r="L14" s="114">
        <f>Combine!O15</f>
        <v>1236</v>
      </c>
    </row>
    <row r="15" spans="1:12">
      <c r="A15" s="169" t="s">
        <v>400</v>
      </c>
      <c r="B15" s="170">
        <v>14</v>
      </c>
      <c r="C15" s="171">
        <v>2</v>
      </c>
      <c r="D15" s="170">
        <v>2023</v>
      </c>
      <c r="E15" s="114">
        <f>Combine!G16</f>
        <v>60200</v>
      </c>
      <c r="F15" s="172">
        <v>1.8924351574814853</v>
      </c>
      <c r="G15" s="114">
        <f>Combine!M16</f>
        <v>6074.2812742812748</v>
      </c>
      <c r="H15" s="173">
        <v>9.4525541387733796</v>
      </c>
      <c r="I15" s="114">
        <f>Combine!J16</f>
        <v>733</v>
      </c>
      <c r="J15" s="172">
        <v>8.3787077622729171</v>
      </c>
      <c r="K15" s="114">
        <f>Combine!N16</f>
        <v>662</v>
      </c>
      <c r="L15" s="114">
        <f>Combine!O16</f>
        <v>1244</v>
      </c>
    </row>
    <row r="16" spans="1:12">
      <c r="A16" s="169" t="s">
        <v>400</v>
      </c>
      <c r="B16" s="170">
        <v>15</v>
      </c>
      <c r="C16" s="171">
        <v>2</v>
      </c>
      <c r="D16" s="170">
        <v>2023</v>
      </c>
      <c r="E16" s="114">
        <f>Combine!G17</f>
        <v>61110</v>
      </c>
      <c r="F16" s="172">
        <v>1.8924351574814853</v>
      </c>
      <c r="G16" s="114">
        <f>Combine!M17</f>
        <v>6932.0901320901321</v>
      </c>
      <c r="H16" s="173">
        <v>9.4525541387733796</v>
      </c>
      <c r="I16" s="114">
        <f>Combine!J17</f>
        <v>753</v>
      </c>
      <c r="J16" s="172">
        <v>8.3787077622729171</v>
      </c>
      <c r="K16" s="114">
        <f>Combine!N17</f>
        <v>662</v>
      </c>
      <c r="L16" s="114">
        <f>Combine!O17</f>
        <v>1240</v>
      </c>
    </row>
    <row r="17" spans="1:12">
      <c r="A17" s="169" t="s">
        <v>400</v>
      </c>
      <c r="B17" s="170">
        <v>16</v>
      </c>
      <c r="C17" s="171">
        <v>2</v>
      </c>
      <c r="D17" s="170">
        <v>2023</v>
      </c>
      <c r="E17" s="114">
        <f>Combine!G18</f>
        <v>62130</v>
      </c>
      <c r="F17" s="172">
        <v>1.8924351574814853</v>
      </c>
      <c r="G17" s="114">
        <f>Combine!M18</f>
        <v>7306.2937062937062</v>
      </c>
      <c r="H17" s="173">
        <v>9.4525541387733796</v>
      </c>
      <c r="I17" s="114">
        <f>Combine!J18</f>
        <v>755</v>
      </c>
      <c r="J17" s="172">
        <v>8.3787077622729171</v>
      </c>
      <c r="K17" s="114">
        <f>Combine!N18</f>
        <v>680</v>
      </c>
      <c r="L17" s="114">
        <f>Combine!O18</f>
        <v>1252</v>
      </c>
    </row>
    <row r="18" spans="1:12">
      <c r="A18" s="169" t="s">
        <v>400</v>
      </c>
      <c r="B18" s="170">
        <v>17</v>
      </c>
      <c r="C18" s="171">
        <v>2</v>
      </c>
      <c r="D18" s="170">
        <v>2023</v>
      </c>
      <c r="E18" s="114">
        <f>Combine!G19</f>
        <v>65550</v>
      </c>
      <c r="F18" s="172">
        <v>1.8924351574814853</v>
      </c>
      <c r="G18" s="114">
        <f>Combine!M19</f>
        <v>7295.1048951048951</v>
      </c>
      <c r="H18" s="173">
        <v>9.4525541387733796</v>
      </c>
      <c r="I18" s="114">
        <f>Combine!J19</f>
        <v>841</v>
      </c>
      <c r="J18" s="172">
        <v>8.3787077622729171</v>
      </c>
      <c r="K18" s="114">
        <f>Combine!N19</f>
        <v>660</v>
      </c>
      <c r="L18" s="114">
        <f>Combine!O19</f>
        <v>1277</v>
      </c>
    </row>
    <row r="19" spans="1:12">
      <c r="A19" s="169" t="s">
        <v>400</v>
      </c>
      <c r="B19" s="170">
        <v>18</v>
      </c>
      <c r="C19" s="171">
        <v>2</v>
      </c>
      <c r="D19" s="170">
        <v>2023</v>
      </c>
      <c r="E19" s="114">
        <f>Combine!G20</f>
        <v>63710</v>
      </c>
      <c r="F19" s="172">
        <v>1.8924351574814853</v>
      </c>
      <c r="G19" s="114">
        <f>Combine!M20</f>
        <v>7000.4662004662005</v>
      </c>
      <c r="H19" s="173">
        <v>9.4525541387733796</v>
      </c>
      <c r="I19" s="114">
        <f>Combine!J20</f>
        <v>836</v>
      </c>
      <c r="J19" s="172">
        <v>8.3787077622729171</v>
      </c>
      <c r="K19" s="114">
        <f>Combine!N20</f>
        <v>658</v>
      </c>
      <c r="L19" s="114">
        <f>Combine!O20</f>
        <v>1287</v>
      </c>
    </row>
    <row r="20" spans="1:12">
      <c r="A20" s="169" t="s">
        <v>400</v>
      </c>
      <c r="B20" s="170">
        <v>19</v>
      </c>
      <c r="C20" s="171">
        <v>2</v>
      </c>
      <c r="D20" s="170">
        <v>2023</v>
      </c>
      <c r="E20" s="114">
        <f>Combine!G21</f>
        <v>67280</v>
      </c>
      <c r="F20" s="172">
        <v>1.8924351574814853</v>
      </c>
      <c r="G20" s="114">
        <f>Combine!M21</f>
        <v>6244.5998445998448</v>
      </c>
      <c r="H20" s="173">
        <v>9.4525541387733796</v>
      </c>
      <c r="I20" s="114">
        <f>Combine!J21</f>
        <v>881</v>
      </c>
      <c r="J20" s="172">
        <v>8.3787077622729171</v>
      </c>
      <c r="K20" s="114">
        <f>Combine!N21</f>
        <v>650</v>
      </c>
      <c r="L20" s="114">
        <f>Combine!O21</f>
        <v>1230</v>
      </c>
    </row>
    <row r="21" spans="1:12">
      <c r="A21" s="169" t="s">
        <v>400</v>
      </c>
      <c r="B21" s="170">
        <v>20</v>
      </c>
      <c r="C21" s="171">
        <v>2</v>
      </c>
      <c r="D21" s="170">
        <v>2023</v>
      </c>
      <c r="E21" s="114">
        <f>Combine!G22</f>
        <v>64330</v>
      </c>
      <c r="F21" s="172">
        <v>1.8924351574814853</v>
      </c>
      <c r="G21" s="114">
        <f>Combine!M22</f>
        <v>5968.6091686091677</v>
      </c>
      <c r="H21" s="173">
        <v>9.4525541387733796</v>
      </c>
      <c r="I21" s="114">
        <f>Combine!J22</f>
        <v>832</v>
      </c>
      <c r="J21" s="172">
        <v>8.3787077622729171</v>
      </c>
      <c r="K21" s="114">
        <f>Combine!N22</f>
        <v>709</v>
      </c>
      <c r="L21" s="114">
        <f>Combine!O22</f>
        <v>1280</v>
      </c>
    </row>
    <row r="22" spans="1:12">
      <c r="A22" s="169" t="s">
        <v>400</v>
      </c>
      <c r="B22" s="170">
        <v>21</v>
      </c>
      <c r="C22" s="171">
        <v>2</v>
      </c>
      <c r="D22" s="170">
        <v>2023</v>
      </c>
      <c r="E22" s="114">
        <f>Combine!G23</f>
        <v>62250</v>
      </c>
      <c r="F22" s="172">
        <v>1.8924351574814853</v>
      </c>
      <c r="G22" s="114">
        <f>Combine!M23</f>
        <v>5742.3465423465423</v>
      </c>
      <c r="H22" s="173">
        <v>9.4525541387733796</v>
      </c>
      <c r="I22" s="114">
        <f>Combine!J23</f>
        <v>753</v>
      </c>
      <c r="J22" s="172">
        <v>8.3787077622729171</v>
      </c>
      <c r="K22" s="114">
        <f>Combine!N23</f>
        <v>719</v>
      </c>
      <c r="L22" s="114">
        <f>Combine!O23</f>
        <v>1284</v>
      </c>
    </row>
    <row r="23" spans="1:12">
      <c r="A23" s="169" t="s">
        <v>400</v>
      </c>
      <c r="B23" s="170">
        <v>22</v>
      </c>
      <c r="C23" s="171">
        <v>2</v>
      </c>
      <c r="D23" s="170">
        <v>2023</v>
      </c>
      <c r="E23" s="114">
        <f>Combine!G24</f>
        <v>63550</v>
      </c>
      <c r="F23" s="172">
        <v>1.8924351574814853</v>
      </c>
      <c r="G23" s="114">
        <f>Combine!M24</f>
        <v>5926.3403263403261</v>
      </c>
      <c r="H23" s="173">
        <v>9.4525541387733796</v>
      </c>
      <c r="I23" s="114">
        <f>Combine!J24</f>
        <v>822</v>
      </c>
      <c r="J23" s="172">
        <v>8.3787077622729171</v>
      </c>
      <c r="K23" s="114">
        <f>Combine!N24</f>
        <v>717</v>
      </c>
      <c r="L23" s="114">
        <f>Combine!O24</f>
        <v>1290</v>
      </c>
    </row>
    <row r="24" spans="1:12">
      <c r="A24" s="169" t="s">
        <v>400</v>
      </c>
      <c r="B24" s="170">
        <v>23</v>
      </c>
      <c r="C24" s="171">
        <v>2</v>
      </c>
      <c r="D24" s="170">
        <v>2023</v>
      </c>
      <c r="E24" s="114">
        <f>Combine!G25</f>
        <v>62810</v>
      </c>
      <c r="F24" s="172">
        <v>1.8924351574814853</v>
      </c>
      <c r="G24" s="114">
        <f>Combine!M25</f>
        <v>6702.8686868686873</v>
      </c>
      <c r="H24" s="173">
        <v>9.4525541387733796</v>
      </c>
      <c r="I24" s="114">
        <f>Combine!J25</f>
        <v>883</v>
      </c>
      <c r="J24" s="172">
        <v>8.3787077622729171</v>
      </c>
      <c r="K24" s="114">
        <f>Combine!N25</f>
        <v>688</v>
      </c>
      <c r="L24" s="114">
        <f>Combine!O25</f>
        <v>1266</v>
      </c>
    </row>
    <row r="25" spans="1:12">
      <c r="A25" s="169" t="s">
        <v>400</v>
      </c>
      <c r="B25" s="170">
        <v>24</v>
      </c>
      <c r="C25" s="171">
        <v>2</v>
      </c>
      <c r="D25" s="170">
        <v>2023</v>
      </c>
      <c r="E25" s="114">
        <f>Combine!G26</f>
        <v>63580</v>
      </c>
      <c r="F25" s="172">
        <v>1.8924351574814853</v>
      </c>
      <c r="G25" s="114">
        <f>Combine!M26</f>
        <v>6377.8573426573412</v>
      </c>
      <c r="H25" s="173">
        <v>9.4525541387733796</v>
      </c>
      <c r="I25" s="114">
        <f>Combine!J26</f>
        <v>871</v>
      </c>
      <c r="J25" s="172">
        <v>8.3787077622729171</v>
      </c>
      <c r="K25" s="114">
        <f>Combine!N26</f>
        <v>636</v>
      </c>
      <c r="L25" s="114">
        <f>Combine!O26</f>
        <v>1222</v>
      </c>
    </row>
    <row r="26" spans="1:12">
      <c r="A26" s="169" t="s">
        <v>400</v>
      </c>
      <c r="B26" s="170">
        <v>25</v>
      </c>
      <c r="C26" s="171">
        <v>2</v>
      </c>
      <c r="D26" s="170">
        <v>2023</v>
      </c>
      <c r="E26" s="114">
        <f>Combine!G27</f>
        <v>61100</v>
      </c>
      <c r="F26" s="172">
        <v>1.8924351574814853</v>
      </c>
      <c r="G26" s="114">
        <f>Combine!M27</f>
        <v>6058.4714840714851</v>
      </c>
      <c r="H26" s="173">
        <v>9.4525541387733796</v>
      </c>
      <c r="I26" s="114">
        <f>Combine!J27</f>
        <v>794</v>
      </c>
      <c r="J26" s="172">
        <v>8.3787077622729171</v>
      </c>
      <c r="K26" s="114">
        <f>Combine!N27</f>
        <v>613</v>
      </c>
      <c r="L26" s="114">
        <f>Combine!O27</f>
        <v>1201</v>
      </c>
    </row>
    <row r="27" spans="1:12">
      <c r="A27" s="169" t="s">
        <v>400</v>
      </c>
      <c r="B27" s="170">
        <v>26</v>
      </c>
      <c r="C27" s="171">
        <v>2</v>
      </c>
      <c r="D27" s="170">
        <v>2023</v>
      </c>
      <c r="E27" s="114">
        <f>Combine!G28</f>
        <v>59300</v>
      </c>
      <c r="F27" s="172">
        <v>1.8924351574814853</v>
      </c>
      <c r="G27" s="114">
        <f>Combine!M28</f>
        <v>6052.4867132867121</v>
      </c>
      <c r="H27" s="173">
        <v>9.4525541387733796</v>
      </c>
      <c r="I27" s="114">
        <f>Combine!J28</f>
        <v>860</v>
      </c>
      <c r="J27" s="172">
        <v>8.3787077622729171</v>
      </c>
      <c r="K27" s="114">
        <f>Combine!N28</f>
        <v>633</v>
      </c>
      <c r="L27" s="114">
        <f>Combine!O28</f>
        <v>1217</v>
      </c>
    </row>
    <row r="28" spans="1:12">
      <c r="A28" s="169" t="s">
        <v>400</v>
      </c>
      <c r="B28" s="170">
        <v>27</v>
      </c>
      <c r="C28" s="171">
        <v>2</v>
      </c>
      <c r="D28" s="170">
        <v>2023</v>
      </c>
      <c r="E28" s="114">
        <f>Combine!G29</f>
        <v>59870</v>
      </c>
      <c r="F28" s="172">
        <v>1.8924351574814853</v>
      </c>
      <c r="G28" s="114">
        <f>Combine!M29</f>
        <v>7156.8484848484859</v>
      </c>
      <c r="H28" s="173">
        <v>9.4525541387733796</v>
      </c>
      <c r="I28" s="114">
        <f>Combine!J29</f>
        <v>797.92799999999988</v>
      </c>
      <c r="J28" s="172">
        <v>8.3787077622729171</v>
      </c>
      <c r="K28" s="114">
        <f>Combine!N29</f>
        <v>699</v>
      </c>
      <c r="L28" s="114">
        <f>Combine!O29</f>
        <v>1304</v>
      </c>
    </row>
    <row r="29" spans="1:12">
      <c r="A29" s="169" t="s">
        <v>400</v>
      </c>
      <c r="B29" s="170">
        <v>28</v>
      </c>
      <c r="C29" s="171">
        <v>2</v>
      </c>
      <c r="D29" s="170">
        <v>2023</v>
      </c>
      <c r="E29" s="114">
        <f>Combine!G30</f>
        <v>64250</v>
      </c>
      <c r="F29" s="172">
        <v>1.8924351574814853</v>
      </c>
      <c r="G29" s="114">
        <f>Combine!M30</f>
        <v>7589.3619269619267</v>
      </c>
      <c r="H29" s="173">
        <v>9.4525541387733796</v>
      </c>
      <c r="I29" s="114">
        <f>Combine!J30</f>
        <v>787.07199999999989</v>
      </c>
      <c r="J29" s="172">
        <v>8.3787077622729171</v>
      </c>
      <c r="K29" s="114">
        <f>Combine!N30</f>
        <v>691</v>
      </c>
      <c r="L29" s="114">
        <f>Combine!O30</f>
        <v>1277</v>
      </c>
    </row>
    <row r="30" spans="1:12">
      <c r="A30" s="169" t="s">
        <v>400</v>
      </c>
      <c r="B30" s="170">
        <v>29</v>
      </c>
      <c r="C30" s="171">
        <v>2</v>
      </c>
      <c r="D30" s="170">
        <v>2023</v>
      </c>
      <c r="E30" s="114" t="e">
        <f>Combine!G31</f>
        <v>#REF!</v>
      </c>
      <c r="F30" s="172">
        <v>1.8924351574814853</v>
      </c>
      <c r="G30" s="114" t="e">
        <f>Combine!M31</f>
        <v>#REF!</v>
      </c>
      <c r="H30" s="173">
        <v>9.4525541387733796</v>
      </c>
      <c r="I30" s="114" t="e">
        <f>Combine!J31</f>
        <v>#REF!</v>
      </c>
      <c r="J30" s="172">
        <v>8.3787077622729171</v>
      </c>
      <c r="K30" s="114">
        <f>Combine!N31</f>
        <v>0</v>
      </c>
      <c r="L30" s="114">
        <f>Combine!O31</f>
        <v>0</v>
      </c>
    </row>
    <row r="31" spans="1:12">
      <c r="A31" s="169" t="s">
        <v>400</v>
      </c>
      <c r="B31" s="170">
        <v>30</v>
      </c>
      <c r="C31" s="171">
        <v>2</v>
      </c>
      <c r="D31" s="170">
        <v>2023</v>
      </c>
      <c r="E31" s="114" t="e">
        <f>Combine!G32</f>
        <v>#REF!</v>
      </c>
      <c r="F31" s="172">
        <v>1.8924351574814853</v>
      </c>
      <c r="G31" s="114" t="e">
        <f>Combine!M32</f>
        <v>#REF!</v>
      </c>
      <c r="H31" s="173">
        <v>9.4525541387733796</v>
      </c>
      <c r="I31" s="114" t="e">
        <f>Combine!J32</f>
        <v>#REF!</v>
      </c>
      <c r="J31" s="172">
        <v>8.3787077622729171</v>
      </c>
      <c r="K31" s="114">
        <f>Combine!N32</f>
        <v>0</v>
      </c>
      <c r="L31" s="114">
        <f>Combine!O32</f>
        <v>0</v>
      </c>
    </row>
    <row r="32" spans="1:12">
      <c r="A32" s="169" t="s">
        <v>400</v>
      </c>
      <c r="B32" s="170">
        <v>31</v>
      </c>
      <c r="C32" s="171">
        <v>2</v>
      </c>
      <c r="D32" s="170">
        <v>2023</v>
      </c>
      <c r="E32" s="114" t="e">
        <f>Combine!G33</f>
        <v>#REF!</v>
      </c>
      <c r="F32" s="172">
        <v>1.8924351574814853</v>
      </c>
      <c r="G32" s="114" t="e">
        <f>Combine!M33</f>
        <v>#REF!</v>
      </c>
      <c r="H32" s="173">
        <v>9.4525541387733796</v>
      </c>
      <c r="I32" s="114" t="e">
        <f>Combine!J33</f>
        <v>#REF!</v>
      </c>
      <c r="J32" s="172">
        <v>8.3787077622729171</v>
      </c>
      <c r="K32" s="114">
        <f>Combine!N33</f>
        <v>0</v>
      </c>
      <c r="L32" s="11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D36" sqref="D3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202" t="s">
        <v>66</v>
      </c>
      <c r="O1" s="203"/>
      <c r="P1" s="204"/>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393</v>
      </c>
    </row>
    <row r="3" spans="1:17" ht="15.75">
      <c r="A3" s="7" t="s">
        <v>14</v>
      </c>
      <c r="B3" s="7">
        <v>1</v>
      </c>
      <c r="C3" s="7">
        <v>2</v>
      </c>
      <c r="D3" s="113">
        <v>2023</v>
      </c>
      <c r="E3" s="140">
        <f>'Athens Daily - EL'!AP8</f>
        <v>37575</v>
      </c>
      <c r="F3" s="140">
        <f>'Athens Daily - EL'!AQ8</f>
        <v>27185</v>
      </c>
      <c r="G3" s="123">
        <f>SUM(E3,F3)</f>
        <v>64760</v>
      </c>
      <c r="H3" s="140">
        <f>'Athens Daily - Water'!R7</f>
        <v>616.81600000000003</v>
      </c>
      <c r="I3" s="140">
        <f>'Athens Daily - Water'!S7</f>
        <v>186.55</v>
      </c>
      <c r="J3" s="119">
        <f t="shared" ref="J3:J33" si="0">SUM(H3,I3)</f>
        <v>803.36599999999999</v>
      </c>
      <c r="K3" s="140">
        <f>'Athens Daily - Gas'!BH9</f>
        <v>183150.71999999991</v>
      </c>
      <c r="L3" s="140">
        <f>'Athens Daily - Gas'!BI9</f>
        <v>109046.40000000001</v>
      </c>
      <c r="M3" s="123">
        <f>SUM(K3,L3)/38.61</f>
        <v>7567.9129759129746</v>
      </c>
      <c r="N3" s="146">
        <f>Occ!G10</f>
        <v>588</v>
      </c>
      <c r="O3" s="97">
        <f>Occ!H10</f>
        <v>1155</v>
      </c>
      <c r="P3" s="145">
        <v>918</v>
      </c>
      <c r="Q3" s="154"/>
    </row>
    <row r="4" spans="1:17" ht="15.75">
      <c r="A4" s="7" t="s">
        <v>14</v>
      </c>
      <c r="B4" s="7">
        <v>2</v>
      </c>
      <c r="C4" s="7">
        <v>2</v>
      </c>
      <c r="D4" s="113">
        <v>2023</v>
      </c>
      <c r="E4" s="140">
        <f>'Athens Daily - EL'!AP9</f>
        <v>40685</v>
      </c>
      <c r="F4" s="140">
        <f>'Athens Daily - EL'!AQ9</f>
        <v>29715</v>
      </c>
      <c r="G4" s="123">
        <f t="shared" ref="G4:G33" si="1">SUM(E4,F4)</f>
        <v>70400</v>
      </c>
      <c r="H4" s="140">
        <f>'Athens Daily - Water'!R8</f>
        <v>611.58259999999996</v>
      </c>
      <c r="I4" s="140">
        <f>'Athens Daily - Water'!S8</f>
        <v>203</v>
      </c>
      <c r="J4" s="119">
        <f t="shared" si="0"/>
        <v>814.58259999999996</v>
      </c>
      <c r="K4" s="140">
        <f>'Athens Daily - Gas'!BH10</f>
        <v>166175.08800000005</v>
      </c>
      <c r="L4" s="140">
        <f>'Athens Daily - Gas'!BI10</f>
        <v>95395.200000000012</v>
      </c>
      <c r="M4" s="123">
        <f t="shared" ref="M4:M33" si="2">SUM(K4,L4)/38.61</f>
        <v>6774.6772338772353</v>
      </c>
      <c r="N4" s="146">
        <f>Occ!G11</f>
        <v>600</v>
      </c>
      <c r="O4" s="97">
        <f>Occ!H11</f>
        <v>1179</v>
      </c>
      <c r="P4" s="145">
        <v>918</v>
      </c>
      <c r="Q4" s="154"/>
    </row>
    <row r="5" spans="1:17" ht="15.75">
      <c r="A5" s="7" t="s">
        <v>14</v>
      </c>
      <c r="B5" s="7">
        <v>3</v>
      </c>
      <c r="C5" s="7">
        <v>2</v>
      </c>
      <c r="D5" s="113">
        <v>2023</v>
      </c>
      <c r="E5" s="140">
        <f>'Athens Daily - EL'!AP10</f>
        <v>38340</v>
      </c>
      <c r="F5" s="140">
        <f>'Athens Daily - EL'!AQ10</f>
        <v>27410</v>
      </c>
      <c r="G5" s="123">
        <f t="shared" si="1"/>
        <v>65750</v>
      </c>
      <c r="H5" s="140">
        <f>'Athens Daily - Water'!R9</f>
        <v>555.79740000000004</v>
      </c>
      <c r="I5" s="140">
        <f>'Athens Daily - Water'!S9</f>
        <v>180.4</v>
      </c>
      <c r="J5" s="119">
        <f t="shared" si="0"/>
        <v>736.19740000000002</v>
      </c>
      <c r="K5" s="140">
        <f>'Athens Daily - Gas'!BH11</f>
        <v>155390.59199999995</v>
      </c>
      <c r="L5" s="140">
        <f>'Athens Daily - Gas'!BI11</f>
        <v>93436.800000000003</v>
      </c>
      <c r="M5" s="123">
        <f t="shared" si="2"/>
        <v>6444.6358974358955</v>
      </c>
      <c r="N5" s="146">
        <f>Occ!G12</f>
        <v>577</v>
      </c>
      <c r="O5" s="97">
        <f>Occ!H12</f>
        <v>1155</v>
      </c>
      <c r="P5" s="145">
        <v>918</v>
      </c>
      <c r="Q5" s="154"/>
    </row>
    <row r="6" spans="1:17" ht="15.75">
      <c r="A6" s="7" t="s">
        <v>14</v>
      </c>
      <c r="B6" s="7">
        <v>4</v>
      </c>
      <c r="C6" s="7">
        <v>2</v>
      </c>
      <c r="D6" s="113">
        <v>2023</v>
      </c>
      <c r="E6" s="140">
        <f>'Athens Daily - EL'!AP11</f>
        <v>36965</v>
      </c>
      <c r="F6" s="140">
        <f>'Athens Daily - EL'!AQ11</f>
        <v>26705</v>
      </c>
      <c r="G6" s="123">
        <f t="shared" si="1"/>
        <v>63670</v>
      </c>
      <c r="H6" s="140">
        <f>'Athens Daily - Water'!R10</f>
        <v>619.97</v>
      </c>
      <c r="I6" s="140">
        <f>'Athens Daily - Water'!S10</f>
        <v>188.25</v>
      </c>
      <c r="J6" s="119">
        <f t="shared" si="0"/>
        <v>808.22</v>
      </c>
      <c r="K6" s="140">
        <f>'Athens Daily - Gas'!BH12</f>
        <v>162495.21600000001</v>
      </c>
      <c r="L6" s="140">
        <f>'Athens Daily - Gas'!BI12</f>
        <v>98342.399999999994</v>
      </c>
      <c r="M6" s="123">
        <f t="shared" si="2"/>
        <v>6755.7010101010101</v>
      </c>
      <c r="N6" s="146">
        <f>Occ!G13</f>
        <v>570</v>
      </c>
      <c r="O6" s="97">
        <f>Occ!H13</f>
        <v>1153</v>
      </c>
      <c r="P6" s="145">
        <v>918</v>
      </c>
      <c r="Q6" s="154"/>
    </row>
    <row r="7" spans="1:17" ht="15.75">
      <c r="A7" s="7" t="s">
        <v>14</v>
      </c>
      <c r="B7" s="7">
        <v>5</v>
      </c>
      <c r="C7" s="7">
        <v>2</v>
      </c>
      <c r="D7" s="113">
        <v>2023</v>
      </c>
      <c r="E7" s="140">
        <f>'Athens Daily - EL'!AP12</f>
        <v>35665</v>
      </c>
      <c r="F7" s="140">
        <f>'Athens Daily - EL'!AQ12</f>
        <v>25885</v>
      </c>
      <c r="G7" s="123">
        <f t="shared" si="1"/>
        <v>61550</v>
      </c>
      <c r="H7" s="140">
        <f>'Athens Daily - Water'!R11</f>
        <v>618.85</v>
      </c>
      <c r="I7" s="140">
        <f>'Athens Daily - Water'!S11</f>
        <v>197.15</v>
      </c>
      <c r="J7" s="119">
        <f t="shared" si="0"/>
        <v>816</v>
      </c>
      <c r="K7" s="140">
        <f>'Athens Daily - Gas'!BH13</f>
        <v>174425.23200000002</v>
      </c>
      <c r="L7" s="140">
        <f>'Athens Daily - Gas'!BI13</f>
        <v>102864</v>
      </c>
      <c r="M7" s="123">
        <f t="shared" si="2"/>
        <v>7181.7982905982908</v>
      </c>
      <c r="N7" s="146">
        <f>Occ!G14</f>
        <v>599</v>
      </c>
      <c r="O7" s="97">
        <f>Occ!H14</f>
        <v>1170</v>
      </c>
      <c r="P7" s="145">
        <v>918</v>
      </c>
      <c r="Q7" s="154"/>
    </row>
    <row r="8" spans="1:17" ht="15.75">
      <c r="A8" s="7" t="s">
        <v>14</v>
      </c>
      <c r="B8" s="7">
        <v>6</v>
      </c>
      <c r="C8" s="7">
        <v>2</v>
      </c>
      <c r="D8" s="113">
        <v>2023</v>
      </c>
      <c r="E8" s="140">
        <f>'Athens Daily - EL'!AP13</f>
        <v>33735</v>
      </c>
      <c r="F8" s="140">
        <f>'Athens Daily - EL'!AQ13</f>
        <v>25635</v>
      </c>
      <c r="G8" s="123">
        <f t="shared" si="1"/>
        <v>59370</v>
      </c>
      <c r="H8" s="140">
        <f>'Athens Daily - Water'!R12</f>
        <v>593.15</v>
      </c>
      <c r="I8" s="140">
        <f>'Athens Daily - Water'!S12</f>
        <v>158.85</v>
      </c>
      <c r="J8" s="119">
        <f t="shared" si="0"/>
        <v>752</v>
      </c>
      <c r="K8" s="140">
        <f>'Athens Daily - Gas'!BH14</f>
        <v>182903.18400000004</v>
      </c>
      <c r="L8" s="140">
        <f>'Athens Daily - Gas'!BI14</f>
        <v>104745.60000000001</v>
      </c>
      <c r="M8" s="123">
        <f t="shared" si="2"/>
        <v>7450.1109557109567</v>
      </c>
      <c r="N8" s="146">
        <f>Occ!G15</f>
        <v>626</v>
      </c>
      <c r="O8" s="97">
        <f>Occ!H15</f>
        <v>1184</v>
      </c>
      <c r="P8" s="145">
        <v>918</v>
      </c>
      <c r="Q8" s="154"/>
    </row>
    <row r="9" spans="1:17" ht="15.75">
      <c r="A9" s="7" t="s">
        <v>14</v>
      </c>
      <c r="B9" s="7">
        <v>7</v>
      </c>
      <c r="C9" s="7">
        <v>2</v>
      </c>
      <c r="D9" s="113">
        <v>2023</v>
      </c>
      <c r="E9" s="140">
        <f>'Athens Daily - EL'!AP14</f>
        <v>38405</v>
      </c>
      <c r="F9" s="140">
        <f>'Athens Daily - EL'!AQ14</f>
        <v>28205</v>
      </c>
      <c r="G9" s="123">
        <f t="shared" si="1"/>
        <v>66610</v>
      </c>
      <c r="H9" s="140">
        <f>'Athens Daily - Water'!R13</f>
        <v>554.4</v>
      </c>
      <c r="I9" s="140">
        <f>'Athens Daily - Water'!S13</f>
        <v>203.60000000000002</v>
      </c>
      <c r="J9" s="119">
        <f t="shared" si="0"/>
        <v>758</v>
      </c>
      <c r="K9" s="140">
        <f>'Athens Daily - Gas'!BH15</f>
        <v>162166.75199999992</v>
      </c>
      <c r="L9" s="140">
        <f>'Athens Daily - Gas'!BI15</f>
        <v>90700.800000000003</v>
      </c>
      <c r="M9" s="123">
        <f t="shared" si="2"/>
        <v>6549.276146076144</v>
      </c>
      <c r="N9" s="146">
        <f>Occ!G16</f>
        <v>655</v>
      </c>
      <c r="O9" s="97">
        <f>Occ!H16</f>
        <v>1224</v>
      </c>
      <c r="P9" s="145">
        <v>918</v>
      </c>
      <c r="Q9" s="154"/>
    </row>
    <row r="10" spans="1:17">
      <c r="A10" s="7" t="s">
        <v>14</v>
      </c>
      <c r="B10" s="7">
        <v>8</v>
      </c>
      <c r="C10" s="7">
        <v>2</v>
      </c>
      <c r="D10" s="113">
        <v>2023</v>
      </c>
      <c r="E10" s="140">
        <f>'Athens Daily - EL'!AP15</f>
        <v>35250</v>
      </c>
      <c r="F10" s="140">
        <f>'Athens Daily - EL'!AQ15</f>
        <v>25850</v>
      </c>
      <c r="G10" s="123">
        <f t="shared" si="1"/>
        <v>61100</v>
      </c>
      <c r="H10" s="140">
        <f>'Athens Daily - Water'!R14</f>
        <v>603.70000000000005</v>
      </c>
      <c r="I10" s="140">
        <f>'Athens Daily - Water'!S14</f>
        <v>191.3</v>
      </c>
      <c r="J10" s="119">
        <f t="shared" si="0"/>
        <v>795</v>
      </c>
      <c r="K10" s="140">
        <f>'Athens Daily - Gas'!BH16</f>
        <v>158292.76800000001</v>
      </c>
      <c r="L10" s="140">
        <f>'Athens Daily - Gas'!BI16</f>
        <v>96969.600000000006</v>
      </c>
      <c r="M10" s="123">
        <f t="shared" si="2"/>
        <v>6611.3019425019429</v>
      </c>
      <c r="N10" s="146">
        <f>Occ!G17</f>
        <v>670</v>
      </c>
      <c r="O10" s="97">
        <f>Occ!H17</f>
        <v>1256</v>
      </c>
      <c r="P10" s="145">
        <v>918</v>
      </c>
      <c r="Q10" s="95"/>
    </row>
    <row r="11" spans="1:17">
      <c r="A11" s="7" t="s">
        <v>14</v>
      </c>
      <c r="B11" s="7">
        <v>9</v>
      </c>
      <c r="C11" s="7">
        <v>2</v>
      </c>
      <c r="D11" s="113">
        <v>2023</v>
      </c>
      <c r="E11" s="140">
        <f>'Athens Daily - EL'!AP16</f>
        <v>37125</v>
      </c>
      <c r="F11" s="140">
        <f>'Athens Daily - EL'!AQ16</f>
        <v>26695</v>
      </c>
      <c r="G11" s="123">
        <f t="shared" si="1"/>
        <v>63820</v>
      </c>
      <c r="H11" s="140">
        <f>'Athens Daily - Water'!R15</f>
        <v>578.6</v>
      </c>
      <c r="I11" s="140">
        <f>'Athens Daily - Water'!S15</f>
        <v>205.4</v>
      </c>
      <c r="J11" s="119">
        <f t="shared" si="0"/>
        <v>784</v>
      </c>
      <c r="K11" s="140">
        <f>'Athens Daily - Gas'!BH17</f>
        <v>158842.22399999999</v>
      </c>
      <c r="L11" s="140">
        <f>'Athens Daily - Gas'!BI17</f>
        <v>89568</v>
      </c>
      <c r="M11" s="123">
        <f t="shared" si="2"/>
        <v>6433.8312354312357</v>
      </c>
      <c r="N11" s="146">
        <f>Occ!G18</f>
        <v>651</v>
      </c>
      <c r="O11" s="97">
        <f>Occ!H18</f>
        <v>1244</v>
      </c>
      <c r="P11" s="145">
        <v>918</v>
      </c>
      <c r="Q11" s="95"/>
    </row>
    <row r="12" spans="1:17" ht="15.75">
      <c r="A12" s="7" t="s">
        <v>14</v>
      </c>
      <c r="B12" s="7">
        <v>10</v>
      </c>
      <c r="C12" s="7">
        <v>2</v>
      </c>
      <c r="D12" s="113">
        <v>2023</v>
      </c>
      <c r="E12" s="140">
        <f>'Athens Daily - EL'!AP17</f>
        <v>37525</v>
      </c>
      <c r="F12" s="140">
        <f>'Athens Daily - EL'!AQ17</f>
        <v>27725</v>
      </c>
      <c r="G12" s="123">
        <f t="shared" si="1"/>
        <v>65250</v>
      </c>
      <c r="H12" s="140">
        <f>'Athens Daily - Water'!R16</f>
        <v>580.45000000000005</v>
      </c>
      <c r="I12" s="140">
        <f>'Athens Daily - Water'!S16</f>
        <v>189.55</v>
      </c>
      <c r="J12" s="119">
        <f t="shared" si="0"/>
        <v>770</v>
      </c>
      <c r="K12" s="140">
        <f>'Athens Daily - Gas'!BH18</f>
        <v>134119.20000000004</v>
      </c>
      <c r="L12" s="140">
        <f>'Athens Daily - Gas'!BI18</f>
        <v>80534.399999999994</v>
      </c>
      <c r="M12" s="123">
        <f t="shared" si="2"/>
        <v>5559.5337995338004</v>
      </c>
      <c r="N12" s="146">
        <f>Occ!G19</f>
        <v>629</v>
      </c>
      <c r="O12" s="97">
        <f>Occ!H19</f>
        <v>1247</v>
      </c>
      <c r="P12" s="145">
        <v>918</v>
      </c>
      <c r="Q12" s="154"/>
    </row>
    <row r="13" spans="1:17" ht="15.75">
      <c r="A13" s="7" t="s">
        <v>14</v>
      </c>
      <c r="B13" s="7">
        <v>11</v>
      </c>
      <c r="C13" s="7">
        <v>2</v>
      </c>
      <c r="D13" s="113">
        <v>2023</v>
      </c>
      <c r="E13" s="140">
        <f>'Athens Daily - EL'!AP18</f>
        <v>38170</v>
      </c>
      <c r="F13" s="140">
        <f>'Athens Daily - EL'!AQ18</f>
        <v>26940</v>
      </c>
      <c r="G13" s="123">
        <f t="shared" si="1"/>
        <v>65110</v>
      </c>
      <c r="H13" s="140">
        <f>'Athens Daily - Water'!R17</f>
        <v>736.55</v>
      </c>
      <c r="I13" s="140">
        <f>'Athens Daily - Water'!S17</f>
        <v>182.45</v>
      </c>
      <c r="J13" s="119">
        <f t="shared" si="0"/>
        <v>919</v>
      </c>
      <c r="K13" s="140">
        <f>'Athens Daily - Gas'!BH19</f>
        <v>153171.984</v>
      </c>
      <c r="L13" s="140">
        <f>'Athens Daily - Gas'!BI19</f>
        <v>88598.399999999994</v>
      </c>
      <c r="M13" s="123">
        <f t="shared" si="2"/>
        <v>6261.859207459207</v>
      </c>
      <c r="N13" s="146">
        <f>Occ!G20</f>
        <v>613</v>
      </c>
      <c r="O13" s="97">
        <f>Occ!H20</f>
        <v>1221</v>
      </c>
      <c r="P13" s="145">
        <v>918</v>
      </c>
      <c r="Q13" s="154"/>
    </row>
    <row r="14" spans="1:17" ht="15.75">
      <c r="A14" s="7" t="s">
        <v>14</v>
      </c>
      <c r="B14" s="7">
        <v>12</v>
      </c>
      <c r="C14" s="7">
        <v>2</v>
      </c>
      <c r="D14" s="113">
        <v>2023</v>
      </c>
      <c r="E14" s="140">
        <f>'Athens Daily - EL'!AP19</f>
        <v>37160</v>
      </c>
      <c r="F14" s="140">
        <f>'Athens Daily - EL'!AQ19</f>
        <v>27350</v>
      </c>
      <c r="G14" s="123">
        <f t="shared" si="1"/>
        <v>64510</v>
      </c>
      <c r="H14" s="140">
        <f>'Athens Daily - Water'!R18</f>
        <v>690.75</v>
      </c>
      <c r="I14" s="140">
        <f>'Athens Daily - Water'!S18</f>
        <v>199.25</v>
      </c>
      <c r="J14" s="119">
        <f t="shared" si="0"/>
        <v>890</v>
      </c>
      <c r="K14" s="140">
        <f>'Athens Daily - Gas'!BH20</f>
        <v>164428.79999999999</v>
      </c>
      <c r="L14" s="140">
        <f>'Athens Daily - Gas'!BI20</f>
        <v>90355.200000000012</v>
      </c>
      <c r="M14" s="123">
        <f t="shared" si="2"/>
        <v>6598.9121989121986</v>
      </c>
      <c r="N14" s="146">
        <f>Occ!G21</f>
        <v>611</v>
      </c>
      <c r="O14" s="97">
        <f>Occ!H21</f>
        <v>1183</v>
      </c>
      <c r="P14" s="145">
        <v>918</v>
      </c>
      <c r="Q14" s="154"/>
    </row>
    <row r="15" spans="1:17">
      <c r="A15" s="7" t="s">
        <v>14</v>
      </c>
      <c r="B15" s="7">
        <v>13</v>
      </c>
      <c r="C15" s="7">
        <v>2</v>
      </c>
      <c r="D15" s="113">
        <v>2023</v>
      </c>
      <c r="E15" s="140">
        <f>'Athens Daily - EL'!AP20</f>
        <v>39750</v>
      </c>
      <c r="F15" s="140">
        <f>'Athens Daily - EL'!AQ20</f>
        <v>30700</v>
      </c>
      <c r="G15" s="123">
        <f t="shared" si="1"/>
        <v>70450</v>
      </c>
      <c r="H15" s="140">
        <f>'Athens Daily - Water'!R19</f>
        <v>571.6</v>
      </c>
      <c r="I15" s="140">
        <f>'Athens Daily - Water'!S19</f>
        <v>189.4</v>
      </c>
      <c r="J15" s="119">
        <f t="shared" si="0"/>
        <v>761</v>
      </c>
      <c r="K15" s="140">
        <f>'Athens Daily - Gas'!BH21</f>
        <v>147600</v>
      </c>
      <c r="L15" s="140">
        <f>'Athens Daily - Gas'!BI21</f>
        <v>84864</v>
      </c>
      <c r="M15" s="123">
        <f t="shared" si="2"/>
        <v>6020.8236208236212</v>
      </c>
      <c r="N15" s="146">
        <f>Occ!G22</f>
        <v>647</v>
      </c>
      <c r="O15" s="97">
        <f>Occ!H22</f>
        <v>1236</v>
      </c>
      <c r="P15" s="145">
        <v>918</v>
      </c>
      <c r="Q15" s="151"/>
    </row>
    <row r="16" spans="1:17">
      <c r="A16" s="7" t="s">
        <v>14</v>
      </c>
      <c r="B16" s="7">
        <v>14</v>
      </c>
      <c r="C16" s="7">
        <v>2</v>
      </c>
      <c r="D16" s="113">
        <v>2023</v>
      </c>
      <c r="E16" s="140">
        <f>'Athens Daily - EL'!AP21</f>
        <v>34565</v>
      </c>
      <c r="F16" s="140">
        <f>'Athens Daily - EL'!AQ21</f>
        <v>25635</v>
      </c>
      <c r="G16" s="123">
        <f t="shared" si="1"/>
        <v>60200</v>
      </c>
      <c r="H16" s="140">
        <f>'Athens Daily - Water'!R20</f>
        <v>548.9</v>
      </c>
      <c r="I16" s="140">
        <f>'Athens Daily - Water'!S20</f>
        <v>184.10000000000002</v>
      </c>
      <c r="J16" s="119">
        <f t="shared" si="0"/>
        <v>733</v>
      </c>
      <c r="K16" s="140">
        <f>'Athens Daily - Gas'!BH22</f>
        <v>147091.20000000001</v>
      </c>
      <c r="L16" s="140">
        <f>'Athens Daily - Gas'!BI22</f>
        <v>87436.800000000003</v>
      </c>
      <c r="M16" s="123">
        <f t="shared" si="2"/>
        <v>6074.2812742812748</v>
      </c>
      <c r="N16" s="146">
        <f>Occ!G23</f>
        <v>662</v>
      </c>
      <c r="O16" s="97">
        <f>Occ!H23</f>
        <v>1244</v>
      </c>
      <c r="P16" s="145">
        <v>918</v>
      </c>
      <c r="Q16" s="151"/>
    </row>
    <row r="17" spans="1:17">
      <c r="A17" s="7" t="s">
        <v>14</v>
      </c>
      <c r="B17" s="7">
        <v>15</v>
      </c>
      <c r="C17" s="7">
        <v>2</v>
      </c>
      <c r="D17" s="113">
        <v>2023</v>
      </c>
      <c r="E17" s="140">
        <f>'Athens Daily - EL'!AP22</f>
        <v>35390</v>
      </c>
      <c r="F17" s="140">
        <f>'Athens Daily - EL'!AQ22</f>
        <v>25720</v>
      </c>
      <c r="G17" s="123">
        <f t="shared" si="1"/>
        <v>61110</v>
      </c>
      <c r="H17" s="140">
        <f>'Athens Daily - Water'!R21</f>
        <v>564.6</v>
      </c>
      <c r="I17" s="140">
        <f>'Athens Daily - Water'!S21</f>
        <v>188.4</v>
      </c>
      <c r="J17" s="119">
        <f t="shared" si="0"/>
        <v>753</v>
      </c>
      <c r="K17" s="140">
        <f>'Athens Daily - Gas'!BH23</f>
        <v>170054.39999999999</v>
      </c>
      <c r="L17" s="140">
        <f>'Athens Daily - Gas'!BI23</f>
        <v>97593.600000000006</v>
      </c>
      <c r="M17" s="123">
        <f t="shared" si="2"/>
        <v>6932.0901320901321</v>
      </c>
      <c r="N17" s="146">
        <f>Occ!G24</f>
        <v>662</v>
      </c>
      <c r="O17" s="97">
        <f>Occ!H24</f>
        <v>1240</v>
      </c>
      <c r="P17" s="145">
        <v>918</v>
      </c>
      <c r="Q17" s="151"/>
    </row>
    <row r="18" spans="1:17">
      <c r="A18" s="7" t="s">
        <v>14</v>
      </c>
      <c r="B18" s="7">
        <v>16</v>
      </c>
      <c r="C18" s="7">
        <v>2</v>
      </c>
      <c r="D18" s="113">
        <v>2023</v>
      </c>
      <c r="E18" s="140">
        <f>'Athens Daily - EL'!AP23</f>
        <v>36200</v>
      </c>
      <c r="F18" s="140">
        <f>'Athens Daily - EL'!AQ23</f>
        <v>25930</v>
      </c>
      <c r="G18" s="123">
        <f t="shared" si="1"/>
        <v>62130</v>
      </c>
      <c r="H18" s="140">
        <f>'Athens Daily - Water'!R22</f>
        <v>576.54999999999995</v>
      </c>
      <c r="I18" s="140">
        <f>'Athens Daily - Water'!S22</f>
        <v>178.45</v>
      </c>
      <c r="J18" s="119">
        <f t="shared" si="0"/>
        <v>755</v>
      </c>
      <c r="K18" s="140">
        <f>'Athens Daily - Gas'!BH24</f>
        <v>181680</v>
      </c>
      <c r="L18" s="140">
        <f>'Athens Daily - Gas'!BI24</f>
        <v>100416</v>
      </c>
      <c r="M18" s="123">
        <f t="shared" si="2"/>
        <v>7306.2937062937062</v>
      </c>
      <c r="N18" s="146">
        <f>Occ!G25</f>
        <v>680</v>
      </c>
      <c r="O18" s="97">
        <f>Occ!H25</f>
        <v>1252</v>
      </c>
      <c r="P18" s="145">
        <v>918</v>
      </c>
      <c r="Q18" s="150"/>
    </row>
    <row r="19" spans="1:17">
      <c r="A19" s="7" t="s">
        <v>14</v>
      </c>
      <c r="B19" s="7">
        <v>17</v>
      </c>
      <c r="C19" s="7">
        <v>2</v>
      </c>
      <c r="D19" s="113">
        <v>2023</v>
      </c>
      <c r="E19" s="140">
        <f>'Athens Daily - EL'!AP24</f>
        <v>39110</v>
      </c>
      <c r="F19" s="140">
        <f>'Athens Daily - EL'!AQ24</f>
        <v>26440</v>
      </c>
      <c r="G19" s="123">
        <f t="shared" si="1"/>
        <v>65550</v>
      </c>
      <c r="H19" s="140">
        <f>'Athens Daily - Water'!R23</f>
        <v>631.1</v>
      </c>
      <c r="I19" s="140">
        <f>'Athens Daily - Water'!S23</f>
        <v>209.9</v>
      </c>
      <c r="J19" s="119">
        <f t="shared" si="0"/>
        <v>841</v>
      </c>
      <c r="K19" s="140">
        <f>'Athens Daily - Gas'!BH25</f>
        <v>180883.20000000001</v>
      </c>
      <c r="L19" s="140">
        <f>'Athens Daily - Gas'!BI25</f>
        <v>100780.8</v>
      </c>
      <c r="M19" s="123">
        <f t="shared" si="2"/>
        <v>7295.1048951048951</v>
      </c>
      <c r="N19" s="146">
        <f>Occ!G26</f>
        <v>660</v>
      </c>
      <c r="O19" s="97">
        <f>Occ!H26</f>
        <v>1277</v>
      </c>
      <c r="P19" s="145">
        <v>918</v>
      </c>
      <c r="Q19" s="150"/>
    </row>
    <row r="20" spans="1:17">
      <c r="A20" s="7" t="s">
        <v>14</v>
      </c>
      <c r="B20" s="7">
        <v>18</v>
      </c>
      <c r="C20" s="7">
        <v>2</v>
      </c>
      <c r="D20" s="113">
        <v>2023</v>
      </c>
      <c r="E20" s="140">
        <f>'Athens Daily - EL'!AP25</f>
        <v>36700</v>
      </c>
      <c r="F20" s="140">
        <f>'Athens Daily - EL'!AQ25</f>
        <v>27010</v>
      </c>
      <c r="G20" s="123">
        <f t="shared" si="1"/>
        <v>63710</v>
      </c>
      <c r="H20" s="140">
        <f>'Athens Daily - Water'!R24</f>
        <v>643.75</v>
      </c>
      <c r="I20" s="140">
        <f>'Athens Daily - Water'!S24</f>
        <v>192.25</v>
      </c>
      <c r="J20" s="119">
        <f t="shared" si="0"/>
        <v>836</v>
      </c>
      <c r="K20" s="140">
        <f>'Athens Daily - Gas'!BH26</f>
        <v>173011.20000000001</v>
      </c>
      <c r="L20" s="140">
        <f>'Athens Daily - Gas'!BI26</f>
        <v>97276.800000000003</v>
      </c>
      <c r="M20" s="123">
        <f t="shared" si="2"/>
        <v>7000.4662004662005</v>
      </c>
      <c r="N20" s="146">
        <f>Occ!G27</f>
        <v>658</v>
      </c>
      <c r="O20" s="97">
        <f>Occ!H27</f>
        <v>1287</v>
      </c>
      <c r="P20" s="145">
        <v>918</v>
      </c>
      <c r="Q20" s="150"/>
    </row>
    <row r="21" spans="1:17">
      <c r="A21" s="7" t="s">
        <v>14</v>
      </c>
      <c r="B21" s="7">
        <v>19</v>
      </c>
      <c r="C21" s="7">
        <v>2</v>
      </c>
      <c r="D21" s="113">
        <v>2023</v>
      </c>
      <c r="E21" s="140">
        <f>'Athens Daily - EL'!AP26</f>
        <v>38605</v>
      </c>
      <c r="F21" s="140">
        <f>'Athens Daily - EL'!AQ26</f>
        <v>28675</v>
      </c>
      <c r="G21" s="123">
        <f t="shared" si="1"/>
        <v>67280</v>
      </c>
      <c r="H21" s="140">
        <f>'Athens Daily - Water'!R25</f>
        <v>669.85</v>
      </c>
      <c r="I21" s="140">
        <f>'Athens Daily - Water'!S25</f>
        <v>211.15</v>
      </c>
      <c r="J21" s="119">
        <f t="shared" si="0"/>
        <v>881</v>
      </c>
      <c r="K21" s="140">
        <f>'Athens Daily - Gas'!BH27</f>
        <v>155827.20000000001</v>
      </c>
      <c r="L21" s="140">
        <f>'Athens Daily - Gas'!BI27</f>
        <v>85276.800000000003</v>
      </c>
      <c r="M21" s="123">
        <f t="shared" si="2"/>
        <v>6244.5998445998448</v>
      </c>
      <c r="N21" s="146">
        <f>Occ!G28</f>
        <v>650</v>
      </c>
      <c r="O21" s="97">
        <f>Occ!H28</f>
        <v>1230</v>
      </c>
      <c r="P21" s="145">
        <v>918</v>
      </c>
      <c r="Q21" s="150"/>
    </row>
    <row r="22" spans="1:17">
      <c r="A22" s="7" t="s">
        <v>14</v>
      </c>
      <c r="B22" s="7">
        <v>20</v>
      </c>
      <c r="C22" s="7">
        <v>2</v>
      </c>
      <c r="D22" s="113">
        <v>2023</v>
      </c>
      <c r="E22" s="140">
        <f>'Athens Daily - EL'!AP27</f>
        <v>36930</v>
      </c>
      <c r="F22" s="140">
        <f>'Athens Daily - EL'!AQ27</f>
        <v>27400</v>
      </c>
      <c r="G22" s="123">
        <f t="shared" si="1"/>
        <v>64330</v>
      </c>
      <c r="H22" s="140">
        <f>'Athens Daily - Water'!R26</f>
        <v>624.70000000000005</v>
      </c>
      <c r="I22" s="140">
        <f>'Athens Daily - Water'!S26</f>
        <v>207.3</v>
      </c>
      <c r="J22" s="119">
        <f t="shared" si="0"/>
        <v>832</v>
      </c>
      <c r="K22" s="140">
        <f>'Athens Daily - Gas'!BH28</f>
        <v>143961.59999999998</v>
      </c>
      <c r="L22" s="140">
        <f>'Athens Daily - Gas'!BI28</f>
        <v>86486.399999999994</v>
      </c>
      <c r="M22" s="123">
        <f t="shared" si="2"/>
        <v>5968.6091686091677</v>
      </c>
      <c r="N22" s="146">
        <f>Occ!G29</f>
        <v>709</v>
      </c>
      <c r="O22" s="97">
        <f>Occ!H29</f>
        <v>1280</v>
      </c>
      <c r="P22" s="145">
        <v>918</v>
      </c>
      <c r="Q22" s="151"/>
    </row>
    <row r="23" spans="1:17">
      <c r="A23" s="7" t="s">
        <v>14</v>
      </c>
      <c r="B23" s="7">
        <v>21</v>
      </c>
      <c r="C23" s="7">
        <v>2</v>
      </c>
      <c r="D23" s="113">
        <v>2023</v>
      </c>
      <c r="E23" s="140">
        <f>'Athens Daily - EL'!AP28</f>
        <v>36270</v>
      </c>
      <c r="F23" s="140">
        <f>'Athens Daily - EL'!AQ28</f>
        <v>25980</v>
      </c>
      <c r="G23" s="123">
        <f t="shared" si="1"/>
        <v>62250</v>
      </c>
      <c r="H23" s="156">
        <f>'Athens Daily - Water'!R27</f>
        <v>554.35</v>
      </c>
      <c r="I23" s="140">
        <f>'Athens Daily - Water'!S27</f>
        <v>198.65</v>
      </c>
      <c r="J23" s="119">
        <f t="shared" si="0"/>
        <v>753</v>
      </c>
      <c r="K23" s="140">
        <f>'Athens Daily - Gas'!BH29</f>
        <v>141686.39999999999</v>
      </c>
      <c r="L23" s="140">
        <f>'Athens Daily - Gas'!BI29</f>
        <v>80025.600000000006</v>
      </c>
      <c r="M23" s="123">
        <f t="shared" si="2"/>
        <v>5742.3465423465423</v>
      </c>
      <c r="N23" s="146">
        <f>Occ!G30</f>
        <v>719</v>
      </c>
      <c r="O23" s="97">
        <f>Occ!H30</f>
        <v>1284</v>
      </c>
      <c r="P23" s="145">
        <v>918</v>
      </c>
      <c r="Q23" s="151"/>
    </row>
    <row r="24" spans="1:17">
      <c r="A24" s="7" t="s">
        <v>14</v>
      </c>
      <c r="B24" s="7">
        <v>22</v>
      </c>
      <c r="C24" s="7">
        <v>2</v>
      </c>
      <c r="D24" s="113">
        <v>2023</v>
      </c>
      <c r="E24" s="140">
        <f>'Athens Daily - EL'!AP29</f>
        <v>36940</v>
      </c>
      <c r="F24" s="140">
        <f>'Athens Daily - EL'!AQ29</f>
        <v>26610</v>
      </c>
      <c r="G24" s="123">
        <f t="shared" si="1"/>
        <v>63550</v>
      </c>
      <c r="H24" s="156">
        <f>'Athens Daily - Water'!R28</f>
        <v>629.4</v>
      </c>
      <c r="I24" s="140">
        <f>'Athens Daily - Water'!S28</f>
        <v>192.60000000000002</v>
      </c>
      <c r="J24" s="119">
        <f t="shared" si="0"/>
        <v>822</v>
      </c>
      <c r="K24" s="140">
        <f>'Athens Daily - Gas'!BH30</f>
        <v>147820.79999999999</v>
      </c>
      <c r="L24" s="140">
        <f>'Athens Daily - Gas'!BI30</f>
        <v>80995.200000000012</v>
      </c>
      <c r="M24" s="123">
        <f t="shared" si="2"/>
        <v>5926.3403263403261</v>
      </c>
      <c r="N24" s="146">
        <f>Occ!G31</f>
        <v>717</v>
      </c>
      <c r="O24" s="97">
        <f>Occ!H31</f>
        <v>1290</v>
      </c>
      <c r="P24" s="145">
        <v>918</v>
      </c>
      <c r="Q24" s="151"/>
    </row>
    <row r="25" spans="1:17">
      <c r="A25" s="7" t="s">
        <v>14</v>
      </c>
      <c r="B25" s="7">
        <v>23</v>
      </c>
      <c r="C25" s="7">
        <v>2</v>
      </c>
      <c r="D25" s="113">
        <v>2023</v>
      </c>
      <c r="E25" s="140">
        <f>'Athens Daily - EL'!AP30</f>
        <v>36615</v>
      </c>
      <c r="F25" s="140">
        <f>'Athens Daily - EL'!AQ30</f>
        <v>26195</v>
      </c>
      <c r="G25" s="123">
        <f t="shared" si="1"/>
        <v>62810</v>
      </c>
      <c r="H25" s="156">
        <f>'Athens Daily - Water'!R29</f>
        <v>676.45</v>
      </c>
      <c r="I25" s="140">
        <f>'Athens Daily - Water'!S29</f>
        <v>206.55</v>
      </c>
      <c r="J25" s="119">
        <f t="shared" si="0"/>
        <v>883</v>
      </c>
      <c r="K25" s="140">
        <f>'Athens Daily - Gas'!BH31</f>
        <v>168672.96000000002</v>
      </c>
      <c r="L25" s="140">
        <f>'Athens Daily - Gas'!BI31</f>
        <v>90124.800000000003</v>
      </c>
      <c r="M25" s="123">
        <f t="shared" si="2"/>
        <v>6702.8686868686873</v>
      </c>
      <c r="N25" s="146">
        <f>Occ!G32</f>
        <v>688</v>
      </c>
      <c r="O25" s="97">
        <f>Occ!H32</f>
        <v>1266</v>
      </c>
      <c r="P25" s="145">
        <v>918</v>
      </c>
      <c r="Q25" s="151"/>
    </row>
    <row r="26" spans="1:17">
      <c r="A26" s="7" t="s">
        <v>14</v>
      </c>
      <c r="B26" s="7">
        <v>24</v>
      </c>
      <c r="C26" s="7">
        <v>2</v>
      </c>
      <c r="D26" s="113">
        <v>2023</v>
      </c>
      <c r="E26" s="140">
        <f>'Athens Daily - EL'!AP31</f>
        <v>36915</v>
      </c>
      <c r="F26" s="140">
        <f>'Athens Daily - EL'!AQ31</f>
        <v>26665</v>
      </c>
      <c r="G26" s="123">
        <f t="shared" si="1"/>
        <v>63580</v>
      </c>
      <c r="H26" s="156">
        <f>'Athens Daily - Water'!R30</f>
        <v>657.5</v>
      </c>
      <c r="I26" s="140">
        <f>'Athens Daily - Water'!S30</f>
        <v>213.5</v>
      </c>
      <c r="J26" s="119">
        <f t="shared" si="0"/>
        <v>871</v>
      </c>
      <c r="K26" s="140">
        <f>'Athens Daily - Gas'!BH32</f>
        <v>159253.87199999992</v>
      </c>
      <c r="L26" s="140">
        <f>'Athens Daily - Gas'!BI32</f>
        <v>86995.200000000012</v>
      </c>
      <c r="M26" s="123">
        <f t="shared" si="2"/>
        <v>6377.8573426573412</v>
      </c>
      <c r="N26" s="146">
        <f>Occ!G33</f>
        <v>636</v>
      </c>
      <c r="O26" s="97">
        <f>Occ!H33</f>
        <v>1222</v>
      </c>
      <c r="P26" s="145">
        <v>918</v>
      </c>
      <c r="Q26" s="151"/>
    </row>
    <row r="27" spans="1:17">
      <c r="A27" s="7" t="s">
        <v>14</v>
      </c>
      <c r="B27" s="7">
        <v>25</v>
      </c>
      <c r="C27" s="7">
        <v>2</v>
      </c>
      <c r="D27" s="113">
        <v>2023</v>
      </c>
      <c r="E27" s="140">
        <f>'Athens Daily - EL'!AP32</f>
        <v>35535</v>
      </c>
      <c r="F27" s="140">
        <f>'Athens Daily - EL'!AQ32</f>
        <v>25565</v>
      </c>
      <c r="G27" s="123">
        <f t="shared" si="1"/>
        <v>61100</v>
      </c>
      <c r="H27" s="140">
        <f>'Athens Daily - Water'!R31</f>
        <v>604.1</v>
      </c>
      <c r="I27" s="140">
        <f>'Athens Daily - Water'!S31</f>
        <v>189.9</v>
      </c>
      <c r="J27" s="119">
        <f t="shared" si="0"/>
        <v>794</v>
      </c>
      <c r="K27" s="140">
        <f>'Athens Daily - Gas'!BH33</f>
        <v>150272.78400000004</v>
      </c>
      <c r="L27" s="140">
        <f>'Athens Daily - Gas'!BI33</f>
        <v>83644.800000000003</v>
      </c>
      <c r="M27" s="123">
        <f t="shared" si="2"/>
        <v>6058.4714840714851</v>
      </c>
      <c r="N27" s="146">
        <f>Occ!G34</f>
        <v>613</v>
      </c>
      <c r="O27" s="97">
        <f>Occ!H34</f>
        <v>1201</v>
      </c>
      <c r="P27" s="145">
        <v>918</v>
      </c>
      <c r="Q27" s="149"/>
    </row>
    <row r="28" spans="1:17">
      <c r="A28" s="7" t="s">
        <v>14</v>
      </c>
      <c r="B28" s="7">
        <v>26</v>
      </c>
      <c r="C28" s="7">
        <v>2</v>
      </c>
      <c r="D28" s="113">
        <v>2023</v>
      </c>
      <c r="E28" s="140">
        <f>'Athens Daily - EL'!AP33</f>
        <v>33750</v>
      </c>
      <c r="F28" s="140">
        <f>'Athens Daily - EL'!AQ33</f>
        <v>25550</v>
      </c>
      <c r="G28" s="123">
        <f t="shared" si="1"/>
        <v>59300</v>
      </c>
      <c r="H28" s="140">
        <f>'Athens Daily - Water'!R32</f>
        <v>642.9</v>
      </c>
      <c r="I28" s="140">
        <f>'Athens Daily - Water'!S32</f>
        <v>217.10000000000002</v>
      </c>
      <c r="J28" s="119">
        <f t="shared" si="0"/>
        <v>860</v>
      </c>
      <c r="K28" s="140">
        <f>'Athens Daily - Gas'!BH34</f>
        <v>156348.91199999995</v>
      </c>
      <c r="L28" s="140">
        <f>'Athens Daily - Gas'!BI34</f>
        <v>77337.600000000006</v>
      </c>
      <c r="M28" s="123">
        <f t="shared" si="2"/>
        <v>6052.4867132867121</v>
      </c>
      <c r="N28" s="146">
        <f>Occ!G35</f>
        <v>633</v>
      </c>
      <c r="O28" s="97">
        <f>Occ!H35</f>
        <v>1217</v>
      </c>
      <c r="P28" s="145">
        <v>918</v>
      </c>
      <c r="Q28" s="149"/>
    </row>
    <row r="29" spans="1:17">
      <c r="A29" s="7" t="s">
        <v>14</v>
      </c>
      <c r="B29" s="7">
        <v>27</v>
      </c>
      <c r="C29" s="7">
        <v>2</v>
      </c>
      <c r="D29" s="113">
        <v>2023</v>
      </c>
      <c r="E29" s="140">
        <f>'Athens Daily - EL'!AP34</f>
        <v>34550</v>
      </c>
      <c r="F29" s="140">
        <f>'Athens Daily - EL'!AQ34</f>
        <v>25320</v>
      </c>
      <c r="G29" s="123">
        <f t="shared" si="1"/>
        <v>59870</v>
      </c>
      <c r="H29" s="140">
        <f>'Athens Daily - Water'!R33</f>
        <v>621.22799999999995</v>
      </c>
      <c r="I29" s="140">
        <f>'Athens Daily - Water'!S33</f>
        <v>176.7</v>
      </c>
      <c r="J29" s="119">
        <f t="shared" si="0"/>
        <v>797.92799999999988</v>
      </c>
      <c r="K29" s="140">
        <f>'Athens Daily - Gas'!BH35</f>
        <v>180460.32000000004</v>
      </c>
      <c r="L29" s="140">
        <f>'Athens Daily - Gas'!BI35</f>
        <v>95865.600000000006</v>
      </c>
      <c r="M29" s="123">
        <f t="shared" si="2"/>
        <v>7156.8484848484859</v>
      </c>
      <c r="N29" s="146">
        <f>Occ!G36</f>
        <v>699</v>
      </c>
      <c r="O29" s="97">
        <f>Occ!H36</f>
        <v>1304</v>
      </c>
      <c r="P29" s="145">
        <v>918</v>
      </c>
      <c r="Q29" s="149"/>
    </row>
    <row r="30" spans="1:17">
      <c r="A30" s="7" t="s">
        <v>14</v>
      </c>
      <c r="B30" s="7">
        <v>28</v>
      </c>
      <c r="C30" s="7">
        <v>2</v>
      </c>
      <c r="D30" s="113">
        <v>2023</v>
      </c>
      <c r="E30" s="140">
        <f>'Athens Daily - EL'!AP35</f>
        <v>36955</v>
      </c>
      <c r="F30" s="140">
        <f>'Athens Daily - EL'!AQ35</f>
        <v>27295</v>
      </c>
      <c r="G30" s="123">
        <f t="shared" si="1"/>
        <v>64250</v>
      </c>
      <c r="H30" s="140">
        <f>'Athens Daily - Water'!R34</f>
        <v>569.12199999999996</v>
      </c>
      <c r="I30" s="140">
        <f>'Athens Daily - Water'!S34</f>
        <v>217.95</v>
      </c>
      <c r="J30" s="119">
        <f t="shared" si="0"/>
        <v>787.07199999999989</v>
      </c>
      <c r="K30" s="140">
        <f>'Athens Daily - Gas'!BH36</f>
        <v>187972.46399999998</v>
      </c>
      <c r="L30" s="140">
        <f>'Athens Daily - Gas'!BI36</f>
        <v>105052.8</v>
      </c>
      <c r="M30" s="123">
        <f t="shared" si="2"/>
        <v>7589.3619269619267</v>
      </c>
      <c r="N30" s="146">
        <f>Occ!G37</f>
        <v>691</v>
      </c>
      <c r="O30" s="97">
        <f>Occ!H37</f>
        <v>1277</v>
      </c>
      <c r="P30" s="145">
        <v>918</v>
      </c>
      <c r="Q30" s="149"/>
    </row>
    <row r="31" spans="1:17">
      <c r="A31" s="7" t="s">
        <v>14</v>
      </c>
      <c r="B31" s="7">
        <v>29</v>
      </c>
      <c r="C31" s="7">
        <v>2</v>
      </c>
      <c r="D31" s="113">
        <v>2023</v>
      </c>
      <c r="E31" s="140" t="e">
        <f>'Athens Daily - EL'!#REF!</f>
        <v>#REF!</v>
      </c>
      <c r="F31" s="140" t="e">
        <f>'Athens Daily - EL'!#REF!</f>
        <v>#REF!</v>
      </c>
      <c r="G31" s="123" t="e">
        <f t="shared" si="1"/>
        <v>#REF!</v>
      </c>
      <c r="H31" s="140" t="e">
        <f>'Athens Daily - Water'!#REF!</f>
        <v>#REF!</v>
      </c>
      <c r="I31" s="140" t="e">
        <f>'Athens Daily - Water'!#REF!</f>
        <v>#REF!</v>
      </c>
      <c r="J31" s="119" t="e">
        <f t="shared" si="0"/>
        <v>#REF!</v>
      </c>
      <c r="K31" s="140" t="e">
        <f>'Athens Daily - Gas'!#REF!</f>
        <v>#REF!</v>
      </c>
      <c r="L31" s="140" t="e">
        <f>'Athens Daily - Gas'!#REF!</f>
        <v>#REF!</v>
      </c>
      <c r="M31" s="123" t="e">
        <f t="shared" si="2"/>
        <v>#REF!</v>
      </c>
      <c r="N31" s="146">
        <f>Occ!G38</f>
        <v>0</v>
      </c>
      <c r="O31" s="97">
        <f>Occ!H38</f>
        <v>0</v>
      </c>
      <c r="P31" s="145">
        <v>918</v>
      </c>
      <c r="Q31" s="149"/>
    </row>
    <row r="32" spans="1:17">
      <c r="A32" s="7" t="s">
        <v>14</v>
      </c>
      <c r="B32" s="7">
        <v>30</v>
      </c>
      <c r="C32" s="7">
        <v>2</v>
      </c>
      <c r="D32" s="113">
        <v>2023</v>
      </c>
      <c r="E32" s="140" t="e">
        <f>'Athens Daily - EL'!#REF!</f>
        <v>#REF!</v>
      </c>
      <c r="F32" s="140" t="e">
        <f>'Athens Daily - EL'!#REF!</f>
        <v>#REF!</v>
      </c>
      <c r="G32" s="123" t="e">
        <f t="shared" si="1"/>
        <v>#REF!</v>
      </c>
      <c r="H32" s="140" t="e">
        <f>'Athens Daily - Water'!#REF!</f>
        <v>#REF!</v>
      </c>
      <c r="I32" s="140" t="e">
        <f>'Athens Daily - Water'!#REF!</f>
        <v>#REF!</v>
      </c>
      <c r="J32" s="119" t="e">
        <f t="shared" si="0"/>
        <v>#REF!</v>
      </c>
      <c r="K32" s="140" t="e">
        <f>'Athens Daily - Gas'!#REF!</f>
        <v>#REF!</v>
      </c>
      <c r="L32" s="140" t="e">
        <f>'Athens Daily - Gas'!#REF!</f>
        <v>#REF!</v>
      </c>
      <c r="M32" s="123" t="e">
        <f t="shared" si="2"/>
        <v>#REF!</v>
      </c>
      <c r="N32" s="146">
        <f>Occ!G39</f>
        <v>0</v>
      </c>
      <c r="O32" s="97">
        <f>Occ!H39</f>
        <v>0</v>
      </c>
      <c r="P32" s="145">
        <v>918</v>
      </c>
      <c r="Q32" s="149"/>
    </row>
    <row r="33" spans="1:17" ht="15.75" thickBot="1">
      <c r="A33" s="7" t="s">
        <v>14</v>
      </c>
      <c r="B33" s="7">
        <v>31</v>
      </c>
      <c r="C33" s="7">
        <v>2</v>
      </c>
      <c r="D33" s="113">
        <v>2023</v>
      </c>
      <c r="E33" s="140" t="e">
        <f>'Athens Daily - EL'!#REF!</f>
        <v>#REF!</v>
      </c>
      <c r="F33" s="140" t="e">
        <f>'Athens Daily - EL'!#REF!</f>
        <v>#REF!</v>
      </c>
      <c r="G33" s="124" t="e">
        <f t="shared" si="1"/>
        <v>#REF!</v>
      </c>
      <c r="H33" s="140" t="e">
        <f>'Athens Daily - Water'!#REF!</f>
        <v>#REF!</v>
      </c>
      <c r="I33" s="140" t="e">
        <f>'Athens Daily - Water'!#REF!</f>
        <v>#REF!</v>
      </c>
      <c r="J33" s="120" t="e">
        <f t="shared" si="0"/>
        <v>#REF!</v>
      </c>
      <c r="K33" s="140" t="e">
        <f>'Athens Daily - Gas'!#REF!</f>
        <v>#REF!</v>
      </c>
      <c r="L33" s="140" t="e">
        <f>'Athens Daily - Gas'!#REF!</f>
        <v>#REF!</v>
      </c>
      <c r="M33" s="124" t="e">
        <f t="shared" si="2"/>
        <v>#REF!</v>
      </c>
      <c r="N33" s="153">
        <f>Occ!G40</f>
        <v>0</v>
      </c>
      <c r="O33" s="144">
        <f>Occ!H40</f>
        <v>0</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38" sqref="L3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403</v>
      </c>
      <c r="D7" s="126"/>
      <c r="E7" s="126"/>
      <c r="F7" s="126"/>
      <c r="G7" s="126"/>
      <c r="H7" s="126"/>
      <c r="I7" s="126"/>
      <c r="J7" s="125"/>
      <c r="K7" s="125"/>
      <c r="L7" s="125"/>
      <c r="M7" s="125"/>
      <c r="N7" s="125"/>
    </row>
    <row r="8" spans="1:14" ht="15.75" thickBot="1">
      <c r="A8" s="125"/>
      <c r="B8" s="125" t="s">
        <v>21</v>
      </c>
      <c r="C8" s="129"/>
      <c r="D8" s="129"/>
      <c r="E8" s="129"/>
      <c r="F8" s="129"/>
      <c r="G8" s="205" t="s">
        <v>22</v>
      </c>
      <c r="H8" s="206"/>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220</v>
      </c>
      <c r="D10" s="160">
        <v>328</v>
      </c>
      <c r="E10" s="135">
        <v>368</v>
      </c>
      <c r="F10" s="136">
        <v>827</v>
      </c>
      <c r="G10" s="152">
        <f>SUM(C10+E10)</f>
        <v>588</v>
      </c>
      <c r="H10" s="136">
        <f>D10+F10</f>
        <v>1155</v>
      </c>
      <c r="I10" s="133">
        <v>918</v>
      </c>
      <c r="J10" s="125"/>
      <c r="K10" s="125"/>
      <c r="L10" s="125"/>
      <c r="M10" s="125"/>
      <c r="N10" s="125"/>
    </row>
    <row r="11" spans="1:14">
      <c r="A11" s="125"/>
      <c r="B11" s="134" t="s">
        <v>29</v>
      </c>
      <c r="C11" s="159">
        <v>236</v>
      </c>
      <c r="D11" s="160">
        <v>357</v>
      </c>
      <c r="E11" s="135">
        <v>364</v>
      </c>
      <c r="F11" s="136">
        <v>822</v>
      </c>
      <c r="G11" s="152">
        <f t="shared" ref="G11:G40" si="0">SUM(C11+E11)</f>
        <v>600</v>
      </c>
      <c r="H11" s="136">
        <f t="shared" ref="H11:H14" si="1">D11+F11</f>
        <v>1179</v>
      </c>
      <c r="I11" s="133">
        <v>918</v>
      </c>
      <c r="J11" s="125"/>
      <c r="K11" s="125"/>
      <c r="L11" s="125"/>
      <c r="M11" s="125"/>
      <c r="N11" s="125"/>
    </row>
    <row r="12" spans="1:14">
      <c r="A12" s="125"/>
      <c r="B12" s="134" t="s">
        <v>30</v>
      </c>
      <c r="C12" s="159">
        <v>211</v>
      </c>
      <c r="D12" s="160">
        <v>332</v>
      </c>
      <c r="E12" s="135">
        <v>366</v>
      </c>
      <c r="F12" s="136">
        <v>823</v>
      </c>
      <c r="G12" s="152">
        <f t="shared" si="0"/>
        <v>577</v>
      </c>
      <c r="H12" s="136">
        <f t="shared" si="1"/>
        <v>1155</v>
      </c>
      <c r="I12" s="133">
        <v>918</v>
      </c>
      <c r="J12" s="125"/>
      <c r="K12" s="125"/>
      <c r="L12" s="125"/>
      <c r="M12" s="125"/>
      <c r="N12" s="125"/>
    </row>
    <row r="13" spans="1:14">
      <c r="A13" s="125"/>
      <c r="B13" s="134" t="s">
        <v>31</v>
      </c>
      <c r="C13" s="159">
        <v>205</v>
      </c>
      <c r="D13" s="160">
        <v>335</v>
      </c>
      <c r="E13" s="135">
        <v>365</v>
      </c>
      <c r="F13" s="136">
        <v>818</v>
      </c>
      <c r="G13" s="152">
        <f t="shared" si="0"/>
        <v>570</v>
      </c>
      <c r="H13" s="136">
        <f t="shared" si="1"/>
        <v>1153</v>
      </c>
      <c r="I13" s="133">
        <v>918</v>
      </c>
      <c r="J13" s="125"/>
      <c r="K13" s="125"/>
      <c r="L13" s="125"/>
      <c r="M13" s="125"/>
      <c r="N13" s="125"/>
    </row>
    <row r="14" spans="1:14">
      <c r="A14" s="125"/>
      <c r="B14" s="134" t="s">
        <v>32</v>
      </c>
      <c r="C14" s="159">
        <v>230</v>
      </c>
      <c r="D14" s="160">
        <v>344</v>
      </c>
      <c r="E14" s="135">
        <v>369</v>
      </c>
      <c r="F14" s="136">
        <v>826</v>
      </c>
      <c r="G14" s="152">
        <f t="shared" si="0"/>
        <v>599</v>
      </c>
      <c r="H14" s="136">
        <f t="shared" si="1"/>
        <v>1170</v>
      </c>
      <c r="I14" s="133">
        <v>918</v>
      </c>
      <c r="J14" s="125"/>
      <c r="K14" s="125"/>
      <c r="L14" s="125"/>
      <c r="M14" s="125"/>
      <c r="N14" s="125"/>
    </row>
    <row r="15" spans="1:14">
      <c r="A15" s="125"/>
      <c r="B15" s="134" t="s">
        <v>33</v>
      </c>
      <c r="C15" s="159">
        <v>256</v>
      </c>
      <c r="D15" s="160">
        <v>356</v>
      </c>
      <c r="E15" s="135">
        <v>370</v>
      </c>
      <c r="F15" s="136">
        <v>828</v>
      </c>
      <c r="G15" s="152">
        <f t="shared" si="0"/>
        <v>626</v>
      </c>
      <c r="H15" s="136">
        <f t="shared" ref="H15:H40" si="2">D15+F15</f>
        <v>1184</v>
      </c>
      <c r="I15" s="133">
        <v>918</v>
      </c>
      <c r="J15" s="125"/>
      <c r="K15" s="125"/>
      <c r="L15" s="125"/>
      <c r="M15" s="125"/>
      <c r="N15" s="125"/>
    </row>
    <row r="16" spans="1:14">
      <c r="A16" s="125"/>
      <c r="B16" s="134" t="s">
        <v>34</v>
      </c>
      <c r="C16" s="159">
        <v>286</v>
      </c>
      <c r="D16" s="160">
        <v>405</v>
      </c>
      <c r="E16" s="135">
        <v>369</v>
      </c>
      <c r="F16" s="136">
        <v>819</v>
      </c>
      <c r="G16" s="152">
        <f t="shared" si="0"/>
        <v>655</v>
      </c>
      <c r="H16" s="136">
        <f t="shared" si="2"/>
        <v>1224</v>
      </c>
      <c r="I16" s="133">
        <v>918</v>
      </c>
      <c r="J16" s="125"/>
      <c r="K16" s="125"/>
      <c r="L16" s="125"/>
      <c r="M16" s="125"/>
      <c r="N16" s="125"/>
    </row>
    <row r="17" spans="1:14">
      <c r="A17" s="125"/>
      <c r="B17" s="134" t="s">
        <v>35</v>
      </c>
      <c r="C17" s="159">
        <v>301</v>
      </c>
      <c r="D17" s="160">
        <v>433</v>
      </c>
      <c r="E17" s="135">
        <v>369</v>
      </c>
      <c r="F17" s="136">
        <v>823</v>
      </c>
      <c r="G17" s="152">
        <f t="shared" si="0"/>
        <v>670</v>
      </c>
      <c r="H17" s="136">
        <f t="shared" si="2"/>
        <v>1256</v>
      </c>
      <c r="I17" s="133">
        <v>918</v>
      </c>
      <c r="J17" s="125"/>
      <c r="K17" s="125"/>
      <c r="L17" s="125"/>
      <c r="M17" s="125"/>
      <c r="N17" s="125"/>
    </row>
    <row r="18" spans="1:14">
      <c r="A18" s="125"/>
      <c r="B18" s="134" t="s">
        <v>36</v>
      </c>
      <c r="C18" s="159">
        <v>283</v>
      </c>
      <c r="D18" s="160">
        <v>423</v>
      </c>
      <c r="E18" s="135">
        <v>368</v>
      </c>
      <c r="F18" s="136">
        <v>821</v>
      </c>
      <c r="G18" s="152">
        <f t="shared" si="0"/>
        <v>651</v>
      </c>
      <c r="H18" s="136">
        <f t="shared" si="2"/>
        <v>1244</v>
      </c>
      <c r="I18" s="133">
        <v>918</v>
      </c>
      <c r="J18" s="125"/>
      <c r="K18" s="125"/>
      <c r="L18" s="125"/>
      <c r="M18" s="125"/>
      <c r="N18" s="125"/>
    </row>
    <row r="19" spans="1:14">
      <c r="A19" s="125"/>
      <c r="B19" s="134" t="s">
        <v>37</v>
      </c>
      <c r="C19" s="159">
        <v>262</v>
      </c>
      <c r="D19" s="160">
        <v>430</v>
      </c>
      <c r="E19" s="135">
        <v>367</v>
      </c>
      <c r="F19" s="136">
        <v>817</v>
      </c>
      <c r="G19" s="152">
        <f t="shared" si="0"/>
        <v>629</v>
      </c>
      <c r="H19" s="136">
        <f t="shared" si="2"/>
        <v>1247</v>
      </c>
      <c r="I19" s="133">
        <v>918</v>
      </c>
      <c r="J19" s="125"/>
      <c r="K19" s="125"/>
      <c r="L19" s="125"/>
      <c r="M19" s="125"/>
      <c r="N19" s="125"/>
    </row>
    <row r="20" spans="1:14">
      <c r="A20" s="125"/>
      <c r="B20" s="134" t="s">
        <v>38</v>
      </c>
      <c r="C20" s="159">
        <v>245</v>
      </c>
      <c r="D20" s="160">
        <v>401</v>
      </c>
      <c r="E20" s="135">
        <v>368</v>
      </c>
      <c r="F20" s="136">
        <v>820</v>
      </c>
      <c r="G20" s="152">
        <f t="shared" si="0"/>
        <v>613</v>
      </c>
      <c r="H20" s="136">
        <f t="shared" si="2"/>
        <v>1221</v>
      </c>
      <c r="I20" s="133">
        <v>918</v>
      </c>
      <c r="J20" s="125"/>
      <c r="K20" s="125"/>
      <c r="L20" s="125"/>
      <c r="M20" s="125"/>
      <c r="N20" s="125"/>
    </row>
    <row r="21" spans="1:14">
      <c r="A21" s="125"/>
      <c r="B21" s="134" t="s">
        <v>39</v>
      </c>
      <c r="C21" s="159">
        <v>241</v>
      </c>
      <c r="D21" s="160">
        <v>359</v>
      </c>
      <c r="E21" s="152">
        <v>370</v>
      </c>
      <c r="F21" s="136">
        <v>824</v>
      </c>
      <c r="G21" s="152">
        <f t="shared" ref="G21:G34" si="3">SUM(C21+E21)</f>
        <v>611</v>
      </c>
      <c r="H21" s="136">
        <f t="shared" ref="H21:H34" si="4">D21+F21</f>
        <v>1183</v>
      </c>
      <c r="I21" s="133">
        <v>918</v>
      </c>
      <c r="J21" s="125"/>
      <c r="K21" s="125"/>
      <c r="L21" s="125"/>
      <c r="M21" s="125"/>
      <c r="N21" s="125"/>
    </row>
    <row r="22" spans="1:14">
      <c r="A22" s="125"/>
      <c r="B22" s="134" t="s">
        <v>40</v>
      </c>
      <c r="C22" s="159">
        <v>279</v>
      </c>
      <c r="D22" s="160">
        <v>412</v>
      </c>
      <c r="E22" s="152">
        <v>368</v>
      </c>
      <c r="F22" s="136">
        <v>824</v>
      </c>
      <c r="G22" s="152">
        <f t="shared" si="3"/>
        <v>647</v>
      </c>
      <c r="H22" s="136">
        <f t="shared" si="4"/>
        <v>1236</v>
      </c>
      <c r="I22" s="133">
        <v>918</v>
      </c>
      <c r="J22" s="125"/>
      <c r="K22" s="125"/>
      <c r="L22" s="125"/>
      <c r="M22" s="125"/>
      <c r="N22" s="125"/>
    </row>
    <row r="23" spans="1:14">
      <c r="A23" s="125"/>
      <c r="B23" s="134" t="s">
        <v>41</v>
      </c>
      <c r="C23" s="159">
        <v>297</v>
      </c>
      <c r="D23" s="160">
        <v>433</v>
      </c>
      <c r="E23" s="152">
        <v>365</v>
      </c>
      <c r="F23" s="136">
        <v>811</v>
      </c>
      <c r="G23" s="152">
        <f t="shared" si="3"/>
        <v>662</v>
      </c>
      <c r="H23" s="136">
        <f t="shared" si="4"/>
        <v>1244</v>
      </c>
      <c r="I23" s="133">
        <v>918</v>
      </c>
      <c r="J23" s="125"/>
      <c r="K23" s="125"/>
      <c r="L23" s="125"/>
      <c r="M23" s="125"/>
      <c r="N23" s="125"/>
    </row>
    <row r="24" spans="1:14">
      <c r="A24" s="125"/>
      <c r="B24" s="134" t="s">
        <v>42</v>
      </c>
      <c r="C24" s="159">
        <v>294</v>
      </c>
      <c r="D24" s="160">
        <v>426</v>
      </c>
      <c r="E24" s="152">
        <v>368</v>
      </c>
      <c r="F24" s="136">
        <v>814</v>
      </c>
      <c r="G24" s="152">
        <f t="shared" si="3"/>
        <v>662</v>
      </c>
      <c r="H24" s="136">
        <f t="shared" si="4"/>
        <v>1240</v>
      </c>
      <c r="I24" s="133">
        <v>918</v>
      </c>
      <c r="J24" s="125"/>
      <c r="K24" s="125"/>
      <c r="L24" s="125"/>
      <c r="M24" s="125"/>
      <c r="N24" s="125"/>
    </row>
    <row r="25" spans="1:14">
      <c r="A25" s="125"/>
      <c r="B25" s="134" t="s">
        <v>43</v>
      </c>
      <c r="C25" s="159">
        <v>315</v>
      </c>
      <c r="D25" s="160">
        <v>443</v>
      </c>
      <c r="E25" s="152">
        <v>365</v>
      </c>
      <c r="F25" s="136">
        <v>809</v>
      </c>
      <c r="G25" s="152">
        <f t="shared" si="3"/>
        <v>680</v>
      </c>
      <c r="H25" s="136">
        <f t="shared" si="4"/>
        <v>1252</v>
      </c>
      <c r="I25" s="133">
        <v>918</v>
      </c>
      <c r="J25" s="125"/>
      <c r="K25" s="125"/>
      <c r="L25" s="125"/>
      <c r="M25" s="125"/>
      <c r="N25" s="125"/>
    </row>
    <row r="26" spans="1:14">
      <c r="A26" s="125"/>
      <c r="B26" s="134" t="s">
        <v>44</v>
      </c>
      <c r="C26" s="159">
        <v>291</v>
      </c>
      <c r="D26" s="160">
        <v>456</v>
      </c>
      <c r="E26" s="152">
        <v>369</v>
      </c>
      <c r="F26" s="136">
        <v>821</v>
      </c>
      <c r="G26" s="152">
        <f t="shared" si="3"/>
        <v>660</v>
      </c>
      <c r="H26" s="136">
        <f t="shared" si="4"/>
        <v>1277</v>
      </c>
      <c r="I26" s="133">
        <v>918</v>
      </c>
      <c r="J26" s="125"/>
      <c r="K26" s="125"/>
      <c r="L26" s="125"/>
      <c r="M26" s="125"/>
      <c r="N26" s="125"/>
    </row>
    <row r="27" spans="1:14">
      <c r="A27" s="125"/>
      <c r="B27" s="134" t="s">
        <v>45</v>
      </c>
      <c r="C27" s="159">
        <v>287</v>
      </c>
      <c r="D27" s="160">
        <v>461</v>
      </c>
      <c r="E27" s="152">
        <v>371</v>
      </c>
      <c r="F27" s="136">
        <v>826</v>
      </c>
      <c r="G27" s="152">
        <f t="shared" si="3"/>
        <v>658</v>
      </c>
      <c r="H27" s="136">
        <f t="shared" si="4"/>
        <v>1287</v>
      </c>
      <c r="I27" s="133">
        <v>918</v>
      </c>
      <c r="J27" s="125"/>
      <c r="K27" s="125"/>
      <c r="L27" s="125"/>
      <c r="M27" s="125"/>
      <c r="N27" s="125"/>
    </row>
    <row r="28" spans="1:14">
      <c r="A28" s="125"/>
      <c r="B28" s="134" t="s">
        <v>46</v>
      </c>
      <c r="C28" s="159">
        <v>279</v>
      </c>
      <c r="D28" s="160">
        <v>402</v>
      </c>
      <c r="E28" s="152">
        <v>371</v>
      </c>
      <c r="F28" s="136">
        <v>828</v>
      </c>
      <c r="G28" s="152">
        <f t="shared" si="3"/>
        <v>650</v>
      </c>
      <c r="H28" s="136">
        <f t="shared" si="4"/>
        <v>1230</v>
      </c>
      <c r="I28" s="133">
        <v>918</v>
      </c>
      <c r="J28" s="125"/>
      <c r="K28" s="125"/>
      <c r="L28" s="125"/>
      <c r="M28" s="125"/>
      <c r="N28" s="125"/>
    </row>
    <row r="29" spans="1:14">
      <c r="A29" s="125"/>
      <c r="B29" s="134" t="s">
        <v>47</v>
      </c>
      <c r="C29" s="135">
        <v>340</v>
      </c>
      <c r="D29" s="136">
        <v>454</v>
      </c>
      <c r="E29" s="152">
        <v>369</v>
      </c>
      <c r="F29" s="136">
        <v>826</v>
      </c>
      <c r="G29" s="152">
        <f t="shared" si="3"/>
        <v>709</v>
      </c>
      <c r="H29" s="136">
        <f t="shared" si="4"/>
        <v>1280</v>
      </c>
      <c r="I29" s="133">
        <v>918</v>
      </c>
      <c r="J29" s="125"/>
      <c r="K29" s="125"/>
      <c r="L29" s="125"/>
      <c r="M29" s="125"/>
      <c r="N29" s="125"/>
    </row>
    <row r="30" spans="1:14">
      <c r="A30" s="125"/>
      <c r="B30" s="134" t="s">
        <v>48</v>
      </c>
      <c r="C30" s="135">
        <v>353</v>
      </c>
      <c r="D30" s="136">
        <v>462</v>
      </c>
      <c r="E30" s="152">
        <v>366</v>
      </c>
      <c r="F30" s="136">
        <v>822</v>
      </c>
      <c r="G30" s="152">
        <f t="shared" si="3"/>
        <v>719</v>
      </c>
      <c r="H30" s="136">
        <f t="shared" si="4"/>
        <v>1284</v>
      </c>
      <c r="I30" s="133">
        <v>918</v>
      </c>
      <c r="J30" s="125"/>
      <c r="K30" s="125"/>
      <c r="L30" s="125"/>
      <c r="M30" s="125"/>
      <c r="N30" s="125"/>
    </row>
    <row r="31" spans="1:14">
      <c r="A31" s="125"/>
      <c r="B31" s="134" t="s">
        <v>49</v>
      </c>
      <c r="C31" s="135">
        <v>348</v>
      </c>
      <c r="D31" s="136">
        <v>463</v>
      </c>
      <c r="E31" s="152">
        <v>369</v>
      </c>
      <c r="F31" s="136">
        <v>827</v>
      </c>
      <c r="G31" s="152">
        <f t="shared" si="3"/>
        <v>717</v>
      </c>
      <c r="H31" s="136">
        <f t="shared" si="4"/>
        <v>1290</v>
      </c>
      <c r="I31" s="133">
        <v>918</v>
      </c>
      <c r="J31" s="125"/>
      <c r="K31" s="125"/>
      <c r="L31" s="125"/>
      <c r="M31" s="125"/>
      <c r="N31" s="125"/>
    </row>
    <row r="32" spans="1:14">
      <c r="A32" s="125"/>
      <c r="B32" s="134" t="s">
        <v>50</v>
      </c>
      <c r="C32" s="135">
        <v>320</v>
      </c>
      <c r="D32" s="136">
        <v>439</v>
      </c>
      <c r="E32" s="152">
        <v>368</v>
      </c>
      <c r="F32" s="136">
        <v>827</v>
      </c>
      <c r="G32" s="152">
        <f t="shared" si="3"/>
        <v>688</v>
      </c>
      <c r="H32" s="136">
        <f t="shared" si="4"/>
        <v>1266</v>
      </c>
      <c r="I32" s="133">
        <v>918</v>
      </c>
      <c r="J32" s="125"/>
      <c r="K32" s="125"/>
      <c r="L32" s="125"/>
      <c r="M32" s="125"/>
      <c r="N32" s="125"/>
    </row>
    <row r="33" spans="1:14">
      <c r="A33" s="125"/>
      <c r="B33" s="134" t="s">
        <v>51</v>
      </c>
      <c r="C33" s="135">
        <v>267</v>
      </c>
      <c r="D33" s="136">
        <v>394</v>
      </c>
      <c r="E33" s="152">
        <v>369</v>
      </c>
      <c r="F33" s="136">
        <v>828</v>
      </c>
      <c r="G33" s="152">
        <f t="shared" si="3"/>
        <v>636</v>
      </c>
      <c r="H33" s="136">
        <f t="shared" si="4"/>
        <v>1222</v>
      </c>
      <c r="I33" s="133">
        <v>918</v>
      </c>
      <c r="J33" s="125"/>
      <c r="K33" s="125"/>
      <c r="L33" s="125"/>
      <c r="M33" s="125"/>
      <c r="N33" s="125"/>
    </row>
    <row r="34" spans="1:14">
      <c r="A34" s="125"/>
      <c r="B34" s="134" t="s">
        <v>52</v>
      </c>
      <c r="C34" s="135">
        <v>240</v>
      </c>
      <c r="D34" s="136">
        <v>364</v>
      </c>
      <c r="E34" s="152">
        <v>373</v>
      </c>
      <c r="F34" s="136">
        <v>837</v>
      </c>
      <c r="G34" s="152">
        <f t="shared" si="3"/>
        <v>613</v>
      </c>
      <c r="H34" s="136">
        <f t="shared" si="4"/>
        <v>1201</v>
      </c>
      <c r="I34" s="133">
        <v>918</v>
      </c>
      <c r="J34" s="125"/>
      <c r="K34" s="125"/>
      <c r="L34" s="125"/>
      <c r="M34" s="125"/>
      <c r="N34" s="125"/>
    </row>
    <row r="35" spans="1:14">
      <c r="A35" s="125"/>
      <c r="B35" s="134" t="s">
        <v>53</v>
      </c>
      <c r="C35" s="135">
        <v>260</v>
      </c>
      <c r="D35" s="136">
        <v>383</v>
      </c>
      <c r="E35" s="135">
        <v>373</v>
      </c>
      <c r="F35" s="136">
        <v>834</v>
      </c>
      <c r="G35" s="152">
        <f t="shared" si="0"/>
        <v>633</v>
      </c>
      <c r="H35" s="136">
        <f t="shared" si="2"/>
        <v>1217</v>
      </c>
      <c r="I35" s="133">
        <v>918</v>
      </c>
      <c r="J35" s="125"/>
      <c r="K35" s="125"/>
      <c r="L35" s="125"/>
      <c r="M35" s="125"/>
      <c r="N35" s="125"/>
    </row>
    <row r="36" spans="1:14">
      <c r="A36" s="125"/>
      <c r="B36" s="134" t="s">
        <v>54</v>
      </c>
      <c r="C36" s="135">
        <v>329</v>
      </c>
      <c r="D36" s="136">
        <v>476</v>
      </c>
      <c r="E36" s="135">
        <v>370</v>
      </c>
      <c r="F36" s="136">
        <v>828</v>
      </c>
      <c r="G36" s="152">
        <f t="shared" si="0"/>
        <v>699</v>
      </c>
      <c r="H36" s="136">
        <f t="shared" si="2"/>
        <v>1304</v>
      </c>
      <c r="I36" s="133">
        <v>918</v>
      </c>
      <c r="J36" s="125"/>
      <c r="K36" s="125"/>
      <c r="L36" s="125"/>
      <c r="M36" s="125"/>
      <c r="N36" s="125"/>
    </row>
    <row r="37" spans="1:14">
      <c r="A37" s="125"/>
      <c r="B37" s="134" t="s">
        <v>55</v>
      </c>
      <c r="C37" s="135">
        <v>335</v>
      </c>
      <c r="D37" s="136">
        <v>478</v>
      </c>
      <c r="E37" s="135">
        <v>356</v>
      </c>
      <c r="F37" s="136">
        <v>799</v>
      </c>
      <c r="G37" s="152">
        <f t="shared" si="0"/>
        <v>691</v>
      </c>
      <c r="H37" s="136">
        <f t="shared" si="2"/>
        <v>1277</v>
      </c>
      <c r="I37" s="133">
        <v>918</v>
      </c>
      <c r="J37" s="125"/>
      <c r="K37" s="125"/>
      <c r="L37" s="125"/>
      <c r="M37" s="125"/>
      <c r="N37" s="125"/>
    </row>
    <row r="38" spans="1:14" s="162" customFormat="1">
      <c r="A38" s="157"/>
      <c r="B38" s="158" t="s">
        <v>56</v>
      </c>
      <c r="C38" s="196"/>
      <c r="D38" s="197"/>
      <c r="E38" s="196"/>
      <c r="F38" s="197"/>
      <c r="G38" s="198">
        <f t="shared" si="0"/>
        <v>0</v>
      </c>
      <c r="H38" s="197">
        <f t="shared" si="2"/>
        <v>0</v>
      </c>
      <c r="I38" s="161">
        <v>918</v>
      </c>
      <c r="J38" s="157"/>
      <c r="K38" s="157"/>
      <c r="L38" s="157"/>
      <c r="M38" s="157"/>
      <c r="N38" s="157"/>
    </row>
    <row r="39" spans="1:14" s="162" customFormat="1">
      <c r="A39" s="157"/>
      <c r="B39" s="158" t="s">
        <v>57</v>
      </c>
      <c r="C39" s="196"/>
      <c r="D39" s="197"/>
      <c r="E39" s="196"/>
      <c r="F39" s="197"/>
      <c r="G39" s="198">
        <f t="shared" si="0"/>
        <v>0</v>
      </c>
      <c r="H39" s="197">
        <f t="shared" si="2"/>
        <v>0</v>
      </c>
      <c r="I39" s="161">
        <v>918</v>
      </c>
      <c r="J39" s="157"/>
      <c r="K39" s="157"/>
      <c r="L39" s="157"/>
      <c r="M39" s="157"/>
      <c r="N39" s="157"/>
    </row>
    <row r="40" spans="1:14" s="162" customFormat="1" ht="15.75" thickBot="1">
      <c r="A40" s="157"/>
      <c r="B40" s="158" t="s">
        <v>58</v>
      </c>
      <c r="C40" s="199"/>
      <c r="D40" s="200"/>
      <c r="E40" s="199"/>
      <c r="F40" s="200"/>
      <c r="G40" s="201">
        <f t="shared" si="0"/>
        <v>0</v>
      </c>
      <c r="H40" s="200">
        <f t="shared" si="2"/>
        <v>0</v>
      </c>
      <c r="I40" s="161">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EL'!AP8</f>
        <v>37575</v>
      </c>
      <c r="F2" s="97"/>
      <c r="G2" s="97">
        <f>'Athens Daily - Gas'!BH9</f>
        <v>183150.71999999991</v>
      </c>
      <c r="H2" s="97">
        <f>G2/38.3</f>
        <v>4782.0031331592672</v>
      </c>
      <c r="I2" s="97"/>
      <c r="J2" s="97">
        <f>'Athens Daily - Water'!R7</f>
        <v>616.81600000000003</v>
      </c>
      <c r="K2" s="97"/>
      <c r="L2" s="98">
        <v>142</v>
      </c>
      <c r="M2" s="97">
        <f>L2*2</f>
        <v>284</v>
      </c>
      <c r="N2" s="95">
        <v>10</v>
      </c>
    </row>
    <row r="3" spans="1:14">
      <c r="A3" s="7" t="s">
        <v>14</v>
      </c>
      <c r="B3" s="7">
        <v>2</v>
      </c>
      <c r="C3" s="7">
        <v>1</v>
      </c>
      <c r="D3" s="7">
        <v>2021</v>
      </c>
      <c r="E3" s="97">
        <f>'Athens Daily - EL'!AP9</f>
        <v>40685</v>
      </c>
      <c r="F3" s="97"/>
      <c r="G3" s="97">
        <f>'Athens Daily - Gas'!BH11</f>
        <v>155390.59199999995</v>
      </c>
      <c r="H3" s="97">
        <f t="shared" ref="H3:H32" si="0">G3/38.3</f>
        <v>4057.1956135770224</v>
      </c>
      <c r="I3" s="97"/>
      <c r="J3" s="97">
        <f>'Athens Daily - Water'!R8</f>
        <v>611.58259999999996</v>
      </c>
      <c r="K3" s="97"/>
      <c r="L3" s="98">
        <v>102</v>
      </c>
      <c r="M3" s="97">
        <f t="shared" ref="M3:M32" si="1">L3*2</f>
        <v>204</v>
      </c>
      <c r="N3" s="95">
        <v>12</v>
      </c>
    </row>
    <row r="4" spans="1:14">
      <c r="A4" s="7" t="s">
        <v>14</v>
      </c>
      <c r="B4" s="7">
        <v>3</v>
      </c>
      <c r="C4" s="7">
        <v>1</v>
      </c>
      <c r="D4" s="7">
        <v>2021</v>
      </c>
      <c r="E4" s="97">
        <f>'Athens Daily - EL'!AP10</f>
        <v>38340</v>
      </c>
      <c r="F4" s="97"/>
      <c r="G4" s="97">
        <f>'Athens Daily - Gas'!BH12</f>
        <v>162495.21600000001</v>
      </c>
      <c r="H4" s="97">
        <f t="shared" si="0"/>
        <v>4242.6949347258496</v>
      </c>
      <c r="I4" s="97"/>
      <c r="J4" s="97">
        <f>'Athens Daily - Water'!R9</f>
        <v>555.79740000000004</v>
      </c>
      <c r="K4" s="97"/>
      <c r="L4" s="98">
        <v>55</v>
      </c>
      <c r="M4" s="97">
        <f t="shared" si="1"/>
        <v>110</v>
      </c>
      <c r="N4" s="95">
        <v>15</v>
      </c>
    </row>
    <row r="5" spans="1:14">
      <c r="A5" s="7" t="s">
        <v>14</v>
      </c>
      <c r="B5" s="7">
        <v>4</v>
      </c>
      <c r="C5" s="7">
        <v>1</v>
      </c>
      <c r="D5" s="7">
        <v>2021</v>
      </c>
      <c r="E5" s="97">
        <f>'Athens Daily - EL'!AP11</f>
        <v>36965</v>
      </c>
      <c r="F5" s="97"/>
      <c r="G5" s="97">
        <f>'Athens Daily - Gas'!BH13</f>
        <v>174425.23200000002</v>
      </c>
      <c r="H5" s="97">
        <f t="shared" si="0"/>
        <v>4554.1836031331604</v>
      </c>
      <c r="I5" s="97"/>
      <c r="J5" s="97">
        <f>'Athens Daily - Water'!R10</f>
        <v>619.97</v>
      </c>
      <c r="K5" s="97"/>
      <c r="L5" s="98">
        <v>45</v>
      </c>
      <c r="M5" s="97">
        <f t="shared" si="1"/>
        <v>90</v>
      </c>
      <c r="N5" s="95">
        <v>17</v>
      </c>
    </row>
    <row r="6" spans="1:14">
      <c r="A6" s="7" t="s">
        <v>14</v>
      </c>
      <c r="B6" s="7">
        <v>5</v>
      </c>
      <c r="C6" s="7">
        <v>1</v>
      </c>
      <c r="D6" s="7">
        <v>2021</v>
      </c>
      <c r="E6" s="97">
        <f>'Athens Daily - EL'!AP12</f>
        <v>35665</v>
      </c>
      <c r="F6" s="97"/>
      <c r="G6" s="97">
        <f>'Athens Daily - Gas'!BH14</f>
        <v>182903.18400000004</v>
      </c>
      <c r="H6" s="97">
        <f t="shared" si="0"/>
        <v>4775.5400522193222</v>
      </c>
      <c r="I6" s="97"/>
      <c r="J6" s="97">
        <f>'Athens Daily - Water'!R11</f>
        <v>618.85</v>
      </c>
      <c r="K6" s="97"/>
      <c r="L6" s="98">
        <v>34</v>
      </c>
      <c r="M6" s="97">
        <f t="shared" si="1"/>
        <v>68</v>
      </c>
      <c r="N6" s="95">
        <v>15</v>
      </c>
    </row>
    <row r="7" spans="1:14">
      <c r="A7" s="7" t="s">
        <v>14</v>
      </c>
      <c r="B7" s="7">
        <v>6</v>
      </c>
      <c r="C7" s="7">
        <v>1</v>
      </c>
      <c r="D7" s="7">
        <v>2021</v>
      </c>
      <c r="E7" s="97">
        <f>'Athens Daily - EL'!AP13</f>
        <v>33735</v>
      </c>
      <c r="F7" s="97"/>
      <c r="G7" s="97">
        <f>'Athens Daily - Gas'!BH15</f>
        <v>162166.75199999992</v>
      </c>
      <c r="H7" s="97">
        <f t="shared" si="0"/>
        <v>4234.1188511749333</v>
      </c>
      <c r="I7" s="97"/>
      <c r="J7" s="97">
        <f>'Athens Daily - Water'!R12</f>
        <v>593.15</v>
      </c>
      <c r="K7" s="97"/>
      <c r="L7" s="98">
        <v>36</v>
      </c>
      <c r="M7" s="97">
        <f t="shared" si="1"/>
        <v>72</v>
      </c>
      <c r="N7" s="95"/>
    </row>
    <row r="8" spans="1:14">
      <c r="A8" s="7" t="s">
        <v>14</v>
      </c>
      <c r="B8" s="7">
        <v>7</v>
      </c>
      <c r="C8" s="7">
        <v>1</v>
      </c>
      <c r="D8" s="7">
        <v>2021</v>
      </c>
      <c r="E8" s="97">
        <f>'Athens Daily - EL'!AP14</f>
        <v>38405</v>
      </c>
      <c r="F8" s="97"/>
      <c r="G8" s="97">
        <f>'Athens Daily - Gas'!BH16</f>
        <v>158292.76800000001</v>
      </c>
      <c r="H8" s="97">
        <f t="shared" si="0"/>
        <v>4132.9704438642302</v>
      </c>
      <c r="I8" s="97"/>
      <c r="J8" s="97">
        <f>'Athens Daily - Water'!R13</f>
        <v>554.4</v>
      </c>
      <c r="K8" s="97"/>
      <c r="L8" s="98">
        <v>60</v>
      </c>
      <c r="M8" s="97">
        <f t="shared" si="1"/>
        <v>120</v>
      </c>
      <c r="N8" s="95"/>
    </row>
    <row r="9" spans="1:14">
      <c r="A9" s="7" t="s">
        <v>14</v>
      </c>
      <c r="B9" s="7">
        <v>8</v>
      </c>
      <c r="C9" s="7">
        <v>1</v>
      </c>
      <c r="D9" s="7">
        <v>2021</v>
      </c>
      <c r="E9" s="97">
        <f>'Athens Daily - EL'!AP15</f>
        <v>35250</v>
      </c>
      <c r="F9" s="97"/>
      <c r="G9" s="97">
        <f>'Athens Daily - Gas'!BH17</f>
        <v>158842.22399999999</v>
      </c>
      <c r="H9" s="97">
        <f t="shared" si="0"/>
        <v>4147.3165535248045</v>
      </c>
      <c r="I9" s="97"/>
      <c r="J9" s="97">
        <f>'Athens Daily - Water'!R14</f>
        <v>603.70000000000005</v>
      </c>
      <c r="K9" s="97"/>
      <c r="L9" s="98">
        <v>64</v>
      </c>
      <c r="M9" s="97">
        <f t="shared" si="1"/>
        <v>128</v>
      </c>
      <c r="N9" s="95"/>
    </row>
    <row r="10" spans="1:14">
      <c r="A10" s="7" t="s">
        <v>14</v>
      </c>
      <c r="B10" s="7">
        <v>9</v>
      </c>
      <c r="C10" s="7">
        <v>1</v>
      </c>
      <c r="D10" s="7">
        <v>2021</v>
      </c>
      <c r="E10" s="97">
        <f>'Athens Daily - EL'!AP16</f>
        <v>37125</v>
      </c>
      <c r="F10" s="97"/>
      <c r="G10" s="97">
        <f>'Athens Daily - Gas'!BH18</f>
        <v>134119.20000000004</v>
      </c>
      <c r="H10" s="97">
        <f t="shared" si="0"/>
        <v>3501.8067885117507</v>
      </c>
      <c r="I10" s="97"/>
      <c r="J10" s="97">
        <f>'Athens Daily - Water'!R15</f>
        <v>578.6</v>
      </c>
      <c r="K10" s="97"/>
      <c r="L10" s="98">
        <v>100</v>
      </c>
      <c r="M10" s="97">
        <f t="shared" si="1"/>
        <v>200</v>
      </c>
      <c r="N10" s="95">
        <v>9</v>
      </c>
    </row>
    <row r="11" spans="1:14">
      <c r="A11" s="7" t="s">
        <v>14</v>
      </c>
      <c r="B11" s="7">
        <v>10</v>
      </c>
      <c r="C11" s="7">
        <v>1</v>
      </c>
      <c r="D11" s="7">
        <v>2021</v>
      </c>
      <c r="E11" s="97">
        <f>'Athens Daily - EL'!AP17</f>
        <v>37525</v>
      </c>
      <c r="F11" s="97"/>
      <c r="G11" s="97">
        <f>'Athens Daily - Gas'!BH19</f>
        <v>153171.984</v>
      </c>
      <c r="H11" s="97">
        <f t="shared" si="0"/>
        <v>3999.2685117493475</v>
      </c>
      <c r="I11" s="97"/>
      <c r="J11" s="97">
        <f>'Athens Daily - Water'!R16</f>
        <v>580.45000000000005</v>
      </c>
      <c r="K11" s="97"/>
      <c r="L11" s="98">
        <v>63</v>
      </c>
      <c r="M11" s="97">
        <f t="shared" si="1"/>
        <v>126</v>
      </c>
      <c r="N11" s="95">
        <v>12</v>
      </c>
    </row>
    <row r="12" spans="1:14">
      <c r="A12" s="7" t="s">
        <v>14</v>
      </c>
      <c r="B12" s="7">
        <v>11</v>
      </c>
      <c r="C12" s="7">
        <v>1</v>
      </c>
      <c r="D12" s="7">
        <v>2021</v>
      </c>
      <c r="E12" s="97">
        <f>'Athens Daily - EL'!AP18</f>
        <v>38170</v>
      </c>
      <c r="F12" s="97"/>
      <c r="G12" s="97">
        <f>'Athens Daily - Gas'!BH20</f>
        <v>164428.79999999999</v>
      </c>
      <c r="H12" s="97">
        <f t="shared" si="0"/>
        <v>4293.1801566579634</v>
      </c>
      <c r="I12" s="97"/>
      <c r="J12" s="97">
        <f>'Athens Daily - Water'!R17</f>
        <v>736.55</v>
      </c>
      <c r="K12" s="97"/>
      <c r="L12" s="98">
        <v>39</v>
      </c>
      <c r="M12" s="97">
        <f t="shared" si="1"/>
        <v>78</v>
      </c>
      <c r="N12" s="95">
        <v>12</v>
      </c>
    </row>
    <row r="13" spans="1:14">
      <c r="A13" s="7" t="s">
        <v>14</v>
      </c>
      <c r="B13" s="7">
        <v>12</v>
      </c>
      <c r="C13" s="7">
        <v>1</v>
      </c>
      <c r="D13" s="7">
        <v>2021</v>
      </c>
      <c r="E13" s="97">
        <f>'Athens Daily - EL'!AP19</f>
        <v>37160</v>
      </c>
      <c r="F13" s="97"/>
      <c r="G13" s="97">
        <f>'Athens Daily - Gas'!BH21</f>
        <v>147600</v>
      </c>
      <c r="H13" s="97">
        <f t="shared" si="0"/>
        <v>3853.7859007832899</v>
      </c>
      <c r="I13" s="97"/>
      <c r="J13" s="97">
        <f>'Athens Daily - Water'!R18</f>
        <v>690.75</v>
      </c>
      <c r="K13" s="97"/>
      <c r="L13" s="98">
        <v>43</v>
      </c>
      <c r="M13" s="97">
        <f t="shared" si="1"/>
        <v>86</v>
      </c>
      <c r="N13" s="95">
        <v>10</v>
      </c>
    </row>
    <row r="14" spans="1:14">
      <c r="A14" s="7" t="s">
        <v>14</v>
      </c>
      <c r="B14" s="7">
        <v>13</v>
      </c>
      <c r="C14" s="7">
        <v>1</v>
      </c>
      <c r="D14" s="7">
        <v>2021</v>
      </c>
      <c r="E14" s="97">
        <f>'Athens Daily - EL'!AP20</f>
        <v>39750</v>
      </c>
      <c r="F14" s="97"/>
      <c r="G14" s="97">
        <f>'Athens Daily - Gas'!BH22</f>
        <v>147091.20000000001</v>
      </c>
      <c r="H14" s="97">
        <f t="shared" si="0"/>
        <v>3840.5013054830292</v>
      </c>
      <c r="I14" s="97"/>
      <c r="J14" s="97">
        <f>'Athens Daily - Water'!R19</f>
        <v>571.6</v>
      </c>
      <c r="K14" s="97"/>
      <c r="L14" s="98">
        <v>46</v>
      </c>
      <c r="M14" s="97">
        <f t="shared" si="1"/>
        <v>92</v>
      </c>
      <c r="N14" s="95">
        <v>12</v>
      </c>
    </row>
    <row r="15" spans="1:14">
      <c r="A15" s="7" t="s">
        <v>14</v>
      </c>
      <c r="B15" s="7">
        <v>14</v>
      </c>
      <c r="C15" s="7">
        <v>1</v>
      </c>
      <c r="D15" s="7">
        <v>2021</v>
      </c>
      <c r="E15" s="97">
        <f>'Athens Daily - EL'!AP21</f>
        <v>34565</v>
      </c>
      <c r="F15" s="97"/>
      <c r="G15" s="97">
        <f>'Athens Daily - Gas'!BH23</f>
        <v>170054.39999999999</v>
      </c>
      <c r="H15" s="97">
        <f t="shared" si="0"/>
        <v>4440.0626631853784</v>
      </c>
      <c r="I15" s="97"/>
      <c r="J15" s="97">
        <f>'Athens Daily - Water'!R20</f>
        <v>548.9</v>
      </c>
      <c r="K15" s="97"/>
      <c r="L15" s="98">
        <v>55</v>
      </c>
      <c r="M15" s="97">
        <f t="shared" si="1"/>
        <v>110</v>
      </c>
      <c r="N15" s="95">
        <v>13</v>
      </c>
    </row>
    <row r="16" spans="1:14">
      <c r="A16" s="7" t="s">
        <v>14</v>
      </c>
      <c r="B16" s="7">
        <v>15</v>
      </c>
      <c r="C16" s="7">
        <v>1</v>
      </c>
      <c r="D16" s="7">
        <v>2021</v>
      </c>
      <c r="E16" s="97">
        <f>'Athens Daily - EL'!AP22</f>
        <v>35390</v>
      </c>
      <c r="F16" s="97"/>
      <c r="G16" s="97">
        <f>'Athens Daily - Gas'!BH24</f>
        <v>181680</v>
      </c>
      <c r="H16" s="97">
        <f t="shared" si="0"/>
        <v>4743.6031331592694</v>
      </c>
      <c r="I16" s="97"/>
      <c r="J16" s="97">
        <f>'Athens Daily - Water'!R21</f>
        <v>564.6</v>
      </c>
      <c r="K16" s="97"/>
      <c r="L16" s="98">
        <v>74</v>
      </c>
      <c r="M16" s="97">
        <f t="shared" si="1"/>
        <v>148</v>
      </c>
      <c r="N16" s="95">
        <v>13</v>
      </c>
    </row>
    <row r="17" spans="1:14">
      <c r="A17" s="7" t="s">
        <v>14</v>
      </c>
      <c r="B17" s="7">
        <v>16</v>
      </c>
      <c r="C17" s="7">
        <v>1</v>
      </c>
      <c r="D17" s="7">
        <v>2021</v>
      </c>
      <c r="E17" s="97">
        <f>'Athens Daily - EL'!AP23</f>
        <v>36200</v>
      </c>
      <c r="F17" s="97"/>
      <c r="G17" s="97">
        <f>'Athens Daily - Gas'!BH25</f>
        <v>180883.20000000001</v>
      </c>
      <c r="H17" s="97">
        <f t="shared" si="0"/>
        <v>4722.7989556135781</v>
      </c>
      <c r="I17" s="97"/>
      <c r="J17" s="97">
        <f>'Athens Daily - Water'!R22</f>
        <v>576.54999999999995</v>
      </c>
      <c r="K17" s="97"/>
      <c r="L17" s="98">
        <v>149</v>
      </c>
      <c r="M17" s="97">
        <f t="shared" si="1"/>
        <v>298</v>
      </c>
      <c r="N17" s="99"/>
    </row>
    <row r="18" spans="1:14">
      <c r="A18" s="7" t="s">
        <v>14</v>
      </c>
      <c r="B18" s="7">
        <v>17</v>
      </c>
      <c r="C18" s="7">
        <v>1</v>
      </c>
      <c r="D18" s="7">
        <v>2021</v>
      </c>
      <c r="E18" s="97">
        <f>'Athens Daily - EL'!AP24</f>
        <v>39110</v>
      </c>
      <c r="F18" s="97"/>
      <c r="G18" s="97">
        <f>'Athens Daily - Gas'!BH26</f>
        <v>173011.20000000001</v>
      </c>
      <c r="H18" s="97">
        <f t="shared" si="0"/>
        <v>4517.2637075718021</v>
      </c>
      <c r="I18" s="97"/>
      <c r="J18" s="97">
        <f>'Athens Daily - Water'!R23</f>
        <v>631.1</v>
      </c>
      <c r="K18" s="97"/>
      <c r="L18" s="98">
        <v>64</v>
      </c>
      <c r="M18" s="97">
        <f t="shared" si="1"/>
        <v>128</v>
      </c>
      <c r="N18" s="99"/>
    </row>
    <row r="19" spans="1:14">
      <c r="A19" s="7" t="s">
        <v>14</v>
      </c>
      <c r="B19" s="7">
        <v>18</v>
      </c>
      <c r="C19" s="7">
        <v>1</v>
      </c>
      <c r="D19" s="7">
        <v>2021</v>
      </c>
      <c r="E19" s="97">
        <f>'Athens Daily - EL'!AP25</f>
        <v>36700</v>
      </c>
      <c r="F19" s="97"/>
      <c r="G19" s="97">
        <f>'Athens Daily - Gas'!BH27</f>
        <v>155827.20000000001</v>
      </c>
      <c r="H19" s="97">
        <f t="shared" si="0"/>
        <v>4068.5953002610972</v>
      </c>
      <c r="I19" s="97"/>
      <c r="J19" s="97">
        <f>'Athens Daily - Water'!R24</f>
        <v>643.75</v>
      </c>
      <c r="K19" s="97"/>
      <c r="L19" s="98">
        <v>58</v>
      </c>
      <c r="M19" s="97">
        <f t="shared" si="1"/>
        <v>116</v>
      </c>
      <c r="N19" s="99"/>
    </row>
    <row r="20" spans="1:14">
      <c r="A20" s="7" t="s">
        <v>14</v>
      </c>
      <c r="B20" s="7">
        <v>19</v>
      </c>
      <c r="C20" s="7">
        <v>1</v>
      </c>
      <c r="D20" s="7">
        <v>2021</v>
      </c>
      <c r="E20" s="97">
        <f>'Athens Daily - EL'!AP26</f>
        <v>38605</v>
      </c>
      <c r="F20" s="97"/>
      <c r="G20" s="97">
        <f>'Athens Daily - Gas'!BH28</f>
        <v>143961.59999999998</v>
      </c>
      <c r="H20" s="97">
        <f t="shared" si="0"/>
        <v>3758.788511749347</v>
      </c>
      <c r="I20" s="97"/>
      <c r="J20" s="97">
        <f>'Athens Daily - Water'!R25</f>
        <v>669.85</v>
      </c>
      <c r="K20" s="97"/>
      <c r="L20" s="98">
        <v>69</v>
      </c>
      <c r="M20" s="97">
        <f t="shared" si="1"/>
        <v>138</v>
      </c>
      <c r="N20" s="99"/>
    </row>
    <row r="21" spans="1:14">
      <c r="A21" s="7" t="s">
        <v>14</v>
      </c>
      <c r="B21" s="7">
        <v>20</v>
      </c>
      <c r="C21" s="7">
        <v>1</v>
      </c>
      <c r="D21" s="7">
        <v>2021</v>
      </c>
      <c r="E21" s="97">
        <f>'Athens Daily - EL'!AP27</f>
        <v>36930</v>
      </c>
      <c r="F21" s="97"/>
      <c r="G21" s="97">
        <f>'Athens Daily - Gas'!BH29</f>
        <v>141686.39999999999</v>
      </c>
      <c r="H21" s="97">
        <f t="shared" si="0"/>
        <v>3699.3838120104438</v>
      </c>
      <c r="I21" s="97"/>
      <c r="J21" s="97">
        <f>'Athens Daily - Water'!R26</f>
        <v>624.70000000000005</v>
      </c>
      <c r="K21" s="97"/>
      <c r="L21" s="98">
        <v>42</v>
      </c>
      <c r="M21" s="97">
        <f t="shared" si="1"/>
        <v>84</v>
      </c>
      <c r="N21" s="95"/>
    </row>
    <row r="22" spans="1:14">
      <c r="A22" s="7" t="s">
        <v>14</v>
      </c>
      <c r="B22" s="7">
        <v>21</v>
      </c>
      <c r="C22" s="7">
        <v>1</v>
      </c>
      <c r="D22" s="7">
        <v>2021</v>
      </c>
      <c r="E22" s="97">
        <f>'Athens Daily - EL'!AP28</f>
        <v>36270</v>
      </c>
      <c r="F22" s="97"/>
      <c r="G22" s="97">
        <f>'Athens Daily - Gas'!BH30</f>
        <v>147820.79999999999</v>
      </c>
      <c r="H22" s="97">
        <f t="shared" si="0"/>
        <v>3859.5509138381199</v>
      </c>
      <c r="I22" s="97"/>
      <c r="J22" s="97">
        <f>'Athens Daily - Water'!R27</f>
        <v>554.35</v>
      </c>
      <c r="K22" s="97"/>
      <c r="L22" s="98">
        <v>45</v>
      </c>
      <c r="M22" s="97">
        <f t="shared" si="1"/>
        <v>90</v>
      </c>
      <c r="N22" s="95"/>
    </row>
    <row r="23" spans="1:14">
      <c r="A23" s="7" t="s">
        <v>14</v>
      </c>
      <c r="B23" s="7">
        <v>22</v>
      </c>
      <c r="C23" s="7">
        <v>1</v>
      </c>
      <c r="D23" s="7">
        <v>2021</v>
      </c>
      <c r="E23" s="97">
        <f>'Athens Daily - EL'!AP29</f>
        <v>36940</v>
      </c>
      <c r="F23" s="97"/>
      <c r="G23" s="97">
        <f>'Athens Daily - Gas'!BH31</f>
        <v>168672.96000000002</v>
      </c>
      <c r="H23" s="97">
        <f t="shared" si="0"/>
        <v>4403.9937336814628</v>
      </c>
      <c r="I23" s="97"/>
      <c r="J23" s="97">
        <f>'Athens Daily - Water'!R28</f>
        <v>629.4</v>
      </c>
      <c r="K23" s="97"/>
      <c r="L23" s="98">
        <v>82</v>
      </c>
      <c r="M23" s="97">
        <f t="shared" si="1"/>
        <v>164</v>
      </c>
      <c r="N23" s="95">
        <v>19</v>
      </c>
    </row>
    <row r="24" spans="1:14">
      <c r="A24" s="7" t="s">
        <v>14</v>
      </c>
      <c r="B24" s="7">
        <v>23</v>
      </c>
      <c r="C24" s="7">
        <v>1</v>
      </c>
      <c r="D24" s="7">
        <v>2021</v>
      </c>
      <c r="E24" s="97">
        <f>'Athens Daily - EL'!AP30</f>
        <v>36615</v>
      </c>
      <c r="F24" s="97"/>
      <c r="G24" s="97">
        <f>'Athens Daily - Gas'!BH32</f>
        <v>159253.87199999992</v>
      </c>
      <c r="H24" s="97">
        <f t="shared" si="0"/>
        <v>4158.0645430809382</v>
      </c>
      <c r="I24" s="97"/>
      <c r="J24" s="97">
        <f>'Athens Daily - Water'!R29</f>
        <v>676.45</v>
      </c>
      <c r="K24" s="97"/>
      <c r="L24" s="98">
        <v>170</v>
      </c>
      <c r="M24" s="97">
        <f t="shared" si="1"/>
        <v>340</v>
      </c>
      <c r="N24" s="95">
        <v>20</v>
      </c>
    </row>
    <row r="25" spans="1:14">
      <c r="A25" s="7" t="s">
        <v>14</v>
      </c>
      <c r="B25" s="7">
        <v>24</v>
      </c>
      <c r="C25" s="7">
        <v>1</v>
      </c>
      <c r="D25" s="7">
        <v>2021</v>
      </c>
      <c r="E25" s="97">
        <f>'Athens Daily - EL'!AP31</f>
        <v>36915</v>
      </c>
      <c r="F25" s="97"/>
      <c r="G25" s="97">
        <f>'Athens Daily - Gas'!BH33</f>
        <v>150272.78400000004</v>
      </c>
      <c r="H25" s="97">
        <f t="shared" si="0"/>
        <v>3923.5713838120118</v>
      </c>
      <c r="I25" s="97"/>
      <c r="J25" s="97">
        <f>'Athens Daily - Water'!R30</f>
        <v>657.5</v>
      </c>
      <c r="K25" s="97"/>
      <c r="L25" s="98">
        <v>91</v>
      </c>
      <c r="M25" s="97">
        <f t="shared" si="1"/>
        <v>182</v>
      </c>
      <c r="N25" s="95">
        <v>19</v>
      </c>
    </row>
    <row r="26" spans="1:14">
      <c r="A26" s="7" t="s">
        <v>14</v>
      </c>
      <c r="B26" s="7">
        <v>25</v>
      </c>
      <c r="C26" s="7">
        <v>1</v>
      </c>
      <c r="D26" s="7">
        <v>2021</v>
      </c>
      <c r="E26" s="97">
        <f>'Athens Daily - EL'!AP32</f>
        <v>35535</v>
      </c>
      <c r="F26" s="97"/>
      <c r="G26" s="97">
        <f>'Athens Daily - Gas'!BH34</f>
        <v>156348.91199999995</v>
      </c>
      <c r="H26" s="97">
        <f t="shared" si="0"/>
        <v>4082.2170234986934</v>
      </c>
      <c r="I26" s="97"/>
      <c r="J26" s="97">
        <f>'Athens Daily - Water'!R31</f>
        <v>604.1</v>
      </c>
      <c r="K26" s="97"/>
      <c r="L26" s="98">
        <v>56</v>
      </c>
      <c r="M26" s="97">
        <f t="shared" si="1"/>
        <v>112</v>
      </c>
      <c r="N26" s="96"/>
    </row>
    <row r="27" spans="1:14">
      <c r="A27" s="7" t="s">
        <v>14</v>
      </c>
      <c r="B27" s="7">
        <v>26</v>
      </c>
      <c r="C27" s="7">
        <v>1</v>
      </c>
      <c r="D27" s="7">
        <v>2021</v>
      </c>
      <c r="E27" s="97">
        <f>'Athens Daily - EL'!AP33</f>
        <v>33750</v>
      </c>
      <c r="F27" s="97"/>
      <c r="G27" s="97">
        <f>'Athens Daily - Gas'!BH35</f>
        <v>180460.32000000004</v>
      </c>
      <c r="H27" s="97">
        <f t="shared" si="0"/>
        <v>4711.7577023498707</v>
      </c>
      <c r="I27" s="97"/>
      <c r="J27" s="97">
        <f>'Athens Daily - Water'!R32</f>
        <v>642.9</v>
      </c>
      <c r="K27" s="97"/>
      <c r="L27" s="97"/>
      <c r="M27" s="97">
        <f t="shared" si="1"/>
        <v>0</v>
      </c>
      <c r="N27" s="96"/>
    </row>
    <row r="28" spans="1:14">
      <c r="A28" s="7" t="s">
        <v>14</v>
      </c>
      <c r="B28" s="7">
        <v>27</v>
      </c>
      <c r="C28" s="7">
        <v>1</v>
      </c>
      <c r="D28" s="7">
        <v>2021</v>
      </c>
      <c r="E28" s="97">
        <f>'Athens Daily - EL'!AP34</f>
        <v>34550</v>
      </c>
      <c r="F28" s="97"/>
      <c r="G28" s="97">
        <f>'Athens Daily - Gas'!BH36</f>
        <v>187972.46399999998</v>
      </c>
      <c r="H28" s="97">
        <f t="shared" si="0"/>
        <v>4907.897232375979</v>
      </c>
      <c r="I28" s="97"/>
      <c r="J28" s="97">
        <f>'Athens Daily - Water'!R33</f>
        <v>621.22799999999995</v>
      </c>
      <c r="K28" s="97"/>
      <c r="L28" s="97"/>
      <c r="M28" s="97">
        <f t="shared" si="1"/>
        <v>0</v>
      </c>
      <c r="N28" s="96"/>
    </row>
    <row r="29" spans="1:14">
      <c r="A29" s="7" t="s">
        <v>14</v>
      </c>
      <c r="B29" s="7">
        <v>28</v>
      </c>
      <c r="C29" s="7">
        <v>1</v>
      </c>
      <c r="D29" s="7">
        <v>2021</v>
      </c>
      <c r="E29" s="97">
        <f>'Athens Daily - EL'!AP35</f>
        <v>36955</v>
      </c>
      <c r="F29" s="97"/>
      <c r="G29" s="97" t="e">
        <f>'Athens Daily - Gas'!#REF!</f>
        <v>#REF!</v>
      </c>
      <c r="H29" s="97" t="e">
        <f t="shared" si="0"/>
        <v>#REF!</v>
      </c>
      <c r="I29" s="97"/>
      <c r="J29" s="97">
        <f>'Athens Daily - Water'!R34</f>
        <v>569.12199999999996</v>
      </c>
      <c r="K29" s="97"/>
      <c r="L29" s="97"/>
      <c r="M29" s="97">
        <f t="shared" si="1"/>
        <v>0</v>
      </c>
      <c r="N29" s="96"/>
    </row>
    <row r="30" spans="1:14">
      <c r="A30" s="7" t="s">
        <v>14</v>
      </c>
      <c r="B30" s="7">
        <v>29</v>
      </c>
      <c r="C30" s="7">
        <v>1</v>
      </c>
      <c r="D30" s="7">
        <v>2021</v>
      </c>
      <c r="E30" s="97" t="e">
        <f>'Athens Daily - EL'!#REF!</f>
        <v>#REF!</v>
      </c>
      <c r="F30" s="97"/>
      <c r="G30" s="97" t="e">
        <f>'Athens Daily - Gas'!#REF!</f>
        <v>#REF!</v>
      </c>
      <c r="H30" s="97" t="e">
        <f t="shared" si="0"/>
        <v>#REF!</v>
      </c>
      <c r="I30" s="97"/>
      <c r="J30" s="97" t="e">
        <f>'Athens Daily - Water'!#REF!</f>
        <v>#REF!</v>
      </c>
      <c r="K30" s="97"/>
      <c r="L30" s="97"/>
      <c r="M30" s="97">
        <f t="shared" si="1"/>
        <v>0</v>
      </c>
      <c r="N30" s="96"/>
    </row>
    <row r="31" spans="1:14">
      <c r="A31" s="7" t="s">
        <v>14</v>
      </c>
      <c r="B31" s="7">
        <v>30</v>
      </c>
      <c r="C31" s="7">
        <v>1</v>
      </c>
      <c r="D31" s="7">
        <v>2021</v>
      </c>
      <c r="E31" s="97" t="e">
        <f>'Athens Daily - EL'!#REF!</f>
        <v>#REF!</v>
      </c>
      <c r="F31" s="97"/>
      <c r="G31" s="97" t="e">
        <f>'Athens Daily - Gas'!#REF!</f>
        <v>#REF!</v>
      </c>
      <c r="H31" s="97" t="e">
        <f t="shared" si="0"/>
        <v>#REF!</v>
      </c>
      <c r="I31" s="97"/>
      <c r="J31" s="97" t="e">
        <f>'Athens Daily - Water'!#REF!</f>
        <v>#REF!</v>
      </c>
      <c r="K31" s="97"/>
      <c r="L31" s="97"/>
      <c r="M31" s="97">
        <f t="shared" si="1"/>
        <v>0</v>
      </c>
      <c r="N31" s="96"/>
    </row>
    <row r="32" spans="1:14">
      <c r="A32" s="7" t="s">
        <v>14</v>
      </c>
      <c r="B32" s="7">
        <v>31</v>
      </c>
      <c r="C32" s="7">
        <v>1</v>
      </c>
      <c r="D32" s="7">
        <v>2021</v>
      </c>
      <c r="E32" s="97" t="e">
        <f>'Athens Daily - EL'!#REF!</f>
        <v>#REF!</v>
      </c>
      <c r="F32" s="97"/>
      <c r="G32" s="97">
        <f>'Athens Daily - Gas'!BH37</f>
        <v>0</v>
      </c>
      <c r="H32" s="97">
        <f t="shared" si="0"/>
        <v>0</v>
      </c>
      <c r="I32" s="97"/>
      <c r="J32" s="97">
        <f>'Athens Daily - Water'!R35</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27185</v>
      </c>
      <c r="F2" s="7"/>
      <c r="G2" s="37">
        <f>'Athens Daily - Gas'!BI9</f>
        <v>109046.40000000001</v>
      </c>
      <c r="H2" s="7"/>
      <c r="I2" s="38">
        <f>'Athens Daily - Water'!S7</f>
        <v>186.55</v>
      </c>
      <c r="J2" s="7"/>
      <c r="K2" s="7">
        <v>286</v>
      </c>
      <c r="L2" s="7">
        <v>2</v>
      </c>
    </row>
    <row r="3" spans="1:12">
      <c r="A3" s="7" t="s">
        <v>14</v>
      </c>
      <c r="B3" s="7">
        <v>2</v>
      </c>
      <c r="C3" s="7">
        <v>1</v>
      </c>
      <c r="D3" s="7">
        <v>2021</v>
      </c>
      <c r="E3" s="7">
        <f>'Athens Daily - EL'!AQ9</f>
        <v>29715</v>
      </c>
      <c r="F3" s="7"/>
      <c r="G3" s="37">
        <f>'Athens Daily - Gas'!BI11</f>
        <v>93436.800000000003</v>
      </c>
      <c r="H3" s="7"/>
      <c r="I3" s="38">
        <f>'Athens Daily - Water'!S8</f>
        <v>203</v>
      </c>
      <c r="J3" s="7"/>
      <c r="K3" s="7">
        <v>285</v>
      </c>
      <c r="L3" s="7">
        <v>2</v>
      </c>
    </row>
    <row r="4" spans="1:12">
      <c r="A4" s="7" t="s">
        <v>14</v>
      </c>
      <c r="B4" s="7">
        <v>3</v>
      </c>
      <c r="C4" s="7">
        <v>1</v>
      </c>
      <c r="D4" s="7">
        <v>2021</v>
      </c>
      <c r="E4" s="7">
        <f>'Athens Daily - EL'!AQ10</f>
        <v>27410</v>
      </c>
      <c r="F4" s="7"/>
      <c r="G4" s="37">
        <f>'Athens Daily - Gas'!BI12</f>
        <v>98342.399999999994</v>
      </c>
      <c r="H4" s="7"/>
      <c r="I4" s="38">
        <f>'Athens Daily - Water'!S9</f>
        <v>180.4</v>
      </c>
      <c r="J4" s="7"/>
      <c r="K4" s="7">
        <v>282</v>
      </c>
      <c r="L4" s="7">
        <v>2</v>
      </c>
    </row>
    <row r="5" spans="1:12">
      <c r="A5" s="7" t="s">
        <v>14</v>
      </c>
      <c r="B5" s="7">
        <v>4</v>
      </c>
      <c r="C5" s="7">
        <v>1</v>
      </c>
      <c r="D5" s="7">
        <v>2021</v>
      </c>
      <c r="E5" s="7">
        <f>'Athens Daily - EL'!AQ11</f>
        <v>26705</v>
      </c>
      <c r="F5" s="7"/>
      <c r="G5" s="37">
        <f>'Athens Daily - Gas'!BI13</f>
        <v>102864</v>
      </c>
      <c r="H5" s="7"/>
      <c r="I5" s="38">
        <f>'Athens Daily - Water'!S10</f>
        <v>188.25</v>
      </c>
      <c r="J5" s="7"/>
      <c r="K5" s="7">
        <v>284</v>
      </c>
      <c r="L5" s="7">
        <v>2</v>
      </c>
    </row>
    <row r="6" spans="1:12">
      <c r="A6" s="7" t="s">
        <v>14</v>
      </c>
      <c r="B6" s="7">
        <v>5</v>
      </c>
      <c r="C6" s="7">
        <v>1</v>
      </c>
      <c r="D6" s="7">
        <v>2021</v>
      </c>
      <c r="E6" s="7">
        <f>'Athens Daily - EL'!AQ12</f>
        <v>25885</v>
      </c>
      <c r="F6" s="7"/>
      <c r="G6" s="37">
        <f>'Athens Daily - Gas'!BI14</f>
        <v>104745.60000000001</v>
      </c>
      <c r="H6" s="7"/>
      <c r="I6" s="38">
        <f>'Athens Daily - Water'!S11</f>
        <v>197.15</v>
      </c>
      <c r="J6" s="7"/>
      <c r="K6" s="7">
        <v>286</v>
      </c>
      <c r="L6" s="7">
        <v>2</v>
      </c>
    </row>
    <row r="7" spans="1:12">
      <c r="A7" s="7" t="s">
        <v>14</v>
      </c>
      <c r="B7" s="7">
        <v>6</v>
      </c>
      <c r="C7" s="7">
        <v>1</v>
      </c>
      <c r="D7" s="7">
        <v>2021</v>
      </c>
      <c r="E7" s="7">
        <f>'Athens Daily - EL'!AQ13</f>
        <v>25635</v>
      </c>
      <c r="F7" s="7"/>
      <c r="G7" s="37">
        <f>'Athens Daily - Gas'!BI15</f>
        <v>90700.800000000003</v>
      </c>
      <c r="H7" s="7"/>
      <c r="I7" s="38">
        <f>'Athens Daily - Water'!S12</f>
        <v>158.85</v>
      </c>
      <c r="J7" s="7"/>
      <c r="K7" s="7">
        <v>288</v>
      </c>
      <c r="L7" s="7">
        <v>2</v>
      </c>
    </row>
    <row r="8" spans="1:12">
      <c r="A8" s="7" t="s">
        <v>14</v>
      </c>
      <c r="B8" s="7">
        <v>7</v>
      </c>
      <c r="C8" s="7">
        <v>1</v>
      </c>
      <c r="D8" s="7">
        <v>2021</v>
      </c>
      <c r="E8" s="7">
        <f>'Athens Daily - EL'!AQ14</f>
        <v>28205</v>
      </c>
      <c r="F8" s="7"/>
      <c r="G8" s="37">
        <f>'Athens Daily - Gas'!BI16</f>
        <v>96969.600000000006</v>
      </c>
      <c r="H8" s="7"/>
      <c r="I8" s="38">
        <f>'Athens Daily - Water'!S13</f>
        <v>203.60000000000002</v>
      </c>
      <c r="J8" s="7"/>
      <c r="K8" s="7">
        <v>286</v>
      </c>
      <c r="L8" s="7">
        <v>2</v>
      </c>
    </row>
    <row r="9" spans="1:12">
      <c r="A9" s="7" t="s">
        <v>14</v>
      </c>
      <c r="B9" s="7">
        <v>8</v>
      </c>
      <c r="C9" s="7">
        <v>1</v>
      </c>
      <c r="D9" s="7">
        <v>2021</v>
      </c>
      <c r="E9" s="7">
        <f>'Athens Daily - EL'!AQ15</f>
        <v>25850</v>
      </c>
      <c r="F9" s="7"/>
      <c r="G9" s="37">
        <f>'Athens Daily - Gas'!BI17</f>
        <v>89568</v>
      </c>
      <c r="H9" s="7"/>
      <c r="I9" s="38">
        <f>'Athens Daily - Water'!S14</f>
        <v>191.3</v>
      </c>
      <c r="J9" s="7"/>
      <c r="K9" s="7">
        <v>287</v>
      </c>
      <c r="L9" s="7">
        <v>2</v>
      </c>
    </row>
    <row r="10" spans="1:12">
      <c r="A10" s="7" t="s">
        <v>14</v>
      </c>
      <c r="B10" s="7">
        <v>9</v>
      </c>
      <c r="C10" s="7">
        <v>1</v>
      </c>
      <c r="D10" s="7">
        <v>2021</v>
      </c>
      <c r="E10" s="7">
        <f>'Athens Daily - EL'!AQ16</f>
        <v>26695</v>
      </c>
      <c r="F10" s="7"/>
      <c r="G10" s="37">
        <f>'Athens Daily - Gas'!BI18</f>
        <v>80534.399999999994</v>
      </c>
      <c r="H10" s="7"/>
      <c r="I10" s="38">
        <f>'Athens Daily - Water'!S15</f>
        <v>205.4</v>
      </c>
      <c r="J10" s="7"/>
      <c r="K10" s="7">
        <v>284</v>
      </c>
      <c r="L10" s="7">
        <v>2</v>
      </c>
    </row>
    <row r="11" spans="1:12">
      <c r="A11" s="7" t="s">
        <v>14</v>
      </c>
      <c r="B11" s="7">
        <v>10</v>
      </c>
      <c r="C11" s="7">
        <v>1</v>
      </c>
      <c r="D11" s="7">
        <v>2021</v>
      </c>
      <c r="E11" s="7">
        <f>'Athens Daily - EL'!AQ17</f>
        <v>27725</v>
      </c>
      <c r="F11" s="7"/>
      <c r="G11" s="37">
        <f>'Athens Daily - Gas'!BI19</f>
        <v>88598.399999999994</v>
      </c>
      <c r="H11" s="7"/>
      <c r="I11" s="38">
        <f>'Athens Daily - Water'!S16</f>
        <v>189.55</v>
      </c>
      <c r="J11" s="7"/>
      <c r="K11" s="7">
        <v>284</v>
      </c>
      <c r="L11" s="7">
        <v>2</v>
      </c>
    </row>
    <row r="12" spans="1:12">
      <c r="A12" s="7" t="s">
        <v>14</v>
      </c>
      <c r="B12" s="7">
        <v>11</v>
      </c>
      <c r="C12" s="7">
        <v>1</v>
      </c>
      <c r="D12" s="7">
        <v>2021</v>
      </c>
      <c r="E12" s="7">
        <f>'Athens Daily - EL'!AQ18</f>
        <v>26940</v>
      </c>
      <c r="F12" s="7"/>
      <c r="G12" s="37">
        <f>'Athens Daily - Gas'!BI20</f>
        <v>90355.200000000012</v>
      </c>
      <c r="H12" s="7"/>
      <c r="I12" s="38">
        <f>'Athens Daily - Water'!S17</f>
        <v>182.45</v>
      </c>
      <c r="J12" s="7"/>
      <c r="K12" s="7">
        <v>284</v>
      </c>
      <c r="L12" s="7">
        <v>2</v>
      </c>
    </row>
    <row r="13" spans="1:12">
      <c r="A13" s="7" t="s">
        <v>14</v>
      </c>
      <c r="B13" s="7">
        <v>12</v>
      </c>
      <c r="C13" s="7">
        <v>1</v>
      </c>
      <c r="D13" s="7">
        <v>2021</v>
      </c>
      <c r="E13" s="7">
        <f>'Athens Daily - EL'!AQ19</f>
        <v>27350</v>
      </c>
      <c r="F13" s="7"/>
      <c r="G13" s="37">
        <f>'Athens Daily - Gas'!BI21</f>
        <v>84864</v>
      </c>
      <c r="H13" s="7"/>
      <c r="I13" s="38">
        <f>'Athens Daily - Water'!S18</f>
        <v>199.25</v>
      </c>
      <c r="J13" s="7"/>
      <c r="K13" s="7">
        <v>286</v>
      </c>
      <c r="L13" s="7">
        <v>2</v>
      </c>
    </row>
    <row r="14" spans="1:12">
      <c r="A14" s="7" t="s">
        <v>14</v>
      </c>
      <c r="B14" s="7">
        <v>13</v>
      </c>
      <c r="C14" s="7">
        <v>1</v>
      </c>
      <c r="D14" s="7">
        <v>2021</v>
      </c>
      <c r="E14" s="7">
        <f>'Athens Daily - EL'!AQ20</f>
        <v>30700</v>
      </c>
      <c r="F14" s="7"/>
      <c r="G14" s="37">
        <f>'Athens Daily - Gas'!BI22</f>
        <v>87436.800000000003</v>
      </c>
      <c r="H14" s="7"/>
      <c r="I14" s="38">
        <f>'Athens Daily - Water'!S19</f>
        <v>189.4</v>
      </c>
      <c r="J14" s="7"/>
      <c r="K14" s="7">
        <v>287</v>
      </c>
      <c r="L14" s="7">
        <v>2</v>
      </c>
    </row>
    <row r="15" spans="1:12">
      <c r="A15" s="7" t="s">
        <v>14</v>
      </c>
      <c r="B15" s="7">
        <v>14</v>
      </c>
      <c r="C15" s="7">
        <v>1</v>
      </c>
      <c r="D15" s="7">
        <v>2021</v>
      </c>
      <c r="E15" s="7">
        <f>'Athens Daily - EL'!AQ21</f>
        <v>25635</v>
      </c>
      <c r="F15" s="7"/>
      <c r="G15" s="37">
        <f>'Athens Daily - Gas'!BI23</f>
        <v>97593.600000000006</v>
      </c>
      <c r="H15" s="7"/>
      <c r="I15" s="38">
        <f>'Athens Daily - Water'!S20</f>
        <v>184.10000000000002</v>
      </c>
      <c r="J15" s="7"/>
      <c r="K15" s="7">
        <v>287</v>
      </c>
      <c r="L15" s="7">
        <v>2</v>
      </c>
    </row>
    <row r="16" spans="1:12">
      <c r="A16" s="7" t="s">
        <v>14</v>
      </c>
      <c r="B16" s="7">
        <v>15</v>
      </c>
      <c r="C16" s="7">
        <v>1</v>
      </c>
      <c r="D16" s="7">
        <v>2021</v>
      </c>
      <c r="E16" s="7">
        <f>'Athens Daily - EL'!AQ22</f>
        <v>25720</v>
      </c>
      <c r="F16" s="7"/>
      <c r="G16" s="37">
        <f>'Athens Daily - Gas'!BI24</f>
        <v>100416</v>
      </c>
      <c r="H16" s="7"/>
      <c r="I16" s="38">
        <f>'Athens Daily - Water'!S21</f>
        <v>188.4</v>
      </c>
      <c r="J16" s="7"/>
      <c r="K16" s="7">
        <v>288</v>
      </c>
      <c r="L16" s="7">
        <v>2</v>
      </c>
    </row>
    <row r="17" spans="1:12">
      <c r="A17" s="7" t="s">
        <v>14</v>
      </c>
      <c r="B17" s="7">
        <v>16</v>
      </c>
      <c r="C17" s="7">
        <v>1</v>
      </c>
      <c r="D17" s="7">
        <v>2021</v>
      </c>
      <c r="E17" s="7">
        <f>'Athens Daily - EL'!AQ23</f>
        <v>25930</v>
      </c>
      <c r="F17" s="7"/>
      <c r="G17" s="37">
        <f>'Athens Daily - Gas'!BI25</f>
        <v>100780.8</v>
      </c>
      <c r="H17" s="7"/>
      <c r="I17" s="38">
        <f>'Athens Daily - Water'!S22</f>
        <v>178.45</v>
      </c>
      <c r="J17" s="7"/>
      <c r="K17" s="7">
        <v>288</v>
      </c>
      <c r="L17" s="7">
        <v>2</v>
      </c>
    </row>
    <row r="18" spans="1:12">
      <c r="A18" s="7" t="s">
        <v>14</v>
      </c>
      <c r="B18" s="7">
        <v>17</v>
      </c>
      <c r="C18" s="7">
        <v>1</v>
      </c>
      <c r="D18" s="7">
        <v>2021</v>
      </c>
      <c r="E18" s="7">
        <f>'Athens Daily - EL'!AQ24</f>
        <v>26440</v>
      </c>
      <c r="F18" s="7"/>
      <c r="G18" s="37">
        <f>'Athens Daily - Gas'!BI26</f>
        <v>97276.800000000003</v>
      </c>
      <c r="H18" s="7"/>
      <c r="I18" s="38">
        <f>'Athens Daily - Water'!S23</f>
        <v>209.9</v>
      </c>
      <c r="J18" s="7"/>
      <c r="K18" s="7">
        <v>288</v>
      </c>
      <c r="L18" s="7">
        <v>2</v>
      </c>
    </row>
    <row r="19" spans="1:12">
      <c r="A19" s="7" t="s">
        <v>14</v>
      </c>
      <c r="B19" s="7">
        <v>18</v>
      </c>
      <c r="C19" s="7">
        <v>1</v>
      </c>
      <c r="D19" s="7">
        <v>2021</v>
      </c>
      <c r="E19" s="7">
        <f>'Athens Daily - EL'!AQ25</f>
        <v>27010</v>
      </c>
      <c r="F19" s="7"/>
      <c r="G19" s="37">
        <f>'Athens Daily - Gas'!BI27</f>
        <v>85276.800000000003</v>
      </c>
      <c r="H19" s="7"/>
      <c r="I19" s="38">
        <f>'Athens Daily - Water'!S24</f>
        <v>192.25</v>
      </c>
      <c r="J19" s="7"/>
      <c r="K19" s="7">
        <v>291</v>
      </c>
      <c r="L19" s="7">
        <v>2</v>
      </c>
    </row>
    <row r="20" spans="1:12">
      <c r="A20" s="7" t="s">
        <v>14</v>
      </c>
      <c r="B20" s="7">
        <v>19</v>
      </c>
      <c r="C20" s="7">
        <v>1</v>
      </c>
      <c r="D20" s="7">
        <v>2021</v>
      </c>
      <c r="E20" s="7">
        <f>'Athens Daily - EL'!AQ26</f>
        <v>28675</v>
      </c>
      <c r="F20" s="7"/>
      <c r="G20" s="37">
        <f>'Athens Daily - Gas'!BI28</f>
        <v>86486.399999999994</v>
      </c>
      <c r="H20" s="7"/>
      <c r="I20" s="38">
        <f>'Athens Daily - Water'!S25</f>
        <v>211.15</v>
      </c>
      <c r="J20" s="7"/>
      <c r="K20" s="7">
        <v>290</v>
      </c>
      <c r="L20" s="7">
        <v>2</v>
      </c>
    </row>
    <row r="21" spans="1:12">
      <c r="A21" s="7" t="s">
        <v>14</v>
      </c>
      <c r="B21" s="7">
        <v>20</v>
      </c>
      <c r="C21" s="7">
        <v>1</v>
      </c>
      <c r="D21" s="7">
        <v>2021</v>
      </c>
      <c r="E21" s="7">
        <f>'Athens Daily - EL'!AQ27</f>
        <v>27400</v>
      </c>
      <c r="F21" s="7"/>
      <c r="G21" s="37">
        <f>'Athens Daily - Gas'!BI29</f>
        <v>80025.600000000006</v>
      </c>
      <c r="H21" s="7"/>
      <c r="I21" s="38">
        <f>'Athens Daily - Water'!S26</f>
        <v>207.3</v>
      </c>
      <c r="J21" s="7"/>
      <c r="K21" s="7">
        <v>292</v>
      </c>
      <c r="L21" s="7">
        <v>2</v>
      </c>
    </row>
    <row r="22" spans="1:12">
      <c r="A22" s="7" t="s">
        <v>14</v>
      </c>
      <c r="B22" s="7">
        <v>21</v>
      </c>
      <c r="C22" s="7">
        <v>1</v>
      </c>
      <c r="D22" s="7">
        <v>2021</v>
      </c>
      <c r="E22" s="7">
        <f>'Athens Daily - EL'!AQ28</f>
        <v>25980</v>
      </c>
      <c r="F22" s="7"/>
      <c r="G22" s="37">
        <f>'Athens Daily - Gas'!BI30</f>
        <v>80995.200000000012</v>
      </c>
      <c r="H22" s="7"/>
      <c r="I22" s="38">
        <f>'Athens Daily - Water'!S27</f>
        <v>198.65</v>
      </c>
      <c r="J22" s="7"/>
      <c r="K22" s="7">
        <v>293</v>
      </c>
      <c r="L22" s="7">
        <v>2</v>
      </c>
    </row>
    <row r="23" spans="1:12">
      <c r="A23" s="7" t="s">
        <v>14</v>
      </c>
      <c r="B23" s="7">
        <v>22</v>
      </c>
      <c r="C23" s="7">
        <v>1</v>
      </c>
      <c r="D23" s="7">
        <v>2021</v>
      </c>
      <c r="E23" s="7">
        <f>'Athens Daily - EL'!AQ29</f>
        <v>26610</v>
      </c>
      <c r="F23" s="7"/>
      <c r="G23" s="37">
        <f>'Athens Daily - Gas'!BI31</f>
        <v>90124.800000000003</v>
      </c>
      <c r="H23" s="7"/>
      <c r="I23" s="38">
        <f>'Athens Daily - Water'!S28</f>
        <v>192.60000000000002</v>
      </c>
      <c r="J23" s="7"/>
      <c r="K23" s="7">
        <v>293</v>
      </c>
      <c r="L23" s="7">
        <v>2</v>
      </c>
    </row>
    <row r="24" spans="1:12">
      <c r="A24" s="7" t="s">
        <v>14</v>
      </c>
      <c r="B24" s="7">
        <v>23</v>
      </c>
      <c r="C24" s="7">
        <v>1</v>
      </c>
      <c r="D24" s="7">
        <v>2021</v>
      </c>
      <c r="E24" s="7">
        <f>'Athens Daily - EL'!AQ30</f>
        <v>26195</v>
      </c>
      <c r="F24" s="7"/>
      <c r="G24" s="37">
        <f>'Athens Daily - Gas'!BI32</f>
        <v>86995.200000000012</v>
      </c>
      <c r="H24" s="7"/>
      <c r="I24" s="38">
        <f>'Athens Daily - Water'!S29</f>
        <v>206.55</v>
      </c>
      <c r="J24" s="7"/>
      <c r="K24" s="7">
        <v>294</v>
      </c>
      <c r="L24" s="7">
        <v>2</v>
      </c>
    </row>
    <row r="25" spans="1:12">
      <c r="A25" s="7" t="s">
        <v>14</v>
      </c>
      <c r="B25" s="7">
        <v>24</v>
      </c>
      <c r="C25" s="7">
        <v>1</v>
      </c>
      <c r="D25" s="7">
        <v>2021</v>
      </c>
      <c r="E25" s="7">
        <f>'Athens Daily - EL'!AQ31</f>
        <v>26665</v>
      </c>
      <c r="F25" s="7"/>
      <c r="G25" s="37">
        <f>'Athens Daily - Gas'!BI33</f>
        <v>83644.800000000003</v>
      </c>
      <c r="H25" s="7"/>
      <c r="I25" s="38">
        <f>'Athens Daily - Water'!S30</f>
        <v>213.5</v>
      </c>
      <c r="J25" s="7"/>
      <c r="K25" s="7">
        <v>294</v>
      </c>
      <c r="L25" s="7">
        <v>2</v>
      </c>
    </row>
    <row r="26" spans="1:12">
      <c r="A26" s="7" t="s">
        <v>14</v>
      </c>
      <c r="B26" s="7">
        <v>25</v>
      </c>
      <c r="C26" s="7">
        <v>1</v>
      </c>
      <c r="D26" s="7">
        <v>2021</v>
      </c>
      <c r="E26" s="7">
        <f>'Athens Daily - EL'!AQ32</f>
        <v>25565</v>
      </c>
      <c r="F26" s="7"/>
      <c r="G26" s="37">
        <f>'Athens Daily - Gas'!BI34</f>
        <v>77337.600000000006</v>
      </c>
      <c r="H26" s="7"/>
      <c r="I26" s="38">
        <f>'Athens Daily - Water'!S31</f>
        <v>189.9</v>
      </c>
      <c r="J26" s="7"/>
      <c r="K26" s="7">
        <v>291</v>
      </c>
      <c r="L26" s="7">
        <v>2</v>
      </c>
    </row>
    <row r="27" spans="1:12">
      <c r="A27" s="7" t="s">
        <v>14</v>
      </c>
      <c r="B27" s="7">
        <v>26</v>
      </c>
      <c r="C27" s="7">
        <v>1</v>
      </c>
      <c r="D27" s="7">
        <v>2021</v>
      </c>
      <c r="E27" s="7">
        <f>'Athens Daily - EL'!AQ33</f>
        <v>25550</v>
      </c>
      <c r="F27" s="7"/>
      <c r="G27" s="37">
        <f>'Athens Daily - Gas'!BI35</f>
        <v>95865.600000000006</v>
      </c>
      <c r="H27" s="7"/>
      <c r="I27" s="38">
        <f>'Athens Daily - Water'!S32</f>
        <v>217.10000000000002</v>
      </c>
      <c r="J27" s="7"/>
      <c r="K27" s="7">
        <v>291</v>
      </c>
      <c r="L27" s="7">
        <v>2</v>
      </c>
    </row>
    <row r="28" spans="1:12">
      <c r="A28" s="7" t="s">
        <v>14</v>
      </c>
      <c r="B28" s="7">
        <v>27</v>
      </c>
      <c r="C28" s="7">
        <v>1</v>
      </c>
      <c r="D28" s="7">
        <v>2021</v>
      </c>
      <c r="E28" s="7">
        <f>'Athens Daily - EL'!AQ34</f>
        <v>25320</v>
      </c>
      <c r="F28" s="7"/>
      <c r="G28" s="37">
        <f>'Athens Daily - Gas'!BI36</f>
        <v>105052.8</v>
      </c>
      <c r="H28" s="7"/>
      <c r="I28" s="38">
        <f>'Athens Daily - Water'!S33</f>
        <v>176.7</v>
      </c>
      <c r="J28" s="7"/>
      <c r="K28" s="7">
        <v>288</v>
      </c>
      <c r="L28" s="7">
        <v>2</v>
      </c>
    </row>
    <row r="29" spans="1:12">
      <c r="A29" s="7" t="s">
        <v>14</v>
      </c>
      <c r="B29" s="7">
        <v>28</v>
      </c>
      <c r="C29" s="7">
        <v>1</v>
      </c>
      <c r="D29" s="7">
        <v>2021</v>
      </c>
      <c r="E29" s="7">
        <f>'Athens Daily - EL'!AQ35</f>
        <v>27295</v>
      </c>
      <c r="F29" s="7"/>
      <c r="G29" s="37" t="e">
        <f>'Athens Daily - Gas'!#REF!</f>
        <v>#REF!</v>
      </c>
      <c r="H29" s="7"/>
      <c r="I29" s="38">
        <f>'Athens Daily - Water'!S34</f>
        <v>217.95</v>
      </c>
      <c r="J29" s="7"/>
      <c r="K29" s="7">
        <v>290</v>
      </c>
      <c r="L29" s="7">
        <v>2</v>
      </c>
    </row>
    <row r="30" spans="1:12">
      <c r="A30" s="7" t="s">
        <v>14</v>
      </c>
      <c r="B30" s="7">
        <v>29</v>
      </c>
      <c r="C30" s="7">
        <v>1</v>
      </c>
      <c r="D30" s="7">
        <v>2021</v>
      </c>
      <c r="E30" s="7" t="e">
        <f>'Athens Daily - EL'!#REF!</f>
        <v>#REF!</v>
      </c>
      <c r="F30" s="7"/>
      <c r="G30" s="37" t="e">
        <f>'Athens Daily - Gas'!#REF!</f>
        <v>#REF!</v>
      </c>
      <c r="H30" s="7"/>
      <c r="I30" s="38" t="e">
        <f>'Athens Daily - Water'!#REF!</f>
        <v>#REF!</v>
      </c>
      <c r="J30" s="7"/>
      <c r="K30" s="7">
        <v>291</v>
      </c>
      <c r="L30" s="7">
        <v>2</v>
      </c>
    </row>
    <row r="31" spans="1:12">
      <c r="A31" s="7" t="s">
        <v>14</v>
      </c>
      <c r="B31" s="7">
        <v>30</v>
      </c>
      <c r="C31" s="7">
        <v>1</v>
      </c>
      <c r="D31" s="7">
        <v>2021</v>
      </c>
      <c r="E31" s="7" t="e">
        <f>'Athens Daily - EL'!#REF!</f>
        <v>#REF!</v>
      </c>
      <c r="F31" s="7"/>
      <c r="G31" s="37" t="e">
        <f>'Athens Daily - Gas'!#REF!</f>
        <v>#REF!</v>
      </c>
      <c r="H31" s="7"/>
      <c r="I31" s="38" t="e">
        <f>'Athens Daily - Water'!#REF!</f>
        <v>#REF!</v>
      </c>
      <c r="J31" s="7"/>
      <c r="K31" s="7">
        <v>290</v>
      </c>
      <c r="L31" s="7">
        <v>2</v>
      </c>
    </row>
    <row r="32" spans="1:12">
      <c r="A32" s="7" t="s">
        <v>14</v>
      </c>
      <c r="B32" s="7">
        <v>31</v>
      </c>
      <c r="C32" s="7">
        <v>1</v>
      </c>
      <c r="D32" s="7">
        <v>2021</v>
      </c>
      <c r="E32" s="7" t="e">
        <f>'Athens Daily - EL'!#REF!</f>
        <v>#REF!</v>
      </c>
      <c r="F32" s="7"/>
      <c r="G32" s="37">
        <f>'Athens Daily - Gas'!BI37</f>
        <v>0</v>
      </c>
      <c r="H32" s="7"/>
      <c r="I32" s="38">
        <f>'Athens Daily - Water'!S35</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6"/>
  <sheetViews>
    <sheetView topLeftCell="A2" zoomScale="48" zoomScaleNormal="48" zoomScaleSheetLayoutView="50" workbookViewId="0">
      <pane xSplit="2" ySplit="5" topLeftCell="AB13" activePane="bottomRight" state="frozen"/>
      <selection pane="topRight" activeCell="C2" sqref="C2"/>
      <selection pane="bottomLeft" activeCell="A7" sqref="A7"/>
      <selection pane="bottomRight" activeCell="AS35" sqref="AS35"/>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76"/>
      <c r="B1" s="176"/>
      <c r="C1" s="209" t="s">
        <v>65</v>
      </c>
      <c r="D1" s="209"/>
      <c r="E1" s="209" t="s">
        <v>65</v>
      </c>
      <c r="F1" s="209"/>
      <c r="G1" s="209" t="s">
        <v>65</v>
      </c>
      <c r="H1" s="209"/>
      <c r="I1" s="193"/>
      <c r="J1" s="176"/>
      <c r="K1" s="209" t="s">
        <v>65</v>
      </c>
      <c r="L1" s="209"/>
      <c r="M1" s="209" t="s">
        <v>65</v>
      </c>
      <c r="N1" s="209"/>
      <c r="O1" s="222" t="s">
        <v>66</v>
      </c>
      <c r="P1" s="223"/>
      <c r="Q1" s="223"/>
      <c r="R1" s="224"/>
      <c r="S1" s="222" t="s">
        <v>66</v>
      </c>
      <c r="T1" s="223"/>
      <c r="U1" s="223"/>
      <c r="V1" s="224"/>
      <c r="W1" s="222" t="s">
        <v>66</v>
      </c>
      <c r="X1" s="223"/>
      <c r="Y1" s="223"/>
      <c r="Z1" s="224"/>
      <c r="AA1" s="222" t="s">
        <v>66</v>
      </c>
      <c r="AB1" s="223"/>
      <c r="AC1" s="223"/>
      <c r="AD1" s="224"/>
      <c r="AE1" s="209" t="s">
        <v>67</v>
      </c>
      <c r="AF1" s="209"/>
      <c r="AG1" s="209" t="s">
        <v>67</v>
      </c>
      <c r="AH1" s="209"/>
      <c r="AI1" s="209" t="s">
        <v>67</v>
      </c>
      <c r="AJ1" s="209"/>
      <c r="AK1" s="209" t="s">
        <v>67</v>
      </c>
      <c r="AL1" s="209"/>
      <c r="AM1" s="209" t="s">
        <v>67</v>
      </c>
      <c r="AN1" s="209"/>
    </row>
    <row r="2" spans="1:43" s="111" customFormat="1" ht="113.25" customHeight="1">
      <c r="A2" s="13"/>
      <c r="B2" s="14"/>
      <c r="C2" s="208" t="s">
        <v>68</v>
      </c>
      <c r="D2" s="208"/>
      <c r="E2" s="208" t="s">
        <v>69</v>
      </c>
      <c r="F2" s="208"/>
      <c r="G2" s="213" t="s">
        <v>70</v>
      </c>
      <c r="H2" s="214"/>
      <c r="I2" s="214"/>
      <c r="J2" s="215"/>
      <c r="K2" s="208" t="s">
        <v>71</v>
      </c>
      <c r="L2" s="208"/>
      <c r="M2" s="208" t="s">
        <v>72</v>
      </c>
      <c r="N2" s="208"/>
      <c r="O2" s="213" t="s">
        <v>73</v>
      </c>
      <c r="P2" s="214"/>
      <c r="Q2" s="214"/>
      <c r="R2" s="215"/>
      <c r="S2" s="213" t="s">
        <v>74</v>
      </c>
      <c r="T2" s="214"/>
      <c r="U2" s="214"/>
      <c r="V2" s="215"/>
      <c r="W2" s="213" t="s">
        <v>75</v>
      </c>
      <c r="X2" s="214"/>
      <c r="Y2" s="214"/>
      <c r="Z2" s="215"/>
      <c r="AA2" s="213" t="s">
        <v>76</v>
      </c>
      <c r="AB2" s="214"/>
      <c r="AC2" s="214"/>
      <c r="AD2" s="215"/>
      <c r="AE2" s="208" t="s">
        <v>77</v>
      </c>
      <c r="AF2" s="208"/>
      <c r="AG2" s="208" t="s">
        <v>78</v>
      </c>
      <c r="AH2" s="208"/>
      <c r="AI2" s="208" t="s">
        <v>79</v>
      </c>
      <c r="AJ2" s="208"/>
      <c r="AK2" s="208" t="s">
        <v>78</v>
      </c>
      <c r="AL2" s="208"/>
      <c r="AM2" s="208" t="s">
        <v>80</v>
      </c>
      <c r="AN2" s="208"/>
    </row>
    <row r="3" spans="1:43" s="23" customFormat="1" ht="30" customHeight="1">
      <c r="A3" s="175"/>
      <c r="B3" s="47"/>
      <c r="C3" s="210">
        <v>5065546</v>
      </c>
      <c r="D3" s="212"/>
      <c r="E3" s="210">
        <v>5065547</v>
      </c>
      <c r="F3" s="212"/>
      <c r="G3" s="210">
        <v>5008272</v>
      </c>
      <c r="H3" s="211"/>
      <c r="I3" s="211"/>
      <c r="J3" s="212"/>
      <c r="K3" s="210">
        <v>5065548</v>
      </c>
      <c r="L3" s="212"/>
      <c r="M3" s="210">
        <v>5465545</v>
      </c>
      <c r="N3" s="212"/>
      <c r="O3" s="210">
        <v>5008273</v>
      </c>
      <c r="P3" s="211"/>
      <c r="Q3" s="211"/>
      <c r="R3" s="212"/>
      <c r="S3" s="210">
        <v>5018351</v>
      </c>
      <c r="T3" s="211"/>
      <c r="U3" s="211"/>
      <c r="V3" s="212"/>
      <c r="W3" s="210">
        <v>5018354</v>
      </c>
      <c r="X3" s="211"/>
      <c r="Y3" s="211"/>
      <c r="Z3" s="212"/>
      <c r="AA3" s="210">
        <v>5018350</v>
      </c>
      <c r="AB3" s="211"/>
      <c r="AC3" s="211"/>
      <c r="AD3" s="212"/>
      <c r="AE3" s="210">
        <v>5065543</v>
      </c>
      <c r="AF3" s="212"/>
      <c r="AG3" s="210">
        <v>5065544</v>
      </c>
      <c r="AH3" s="212"/>
      <c r="AI3" s="210">
        <v>5065541</v>
      </c>
      <c r="AJ3" s="212"/>
      <c r="AK3" s="210">
        <v>5065542</v>
      </c>
      <c r="AL3" s="212"/>
      <c r="AM3" s="210">
        <v>5065540</v>
      </c>
      <c r="AN3" s="212"/>
      <c r="AP3" s="207" t="s">
        <v>81</v>
      </c>
      <c r="AQ3" s="207"/>
    </row>
    <row r="4" spans="1:43" s="22" customFormat="1" ht="30" customHeight="1">
      <c r="A4" s="175"/>
      <c r="B4" s="178"/>
      <c r="C4" s="218" t="s">
        <v>82</v>
      </c>
      <c r="D4" s="219"/>
      <c r="E4" s="218" t="s">
        <v>83</v>
      </c>
      <c r="F4" s="219"/>
      <c r="G4" s="218" t="s">
        <v>84</v>
      </c>
      <c r="H4" s="220"/>
      <c r="I4" s="220"/>
      <c r="J4" s="219"/>
      <c r="K4" s="218" t="s">
        <v>85</v>
      </c>
      <c r="L4" s="219"/>
      <c r="M4" s="218" t="s">
        <v>86</v>
      </c>
      <c r="N4" s="219"/>
      <c r="O4" s="218" t="s">
        <v>87</v>
      </c>
      <c r="P4" s="220"/>
      <c r="Q4" s="220"/>
      <c r="R4" s="219"/>
      <c r="S4" s="218" t="s">
        <v>88</v>
      </c>
      <c r="T4" s="220"/>
      <c r="U4" s="220"/>
      <c r="V4" s="219"/>
      <c r="W4" s="218" t="s">
        <v>89</v>
      </c>
      <c r="X4" s="220"/>
      <c r="Y4" s="220"/>
      <c r="Z4" s="219"/>
      <c r="AA4" s="218" t="s">
        <v>90</v>
      </c>
      <c r="AB4" s="220"/>
      <c r="AC4" s="220"/>
      <c r="AD4" s="219"/>
      <c r="AE4" s="218" t="s">
        <v>91</v>
      </c>
      <c r="AF4" s="219"/>
      <c r="AG4" s="218" t="s">
        <v>92</v>
      </c>
      <c r="AH4" s="219"/>
      <c r="AI4" s="218" t="s">
        <v>93</v>
      </c>
      <c r="AJ4" s="219"/>
      <c r="AK4" s="218" t="s">
        <v>94</v>
      </c>
      <c r="AL4" s="219"/>
      <c r="AM4" s="218" t="s">
        <v>95</v>
      </c>
      <c r="AN4" s="219"/>
      <c r="AP4" s="207"/>
      <c r="AQ4" s="207"/>
    </row>
    <row r="5" spans="1:43" s="8" customFormat="1" ht="30" customHeight="1">
      <c r="A5" s="175" t="s">
        <v>96</v>
      </c>
      <c r="B5" s="48"/>
      <c r="C5" s="216" t="s">
        <v>97</v>
      </c>
      <c r="D5" s="217"/>
      <c r="E5" s="216" t="s">
        <v>97</v>
      </c>
      <c r="F5" s="217"/>
      <c r="G5" s="216" t="s">
        <v>97</v>
      </c>
      <c r="H5" s="221"/>
      <c r="I5" s="221"/>
      <c r="J5" s="217"/>
      <c r="K5" s="48" t="s">
        <v>97</v>
      </c>
      <c r="L5" s="48"/>
      <c r="M5" s="216" t="s">
        <v>97</v>
      </c>
      <c r="N5" s="217"/>
      <c r="O5" s="216" t="s">
        <v>97</v>
      </c>
      <c r="P5" s="221"/>
      <c r="Q5" s="221"/>
      <c r="R5" s="217"/>
      <c r="S5" s="216" t="s">
        <v>98</v>
      </c>
      <c r="T5" s="221"/>
      <c r="U5" s="221"/>
      <c r="V5" s="217"/>
      <c r="W5" s="216" t="s">
        <v>98</v>
      </c>
      <c r="X5" s="221"/>
      <c r="Y5" s="221"/>
      <c r="Z5" s="217"/>
      <c r="AA5" s="216" t="s">
        <v>98</v>
      </c>
      <c r="AB5" s="221"/>
      <c r="AC5" s="221"/>
      <c r="AD5" s="217"/>
      <c r="AE5" s="216" t="s">
        <v>97</v>
      </c>
      <c r="AF5" s="217"/>
      <c r="AG5" s="216" t="s">
        <v>97</v>
      </c>
      <c r="AH5" s="217"/>
      <c r="AI5" s="216" t="s">
        <v>97</v>
      </c>
      <c r="AJ5" s="217"/>
      <c r="AK5" s="216" t="s">
        <v>97</v>
      </c>
      <c r="AL5" s="217"/>
      <c r="AM5" s="216" t="s">
        <v>97</v>
      </c>
      <c r="AN5" s="217"/>
    </row>
    <row r="6" spans="1:43" s="10" customFormat="1" ht="50.1" customHeight="1">
      <c r="A6" s="175" t="s">
        <v>99</v>
      </c>
      <c r="B6" s="175"/>
      <c r="C6" s="175" t="s">
        <v>100</v>
      </c>
      <c r="D6" s="175" t="s">
        <v>101</v>
      </c>
      <c r="E6" s="175" t="s">
        <v>100</v>
      </c>
      <c r="F6" s="175" t="s">
        <v>101</v>
      </c>
      <c r="G6" s="175" t="s">
        <v>100</v>
      </c>
      <c r="H6" s="175" t="s">
        <v>101</v>
      </c>
      <c r="I6" s="194">
        <v>50</v>
      </c>
      <c r="J6" s="175">
        <v>50</v>
      </c>
      <c r="K6" s="175" t="s">
        <v>100</v>
      </c>
      <c r="L6" s="175" t="s">
        <v>101</v>
      </c>
      <c r="M6" s="175" t="s">
        <v>100</v>
      </c>
      <c r="N6" s="175" t="s">
        <v>101</v>
      </c>
      <c r="O6" s="175" t="s">
        <v>100</v>
      </c>
      <c r="P6" s="175" t="s">
        <v>101</v>
      </c>
      <c r="Q6" s="194">
        <f>I6</f>
        <v>50</v>
      </c>
      <c r="R6" s="175">
        <v>50</v>
      </c>
      <c r="S6" s="175" t="s">
        <v>100</v>
      </c>
      <c r="T6" s="175" t="s">
        <v>101</v>
      </c>
      <c r="U6" s="194">
        <f>I6</f>
        <v>50</v>
      </c>
      <c r="V6" s="175">
        <v>50</v>
      </c>
      <c r="W6" s="175" t="s">
        <v>100</v>
      </c>
      <c r="X6" s="175" t="s">
        <v>101</v>
      </c>
      <c r="Y6" s="194">
        <f>I6</f>
        <v>50</v>
      </c>
      <c r="Z6" s="175">
        <f>J6</f>
        <v>50</v>
      </c>
      <c r="AA6" s="175" t="s">
        <v>100</v>
      </c>
      <c r="AB6" s="175" t="s">
        <v>101</v>
      </c>
      <c r="AC6" s="194">
        <f>I6</f>
        <v>50</v>
      </c>
      <c r="AD6" s="175">
        <f>J6</f>
        <v>50</v>
      </c>
      <c r="AE6" s="175" t="s">
        <v>100</v>
      </c>
      <c r="AF6" s="175" t="s">
        <v>101</v>
      </c>
      <c r="AG6" s="175" t="s">
        <v>100</v>
      </c>
      <c r="AH6" s="175" t="s">
        <v>101</v>
      </c>
      <c r="AI6" s="175" t="s">
        <v>100</v>
      </c>
      <c r="AJ6" s="175" t="s">
        <v>101</v>
      </c>
      <c r="AK6" s="175" t="s">
        <v>100</v>
      </c>
      <c r="AL6" s="175" t="s">
        <v>101</v>
      </c>
      <c r="AM6" s="175" t="s">
        <v>100</v>
      </c>
      <c r="AN6" s="175" t="s">
        <v>101</v>
      </c>
      <c r="AP6" s="175" t="s">
        <v>65</v>
      </c>
      <c r="AQ6" s="175" t="s">
        <v>67</v>
      </c>
    </row>
    <row r="7" spans="1:43" s="183" customFormat="1" ht="39.950000000000003" customHeight="1">
      <c r="A7" s="174">
        <v>44957</v>
      </c>
      <c r="B7" s="180"/>
      <c r="C7" s="181">
        <v>364534</v>
      </c>
      <c r="D7" s="182"/>
      <c r="E7" s="181">
        <v>627557</v>
      </c>
      <c r="F7" s="182"/>
      <c r="G7" s="181">
        <v>410332</v>
      </c>
      <c r="H7" s="182"/>
      <c r="I7" s="182"/>
      <c r="J7" s="182"/>
      <c r="K7" s="181">
        <v>533662</v>
      </c>
      <c r="L7" s="182"/>
      <c r="M7" s="181">
        <v>863224</v>
      </c>
      <c r="N7" s="182"/>
      <c r="O7" s="181">
        <v>574895</v>
      </c>
      <c r="P7" s="182"/>
      <c r="Q7" s="182"/>
      <c r="R7" s="182"/>
      <c r="S7" s="181">
        <v>478567</v>
      </c>
      <c r="T7" s="182"/>
      <c r="U7" s="182"/>
      <c r="V7" s="182"/>
      <c r="W7" s="181">
        <v>241416</v>
      </c>
      <c r="X7" s="182"/>
      <c r="Y7" s="182"/>
      <c r="Z7" s="182"/>
      <c r="AA7" s="181">
        <v>315654</v>
      </c>
      <c r="AB7" s="182"/>
      <c r="AC7" s="182"/>
      <c r="AD7" s="182"/>
      <c r="AE7" s="181">
        <v>104346</v>
      </c>
      <c r="AF7" s="182"/>
      <c r="AG7" s="181">
        <v>196762</v>
      </c>
      <c r="AH7" s="182"/>
      <c r="AI7" s="181">
        <v>346333</v>
      </c>
      <c r="AJ7" s="182"/>
      <c r="AK7" s="181">
        <v>177816</v>
      </c>
      <c r="AL7" s="182"/>
      <c r="AM7" s="181">
        <v>918085</v>
      </c>
      <c r="AN7" s="182"/>
      <c r="AP7" s="184"/>
      <c r="AQ7" s="185"/>
    </row>
    <row r="8" spans="1:43" s="188" customFormat="1" ht="39.950000000000003" customHeight="1">
      <c r="A8" s="174">
        <v>44958</v>
      </c>
      <c r="B8" s="186"/>
      <c r="C8" s="187">
        <v>365082</v>
      </c>
      <c r="D8" s="182">
        <f>(C8-C7)*10</f>
        <v>5480</v>
      </c>
      <c r="E8" s="187">
        <v>628264</v>
      </c>
      <c r="F8" s="182">
        <f>(E8-E7)*10</f>
        <v>7070</v>
      </c>
      <c r="G8" s="187">
        <v>410606</v>
      </c>
      <c r="H8" s="182">
        <f>(G8-G7)*10</f>
        <v>2740</v>
      </c>
      <c r="I8" s="182">
        <f>H8*I6/100</f>
        <v>1370</v>
      </c>
      <c r="J8" s="182">
        <f>H8*J6/100</f>
        <v>1370</v>
      </c>
      <c r="K8" s="187">
        <v>534349</v>
      </c>
      <c r="L8" s="182">
        <f>(K8-K7)*10</f>
        <v>6870</v>
      </c>
      <c r="M8" s="187">
        <v>864302</v>
      </c>
      <c r="N8" s="182">
        <f>(M8-M7)*10</f>
        <v>10780</v>
      </c>
      <c r="O8" s="187">
        <v>576089</v>
      </c>
      <c r="P8" s="182">
        <f>(O8-O7)*10</f>
        <v>11940</v>
      </c>
      <c r="Q8" s="182">
        <f>P8*Q6/100</f>
        <v>5970</v>
      </c>
      <c r="R8" s="182">
        <f>P8*R6/100</f>
        <v>5970</v>
      </c>
      <c r="S8" s="187">
        <v>478569</v>
      </c>
      <c r="T8" s="182">
        <f>(S8-S7)*10</f>
        <v>20</v>
      </c>
      <c r="U8" s="182">
        <f>T8*U6/100</f>
        <v>10</v>
      </c>
      <c r="V8" s="182">
        <f>T8*V6/100</f>
        <v>10</v>
      </c>
      <c r="W8" s="187">
        <v>241418</v>
      </c>
      <c r="X8" s="182">
        <f>(W8-W7)*10</f>
        <v>20</v>
      </c>
      <c r="Y8" s="182">
        <f>X8*Y6/100</f>
        <v>10</v>
      </c>
      <c r="Z8" s="182">
        <f>X8*Z6/100</f>
        <v>10</v>
      </c>
      <c r="AA8" s="187">
        <v>315657</v>
      </c>
      <c r="AB8" s="182">
        <f>(AA8-AA7)*10</f>
        <v>30</v>
      </c>
      <c r="AC8" s="182">
        <f>AB8*AC6/100</f>
        <v>15</v>
      </c>
      <c r="AD8" s="182">
        <f>AB8*AD6/100</f>
        <v>15</v>
      </c>
      <c r="AE8" s="187">
        <v>104460</v>
      </c>
      <c r="AF8" s="182">
        <f>(AE8-AE7)*10</f>
        <v>1140</v>
      </c>
      <c r="AG8" s="187">
        <v>196969</v>
      </c>
      <c r="AH8" s="182">
        <f>(AG8-AG7)*10</f>
        <v>2070</v>
      </c>
      <c r="AI8" s="187">
        <v>346686</v>
      </c>
      <c r="AJ8" s="182">
        <f>(AI8-AI7)*10</f>
        <v>3530</v>
      </c>
      <c r="AK8" s="187">
        <v>178043</v>
      </c>
      <c r="AL8" s="182">
        <f>(AK8-AK7)*10</f>
        <v>2270</v>
      </c>
      <c r="AM8" s="187">
        <v>919165</v>
      </c>
      <c r="AN8" s="182">
        <f>(AM8-AM7)*10</f>
        <v>10800</v>
      </c>
      <c r="AP8" s="184">
        <f>SUM(D8,F8,I8,L8,N8,Q8,U8,Y8,AC8)</f>
        <v>37575</v>
      </c>
      <c r="AQ8" s="185">
        <f>SUM(R8,V8,Z8,AD8,AF8,AH8,AJ8,AL8,AN8,J8)</f>
        <v>27185</v>
      </c>
    </row>
    <row r="9" spans="1:43" s="183" customFormat="1" ht="39.950000000000003" customHeight="1">
      <c r="A9" s="174">
        <f>SUM(A8+1)</f>
        <v>44959</v>
      </c>
      <c r="B9" s="180"/>
      <c r="C9" s="187">
        <v>365702</v>
      </c>
      <c r="D9" s="182">
        <f t="shared" ref="D9:D35" si="0">(C9-C8)*10</f>
        <v>6200</v>
      </c>
      <c r="E9" s="187">
        <v>629035</v>
      </c>
      <c r="F9" s="182">
        <f t="shared" ref="F9:F35" si="1">(E9-E8)*10</f>
        <v>7710</v>
      </c>
      <c r="G9" s="187">
        <v>410900</v>
      </c>
      <c r="H9" s="182">
        <f t="shared" ref="H9:H35" si="2">(G9-G8)*10</f>
        <v>2940</v>
      </c>
      <c r="I9" s="182">
        <f>H9*I6/100</f>
        <v>1470</v>
      </c>
      <c r="J9" s="182">
        <f>H9*J6/100</f>
        <v>1470</v>
      </c>
      <c r="K9" s="187">
        <v>535084</v>
      </c>
      <c r="L9" s="182">
        <f t="shared" ref="L9:L35" si="3">(K9-K8)*10</f>
        <v>7350</v>
      </c>
      <c r="M9" s="187">
        <v>865472</v>
      </c>
      <c r="N9" s="182">
        <f t="shared" ref="N9:N35" si="4">(M9-M8)*10</f>
        <v>11700</v>
      </c>
      <c r="O9" s="187">
        <v>577331</v>
      </c>
      <c r="P9" s="182">
        <f t="shared" ref="P9:P35" si="5">(O9-O8)*10</f>
        <v>12420</v>
      </c>
      <c r="Q9" s="182">
        <f>P9*Q6/100</f>
        <v>6210</v>
      </c>
      <c r="R9" s="182">
        <f>P9*R6/100</f>
        <v>6210</v>
      </c>
      <c r="S9" s="187">
        <v>478571</v>
      </c>
      <c r="T9" s="182">
        <f t="shared" ref="T9:T35" si="6">(S9-S8)*10</f>
        <v>20</v>
      </c>
      <c r="U9" s="182">
        <f>T9*U6/100</f>
        <v>10</v>
      </c>
      <c r="V9" s="182">
        <f>T9*V6/100</f>
        <v>10</v>
      </c>
      <c r="W9" s="187">
        <v>241421</v>
      </c>
      <c r="X9" s="182">
        <f t="shared" ref="X9:X35" si="7">(W9-W8)*10</f>
        <v>30</v>
      </c>
      <c r="Y9" s="182">
        <f>X9*Y6/100</f>
        <v>15</v>
      </c>
      <c r="Z9" s="182">
        <f>X9*Z6/100</f>
        <v>15</v>
      </c>
      <c r="AA9" s="187">
        <v>315661</v>
      </c>
      <c r="AB9" s="182">
        <f t="shared" ref="AB9:AB35" si="8">(AA9-AA8)*10</f>
        <v>40</v>
      </c>
      <c r="AC9" s="182">
        <f>AB9*AC6/100</f>
        <v>20</v>
      </c>
      <c r="AD9" s="182">
        <f>AB9*AD6/100</f>
        <v>20</v>
      </c>
      <c r="AE9" s="187">
        <v>104590</v>
      </c>
      <c r="AF9" s="182">
        <f t="shared" ref="AF9:AF35" si="9">(AE9-AE8)*10</f>
        <v>1300</v>
      </c>
      <c r="AG9" s="187">
        <v>197203</v>
      </c>
      <c r="AH9" s="182">
        <f t="shared" ref="AH9:AH35" si="10">(AG9-AG8)*10</f>
        <v>2340</v>
      </c>
      <c r="AI9" s="187">
        <v>347085</v>
      </c>
      <c r="AJ9" s="182">
        <f t="shared" ref="AJ9:AJ35" si="11">(AI9-AI8)*10</f>
        <v>3990</v>
      </c>
      <c r="AK9" s="187">
        <v>178295</v>
      </c>
      <c r="AL9" s="182">
        <f t="shared" ref="AL9:AL35" si="12">(AK9-AK8)*10</f>
        <v>2520</v>
      </c>
      <c r="AM9" s="187">
        <v>920349</v>
      </c>
      <c r="AN9" s="182">
        <f t="shared" ref="AN9:AN35" si="13">(AM9-AM8)*10</f>
        <v>11840</v>
      </c>
      <c r="AP9" s="184">
        <f t="shared" ref="AP9:AP35" si="14">SUM(D9,F9,I9,L9,N9,Q9,U9,Y9,AC9)</f>
        <v>40685</v>
      </c>
      <c r="AQ9" s="185">
        <f t="shared" ref="AQ9:AQ35" si="15">SUM(R9,V9,Z9,AD9,AF9,AH9,AJ9,AL9,AN9,J9)</f>
        <v>29715</v>
      </c>
    </row>
    <row r="10" spans="1:43" s="183" customFormat="1" ht="39.950000000000003" customHeight="1">
      <c r="A10" s="174">
        <f t="shared" ref="A10:A35" si="16">SUM(A9+1)</f>
        <v>44960</v>
      </c>
      <c r="B10" s="180"/>
      <c r="C10" s="187">
        <v>366224</v>
      </c>
      <c r="D10" s="182">
        <f t="shared" si="0"/>
        <v>5220</v>
      </c>
      <c r="E10" s="187">
        <v>629816</v>
      </c>
      <c r="F10" s="182">
        <f t="shared" si="1"/>
        <v>7810</v>
      </c>
      <c r="G10" s="187">
        <v>411185</v>
      </c>
      <c r="H10" s="182">
        <f t="shared" si="2"/>
        <v>2850</v>
      </c>
      <c r="I10" s="182">
        <f>H10*I6/100</f>
        <v>1425</v>
      </c>
      <c r="J10" s="182">
        <f>H10*J6/100</f>
        <v>1425</v>
      </c>
      <c r="K10" s="187">
        <v>535766</v>
      </c>
      <c r="L10" s="182">
        <f t="shared" si="3"/>
        <v>6820</v>
      </c>
      <c r="M10" s="187">
        <v>866626</v>
      </c>
      <c r="N10" s="182">
        <f t="shared" si="4"/>
        <v>11540</v>
      </c>
      <c r="O10" s="187">
        <v>578429</v>
      </c>
      <c r="P10" s="182">
        <f t="shared" si="5"/>
        <v>10980</v>
      </c>
      <c r="Q10" s="182">
        <f>P10*Q6/100</f>
        <v>5490</v>
      </c>
      <c r="R10" s="182">
        <f>P10*R6/100</f>
        <v>5490</v>
      </c>
      <c r="S10" s="187">
        <v>478573</v>
      </c>
      <c r="T10" s="182">
        <f t="shared" si="6"/>
        <v>20</v>
      </c>
      <c r="U10" s="182">
        <f>T10*U6/100</f>
        <v>10</v>
      </c>
      <c r="V10" s="182">
        <f>T10*V6/100</f>
        <v>10</v>
      </c>
      <c r="W10" s="187">
        <v>241423</v>
      </c>
      <c r="X10" s="182">
        <f t="shared" si="7"/>
        <v>20</v>
      </c>
      <c r="Y10" s="182">
        <f>X10*Y6/100</f>
        <v>10</v>
      </c>
      <c r="Z10" s="182">
        <f>X10*Z6/100</f>
        <v>10</v>
      </c>
      <c r="AA10" s="187">
        <v>315664</v>
      </c>
      <c r="AB10" s="182">
        <f t="shared" si="8"/>
        <v>30</v>
      </c>
      <c r="AC10" s="182">
        <f>AB10*AC6/100</f>
        <v>15</v>
      </c>
      <c r="AD10" s="182">
        <f>AB10*AD6/100</f>
        <v>15</v>
      </c>
      <c r="AE10" s="187">
        <v>104719</v>
      </c>
      <c r="AF10" s="182">
        <f t="shared" si="9"/>
        <v>1290</v>
      </c>
      <c r="AG10" s="189">
        <v>197425</v>
      </c>
      <c r="AH10" s="182">
        <f t="shared" si="10"/>
        <v>2220</v>
      </c>
      <c r="AI10" s="189">
        <v>347468</v>
      </c>
      <c r="AJ10" s="182">
        <f t="shared" si="11"/>
        <v>3830</v>
      </c>
      <c r="AK10" s="189">
        <v>178536</v>
      </c>
      <c r="AL10" s="184">
        <f t="shared" si="12"/>
        <v>2410</v>
      </c>
      <c r="AM10" s="189">
        <v>921420</v>
      </c>
      <c r="AN10" s="184">
        <f t="shared" si="13"/>
        <v>10710</v>
      </c>
      <c r="AP10" s="184">
        <f t="shared" si="14"/>
        <v>38340</v>
      </c>
      <c r="AQ10" s="185">
        <f t="shared" si="15"/>
        <v>27410</v>
      </c>
    </row>
    <row r="11" spans="1:43" s="183" customFormat="1" ht="39.950000000000003" customHeight="1">
      <c r="A11" s="174">
        <f t="shared" si="16"/>
        <v>44961</v>
      </c>
      <c r="B11" s="180"/>
      <c r="C11" s="189">
        <v>366636</v>
      </c>
      <c r="D11" s="184">
        <f t="shared" si="0"/>
        <v>4120</v>
      </c>
      <c r="E11" s="189">
        <v>630625</v>
      </c>
      <c r="F11" s="184">
        <f t="shared" si="1"/>
        <v>8090</v>
      </c>
      <c r="G11" s="189">
        <v>411476</v>
      </c>
      <c r="H11" s="184">
        <f t="shared" si="2"/>
        <v>2910</v>
      </c>
      <c r="I11" s="184">
        <f>H11*I6/100</f>
        <v>1455</v>
      </c>
      <c r="J11" s="184">
        <f>H11*J6/100</f>
        <v>1455</v>
      </c>
      <c r="K11" s="189">
        <v>536383</v>
      </c>
      <c r="L11" s="184">
        <f t="shared" si="3"/>
        <v>6170</v>
      </c>
      <c r="M11" s="189">
        <v>867787</v>
      </c>
      <c r="N11" s="184">
        <f t="shared" si="4"/>
        <v>11610</v>
      </c>
      <c r="O11" s="189">
        <v>579526</v>
      </c>
      <c r="P11" s="184">
        <f t="shared" si="5"/>
        <v>10970</v>
      </c>
      <c r="Q11" s="184">
        <f>P11*Q6/100</f>
        <v>5485</v>
      </c>
      <c r="R11" s="184">
        <f>P11*R6/100</f>
        <v>5485</v>
      </c>
      <c r="S11" s="189">
        <v>478575</v>
      </c>
      <c r="T11" s="184">
        <f t="shared" si="6"/>
        <v>20</v>
      </c>
      <c r="U11" s="184">
        <f>T11*U6/100</f>
        <v>10</v>
      </c>
      <c r="V11" s="184">
        <f>T11*V6/100</f>
        <v>10</v>
      </c>
      <c r="W11" s="189">
        <v>241425</v>
      </c>
      <c r="X11" s="184">
        <f t="shared" si="7"/>
        <v>20</v>
      </c>
      <c r="Y11" s="184">
        <f>X11*Y6/100</f>
        <v>10</v>
      </c>
      <c r="Z11" s="184">
        <f>X11*Z6/100</f>
        <v>10</v>
      </c>
      <c r="AA11" s="189">
        <v>315667</v>
      </c>
      <c r="AB11" s="184">
        <f t="shared" si="8"/>
        <v>30</v>
      </c>
      <c r="AC11" s="184">
        <f>AB11*AC6/100</f>
        <v>15</v>
      </c>
      <c r="AD11" s="184">
        <f>AB11*AD6/100</f>
        <v>15</v>
      </c>
      <c r="AE11" s="189">
        <v>104842</v>
      </c>
      <c r="AF11" s="184">
        <f t="shared" si="9"/>
        <v>1230</v>
      </c>
      <c r="AG11" s="189">
        <v>197660</v>
      </c>
      <c r="AH11" s="184">
        <f t="shared" si="10"/>
        <v>2350</v>
      </c>
      <c r="AI11" s="189">
        <v>347856</v>
      </c>
      <c r="AJ11" s="182">
        <f t="shared" si="11"/>
        <v>3880</v>
      </c>
      <c r="AK11" s="189">
        <v>178792</v>
      </c>
      <c r="AL11" s="184">
        <f t="shared" si="12"/>
        <v>2560</v>
      </c>
      <c r="AM11" s="189">
        <v>922391</v>
      </c>
      <c r="AN11" s="184">
        <f t="shared" si="13"/>
        <v>9710</v>
      </c>
      <c r="AP11" s="184">
        <f t="shared" si="14"/>
        <v>36965</v>
      </c>
      <c r="AQ11" s="185">
        <f t="shared" si="15"/>
        <v>26705</v>
      </c>
    </row>
    <row r="12" spans="1:43" s="183" customFormat="1" ht="39.950000000000003" customHeight="1">
      <c r="A12" s="174">
        <f t="shared" si="16"/>
        <v>44962</v>
      </c>
      <c r="B12" s="180"/>
      <c r="C12" s="189">
        <v>367036</v>
      </c>
      <c r="D12" s="184">
        <f t="shared" si="0"/>
        <v>4000</v>
      </c>
      <c r="E12" s="189">
        <v>631388</v>
      </c>
      <c r="F12" s="184">
        <f t="shared" si="1"/>
        <v>7630</v>
      </c>
      <c r="G12" s="189">
        <v>411750</v>
      </c>
      <c r="H12" s="184">
        <f t="shared" si="2"/>
        <v>2740</v>
      </c>
      <c r="I12" s="184">
        <f>H12*I6/100</f>
        <v>1370</v>
      </c>
      <c r="J12" s="184">
        <f>H12*J6/100</f>
        <v>1370</v>
      </c>
      <c r="K12" s="189">
        <v>536991</v>
      </c>
      <c r="L12" s="184">
        <f t="shared" si="3"/>
        <v>6080</v>
      </c>
      <c r="M12" s="189">
        <v>868894</v>
      </c>
      <c r="N12" s="184">
        <f t="shared" si="4"/>
        <v>11070</v>
      </c>
      <c r="O12" s="189">
        <v>580620</v>
      </c>
      <c r="P12" s="184">
        <f t="shared" si="5"/>
        <v>10940</v>
      </c>
      <c r="Q12" s="184">
        <f>P12*Q6/100</f>
        <v>5470</v>
      </c>
      <c r="R12" s="184">
        <f>P12*R6/100</f>
        <v>5470</v>
      </c>
      <c r="S12" s="189">
        <v>478577</v>
      </c>
      <c r="T12" s="184">
        <f t="shared" si="6"/>
        <v>20</v>
      </c>
      <c r="U12" s="184">
        <f>T12*U6/100</f>
        <v>10</v>
      </c>
      <c r="V12" s="184">
        <f>T12*V6/100</f>
        <v>10</v>
      </c>
      <c r="W12" s="189">
        <v>241428</v>
      </c>
      <c r="X12" s="184">
        <f t="shared" si="7"/>
        <v>30</v>
      </c>
      <c r="Y12" s="184">
        <f>X12*Y6/100</f>
        <v>15</v>
      </c>
      <c r="Z12" s="184">
        <f>X12*Z6/100</f>
        <v>15</v>
      </c>
      <c r="AA12" s="189">
        <v>315671</v>
      </c>
      <c r="AB12" s="184">
        <f t="shared" si="8"/>
        <v>40</v>
      </c>
      <c r="AC12" s="184">
        <f>AB12*AC6/100</f>
        <v>20</v>
      </c>
      <c r="AD12" s="184">
        <f>AB12*AD6/100</f>
        <v>20</v>
      </c>
      <c r="AE12" s="189">
        <v>104954</v>
      </c>
      <c r="AF12" s="184">
        <f t="shared" si="9"/>
        <v>1120</v>
      </c>
      <c r="AG12" s="189">
        <v>197880</v>
      </c>
      <c r="AH12" s="184">
        <f t="shared" si="10"/>
        <v>2200</v>
      </c>
      <c r="AI12" s="189">
        <v>348228</v>
      </c>
      <c r="AJ12" s="184">
        <f t="shared" si="11"/>
        <v>3720</v>
      </c>
      <c r="AK12" s="189">
        <v>179040</v>
      </c>
      <c r="AL12" s="184">
        <f t="shared" si="12"/>
        <v>2480</v>
      </c>
      <c r="AM12" s="189">
        <v>923339</v>
      </c>
      <c r="AN12" s="184">
        <f t="shared" si="13"/>
        <v>9480</v>
      </c>
      <c r="AP12" s="184">
        <f t="shared" si="14"/>
        <v>35665</v>
      </c>
      <c r="AQ12" s="185">
        <f t="shared" si="15"/>
        <v>25885</v>
      </c>
    </row>
    <row r="13" spans="1:43" s="183" customFormat="1" ht="39.950000000000003" customHeight="1">
      <c r="A13" s="174">
        <f t="shared" si="16"/>
        <v>44963</v>
      </c>
      <c r="B13" s="180"/>
      <c r="C13" s="189">
        <v>367406</v>
      </c>
      <c r="D13" s="184">
        <f t="shared" si="0"/>
        <v>3700</v>
      </c>
      <c r="E13" s="189">
        <v>632106</v>
      </c>
      <c r="F13" s="184">
        <f t="shared" si="1"/>
        <v>7180</v>
      </c>
      <c r="G13" s="189">
        <v>412014</v>
      </c>
      <c r="H13" s="184">
        <f t="shared" si="2"/>
        <v>2640</v>
      </c>
      <c r="I13" s="184">
        <f>H13*I6/100</f>
        <v>1320</v>
      </c>
      <c r="J13" s="184">
        <f>H13*J6/100</f>
        <v>1320</v>
      </c>
      <c r="K13" s="189">
        <v>537594</v>
      </c>
      <c r="L13" s="184">
        <f t="shared" si="3"/>
        <v>6030</v>
      </c>
      <c r="M13" s="189">
        <v>869896</v>
      </c>
      <c r="N13" s="184">
        <f t="shared" si="4"/>
        <v>10020</v>
      </c>
      <c r="O13" s="189">
        <v>581710</v>
      </c>
      <c r="P13" s="184">
        <f t="shared" si="5"/>
        <v>10900</v>
      </c>
      <c r="Q13" s="184">
        <f>P13*Q6/100</f>
        <v>5450</v>
      </c>
      <c r="R13" s="184">
        <f>P13*R6/100</f>
        <v>5450</v>
      </c>
      <c r="S13" s="189">
        <v>478579</v>
      </c>
      <c r="T13" s="184">
        <f t="shared" si="6"/>
        <v>20</v>
      </c>
      <c r="U13" s="184">
        <f>T13*U6/100</f>
        <v>10</v>
      </c>
      <c r="V13" s="184">
        <f>T13*V6/100</f>
        <v>10</v>
      </c>
      <c r="W13" s="189">
        <v>241430</v>
      </c>
      <c r="X13" s="184">
        <f t="shared" si="7"/>
        <v>20</v>
      </c>
      <c r="Y13" s="184">
        <f>X13*Y6/100</f>
        <v>10</v>
      </c>
      <c r="Z13" s="184">
        <f>X13*Z6/100</f>
        <v>10</v>
      </c>
      <c r="AA13" s="189">
        <v>315674</v>
      </c>
      <c r="AB13" s="184">
        <f t="shared" si="8"/>
        <v>30</v>
      </c>
      <c r="AC13" s="184">
        <f>AB13*AC6/100</f>
        <v>15</v>
      </c>
      <c r="AD13" s="184">
        <f>AB13*AD6/100</f>
        <v>15</v>
      </c>
      <c r="AE13" s="189">
        <v>105072</v>
      </c>
      <c r="AF13" s="184">
        <f t="shared" si="9"/>
        <v>1180</v>
      </c>
      <c r="AG13" s="189">
        <v>198104</v>
      </c>
      <c r="AH13" s="184">
        <f t="shared" si="10"/>
        <v>2240</v>
      </c>
      <c r="AI13" s="187">
        <v>348615</v>
      </c>
      <c r="AJ13" s="184">
        <f t="shared" si="11"/>
        <v>3870</v>
      </c>
      <c r="AK13" s="187">
        <v>179282</v>
      </c>
      <c r="AL13" s="184">
        <f t="shared" si="12"/>
        <v>2420</v>
      </c>
      <c r="AM13" s="187">
        <v>924251</v>
      </c>
      <c r="AN13" s="184">
        <f t="shared" si="13"/>
        <v>9120</v>
      </c>
      <c r="AP13" s="184">
        <f t="shared" si="14"/>
        <v>33735</v>
      </c>
      <c r="AQ13" s="185">
        <f t="shared" si="15"/>
        <v>25635</v>
      </c>
    </row>
    <row r="14" spans="1:43" s="183" customFormat="1" ht="39.950000000000003" customHeight="1">
      <c r="A14" s="174">
        <f t="shared" si="16"/>
        <v>44964</v>
      </c>
      <c r="B14" s="180"/>
      <c r="C14" s="187">
        <v>367805</v>
      </c>
      <c r="D14" s="182">
        <f t="shared" si="0"/>
        <v>3990</v>
      </c>
      <c r="E14" s="187">
        <v>632889</v>
      </c>
      <c r="F14" s="182">
        <f t="shared" si="1"/>
        <v>7830</v>
      </c>
      <c r="G14" s="187">
        <v>412301</v>
      </c>
      <c r="H14" s="182">
        <f t="shared" si="2"/>
        <v>2870</v>
      </c>
      <c r="I14" s="182">
        <f>H14*I6/100</f>
        <v>1435</v>
      </c>
      <c r="J14" s="182">
        <f>H14*J6/100</f>
        <v>1435</v>
      </c>
      <c r="K14" s="187">
        <v>538212</v>
      </c>
      <c r="L14" s="182">
        <f t="shared" si="3"/>
        <v>6180</v>
      </c>
      <c r="M14" s="187">
        <v>871063</v>
      </c>
      <c r="N14" s="182">
        <f t="shared" si="4"/>
        <v>11670</v>
      </c>
      <c r="O14" s="187">
        <v>583004</v>
      </c>
      <c r="P14" s="182">
        <f t="shared" si="5"/>
        <v>12940</v>
      </c>
      <c r="Q14" s="182">
        <f>P14*Q6/100</f>
        <v>6470</v>
      </c>
      <c r="R14" s="182">
        <f>P14*R6/100</f>
        <v>6470</v>
      </c>
      <c r="S14" s="187">
        <v>478582</v>
      </c>
      <c r="T14" s="182">
        <f t="shared" si="6"/>
        <v>30</v>
      </c>
      <c r="U14" s="182">
        <f>T14*U6/100</f>
        <v>15</v>
      </c>
      <c r="V14" s="182">
        <f>T14*V6/100</f>
        <v>15</v>
      </c>
      <c r="W14" s="187">
        <v>241432</v>
      </c>
      <c r="X14" s="182">
        <f t="shared" si="7"/>
        <v>20</v>
      </c>
      <c r="Y14" s="182">
        <f>X14*Y6/100</f>
        <v>10</v>
      </c>
      <c r="Z14" s="182">
        <f>X14*Z6/100</f>
        <v>10</v>
      </c>
      <c r="AA14" s="187">
        <v>315835</v>
      </c>
      <c r="AB14" s="182">
        <f t="shared" si="8"/>
        <v>1610</v>
      </c>
      <c r="AC14" s="182">
        <f>AB14*AC6/100</f>
        <v>805</v>
      </c>
      <c r="AD14" s="182">
        <f>AB14*AD6/100</f>
        <v>805</v>
      </c>
      <c r="AE14" s="187">
        <v>105196</v>
      </c>
      <c r="AF14" s="182">
        <f t="shared" si="9"/>
        <v>1240</v>
      </c>
      <c r="AG14" s="187">
        <v>198337</v>
      </c>
      <c r="AH14" s="182">
        <f t="shared" si="10"/>
        <v>2330</v>
      </c>
      <c r="AI14" s="187">
        <v>349017</v>
      </c>
      <c r="AJ14" s="182">
        <f t="shared" si="11"/>
        <v>4020</v>
      </c>
      <c r="AK14" s="187">
        <v>179532</v>
      </c>
      <c r="AL14" s="182">
        <f t="shared" si="12"/>
        <v>2500</v>
      </c>
      <c r="AM14" s="187">
        <v>925189</v>
      </c>
      <c r="AN14" s="182">
        <f t="shared" si="13"/>
        <v>9380</v>
      </c>
      <c r="AP14" s="184">
        <f t="shared" si="14"/>
        <v>38405</v>
      </c>
      <c r="AQ14" s="185">
        <f t="shared" si="15"/>
        <v>28205</v>
      </c>
    </row>
    <row r="15" spans="1:43" s="183" customFormat="1" ht="39.950000000000003" customHeight="1">
      <c r="A15" s="174">
        <f t="shared" si="16"/>
        <v>44965</v>
      </c>
      <c r="B15" s="180"/>
      <c r="C15" s="187">
        <v>368183</v>
      </c>
      <c r="D15" s="182">
        <f t="shared" si="0"/>
        <v>3780</v>
      </c>
      <c r="E15" s="187">
        <v>633627</v>
      </c>
      <c r="F15" s="182">
        <f t="shared" si="1"/>
        <v>7380</v>
      </c>
      <c r="G15" s="187">
        <v>412558</v>
      </c>
      <c r="H15" s="182">
        <f t="shared" si="2"/>
        <v>2570</v>
      </c>
      <c r="I15" s="182">
        <f>H15*I6/100</f>
        <v>1285</v>
      </c>
      <c r="J15" s="182">
        <f>H15*J6/100</f>
        <v>1285</v>
      </c>
      <c r="K15" s="187">
        <v>538810</v>
      </c>
      <c r="L15" s="182">
        <f t="shared" si="3"/>
        <v>5980</v>
      </c>
      <c r="M15" s="187">
        <v>872167</v>
      </c>
      <c r="N15" s="182">
        <f t="shared" si="4"/>
        <v>11040</v>
      </c>
      <c r="O15" s="187">
        <v>583917</v>
      </c>
      <c r="P15" s="182">
        <f t="shared" si="5"/>
        <v>9130</v>
      </c>
      <c r="Q15" s="182">
        <f>P15*Q6/100</f>
        <v>4565</v>
      </c>
      <c r="R15" s="182">
        <f>P15*R6/100</f>
        <v>4565</v>
      </c>
      <c r="S15" s="187">
        <v>478584</v>
      </c>
      <c r="T15" s="182">
        <f t="shared" si="6"/>
        <v>20</v>
      </c>
      <c r="U15" s="182">
        <f>T15*U6/100</f>
        <v>10</v>
      </c>
      <c r="V15" s="182">
        <f>T15*V6/100</f>
        <v>10</v>
      </c>
      <c r="W15" s="187">
        <v>241434</v>
      </c>
      <c r="X15" s="182">
        <f t="shared" si="7"/>
        <v>20</v>
      </c>
      <c r="Y15" s="182">
        <f>X15*Y6/100</f>
        <v>10</v>
      </c>
      <c r="Z15" s="182">
        <f>X15*Z6/100</f>
        <v>10</v>
      </c>
      <c r="AA15" s="187">
        <v>316075</v>
      </c>
      <c r="AB15" s="182">
        <f t="shared" si="8"/>
        <v>2400</v>
      </c>
      <c r="AC15" s="182">
        <f>AB15*AC6/100</f>
        <v>1200</v>
      </c>
      <c r="AD15" s="182">
        <f>AB15*AD6/100</f>
        <v>1200</v>
      </c>
      <c r="AE15" s="187">
        <v>105322</v>
      </c>
      <c r="AF15" s="182">
        <f t="shared" si="9"/>
        <v>1260</v>
      </c>
      <c r="AG15" s="187">
        <v>198569</v>
      </c>
      <c r="AH15" s="182">
        <f t="shared" si="10"/>
        <v>2320</v>
      </c>
      <c r="AI15" s="187">
        <v>349392</v>
      </c>
      <c r="AJ15" s="182">
        <f t="shared" si="11"/>
        <v>3750</v>
      </c>
      <c r="AK15" s="187">
        <v>179773</v>
      </c>
      <c r="AL15" s="182">
        <f t="shared" si="12"/>
        <v>2410</v>
      </c>
      <c r="AM15" s="187">
        <v>926093</v>
      </c>
      <c r="AN15" s="182">
        <f t="shared" si="13"/>
        <v>9040</v>
      </c>
      <c r="AP15" s="184">
        <f t="shared" si="14"/>
        <v>35250</v>
      </c>
      <c r="AQ15" s="185">
        <f t="shared" si="15"/>
        <v>25850</v>
      </c>
    </row>
    <row r="16" spans="1:43" s="183" customFormat="1" ht="39.950000000000003" customHeight="1">
      <c r="A16" s="174">
        <f t="shared" si="16"/>
        <v>44966</v>
      </c>
      <c r="B16" s="180"/>
      <c r="C16" s="187">
        <v>368580</v>
      </c>
      <c r="D16" s="182">
        <f t="shared" si="0"/>
        <v>3970</v>
      </c>
      <c r="E16" s="187">
        <v>634437</v>
      </c>
      <c r="F16" s="182">
        <f t="shared" si="1"/>
        <v>8100</v>
      </c>
      <c r="G16" s="187">
        <v>412839</v>
      </c>
      <c r="H16" s="182">
        <f t="shared" si="2"/>
        <v>2810</v>
      </c>
      <c r="I16" s="182">
        <f>H16*I6/100</f>
        <v>1405</v>
      </c>
      <c r="J16" s="182">
        <f>H16*J6/100</f>
        <v>1405</v>
      </c>
      <c r="K16" s="187">
        <v>539421</v>
      </c>
      <c r="L16" s="182">
        <f t="shared" si="3"/>
        <v>6110</v>
      </c>
      <c r="M16" s="187">
        <v>873281</v>
      </c>
      <c r="N16" s="182">
        <f t="shared" si="4"/>
        <v>11140</v>
      </c>
      <c r="O16" s="187">
        <v>585154</v>
      </c>
      <c r="P16" s="182">
        <f t="shared" si="5"/>
        <v>12370</v>
      </c>
      <c r="Q16" s="182">
        <f>P16*Q6/100</f>
        <v>6185</v>
      </c>
      <c r="R16" s="182">
        <f>P16*R6/100</f>
        <v>6185</v>
      </c>
      <c r="S16" s="187">
        <v>478586</v>
      </c>
      <c r="T16" s="182">
        <f t="shared" si="6"/>
        <v>20</v>
      </c>
      <c r="U16" s="182">
        <f>T16*U6/100</f>
        <v>10</v>
      </c>
      <c r="V16" s="182">
        <f>T16*V6/100</f>
        <v>10</v>
      </c>
      <c r="W16" s="187">
        <v>241437</v>
      </c>
      <c r="X16" s="182">
        <f t="shared" si="7"/>
        <v>30</v>
      </c>
      <c r="Y16" s="182">
        <f>X16*Y6/100</f>
        <v>15</v>
      </c>
      <c r="Z16" s="182">
        <f>X16*Z6/100</f>
        <v>15</v>
      </c>
      <c r="AA16" s="187">
        <v>316113</v>
      </c>
      <c r="AB16" s="182">
        <f t="shared" si="8"/>
        <v>380</v>
      </c>
      <c r="AC16" s="182">
        <f>AB16*AC6/100</f>
        <v>190</v>
      </c>
      <c r="AD16" s="182">
        <f>AB16*AD6/100</f>
        <v>190</v>
      </c>
      <c r="AE16" s="187">
        <v>105448</v>
      </c>
      <c r="AF16" s="182">
        <f t="shared" si="9"/>
        <v>1260</v>
      </c>
      <c r="AG16" s="187">
        <v>198796</v>
      </c>
      <c r="AH16" s="182">
        <f t="shared" si="10"/>
        <v>2270</v>
      </c>
      <c r="AI16" s="187">
        <v>349769</v>
      </c>
      <c r="AJ16" s="182">
        <f t="shared" si="11"/>
        <v>3770</v>
      </c>
      <c r="AK16" s="187">
        <v>180015</v>
      </c>
      <c r="AL16" s="182">
        <f t="shared" si="12"/>
        <v>2420</v>
      </c>
      <c r="AM16" s="187">
        <v>927010</v>
      </c>
      <c r="AN16" s="182">
        <f t="shared" si="13"/>
        <v>9170</v>
      </c>
      <c r="AP16" s="184">
        <f t="shared" si="14"/>
        <v>37125</v>
      </c>
      <c r="AQ16" s="185">
        <f t="shared" si="15"/>
        <v>26695</v>
      </c>
    </row>
    <row r="17" spans="1:43" s="183" customFormat="1" ht="39.950000000000003" customHeight="1">
      <c r="A17" s="174">
        <f t="shared" si="16"/>
        <v>44967</v>
      </c>
      <c r="B17" s="180"/>
      <c r="C17" s="187">
        <v>368963</v>
      </c>
      <c r="D17" s="182">
        <f t="shared" si="0"/>
        <v>3830</v>
      </c>
      <c r="E17" s="187">
        <v>635224</v>
      </c>
      <c r="F17" s="182">
        <f t="shared" si="1"/>
        <v>7870</v>
      </c>
      <c r="G17" s="187">
        <v>413135</v>
      </c>
      <c r="H17" s="182">
        <f t="shared" si="2"/>
        <v>2960</v>
      </c>
      <c r="I17" s="182">
        <f>H17*I6/100</f>
        <v>1480</v>
      </c>
      <c r="J17" s="182">
        <f>H17*J6/100</f>
        <v>1480</v>
      </c>
      <c r="K17" s="187">
        <v>540028</v>
      </c>
      <c r="L17" s="182">
        <f t="shared" si="3"/>
        <v>6070</v>
      </c>
      <c r="M17" s="187">
        <v>874379</v>
      </c>
      <c r="N17" s="182">
        <f t="shared" si="4"/>
        <v>10980</v>
      </c>
      <c r="O17" s="187">
        <v>586478</v>
      </c>
      <c r="P17" s="182">
        <f t="shared" si="5"/>
        <v>13240</v>
      </c>
      <c r="Q17" s="182">
        <f>P17*Q6/100</f>
        <v>6620</v>
      </c>
      <c r="R17" s="182">
        <f>P17*R6/100</f>
        <v>6620</v>
      </c>
      <c r="S17" s="187">
        <v>478588</v>
      </c>
      <c r="T17" s="182">
        <f t="shared" si="6"/>
        <v>20</v>
      </c>
      <c r="U17" s="182">
        <f>T17*U6/100</f>
        <v>10</v>
      </c>
      <c r="V17" s="182">
        <f>T17*V6/100</f>
        <v>10</v>
      </c>
      <c r="W17" s="187">
        <v>241439</v>
      </c>
      <c r="X17" s="182">
        <f t="shared" si="7"/>
        <v>20</v>
      </c>
      <c r="Y17" s="182">
        <f>X17*Y6/100</f>
        <v>10</v>
      </c>
      <c r="Z17" s="182">
        <f>X17*Z6/100</f>
        <v>10</v>
      </c>
      <c r="AA17" s="187">
        <v>316244</v>
      </c>
      <c r="AB17" s="182">
        <f t="shared" si="8"/>
        <v>1310</v>
      </c>
      <c r="AC17" s="182">
        <f>AB17*AC6/100</f>
        <v>655</v>
      </c>
      <c r="AD17" s="182">
        <f>AB17*AD6/100</f>
        <v>655</v>
      </c>
      <c r="AE17" s="187">
        <v>105571</v>
      </c>
      <c r="AF17" s="182">
        <f t="shared" si="9"/>
        <v>1230</v>
      </c>
      <c r="AG17" s="187">
        <v>199022</v>
      </c>
      <c r="AH17" s="182">
        <f t="shared" si="10"/>
        <v>2260</v>
      </c>
      <c r="AI17" s="187">
        <v>350153</v>
      </c>
      <c r="AJ17" s="182">
        <f t="shared" si="11"/>
        <v>3840</v>
      </c>
      <c r="AK17" s="187">
        <v>180250</v>
      </c>
      <c r="AL17" s="182">
        <f t="shared" si="12"/>
        <v>2350</v>
      </c>
      <c r="AM17" s="187">
        <v>927937</v>
      </c>
      <c r="AN17" s="182">
        <f t="shared" si="13"/>
        <v>9270</v>
      </c>
      <c r="AP17" s="184">
        <f t="shared" si="14"/>
        <v>37525</v>
      </c>
      <c r="AQ17" s="185">
        <f t="shared" si="15"/>
        <v>27725</v>
      </c>
    </row>
    <row r="18" spans="1:43" s="183" customFormat="1" ht="39.950000000000003" customHeight="1">
      <c r="A18" s="174">
        <f t="shared" si="16"/>
        <v>44968</v>
      </c>
      <c r="B18" s="180"/>
      <c r="C18" s="187">
        <v>369359</v>
      </c>
      <c r="D18" s="182">
        <f t="shared" si="0"/>
        <v>3960</v>
      </c>
      <c r="E18" s="187">
        <v>636047</v>
      </c>
      <c r="F18" s="182">
        <f t="shared" si="1"/>
        <v>8230</v>
      </c>
      <c r="G18" s="187">
        <v>413434</v>
      </c>
      <c r="H18" s="182">
        <f t="shared" si="2"/>
        <v>2990</v>
      </c>
      <c r="I18" s="182">
        <f>H18*I6/100</f>
        <v>1495</v>
      </c>
      <c r="J18" s="182">
        <f>H18*J6/100</f>
        <v>1495</v>
      </c>
      <c r="K18" s="187">
        <v>540668</v>
      </c>
      <c r="L18" s="182">
        <f t="shared" si="3"/>
        <v>6400</v>
      </c>
      <c r="M18" s="187">
        <v>875545</v>
      </c>
      <c r="N18" s="182">
        <f t="shared" si="4"/>
        <v>11660</v>
      </c>
      <c r="O18" s="187">
        <v>587737</v>
      </c>
      <c r="P18" s="182">
        <f t="shared" si="5"/>
        <v>12590</v>
      </c>
      <c r="Q18" s="182">
        <f>P18*Q6/100</f>
        <v>6295</v>
      </c>
      <c r="R18" s="182">
        <f>P18*R6/100</f>
        <v>6295</v>
      </c>
      <c r="S18" s="187">
        <v>478590</v>
      </c>
      <c r="T18" s="182">
        <f t="shared" si="6"/>
        <v>20</v>
      </c>
      <c r="U18" s="182">
        <f>T18*U6/100</f>
        <v>10</v>
      </c>
      <c r="V18" s="182">
        <f>T18*V6/100</f>
        <v>10</v>
      </c>
      <c r="W18" s="187">
        <v>241441</v>
      </c>
      <c r="X18" s="182">
        <f t="shared" si="7"/>
        <v>20</v>
      </c>
      <c r="Y18" s="182">
        <f>X18*Y6/100</f>
        <v>10</v>
      </c>
      <c r="Z18" s="182">
        <f>X18*Z6/100</f>
        <v>10</v>
      </c>
      <c r="AA18" s="187">
        <v>316266</v>
      </c>
      <c r="AB18" s="182">
        <f t="shared" si="8"/>
        <v>220</v>
      </c>
      <c r="AC18" s="182">
        <f>AB18*AC6/100</f>
        <v>110</v>
      </c>
      <c r="AD18" s="182">
        <f>AB18*AD6/100</f>
        <v>110</v>
      </c>
      <c r="AE18" s="187">
        <v>105701</v>
      </c>
      <c r="AF18" s="182">
        <f t="shared" si="9"/>
        <v>1300</v>
      </c>
      <c r="AG18" s="187">
        <v>199246</v>
      </c>
      <c r="AH18" s="182">
        <f t="shared" si="10"/>
        <v>2240</v>
      </c>
      <c r="AI18" s="187">
        <v>350539</v>
      </c>
      <c r="AJ18" s="182">
        <f t="shared" si="11"/>
        <v>3860</v>
      </c>
      <c r="AK18" s="187">
        <v>180494</v>
      </c>
      <c r="AL18" s="182">
        <f t="shared" si="12"/>
        <v>2440</v>
      </c>
      <c r="AM18" s="187">
        <v>928855</v>
      </c>
      <c r="AN18" s="182">
        <f t="shared" si="13"/>
        <v>9180</v>
      </c>
      <c r="AP18" s="184">
        <f t="shared" si="14"/>
        <v>38170</v>
      </c>
      <c r="AQ18" s="185">
        <f t="shared" si="15"/>
        <v>26940</v>
      </c>
    </row>
    <row r="19" spans="1:43" s="183" customFormat="1" ht="39.950000000000003" customHeight="1">
      <c r="A19" s="174">
        <f t="shared" si="16"/>
        <v>44969</v>
      </c>
      <c r="B19" s="180"/>
      <c r="C19" s="187">
        <v>369752</v>
      </c>
      <c r="D19" s="182">
        <f t="shared" si="0"/>
        <v>3930</v>
      </c>
      <c r="E19" s="187">
        <v>636816</v>
      </c>
      <c r="F19" s="182">
        <f t="shared" si="1"/>
        <v>7690</v>
      </c>
      <c r="G19" s="187">
        <v>413724</v>
      </c>
      <c r="H19" s="182">
        <f t="shared" si="2"/>
        <v>2900</v>
      </c>
      <c r="I19" s="182">
        <f>H19*I6/100</f>
        <v>1450</v>
      </c>
      <c r="J19" s="182">
        <f>H19*J6/100</f>
        <v>1450</v>
      </c>
      <c r="K19" s="187">
        <v>541265</v>
      </c>
      <c r="L19" s="182">
        <f t="shared" si="3"/>
        <v>5970</v>
      </c>
      <c r="M19" s="187">
        <v>876638</v>
      </c>
      <c r="N19" s="182">
        <f t="shared" si="4"/>
        <v>10930</v>
      </c>
      <c r="O19" s="187">
        <v>588938</v>
      </c>
      <c r="P19" s="182">
        <f t="shared" si="5"/>
        <v>12010</v>
      </c>
      <c r="Q19" s="182">
        <f>P19*Q6/100</f>
        <v>6005</v>
      </c>
      <c r="R19" s="182">
        <f>P19*R6/100</f>
        <v>6005</v>
      </c>
      <c r="S19" s="187">
        <v>478592</v>
      </c>
      <c r="T19" s="182">
        <f t="shared" si="6"/>
        <v>20</v>
      </c>
      <c r="U19" s="182">
        <f>T19*U6/100</f>
        <v>10</v>
      </c>
      <c r="V19" s="182">
        <f>T19*V6/100</f>
        <v>10</v>
      </c>
      <c r="W19" s="187">
        <v>241443</v>
      </c>
      <c r="X19" s="182">
        <f t="shared" si="7"/>
        <v>20</v>
      </c>
      <c r="Y19" s="182">
        <f>X19*Y6/100</f>
        <v>10</v>
      </c>
      <c r="Z19" s="182">
        <f>X19*Z6/100</f>
        <v>10</v>
      </c>
      <c r="AA19" s="187">
        <v>316499</v>
      </c>
      <c r="AB19" s="182">
        <f t="shared" si="8"/>
        <v>2330</v>
      </c>
      <c r="AC19" s="182">
        <f>AB19*AC6/100</f>
        <v>1165</v>
      </c>
      <c r="AD19" s="182">
        <f>AB19*AD6/100</f>
        <v>1165</v>
      </c>
      <c r="AE19" s="187">
        <v>105822</v>
      </c>
      <c r="AF19" s="182">
        <f t="shared" si="9"/>
        <v>1210</v>
      </c>
      <c r="AG19" s="187">
        <v>199464</v>
      </c>
      <c r="AH19" s="182">
        <f t="shared" si="10"/>
        <v>2180</v>
      </c>
      <c r="AI19" s="187">
        <v>350907</v>
      </c>
      <c r="AJ19" s="182">
        <f t="shared" si="11"/>
        <v>3680</v>
      </c>
      <c r="AK19" s="187">
        <v>180739</v>
      </c>
      <c r="AL19" s="182">
        <f t="shared" si="12"/>
        <v>2450</v>
      </c>
      <c r="AM19" s="187">
        <v>929774</v>
      </c>
      <c r="AN19" s="182">
        <f t="shared" si="13"/>
        <v>9190</v>
      </c>
      <c r="AP19" s="184">
        <f t="shared" si="14"/>
        <v>37160</v>
      </c>
      <c r="AQ19" s="185">
        <f t="shared" si="15"/>
        <v>27350</v>
      </c>
    </row>
    <row r="20" spans="1:43" s="183" customFormat="1" ht="39.950000000000003" customHeight="1">
      <c r="A20" s="174">
        <f t="shared" si="16"/>
        <v>44970</v>
      </c>
      <c r="B20" s="180"/>
      <c r="C20" s="187">
        <v>370157</v>
      </c>
      <c r="D20" s="182">
        <f t="shared" si="0"/>
        <v>4050</v>
      </c>
      <c r="E20" s="187">
        <v>637592</v>
      </c>
      <c r="F20" s="182">
        <f t="shared" si="1"/>
        <v>7760</v>
      </c>
      <c r="G20" s="187">
        <v>414030</v>
      </c>
      <c r="H20" s="182">
        <f t="shared" si="2"/>
        <v>3060</v>
      </c>
      <c r="I20" s="182">
        <f>H20*I6/100</f>
        <v>1530</v>
      </c>
      <c r="J20" s="182">
        <f>H20*J6/100</f>
        <v>1530</v>
      </c>
      <c r="K20" s="187">
        <v>541914</v>
      </c>
      <c r="L20" s="182">
        <f t="shared" si="3"/>
        <v>6490</v>
      </c>
      <c r="M20" s="187">
        <v>877748</v>
      </c>
      <c r="N20" s="182">
        <f t="shared" si="4"/>
        <v>11100</v>
      </c>
      <c r="O20" s="187">
        <v>590230</v>
      </c>
      <c r="P20" s="182">
        <f t="shared" si="5"/>
        <v>12920</v>
      </c>
      <c r="Q20" s="182">
        <f>P20*Q6/100</f>
        <v>6460</v>
      </c>
      <c r="R20" s="182">
        <f>P20*R6/100</f>
        <v>6460</v>
      </c>
      <c r="S20" s="187">
        <v>478594</v>
      </c>
      <c r="T20" s="182">
        <f t="shared" si="6"/>
        <v>20</v>
      </c>
      <c r="U20" s="182">
        <f>T20*U6/100</f>
        <v>10</v>
      </c>
      <c r="V20" s="182">
        <f>T20*V6/100</f>
        <v>10</v>
      </c>
      <c r="W20" s="187">
        <v>241446</v>
      </c>
      <c r="X20" s="182">
        <f t="shared" si="7"/>
        <v>30</v>
      </c>
      <c r="Y20" s="182">
        <f>X20*Y6/100</f>
        <v>15</v>
      </c>
      <c r="Z20" s="182">
        <f>X20*Z6/100</f>
        <v>15</v>
      </c>
      <c r="AA20" s="187">
        <v>316966</v>
      </c>
      <c r="AB20" s="182">
        <f t="shared" si="8"/>
        <v>4670</v>
      </c>
      <c r="AC20" s="182">
        <f>AB20*AC6/100</f>
        <v>2335</v>
      </c>
      <c r="AD20" s="182">
        <f>AB20*AD6/100</f>
        <v>2335</v>
      </c>
      <c r="AE20" s="187">
        <v>105956</v>
      </c>
      <c r="AF20" s="182">
        <f t="shared" si="9"/>
        <v>1340</v>
      </c>
      <c r="AG20" s="187">
        <v>199708</v>
      </c>
      <c r="AH20" s="182">
        <f t="shared" si="10"/>
        <v>2440</v>
      </c>
      <c r="AI20" s="187">
        <v>351318</v>
      </c>
      <c r="AJ20" s="182">
        <f t="shared" si="11"/>
        <v>4110</v>
      </c>
      <c r="AK20" s="187">
        <v>180994</v>
      </c>
      <c r="AL20" s="182">
        <f t="shared" si="12"/>
        <v>2550</v>
      </c>
      <c r="AM20" s="187">
        <v>930765</v>
      </c>
      <c r="AN20" s="182">
        <f t="shared" si="13"/>
        <v>9910</v>
      </c>
      <c r="AP20" s="184">
        <f t="shared" si="14"/>
        <v>39750</v>
      </c>
      <c r="AQ20" s="185">
        <f t="shared" si="15"/>
        <v>30700</v>
      </c>
    </row>
    <row r="21" spans="1:43" s="183" customFormat="1" ht="39.950000000000003" customHeight="1">
      <c r="A21" s="174">
        <f t="shared" si="16"/>
        <v>44971</v>
      </c>
      <c r="B21" s="180"/>
      <c r="C21" s="187">
        <v>370552</v>
      </c>
      <c r="D21" s="182">
        <f t="shared" si="0"/>
        <v>3950</v>
      </c>
      <c r="E21" s="187">
        <v>638309</v>
      </c>
      <c r="F21" s="182">
        <f t="shared" si="1"/>
        <v>7170</v>
      </c>
      <c r="G21" s="187">
        <v>414309</v>
      </c>
      <c r="H21" s="182">
        <f t="shared" si="2"/>
        <v>2790</v>
      </c>
      <c r="I21" s="182">
        <f>H21*I6/100</f>
        <v>1395</v>
      </c>
      <c r="J21" s="182">
        <f>H21*J6/100</f>
        <v>1395</v>
      </c>
      <c r="K21" s="187">
        <v>542492</v>
      </c>
      <c r="L21" s="182">
        <f t="shared" si="3"/>
        <v>5780</v>
      </c>
      <c r="M21" s="187">
        <v>878827</v>
      </c>
      <c r="N21" s="182">
        <f t="shared" si="4"/>
        <v>10790</v>
      </c>
      <c r="O21" s="187">
        <v>591168</v>
      </c>
      <c r="P21" s="182">
        <f t="shared" si="5"/>
        <v>9380</v>
      </c>
      <c r="Q21" s="182">
        <f>P21*Q6/100</f>
        <v>4690</v>
      </c>
      <c r="R21" s="182">
        <f>P21*R6/100</f>
        <v>4690</v>
      </c>
      <c r="S21" s="189">
        <v>478596</v>
      </c>
      <c r="T21" s="182">
        <f t="shared" si="6"/>
        <v>20</v>
      </c>
      <c r="U21" s="182">
        <f>T21*U6/100</f>
        <v>10</v>
      </c>
      <c r="V21" s="182">
        <f>T21*V6/100</f>
        <v>10</v>
      </c>
      <c r="W21" s="187">
        <v>241448</v>
      </c>
      <c r="X21" s="182">
        <f t="shared" si="7"/>
        <v>20</v>
      </c>
      <c r="Y21" s="182">
        <f>X21*Y6/100</f>
        <v>10</v>
      </c>
      <c r="Z21" s="182">
        <f>X21*Z6/100</f>
        <v>10</v>
      </c>
      <c r="AA21" s="187">
        <v>317120</v>
      </c>
      <c r="AB21" s="182">
        <f t="shared" si="8"/>
        <v>1540</v>
      </c>
      <c r="AC21" s="182">
        <f>AB21*AC6/100</f>
        <v>770</v>
      </c>
      <c r="AD21" s="182">
        <f>AB21*AD6/100</f>
        <v>770</v>
      </c>
      <c r="AE21" s="187">
        <v>106072</v>
      </c>
      <c r="AF21" s="182">
        <f t="shared" si="9"/>
        <v>1160</v>
      </c>
      <c r="AG21" s="187">
        <v>199928</v>
      </c>
      <c r="AH21" s="182">
        <f t="shared" si="10"/>
        <v>2200</v>
      </c>
      <c r="AI21" s="187">
        <v>351697</v>
      </c>
      <c r="AJ21" s="182">
        <f t="shared" si="11"/>
        <v>3790</v>
      </c>
      <c r="AK21" s="187">
        <v>181236</v>
      </c>
      <c r="AL21" s="182">
        <f t="shared" si="12"/>
        <v>2420</v>
      </c>
      <c r="AM21" s="187">
        <v>931684</v>
      </c>
      <c r="AN21" s="182">
        <f t="shared" si="13"/>
        <v>9190</v>
      </c>
      <c r="AP21" s="184">
        <f t="shared" si="14"/>
        <v>34565</v>
      </c>
      <c r="AQ21" s="185">
        <f t="shared" si="15"/>
        <v>25635</v>
      </c>
    </row>
    <row r="22" spans="1:43" s="183" customFormat="1" ht="39.950000000000003" customHeight="1">
      <c r="A22" s="174">
        <f t="shared" si="16"/>
        <v>44972</v>
      </c>
      <c r="B22" s="180"/>
      <c r="C22" s="187">
        <v>370972</v>
      </c>
      <c r="D22" s="182">
        <f t="shared" si="0"/>
        <v>4200</v>
      </c>
      <c r="E22" s="187">
        <v>639056</v>
      </c>
      <c r="F22" s="182">
        <f t="shared" si="1"/>
        <v>7470</v>
      </c>
      <c r="G22" s="187">
        <v>414595</v>
      </c>
      <c r="H22" s="182">
        <f t="shared" si="2"/>
        <v>2860</v>
      </c>
      <c r="I22" s="182">
        <f>H22*I6/100</f>
        <v>1430</v>
      </c>
      <c r="J22" s="182">
        <f>H22*J6/100</f>
        <v>1430</v>
      </c>
      <c r="K22" s="187">
        <v>543092</v>
      </c>
      <c r="L22" s="182">
        <f t="shared" si="3"/>
        <v>6000</v>
      </c>
      <c r="M22" s="187">
        <v>879943</v>
      </c>
      <c r="N22" s="182">
        <f t="shared" si="4"/>
        <v>11160</v>
      </c>
      <c r="O22" s="187">
        <v>592186</v>
      </c>
      <c r="P22" s="182">
        <f t="shared" si="5"/>
        <v>10180</v>
      </c>
      <c r="Q22" s="182">
        <f>P22*Q6/100</f>
        <v>5090</v>
      </c>
      <c r="R22" s="182">
        <f>P22*R6/100</f>
        <v>5090</v>
      </c>
      <c r="S22" s="187">
        <v>478599</v>
      </c>
      <c r="T22" s="182">
        <f t="shared" si="6"/>
        <v>30</v>
      </c>
      <c r="U22" s="182">
        <f>T22*U6/100</f>
        <v>15</v>
      </c>
      <c r="V22" s="182">
        <f>T22*V6/100</f>
        <v>15</v>
      </c>
      <c r="W22" s="187">
        <v>241450</v>
      </c>
      <c r="X22" s="182">
        <f t="shared" si="7"/>
        <v>20</v>
      </c>
      <c r="Y22" s="182">
        <f>X22*Y6/100</f>
        <v>10</v>
      </c>
      <c r="Z22" s="182">
        <f>X22*Z6/100</f>
        <v>10</v>
      </c>
      <c r="AA22" s="187">
        <v>317123</v>
      </c>
      <c r="AB22" s="182">
        <f t="shared" si="8"/>
        <v>30</v>
      </c>
      <c r="AC22" s="182">
        <f>AB22*AC6/100</f>
        <v>15</v>
      </c>
      <c r="AD22" s="182">
        <f>AB22*AD6/100</f>
        <v>15</v>
      </c>
      <c r="AE22" s="187">
        <v>106192</v>
      </c>
      <c r="AF22" s="182">
        <f t="shared" si="9"/>
        <v>1200</v>
      </c>
      <c r="AG22" s="187">
        <v>200154</v>
      </c>
      <c r="AH22" s="182">
        <f t="shared" si="10"/>
        <v>2260</v>
      </c>
      <c r="AI22" s="187">
        <v>352077</v>
      </c>
      <c r="AJ22" s="182">
        <f t="shared" si="11"/>
        <v>3800</v>
      </c>
      <c r="AK22" s="187">
        <v>181480</v>
      </c>
      <c r="AL22" s="182">
        <f t="shared" si="12"/>
        <v>2440</v>
      </c>
      <c r="AM22" s="187">
        <v>932630</v>
      </c>
      <c r="AN22" s="182">
        <f t="shared" si="13"/>
        <v>9460</v>
      </c>
      <c r="AP22" s="184">
        <f t="shared" si="14"/>
        <v>35390</v>
      </c>
      <c r="AQ22" s="185">
        <f t="shared" si="15"/>
        <v>25720</v>
      </c>
    </row>
    <row r="23" spans="1:43" s="183" customFormat="1" ht="39.950000000000003" customHeight="1">
      <c r="A23" s="174">
        <f t="shared" si="16"/>
        <v>44973</v>
      </c>
      <c r="B23" s="180"/>
      <c r="C23" s="187">
        <v>371380</v>
      </c>
      <c r="D23" s="182">
        <f t="shared" si="0"/>
        <v>4080</v>
      </c>
      <c r="E23" s="187">
        <v>639818</v>
      </c>
      <c r="F23" s="182">
        <f t="shared" si="1"/>
        <v>7620</v>
      </c>
      <c r="G23" s="187">
        <v>414882</v>
      </c>
      <c r="H23" s="182">
        <f t="shared" si="2"/>
        <v>2870</v>
      </c>
      <c r="I23" s="182">
        <f>H23*I6/100</f>
        <v>1435</v>
      </c>
      <c r="J23" s="182">
        <f>H23*J6/100</f>
        <v>1435</v>
      </c>
      <c r="K23" s="187">
        <v>543732</v>
      </c>
      <c r="L23" s="182">
        <f t="shared" si="3"/>
        <v>6400</v>
      </c>
      <c r="M23" s="187">
        <v>881098</v>
      </c>
      <c r="N23" s="182">
        <f t="shared" si="4"/>
        <v>11550</v>
      </c>
      <c r="O23" s="187">
        <v>593201</v>
      </c>
      <c r="P23" s="182">
        <f t="shared" si="5"/>
        <v>10150</v>
      </c>
      <c r="Q23" s="182">
        <f>P23*Q6/100</f>
        <v>5075</v>
      </c>
      <c r="R23" s="182">
        <f>P23*R6/100</f>
        <v>5075</v>
      </c>
      <c r="S23" s="187">
        <v>478601</v>
      </c>
      <c r="T23" s="182">
        <f t="shared" si="6"/>
        <v>20</v>
      </c>
      <c r="U23" s="182">
        <f>T23*U6/100</f>
        <v>10</v>
      </c>
      <c r="V23" s="182">
        <f>T23*V6/100</f>
        <v>10</v>
      </c>
      <c r="W23" s="187">
        <v>241452</v>
      </c>
      <c r="X23" s="182">
        <f t="shared" si="7"/>
        <v>20</v>
      </c>
      <c r="Y23" s="182">
        <f>X23*Y6/100</f>
        <v>10</v>
      </c>
      <c r="Z23" s="182">
        <f>X23*Z6/100</f>
        <v>10</v>
      </c>
      <c r="AA23" s="187">
        <v>317127</v>
      </c>
      <c r="AB23" s="182">
        <f t="shared" si="8"/>
        <v>40</v>
      </c>
      <c r="AC23" s="182">
        <f>AB23*AC6/100</f>
        <v>20</v>
      </c>
      <c r="AD23" s="182">
        <f>AB23*AD6/100</f>
        <v>20</v>
      </c>
      <c r="AE23" s="187">
        <v>106319</v>
      </c>
      <c r="AF23" s="182">
        <f t="shared" si="9"/>
        <v>1270</v>
      </c>
      <c r="AG23" s="187">
        <v>200386</v>
      </c>
      <c r="AH23" s="182">
        <f t="shared" si="10"/>
        <v>2320</v>
      </c>
      <c r="AI23" s="187">
        <v>352464</v>
      </c>
      <c r="AJ23" s="182">
        <f t="shared" si="11"/>
        <v>3870</v>
      </c>
      <c r="AK23" s="187">
        <v>181724</v>
      </c>
      <c r="AL23" s="182">
        <f t="shared" si="12"/>
        <v>2440</v>
      </c>
      <c r="AM23" s="187">
        <v>933578</v>
      </c>
      <c r="AN23" s="182">
        <f t="shared" si="13"/>
        <v>9480</v>
      </c>
      <c r="AP23" s="184">
        <f t="shared" si="14"/>
        <v>36200</v>
      </c>
      <c r="AQ23" s="185">
        <f t="shared" si="15"/>
        <v>25930</v>
      </c>
    </row>
    <row r="24" spans="1:43" s="183" customFormat="1" ht="39.950000000000003" customHeight="1">
      <c r="A24" s="174">
        <f t="shared" si="16"/>
        <v>44974</v>
      </c>
      <c r="B24" s="180"/>
      <c r="C24" s="187">
        <v>371815</v>
      </c>
      <c r="D24" s="182">
        <f t="shared" si="0"/>
        <v>4350</v>
      </c>
      <c r="E24" s="187">
        <v>640645</v>
      </c>
      <c r="F24" s="182">
        <f t="shared" si="1"/>
        <v>8270</v>
      </c>
      <c r="G24" s="187">
        <v>415190</v>
      </c>
      <c r="H24" s="182">
        <f t="shared" si="2"/>
        <v>3080</v>
      </c>
      <c r="I24" s="182">
        <f>H24*I6/100</f>
        <v>1540</v>
      </c>
      <c r="J24" s="182">
        <f>H24*J6/100</f>
        <v>1540</v>
      </c>
      <c r="K24" s="187">
        <v>544378</v>
      </c>
      <c r="L24" s="182">
        <f t="shared" si="3"/>
        <v>6460</v>
      </c>
      <c r="M24" s="187">
        <v>882317</v>
      </c>
      <c r="N24" s="182">
        <f t="shared" si="4"/>
        <v>12190</v>
      </c>
      <c r="O24" s="187">
        <v>594453</v>
      </c>
      <c r="P24" s="182">
        <f t="shared" si="5"/>
        <v>12520</v>
      </c>
      <c r="Q24" s="182">
        <f>P24*Q6/100</f>
        <v>6260</v>
      </c>
      <c r="R24" s="182">
        <f>P24*R6/100</f>
        <v>6260</v>
      </c>
      <c r="S24" s="187">
        <v>478603</v>
      </c>
      <c r="T24" s="182">
        <f t="shared" si="6"/>
        <v>20</v>
      </c>
      <c r="U24" s="182">
        <f>T24*U6/100</f>
        <v>10</v>
      </c>
      <c r="V24" s="182">
        <f>T24*V6/100</f>
        <v>10</v>
      </c>
      <c r="W24" s="187">
        <v>241455</v>
      </c>
      <c r="X24" s="182">
        <f t="shared" si="7"/>
        <v>30</v>
      </c>
      <c r="Y24" s="182">
        <f>X24*Y6/100</f>
        <v>15</v>
      </c>
      <c r="Z24" s="182">
        <f>X24*Z6/100</f>
        <v>15</v>
      </c>
      <c r="AA24" s="187">
        <v>317130</v>
      </c>
      <c r="AB24" s="182">
        <f t="shared" si="8"/>
        <v>30</v>
      </c>
      <c r="AC24" s="182">
        <f>AB24*AC6/100</f>
        <v>15</v>
      </c>
      <c r="AD24" s="182">
        <f>AB24*AD6/100</f>
        <v>15</v>
      </c>
      <c r="AE24" s="187">
        <v>106447</v>
      </c>
      <c r="AF24" s="182">
        <f t="shared" si="9"/>
        <v>1280</v>
      </c>
      <c r="AG24" s="187">
        <v>200607</v>
      </c>
      <c r="AH24" s="182">
        <f t="shared" si="10"/>
        <v>2210</v>
      </c>
      <c r="AI24" s="187">
        <v>352831</v>
      </c>
      <c r="AJ24" s="182">
        <f t="shared" si="11"/>
        <v>3670</v>
      </c>
      <c r="AK24" s="187">
        <v>181960</v>
      </c>
      <c r="AL24" s="182">
        <f t="shared" si="12"/>
        <v>2360</v>
      </c>
      <c r="AM24" s="187">
        <v>934486</v>
      </c>
      <c r="AN24" s="182">
        <f t="shared" si="13"/>
        <v>9080</v>
      </c>
      <c r="AP24" s="184">
        <f t="shared" si="14"/>
        <v>39110</v>
      </c>
      <c r="AQ24" s="185">
        <f t="shared" si="15"/>
        <v>26440</v>
      </c>
    </row>
    <row r="25" spans="1:43" s="183" customFormat="1" ht="39.950000000000003" customHeight="1">
      <c r="A25" s="174">
        <f t="shared" si="16"/>
        <v>44975</v>
      </c>
      <c r="B25" s="180"/>
      <c r="C25" s="187">
        <v>372189</v>
      </c>
      <c r="D25" s="182">
        <f t="shared" si="0"/>
        <v>3740</v>
      </c>
      <c r="E25" s="187">
        <v>641378</v>
      </c>
      <c r="F25" s="182">
        <f t="shared" si="1"/>
        <v>7330</v>
      </c>
      <c r="G25" s="187">
        <v>415474</v>
      </c>
      <c r="H25" s="182">
        <f t="shared" si="2"/>
        <v>2840</v>
      </c>
      <c r="I25" s="182">
        <f>H25*I6/100</f>
        <v>1420</v>
      </c>
      <c r="J25" s="182">
        <f>H25*J6/100</f>
        <v>1420</v>
      </c>
      <c r="K25" s="187">
        <v>545005</v>
      </c>
      <c r="L25" s="182">
        <f t="shared" si="3"/>
        <v>6270</v>
      </c>
      <c r="M25" s="187">
        <v>883469</v>
      </c>
      <c r="N25" s="182">
        <f t="shared" si="4"/>
        <v>11520</v>
      </c>
      <c r="O25" s="187">
        <v>595683</v>
      </c>
      <c r="P25" s="182">
        <f t="shared" si="5"/>
        <v>12300</v>
      </c>
      <c r="Q25" s="182">
        <f>P25*Q6/100</f>
        <v>6150</v>
      </c>
      <c r="R25" s="182">
        <f>P25*R6/100</f>
        <v>6150</v>
      </c>
      <c r="S25" s="187">
        <v>478605</v>
      </c>
      <c r="T25" s="182">
        <f t="shared" si="6"/>
        <v>20</v>
      </c>
      <c r="U25" s="182">
        <f>T25*U6/100</f>
        <v>10</v>
      </c>
      <c r="V25" s="182">
        <f>T25*V6/100</f>
        <v>10</v>
      </c>
      <c r="W25" s="187">
        <v>241457</v>
      </c>
      <c r="X25" s="182">
        <f t="shared" si="7"/>
        <v>20</v>
      </c>
      <c r="Y25" s="182">
        <f>X25*Y6/100</f>
        <v>10</v>
      </c>
      <c r="Z25" s="182">
        <f>X25*Z6/100</f>
        <v>10</v>
      </c>
      <c r="AA25" s="187">
        <v>317180</v>
      </c>
      <c r="AB25" s="182">
        <f t="shared" si="8"/>
        <v>500</v>
      </c>
      <c r="AC25" s="182">
        <f>AB25*AC6/100</f>
        <v>250</v>
      </c>
      <c r="AD25" s="182">
        <f>AB25*AD6/100</f>
        <v>250</v>
      </c>
      <c r="AE25" s="187">
        <v>106575</v>
      </c>
      <c r="AF25" s="182">
        <f t="shared" si="9"/>
        <v>1280</v>
      </c>
      <c r="AG25" s="187">
        <v>200830</v>
      </c>
      <c r="AH25" s="182">
        <f t="shared" si="10"/>
        <v>2230</v>
      </c>
      <c r="AI25" s="187">
        <v>353224</v>
      </c>
      <c r="AJ25" s="182">
        <f t="shared" si="11"/>
        <v>3930</v>
      </c>
      <c r="AK25" s="187">
        <v>182210</v>
      </c>
      <c r="AL25" s="182">
        <f t="shared" si="12"/>
        <v>2500</v>
      </c>
      <c r="AM25" s="187">
        <v>935409</v>
      </c>
      <c r="AN25" s="182">
        <f t="shared" si="13"/>
        <v>9230</v>
      </c>
      <c r="AP25" s="184">
        <f t="shared" si="14"/>
        <v>36700</v>
      </c>
      <c r="AQ25" s="185">
        <f t="shared" si="15"/>
        <v>27010</v>
      </c>
    </row>
    <row r="26" spans="1:43" s="183" customFormat="1" ht="39.950000000000003" customHeight="1">
      <c r="A26" s="174">
        <f t="shared" si="16"/>
        <v>44976</v>
      </c>
      <c r="B26" s="180"/>
      <c r="C26" s="187">
        <v>372592</v>
      </c>
      <c r="D26" s="182">
        <f t="shared" si="0"/>
        <v>4030</v>
      </c>
      <c r="E26" s="187">
        <v>642152</v>
      </c>
      <c r="F26" s="182">
        <f t="shared" si="1"/>
        <v>7740</v>
      </c>
      <c r="G26" s="187">
        <v>415778</v>
      </c>
      <c r="H26" s="182">
        <f t="shared" si="2"/>
        <v>3040</v>
      </c>
      <c r="I26" s="182">
        <f>H26*I6/100</f>
        <v>1520</v>
      </c>
      <c r="J26" s="182">
        <f>H26*J6/100</f>
        <v>1520</v>
      </c>
      <c r="K26" s="187">
        <v>545633</v>
      </c>
      <c r="L26" s="182">
        <f t="shared" si="3"/>
        <v>6280</v>
      </c>
      <c r="M26" s="187">
        <v>884578</v>
      </c>
      <c r="N26" s="182">
        <f t="shared" si="4"/>
        <v>11090</v>
      </c>
      <c r="O26" s="187">
        <v>596950</v>
      </c>
      <c r="P26" s="182">
        <f t="shared" si="5"/>
        <v>12670</v>
      </c>
      <c r="Q26" s="182">
        <f>P26*Q6/100</f>
        <v>6335</v>
      </c>
      <c r="R26" s="182">
        <f>P26*R6/100</f>
        <v>6335</v>
      </c>
      <c r="S26" s="187">
        <v>478607</v>
      </c>
      <c r="T26" s="182">
        <f t="shared" si="6"/>
        <v>20</v>
      </c>
      <c r="U26" s="182">
        <f>T26*U6/100</f>
        <v>10</v>
      </c>
      <c r="V26" s="182">
        <f>T26*V6/100</f>
        <v>10</v>
      </c>
      <c r="W26" s="187">
        <v>241459</v>
      </c>
      <c r="X26" s="182">
        <f t="shared" si="7"/>
        <v>20</v>
      </c>
      <c r="Y26" s="182">
        <f>X26*Y6/100</f>
        <v>10</v>
      </c>
      <c r="Z26" s="182">
        <f>X26*Z6/100</f>
        <v>10</v>
      </c>
      <c r="AA26" s="187">
        <v>317498</v>
      </c>
      <c r="AB26" s="182">
        <f t="shared" si="8"/>
        <v>3180</v>
      </c>
      <c r="AC26" s="182">
        <f>AB26*AC6/100</f>
        <v>1590</v>
      </c>
      <c r="AD26" s="182">
        <f>AB26*AD6/100</f>
        <v>1590</v>
      </c>
      <c r="AE26" s="187">
        <v>106702</v>
      </c>
      <c r="AF26" s="182">
        <f t="shared" si="9"/>
        <v>1270</v>
      </c>
      <c r="AG26" s="187">
        <v>201050</v>
      </c>
      <c r="AH26" s="182">
        <f t="shared" si="10"/>
        <v>2200</v>
      </c>
      <c r="AI26" s="187">
        <v>353604</v>
      </c>
      <c r="AJ26" s="182">
        <f t="shared" si="11"/>
        <v>3800</v>
      </c>
      <c r="AK26" s="187">
        <v>182463</v>
      </c>
      <c r="AL26" s="182">
        <f t="shared" si="12"/>
        <v>2530</v>
      </c>
      <c r="AM26" s="187">
        <v>936350</v>
      </c>
      <c r="AN26" s="182">
        <f t="shared" si="13"/>
        <v>9410</v>
      </c>
      <c r="AP26" s="184">
        <f t="shared" si="14"/>
        <v>38605</v>
      </c>
      <c r="AQ26" s="185">
        <f t="shared" si="15"/>
        <v>28675</v>
      </c>
    </row>
    <row r="27" spans="1:43" s="183" customFormat="1" ht="39.950000000000003" customHeight="1">
      <c r="A27" s="174">
        <f t="shared" si="16"/>
        <v>44977</v>
      </c>
      <c r="B27" s="180"/>
      <c r="C27" s="187">
        <v>373006</v>
      </c>
      <c r="D27" s="182">
        <f t="shared" si="0"/>
        <v>4140</v>
      </c>
      <c r="E27" s="187">
        <v>643012</v>
      </c>
      <c r="F27" s="182">
        <f t="shared" si="1"/>
        <v>8600</v>
      </c>
      <c r="G27" s="187">
        <v>416082</v>
      </c>
      <c r="H27" s="182">
        <f t="shared" si="2"/>
        <v>3040</v>
      </c>
      <c r="I27" s="182">
        <f>H27*I6/100</f>
        <v>1520</v>
      </c>
      <c r="J27" s="182">
        <f>H27*J6/100</f>
        <v>1520</v>
      </c>
      <c r="K27" s="187">
        <v>546244</v>
      </c>
      <c r="L27" s="182">
        <f t="shared" si="3"/>
        <v>6110</v>
      </c>
      <c r="M27" s="187">
        <v>885569</v>
      </c>
      <c r="N27" s="182">
        <f t="shared" si="4"/>
        <v>9910</v>
      </c>
      <c r="O27" s="187">
        <v>598273</v>
      </c>
      <c r="P27" s="182">
        <f t="shared" si="5"/>
        <v>13230</v>
      </c>
      <c r="Q27" s="182">
        <f>P27*Q6/100</f>
        <v>6615</v>
      </c>
      <c r="R27" s="182">
        <f>P27*R6/100</f>
        <v>6615</v>
      </c>
      <c r="S27" s="187">
        <v>478609</v>
      </c>
      <c r="T27" s="182">
        <f t="shared" si="6"/>
        <v>20</v>
      </c>
      <c r="U27" s="182">
        <f>T27*U6/100</f>
        <v>10</v>
      </c>
      <c r="V27" s="182">
        <f>T27*V6/100</f>
        <v>10</v>
      </c>
      <c r="W27" s="187">
        <v>241461</v>
      </c>
      <c r="X27" s="182">
        <f t="shared" si="7"/>
        <v>20</v>
      </c>
      <c r="Y27" s="182">
        <f>X27*Y6/100</f>
        <v>10</v>
      </c>
      <c r="Z27" s="182">
        <f>X27*Z6/100</f>
        <v>10</v>
      </c>
      <c r="AA27" s="187">
        <v>317501</v>
      </c>
      <c r="AB27" s="182">
        <f t="shared" si="8"/>
        <v>30</v>
      </c>
      <c r="AC27" s="182">
        <f>AB27*AC6/100</f>
        <v>15</v>
      </c>
      <c r="AD27" s="182">
        <f>AB27*AD6/100</f>
        <v>15</v>
      </c>
      <c r="AE27" s="187">
        <v>106823</v>
      </c>
      <c r="AF27" s="182">
        <f t="shared" si="9"/>
        <v>1210</v>
      </c>
      <c r="AG27" s="187">
        <v>201276</v>
      </c>
      <c r="AH27" s="182">
        <f t="shared" si="10"/>
        <v>2260</v>
      </c>
      <c r="AI27" s="187">
        <v>353999</v>
      </c>
      <c r="AJ27" s="182">
        <f t="shared" si="11"/>
        <v>3950</v>
      </c>
      <c r="AK27" s="187">
        <v>182715</v>
      </c>
      <c r="AL27" s="182">
        <f t="shared" si="12"/>
        <v>2520</v>
      </c>
      <c r="AM27" s="187">
        <v>937279</v>
      </c>
      <c r="AN27" s="182">
        <f t="shared" si="13"/>
        <v>9290</v>
      </c>
      <c r="AP27" s="184">
        <f t="shared" si="14"/>
        <v>36930</v>
      </c>
      <c r="AQ27" s="185">
        <f t="shared" si="15"/>
        <v>27400</v>
      </c>
    </row>
    <row r="28" spans="1:43" s="183" customFormat="1" ht="39.950000000000003" customHeight="1">
      <c r="A28" s="174">
        <f t="shared" si="16"/>
        <v>44978</v>
      </c>
      <c r="B28" s="180"/>
      <c r="C28" s="187">
        <v>373389</v>
      </c>
      <c r="D28" s="182">
        <f t="shared" si="0"/>
        <v>3830</v>
      </c>
      <c r="E28" s="187">
        <v>643833</v>
      </c>
      <c r="F28" s="182">
        <f t="shared" si="1"/>
        <v>8210</v>
      </c>
      <c r="G28" s="187">
        <v>416361</v>
      </c>
      <c r="H28" s="182">
        <f t="shared" si="2"/>
        <v>2790</v>
      </c>
      <c r="I28" s="182">
        <f>H28*I6/100</f>
        <v>1395</v>
      </c>
      <c r="J28" s="182">
        <f>H28*J6/100</f>
        <v>1395</v>
      </c>
      <c r="K28" s="187">
        <v>546870</v>
      </c>
      <c r="L28" s="182">
        <f t="shared" si="3"/>
        <v>6260</v>
      </c>
      <c r="M28" s="187">
        <v>886691</v>
      </c>
      <c r="N28" s="182">
        <f t="shared" si="4"/>
        <v>11220</v>
      </c>
      <c r="O28" s="187">
        <v>599337</v>
      </c>
      <c r="P28" s="182">
        <f t="shared" si="5"/>
        <v>10640</v>
      </c>
      <c r="Q28" s="182">
        <f>P28*Q6/100</f>
        <v>5320</v>
      </c>
      <c r="R28" s="182">
        <f>P28*R6/100</f>
        <v>5320</v>
      </c>
      <c r="S28" s="187">
        <v>478611</v>
      </c>
      <c r="T28" s="182">
        <f t="shared" si="6"/>
        <v>20</v>
      </c>
      <c r="U28" s="182">
        <f>T28*U6/100</f>
        <v>10</v>
      </c>
      <c r="V28" s="182">
        <f>T28*V6/100</f>
        <v>10</v>
      </c>
      <c r="W28" s="187">
        <v>241463</v>
      </c>
      <c r="X28" s="182">
        <f t="shared" si="7"/>
        <v>20</v>
      </c>
      <c r="Y28" s="182">
        <f>X28*Y6/100</f>
        <v>10</v>
      </c>
      <c r="Z28" s="182">
        <f>X28*Z6/100</f>
        <v>10</v>
      </c>
      <c r="AA28" s="187">
        <v>317504</v>
      </c>
      <c r="AB28" s="182">
        <f t="shared" si="8"/>
        <v>30</v>
      </c>
      <c r="AC28" s="182">
        <f>AB28*AC6/100</f>
        <v>15</v>
      </c>
      <c r="AD28" s="182">
        <f>AB28*AD6/100</f>
        <v>15</v>
      </c>
      <c r="AE28" s="187">
        <v>106949</v>
      </c>
      <c r="AF28" s="182">
        <f t="shared" si="9"/>
        <v>1260</v>
      </c>
      <c r="AG28" s="187">
        <v>201509</v>
      </c>
      <c r="AH28" s="182">
        <f t="shared" si="10"/>
        <v>2330</v>
      </c>
      <c r="AI28" s="187">
        <v>354394</v>
      </c>
      <c r="AJ28" s="182">
        <f t="shared" si="11"/>
        <v>3950</v>
      </c>
      <c r="AK28" s="187">
        <v>182962</v>
      </c>
      <c r="AL28" s="182">
        <f t="shared" si="12"/>
        <v>2470</v>
      </c>
      <c r="AM28" s="187">
        <v>938201</v>
      </c>
      <c r="AN28" s="182">
        <f t="shared" si="13"/>
        <v>9220</v>
      </c>
      <c r="AP28" s="184">
        <f t="shared" si="14"/>
        <v>36270</v>
      </c>
      <c r="AQ28" s="185">
        <f t="shared" si="15"/>
        <v>25980</v>
      </c>
    </row>
    <row r="29" spans="1:43" s="183" customFormat="1" ht="39.950000000000003" customHeight="1">
      <c r="A29" s="174">
        <f t="shared" si="16"/>
        <v>44979</v>
      </c>
      <c r="B29" s="180"/>
      <c r="C29" s="187">
        <v>373800</v>
      </c>
      <c r="D29" s="182">
        <f t="shared" si="0"/>
        <v>4110</v>
      </c>
      <c r="E29" s="187">
        <v>644665</v>
      </c>
      <c r="F29" s="182">
        <f t="shared" si="1"/>
        <v>8320</v>
      </c>
      <c r="G29" s="187">
        <v>416636</v>
      </c>
      <c r="H29" s="182">
        <f t="shared" si="2"/>
        <v>2750</v>
      </c>
      <c r="I29" s="182">
        <f>H29*I6/100</f>
        <v>1375</v>
      </c>
      <c r="J29" s="182">
        <f>H29*J6/100</f>
        <v>1375</v>
      </c>
      <c r="K29" s="187">
        <v>547512</v>
      </c>
      <c r="L29" s="182">
        <f t="shared" si="3"/>
        <v>6420</v>
      </c>
      <c r="M29" s="187">
        <v>887846</v>
      </c>
      <c r="N29" s="182">
        <f t="shared" si="4"/>
        <v>11550</v>
      </c>
      <c r="O29" s="187">
        <v>600361</v>
      </c>
      <c r="P29" s="182">
        <f t="shared" si="5"/>
        <v>10240</v>
      </c>
      <c r="Q29" s="182">
        <f>P29*Q6/100</f>
        <v>5120</v>
      </c>
      <c r="R29" s="182">
        <f>P29*R6/100</f>
        <v>5120</v>
      </c>
      <c r="S29" s="187">
        <v>478614</v>
      </c>
      <c r="T29" s="182">
        <f t="shared" si="6"/>
        <v>30</v>
      </c>
      <c r="U29" s="182">
        <f>T29*U6/100</f>
        <v>15</v>
      </c>
      <c r="V29" s="182">
        <f>T29*V6/100</f>
        <v>15</v>
      </c>
      <c r="W29" s="187">
        <v>241466</v>
      </c>
      <c r="X29" s="182">
        <f t="shared" si="7"/>
        <v>30</v>
      </c>
      <c r="Y29" s="182">
        <f>X29*Y6/100</f>
        <v>15</v>
      </c>
      <c r="Z29" s="182">
        <f>X29*Z6/100</f>
        <v>15</v>
      </c>
      <c r="AA29" s="187">
        <v>317507</v>
      </c>
      <c r="AB29" s="182">
        <f t="shared" si="8"/>
        <v>30</v>
      </c>
      <c r="AC29" s="182">
        <f>AB29*AC6/100</f>
        <v>15</v>
      </c>
      <c r="AD29" s="182">
        <f>AB29*AD6/100</f>
        <v>15</v>
      </c>
      <c r="AE29" s="187">
        <v>107079</v>
      </c>
      <c r="AF29" s="182">
        <f t="shared" si="9"/>
        <v>1300</v>
      </c>
      <c r="AG29" s="187">
        <v>201751</v>
      </c>
      <c r="AH29" s="182">
        <f t="shared" si="10"/>
        <v>2420</v>
      </c>
      <c r="AI29" s="187">
        <v>354806</v>
      </c>
      <c r="AJ29" s="182">
        <f t="shared" si="11"/>
        <v>4120</v>
      </c>
      <c r="AK29" s="187">
        <v>183223</v>
      </c>
      <c r="AL29" s="182">
        <f t="shared" si="12"/>
        <v>2610</v>
      </c>
      <c r="AM29" s="187">
        <v>939163</v>
      </c>
      <c r="AN29" s="182">
        <f t="shared" si="13"/>
        <v>9620</v>
      </c>
      <c r="AP29" s="184">
        <f t="shared" si="14"/>
        <v>36940</v>
      </c>
      <c r="AQ29" s="185">
        <f t="shared" si="15"/>
        <v>26610</v>
      </c>
    </row>
    <row r="30" spans="1:43" s="183" customFormat="1" ht="39.950000000000003" customHeight="1">
      <c r="A30" s="174">
        <f t="shared" si="16"/>
        <v>44980</v>
      </c>
      <c r="B30" s="180"/>
      <c r="C30" s="187">
        <v>374190</v>
      </c>
      <c r="D30" s="182">
        <f t="shared" si="0"/>
        <v>3900</v>
      </c>
      <c r="E30" s="187">
        <v>645495</v>
      </c>
      <c r="F30" s="182">
        <f t="shared" si="1"/>
        <v>8300</v>
      </c>
      <c r="G30" s="187">
        <v>416924</v>
      </c>
      <c r="H30" s="182">
        <f t="shared" si="2"/>
        <v>2880</v>
      </c>
      <c r="I30" s="182">
        <f>H30*I6/100</f>
        <v>1440</v>
      </c>
      <c r="J30" s="182">
        <f>H30*J6/100</f>
        <v>1440</v>
      </c>
      <c r="K30" s="187">
        <v>548126</v>
      </c>
      <c r="L30" s="182">
        <f t="shared" si="3"/>
        <v>6140</v>
      </c>
      <c r="M30" s="187">
        <v>888984</v>
      </c>
      <c r="N30" s="182">
        <f t="shared" si="4"/>
        <v>11380</v>
      </c>
      <c r="O30" s="187">
        <v>601444</v>
      </c>
      <c r="P30" s="182">
        <f t="shared" si="5"/>
        <v>10830</v>
      </c>
      <c r="Q30" s="182">
        <f>P30*Q6/100</f>
        <v>5415</v>
      </c>
      <c r="R30" s="182">
        <f>P30*R6/100</f>
        <v>5415</v>
      </c>
      <c r="S30" s="187">
        <v>478616</v>
      </c>
      <c r="T30" s="182">
        <f t="shared" si="6"/>
        <v>20</v>
      </c>
      <c r="U30" s="182">
        <f>T30*U6/100</f>
        <v>10</v>
      </c>
      <c r="V30" s="182">
        <f>T30*V6/100</f>
        <v>10</v>
      </c>
      <c r="W30" s="187">
        <v>241468</v>
      </c>
      <c r="X30" s="182">
        <f t="shared" si="7"/>
        <v>20</v>
      </c>
      <c r="Y30" s="182">
        <f>X30*Y6/100</f>
        <v>10</v>
      </c>
      <c r="Z30" s="182">
        <f>X30*Z6/100</f>
        <v>10</v>
      </c>
      <c r="AA30" s="187">
        <v>317511</v>
      </c>
      <c r="AB30" s="182">
        <f t="shared" si="8"/>
        <v>40</v>
      </c>
      <c r="AC30" s="182">
        <f>AB30*AC6/100</f>
        <v>20</v>
      </c>
      <c r="AD30" s="182">
        <f>AB30*AD6/100</f>
        <v>20</v>
      </c>
      <c r="AE30" s="187">
        <v>107209</v>
      </c>
      <c r="AF30" s="182">
        <f t="shared" si="9"/>
        <v>1300</v>
      </c>
      <c r="AG30" s="187">
        <v>201984</v>
      </c>
      <c r="AH30" s="182">
        <f t="shared" si="10"/>
        <v>2330</v>
      </c>
      <c r="AI30" s="187">
        <v>355201</v>
      </c>
      <c r="AJ30" s="182">
        <f t="shared" si="11"/>
        <v>3950</v>
      </c>
      <c r="AK30" s="187">
        <v>183467</v>
      </c>
      <c r="AL30" s="182">
        <f t="shared" si="12"/>
        <v>2440</v>
      </c>
      <c r="AM30" s="187">
        <v>940091</v>
      </c>
      <c r="AN30" s="182">
        <f t="shared" si="13"/>
        <v>9280</v>
      </c>
      <c r="AP30" s="184">
        <f t="shared" si="14"/>
        <v>36615</v>
      </c>
      <c r="AQ30" s="185">
        <f t="shared" si="15"/>
        <v>26195</v>
      </c>
    </row>
    <row r="31" spans="1:43" s="183" customFormat="1" ht="39.950000000000003" customHeight="1">
      <c r="A31" s="174">
        <f t="shared" si="16"/>
        <v>44981</v>
      </c>
      <c r="B31" s="180"/>
      <c r="C31" s="187">
        <v>374574</v>
      </c>
      <c r="D31" s="182">
        <f t="shared" si="0"/>
        <v>3840</v>
      </c>
      <c r="E31" s="187">
        <v>646302</v>
      </c>
      <c r="F31" s="182">
        <f t="shared" si="1"/>
        <v>8070</v>
      </c>
      <c r="G31" s="187">
        <v>417219</v>
      </c>
      <c r="H31" s="182">
        <f t="shared" si="2"/>
        <v>2950</v>
      </c>
      <c r="I31" s="182">
        <f>H31*I6/100</f>
        <v>1475</v>
      </c>
      <c r="J31" s="182">
        <f>H31*J6/100</f>
        <v>1475</v>
      </c>
      <c r="K31" s="187">
        <v>548741</v>
      </c>
      <c r="L31" s="182">
        <f t="shared" si="3"/>
        <v>6150</v>
      </c>
      <c r="M31" s="187">
        <v>890115</v>
      </c>
      <c r="N31" s="182">
        <f t="shared" si="4"/>
        <v>11310</v>
      </c>
      <c r="O31" s="187">
        <v>602651</v>
      </c>
      <c r="P31" s="182">
        <f t="shared" si="5"/>
        <v>12070</v>
      </c>
      <c r="Q31" s="182">
        <f>P31*Q6/100</f>
        <v>6035</v>
      </c>
      <c r="R31" s="182">
        <f>P31*R6/100</f>
        <v>6035</v>
      </c>
      <c r="S31" s="187">
        <v>478618</v>
      </c>
      <c r="T31" s="182">
        <f t="shared" si="6"/>
        <v>20</v>
      </c>
      <c r="U31" s="182">
        <f>T31*U6/100</f>
        <v>10</v>
      </c>
      <c r="V31" s="182">
        <f>T31*V6/100</f>
        <v>10</v>
      </c>
      <c r="W31" s="187">
        <v>241470</v>
      </c>
      <c r="X31" s="182">
        <f t="shared" si="7"/>
        <v>20</v>
      </c>
      <c r="Y31" s="182">
        <f>X31*Y6/100</f>
        <v>10</v>
      </c>
      <c r="Z31" s="182">
        <f>X31*Z6/100</f>
        <v>10</v>
      </c>
      <c r="AA31" s="187">
        <v>317514</v>
      </c>
      <c r="AB31" s="182">
        <f t="shared" si="8"/>
        <v>30</v>
      </c>
      <c r="AC31" s="182">
        <f>AB31*AC6/100</f>
        <v>15</v>
      </c>
      <c r="AD31" s="182">
        <f>AB31*AD6/100</f>
        <v>15</v>
      </c>
      <c r="AE31" s="187">
        <v>107336</v>
      </c>
      <c r="AF31" s="182">
        <f t="shared" si="9"/>
        <v>1270</v>
      </c>
      <c r="AG31" s="187">
        <v>202210</v>
      </c>
      <c r="AH31" s="182">
        <f t="shared" si="10"/>
        <v>2260</v>
      </c>
      <c r="AI31" s="187">
        <v>355589</v>
      </c>
      <c r="AJ31" s="182">
        <f t="shared" si="11"/>
        <v>3880</v>
      </c>
      <c r="AK31" s="187">
        <v>183713</v>
      </c>
      <c r="AL31" s="182">
        <f t="shared" si="12"/>
        <v>2460</v>
      </c>
      <c r="AM31" s="187">
        <v>941016</v>
      </c>
      <c r="AN31" s="182">
        <f t="shared" si="13"/>
        <v>9250</v>
      </c>
      <c r="AP31" s="184">
        <f t="shared" si="14"/>
        <v>36915</v>
      </c>
      <c r="AQ31" s="185">
        <f t="shared" si="15"/>
        <v>26665</v>
      </c>
    </row>
    <row r="32" spans="1:43" s="183" customFormat="1" ht="39.950000000000003" customHeight="1">
      <c r="A32" s="174">
        <f t="shared" si="16"/>
        <v>44982</v>
      </c>
      <c r="B32" s="180"/>
      <c r="C32" s="181">
        <v>374963</v>
      </c>
      <c r="D32" s="182">
        <f t="shared" si="0"/>
        <v>3890</v>
      </c>
      <c r="E32" s="181">
        <v>647078</v>
      </c>
      <c r="F32" s="182">
        <f t="shared" si="1"/>
        <v>7760</v>
      </c>
      <c r="G32" s="181">
        <v>417524</v>
      </c>
      <c r="H32" s="182">
        <f t="shared" si="2"/>
        <v>3050</v>
      </c>
      <c r="I32" s="182">
        <f>H32*I6/100</f>
        <v>1525</v>
      </c>
      <c r="J32" s="182">
        <f>H32*J6/100</f>
        <v>1525</v>
      </c>
      <c r="K32" s="181">
        <v>549338</v>
      </c>
      <c r="L32" s="182">
        <f t="shared" si="3"/>
        <v>5970</v>
      </c>
      <c r="M32" s="181">
        <v>891227</v>
      </c>
      <c r="N32" s="182">
        <f t="shared" si="4"/>
        <v>11120</v>
      </c>
      <c r="O32" s="181">
        <v>603697</v>
      </c>
      <c r="P32" s="182">
        <f t="shared" si="5"/>
        <v>10460</v>
      </c>
      <c r="Q32" s="182">
        <f>P32*Q6/100</f>
        <v>5230</v>
      </c>
      <c r="R32" s="182">
        <f>P32*R6/100</f>
        <v>5230</v>
      </c>
      <c r="S32" s="181">
        <v>478620</v>
      </c>
      <c r="T32" s="182">
        <f t="shared" si="6"/>
        <v>20</v>
      </c>
      <c r="U32" s="182">
        <f>T32*U6/100</f>
        <v>10</v>
      </c>
      <c r="V32" s="182">
        <f>T32*V6/100</f>
        <v>10</v>
      </c>
      <c r="W32" s="181">
        <v>241472</v>
      </c>
      <c r="X32" s="182">
        <f t="shared" si="7"/>
        <v>20</v>
      </c>
      <c r="Y32" s="182">
        <f>X32*Y6/100</f>
        <v>10</v>
      </c>
      <c r="Z32" s="182">
        <f>X32*Z6/100</f>
        <v>10</v>
      </c>
      <c r="AA32" s="181">
        <v>317518</v>
      </c>
      <c r="AB32" s="182">
        <f t="shared" si="8"/>
        <v>40</v>
      </c>
      <c r="AC32" s="182">
        <f>AB32*AC6/100</f>
        <v>20</v>
      </c>
      <c r="AD32" s="182">
        <f>AB32*AD6/100</f>
        <v>20</v>
      </c>
      <c r="AE32" s="181">
        <v>107464</v>
      </c>
      <c r="AF32" s="182">
        <f t="shared" si="9"/>
        <v>1280</v>
      </c>
      <c r="AG32" s="181">
        <v>202437</v>
      </c>
      <c r="AH32" s="182">
        <f t="shared" si="10"/>
        <v>2270</v>
      </c>
      <c r="AI32" s="181">
        <v>355972</v>
      </c>
      <c r="AJ32" s="182">
        <f t="shared" si="11"/>
        <v>3830</v>
      </c>
      <c r="AK32" s="181">
        <v>183944</v>
      </c>
      <c r="AL32" s="182">
        <f t="shared" si="12"/>
        <v>2310</v>
      </c>
      <c r="AM32" s="181">
        <v>941924</v>
      </c>
      <c r="AN32" s="182">
        <f t="shared" si="13"/>
        <v>9080</v>
      </c>
      <c r="AP32" s="184">
        <f t="shared" si="14"/>
        <v>35535</v>
      </c>
      <c r="AQ32" s="185">
        <f t="shared" si="15"/>
        <v>25565</v>
      </c>
    </row>
    <row r="33" spans="1:43" s="183" customFormat="1" ht="39.950000000000003" customHeight="1">
      <c r="A33" s="174">
        <f t="shared" si="16"/>
        <v>44983</v>
      </c>
      <c r="B33" s="180"/>
      <c r="C33" s="181">
        <v>375373</v>
      </c>
      <c r="D33" s="182">
        <f t="shared" si="0"/>
        <v>4100</v>
      </c>
      <c r="E33" s="181">
        <v>647845</v>
      </c>
      <c r="F33" s="182">
        <f t="shared" si="1"/>
        <v>7670</v>
      </c>
      <c r="G33" s="181">
        <v>417814</v>
      </c>
      <c r="H33" s="182">
        <f t="shared" si="2"/>
        <v>2900</v>
      </c>
      <c r="I33" s="182">
        <f>H33*I6/100</f>
        <v>1450</v>
      </c>
      <c r="J33" s="182">
        <f>H33*J6/100</f>
        <v>1450</v>
      </c>
      <c r="K33" s="181">
        <v>549814</v>
      </c>
      <c r="L33" s="182">
        <f t="shared" si="3"/>
        <v>4760</v>
      </c>
      <c r="M33" s="181">
        <v>892301</v>
      </c>
      <c r="N33" s="182">
        <f t="shared" si="4"/>
        <v>10740</v>
      </c>
      <c r="O33" s="181">
        <v>604696</v>
      </c>
      <c r="P33" s="182">
        <f t="shared" si="5"/>
        <v>9990</v>
      </c>
      <c r="Q33" s="182">
        <f>P33*Q6/100</f>
        <v>4995</v>
      </c>
      <c r="R33" s="182">
        <f>P33*R6/100</f>
        <v>4995</v>
      </c>
      <c r="S33" s="181">
        <v>478622</v>
      </c>
      <c r="T33" s="182">
        <f t="shared" si="6"/>
        <v>20</v>
      </c>
      <c r="U33" s="182">
        <f>T33*U6/100</f>
        <v>10</v>
      </c>
      <c r="V33" s="182">
        <f>T33*V6/100</f>
        <v>10</v>
      </c>
      <c r="W33" s="181">
        <v>241474</v>
      </c>
      <c r="X33" s="182">
        <f t="shared" si="7"/>
        <v>20</v>
      </c>
      <c r="Y33" s="182">
        <f>X33*Y6/100</f>
        <v>10</v>
      </c>
      <c r="Z33" s="182">
        <f>X33*Z6/100</f>
        <v>10</v>
      </c>
      <c r="AA33" s="181">
        <v>317521</v>
      </c>
      <c r="AB33" s="182">
        <f t="shared" si="8"/>
        <v>30</v>
      </c>
      <c r="AC33" s="182">
        <f>AB33*AC6/100</f>
        <v>15</v>
      </c>
      <c r="AD33" s="182">
        <f>AB33*AD6/100</f>
        <v>15</v>
      </c>
      <c r="AE33" s="181">
        <v>107592</v>
      </c>
      <c r="AF33" s="182">
        <f t="shared" si="9"/>
        <v>1280</v>
      </c>
      <c r="AG33" s="181">
        <v>202664</v>
      </c>
      <c r="AH33" s="182">
        <f t="shared" si="10"/>
        <v>2270</v>
      </c>
      <c r="AI33" s="181">
        <v>356351</v>
      </c>
      <c r="AJ33" s="182">
        <f t="shared" si="11"/>
        <v>3790</v>
      </c>
      <c r="AK33" s="181">
        <v>184175</v>
      </c>
      <c r="AL33" s="182">
        <f t="shared" si="12"/>
        <v>2310</v>
      </c>
      <c r="AM33" s="181">
        <v>942866</v>
      </c>
      <c r="AN33" s="182">
        <f t="shared" si="13"/>
        <v>9420</v>
      </c>
      <c r="AP33" s="184">
        <f t="shared" si="14"/>
        <v>33750</v>
      </c>
      <c r="AQ33" s="185">
        <f t="shared" si="15"/>
        <v>25550</v>
      </c>
    </row>
    <row r="34" spans="1:43" s="183" customFormat="1" ht="39.950000000000003" customHeight="1">
      <c r="A34" s="174">
        <f t="shared" si="16"/>
        <v>44984</v>
      </c>
      <c r="B34" s="180"/>
      <c r="C34" s="181">
        <v>375787</v>
      </c>
      <c r="D34" s="182">
        <f t="shared" si="0"/>
        <v>4140</v>
      </c>
      <c r="E34" s="181">
        <v>648621</v>
      </c>
      <c r="F34" s="182">
        <f t="shared" si="1"/>
        <v>7760</v>
      </c>
      <c r="G34" s="181">
        <v>418205</v>
      </c>
      <c r="H34" s="182">
        <f t="shared" si="2"/>
        <v>3910</v>
      </c>
      <c r="I34" s="182">
        <f>H34*I6/100</f>
        <v>1955</v>
      </c>
      <c r="J34" s="182">
        <f>H34*J6/100</f>
        <v>1955</v>
      </c>
      <c r="K34" s="181">
        <v>550487</v>
      </c>
      <c r="L34" s="182">
        <f t="shared" si="3"/>
        <v>6730</v>
      </c>
      <c r="M34" s="181">
        <v>893257</v>
      </c>
      <c r="N34" s="182">
        <f t="shared" si="4"/>
        <v>9560</v>
      </c>
      <c r="O34" s="181">
        <v>605359</v>
      </c>
      <c r="P34" s="182">
        <f t="shared" si="5"/>
        <v>6630</v>
      </c>
      <c r="Q34" s="182">
        <f>P34*Q6/100</f>
        <v>3315</v>
      </c>
      <c r="R34" s="182">
        <f>P34*R6/100</f>
        <v>3315</v>
      </c>
      <c r="S34" s="181">
        <v>478832</v>
      </c>
      <c r="T34" s="182">
        <f t="shared" si="6"/>
        <v>2100</v>
      </c>
      <c r="U34" s="182">
        <f>T34*U6/100</f>
        <v>1050</v>
      </c>
      <c r="V34" s="182">
        <f>T34*V6/100</f>
        <v>1050</v>
      </c>
      <c r="W34" s="181">
        <v>241477</v>
      </c>
      <c r="X34" s="182">
        <f t="shared" si="7"/>
        <v>30</v>
      </c>
      <c r="Y34" s="182">
        <f>X34*Y6/100</f>
        <v>15</v>
      </c>
      <c r="Z34" s="182">
        <f>X34*Z6/100</f>
        <v>15</v>
      </c>
      <c r="AA34" s="181">
        <v>317526</v>
      </c>
      <c r="AB34" s="182">
        <f t="shared" si="8"/>
        <v>50</v>
      </c>
      <c r="AC34" s="182">
        <f>AB34*AC6/100</f>
        <v>25</v>
      </c>
      <c r="AD34" s="182">
        <f>AB34*AD6/100</f>
        <v>25</v>
      </c>
      <c r="AE34" s="181">
        <v>107710</v>
      </c>
      <c r="AF34" s="182">
        <f t="shared" si="9"/>
        <v>1180</v>
      </c>
      <c r="AG34" s="181">
        <v>202888</v>
      </c>
      <c r="AH34" s="182">
        <f t="shared" si="10"/>
        <v>2240</v>
      </c>
      <c r="AI34" s="181">
        <v>356731</v>
      </c>
      <c r="AJ34" s="182">
        <f t="shared" si="11"/>
        <v>3800</v>
      </c>
      <c r="AK34" s="181">
        <v>184406</v>
      </c>
      <c r="AL34" s="182">
        <f t="shared" si="12"/>
        <v>2310</v>
      </c>
      <c r="AM34" s="181">
        <v>943809</v>
      </c>
      <c r="AN34" s="182">
        <f t="shared" si="13"/>
        <v>9430</v>
      </c>
      <c r="AP34" s="184">
        <f t="shared" si="14"/>
        <v>34550</v>
      </c>
      <c r="AQ34" s="185">
        <f t="shared" si="15"/>
        <v>25320</v>
      </c>
    </row>
    <row r="35" spans="1:43" s="183" customFormat="1" ht="39.950000000000003" customHeight="1">
      <c r="A35" s="174">
        <f t="shared" si="16"/>
        <v>44985</v>
      </c>
      <c r="B35" s="180"/>
      <c r="C35" s="181">
        <v>376221</v>
      </c>
      <c r="D35" s="182">
        <f t="shared" si="0"/>
        <v>4340</v>
      </c>
      <c r="E35" s="181">
        <v>649446</v>
      </c>
      <c r="F35" s="182">
        <f t="shared" si="1"/>
        <v>8250</v>
      </c>
      <c r="G35" s="181">
        <v>419040</v>
      </c>
      <c r="H35" s="182">
        <f t="shared" si="2"/>
        <v>8350</v>
      </c>
      <c r="I35" s="182">
        <f>H35*I6/100</f>
        <v>4175</v>
      </c>
      <c r="J35" s="182">
        <f>H35*J6/100</f>
        <v>4175</v>
      </c>
      <c r="K35" s="181">
        <v>551096</v>
      </c>
      <c r="L35" s="182">
        <f t="shared" si="3"/>
        <v>6090</v>
      </c>
      <c r="M35" s="181">
        <v>894391</v>
      </c>
      <c r="N35" s="182">
        <f t="shared" si="4"/>
        <v>11340</v>
      </c>
      <c r="O35" s="181">
        <v>605847</v>
      </c>
      <c r="P35" s="182">
        <f t="shared" si="5"/>
        <v>4880</v>
      </c>
      <c r="Q35" s="182">
        <f>P35*Q6/100</f>
        <v>2440</v>
      </c>
      <c r="R35" s="182">
        <f>P35*R6/100</f>
        <v>2440</v>
      </c>
      <c r="S35" s="181">
        <v>478890</v>
      </c>
      <c r="T35" s="182">
        <f t="shared" si="6"/>
        <v>580</v>
      </c>
      <c r="U35" s="182">
        <f>T35*U6/100</f>
        <v>290</v>
      </c>
      <c r="V35" s="182">
        <f>T35*V6/100</f>
        <v>290</v>
      </c>
      <c r="W35" s="181">
        <v>241479</v>
      </c>
      <c r="X35" s="182">
        <f t="shared" si="7"/>
        <v>20</v>
      </c>
      <c r="Y35" s="182">
        <f>X35*Y6/100</f>
        <v>10</v>
      </c>
      <c r="Z35" s="182">
        <f>X35*Z6/100</f>
        <v>10</v>
      </c>
      <c r="AA35" s="181">
        <v>317530</v>
      </c>
      <c r="AB35" s="182">
        <f t="shared" si="8"/>
        <v>40</v>
      </c>
      <c r="AC35" s="182">
        <f>AB35*AC6/100</f>
        <v>20</v>
      </c>
      <c r="AD35" s="182">
        <f>AB35*AD6/100</f>
        <v>20</v>
      </c>
      <c r="AE35" s="181">
        <v>107834</v>
      </c>
      <c r="AF35" s="182">
        <f t="shared" si="9"/>
        <v>1240</v>
      </c>
      <c r="AG35" s="181">
        <v>203133</v>
      </c>
      <c r="AH35" s="182">
        <f t="shared" si="10"/>
        <v>2450</v>
      </c>
      <c r="AI35" s="181">
        <v>357137</v>
      </c>
      <c r="AJ35" s="182">
        <f t="shared" si="11"/>
        <v>4060</v>
      </c>
      <c r="AK35" s="181">
        <v>184654</v>
      </c>
      <c r="AL35" s="182">
        <f t="shared" si="12"/>
        <v>2480</v>
      </c>
      <c r="AM35" s="181">
        <v>944822</v>
      </c>
      <c r="AN35" s="182">
        <f t="shared" si="13"/>
        <v>10130</v>
      </c>
      <c r="AP35" s="184">
        <f t="shared" si="14"/>
        <v>36955</v>
      </c>
      <c r="AQ35" s="185">
        <f t="shared" si="15"/>
        <v>27295</v>
      </c>
    </row>
    <row r="36" spans="1:43" s="18" customFormat="1" ht="39.950000000000003" customHeight="1">
      <c r="A36" s="17"/>
      <c r="D36" s="10">
        <f>SUM(D8:D35)</f>
        <v>116870</v>
      </c>
      <c r="F36" s="10">
        <f>SUM(F8:F35)</f>
        <v>218890</v>
      </c>
      <c r="H36" s="10">
        <f>SUM(H8:H35)</f>
        <v>87080</v>
      </c>
      <c r="I36" s="10"/>
      <c r="L36" s="10">
        <f>SUM(L8:L35)</f>
        <v>174340</v>
      </c>
      <c r="N36" s="10">
        <f>SUM(N8:N35)</f>
        <v>311670</v>
      </c>
      <c r="P36" s="10">
        <f>SUM(P8:P35)</f>
        <v>309520</v>
      </c>
      <c r="Q36" s="10"/>
      <c r="T36" s="10">
        <f>SUM(T8:T35)</f>
        <v>3230</v>
      </c>
      <c r="U36" s="10"/>
      <c r="X36" s="10">
        <f>SUM(X8:X35)</f>
        <v>630</v>
      </c>
      <c r="Y36" s="10"/>
      <c r="AB36" s="10">
        <f>SUM(AB8:AB35)</f>
        <v>18760</v>
      </c>
      <c r="AC36" s="10"/>
      <c r="AF36" s="10">
        <f>SUM(AF8:AF35)</f>
        <v>34880</v>
      </c>
      <c r="AH36" s="10">
        <f>SUM(AH8:AH35)</f>
        <v>63710</v>
      </c>
      <c r="AJ36" s="10">
        <f>SUM(AJ8:AJ35)</f>
        <v>108040</v>
      </c>
      <c r="AL36" s="10">
        <f>SUM(AL8:AL35)</f>
        <v>68380</v>
      </c>
      <c r="AN36" s="10">
        <f>SUM(AN8:AN35)</f>
        <v>267370</v>
      </c>
    </row>
    <row r="37" spans="1:43" s="18" customFormat="1" ht="39.950000000000003" customHeight="1">
      <c r="A37" s="17"/>
      <c r="D37" s="19"/>
    </row>
    <row r="38" spans="1:43" ht="39.950000000000003" customHeight="1">
      <c r="A38" s="11"/>
    </row>
    <row r="39" spans="1:43">
      <c r="A39" s="11"/>
    </row>
    <row r="40" spans="1:43">
      <c r="A40" s="11"/>
    </row>
    <row r="41" spans="1:43">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5"/>
  <sheetViews>
    <sheetView zoomScale="59" zoomScaleNormal="59" workbookViewId="0">
      <pane xSplit="2" ySplit="4" topLeftCell="D26" activePane="bottomRight" state="frozen"/>
      <selection pane="topRight" activeCell="C1" sqref="C1"/>
      <selection pane="bottomLeft" activeCell="A5" sqref="A5"/>
      <selection pane="bottomRight" activeCell="Q34" sqref="Q34"/>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76"/>
      <c r="B1" s="176"/>
      <c r="C1" s="209" t="s">
        <v>65</v>
      </c>
      <c r="D1" s="209"/>
      <c r="E1" s="209" t="s">
        <v>65</v>
      </c>
      <c r="F1" s="209"/>
      <c r="G1" s="209" t="s">
        <v>65</v>
      </c>
      <c r="H1" s="209"/>
      <c r="I1" s="209" t="s">
        <v>65</v>
      </c>
      <c r="J1" s="209"/>
      <c r="K1" s="222" t="s">
        <v>66</v>
      </c>
      <c r="L1" s="223"/>
      <c r="M1" s="223"/>
      <c r="N1" s="224"/>
      <c r="O1" s="209" t="s">
        <v>67</v>
      </c>
      <c r="P1" s="209"/>
    </row>
    <row r="2" spans="1:19" s="25" customFormat="1" ht="113.25" customHeight="1">
      <c r="A2" s="24"/>
      <c r="B2" s="24"/>
      <c r="C2" s="225" t="s">
        <v>102</v>
      </c>
      <c r="D2" s="226"/>
      <c r="E2" s="225" t="s">
        <v>103</v>
      </c>
      <c r="F2" s="226"/>
      <c r="G2" s="225" t="s">
        <v>104</v>
      </c>
      <c r="H2" s="226"/>
      <c r="I2" s="225" t="s">
        <v>105</v>
      </c>
      <c r="J2" s="226"/>
      <c r="K2" s="234" t="s">
        <v>106</v>
      </c>
      <c r="L2" s="235"/>
      <c r="M2" s="235"/>
      <c r="N2" s="236"/>
      <c r="O2" s="225" t="s">
        <v>107</v>
      </c>
      <c r="P2" s="226"/>
    </row>
    <row r="3" spans="1:19" s="30" customFormat="1" ht="50.1" customHeight="1">
      <c r="A3" s="39"/>
      <c r="B3" s="39"/>
      <c r="C3" s="229" t="s">
        <v>108</v>
      </c>
      <c r="D3" s="230"/>
      <c r="E3" s="227" t="s">
        <v>109</v>
      </c>
      <c r="F3" s="228"/>
      <c r="G3" s="227" t="s">
        <v>110</v>
      </c>
      <c r="H3" s="228"/>
      <c r="I3" s="227" t="s">
        <v>402</v>
      </c>
      <c r="J3" s="228"/>
      <c r="K3" s="231" t="s">
        <v>112</v>
      </c>
      <c r="L3" s="232"/>
      <c r="M3" s="232"/>
      <c r="N3" s="233"/>
      <c r="O3" s="229" t="s">
        <v>113</v>
      </c>
      <c r="P3" s="230"/>
      <c r="R3" s="207" t="s">
        <v>81</v>
      </c>
      <c r="S3" s="207"/>
    </row>
    <row r="4" spans="1:19" s="8" customFormat="1" ht="30" customHeight="1">
      <c r="A4" s="175" t="s">
        <v>96</v>
      </c>
      <c r="B4" s="48"/>
      <c r="C4" s="80">
        <v>104262</v>
      </c>
      <c r="D4" s="163"/>
      <c r="E4" s="80"/>
      <c r="F4" s="163"/>
      <c r="G4" s="80"/>
      <c r="H4" s="163"/>
      <c r="I4" s="192"/>
      <c r="J4" s="163"/>
      <c r="K4" s="80"/>
      <c r="L4" s="163"/>
      <c r="M4" s="74"/>
      <c r="N4" s="74"/>
      <c r="O4" s="80"/>
      <c r="P4" s="163"/>
      <c r="R4" s="207"/>
      <c r="S4" s="207"/>
    </row>
    <row r="5" spans="1:19" s="10" customFormat="1" ht="50.1" customHeight="1">
      <c r="A5" s="175" t="s">
        <v>99</v>
      </c>
      <c r="B5" s="175"/>
      <c r="C5" s="175" t="s">
        <v>114</v>
      </c>
      <c r="D5" s="175" t="s">
        <v>115</v>
      </c>
      <c r="E5" s="175" t="s">
        <v>114</v>
      </c>
      <c r="F5" s="175" t="s">
        <v>115</v>
      </c>
      <c r="G5" s="175" t="s">
        <v>114</v>
      </c>
      <c r="H5" s="175" t="s">
        <v>115</v>
      </c>
      <c r="I5" s="175" t="s">
        <v>114</v>
      </c>
      <c r="J5" s="175" t="s">
        <v>115</v>
      </c>
      <c r="K5" s="175" t="s">
        <v>114</v>
      </c>
      <c r="L5" s="175" t="s">
        <v>115</v>
      </c>
      <c r="M5" s="175" t="s">
        <v>65</v>
      </c>
      <c r="N5" s="175" t="s">
        <v>67</v>
      </c>
      <c r="O5" s="175" t="s">
        <v>114</v>
      </c>
      <c r="P5" s="175" t="s">
        <v>115</v>
      </c>
      <c r="R5" s="175"/>
      <c r="S5" s="175"/>
    </row>
    <row r="6" spans="1:19" ht="39.950000000000003" customHeight="1">
      <c r="A6" s="174">
        <v>44957</v>
      </c>
      <c r="B6" s="79"/>
      <c r="C6" s="80">
        <v>104262</v>
      </c>
      <c r="D6" s="73"/>
      <c r="E6" s="80">
        <v>176434</v>
      </c>
      <c r="F6" s="163"/>
      <c r="G6" s="80">
        <v>1041.634</v>
      </c>
      <c r="H6" s="163"/>
      <c r="I6" s="192">
        <v>1228</v>
      </c>
      <c r="J6" s="163"/>
      <c r="K6" s="80">
        <v>64731</v>
      </c>
      <c r="L6" s="163"/>
      <c r="M6" s="74"/>
      <c r="N6" s="74"/>
      <c r="O6" s="80">
        <v>63074</v>
      </c>
      <c r="P6" s="73"/>
      <c r="R6" s="103"/>
      <c r="S6" s="94"/>
    </row>
    <row r="7" spans="1:19" s="2" customFormat="1" ht="39.950000000000003" customHeight="1">
      <c r="A7" s="174">
        <v>44958</v>
      </c>
      <c r="B7" s="15"/>
      <c r="C7" s="80">
        <v>104427</v>
      </c>
      <c r="D7" s="73">
        <f t="shared" ref="D7:D11" si="0">(C7-C6)</f>
        <v>165</v>
      </c>
      <c r="E7" s="80">
        <v>176777</v>
      </c>
      <c r="F7" s="73">
        <f t="shared" ref="F7:F34" si="1">(E7-E6)</f>
        <v>343</v>
      </c>
      <c r="G7" s="80">
        <v>1063</v>
      </c>
      <c r="H7" s="163">
        <f t="shared" ref="H7:J34" si="2">(G7-G6)</f>
        <v>21.365999999999985</v>
      </c>
      <c r="I7" s="192">
        <v>1261</v>
      </c>
      <c r="J7" s="163">
        <f t="shared" ref="J7:J14" si="3">(I7-I6)</f>
        <v>33</v>
      </c>
      <c r="K7" s="80">
        <v>64890</v>
      </c>
      <c r="L7" s="163">
        <f t="shared" ref="L7:L8" si="4">(K7-K6)</f>
        <v>159</v>
      </c>
      <c r="M7" s="74">
        <f t="shared" ref="M7:M8" si="5">L7*55%</f>
        <v>87.45</v>
      </c>
      <c r="N7" s="74">
        <f t="shared" ref="N7:N8" si="6">L7*45%</f>
        <v>71.55</v>
      </c>
      <c r="O7" s="80">
        <v>63189</v>
      </c>
      <c r="P7" s="73">
        <f t="shared" ref="P7:P34" si="7">(O7-O6)</f>
        <v>115</v>
      </c>
      <c r="R7" s="191">
        <f>SUM(D7,F7,M7,H7)</f>
        <v>616.81600000000003</v>
      </c>
      <c r="S7" s="191">
        <f>SUM(N7,P7)</f>
        <v>186.55</v>
      </c>
    </row>
    <row r="8" spans="1:19" ht="39.950000000000003" customHeight="1">
      <c r="A8" s="174">
        <f>SUM(A7+1)</f>
        <v>44959</v>
      </c>
      <c r="B8" s="16"/>
      <c r="C8" s="71">
        <v>104585</v>
      </c>
      <c r="D8" s="73">
        <f t="shared" si="0"/>
        <v>158</v>
      </c>
      <c r="E8" s="71">
        <v>177122</v>
      </c>
      <c r="F8" s="73">
        <f t="shared" si="1"/>
        <v>345</v>
      </c>
      <c r="G8" s="81">
        <v>1083.5826</v>
      </c>
      <c r="H8" s="163">
        <f t="shared" si="2"/>
        <v>20.582599999999957</v>
      </c>
      <c r="I8" s="192">
        <v>1281.4880000000001</v>
      </c>
      <c r="J8" s="163">
        <f t="shared" si="3"/>
        <v>20.488000000000056</v>
      </c>
      <c r="K8" s="71">
        <v>65050</v>
      </c>
      <c r="L8" s="73">
        <f t="shared" si="4"/>
        <v>160</v>
      </c>
      <c r="M8" s="74">
        <f t="shared" si="5"/>
        <v>88</v>
      </c>
      <c r="N8" s="74">
        <f t="shared" si="6"/>
        <v>72</v>
      </c>
      <c r="O8" s="71">
        <v>63320</v>
      </c>
      <c r="P8" s="73">
        <f t="shared" si="7"/>
        <v>131</v>
      </c>
      <c r="R8" s="191">
        <f t="shared" ref="R8:R34" si="8">SUM(D8,F8,M8,H8)</f>
        <v>611.58259999999996</v>
      </c>
      <c r="S8" s="191">
        <f t="shared" ref="S8:S34" si="9">SUM(N8,P8)</f>
        <v>203</v>
      </c>
    </row>
    <row r="9" spans="1:19" ht="39.950000000000003" customHeight="1">
      <c r="A9" s="174">
        <f t="shared" ref="A9:A34" si="10">SUM(A8+1)</f>
        <v>44960</v>
      </c>
      <c r="B9" s="16"/>
      <c r="C9" s="71">
        <v>104740</v>
      </c>
      <c r="D9" s="73">
        <f t="shared" si="0"/>
        <v>155</v>
      </c>
      <c r="E9" s="71">
        <v>177418</v>
      </c>
      <c r="F9" s="73">
        <f t="shared" si="1"/>
        <v>296</v>
      </c>
      <c r="G9" s="81">
        <v>1104.78</v>
      </c>
      <c r="H9" s="163">
        <f t="shared" si="2"/>
        <v>21.197400000000016</v>
      </c>
      <c r="I9" s="192">
        <v>1312.42</v>
      </c>
      <c r="J9" s="163">
        <f t="shared" si="3"/>
        <v>30.932000000000016</v>
      </c>
      <c r="K9" s="71">
        <v>65202</v>
      </c>
      <c r="L9" s="73">
        <f t="shared" ref="L9:L16" si="11">(K9-K8)</f>
        <v>152</v>
      </c>
      <c r="M9" s="74">
        <f t="shared" ref="M9:M16" si="12">L9*55%</f>
        <v>83.600000000000009</v>
      </c>
      <c r="N9" s="74">
        <f t="shared" ref="N9:N16" si="13">L9*45%</f>
        <v>68.400000000000006</v>
      </c>
      <c r="O9" s="71">
        <v>63432</v>
      </c>
      <c r="P9" s="73">
        <f t="shared" si="7"/>
        <v>112</v>
      </c>
      <c r="R9" s="191">
        <f t="shared" si="8"/>
        <v>555.79740000000004</v>
      </c>
      <c r="S9" s="191">
        <f t="shared" si="9"/>
        <v>180.4</v>
      </c>
    </row>
    <row r="10" spans="1:19" ht="39.950000000000003" customHeight="1">
      <c r="A10" s="174">
        <f t="shared" si="10"/>
        <v>44961</v>
      </c>
      <c r="B10" s="16"/>
      <c r="C10" s="71">
        <v>104904</v>
      </c>
      <c r="D10" s="73">
        <f t="shared" si="0"/>
        <v>164</v>
      </c>
      <c r="E10" s="71">
        <v>177772</v>
      </c>
      <c r="F10" s="73">
        <f t="shared" si="1"/>
        <v>354</v>
      </c>
      <c r="G10" s="81">
        <v>1116</v>
      </c>
      <c r="H10" s="163">
        <f t="shared" si="2"/>
        <v>11.220000000000027</v>
      </c>
      <c r="I10" s="192">
        <v>1326</v>
      </c>
      <c r="J10" s="163">
        <f t="shared" si="3"/>
        <v>13.579999999999927</v>
      </c>
      <c r="K10" s="71">
        <v>65367</v>
      </c>
      <c r="L10" s="73">
        <f t="shared" si="11"/>
        <v>165</v>
      </c>
      <c r="M10" s="74">
        <f t="shared" si="12"/>
        <v>90.750000000000014</v>
      </c>
      <c r="N10" s="74">
        <f t="shared" si="13"/>
        <v>74.25</v>
      </c>
      <c r="O10" s="71">
        <v>63546</v>
      </c>
      <c r="P10" s="73">
        <f t="shared" si="7"/>
        <v>114</v>
      </c>
      <c r="R10" s="191">
        <f t="shared" si="8"/>
        <v>619.97</v>
      </c>
      <c r="S10" s="191">
        <f t="shared" si="9"/>
        <v>188.25</v>
      </c>
    </row>
    <row r="11" spans="1:19" ht="39.950000000000003" customHeight="1">
      <c r="A11" s="174">
        <f t="shared" si="10"/>
        <v>44962</v>
      </c>
      <c r="B11" s="16"/>
      <c r="C11" s="71">
        <v>105063</v>
      </c>
      <c r="D11" s="73">
        <f t="shared" si="0"/>
        <v>159</v>
      </c>
      <c r="E11" s="71">
        <v>178121</v>
      </c>
      <c r="F11" s="73">
        <f t="shared" si="1"/>
        <v>349</v>
      </c>
      <c r="G11" s="81">
        <v>1135</v>
      </c>
      <c r="H11" s="163">
        <f t="shared" si="2"/>
        <v>19</v>
      </c>
      <c r="I11" s="192">
        <v>1338.3</v>
      </c>
      <c r="J11" s="163">
        <f t="shared" si="3"/>
        <v>12.299999999999955</v>
      </c>
      <c r="K11" s="71">
        <v>65534</v>
      </c>
      <c r="L11" s="73">
        <f t="shared" si="11"/>
        <v>167</v>
      </c>
      <c r="M11" s="74">
        <f t="shared" si="12"/>
        <v>91.850000000000009</v>
      </c>
      <c r="N11" s="74">
        <f t="shared" si="13"/>
        <v>75.150000000000006</v>
      </c>
      <c r="O11" s="71">
        <v>63668</v>
      </c>
      <c r="P11" s="73">
        <f t="shared" si="7"/>
        <v>122</v>
      </c>
      <c r="R11" s="191">
        <f t="shared" si="8"/>
        <v>618.85</v>
      </c>
      <c r="S11" s="191">
        <f t="shared" si="9"/>
        <v>197.15</v>
      </c>
    </row>
    <row r="12" spans="1:19" ht="39.950000000000003" customHeight="1">
      <c r="A12" s="174">
        <f t="shared" si="10"/>
        <v>44963</v>
      </c>
      <c r="B12" s="16"/>
      <c r="C12" s="71">
        <v>105230</v>
      </c>
      <c r="D12" s="73">
        <f>(C12-C11)</f>
        <v>167</v>
      </c>
      <c r="E12" s="71">
        <v>178463</v>
      </c>
      <c r="F12" s="73">
        <f t="shared" si="1"/>
        <v>342</v>
      </c>
      <c r="G12" s="81">
        <v>1146</v>
      </c>
      <c r="H12" s="163">
        <f t="shared" si="2"/>
        <v>11</v>
      </c>
      <c r="I12" s="192">
        <v>1359.6</v>
      </c>
      <c r="J12" s="163">
        <f t="shared" si="3"/>
        <v>21.299999999999955</v>
      </c>
      <c r="K12" s="71">
        <v>65667</v>
      </c>
      <c r="L12" s="73">
        <f t="shared" si="11"/>
        <v>133</v>
      </c>
      <c r="M12" s="74">
        <f t="shared" si="12"/>
        <v>73.150000000000006</v>
      </c>
      <c r="N12" s="74">
        <f t="shared" si="13"/>
        <v>59.85</v>
      </c>
      <c r="O12" s="71">
        <v>63767</v>
      </c>
      <c r="P12" s="73">
        <f t="shared" si="7"/>
        <v>99</v>
      </c>
      <c r="R12" s="191">
        <f t="shared" si="8"/>
        <v>593.15</v>
      </c>
      <c r="S12" s="191">
        <f t="shared" si="9"/>
        <v>158.85</v>
      </c>
    </row>
    <row r="13" spans="1:19" ht="39.950000000000003" customHeight="1">
      <c r="A13" s="174">
        <f t="shared" si="10"/>
        <v>44964</v>
      </c>
      <c r="B13" s="16"/>
      <c r="C13" s="71">
        <v>105385</v>
      </c>
      <c r="D13" s="73">
        <f t="shared" ref="D13:D34" si="14">(C13-C12)</f>
        <v>155</v>
      </c>
      <c r="E13" s="71">
        <v>178763</v>
      </c>
      <c r="F13" s="73">
        <f t="shared" si="1"/>
        <v>300</v>
      </c>
      <c r="G13" s="81">
        <v>1153</v>
      </c>
      <c r="H13" s="163">
        <f t="shared" si="2"/>
        <v>7</v>
      </c>
      <c r="I13" s="192">
        <v>1375.3</v>
      </c>
      <c r="J13" s="163">
        <f t="shared" si="3"/>
        <v>15.700000000000045</v>
      </c>
      <c r="K13" s="71">
        <v>65835</v>
      </c>
      <c r="L13" s="73">
        <f t="shared" si="11"/>
        <v>168</v>
      </c>
      <c r="M13" s="74">
        <f t="shared" si="12"/>
        <v>92.4</v>
      </c>
      <c r="N13" s="74">
        <f t="shared" si="13"/>
        <v>75.600000000000009</v>
      </c>
      <c r="O13" s="71">
        <v>63895</v>
      </c>
      <c r="P13" s="73">
        <f t="shared" si="7"/>
        <v>128</v>
      </c>
      <c r="R13" s="191">
        <f t="shared" si="8"/>
        <v>554.4</v>
      </c>
      <c r="S13" s="191">
        <f t="shared" si="9"/>
        <v>203.60000000000002</v>
      </c>
    </row>
    <row r="14" spans="1:19" ht="39.950000000000003" customHeight="1">
      <c r="A14" s="174">
        <f t="shared" si="10"/>
        <v>44965</v>
      </c>
      <c r="B14" s="16"/>
      <c r="C14" s="71">
        <v>105552</v>
      </c>
      <c r="D14" s="73">
        <f t="shared" si="14"/>
        <v>167</v>
      </c>
      <c r="E14" s="71">
        <v>179103</v>
      </c>
      <c r="F14" s="73">
        <f t="shared" si="1"/>
        <v>340</v>
      </c>
      <c r="G14" s="81">
        <v>1154</v>
      </c>
      <c r="H14" s="163">
        <f t="shared" si="2"/>
        <v>1</v>
      </c>
      <c r="I14" s="192">
        <v>1384.5</v>
      </c>
      <c r="J14" s="163">
        <f t="shared" si="3"/>
        <v>9.2000000000000455</v>
      </c>
      <c r="K14" s="71">
        <v>66009</v>
      </c>
      <c r="L14" s="73">
        <f t="shared" si="11"/>
        <v>174</v>
      </c>
      <c r="M14" s="74">
        <f t="shared" si="12"/>
        <v>95.7</v>
      </c>
      <c r="N14" s="74">
        <f t="shared" si="13"/>
        <v>78.3</v>
      </c>
      <c r="O14" s="71">
        <v>64008</v>
      </c>
      <c r="P14" s="73">
        <f t="shared" si="7"/>
        <v>113</v>
      </c>
      <c r="R14" s="191">
        <f t="shared" si="8"/>
        <v>603.70000000000005</v>
      </c>
      <c r="S14" s="191">
        <f t="shared" si="9"/>
        <v>191.3</v>
      </c>
    </row>
    <row r="15" spans="1:19" ht="39.950000000000003" customHeight="1">
      <c r="A15" s="174">
        <f t="shared" si="10"/>
        <v>44966</v>
      </c>
      <c r="B15" s="16"/>
      <c r="C15" s="71">
        <v>105716</v>
      </c>
      <c r="D15" s="73">
        <f t="shared" si="14"/>
        <v>164</v>
      </c>
      <c r="E15" s="71">
        <v>179422</v>
      </c>
      <c r="F15" s="73">
        <f t="shared" si="1"/>
        <v>319</v>
      </c>
      <c r="G15" s="81">
        <v>1155</v>
      </c>
      <c r="H15" s="163">
        <f t="shared" si="2"/>
        <v>1</v>
      </c>
      <c r="I15" s="192">
        <v>1398.6</v>
      </c>
      <c r="J15" s="163">
        <f t="shared" si="2"/>
        <v>14.099999999999909</v>
      </c>
      <c r="K15" s="71">
        <v>66181</v>
      </c>
      <c r="L15" s="73">
        <f t="shared" si="11"/>
        <v>172</v>
      </c>
      <c r="M15" s="74">
        <f t="shared" si="12"/>
        <v>94.600000000000009</v>
      </c>
      <c r="N15" s="74">
        <f t="shared" si="13"/>
        <v>77.400000000000006</v>
      </c>
      <c r="O15" s="71">
        <v>64136</v>
      </c>
      <c r="P15" s="73">
        <f t="shared" si="7"/>
        <v>128</v>
      </c>
      <c r="R15" s="191">
        <f t="shared" si="8"/>
        <v>578.6</v>
      </c>
      <c r="S15" s="191">
        <f t="shared" si="9"/>
        <v>205.4</v>
      </c>
    </row>
    <row r="16" spans="1:19" ht="39.950000000000003" customHeight="1">
      <c r="A16" s="174">
        <f t="shared" si="10"/>
        <v>44967</v>
      </c>
      <c r="B16" s="16"/>
      <c r="C16" s="71">
        <v>105884</v>
      </c>
      <c r="D16" s="73">
        <f t="shared" si="14"/>
        <v>168</v>
      </c>
      <c r="E16" s="71">
        <v>179743</v>
      </c>
      <c r="F16" s="73">
        <f t="shared" si="1"/>
        <v>321</v>
      </c>
      <c r="G16" s="81">
        <v>1159</v>
      </c>
      <c r="H16" s="163">
        <f t="shared" si="2"/>
        <v>4</v>
      </c>
      <c r="I16" s="192">
        <v>1412.8</v>
      </c>
      <c r="J16" s="163">
        <f t="shared" si="2"/>
        <v>14.200000000000045</v>
      </c>
      <c r="K16" s="71">
        <v>66340</v>
      </c>
      <c r="L16" s="73">
        <f t="shared" si="11"/>
        <v>159</v>
      </c>
      <c r="M16" s="74">
        <f t="shared" si="12"/>
        <v>87.45</v>
      </c>
      <c r="N16" s="74">
        <f t="shared" si="13"/>
        <v>71.55</v>
      </c>
      <c r="O16" s="71">
        <v>64254</v>
      </c>
      <c r="P16" s="73">
        <f t="shared" si="7"/>
        <v>118</v>
      </c>
      <c r="R16" s="191">
        <f t="shared" si="8"/>
        <v>580.45000000000005</v>
      </c>
      <c r="S16" s="191">
        <f t="shared" si="9"/>
        <v>189.55</v>
      </c>
    </row>
    <row r="17" spans="1:19" ht="39.950000000000003" customHeight="1">
      <c r="A17" s="174">
        <f t="shared" si="10"/>
        <v>44968</v>
      </c>
      <c r="B17" s="16"/>
      <c r="C17" s="81">
        <v>106121</v>
      </c>
      <c r="D17" s="73">
        <f t="shared" si="14"/>
        <v>237</v>
      </c>
      <c r="E17" s="81">
        <v>180141</v>
      </c>
      <c r="F17" s="73">
        <f t="shared" si="1"/>
        <v>398</v>
      </c>
      <c r="G17" s="81">
        <v>1161</v>
      </c>
      <c r="H17" s="163">
        <f t="shared" si="2"/>
        <v>2</v>
      </c>
      <c r="I17" s="192">
        <v>1457</v>
      </c>
      <c r="J17" s="163">
        <f t="shared" si="2"/>
        <v>44.200000000000045</v>
      </c>
      <c r="K17" s="71">
        <v>66521</v>
      </c>
      <c r="L17" s="73">
        <f t="shared" ref="L17:L34" si="15">(K17-K16)</f>
        <v>181</v>
      </c>
      <c r="M17" s="74">
        <f t="shared" ref="M17:M34" si="16">L17*55%</f>
        <v>99.550000000000011</v>
      </c>
      <c r="N17" s="74">
        <f t="shared" ref="N17:N34" si="17">L17*45%</f>
        <v>81.45</v>
      </c>
      <c r="O17" s="71">
        <v>64355</v>
      </c>
      <c r="P17" s="73">
        <f t="shared" si="7"/>
        <v>101</v>
      </c>
      <c r="R17" s="191">
        <f t="shared" si="8"/>
        <v>736.55</v>
      </c>
      <c r="S17" s="191">
        <f t="shared" si="9"/>
        <v>182.45</v>
      </c>
    </row>
    <row r="18" spans="1:19" ht="39.950000000000003" customHeight="1">
      <c r="A18" s="174">
        <f t="shared" si="10"/>
        <v>44969</v>
      </c>
      <c r="B18" s="16"/>
      <c r="C18" s="71">
        <v>106335</v>
      </c>
      <c r="D18" s="73">
        <f t="shared" si="14"/>
        <v>214</v>
      </c>
      <c r="E18" s="71">
        <v>180524</v>
      </c>
      <c r="F18" s="73">
        <f t="shared" si="1"/>
        <v>383</v>
      </c>
      <c r="G18" s="81">
        <v>1164</v>
      </c>
      <c r="H18" s="163">
        <f t="shared" si="2"/>
        <v>3</v>
      </c>
      <c r="I18" s="192">
        <v>1489</v>
      </c>
      <c r="J18" s="163">
        <f t="shared" si="2"/>
        <v>32</v>
      </c>
      <c r="K18" s="71">
        <v>66686</v>
      </c>
      <c r="L18" s="73">
        <f t="shared" si="15"/>
        <v>165</v>
      </c>
      <c r="M18" s="74">
        <f t="shared" si="16"/>
        <v>90.750000000000014</v>
      </c>
      <c r="N18" s="74">
        <f t="shared" si="17"/>
        <v>74.25</v>
      </c>
      <c r="O18" s="71">
        <v>64480</v>
      </c>
      <c r="P18" s="73">
        <f t="shared" si="7"/>
        <v>125</v>
      </c>
      <c r="R18" s="191">
        <f t="shared" si="8"/>
        <v>690.75</v>
      </c>
      <c r="S18" s="191">
        <f t="shared" si="9"/>
        <v>199.25</v>
      </c>
    </row>
    <row r="19" spans="1:19" s="77" customFormat="1" ht="39.950000000000003" customHeight="1">
      <c r="A19" s="174">
        <f t="shared" si="10"/>
        <v>44970</v>
      </c>
      <c r="B19" s="79"/>
      <c r="C19" s="71">
        <v>106499</v>
      </c>
      <c r="D19" s="73">
        <f t="shared" si="14"/>
        <v>164</v>
      </c>
      <c r="E19" s="71">
        <v>180845</v>
      </c>
      <c r="F19" s="73">
        <f t="shared" si="1"/>
        <v>321</v>
      </c>
      <c r="G19" s="81">
        <v>1167</v>
      </c>
      <c r="H19" s="163">
        <f t="shared" si="2"/>
        <v>3</v>
      </c>
      <c r="I19" s="192">
        <v>1497</v>
      </c>
      <c r="J19" s="163">
        <f t="shared" si="2"/>
        <v>8</v>
      </c>
      <c r="K19" s="71">
        <v>66838</v>
      </c>
      <c r="L19" s="73">
        <f t="shared" si="15"/>
        <v>152</v>
      </c>
      <c r="M19" s="74">
        <f t="shared" si="16"/>
        <v>83.600000000000009</v>
      </c>
      <c r="N19" s="74">
        <f t="shared" si="17"/>
        <v>68.400000000000006</v>
      </c>
      <c r="O19" s="71">
        <v>64601</v>
      </c>
      <c r="P19" s="73">
        <f t="shared" si="7"/>
        <v>121</v>
      </c>
      <c r="R19" s="191">
        <f t="shared" si="8"/>
        <v>571.6</v>
      </c>
      <c r="S19" s="191">
        <f t="shared" si="9"/>
        <v>189.4</v>
      </c>
    </row>
    <row r="20" spans="1:19" s="77" customFormat="1" ht="39.950000000000003" customHeight="1">
      <c r="A20" s="174">
        <f t="shared" si="10"/>
        <v>44971</v>
      </c>
      <c r="B20" s="79"/>
      <c r="C20" s="71">
        <v>106658</v>
      </c>
      <c r="D20" s="73">
        <f t="shared" si="14"/>
        <v>159</v>
      </c>
      <c r="E20" s="71">
        <v>181143</v>
      </c>
      <c r="F20" s="73">
        <f t="shared" si="1"/>
        <v>298</v>
      </c>
      <c r="G20" s="81">
        <v>1172</v>
      </c>
      <c r="H20" s="163">
        <f t="shared" si="2"/>
        <v>5</v>
      </c>
      <c r="I20" s="192">
        <v>1517</v>
      </c>
      <c r="J20" s="163">
        <f t="shared" si="2"/>
        <v>20</v>
      </c>
      <c r="K20" s="71">
        <v>66996</v>
      </c>
      <c r="L20" s="73">
        <f t="shared" si="15"/>
        <v>158</v>
      </c>
      <c r="M20" s="74">
        <f t="shared" si="16"/>
        <v>86.9</v>
      </c>
      <c r="N20" s="74">
        <f t="shared" si="17"/>
        <v>71.100000000000009</v>
      </c>
      <c r="O20" s="71">
        <v>64714</v>
      </c>
      <c r="P20" s="73">
        <f t="shared" si="7"/>
        <v>113</v>
      </c>
      <c r="R20" s="191">
        <f t="shared" si="8"/>
        <v>548.9</v>
      </c>
      <c r="S20" s="191">
        <f t="shared" si="9"/>
        <v>184.10000000000002</v>
      </c>
    </row>
    <row r="21" spans="1:19" s="77" customFormat="1" ht="39.950000000000003" customHeight="1">
      <c r="A21" s="174">
        <f t="shared" si="10"/>
        <v>44972</v>
      </c>
      <c r="B21" s="79"/>
      <c r="C21" s="71">
        <v>106810</v>
      </c>
      <c r="D21" s="73">
        <f t="shared" si="14"/>
        <v>152</v>
      </c>
      <c r="E21" s="71">
        <v>181467</v>
      </c>
      <c r="F21" s="73">
        <f t="shared" si="1"/>
        <v>324</v>
      </c>
      <c r="G21" s="81">
        <v>1177</v>
      </c>
      <c r="H21" s="163">
        <f>(G21-G20)</f>
        <v>5</v>
      </c>
      <c r="I21" s="192">
        <v>1538</v>
      </c>
      <c r="J21" s="163">
        <f t="shared" si="2"/>
        <v>21</v>
      </c>
      <c r="K21" s="71">
        <v>67148</v>
      </c>
      <c r="L21" s="73">
        <f t="shared" si="15"/>
        <v>152</v>
      </c>
      <c r="M21" s="74">
        <f t="shared" si="16"/>
        <v>83.600000000000009</v>
      </c>
      <c r="N21" s="74">
        <f t="shared" si="17"/>
        <v>68.400000000000006</v>
      </c>
      <c r="O21" s="71">
        <v>64834</v>
      </c>
      <c r="P21" s="73">
        <f t="shared" si="7"/>
        <v>120</v>
      </c>
      <c r="R21" s="191">
        <f t="shared" si="8"/>
        <v>564.6</v>
      </c>
      <c r="S21" s="191">
        <f t="shared" si="9"/>
        <v>188.4</v>
      </c>
    </row>
    <row r="22" spans="1:19" s="77" customFormat="1" ht="39.950000000000003" customHeight="1">
      <c r="A22" s="174">
        <f t="shared" si="10"/>
        <v>44973</v>
      </c>
      <c r="B22" s="79"/>
      <c r="C22" s="72">
        <v>106976</v>
      </c>
      <c r="D22" s="73">
        <f t="shared" si="14"/>
        <v>166</v>
      </c>
      <c r="E22" s="72">
        <v>181783</v>
      </c>
      <c r="F22" s="73">
        <f t="shared" si="1"/>
        <v>316</v>
      </c>
      <c r="G22" s="80">
        <v>6</v>
      </c>
      <c r="H22" s="163">
        <f>(G22-0)</f>
        <v>6</v>
      </c>
      <c r="I22" s="192">
        <v>1556</v>
      </c>
      <c r="J22" s="163">
        <f t="shared" si="2"/>
        <v>18</v>
      </c>
      <c r="K22" s="72">
        <v>67309</v>
      </c>
      <c r="L22" s="73">
        <f t="shared" si="15"/>
        <v>161</v>
      </c>
      <c r="M22" s="74">
        <f t="shared" si="16"/>
        <v>88.550000000000011</v>
      </c>
      <c r="N22" s="74">
        <f t="shared" si="17"/>
        <v>72.45</v>
      </c>
      <c r="O22" s="72">
        <v>64940</v>
      </c>
      <c r="P22" s="73">
        <f t="shared" si="7"/>
        <v>106</v>
      </c>
      <c r="R22" s="191">
        <f t="shared" si="8"/>
        <v>576.54999999999995</v>
      </c>
      <c r="S22" s="191">
        <f t="shared" si="9"/>
        <v>178.45</v>
      </c>
    </row>
    <row r="23" spans="1:19" s="77" customFormat="1" ht="39.950000000000003" customHeight="1">
      <c r="A23" s="174">
        <f t="shared" si="10"/>
        <v>44974</v>
      </c>
      <c r="B23" s="79"/>
      <c r="C23" s="72">
        <v>107153</v>
      </c>
      <c r="D23" s="73">
        <f t="shared" si="14"/>
        <v>177</v>
      </c>
      <c r="E23" s="72">
        <v>182129</v>
      </c>
      <c r="F23" s="73">
        <f t="shared" si="1"/>
        <v>346</v>
      </c>
      <c r="G23" s="80">
        <v>14</v>
      </c>
      <c r="H23" s="163">
        <f>(G23-G22)</f>
        <v>8</v>
      </c>
      <c r="I23" s="192">
        <v>1579</v>
      </c>
      <c r="J23" s="163">
        <f t="shared" si="2"/>
        <v>23</v>
      </c>
      <c r="K23" s="72">
        <v>67491</v>
      </c>
      <c r="L23" s="73">
        <f t="shared" si="15"/>
        <v>182</v>
      </c>
      <c r="M23" s="74">
        <f t="shared" si="16"/>
        <v>100.10000000000001</v>
      </c>
      <c r="N23" s="74">
        <f t="shared" si="17"/>
        <v>81.900000000000006</v>
      </c>
      <c r="O23" s="72">
        <v>65068</v>
      </c>
      <c r="P23" s="73">
        <f t="shared" si="7"/>
        <v>128</v>
      </c>
      <c r="R23" s="191">
        <f t="shared" si="8"/>
        <v>631.1</v>
      </c>
      <c r="S23" s="191">
        <f t="shared" si="9"/>
        <v>209.9</v>
      </c>
    </row>
    <row r="24" spans="1:19" s="77" customFormat="1" ht="39.950000000000003" customHeight="1">
      <c r="A24" s="174">
        <f t="shared" si="10"/>
        <v>44975</v>
      </c>
      <c r="B24" s="79"/>
      <c r="C24" s="72">
        <v>107334</v>
      </c>
      <c r="D24" s="73">
        <f t="shared" si="14"/>
        <v>181</v>
      </c>
      <c r="E24" s="72">
        <v>182483</v>
      </c>
      <c r="F24" s="73">
        <f t="shared" si="1"/>
        <v>354</v>
      </c>
      <c r="G24" s="80">
        <v>21</v>
      </c>
      <c r="H24" s="163">
        <f t="shared" si="2"/>
        <v>7</v>
      </c>
      <c r="I24" s="192">
        <v>1595</v>
      </c>
      <c r="J24" s="163">
        <f t="shared" si="2"/>
        <v>16</v>
      </c>
      <c r="K24" s="72">
        <v>67676</v>
      </c>
      <c r="L24" s="73">
        <f t="shared" si="15"/>
        <v>185</v>
      </c>
      <c r="M24" s="74">
        <f t="shared" si="16"/>
        <v>101.75000000000001</v>
      </c>
      <c r="N24" s="74">
        <f t="shared" si="17"/>
        <v>83.25</v>
      </c>
      <c r="O24" s="72">
        <v>65177</v>
      </c>
      <c r="P24" s="73">
        <f t="shared" si="7"/>
        <v>109</v>
      </c>
      <c r="R24" s="191">
        <f t="shared" si="8"/>
        <v>643.75</v>
      </c>
      <c r="S24" s="191">
        <f t="shared" si="9"/>
        <v>192.25</v>
      </c>
    </row>
    <row r="25" spans="1:19" s="77" customFormat="1" ht="39.950000000000003" customHeight="1">
      <c r="A25" s="174">
        <f t="shared" si="10"/>
        <v>44976</v>
      </c>
      <c r="B25" s="79"/>
      <c r="C25" s="72">
        <v>107513</v>
      </c>
      <c r="D25" s="73">
        <f t="shared" si="14"/>
        <v>179</v>
      </c>
      <c r="E25" s="72">
        <v>182862</v>
      </c>
      <c r="F25" s="73">
        <f t="shared" si="1"/>
        <v>379</v>
      </c>
      <c r="G25" s="80">
        <v>30</v>
      </c>
      <c r="H25" s="163">
        <f t="shared" si="2"/>
        <v>9</v>
      </c>
      <c r="I25" s="192">
        <v>1612</v>
      </c>
      <c r="J25" s="163">
        <f t="shared" si="2"/>
        <v>17</v>
      </c>
      <c r="K25" s="72">
        <v>67863</v>
      </c>
      <c r="L25" s="73">
        <f t="shared" si="15"/>
        <v>187</v>
      </c>
      <c r="M25" s="74">
        <f t="shared" si="16"/>
        <v>102.85000000000001</v>
      </c>
      <c r="N25" s="74">
        <f t="shared" si="17"/>
        <v>84.15</v>
      </c>
      <c r="O25" s="72">
        <v>65304</v>
      </c>
      <c r="P25" s="73">
        <f t="shared" si="7"/>
        <v>127</v>
      </c>
      <c r="R25" s="191">
        <f t="shared" si="8"/>
        <v>669.85</v>
      </c>
      <c r="S25" s="191">
        <f t="shared" si="9"/>
        <v>211.15</v>
      </c>
    </row>
    <row r="26" spans="1:19" ht="39.950000000000003" customHeight="1">
      <c r="A26" s="174">
        <f t="shared" si="10"/>
        <v>44977</v>
      </c>
      <c r="B26" s="79"/>
      <c r="C26" s="72">
        <v>107701</v>
      </c>
      <c r="D26" s="73">
        <f t="shared" si="14"/>
        <v>188</v>
      </c>
      <c r="E26" s="72">
        <v>183196</v>
      </c>
      <c r="F26" s="73">
        <f t="shared" si="1"/>
        <v>334</v>
      </c>
      <c r="G26" s="80">
        <v>37</v>
      </c>
      <c r="H26" s="163">
        <f t="shared" si="2"/>
        <v>7</v>
      </c>
      <c r="I26" s="192">
        <v>1647</v>
      </c>
      <c r="J26" s="163">
        <f t="shared" si="2"/>
        <v>35</v>
      </c>
      <c r="K26" s="72">
        <v>68037</v>
      </c>
      <c r="L26" s="73">
        <f t="shared" si="15"/>
        <v>174</v>
      </c>
      <c r="M26" s="74">
        <f t="shared" si="16"/>
        <v>95.7</v>
      </c>
      <c r="N26" s="74">
        <f t="shared" si="17"/>
        <v>78.3</v>
      </c>
      <c r="O26" s="72">
        <v>65433</v>
      </c>
      <c r="P26" s="73">
        <f t="shared" si="7"/>
        <v>129</v>
      </c>
      <c r="R26" s="191">
        <f t="shared" si="8"/>
        <v>624.70000000000005</v>
      </c>
      <c r="S26" s="191">
        <f t="shared" si="9"/>
        <v>207.3</v>
      </c>
    </row>
    <row r="27" spans="1:19" ht="39.950000000000003" customHeight="1">
      <c r="A27" s="174">
        <f t="shared" si="10"/>
        <v>44978</v>
      </c>
      <c r="B27" s="79"/>
      <c r="C27" s="72">
        <v>107849</v>
      </c>
      <c r="D27" s="73">
        <f t="shared" si="14"/>
        <v>148</v>
      </c>
      <c r="E27" s="72">
        <v>183496</v>
      </c>
      <c r="F27" s="73">
        <f t="shared" si="1"/>
        <v>300</v>
      </c>
      <c r="G27" s="80">
        <v>46</v>
      </c>
      <c r="H27" s="163">
        <f t="shared" si="2"/>
        <v>9</v>
      </c>
      <c r="I27" s="192">
        <v>1684</v>
      </c>
      <c r="J27" s="163">
        <f t="shared" si="2"/>
        <v>37</v>
      </c>
      <c r="K27" s="72">
        <v>68214</v>
      </c>
      <c r="L27" s="73">
        <f t="shared" si="15"/>
        <v>177</v>
      </c>
      <c r="M27" s="74">
        <f t="shared" si="16"/>
        <v>97.350000000000009</v>
      </c>
      <c r="N27" s="74">
        <f t="shared" si="17"/>
        <v>79.650000000000006</v>
      </c>
      <c r="O27" s="72">
        <v>65552</v>
      </c>
      <c r="P27" s="73">
        <f t="shared" si="7"/>
        <v>119</v>
      </c>
      <c r="R27" s="191">
        <f t="shared" si="8"/>
        <v>554.35</v>
      </c>
      <c r="S27" s="191">
        <f t="shared" si="9"/>
        <v>198.65</v>
      </c>
    </row>
    <row r="28" spans="1:19" ht="39.950000000000003" customHeight="1">
      <c r="A28" s="174">
        <f t="shared" si="10"/>
        <v>44979</v>
      </c>
      <c r="B28" s="79"/>
      <c r="C28" s="72">
        <v>108022</v>
      </c>
      <c r="D28" s="73">
        <f t="shared" si="14"/>
        <v>173</v>
      </c>
      <c r="E28" s="72">
        <v>183849</v>
      </c>
      <c r="F28" s="73">
        <f t="shared" si="1"/>
        <v>353</v>
      </c>
      <c r="G28" s="80">
        <v>57</v>
      </c>
      <c r="H28" s="163">
        <f t="shared" si="2"/>
        <v>11</v>
      </c>
      <c r="I28" s="192">
        <v>1710</v>
      </c>
      <c r="J28" s="163">
        <f t="shared" si="2"/>
        <v>26</v>
      </c>
      <c r="K28" s="72">
        <v>68382</v>
      </c>
      <c r="L28" s="73">
        <f t="shared" si="15"/>
        <v>168</v>
      </c>
      <c r="M28" s="74">
        <f t="shared" si="16"/>
        <v>92.4</v>
      </c>
      <c r="N28" s="74">
        <f t="shared" si="17"/>
        <v>75.600000000000009</v>
      </c>
      <c r="O28" s="72">
        <v>65669</v>
      </c>
      <c r="P28" s="73">
        <f t="shared" si="7"/>
        <v>117</v>
      </c>
      <c r="R28" s="191">
        <f t="shared" si="8"/>
        <v>629.4</v>
      </c>
      <c r="S28" s="191">
        <f t="shared" si="9"/>
        <v>192.60000000000002</v>
      </c>
    </row>
    <row r="29" spans="1:19" ht="39.950000000000003" customHeight="1">
      <c r="A29" s="174">
        <f t="shared" si="10"/>
        <v>44980</v>
      </c>
      <c r="B29" s="79"/>
      <c r="C29" s="72">
        <v>108212</v>
      </c>
      <c r="D29" s="73">
        <f t="shared" si="14"/>
        <v>190</v>
      </c>
      <c r="E29" s="72">
        <v>184220</v>
      </c>
      <c r="F29" s="73">
        <f t="shared" si="1"/>
        <v>371</v>
      </c>
      <c r="G29" s="80">
        <v>63</v>
      </c>
      <c r="H29" s="163">
        <f t="shared" si="2"/>
        <v>6</v>
      </c>
      <c r="I29" s="192">
        <v>1740.6279099999999</v>
      </c>
      <c r="J29" s="163">
        <f t="shared" si="2"/>
        <v>30.627909999999929</v>
      </c>
      <c r="K29" s="72">
        <v>68581</v>
      </c>
      <c r="L29" s="73">
        <f t="shared" si="15"/>
        <v>199</v>
      </c>
      <c r="M29" s="74">
        <f t="shared" si="16"/>
        <v>109.45</v>
      </c>
      <c r="N29" s="74">
        <f t="shared" si="17"/>
        <v>89.55</v>
      </c>
      <c r="O29" s="72">
        <v>65786</v>
      </c>
      <c r="P29" s="73">
        <f t="shared" si="7"/>
        <v>117</v>
      </c>
      <c r="R29" s="191">
        <f t="shared" si="8"/>
        <v>676.45</v>
      </c>
      <c r="S29" s="191">
        <f t="shared" si="9"/>
        <v>206.55</v>
      </c>
    </row>
    <row r="30" spans="1:19" ht="39.950000000000003" customHeight="1">
      <c r="A30" s="174">
        <f t="shared" si="10"/>
        <v>44981</v>
      </c>
      <c r="B30" s="79"/>
      <c r="C30" s="72">
        <v>108394</v>
      </c>
      <c r="D30" s="73">
        <f t="shared" si="14"/>
        <v>182</v>
      </c>
      <c r="E30" s="72">
        <v>184581</v>
      </c>
      <c r="F30" s="73">
        <f t="shared" si="1"/>
        <v>361</v>
      </c>
      <c r="G30" s="80">
        <v>73</v>
      </c>
      <c r="H30" s="163">
        <f t="shared" si="2"/>
        <v>10</v>
      </c>
      <c r="I30" s="192">
        <v>1763.4166</v>
      </c>
      <c r="J30" s="163">
        <f t="shared" si="2"/>
        <v>22.788690000000088</v>
      </c>
      <c r="K30" s="72">
        <v>68771</v>
      </c>
      <c r="L30" s="73">
        <f t="shared" si="15"/>
        <v>190</v>
      </c>
      <c r="M30" s="74">
        <f t="shared" si="16"/>
        <v>104.50000000000001</v>
      </c>
      <c r="N30" s="74">
        <f t="shared" si="17"/>
        <v>85.5</v>
      </c>
      <c r="O30" s="72">
        <v>65914</v>
      </c>
      <c r="P30" s="73">
        <f t="shared" si="7"/>
        <v>128</v>
      </c>
      <c r="R30" s="191">
        <f t="shared" si="8"/>
        <v>657.5</v>
      </c>
      <c r="S30" s="191">
        <f t="shared" si="9"/>
        <v>213.5</v>
      </c>
    </row>
    <row r="31" spans="1:19" ht="39.950000000000003" customHeight="1">
      <c r="A31" s="174">
        <f t="shared" si="10"/>
        <v>44982</v>
      </c>
      <c r="B31" s="79"/>
      <c r="C31" s="72">
        <v>108563</v>
      </c>
      <c r="D31" s="73">
        <f t="shared" si="14"/>
        <v>169</v>
      </c>
      <c r="E31" s="72">
        <v>184921</v>
      </c>
      <c r="F31" s="73">
        <f t="shared" si="1"/>
        <v>340</v>
      </c>
      <c r="G31" s="80">
        <v>79</v>
      </c>
      <c r="H31" s="163">
        <f t="shared" si="2"/>
        <v>6</v>
      </c>
      <c r="I31" s="192">
        <v>1781.2025599999999</v>
      </c>
      <c r="J31" s="163">
        <f t="shared" si="2"/>
        <v>17.785959999999932</v>
      </c>
      <c r="K31" s="72">
        <v>68933</v>
      </c>
      <c r="L31" s="73">
        <f t="shared" si="15"/>
        <v>162</v>
      </c>
      <c r="M31" s="74">
        <f t="shared" si="16"/>
        <v>89.100000000000009</v>
      </c>
      <c r="N31" s="74">
        <f t="shared" si="17"/>
        <v>72.900000000000006</v>
      </c>
      <c r="O31" s="72">
        <v>66031</v>
      </c>
      <c r="P31" s="73">
        <f t="shared" si="7"/>
        <v>117</v>
      </c>
      <c r="R31" s="191">
        <f t="shared" si="8"/>
        <v>604.1</v>
      </c>
      <c r="S31" s="191">
        <f t="shared" si="9"/>
        <v>189.9</v>
      </c>
    </row>
    <row r="32" spans="1:19" ht="39.950000000000003" customHeight="1">
      <c r="A32" s="174">
        <f t="shared" si="10"/>
        <v>44983</v>
      </c>
      <c r="B32" s="79"/>
      <c r="C32" s="72">
        <v>108736</v>
      </c>
      <c r="D32" s="73">
        <f t="shared" si="14"/>
        <v>173</v>
      </c>
      <c r="E32" s="72">
        <v>185273</v>
      </c>
      <c r="F32" s="73">
        <f t="shared" si="1"/>
        <v>352</v>
      </c>
      <c r="G32" s="80">
        <v>88</v>
      </c>
      <c r="H32" s="163">
        <f t="shared" si="2"/>
        <v>9</v>
      </c>
      <c r="I32" s="192">
        <v>1806.9</v>
      </c>
      <c r="J32" s="163">
        <f t="shared" si="2"/>
        <v>25.697440000000142</v>
      </c>
      <c r="K32" s="72">
        <v>69131</v>
      </c>
      <c r="L32" s="73">
        <f t="shared" si="15"/>
        <v>198</v>
      </c>
      <c r="M32" s="74">
        <f t="shared" si="16"/>
        <v>108.9</v>
      </c>
      <c r="N32" s="74">
        <f t="shared" si="17"/>
        <v>89.100000000000009</v>
      </c>
      <c r="O32" s="72">
        <v>66159</v>
      </c>
      <c r="P32" s="73">
        <f t="shared" si="7"/>
        <v>128</v>
      </c>
      <c r="R32" s="191">
        <f t="shared" si="8"/>
        <v>642.9</v>
      </c>
      <c r="S32" s="191">
        <f t="shared" si="9"/>
        <v>217.10000000000002</v>
      </c>
    </row>
    <row r="33" spans="1:19" ht="39.950000000000003" customHeight="1">
      <c r="A33" s="174">
        <f t="shared" si="10"/>
        <v>44984</v>
      </c>
      <c r="B33" s="79"/>
      <c r="C33" s="72">
        <v>108918</v>
      </c>
      <c r="D33" s="73">
        <f t="shared" si="14"/>
        <v>182</v>
      </c>
      <c r="E33" s="72">
        <v>185620</v>
      </c>
      <c r="F33" s="73">
        <f t="shared" si="1"/>
        <v>347</v>
      </c>
      <c r="G33" s="80">
        <v>88.927999999999997</v>
      </c>
      <c r="H33" s="163">
        <f t="shared" si="2"/>
        <v>0.92799999999999727</v>
      </c>
      <c r="I33" s="192">
        <v>1825.32537</v>
      </c>
      <c r="J33" s="163">
        <f t="shared" si="2"/>
        <v>18.42536999999993</v>
      </c>
      <c r="K33" s="72">
        <v>69297</v>
      </c>
      <c r="L33" s="73">
        <f t="shared" si="15"/>
        <v>166</v>
      </c>
      <c r="M33" s="74">
        <f t="shared" si="16"/>
        <v>91.300000000000011</v>
      </c>
      <c r="N33" s="74">
        <f t="shared" si="17"/>
        <v>74.7</v>
      </c>
      <c r="O33" s="72">
        <v>66261</v>
      </c>
      <c r="P33" s="73">
        <f t="shared" si="7"/>
        <v>102</v>
      </c>
      <c r="R33" s="191">
        <f t="shared" si="8"/>
        <v>621.22799999999995</v>
      </c>
      <c r="S33" s="191">
        <f t="shared" si="9"/>
        <v>176.7</v>
      </c>
    </row>
    <row r="34" spans="1:19" ht="39.950000000000003" customHeight="1">
      <c r="A34" s="174">
        <f t="shared" si="10"/>
        <v>44985</v>
      </c>
      <c r="B34" s="79"/>
      <c r="C34" s="72">
        <v>109101</v>
      </c>
      <c r="D34" s="73">
        <f t="shared" si="14"/>
        <v>183</v>
      </c>
      <c r="E34" s="72">
        <v>185900</v>
      </c>
      <c r="F34" s="73">
        <f t="shared" si="1"/>
        <v>280</v>
      </c>
      <c r="G34" s="80">
        <v>90</v>
      </c>
      <c r="H34" s="163">
        <f t="shared" si="2"/>
        <v>1.0720000000000027</v>
      </c>
      <c r="I34" s="192">
        <v>1840</v>
      </c>
      <c r="J34" s="163">
        <f t="shared" si="2"/>
        <v>14.674629999999979</v>
      </c>
      <c r="K34" s="72">
        <v>69488</v>
      </c>
      <c r="L34" s="73">
        <f t="shared" si="15"/>
        <v>191</v>
      </c>
      <c r="M34" s="74">
        <f t="shared" si="16"/>
        <v>105.05000000000001</v>
      </c>
      <c r="N34" s="74">
        <f t="shared" si="17"/>
        <v>85.95</v>
      </c>
      <c r="O34" s="72">
        <v>66393</v>
      </c>
      <c r="P34" s="73">
        <f t="shared" si="7"/>
        <v>132</v>
      </c>
      <c r="R34" s="191">
        <f t="shared" si="8"/>
        <v>569.12199999999996</v>
      </c>
      <c r="S34" s="191">
        <f t="shared" si="9"/>
        <v>217.95</v>
      </c>
    </row>
    <row r="35" spans="1:19" s="18" customFormat="1" ht="39.950000000000003" customHeight="1">
      <c r="A35" s="17"/>
      <c r="C35" s="20"/>
      <c r="D35" s="21">
        <f>SUM(D8:D34)</f>
        <v>4674</v>
      </c>
      <c r="E35" s="20"/>
      <c r="F35" s="21">
        <f>SUM(F8:F34)</f>
        <v>9123</v>
      </c>
      <c r="G35" s="20"/>
      <c r="H35" s="21">
        <f>SUM(H8:H34)</f>
        <v>204</v>
      </c>
      <c r="I35" s="190"/>
      <c r="J35" s="21">
        <f>SUM(J8:J34)</f>
        <v>579</v>
      </c>
      <c r="K35" s="20"/>
      <c r="L35" s="21">
        <f>SUM(L8:L34)</f>
        <v>4598</v>
      </c>
      <c r="M35" s="21"/>
      <c r="N35" s="21"/>
      <c r="O35" s="20"/>
      <c r="P35" s="21">
        <f>SUM(P8:P34)</f>
        <v>3204</v>
      </c>
    </row>
    <row r="36" spans="1:19" s="18" customFormat="1" ht="39.950000000000003" customHeight="1">
      <c r="A36" s="17"/>
      <c r="D36" s="19"/>
    </row>
    <row r="37" spans="1:19" ht="39.950000000000003" customHeight="1">
      <c r="A37" s="11"/>
      <c r="C37" s="18"/>
      <c r="D37" s="19"/>
      <c r="E37" s="18"/>
      <c r="F37" s="18"/>
      <c r="G37" s="18"/>
      <c r="H37" s="18"/>
      <c r="I37" s="18"/>
      <c r="J37" s="18"/>
      <c r="K37" s="18"/>
      <c r="L37" s="18"/>
      <c r="M37" s="18"/>
      <c r="N37" s="18"/>
      <c r="O37" s="18"/>
      <c r="P37" s="18"/>
    </row>
    <row r="38" spans="1:19">
      <c r="A38" s="11"/>
    </row>
    <row r="39" spans="1:19">
      <c r="A39" s="11"/>
    </row>
    <row r="40" spans="1:19">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sheetData>
  <mergeCells count="19">
    <mergeCell ref="C1:D1"/>
    <mergeCell ref="E1:F1"/>
    <mergeCell ref="G1:H1"/>
    <mergeCell ref="O1:P1"/>
    <mergeCell ref="C3:D3"/>
    <mergeCell ref="E3:F3"/>
    <mergeCell ref="K3:N3"/>
    <mergeCell ref="C2:D2"/>
    <mergeCell ref="E2:F2"/>
    <mergeCell ref="K2:N2"/>
    <mergeCell ref="R3:S4"/>
    <mergeCell ref="K1:N1"/>
    <mergeCell ref="G2:H2"/>
    <mergeCell ref="G3:H3"/>
    <mergeCell ref="I1:J1"/>
    <mergeCell ref="I2:J2"/>
    <mergeCell ref="I3:J3"/>
    <mergeCell ref="O3:P3"/>
    <mergeCell ref="O2:P2"/>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zoomScale="53" zoomScaleNormal="53" workbookViewId="0">
      <pane xSplit="2" ySplit="7" topLeftCell="AT20" activePane="bottomRight" state="frozen"/>
      <selection activeCell="V61" sqref="V61"/>
      <selection pane="topRight" activeCell="V61" sqref="V61"/>
      <selection pane="bottomLeft" activeCell="V61" sqref="V61"/>
      <selection pane="bottomRight" activeCell="BI20" sqref="BI20"/>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76"/>
      <c r="B1" s="176"/>
      <c r="C1" s="209" t="s">
        <v>66</v>
      </c>
      <c r="D1" s="209"/>
      <c r="E1" s="209"/>
      <c r="F1" s="209"/>
      <c r="G1" s="209" t="s">
        <v>65</v>
      </c>
      <c r="H1" s="209"/>
      <c r="I1" s="209" t="s">
        <v>65</v>
      </c>
      <c r="J1" s="209"/>
      <c r="K1" s="209" t="s">
        <v>65</v>
      </c>
      <c r="L1" s="209"/>
      <c r="M1" s="209" t="s">
        <v>65</v>
      </c>
      <c r="N1" s="209"/>
      <c r="O1" s="209" t="s">
        <v>65</v>
      </c>
      <c r="P1" s="209"/>
      <c r="Q1" s="222" t="s">
        <v>65</v>
      </c>
      <c r="R1" s="223"/>
      <c r="S1" s="222" t="s">
        <v>65</v>
      </c>
      <c r="T1" s="223"/>
      <c r="U1" s="222" t="s">
        <v>65</v>
      </c>
      <c r="V1" s="223"/>
      <c r="W1" s="222" t="s">
        <v>65</v>
      </c>
      <c r="X1" s="224"/>
      <c r="Y1" s="209" t="s">
        <v>65</v>
      </c>
      <c r="Z1" s="209"/>
      <c r="AA1" s="222" t="s">
        <v>65</v>
      </c>
      <c r="AB1" s="223"/>
      <c r="AC1" s="209" t="s">
        <v>65</v>
      </c>
      <c r="AD1" s="209"/>
      <c r="AE1" s="209" t="s">
        <v>65</v>
      </c>
      <c r="AF1" s="209"/>
      <c r="AG1" s="209" t="s">
        <v>65</v>
      </c>
      <c r="AH1" s="209"/>
      <c r="AI1" s="209" t="s">
        <v>65</v>
      </c>
      <c r="AJ1" s="209"/>
      <c r="AK1" s="209" t="s">
        <v>65</v>
      </c>
      <c r="AL1" s="209"/>
      <c r="AM1" s="209" t="s">
        <v>67</v>
      </c>
      <c r="AN1" s="209"/>
      <c r="AO1" s="209" t="s">
        <v>67</v>
      </c>
      <c r="AP1" s="209"/>
      <c r="AQ1" s="209" t="s">
        <v>67</v>
      </c>
      <c r="AR1" s="209"/>
      <c r="AS1" s="209" t="s">
        <v>67</v>
      </c>
      <c r="AT1" s="209"/>
      <c r="AU1" s="209" t="s">
        <v>67</v>
      </c>
      <c r="AV1" s="209"/>
      <c r="AW1" s="209" t="s">
        <v>67</v>
      </c>
      <c r="AX1" s="209"/>
      <c r="AY1" s="209" t="s">
        <v>67</v>
      </c>
      <c r="AZ1" s="209"/>
      <c r="BA1" s="209" t="s">
        <v>67</v>
      </c>
      <c r="BB1" s="209"/>
      <c r="BC1" s="209" t="s">
        <v>67</v>
      </c>
      <c r="BD1" s="209"/>
      <c r="BE1" s="209" t="s">
        <v>67</v>
      </c>
      <c r="BF1" s="209"/>
      <c r="BH1" s="31"/>
      <c r="BI1" s="31"/>
    </row>
    <row r="2" spans="1:61" s="23" customFormat="1" ht="75.75" customHeight="1">
      <c r="A2" s="47"/>
      <c r="B2" s="47"/>
      <c r="C2" s="244" t="s">
        <v>116</v>
      </c>
      <c r="D2" s="244"/>
      <c r="E2" s="244"/>
      <c r="F2" s="244"/>
      <c r="G2" s="244" t="s">
        <v>117</v>
      </c>
      <c r="H2" s="244"/>
      <c r="I2" s="244" t="s">
        <v>118</v>
      </c>
      <c r="J2" s="244"/>
      <c r="K2" s="244" t="s">
        <v>119</v>
      </c>
      <c r="L2" s="244"/>
      <c r="M2" s="244" t="s">
        <v>120</v>
      </c>
      <c r="N2" s="244"/>
      <c r="O2" s="249" t="s">
        <v>121</v>
      </c>
      <c r="P2" s="251"/>
      <c r="Q2" s="249" t="s">
        <v>122</v>
      </c>
      <c r="R2" s="251"/>
      <c r="S2" s="249" t="s">
        <v>123</v>
      </c>
      <c r="T2" s="251"/>
      <c r="U2" s="249" t="s">
        <v>124</v>
      </c>
      <c r="V2" s="251"/>
      <c r="W2" s="249" t="s">
        <v>125</v>
      </c>
      <c r="X2" s="250"/>
      <c r="Y2" s="244" t="s">
        <v>126</v>
      </c>
      <c r="Z2" s="244"/>
      <c r="AA2" s="249" t="s">
        <v>127</v>
      </c>
      <c r="AB2" s="251"/>
      <c r="AC2" s="244" t="s">
        <v>128</v>
      </c>
      <c r="AD2" s="244"/>
      <c r="AE2" s="244" t="s">
        <v>129</v>
      </c>
      <c r="AF2" s="244"/>
      <c r="AG2" s="244" t="s">
        <v>129</v>
      </c>
      <c r="AH2" s="244"/>
      <c r="AI2" s="244" t="s">
        <v>129</v>
      </c>
      <c r="AJ2" s="244"/>
      <c r="AK2" s="244" t="s">
        <v>129</v>
      </c>
      <c r="AL2" s="244"/>
      <c r="AM2" s="244" t="s">
        <v>130</v>
      </c>
      <c r="AN2" s="244"/>
      <c r="AO2" s="244" t="s">
        <v>131</v>
      </c>
      <c r="AP2" s="244"/>
      <c r="AQ2" s="244" t="s">
        <v>132</v>
      </c>
      <c r="AR2" s="244"/>
      <c r="AS2" s="244" t="s">
        <v>132</v>
      </c>
      <c r="AT2" s="244"/>
      <c r="AU2" s="244" t="s">
        <v>133</v>
      </c>
      <c r="AV2" s="244"/>
      <c r="AW2" s="244" t="s">
        <v>134</v>
      </c>
      <c r="AX2" s="244"/>
      <c r="AY2" s="244" t="s">
        <v>135</v>
      </c>
      <c r="AZ2" s="244"/>
      <c r="BA2" s="244" t="s">
        <v>135</v>
      </c>
      <c r="BB2" s="244"/>
      <c r="BC2" s="244" t="s">
        <v>136</v>
      </c>
      <c r="BD2" s="244"/>
      <c r="BE2" s="244" t="s">
        <v>136</v>
      </c>
      <c r="BF2" s="244"/>
      <c r="BH2" s="31"/>
      <c r="BI2" s="31"/>
    </row>
    <row r="3" spans="1:61" s="10" customFormat="1" ht="87.75" customHeight="1">
      <c r="A3" s="175"/>
      <c r="B3" s="175"/>
      <c r="C3" s="237" t="s">
        <v>137</v>
      </c>
      <c r="D3" s="238"/>
      <c r="E3" s="175" t="s">
        <v>65</v>
      </c>
      <c r="F3" s="176" t="s">
        <v>67</v>
      </c>
      <c r="G3" s="241" t="s">
        <v>138</v>
      </c>
      <c r="H3" s="242"/>
      <c r="I3" s="241" t="s">
        <v>138</v>
      </c>
      <c r="J3" s="242"/>
      <c r="K3" s="241" t="s">
        <v>138</v>
      </c>
      <c r="L3" s="242"/>
      <c r="M3" s="239" t="s">
        <v>139</v>
      </c>
      <c r="N3" s="240"/>
      <c r="O3" s="241" t="s">
        <v>138</v>
      </c>
      <c r="P3" s="242"/>
      <c r="Q3" s="241" t="s">
        <v>138</v>
      </c>
      <c r="R3" s="242"/>
      <c r="S3" s="247" t="s">
        <v>138</v>
      </c>
      <c r="T3" s="248"/>
      <c r="U3" s="241" t="s">
        <v>138</v>
      </c>
      <c r="V3" s="242"/>
      <c r="W3" s="241" t="s">
        <v>138</v>
      </c>
      <c r="X3" s="242"/>
      <c r="Y3" s="243" t="s">
        <v>140</v>
      </c>
      <c r="Z3" s="242"/>
      <c r="AA3" s="241" t="s">
        <v>141</v>
      </c>
      <c r="AB3" s="242"/>
      <c r="AC3" s="241" t="s">
        <v>142</v>
      </c>
      <c r="AD3" s="242"/>
      <c r="AE3" s="241" t="s">
        <v>142</v>
      </c>
      <c r="AF3" s="242"/>
      <c r="AG3" s="243" t="s">
        <v>143</v>
      </c>
      <c r="AH3" s="242"/>
      <c r="AI3" s="241" t="s">
        <v>144</v>
      </c>
      <c r="AJ3" s="242"/>
      <c r="AK3" s="243" t="s">
        <v>145</v>
      </c>
      <c r="AL3" s="242"/>
      <c r="AM3" s="241" t="s">
        <v>146</v>
      </c>
      <c r="AN3" s="242"/>
      <c r="AO3" s="241" t="s">
        <v>146</v>
      </c>
      <c r="AP3" s="242"/>
      <c r="AQ3" s="243" t="s">
        <v>147</v>
      </c>
      <c r="AR3" s="242"/>
      <c r="AS3" s="241" t="s">
        <v>148</v>
      </c>
      <c r="AT3" s="242"/>
      <c r="AU3" s="243" t="s">
        <v>149</v>
      </c>
      <c r="AV3" s="242"/>
      <c r="AW3" s="243" t="s">
        <v>149</v>
      </c>
      <c r="AX3" s="242"/>
      <c r="AY3" s="241" t="s">
        <v>144</v>
      </c>
      <c r="AZ3" s="242"/>
      <c r="BA3" s="243" t="s">
        <v>145</v>
      </c>
      <c r="BB3" s="242"/>
      <c r="BC3" s="241" t="s">
        <v>144</v>
      </c>
      <c r="BD3" s="242"/>
      <c r="BE3" s="243" t="s">
        <v>145</v>
      </c>
      <c r="BF3" s="242"/>
      <c r="BH3" s="31"/>
      <c r="BI3" s="31"/>
    </row>
    <row r="4" spans="1:61" s="23" customFormat="1" ht="50.1" customHeight="1">
      <c r="A4" s="175"/>
      <c r="B4" s="47"/>
      <c r="C4" s="210" t="s">
        <v>150</v>
      </c>
      <c r="D4" s="212"/>
      <c r="E4" s="245" t="s">
        <v>151</v>
      </c>
      <c r="F4" s="246"/>
      <c r="G4" s="210" t="s">
        <v>152</v>
      </c>
      <c r="H4" s="212"/>
      <c r="I4" s="210" t="s">
        <v>153</v>
      </c>
      <c r="J4" s="212"/>
      <c r="K4" s="210" t="s">
        <v>154</v>
      </c>
      <c r="L4" s="212"/>
      <c r="M4" s="210">
        <v>7092801222</v>
      </c>
      <c r="N4" s="212"/>
      <c r="O4" s="210" t="s">
        <v>155</v>
      </c>
      <c r="P4" s="211"/>
      <c r="Q4" s="210" t="s">
        <v>156</v>
      </c>
      <c r="R4" s="211"/>
      <c r="S4" s="210" t="s">
        <v>157</v>
      </c>
      <c r="T4" s="211"/>
      <c r="U4" s="210" t="s">
        <v>158</v>
      </c>
      <c r="V4" s="211"/>
      <c r="W4" s="210" t="s">
        <v>159</v>
      </c>
      <c r="X4" s="212"/>
      <c r="Y4" s="210" t="s">
        <v>160</v>
      </c>
      <c r="Z4" s="212"/>
      <c r="AA4" s="210" t="s">
        <v>161</v>
      </c>
      <c r="AB4" s="211"/>
      <c r="AC4" s="210" t="s">
        <v>162</v>
      </c>
      <c r="AD4" s="212"/>
      <c r="AE4" s="210" t="s">
        <v>163</v>
      </c>
      <c r="AF4" s="212"/>
      <c r="AG4" s="210" t="s">
        <v>164</v>
      </c>
      <c r="AH4" s="212"/>
      <c r="AI4" s="210">
        <v>7105826734</v>
      </c>
      <c r="AJ4" s="212"/>
      <c r="AK4" s="210">
        <v>7105825932</v>
      </c>
      <c r="AL4" s="212"/>
      <c r="AM4" s="210" t="s">
        <v>165</v>
      </c>
      <c r="AN4" s="212"/>
      <c r="AO4" s="210" t="s">
        <v>166</v>
      </c>
      <c r="AP4" s="212"/>
      <c r="AQ4" s="210" t="s">
        <v>167</v>
      </c>
      <c r="AR4" s="212"/>
      <c r="AS4" s="210" t="s">
        <v>168</v>
      </c>
      <c r="AT4" s="212"/>
      <c r="AU4" s="210" t="s">
        <v>169</v>
      </c>
      <c r="AV4" s="212"/>
      <c r="AW4" s="210" t="s">
        <v>170</v>
      </c>
      <c r="AX4" s="212"/>
      <c r="AY4" s="210">
        <v>7111912486</v>
      </c>
      <c r="AZ4" s="212"/>
      <c r="BA4" s="210">
        <v>7111911842</v>
      </c>
      <c r="BB4" s="212"/>
      <c r="BC4" s="210">
        <v>7111913281</v>
      </c>
      <c r="BD4" s="212"/>
      <c r="BE4" s="210">
        <v>7111912723</v>
      </c>
      <c r="BF4" s="212"/>
      <c r="BH4" s="207" t="s">
        <v>81</v>
      </c>
      <c r="BI4" s="207"/>
    </row>
    <row r="5" spans="1:61" s="23" customFormat="1" ht="50.1" customHeight="1">
      <c r="A5" s="47" t="s">
        <v>171</v>
      </c>
      <c r="B5" s="47"/>
      <c r="C5" s="210" t="s">
        <v>172</v>
      </c>
      <c r="D5" s="212"/>
      <c r="E5" s="29">
        <v>0.6</v>
      </c>
      <c r="F5" s="29">
        <v>0.4</v>
      </c>
      <c r="G5" s="210" t="s">
        <v>173</v>
      </c>
      <c r="H5" s="212"/>
      <c r="I5" s="210" t="s">
        <v>174</v>
      </c>
      <c r="J5" s="212"/>
      <c r="K5" s="210" t="s">
        <v>175</v>
      </c>
      <c r="L5" s="212"/>
      <c r="M5" s="210" t="s">
        <v>176</v>
      </c>
      <c r="N5" s="212"/>
      <c r="O5" s="210" t="s">
        <v>177</v>
      </c>
      <c r="P5" s="211"/>
      <c r="Q5" s="210" t="s">
        <v>178</v>
      </c>
      <c r="R5" s="211"/>
      <c r="S5" s="210" t="s">
        <v>179</v>
      </c>
      <c r="T5" s="211"/>
      <c r="U5" s="210" t="s">
        <v>180</v>
      </c>
      <c r="V5" s="211"/>
      <c r="W5" s="210" t="s">
        <v>181</v>
      </c>
      <c r="X5" s="212"/>
      <c r="Y5" s="210" t="s">
        <v>182</v>
      </c>
      <c r="Z5" s="212"/>
      <c r="AA5" s="210" t="s">
        <v>183</v>
      </c>
      <c r="AB5" s="211"/>
      <c r="AC5" s="210" t="s">
        <v>184</v>
      </c>
      <c r="AD5" s="212"/>
      <c r="AE5" s="210" t="s">
        <v>185</v>
      </c>
      <c r="AF5" s="212"/>
      <c r="AG5" s="210" t="s">
        <v>186</v>
      </c>
      <c r="AH5" s="212"/>
      <c r="AI5" s="210" t="s">
        <v>187</v>
      </c>
      <c r="AJ5" s="212"/>
      <c r="AK5" s="210" t="s">
        <v>188</v>
      </c>
      <c r="AL5" s="212"/>
      <c r="AM5" s="210" t="s">
        <v>189</v>
      </c>
      <c r="AN5" s="212"/>
      <c r="AO5" s="210" t="s">
        <v>190</v>
      </c>
      <c r="AP5" s="212"/>
      <c r="AQ5" s="210" t="s">
        <v>191</v>
      </c>
      <c r="AR5" s="212"/>
      <c r="AS5" s="210" t="s">
        <v>192</v>
      </c>
      <c r="AT5" s="212"/>
      <c r="AU5" s="210" t="s">
        <v>193</v>
      </c>
      <c r="AV5" s="212"/>
      <c r="AW5" s="210" t="s">
        <v>194</v>
      </c>
      <c r="AX5" s="212"/>
      <c r="AY5" s="210">
        <v>744483</v>
      </c>
      <c r="AZ5" s="212"/>
      <c r="BA5" s="210">
        <v>119314</v>
      </c>
      <c r="BB5" s="212"/>
      <c r="BC5" s="210">
        <v>1053229</v>
      </c>
      <c r="BD5" s="212"/>
      <c r="BE5" s="210">
        <v>1053215</v>
      </c>
      <c r="BF5" s="212"/>
      <c r="BH5" s="207"/>
      <c r="BI5" s="207"/>
    </row>
    <row r="6" spans="1:61" s="8" customFormat="1" ht="30" customHeight="1">
      <c r="A6" s="175" t="s">
        <v>96</v>
      </c>
      <c r="B6" s="48"/>
      <c r="C6" s="216"/>
      <c r="D6" s="217"/>
      <c r="E6" s="78"/>
      <c r="F6" s="177"/>
      <c r="G6" s="175"/>
      <c r="H6" s="48"/>
      <c r="I6" s="216"/>
      <c r="J6" s="217"/>
      <c r="K6" s="216"/>
      <c r="L6" s="217"/>
      <c r="M6" s="216"/>
      <c r="N6" s="217"/>
      <c r="O6" s="216"/>
      <c r="P6" s="221"/>
      <c r="Q6" s="216"/>
      <c r="R6" s="221"/>
      <c r="S6" s="216"/>
      <c r="T6" s="221"/>
      <c r="U6" s="216"/>
      <c r="V6" s="221"/>
      <c r="W6" s="216"/>
      <c r="X6" s="217"/>
      <c r="Y6" s="216"/>
      <c r="Z6" s="217"/>
      <c r="AA6" s="216"/>
      <c r="AB6" s="221"/>
      <c r="AC6" s="216"/>
      <c r="AD6" s="217"/>
      <c r="AE6" s="216"/>
      <c r="AF6" s="217"/>
      <c r="AG6" s="216"/>
      <c r="AH6" s="217"/>
      <c r="AI6" s="216"/>
      <c r="AJ6" s="217"/>
      <c r="AK6" s="216"/>
      <c r="AL6" s="217"/>
      <c r="AM6" s="216"/>
      <c r="AN6" s="217"/>
      <c r="AO6" s="216"/>
      <c r="AP6" s="217"/>
      <c r="AQ6" s="216"/>
      <c r="AR6" s="217"/>
      <c r="AS6" s="216"/>
      <c r="AT6" s="217"/>
      <c r="AU6" s="216"/>
      <c r="AV6" s="217"/>
      <c r="AW6" s="216"/>
      <c r="AX6" s="217"/>
      <c r="AY6" s="216"/>
      <c r="AZ6" s="217"/>
      <c r="BA6" s="216"/>
      <c r="BB6" s="217"/>
      <c r="BC6" s="216"/>
      <c r="BD6" s="217"/>
      <c r="BE6" s="216"/>
      <c r="BF6" s="217"/>
      <c r="BH6" s="31"/>
      <c r="BI6" s="31"/>
    </row>
    <row r="7" spans="1:61" s="10" customFormat="1" ht="50.1" customHeight="1">
      <c r="A7" s="175" t="s">
        <v>99</v>
      </c>
      <c r="B7" s="175"/>
      <c r="C7" s="179" t="s">
        <v>114</v>
      </c>
      <c r="D7" s="179" t="s">
        <v>195</v>
      </c>
      <c r="E7" s="179" t="s">
        <v>195</v>
      </c>
      <c r="F7" s="179" t="s">
        <v>195</v>
      </c>
      <c r="G7" s="179" t="s">
        <v>114</v>
      </c>
      <c r="H7" s="179" t="s">
        <v>195</v>
      </c>
      <c r="I7" s="179" t="s">
        <v>114</v>
      </c>
      <c r="J7" s="179" t="s">
        <v>195</v>
      </c>
      <c r="K7" s="179" t="s">
        <v>114</v>
      </c>
      <c r="L7" s="179" t="s">
        <v>195</v>
      </c>
      <c r="M7" s="179" t="s">
        <v>114</v>
      </c>
      <c r="N7" s="179" t="s">
        <v>195</v>
      </c>
      <c r="O7" s="179" t="s">
        <v>114</v>
      </c>
      <c r="P7" s="179" t="s">
        <v>195</v>
      </c>
      <c r="Q7" s="179" t="s">
        <v>114</v>
      </c>
      <c r="R7" s="179" t="s">
        <v>195</v>
      </c>
      <c r="S7" s="179" t="s">
        <v>114</v>
      </c>
      <c r="T7" s="179" t="s">
        <v>195</v>
      </c>
      <c r="U7" s="179" t="s">
        <v>114</v>
      </c>
      <c r="V7" s="179" t="s">
        <v>195</v>
      </c>
      <c r="W7" s="179" t="s">
        <v>114</v>
      </c>
      <c r="X7" s="179" t="s">
        <v>195</v>
      </c>
      <c r="Y7" s="179" t="s">
        <v>114</v>
      </c>
      <c r="Z7" s="179" t="s">
        <v>195</v>
      </c>
      <c r="AA7" s="179" t="s">
        <v>114</v>
      </c>
      <c r="AB7" s="179" t="s">
        <v>195</v>
      </c>
      <c r="AC7" s="179" t="s">
        <v>114</v>
      </c>
      <c r="AD7" s="179" t="s">
        <v>195</v>
      </c>
      <c r="AE7" s="13" t="s">
        <v>114</v>
      </c>
      <c r="AF7" s="179" t="s">
        <v>195</v>
      </c>
      <c r="AG7" s="13" t="s">
        <v>114</v>
      </c>
      <c r="AH7" s="179" t="s">
        <v>195</v>
      </c>
      <c r="AI7" s="13" t="s">
        <v>114</v>
      </c>
      <c r="AJ7" s="179" t="s">
        <v>195</v>
      </c>
      <c r="AK7" s="13" t="s">
        <v>114</v>
      </c>
      <c r="AL7" s="179" t="s">
        <v>195</v>
      </c>
      <c r="AM7" s="13" t="s">
        <v>114</v>
      </c>
      <c r="AN7" s="179" t="s">
        <v>195</v>
      </c>
      <c r="AO7" s="13" t="s">
        <v>114</v>
      </c>
      <c r="AP7" s="179" t="s">
        <v>195</v>
      </c>
      <c r="AQ7" s="13" t="s">
        <v>114</v>
      </c>
      <c r="AR7" s="179" t="s">
        <v>195</v>
      </c>
      <c r="AS7" s="13" t="s">
        <v>114</v>
      </c>
      <c r="AT7" s="179" t="s">
        <v>195</v>
      </c>
      <c r="AU7" s="13" t="s">
        <v>114</v>
      </c>
      <c r="AV7" s="179" t="s">
        <v>195</v>
      </c>
      <c r="AW7" s="13" t="s">
        <v>114</v>
      </c>
      <c r="AX7" s="179" t="s">
        <v>195</v>
      </c>
      <c r="AY7" s="13" t="s">
        <v>114</v>
      </c>
      <c r="AZ7" s="179" t="s">
        <v>195</v>
      </c>
      <c r="BA7" s="13" t="s">
        <v>114</v>
      </c>
      <c r="BB7" s="179" t="s">
        <v>195</v>
      </c>
      <c r="BC7" s="13" t="s">
        <v>114</v>
      </c>
      <c r="BD7" s="179" t="s">
        <v>195</v>
      </c>
      <c r="BE7" s="13" t="s">
        <v>114</v>
      </c>
      <c r="BF7" s="179" t="s">
        <v>195</v>
      </c>
      <c r="BH7" s="175" t="s">
        <v>65</v>
      </c>
      <c r="BI7" s="175" t="s">
        <v>67</v>
      </c>
    </row>
    <row r="8" spans="1:61" s="34" customFormat="1" ht="39.950000000000003" customHeight="1">
      <c r="A8" s="174">
        <v>44957</v>
      </c>
      <c r="B8" s="33"/>
      <c r="C8" s="76">
        <v>7573427</v>
      </c>
      <c r="D8" s="100"/>
      <c r="E8" s="101"/>
      <c r="F8" s="100"/>
      <c r="G8" s="76">
        <v>306452</v>
      </c>
      <c r="H8" s="100"/>
      <c r="I8" s="76">
        <v>229370</v>
      </c>
      <c r="J8" s="100"/>
      <c r="K8" s="76">
        <v>280619</v>
      </c>
      <c r="L8" s="100"/>
      <c r="M8" s="76">
        <v>25836</v>
      </c>
      <c r="N8" s="100"/>
      <c r="O8" s="76">
        <v>381136</v>
      </c>
      <c r="P8" s="36"/>
      <c r="Q8" s="76">
        <v>497136</v>
      </c>
      <c r="R8" s="100"/>
      <c r="S8" s="76">
        <v>799536</v>
      </c>
      <c r="T8" s="100"/>
      <c r="U8" s="80">
        <v>9990.5300000000007</v>
      </c>
      <c r="V8" s="100"/>
      <c r="W8" s="76">
        <v>88612</v>
      </c>
      <c r="X8" s="100"/>
      <c r="Y8" s="76">
        <v>1557200</v>
      </c>
      <c r="Z8" s="100"/>
      <c r="AA8" s="76">
        <v>14425</v>
      </c>
      <c r="AB8" s="100"/>
      <c r="AC8" s="76">
        <v>532838</v>
      </c>
      <c r="AD8" s="100"/>
      <c r="AE8" s="76">
        <v>602439</v>
      </c>
      <c r="AF8" s="100"/>
      <c r="AG8" s="75">
        <v>49814</v>
      </c>
      <c r="AH8" s="100"/>
      <c r="AI8" s="76">
        <v>471946</v>
      </c>
      <c r="AJ8" s="100"/>
      <c r="AK8" s="76">
        <v>103110</v>
      </c>
      <c r="AL8" s="100"/>
      <c r="AM8" s="76">
        <v>638009</v>
      </c>
      <c r="AN8" s="100"/>
      <c r="AO8" s="76">
        <v>29569</v>
      </c>
      <c r="AP8" s="100"/>
      <c r="AQ8" s="76">
        <v>16303</v>
      </c>
      <c r="AR8" s="100"/>
      <c r="AS8" s="76">
        <v>2618</v>
      </c>
      <c r="AT8" s="100"/>
      <c r="AU8" s="76">
        <v>946</v>
      </c>
      <c r="AV8" s="100"/>
      <c r="AW8" s="76">
        <v>3110</v>
      </c>
      <c r="AX8" s="100"/>
      <c r="AY8" s="76">
        <v>372211</v>
      </c>
      <c r="AZ8" s="100"/>
      <c r="BA8" s="76">
        <v>161101</v>
      </c>
      <c r="BB8" s="100"/>
      <c r="BC8" s="76">
        <v>250332</v>
      </c>
      <c r="BD8" s="100"/>
      <c r="BE8" s="76">
        <v>5350</v>
      </c>
      <c r="BF8" s="100"/>
      <c r="BH8" s="102"/>
      <c r="BI8" s="102"/>
    </row>
    <row r="9" spans="1:61" s="27" customFormat="1" ht="39.950000000000003" customHeight="1">
      <c r="A9" s="174">
        <v>44958</v>
      </c>
      <c r="B9" s="26"/>
      <c r="C9" s="76">
        <v>7577324</v>
      </c>
      <c r="D9" s="36">
        <f t="shared" ref="D9:D36" si="0">(+C9-+C8)*48</f>
        <v>187056</v>
      </c>
      <c r="E9" s="101">
        <f>D9*E5</f>
        <v>112233.59999999999</v>
      </c>
      <c r="F9" s="100">
        <f>D9*F5</f>
        <v>74822.400000000009</v>
      </c>
      <c r="G9" s="76">
        <v>306494</v>
      </c>
      <c r="H9" s="36">
        <f t="shared" ref="H9:P36" si="1">(+G9-+G8)*48</f>
        <v>2016</v>
      </c>
      <c r="I9" s="76">
        <v>229535</v>
      </c>
      <c r="J9" s="36">
        <f t="shared" si="1"/>
        <v>7920</v>
      </c>
      <c r="K9" s="76">
        <v>280657</v>
      </c>
      <c r="L9" s="36">
        <f t="shared" si="1"/>
        <v>1824</v>
      </c>
      <c r="M9" s="76">
        <v>25836</v>
      </c>
      <c r="N9" s="36">
        <f>(+M9-+M8)*48</f>
        <v>0</v>
      </c>
      <c r="O9" s="76">
        <v>381326</v>
      </c>
      <c r="P9" s="36">
        <f>(+O9-+O8)*48</f>
        <v>9120</v>
      </c>
      <c r="Q9" s="76">
        <v>497226</v>
      </c>
      <c r="R9" s="36">
        <f>(+Q9-+Q8)*48</f>
        <v>4320</v>
      </c>
      <c r="S9" s="76">
        <v>799672</v>
      </c>
      <c r="T9" s="36">
        <f>(+S9-+S8)*48</f>
        <v>6528</v>
      </c>
      <c r="U9" s="80">
        <v>10011.969999999999</v>
      </c>
      <c r="V9" s="100">
        <f>(+U9-+U8)*48</f>
        <v>1029.1199999999371</v>
      </c>
      <c r="W9" s="76">
        <v>88629</v>
      </c>
      <c r="X9" s="36">
        <f>(+W9-+W8)*48</f>
        <v>816</v>
      </c>
      <c r="Y9" s="76">
        <v>1557738</v>
      </c>
      <c r="Z9" s="36">
        <f>(+Y9-+Y8)*48</f>
        <v>25824</v>
      </c>
      <c r="AA9" s="76">
        <v>14431</v>
      </c>
      <c r="AB9" s="36">
        <f>(+AA9-+AA8)*48</f>
        <v>288</v>
      </c>
      <c r="AC9" s="76">
        <v>532916</v>
      </c>
      <c r="AD9" s="36">
        <f>(+AC9-+AC8)*48</f>
        <v>3744</v>
      </c>
      <c r="AE9" s="76">
        <v>602478</v>
      </c>
      <c r="AF9" s="36">
        <f>(+AE9-+AE8)*48</f>
        <v>1872</v>
      </c>
      <c r="AG9" s="76">
        <v>49814</v>
      </c>
      <c r="AH9" s="36">
        <f>(+AG9-+AG8)*48</f>
        <v>0</v>
      </c>
      <c r="AI9" s="76">
        <v>472056</v>
      </c>
      <c r="AJ9" s="36">
        <f>(+AI9-+AI8)*48</f>
        <v>5280</v>
      </c>
      <c r="AK9" s="76">
        <v>103117</v>
      </c>
      <c r="AL9" s="36">
        <f>(+AK9-+AK8)*48</f>
        <v>336</v>
      </c>
      <c r="AM9" s="76">
        <v>638098</v>
      </c>
      <c r="AN9" s="36">
        <f>(+AM9-+AM8)*48</f>
        <v>4272</v>
      </c>
      <c r="AO9" s="76">
        <v>29626</v>
      </c>
      <c r="AP9" s="36">
        <f>(+AO9-+AO8)*48</f>
        <v>2736</v>
      </c>
      <c r="AQ9" s="76">
        <v>16682</v>
      </c>
      <c r="AR9" s="36">
        <f>(+AQ9-+AQ8)*48</f>
        <v>18192</v>
      </c>
      <c r="AS9" s="76">
        <v>2621</v>
      </c>
      <c r="AT9" s="36">
        <f>(+AS9-+AS8)*48</f>
        <v>144</v>
      </c>
      <c r="AU9" s="76">
        <v>946</v>
      </c>
      <c r="AV9" s="36">
        <f>(+AU9-+AU8)*48</f>
        <v>0</v>
      </c>
      <c r="AW9" s="76">
        <v>3110</v>
      </c>
      <c r="AX9" s="36">
        <f>(+AW9-+AW8)*48</f>
        <v>0</v>
      </c>
      <c r="AY9" s="76">
        <v>372322</v>
      </c>
      <c r="AZ9" s="36">
        <f>(+AY9-+AY8)*48</f>
        <v>5328</v>
      </c>
      <c r="BA9" s="75">
        <v>161101</v>
      </c>
      <c r="BB9" s="36">
        <f>(+BA9-+BA8)*48</f>
        <v>0</v>
      </c>
      <c r="BC9" s="76">
        <v>250406</v>
      </c>
      <c r="BD9" s="36">
        <f>(+BC9-+BC8)*48</f>
        <v>3552</v>
      </c>
      <c r="BE9" s="76">
        <v>5350</v>
      </c>
      <c r="BF9" s="36">
        <f>(+BE9-+BE8)*48</f>
        <v>0</v>
      </c>
      <c r="BH9" s="102">
        <f t="shared" ref="BH9:BH36" si="2">SUM(E9,J9,P9,H9,L9,R9,T9,V9,X9,N9,AB9,Z9,AD9,AF9,AH9,AL9,AJ9)</f>
        <v>183150.71999999991</v>
      </c>
      <c r="BI9" s="102">
        <f t="shared" ref="BI9:BI36" si="3">SUM(F9,AN9,AP9,AT9,AV9,AX9,AR9,AZ9,BB9,BD9,BF9)</f>
        <v>109046.40000000001</v>
      </c>
    </row>
    <row r="10" spans="1:61" s="27" customFormat="1" ht="39.950000000000003" customHeight="1">
      <c r="A10" s="174">
        <f>SUM(A9+1)</f>
        <v>44959</v>
      </c>
      <c r="B10" s="26"/>
      <c r="C10" s="76">
        <v>7580205</v>
      </c>
      <c r="D10" s="36">
        <f t="shared" si="0"/>
        <v>138288</v>
      </c>
      <c r="E10" s="101">
        <f>D10*E5</f>
        <v>82972.800000000003</v>
      </c>
      <c r="F10" s="100">
        <f>D10*F5</f>
        <v>55315.200000000004</v>
      </c>
      <c r="G10" s="76">
        <v>306538</v>
      </c>
      <c r="H10" s="36">
        <f t="shared" si="1"/>
        <v>2112</v>
      </c>
      <c r="I10" s="76">
        <v>229706</v>
      </c>
      <c r="J10" s="36">
        <f t="shared" si="1"/>
        <v>8208</v>
      </c>
      <c r="K10" s="76">
        <v>280758</v>
      </c>
      <c r="L10" s="36">
        <f t="shared" si="1"/>
        <v>4848</v>
      </c>
      <c r="M10" s="76">
        <v>25836</v>
      </c>
      <c r="N10" s="36">
        <f t="shared" si="1"/>
        <v>0</v>
      </c>
      <c r="O10" s="76">
        <v>381527</v>
      </c>
      <c r="P10" s="36">
        <f t="shared" si="1"/>
        <v>9648</v>
      </c>
      <c r="Q10" s="76">
        <v>497305</v>
      </c>
      <c r="R10" s="36">
        <f t="shared" ref="R10:R36" si="4">(+Q10-+Q9)*48</f>
        <v>3792</v>
      </c>
      <c r="S10" s="76">
        <v>799836</v>
      </c>
      <c r="T10" s="36">
        <f t="shared" ref="T10:T36" si="5">(+S10-+S9)*48</f>
        <v>7872</v>
      </c>
      <c r="U10" s="80">
        <v>10034.351000000001</v>
      </c>
      <c r="V10" s="100">
        <f t="shared" ref="V10:V36" si="6">(+U10-+U9)*48</f>
        <v>1074.2880000000587</v>
      </c>
      <c r="W10" s="76">
        <v>88648</v>
      </c>
      <c r="X10" s="36">
        <f t="shared" ref="X10:X36" si="7">(+W10-+W9)*48</f>
        <v>912</v>
      </c>
      <c r="Y10" s="76">
        <v>1558248</v>
      </c>
      <c r="Z10" s="36">
        <f t="shared" ref="Z10:Z36" si="8">(+Y10-+Y9)*48</f>
        <v>24480</v>
      </c>
      <c r="AA10" s="76">
        <v>14436</v>
      </c>
      <c r="AB10" s="36">
        <f t="shared" ref="AB10:AB36" si="9">(+AA10-+AA9)*48</f>
        <v>240</v>
      </c>
      <c r="AC10" s="76">
        <v>533087</v>
      </c>
      <c r="AD10" s="36">
        <f t="shared" ref="AD10:AD36" si="10">(+AC10-+AC9)*48</f>
        <v>8208</v>
      </c>
      <c r="AE10" s="76">
        <v>602609</v>
      </c>
      <c r="AF10" s="36">
        <f t="shared" ref="AF10:AF36" si="11">(+AE10-+AE9)*48</f>
        <v>6288</v>
      </c>
      <c r="AG10" s="76">
        <v>49814</v>
      </c>
      <c r="AH10" s="36">
        <f t="shared" ref="AH10:AH36" si="12">(+AG10-+AG9)*48</f>
        <v>0</v>
      </c>
      <c r="AI10" s="76">
        <v>472167</v>
      </c>
      <c r="AJ10" s="36">
        <f t="shared" ref="AJ10:AJ36" si="13">(+AI10-+AI9)*48</f>
        <v>5328</v>
      </c>
      <c r="AK10" s="76">
        <v>103121</v>
      </c>
      <c r="AL10" s="36">
        <f t="shared" ref="AL10:AL36" si="14">(+AK10-+AK9)*48</f>
        <v>192</v>
      </c>
      <c r="AM10" s="76">
        <v>638237</v>
      </c>
      <c r="AN10" s="36">
        <f t="shared" ref="AN10:AN36" si="15">(+AM10-+AM9)*48</f>
        <v>6672</v>
      </c>
      <c r="AO10" s="76">
        <v>29806</v>
      </c>
      <c r="AP10" s="36">
        <f t="shared" ref="AP10:AP36" si="16">(+AO10-+AO9)*48</f>
        <v>8640</v>
      </c>
      <c r="AQ10" s="76">
        <v>17020</v>
      </c>
      <c r="AR10" s="36">
        <f t="shared" ref="AR10:AR36" si="17">(+AQ10-+AQ9)*48</f>
        <v>16224</v>
      </c>
      <c r="AS10" s="76">
        <v>2625</v>
      </c>
      <c r="AT10" s="36">
        <f t="shared" ref="AT10:AT36" si="18">(+AS10-+AS9)*48</f>
        <v>192</v>
      </c>
      <c r="AU10" s="76">
        <v>946</v>
      </c>
      <c r="AV10" s="36">
        <f t="shared" ref="AV10:AV36" si="19">(+AU10-+AU9)*48</f>
        <v>0</v>
      </c>
      <c r="AW10" s="76">
        <v>3110</v>
      </c>
      <c r="AX10" s="36">
        <f t="shared" ref="AX10:AX36" si="20">(+AW10-+AW9)*48</f>
        <v>0</v>
      </c>
      <c r="AY10" s="76">
        <v>372423</v>
      </c>
      <c r="AZ10" s="36">
        <f t="shared" ref="AZ10:AZ36" si="21">(+AY10-+AY9)*48</f>
        <v>4848</v>
      </c>
      <c r="BA10" s="75">
        <v>161101</v>
      </c>
      <c r="BB10" s="36">
        <f t="shared" ref="BB10:BB36" si="22">(+BA10-+BA9)*48</f>
        <v>0</v>
      </c>
      <c r="BC10" s="76">
        <v>250479</v>
      </c>
      <c r="BD10" s="36">
        <f t="shared" ref="BD10:BD36" si="23">(+BC10-+BC9)*48</f>
        <v>3504</v>
      </c>
      <c r="BE10" s="76">
        <v>5350</v>
      </c>
      <c r="BF10" s="36">
        <f t="shared" ref="BF10:BF36" si="24">(+BE10-+BE9)*48</f>
        <v>0</v>
      </c>
      <c r="BH10" s="102">
        <f t="shared" ref="BH10" si="25">SUM(E10,J10,P10,H10,L10,R10,T10,V10,X10,N10,AB10,Z10,AD10,AF10,AH10,AL10,AJ10)</f>
        <v>166175.08800000005</v>
      </c>
      <c r="BI10" s="102">
        <f t="shared" ref="BI10" si="26">SUM(F10,AN10,AP10,AT10,AV10,AX10,AR10,AZ10,BB10,BD10,BF10)</f>
        <v>95395.200000000012</v>
      </c>
    </row>
    <row r="11" spans="1:61" s="34" customFormat="1" ht="39.950000000000003" customHeight="1">
      <c r="A11" s="174">
        <f t="shared" ref="A11:A36" si="27">SUM(A10+1)</f>
        <v>44960</v>
      </c>
      <c r="B11" s="33"/>
      <c r="C11" s="75">
        <v>7582919</v>
      </c>
      <c r="D11" s="36">
        <f t="shared" si="0"/>
        <v>130272</v>
      </c>
      <c r="E11" s="101">
        <f>D11*E5</f>
        <v>78163.199999999997</v>
      </c>
      <c r="F11" s="100">
        <f>D11*F5</f>
        <v>52108.800000000003</v>
      </c>
      <c r="G11" s="75">
        <v>306579</v>
      </c>
      <c r="H11" s="36">
        <f t="shared" si="1"/>
        <v>1968</v>
      </c>
      <c r="I11" s="75">
        <v>229864</v>
      </c>
      <c r="J11" s="36">
        <f t="shared" si="1"/>
        <v>7584</v>
      </c>
      <c r="K11" s="75">
        <v>280795</v>
      </c>
      <c r="L11" s="36">
        <f t="shared" si="1"/>
        <v>1776</v>
      </c>
      <c r="M11" s="76">
        <v>25836</v>
      </c>
      <c r="N11" s="36">
        <f t="shared" si="1"/>
        <v>0</v>
      </c>
      <c r="O11" s="75">
        <v>381722</v>
      </c>
      <c r="P11" s="36">
        <f t="shared" si="1"/>
        <v>9360</v>
      </c>
      <c r="Q11" s="75">
        <v>497399</v>
      </c>
      <c r="R11" s="36">
        <f t="shared" si="4"/>
        <v>4512</v>
      </c>
      <c r="S11" s="75">
        <v>799980</v>
      </c>
      <c r="T11" s="36">
        <f t="shared" si="5"/>
        <v>6912</v>
      </c>
      <c r="U11" s="75">
        <v>10055.254999999999</v>
      </c>
      <c r="V11" s="100">
        <f t="shared" si="6"/>
        <v>1003.3919999999343</v>
      </c>
      <c r="W11" s="75">
        <v>88666</v>
      </c>
      <c r="X11" s="36">
        <f t="shared" si="7"/>
        <v>864</v>
      </c>
      <c r="Y11" s="75">
        <v>1558735</v>
      </c>
      <c r="Z11" s="36">
        <f t="shared" si="8"/>
        <v>23376</v>
      </c>
      <c r="AA11" s="76">
        <v>14436</v>
      </c>
      <c r="AB11" s="36">
        <f t="shared" si="9"/>
        <v>0</v>
      </c>
      <c r="AC11" s="75">
        <v>533253</v>
      </c>
      <c r="AD11" s="36">
        <f t="shared" si="10"/>
        <v>7968</v>
      </c>
      <c r="AE11" s="75">
        <v>602735</v>
      </c>
      <c r="AF11" s="36">
        <f t="shared" si="11"/>
        <v>6048</v>
      </c>
      <c r="AG11" s="76">
        <v>49814</v>
      </c>
      <c r="AH11" s="36">
        <f t="shared" si="12"/>
        <v>0</v>
      </c>
      <c r="AI11" s="75">
        <v>472280</v>
      </c>
      <c r="AJ11" s="36">
        <f t="shared" si="13"/>
        <v>5424</v>
      </c>
      <c r="AK11" s="76">
        <v>103130</v>
      </c>
      <c r="AL11" s="36">
        <f t="shared" si="14"/>
        <v>432</v>
      </c>
      <c r="AM11" s="75">
        <v>638378</v>
      </c>
      <c r="AN11" s="36">
        <f t="shared" si="15"/>
        <v>6768</v>
      </c>
      <c r="AO11" s="75">
        <v>29989</v>
      </c>
      <c r="AP11" s="36">
        <f t="shared" si="16"/>
        <v>8784</v>
      </c>
      <c r="AQ11" s="75">
        <v>17378</v>
      </c>
      <c r="AR11" s="36">
        <f t="shared" si="17"/>
        <v>17184</v>
      </c>
      <c r="AS11" s="76">
        <v>2627</v>
      </c>
      <c r="AT11" s="36">
        <f t="shared" si="18"/>
        <v>96</v>
      </c>
      <c r="AU11" s="76">
        <v>946</v>
      </c>
      <c r="AV11" s="36">
        <f t="shared" si="19"/>
        <v>0</v>
      </c>
      <c r="AW11" s="76">
        <v>3110</v>
      </c>
      <c r="AX11" s="36">
        <f t="shared" si="20"/>
        <v>0</v>
      </c>
      <c r="AY11" s="75">
        <v>372530</v>
      </c>
      <c r="AZ11" s="36">
        <f t="shared" si="21"/>
        <v>5136</v>
      </c>
      <c r="BA11" s="75">
        <v>161101</v>
      </c>
      <c r="BB11" s="36">
        <f t="shared" si="22"/>
        <v>0</v>
      </c>
      <c r="BC11" s="75">
        <v>250549</v>
      </c>
      <c r="BD11" s="36">
        <f t="shared" si="23"/>
        <v>3360</v>
      </c>
      <c r="BE11" s="76">
        <v>5350</v>
      </c>
      <c r="BF11" s="36">
        <f t="shared" si="24"/>
        <v>0</v>
      </c>
      <c r="BH11" s="102">
        <f t="shared" si="2"/>
        <v>155390.59199999995</v>
      </c>
      <c r="BI11" s="102">
        <f t="shared" si="3"/>
        <v>93436.800000000003</v>
      </c>
    </row>
    <row r="12" spans="1:61" s="34" customFormat="1" ht="39.950000000000003" customHeight="1">
      <c r="A12" s="174">
        <f t="shared" si="27"/>
        <v>44961</v>
      </c>
      <c r="B12" s="33"/>
      <c r="C12" s="76">
        <v>7585731</v>
      </c>
      <c r="D12" s="36">
        <f t="shared" si="0"/>
        <v>134976</v>
      </c>
      <c r="E12" s="101">
        <f>D12*E5</f>
        <v>80985.599999999991</v>
      </c>
      <c r="F12" s="100">
        <f>D12*F5</f>
        <v>53990.400000000001</v>
      </c>
      <c r="G12" s="76">
        <v>306636</v>
      </c>
      <c r="H12" s="36">
        <f t="shared" si="1"/>
        <v>2736</v>
      </c>
      <c r="I12" s="76">
        <v>230036</v>
      </c>
      <c r="J12" s="36">
        <f t="shared" si="1"/>
        <v>8256</v>
      </c>
      <c r="K12" s="76">
        <v>280825</v>
      </c>
      <c r="L12" s="36">
        <f t="shared" si="1"/>
        <v>1440</v>
      </c>
      <c r="M12" s="76">
        <v>25836</v>
      </c>
      <c r="N12" s="36">
        <f t="shared" si="1"/>
        <v>0</v>
      </c>
      <c r="O12" s="76">
        <v>381908</v>
      </c>
      <c r="P12" s="36">
        <f t="shared" si="1"/>
        <v>8928</v>
      </c>
      <c r="Q12" s="76">
        <v>497501</v>
      </c>
      <c r="R12" s="36">
        <f t="shared" si="4"/>
        <v>4896</v>
      </c>
      <c r="S12" s="76">
        <v>800135</v>
      </c>
      <c r="T12" s="36">
        <f t="shared" si="5"/>
        <v>7440</v>
      </c>
      <c r="U12" s="80">
        <v>10078.371999999999</v>
      </c>
      <c r="V12" s="100">
        <f t="shared" si="6"/>
        <v>1109.6160000000091</v>
      </c>
      <c r="W12" s="76">
        <v>88686</v>
      </c>
      <c r="X12" s="36">
        <f t="shared" si="7"/>
        <v>960</v>
      </c>
      <c r="Y12" s="75">
        <v>1559260</v>
      </c>
      <c r="Z12" s="36">
        <f t="shared" si="8"/>
        <v>25200</v>
      </c>
      <c r="AA12" s="76">
        <v>14436</v>
      </c>
      <c r="AB12" s="36">
        <f t="shared" si="9"/>
        <v>0</v>
      </c>
      <c r="AC12" s="76">
        <v>533427</v>
      </c>
      <c r="AD12" s="36">
        <f t="shared" si="10"/>
        <v>8352</v>
      </c>
      <c r="AE12" s="76">
        <v>602854</v>
      </c>
      <c r="AF12" s="36">
        <f t="shared" si="11"/>
        <v>5712</v>
      </c>
      <c r="AG12" s="76">
        <v>49814</v>
      </c>
      <c r="AH12" s="36">
        <f t="shared" si="12"/>
        <v>0</v>
      </c>
      <c r="AI12" s="76">
        <v>472400</v>
      </c>
      <c r="AJ12" s="36">
        <f t="shared" si="13"/>
        <v>5760</v>
      </c>
      <c r="AK12" s="76">
        <v>103145</v>
      </c>
      <c r="AL12" s="36">
        <f t="shared" si="14"/>
        <v>720</v>
      </c>
      <c r="AM12" s="76">
        <v>638525</v>
      </c>
      <c r="AN12" s="36">
        <f t="shared" si="15"/>
        <v>7056</v>
      </c>
      <c r="AO12" s="76">
        <v>30205</v>
      </c>
      <c r="AP12" s="36">
        <f t="shared" si="16"/>
        <v>10368</v>
      </c>
      <c r="AQ12" s="76">
        <v>17763</v>
      </c>
      <c r="AR12" s="36">
        <f t="shared" si="17"/>
        <v>18480</v>
      </c>
      <c r="AS12" s="76">
        <v>2627</v>
      </c>
      <c r="AT12" s="36">
        <f t="shared" si="18"/>
        <v>0</v>
      </c>
      <c r="AU12" s="76">
        <v>946</v>
      </c>
      <c r="AV12" s="36">
        <f t="shared" si="19"/>
        <v>0</v>
      </c>
      <c r="AW12" s="76">
        <v>3110</v>
      </c>
      <c r="AX12" s="36">
        <f t="shared" si="20"/>
        <v>0</v>
      </c>
      <c r="AY12" s="76">
        <v>372637</v>
      </c>
      <c r="AZ12" s="36">
        <f t="shared" si="21"/>
        <v>5136</v>
      </c>
      <c r="BA12" s="75">
        <v>161101</v>
      </c>
      <c r="BB12" s="36">
        <f t="shared" si="22"/>
        <v>0</v>
      </c>
      <c r="BC12" s="76">
        <v>250618</v>
      </c>
      <c r="BD12" s="36">
        <f t="shared" si="23"/>
        <v>3312</v>
      </c>
      <c r="BE12" s="76">
        <v>5350</v>
      </c>
      <c r="BF12" s="36">
        <f t="shared" si="24"/>
        <v>0</v>
      </c>
      <c r="BH12" s="102">
        <f t="shared" si="2"/>
        <v>162495.21600000001</v>
      </c>
      <c r="BI12" s="102">
        <f t="shared" si="3"/>
        <v>98342.399999999994</v>
      </c>
    </row>
    <row r="13" spans="1:61" s="34" customFormat="1" ht="39.950000000000003" customHeight="1">
      <c r="A13" s="174">
        <f t="shared" si="27"/>
        <v>44962</v>
      </c>
      <c r="B13" s="33"/>
      <c r="C13" s="76">
        <v>7588766</v>
      </c>
      <c r="D13" s="36">
        <f t="shared" si="0"/>
        <v>145680</v>
      </c>
      <c r="E13" s="101">
        <f>D13*E5</f>
        <v>87408</v>
      </c>
      <c r="F13" s="100">
        <f>D13*F5</f>
        <v>58272</v>
      </c>
      <c r="G13" s="76">
        <v>306696</v>
      </c>
      <c r="H13" s="36">
        <f t="shared" si="1"/>
        <v>2880</v>
      </c>
      <c r="I13" s="76">
        <v>230206</v>
      </c>
      <c r="J13" s="36">
        <f t="shared" si="1"/>
        <v>8160</v>
      </c>
      <c r="K13" s="76">
        <v>280913</v>
      </c>
      <c r="L13" s="36">
        <f t="shared" si="1"/>
        <v>4224</v>
      </c>
      <c r="M13" s="76">
        <v>25836</v>
      </c>
      <c r="N13" s="36">
        <f t="shared" si="1"/>
        <v>0</v>
      </c>
      <c r="O13" s="76">
        <v>382121</v>
      </c>
      <c r="P13" s="36">
        <f t="shared" si="1"/>
        <v>10224</v>
      </c>
      <c r="Q13" s="76">
        <v>497594</v>
      </c>
      <c r="R13" s="36">
        <f t="shared" si="4"/>
        <v>4464</v>
      </c>
      <c r="S13" s="76">
        <v>800286</v>
      </c>
      <c r="T13" s="36">
        <f t="shared" si="5"/>
        <v>7248</v>
      </c>
      <c r="U13" s="80">
        <v>10102.231</v>
      </c>
      <c r="V13" s="100">
        <f t="shared" si="6"/>
        <v>1145.2320000000182</v>
      </c>
      <c r="W13" s="76">
        <v>88702</v>
      </c>
      <c r="X13" s="36">
        <f t="shared" si="7"/>
        <v>768</v>
      </c>
      <c r="Y13" s="76">
        <v>1559795</v>
      </c>
      <c r="Z13" s="36">
        <f t="shared" si="8"/>
        <v>25680</v>
      </c>
      <c r="AA13" s="76">
        <v>14440</v>
      </c>
      <c r="AB13" s="36">
        <f t="shared" si="9"/>
        <v>192</v>
      </c>
      <c r="AC13" s="76">
        <v>533614</v>
      </c>
      <c r="AD13" s="36">
        <f t="shared" si="10"/>
        <v>8976</v>
      </c>
      <c r="AE13" s="76">
        <v>602989</v>
      </c>
      <c r="AF13" s="36">
        <f t="shared" si="11"/>
        <v>6480</v>
      </c>
      <c r="AG13" s="76">
        <v>49814</v>
      </c>
      <c r="AH13" s="36">
        <f t="shared" si="12"/>
        <v>0</v>
      </c>
      <c r="AI13" s="76">
        <v>472521</v>
      </c>
      <c r="AJ13" s="36">
        <f t="shared" si="13"/>
        <v>5808</v>
      </c>
      <c r="AK13" s="76">
        <v>103161</v>
      </c>
      <c r="AL13" s="36">
        <f t="shared" si="14"/>
        <v>768</v>
      </c>
      <c r="AM13" s="76">
        <v>638683</v>
      </c>
      <c r="AN13" s="36">
        <f t="shared" si="15"/>
        <v>7584</v>
      </c>
      <c r="AO13" s="76">
        <v>30442</v>
      </c>
      <c r="AP13" s="36">
        <f t="shared" si="16"/>
        <v>11376</v>
      </c>
      <c r="AQ13" s="76">
        <v>18103</v>
      </c>
      <c r="AR13" s="36">
        <f t="shared" si="17"/>
        <v>16320</v>
      </c>
      <c r="AS13" s="76">
        <v>2632</v>
      </c>
      <c r="AT13" s="36">
        <f t="shared" si="18"/>
        <v>240</v>
      </c>
      <c r="AU13" s="76">
        <v>946</v>
      </c>
      <c r="AV13" s="36">
        <f t="shared" si="19"/>
        <v>0</v>
      </c>
      <c r="AW13" s="76">
        <v>3110</v>
      </c>
      <c r="AX13" s="36">
        <f t="shared" si="20"/>
        <v>0</v>
      </c>
      <c r="AY13" s="76">
        <v>372755</v>
      </c>
      <c r="AZ13" s="36">
        <f t="shared" si="21"/>
        <v>5664</v>
      </c>
      <c r="BA13" s="75">
        <v>161101</v>
      </c>
      <c r="BB13" s="36">
        <f t="shared" si="22"/>
        <v>0</v>
      </c>
      <c r="BC13" s="76">
        <v>250689</v>
      </c>
      <c r="BD13" s="36">
        <f t="shared" si="23"/>
        <v>3408</v>
      </c>
      <c r="BE13" s="76">
        <v>5350</v>
      </c>
      <c r="BF13" s="36">
        <f t="shared" si="24"/>
        <v>0</v>
      </c>
      <c r="BH13" s="102">
        <f t="shared" si="2"/>
        <v>174425.23200000002</v>
      </c>
      <c r="BI13" s="102">
        <f t="shared" si="3"/>
        <v>102864</v>
      </c>
    </row>
    <row r="14" spans="1:61" s="34" customFormat="1" ht="39.950000000000003" customHeight="1">
      <c r="A14" s="174">
        <f t="shared" si="27"/>
        <v>44963</v>
      </c>
      <c r="B14" s="33"/>
      <c r="C14" s="76">
        <v>7592179</v>
      </c>
      <c r="D14" s="36">
        <f t="shared" si="0"/>
        <v>163824</v>
      </c>
      <c r="E14" s="101">
        <f>D14*E5</f>
        <v>98294.399999999994</v>
      </c>
      <c r="F14" s="100">
        <f>D14*F5</f>
        <v>65529.600000000006</v>
      </c>
      <c r="G14" s="76">
        <v>306748</v>
      </c>
      <c r="H14" s="36">
        <f t="shared" si="1"/>
        <v>2496</v>
      </c>
      <c r="I14" s="76">
        <v>230370</v>
      </c>
      <c r="J14" s="36">
        <f t="shared" si="1"/>
        <v>7872</v>
      </c>
      <c r="K14" s="76">
        <v>280993</v>
      </c>
      <c r="L14" s="36">
        <f t="shared" si="1"/>
        <v>3840</v>
      </c>
      <c r="M14" s="76">
        <v>25836</v>
      </c>
      <c r="N14" s="36">
        <f t="shared" si="1"/>
        <v>0</v>
      </c>
      <c r="O14" s="76">
        <v>382333</v>
      </c>
      <c r="P14" s="36">
        <f t="shared" si="1"/>
        <v>10176</v>
      </c>
      <c r="Q14" s="76">
        <v>497696</v>
      </c>
      <c r="R14" s="36">
        <f t="shared" si="4"/>
        <v>4896</v>
      </c>
      <c r="S14" s="76">
        <v>800403</v>
      </c>
      <c r="T14" s="36">
        <f t="shared" si="5"/>
        <v>5616</v>
      </c>
      <c r="U14" s="80">
        <v>10126.914000000001</v>
      </c>
      <c r="V14" s="100">
        <f t="shared" si="6"/>
        <v>1184.7840000000433</v>
      </c>
      <c r="W14" s="76">
        <v>88717</v>
      </c>
      <c r="X14" s="36">
        <f t="shared" si="7"/>
        <v>720</v>
      </c>
      <c r="Y14" s="76">
        <v>1560324</v>
      </c>
      <c r="Z14" s="36">
        <f t="shared" si="8"/>
        <v>25392</v>
      </c>
      <c r="AA14" s="76">
        <v>14443</v>
      </c>
      <c r="AB14" s="36">
        <f t="shared" si="9"/>
        <v>144</v>
      </c>
      <c r="AC14" s="76">
        <v>533804</v>
      </c>
      <c r="AD14" s="36">
        <f t="shared" si="10"/>
        <v>9120</v>
      </c>
      <c r="AE14" s="76">
        <v>603129</v>
      </c>
      <c r="AF14" s="36">
        <f t="shared" si="11"/>
        <v>6720</v>
      </c>
      <c r="AG14" s="76">
        <v>49814</v>
      </c>
      <c r="AH14" s="36">
        <f t="shared" si="12"/>
        <v>0</v>
      </c>
      <c r="AI14" s="76">
        <v>472642</v>
      </c>
      <c r="AJ14" s="36">
        <f t="shared" si="13"/>
        <v>5808</v>
      </c>
      <c r="AK14" s="76">
        <v>103174</v>
      </c>
      <c r="AL14" s="36">
        <f t="shared" si="14"/>
        <v>624</v>
      </c>
      <c r="AM14" s="76">
        <v>638842</v>
      </c>
      <c r="AN14" s="36">
        <f t="shared" si="15"/>
        <v>7632</v>
      </c>
      <c r="AO14" s="76">
        <v>30684</v>
      </c>
      <c r="AP14" s="36">
        <f t="shared" si="16"/>
        <v>11616</v>
      </c>
      <c r="AQ14" s="76">
        <v>18338</v>
      </c>
      <c r="AR14" s="36">
        <f t="shared" si="17"/>
        <v>11280</v>
      </c>
      <c r="AS14" s="76">
        <v>2644</v>
      </c>
      <c r="AT14" s="36">
        <f t="shared" si="18"/>
        <v>576</v>
      </c>
      <c r="AU14" s="76">
        <v>946</v>
      </c>
      <c r="AV14" s="36">
        <f t="shared" si="19"/>
        <v>0</v>
      </c>
      <c r="AW14" s="76">
        <v>3110</v>
      </c>
      <c r="AX14" s="36">
        <f t="shared" si="20"/>
        <v>0</v>
      </c>
      <c r="AY14" s="76">
        <v>372860</v>
      </c>
      <c r="AZ14" s="36">
        <f t="shared" si="21"/>
        <v>5040</v>
      </c>
      <c r="BA14" s="75">
        <v>161101</v>
      </c>
      <c r="BB14" s="36">
        <f t="shared" si="22"/>
        <v>0</v>
      </c>
      <c r="BC14" s="76">
        <v>250753</v>
      </c>
      <c r="BD14" s="36">
        <f t="shared" si="23"/>
        <v>3072</v>
      </c>
      <c r="BE14" s="76">
        <v>5350</v>
      </c>
      <c r="BF14" s="36">
        <f t="shared" si="24"/>
        <v>0</v>
      </c>
      <c r="BH14" s="102">
        <f>SUM(E14,J14,P14,H14,L14,R14,T14,V14,X14,N14,AB14,Z14,AD14,AF14,AH14,AL14,AJ14)</f>
        <v>182903.18400000004</v>
      </c>
      <c r="BI14" s="102">
        <f t="shared" si="3"/>
        <v>104745.60000000001</v>
      </c>
    </row>
    <row r="15" spans="1:61" s="34" customFormat="1" ht="39.950000000000003" customHeight="1">
      <c r="A15" s="174">
        <f t="shared" si="27"/>
        <v>44964</v>
      </c>
      <c r="B15" s="33"/>
      <c r="C15" s="76">
        <v>7594913</v>
      </c>
      <c r="D15" s="36">
        <f t="shared" si="0"/>
        <v>131232</v>
      </c>
      <c r="E15" s="101">
        <f>D15*E5</f>
        <v>78739.199999999997</v>
      </c>
      <c r="F15" s="100">
        <f>D15*F5</f>
        <v>52492.800000000003</v>
      </c>
      <c r="G15" s="76">
        <v>306788</v>
      </c>
      <c r="H15" s="36">
        <f t="shared" si="1"/>
        <v>1920</v>
      </c>
      <c r="I15" s="76">
        <v>230538</v>
      </c>
      <c r="J15" s="36">
        <f t="shared" si="1"/>
        <v>8064</v>
      </c>
      <c r="K15" s="76">
        <v>281006</v>
      </c>
      <c r="L15" s="36">
        <f t="shared" si="1"/>
        <v>624</v>
      </c>
      <c r="M15" s="76">
        <v>25836</v>
      </c>
      <c r="N15" s="36">
        <f t="shared" si="1"/>
        <v>0</v>
      </c>
      <c r="O15" s="76">
        <v>382551</v>
      </c>
      <c r="P15" s="36">
        <f t="shared" si="1"/>
        <v>10464</v>
      </c>
      <c r="Q15" s="76">
        <v>497770</v>
      </c>
      <c r="R15" s="36">
        <f t="shared" si="4"/>
        <v>3552</v>
      </c>
      <c r="S15" s="76">
        <v>800630</v>
      </c>
      <c r="T15" s="36">
        <f t="shared" si="5"/>
        <v>10896</v>
      </c>
      <c r="U15" s="80">
        <v>10148.987999999999</v>
      </c>
      <c r="V15" s="100">
        <f t="shared" si="6"/>
        <v>1059.5519999999378</v>
      </c>
      <c r="W15" s="76">
        <v>88717</v>
      </c>
      <c r="X15" s="36">
        <f t="shared" si="7"/>
        <v>0</v>
      </c>
      <c r="Y15" s="76">
        <v>1560784</v>
      </c>
      <c r="Z15" s="36">
        <f t="shared" si="8"/>
        <v>22080</v>
      </c>
      <c r="AA15" s="76">
        <v>14443</v>
      </c>
      <c r="AB15" s="36">
        <f t="shared" si="9"/>
        <v>0</v>
      </c>
      <c r="AC15" s="76">
        <v>534018</v>
      </c>
      <c r="AD15" s="36">
        <f t="shared" si="10"/>
        <v>10272</v>
      </c>
      <c r="AE15" s="76">
        <v>603288</v>
      </c>
      <c r="AF15" s="36">
        <f t="shared" si="11"/>
        <v>7632</v>
      </c>
      <c r="AG15" s="76">
        <v>49814</v>
      </c>
      <c r="AH15" s="36">
        <f t="shared" si="12"/>
        <v>0</v>
      </c>
      <c r="AI15" s="76">
        <v>472771</v>
      </c>
      <c r="AJ15" s="36">
        <f t="shared" si="13"/>
        <v>6192</v>
      </c>
      <c r="AK15" s="76">
        <v>103188</v>
      </c>
      <c r="AL15" s="36">
        <f t="shared" si="14"/>
        <v>672</v>
      </c>
      <c r="AM15" s="76">
        <v>638987</v>
      </c>
      <c r="AN15" s="36">
        <f t="shared" si="15"/>
        <v>6960</v>
      </c>
      <c r="AO15" s="76">
        <v>30924</v>
      </c>
      <c r="AP15" s="36">
        <f t="shared" si="16"/>
        <v>11520</v>
      </c>
      <c r="AQ15" s="76">
        <v>18569</v>
      </c>
      <c r="AR15" s="36">
        <f t="shared" si="17"/>
        <v>11088</v>
      </c>
      <c r="AS15" s="76">
        <v>2647</v>
      </c>
      <c r="AT15" s="36">
        <f t="shared" si="18"/>
        <v>144</v>
      </c>
      <c r="AU15" s="76">
        <v>946</v>
      </c>
      <c r="AV15" s="36">
        <f t="shared" si="19"/>
        <v>0</v>
      </c>
      <c r="AW15" s="76">
        <v>3110</v>
      </c>
      <c r="AX15" s="36">
        <f t="shared" si="20"/>
        <v>0</v>
      </c>
      <c r="AY15" s="76">
        <v>372972</v>
      </c>
      <c r="AZ15" s="36">
        <f t="shared" si="21"/>
        <v>5376</v>
      </c>
      <c r="BA15" s="75">
        <v>161101</v>
      </c>
      <c r="BB15" s="36">
        <f t="shared" si="22"/>
        <v>0</v>
      </c>
      <c r="BC15" s="76">
        <v>250818</v>
      </c>
      <c r="BD15" s="36">
        <f t="shared" si="23"/>
        <v>3120</v>
      </c>
      <c r="BE15" s="76">
        <v>5350</v>
      </c>
      <c r="BF15" s="36">
        <f t="shared" si="24"/>
        <v>0</v>
      </c>
      <c r="BH15" s="102">
        <f t="shared" si="2"/>
        <v>162166.75199999992</v>
      </c>
      <c r="BI15" s="102">
        <f t="shared" si="3"/>
        <v>90700.800000000003</v>
      </c>
    </row>
    <row r="16" spans="1:61" s="34" customFormat="1" ht="39.950000000000003" customHeight="1">
      <c r="A16" s="174">
        <f t="shared" si="27"/>
        <v>44965</v>
      </c>
      <c r="B16" s="33"/>
      <c r="C16" s="76">
        <v>7598011</v>
      </c>
      <c r="D16" s="36">
        <f t="shared" si="0"/>
        <v>148704</v>
      </c>
      <c r="E16" s="101">
        <f>D16*E5</f>
        <v>89222.399999999994</v>
      </c>
      <c r="F16" s="100">
        <f>D16*F5</f>
        <v>59481.600000000006</v>
      </c>
      <c r="G16" s="76">
        <v>306831</v>
      </c>
      <c r="H16" s="36">
        <f t="shared" si="1"/>
        <v>2064</v>
      </c>
      <c r="I16" s="76">
        <v>230701</v>
      </c>
      <c r="J16" s="36">
        <f t="shared" si="1"/>
        <v>7824</v>
      </c>
      <c r="K16" s="76">
        <v>281033</v>
      </c>
      <c r="L16" s="36">
        <f t="shared" si="1"/>
        <v>1296</v>
      </c>
      <c r="M16" s="76">
        <v>25836</v>
      </c>
      <c r="N16" s="36">
        <f t="shared" si="1"/>
        <v>0</v>
      </c>
      <c r="O16" s="76">
        <v>382768</v>
      </c>
      <c r="P16" s="36">
        <f t="shared" si="1"/>
        <v>10416</v>
      </c>
      <c r="Q16" s="76">
        <v>497862</v>
      </c>
      <c r="R16" s="36">
        <f t="shared" si="4"/>
        <v>4416</v>
      </c>
      <c r="S16" s="76">
        <v>800646</v>
      </c>
      <c r="T16" s="36">
        <f t="shared" si="5"/>
        <v>768</v>
      </c>
      <c r="U16" s="80">
        <v>10170.954</v>
      </c>
      <c r="V16" s="100">
        <f t="shared" si="6"/>
        <v>1054.3680000000168</v>
      </c>
      <c r="W16" s="76">
        <v>88737</v>
      </c>
      <c r="X16" s="36">
        <f t="shared" si="7"/>
        <v>960</v>
      </c>
      <c r="Y16" s="76">
        <v>1561109</v>
      </c>
      <c r="Z16" s="36">
        <f t="shared" si="8"/>
        <v>15600</v>
      </c>
      <c r="AA16" s="76">
        <v>14443</v>
      </c>
      <c r="AB16" s="36">
        <f t="shared" si="9"/>
        <v>0</v>
      </c>
      <c r="AC16" s="80">
        <v>534238</v>
      </c>
      <c r="AD16" s="36">
        <f t="shared" si="10"/>
        <v>10560</v>
      </c>
      <c r="AE16" s="76">
        <v>603440</v>
      </c>
      <c r="AF16" s="36">
        <f t="shared" si="11"/>
        <v>7296</v>
      </c>
      <c r="AG16" s="76">
        <v>49814</v>
      </c>
      <c r="AH16" s="36">
        <f t="shared" si="12"/>
        <v>0</v>
      </c>
      <c r="AI16" s="76">
        <v>472901</v>
      </c>
      <c r="AJ16" s="36">
        <f t="shared" si="13"/>
        <v>6240</v>
      </c>
      <c r="AK16" s="76">
        <v>103200</v>
      </c>
      <c r="AL16" s="36">
        <f t="shared" si="14"/>
        <v>576</v>
      </c>
      <c r="AM16" s="76">
        <v>639101</v>
      </c>
      <c r="AN16" s="36">
        <f t="shared" si="15"/>
        <v>5472</v>
      </c>
      <c r="AO16" s="76">
        <v>31165</v>
      </c>
      <c r="AP16" s="36">
        <f t="shared" si="16"/>
        <v>11568</v>
      </c>
      <c r="AQ16" s="76">
        <v>18805</v>
      </c>
      <c r="AR16" s="36">
        <f t="shared" si="17"/>
        <v>11328</v>
      </c>
      <c r="AS16" s="76">
        <v>2651</v>
      </c>
      <c r="AT16" s="36">
        <f t="shared" si="18"/>
        <v>192</v>
      </c>
      <c r="AU16" s="76">
        <v>946</v>
      </c>
      <c r="AV16" s="36">
        <f t="shared" si="19"/>
        <v>0</v>
      </c>
      <c r="AW16" s="76">
        <v>3110</v>
      </c>
      <c r="AX16" s="36">
        <f t="shared" si="20"/>
        <v>0</v>
      </c>
      <c r="AY16" s="76">
        <v>373081</v>
      </c>
      <c r="AZ16" s="36">
        <f t="shared" si="21"/>
        <v>5232</v>
      </c>
      <c r="BA16" s="75">
        <v>161101</v>
      </c>
      <c r="BB16" s="36">
        <f t="shared" si="22"/>
        <v>0</v>
      </c>
      <c r="BC16" s="76">
        <v>250895</v>
      </c>
      <c r="BD16" s="36">
        <f t="shared" si="23"/>
        <v>3696</v>
      </c>
      <c r="BE16" s="76">
        <v>5350</v>
      </c>
      <c r="BF16" s="36">
        <f t="shared" si="24"/>
        <v>0</v>
      </c>
      <c r="BH16" s="102">
        <f t="shared" si="2"/>
        <v>158292.76800000001</v>
      </c>
      <c r="BI16" s="102">
        <f t="shared" si="3"/>
        <v>96969.600000000006</v>
      </c>
    </row>
    <row r="17" spans="1:61" s="34" customFormat="1" ht="39.950000000000003" customHeight="1">
      <c r="A17" s="174">
        <f t="shared" si="27"/>
        <v>44966</v>
      </c>
      <c r="B17" s="33"/>
      <c r="C17" s="76">
        <v>7600711</v>
      </c>
      <c r="D17" s="36">
        <f t="shared" si="0"/>
        <v>129600</v>
      </c>
      <c r="E17" s="101">
        <f>D17*E5</f>
        <v>77760</v>
      </c>
      <c r="F17" s="100">
        <f>D17*F5</f>
        <v>51840</v>
      </c>
      <c r="G17" s="76">
        <v>306869</v>
      </c>
      <c r="H17" s="36">
        <f t="shared" si="1"/>
        <v>1824</v>
      </c>
      <c r="I17" s="76">
        <v>230862</v>
      </c>
      <c r="J17" s="36">
        <f t="shared" si="1"/>
        <v>7728</v>
      </c>
      <c r="K17" s="76">
        <v>281070</v>
      </c>
      <c r="L17" s="36">
        <f t="shared" si="1"/>
        <v>1776</v>
      </c>
      <c r="M17" s="76">
        <v>25836</v>
      </c>
      <c r="N17" s="36">
        <f t="shared" si="1"/>
        <v>0</v>
      </c>
      <c r="O17" s="76">
        <v>382976</v>
      </c>
      <c r="P17" s="36">
        <f t="shared" si="1"/>
        <v>9984</v>
      </c>
      <c r="Q17" s="76">
        <v>497950</v>
      </c>
      <c r="R17" s="36">
        <f t="shared" si="4"/>
        <v>4224</v>
      </c>
      <c r="S17" s="76">
        <v>800794</v>
      </c>
      <c r="T17" s="36">
        <f t="shared" si="5"/>
        <v>7104</v>
      </c>
      <c r="U17" s="80">
        <v>10193.166999999999</v>
      </c>
      <c r="V17" s="100">
        <f t="shared" si="6"/>
        <v>1066.2239999999874</v>
      </c>
      <c r="W17" s="76">
        <v>88755</v>
      </c>
      <c r="X17" s="36">
        <f t="shared" si="7"/>
        <v>864</v>
      </c>
      <c r="Y17" s="76">
        <v>1561623</v>
      </c>
      <c r="Z17" s="36">
        <f t="shared" si="8"/>
        <v>24672</v>
      </c>
      <c r="AA17" s="76">
        <v>14446</v>
      </c>
      <c r="AB17" s="36">
        <f t="shared" si="9"/>
        <v>144</v>
      </c>
      <c r="AC17" s="80">
        <v>534426</v>
      </c>
      <c r="AD17" s="36">
        <f t="shared" si="10"/>
        <v>9024</v>
      </c>
      <c r="AE17" s="76">
        <v>603576</v>
      </c>
      <c r="AF17" s="36">
        <f t="shared" si="11"/>
        <v>6528</v>
      </c>
      <c r="AG17" s="76">
        <v>49814</v>
      </c>
      <c r="AH17" s="36">
        <f t="shared" si="12"/>
        <v>0</v>
      </c>
      <c r="AI17" s="76">
        <v>473017</v>
      </c>
      <c r="AJ17" s="36">
        <f t="shared" si="13"/>
        <v>5568</v>
      </c>
      <c r="AK17" s="76">
        <v>103212</v>
      </c>
      <c r="AL17" s="36">
        <f t="shared" si="14"/>
        <v>576</v>
      </c>
      <c r="AM17" s="76">
        <v>639239</v>
      </c>
      <c r="AN17" s="36">
        <f t="shared" si="15"/>
        <v>6624</v>
      </c>
      <c r="AO17" s="76">
        <v>31414</v>
      </c>
      <c r="AP17" s="36">
        <f t="shared" si="16"/>
        <v>11952</v>
      </c>
      <c r="AQ17" s="76">
        <v>19012</v>
      </c>
      <c r="AR17" s="36">
        <f t="shared" si="17"/>
        <v>9936</v>
      </c>
      <c r="AS17" s="76">
        <v>2654</v>
      </c>
      <c r="AT17" s="36">
        <f t="shared" si="18"/>
        <v>144</v>
      </c>
      <c r="AU17" s="76">
        <v>946</v>
      </c>
      <c r="AV17" s="36">
        <f t="shared" si="19"/>
        <v>0</v>
      </c>
      <c r="AW17" s="76">
        <v>3110</v>
      </c>
      <c r="AX17" s="36">
        <f t="shared" si="20"/>
        <v>0</v>
      </c>
      <c r="AY17" s="76">
        <v>373194</v>
      </c>
      <c r="AZ17" s="36">
        <f t="shared" si="21"/>
        <v>5424</v>
      </c>
      <c r="BA17" s="75">
        <v>161101</v>
      </c>
      <c r="BB17" s="36">
        <f t="shared" si="22"/>
        <v>0</v>
      </c>
      <c r="BC17" s="80">
        <v>250971</v>
      </c>
      <c r="BD17" s="36">
        <f t="shared" si="23"/>
        <v>3648</v>
      </c>
      <c r="BE17" s="76">
        <v>5350</v>
      </c>
      <c r="BF17" s="36">
        <f t="shared" si="24"/>
        <v>0</v>
      </c>
      <c r="BH17" s="102">
        <f>SUM(E17,J17,P17,H17,L17,R17,T17,V17,X17,N17,AB17,Z17,AD17,AF17,AH17,AL17,AJ17)</f>
        <v>158842.22399999999</v>
      </c>
      <c r="BI17" s="102">
        <f t="shared" si="3"/>
        <v>89568</v>
      </c>
    </row>
    <row r="18" spans="1:61" s="34" customFormat="1" ht="39.950000000000003" customHeight="1">
      <c r="A18" s="174">
        <f t="shared" si="27"/>
        <v>44967</v>
      </c>
      <c r="B18" s="33"/>
      <c r="C18" s="76">
        <v>7602868</v>
      </c>
      <c r="D18" s="36">
        <f t="shared" si="0"/>
        <v>103536</v>
      </c>
      <c r="E18" s="101">
        <f>D18*E5</f>
        <v>62121.599999999999</v>
      </c>
      <c r="F18" s="100">
        <f>D18*F5</f>
        <v>41414.400000000001</v>
      </c>
      <c r="G18" s="76">
        <v>306911</v>
      </c>
      <c r="H18" s="36">
        <f t="shared" si="1"/>
        <v>2016</v>
      </c>
      <c r="I18" s="76">
        <v>231022</v>
      </c>
      <c r="J18" s="36">
        <f t="shared" si="1"/>
        <v>7680</v>
      </c>
      <c r="K18" s="76">
        <v>281120</v>
      </c>
      <c r="L18" s="36">
        <f t="shared" si="1"/>
        <v>2400</v>
      </c>
      <c r="M18" s="76">
        <v>25836</v>
      </c>
      <c r="N18" s="36">
        <f t="shared" si="1"/>
        <v>0</v>
      </c>
      <c r="O18" s="76">
        <v>383177</v>
      </c>
      <c r="P18" s="36">
        <f t="shared" si="1"/>
        <v>9648</v>
      </c>
      <c r="Q18" s="76">
        <v>498038</v>
      </c>
      <c r="R18" s="36">
        <f t="shared" si="4"/>
        <v>4224</v>
      </c>
      <c r="S18" s="76">
        <v>800927</v>
      </c>
      <c r="T18" s="36">
        <f t="shared" si="5"/>
        <v>6384</v>
      </c>
      <c r="U18" s="80">
        <v>10215.117</v>
      </c>
      <c r="V18" s="100">
        <f t="shared" si="6"/>
        <v>1053.6000000000349</v>
      </c>
      <c r="W18" s="76">
        <v>88771</v>
      </c>
      <c r="X18" s="36">
        <f t="shared" si="7"/>
        <v>768</v>
      </c>
      <c r="Y18" s="76">
        <v>1562063</v>
      </c>
      <c r="Z18" s="36">
        <f t="shared" si="8"/>
        <v>21120</v>
      </c>
      <c r="AA18" s="76">
        <v>14447</v>
      </c>
      <c r="AB18" s="36">
        <f t="shared" si="9"/>
        <v>48</v>
      </c>
      <c r="AC18" s="76">
        <v>534567</v>
      </c>
      <c r="AD18" s="36">
        <f t="shared" si="10"/>
        <v>6768</v>
      </c>
      <c r="AE18" s="76">
        <v>603680</v>
      </c>
      <c r="AF18" s="36">
        <f t="shared" si="11"/>
        <v>4992</v>
      </c>
      <c r="AG18" s="76">
        <v>49814</v>
      </c>
      <c r="AH18" s="36">
        <f t="shared" si="12"/>
        <v>0</v>
      </c>
      <c r="AI18" s="76">
        <v>473104</v>
      </c>
      <c r="AJ18" s="36">
        <f t="shared" si="13"/>
        <v>4176</v>
      </c>
      <c r="AK18" s="76">
        <v>103227</v>
      </c>
      <c r="AL18" s="36">
        <f t="shared" si="14"/>
        <v>720</v>
      </c>
      <c r="AM18" s="76">
        <v>639394</v>
      </c>
      <c r="AN18" s="36">
        <f t="shared" si="15"/>
        <v>7440</v>
      </c>
      <c r="AO18" s="76">
        <v>31659</v>
      </c>
      <c r="AP18" s="36">
        <f t="shared" si="16"/>
        <v>11760</v>
      </c>
      <c r="AQ18" s="76">
        <v>19249</v>
      </c>
      <c r="AR18" s="36">
        <f t="shared" si="17"/>
        <v>11376</v>
      </c>
      <c r="AS18" s="76">
        <v>2658</v>
      </c>
      <c r="AT18" s="36">
        <f t="shared" si="18"/>
        <v>192</v>
      </c>
      <c r="AU18" s="76">
        <v>946</v>
      </c>
      <c r="AV18" s="36">
        <f t="shared" si="19"/>
        <v>0</v>
      </c>
      <c r="AW18" s="76">
        <v>3110</v>
      </c>
      <c r="AX18" s="36">
        <f t="shared" si="20"/>
        <v>0</v>
      </c>
      <c r="AY18" s="76">
        <v>373298</v>
      </c>
      <c r="AZ18" s="36">
        <f t="shared" si="21"/>
        <v>4992</v>
      </c>
      <c r="BA18" s="75">
        <v>161101</v>
      </c>
      <c r="BB18" s="36">
        <f t="shared" si="22"/>
        <v>0</v>
      </c>
      <c r="BC18" s="80">
        <v>251041</v>
      </c>
      <c r="BD18" s="36">
        <f t="shared" si="23"/>
        <v>3360</v>
      </c>
      <c r="BE18" s="76">
        <v>5350</v>
      </c>
      <c r="BF18" s="36">
        <f t="shared" si="24"/>
        <v>0</v>
      </c>
      <c r="BH18" s="102">
        <f t="shared" si="2"/>
        <v>134119.20000000004</v>
      </c>
      <c r="BI18" s="102">
        <f t="shared" si="3"/>
        <v>80534.399999999994</v>
      </c>
    </row>
    <row r="19" spans="1:61" s="34" customFormat="1" ht="39.950000000000003" customHeight="1">
      <c r="A19" s="174">
        <f t="shared" si="27"/>
        <v>44968</v>
      </c>
      <c r="B19" s="33"/>
      <c r="C19" s="76">
        <v>7605605</v>
      </c>
      <c r="D19" s="36">
        <f t="shared" si="0"/>
        <v>131376</v>
      </c>
      <c r="E19" s="101">
        <f>D19*E5</f>
        <v>78825.599999999991</v>
      </c>
      <c r="F19" s="100">
        <f>D19*F5</f>
        <v>52550.400000000001</v>
      </c>
      <c r="G19" s="76">
        <v>306969</v>
      </c>
      <c r="H19" s="36">
        <f t="shared" si="1"/>
        <v>2784</v>
      </c>
      <c r="I19" s="76">
        <v>231185</v>
      </c>
      <c r="J19" s="36">
        <f t="shared" si="1"/>
        <v>7824</v>
      </c>
      <c r="K19" s="76">
        <v>281172</v>
      </c>
      <c r="L19" s="36">
        <f t="shared" si="1"/>
        <v>2496</v>
      </c>
      <c r="M19" s="76">
        <v>25836</v>
      </c>
      <c r="N19" s="36">
        <f t="shared" si="1"/>
        <v>0</v>
      </c>
      <c r="O19" s="76">
        <v>383372</v>
      </c>
      <c r="P19" s="36">
        <f t="shared" si="1"/>
        <v>9360</v>
      </c>
      <c r="Q19" s="76">
        <v>498135</v>
      </c>
      <c r="R19" s="36">
        <f t="shared" si="4"/>
        <v>4656</v>
      </c>
      <c r="S19" s="76">
        <v>801064</v>
      </c>
      <c r="T19" s="36">
        <f t="shared" si="5"/>
        <v>6576</v>
      </c>
      <c r="U19" s="80">
        <v>10238</v>
      </c>
      <c r="V19" s="100">
        <f t="shared" si="6"/>
        <v>1098.3839999999909</v>
      </c>
      <c r="W19" s="76">
        <v>88788</v>
      </c>
      <c r="X19" s="36">
        <f t="shared" si="7"/>
        <v>816</v>
      </c>
      <c r="Y19" s="76">
        <v>1562413</v>
      </c>
      <c r="Z19" s="36">
        <f t="shared" si="8"/>
        <v>16800</v>
      </c>
      <c r="AA19" s="76">
        <v>14449</v>
      </c>
      <c r="AB19" s="36">
        <f t="shared" si="9"/>
        <v>96</v>
      </c>
      <c r="AC19" s="76">
        <v>534752</v>
      </c>
      <c r="AD19" s="36">
        <f t="shared" si="10"/>
        <v>8880</v>
      </c>
      <c r="AE19" s="76">
        <v>603814</v>
      </c>
      <c r="AF19" s="36">
        <f t="shared" si="11"/>
        <v>6432</v>
      </c>
      <c r="AG19" s="76">
        <v>49814</v>
      </c>
      <c r="AH19" s="36">
        <f t="shared" si="12"/>
        <v>0</v>
      </c>
      <c r="AI19" s="76">
        <v>473221</v>
      </c>
      <c r="AJ19" s="36">
        <f t="shared" si="13"/>
        <v>5616</v>
      </c>
      <c r="AK19" s="76">
        <v>103246</v>
      </c>
      <c r="AL19" s="36">
        <f t="shared" si="14"/>
        <v>912</v>
      </c>
      <c r="AM19" s="76">
        <v>639544</v>
      </c>
      <c r="AN19" s="36">
        <f t="shared" si="15"/>
        <v>7200</v>
      </c>
      <c r="AO19" s="76">
        <v>31892</v>
      </c>
      <c r="AP19" s="36">
        <f t="shared" si="16"/>
        <v>11184</v>
      </c>
      <c r="AQ19" s="76">
        <v>19439</v>
      </c>
      <c r="AR19" s="36">
        <f t="shared" si="17"/>
        <v>9120</v>
      </c>
      <c r="AS19" s="76">
        <v>2662</v>
      </c>
      <c r="AT19" s="36">
        <f t="shared" si="18"/>
        <v>192</v>
      </c>
      <c r="AU19" s="76">
        <v>946</v>
      </c>
      <c r="AV19" s="36">
        <f t="shared" si="19"/>
        <v>0</v>
      </c>
      <c r="AW19" s="76">
        <v>3110</v>
      </c>
      <c r="AX19" s="36">
        <f t="shared" si="20"/>
        <v>0</v>
      </c>
      <c r="AY19" s="76">
        <v>373401</v>
      </c>
      <c r="AZ19" s="36">
        <f t="shared" si="21"/>
        <v>4944</v>
      </c>
      <c r="BA19" s="76">
        <v>161101</v>
      </c>
      <c r="BB19" s="36">
        <f t="shared" si="22"/>
        <v>0</v>
      </c>
      <c r="BC19" s="80">
        <v>251112</v>
      </c>
      <c r="BD19" s="36">
        <f t="shared" si="23"/>
        <v>3408</v>
      </c>
      <c r="BE19" s="76">
        <v>5350</v>
      </c>
      <c r="BF19" s="36">
        <f t="shared" si="24"/>
        <v>0</v>
      </c>
      <c r="BH19" s="102">
        <f t="shared" si="2"/>
        <v>153171.984</v>
      </c>
      <c r="BI19" s="102">
        <f t="shared" si="3"/>
        <v>88598.399999999994</v>
      </c>
    </row>
    <row r="20" spans="1:61" s="34" customFormat="1" ht="39.950000000000003" customHeight="1">
      <c r="A20" s="174">
        <f t="shared" si="27"/>
        <v>44969</v>
      </c>
      <c r="B20" s="33"/>
      <c r="C20" s="76">
        <v>7608311</v>
      </c>
      <c r="D20" s="36">
        <f t="shared" si="0"/>
        <v>129888</v>
      </c>
      <c r="E20" s="101">
        <f>D20*E5</f>
        <v>77932.800000000003</v>
      </c>
      <c r="F20" s="100">
        <f>D20*F5</f>
        <v>51955.200000000004</v>
      </c>
      <c r="G20" s="76">
        <v>307031</v>
      </c>
      <c r="H20" s="36">
        <f t="shared" si="1"/>
        <v>2976</v>
      </c>
      <c r="I20" s="76">
        <v>231353</v>
      </c>
      <c r="J20" s="36">
        <f t="shared" si="1"/>
        <v>8064</v>
      </c>
      <c r="K20" s="76">
        <v>281250</v>
      </c>
      <c r="L20" s="36">
        <f t="shared" si="1"/>
        <v>3744</v>
      </c>
      <c r="M20" s="76">
        <v>25836</v>
      </c>
      <c r="N20" s="36">
        <f t="shared" si="1"/>
        <v>0</v>
      </c>
      <c r="O20" s="76">
        <v>383599</v>
      </c>
      <c r="P20" s="36">
        <f t="shared" si="1"/>
        <v>10896</v>
      </c>
      <c r="Q20" s="76">
        <v>498253</v>
      </c>
      <c r="R20" s="36">
        <f t="shared" si="4"/>
        <v>5664</v>
      </c>
      <c r="S20" s="76">
        <v>801182</v>
      </c>
      <c r="T20" s="36">
        <f t="shared" si="5"/>
        <v>5664</v>
      </c>
      <c r="U20" s="80">
        <v>10264</v>
      </c>
      <c r="V20" s="36">
        <f t="shared" si="6"/>
        <v>1248</v>
      </c>
      <c r="W20" s="76">
        <v>88806</v>
      </c>
      <c r="X20" s="36">
        <f t="shared" si="7"/>
        <v>864</v>
      </c>
      <c r="Y20" s="76">
        <v>1562909</v>
      </c>
      <c r="Z20" s="36">
        <f t="shared" si="8"/>
        <v>23808</v>
      </c>
      <c r="AA20" s="76">
        <v>14463</v>
      </c>
      <c r="AB20" s="36">
        <f t="shared" si="9"/>
        <v>672</v>
      </c>
      <c r="AC20" s="76">
        <v>534953</v>
      </c>
      <c r="AD20" s="36">
        <f t="shared" si="10"/>
        <v>9648</v>
      </c>
      <c r="AE20" s="76">
        <v>603952</v>
      </c>
      <c r="AF20" s="36">
        <f t="shared" si="11"/>
        <v>6624</v>
      </c>
      <c r="AG20" s="76">
        <v>49814</v>
      </c>
      <c r="AH20" s="36">
        <f t="shared" si="12"/>
        <v>0</v>
      </c>
      <c r="AI20" s="76">
        <v>473340</v>
      </c>
      <c r="AJ20" s="36">
        <f t="shared" si="13"/>
        <v>5712</v>
      </c>
      <c r="AK20" s="76">
        <v>103265</v>
      </c>
      <c r="AL20" s="36">
        <f t="shared" si="14"/>
        <v>912</v>
      </c>
      <c r="AM20" s="76">
        <v>639709</v>
      </c>
      <c r="AN20" s="36">
        <f t="shared" si="15"/>
        <v>7920</v>
      </c>
      <c r="AO20" s="76">
        <v>32145</v>
      </c>
      <c r="AP20" s="36">
        <f t="shared" si="16"/>
        <v>12144</v>
      </c>
      <c r="AQ20" s="76">
        <v>19628</v>
      </c>
      <c r="AR20" s="36">
        <f t="shared" si="17"/>
        <v>9072</v>
      </c>
      <c r="AS20" s="76">
        <v>2670</v>
      </c>
      <c r="AT20" s="36">
        <f t="shared" si="18"/>
        <v>384</v>
      </c>
      <c r="AU20" s="76">
        <v>946</v>
      </c>
      <c r="AV20" s="36">
        <f t="shared" si="19"/>
        <v>0</v>
      </c>
      <c r="AW20" s="76">
        <v>3110</v>
      </c>
      <c r="AX20" s="36">
        <f t="shared" si="20"/>
        <v>0</v>
      </c>
      <c r="AY20" s="76">
        <v>373511</v>
      </c>
      <c r="AZ20" s="36">
        <f t="shared" si="21"/>
        <v>5280</v>
      </c>
      <c r="BA20" s="76">
        <v>161101</v>
      </c>
      <c r="BB20" s="36">
        <f t="shared" si="22"/>
        <v>0</v>
      </c>
      <c r="BC20" s="80">
        <v>251187</v>
      </c>
      <c r="BD20" s="36">
        <f t="shared" si="23"/>
        <v>3600</v>
      </c>
      <c r="BE20" s="76">
        <v>5350</v>
      </c>
      <c r="BF20" s="36">
        <f t="shared" si="24"/>
        <v>0</v>
      </c>
      <c r="BH20" s="155">
        <f t="shared" si="2"/>
        <v>164428.79999999999</v>
      </c>
      <c r="BI20" s="155">
        <f t="shared" si="3"/>
        <v>90355.200000000012</v>
      </c>
    </row>
    <row r="21" spans="1:61" s="34" customFormat="1" ht="39.950000000000003" customHeight="1">
      <c r="A21" s="174">
        <f t="shared" si="27"/>
        <v>44970</v>
      </c>
      <c r="B21" s="33"/>
      <c r="C21" s="76">
        <v>7610826</v>
      </c>
      <c r="D21" s="36">
        <f t="shared" si="0"/>
        <v>120720</v>
      </c>
      <c r="E21" s="101">
        <f>D21*E5</f>
        <v>72432</v>
      </c>
      <c r="F21" s="100">
        <f>D21*F5</f>
        <v>48288</v>
      </c>
      <c r="G21" s="76">
        <v>307072</v>
      </c>
      <c r="H21" s="36">
        <f t="shared" si="1"/>
        <v>1968</v>
      </c>
      <c r="I21" s="76">
        <v>231524</v>
      </c>
      <c r="J21" s="36">
        <f t="shared" si="1"/>
        <v>8208</v>
      </c>
      <c r="K21" s="76">
        <v>281268</v>
      </c>
      <c r="L21" s="36">
        <f t="shared" si="1"/>
        <v>864</v>
      </c>
      <c r="M21" s="76">
        <v>25836</v>
      </c>
      <c r="N21" s="36">
        <f t="shared" si="1"/>
        <v>0</v>
      </c>
      <c r="O21" s="76">
        <v>383818</v>
      </c>
      <c r="P21" s="36">
        <f t="shared" si="1"/>
        <v>10512</v>
      </c>
      <c r="Q21" s="76">
        <v>498321</v>
      </c>
      <c r="R21" s="36">
        <f t="shared" si="4"/>
        <v>3264</v>
      </c>
      <c r="S21" s="76">
        <v>801322</v>
      </c>
      <c r="T21" s="36">
        <f t="shared" si="5"/>
        <v>6720</v>
      </c>
      <c r="U21" s="80">
        <v>10287</v>
      </c>
      <c r="V21" s="36">
        <f t="shared" si="6"/>
        <v>1104</v>
      </c>
      <c r="W21" s="76">
        <v>88824</v>
      </c>
      <c r="X21" s="36">
        <f t="shared" si="7"/>
        <v>864</v>
      </c>
      <c r="Y21" s="76">
        <v>1563318</v>
      </c>
      <c r="Z21" s="36">
        <f t="shared" si="8"/>
        <v>19632</v>
      </c>
      <c r="AA21" s="76">
        <v>14466</v>
      </c>
      <c r="AB21" s="36">
        <f t="shared" si="9"/>
        <v>144</v>
      </c>
      <c r="AC21" s="75">
        <v>535148</v>
      </c>
      <c r="AD21" s="36">
        <f t="shared" si="10"/>
        <v>9360</v>
      </c>
      <c r="AE21" s="75">
        <v>604088</v>
      </c>
      <c r="AF21" s="36">
        <f t="shared" si="11"/>
        <v>6528</v>
      </c>
      <c r="AG21" s="76">
        <v>49814</v>
      </c>
      <c r="AH21" s="36">
        <f t="shared" si="12"/>
        <v>0</v>
      </c>
      <c r="AI21" s="75">
        <v>473455</v>
      </c>
      <c r="AJ21" s="36">
        <f t="shared" si="13"/>
        <v>5520</v>
      </c>
      <c r="AK21" s="76">
        <v>103275</v>
      </c>
      <c r="AL21" s="36">
        <f t="shared" si="14"/>
        <v>480</v>
      </c>
      <c r="AM21" s="76">
        <v>639864</v>
      </c>
      <c r="AN21" s="36">
        <f t="shared" si="15"/>
        <v>7440</v>
      </c>
      <c r="AO21" s="76">
        <v>32379</v>
      </c>
      <c r="AP21" s="36">
        <f t="shared" si="16"/>
        <v>11232</v>
      </c>
      <c r="AQ21" s="76">
        <v>19827</v>
      </c>
      <c r="AR21" s="36">
        <f t="shared" si="17"/>
        <v>9552</v>
      </c>
      <c r="AS21" s="76">
        <v>2679</v>
      </c>
      <c r="AT21" s="36">
        <f t="shared" si="18"/>
        <v>432</v>
      </c>
      <c r="AU21" s="76">
        <v>946</v>
      </c>
      <c r="AV21" s="36">
        <f t="shared" si="19"/>
        <v>0</v>
      </c>
      <c r="AW21" s="76">
        <v>3110</v>
      </c>
      <c r="AX21" s="36">
        <f t="shared" si="20"/>
        <v>0</v>
      </c>
      <c r="AY21" s="76">
        <v>373613</v>
      </c>
      <c r="AZ21" s="36">
        <f t="shared" si="21"/>
        <v>4896</v>
      </c>
      <c r="BA21" s="76">
        <v>161101</v>
      </c>
      <c r="BB21" s="36">
        <f t="shared" si="22"/>
        <v>0</v>
      </c>
      <c r="BC21" s="80">
        <v>251250</v>
      </c>
      <c r="BD21" s="36">
        <f t="shared" si="23"/>
        <v>3024</v>
      </c>
      <c r="BE21" s="76">
        <v>5350</v>
      </c>
      <c r="BF21" s="36">
        <f t="shared" si="24"/>
        <v>0</v>
      </c>
      <c r="BH21" s="155">
        <f t="shared" si="2"/>
        <v>147600</v>
      </c>
      <c r="BI21" s="155">
        <f t="shared" si="3"/>
        <v>84864</v>
      </c>
    </row>
    <row r="22" spans="1:61" s="34" customFormat="1" ht="39.950000000000003" customHeight="1">
      <c r="A22" s="174">
        <f t="shared" si="27"/>
        <v>44971</v>
      </c>
      <c r="B22" s="33"/>
      <c r="C22" s="76">
        <v>7613520</v>
      </c>
      <c r="D22" s="36">
        <f t="shared" si="0"/>
        <v>129312</v>
      </c>
      <c r="E22" s="101">
        <f>D22*E5</f>
        <v>77587.199999999997</v>
      </c>
      <c r="F22" s="100">
        <f>D22*F5</f>
        <v>51724.800000000003</v>
      </c>
      <c r="G22" s="76">
        <v>307116</v>
      </c>
      <c r="H22" s="36">
        <f t="shared" si="1"/>
        <v>2112</v>
      </c>
      <c r="I22" s="76">
        <v>231685</v>
      </c>
      <c r="J22" s="36">
        <f t="shared" si="1"/>
        <v>7728</v>
      </c>
      <c r="K22" s="76">
        <v>281298</v>
      </c>
      <c r="L22" s="36">
        <f t="shared" si="1"/>
        <v>1440</v>
      </c>
      <c r="M22" s="76">
        <v>25836</v>
      </c>
      <c r="N22" s="36">
        <f t="shared" si="1"/>
        <v>0</v>
      </c>
      <c r="O22" s="76">
        <v>384010</v>
      </c>
      <c r="P22" s="36">
        <f t="shared" si="1"/>
        <v>9216</v>
      </c>
      <c r="Q22" s="76">
        <v>498408</v>
      </c>
      <c r="R22" s="36">
        <f t="shared" si="4"/>
        <v>4176</v>
      </c>
      <c r="S22" s="76">
        <v>801473</v>
      </c>
      <c r="T22" s="36">
        <f t="shared" si="5"/>
        <v>7248</v>
      </c>
      <c r="U22" s="80">
        <v>10311</v>
      </c>
      <c r="V22" s="36">
        <f t="shared" si="6"/>
        <v>1152</v>
      </c>
      <c r="W22" s="76">
        <v>88824</v>
      </c>
      <c r="X22" s="36">
        <f t="shared" si="7"/>
        <v>0</v>
      </c>
      <c r="Y22" s="76">
        <v>1563627</v>
      </c>
      <c r="Z22" s="36">
        <f t="shared" si="8"/>
        <v>14832</v>
      </c>
      <c r="AA22" s="76">
        <v>14466</v>
      </c>
      <c r="AB22" s="36">
        <f t="shared" si="9"/>
        <v>0</v>
      </c>
      <c r="AC22" s="76">
        <v>535338</v>
      </c>
      <c r="AD22" s="36">
        <f t="shared" si="10"/>
        <v>9120</v>
      </c>
      <c r="AE22" s="76">
        <v>604222</v>
      </c>
      <c r="AF22" s="36">
        <f t="shared" si="11"/>
        <v>6432</v>
      </c>
      <c r="AG22" s="76">
        <v>49814</v>
      </c>
      <c r="AH22" s="36">
        <f t="shared" si="12"/>
        <v>0</v>
      </c>
      <c r="AI22" s="76">
        <v>473572</v>
      </c>
      <c r="AJ22" s="36">
        <f t="shared" si="13"/>
        <v>5616</v>
      </c>
      <c r="AK22" s="76">
        <v>103284</v>
      </c>
      <c r="AL22" s="36">
        <f t="shared" si="14"/>
        <v>432</v>
      </c>
      <c r="AM22" s="75">
        <v>640012</v>
      </c>
      <c r="AN22" s="36">
        <f t="shared" si="15"/>
        <v>7104</v>
      </c>
      <c r="AO22" s="75">
        <v>32603</v>
      </c>
      <c r="AP22" s="36">
        <f t="shared" si="16"/>
        <v>10752</v>
      </c>
      <c r="AQ22" s="76">
        <v>20024</v>
      </c>
      <c r="AR22" s="36">
        <f t="shared" si="17"/>
        <v>9456</v>
      </c>
      <c r="AS22" s="76">
        <v>2680</v>
      </c>
      <c r="AT22" s="36">
        <f t="shared" si="18"/>
        <v>48</v>
      </c>
      <c r="AU22" s="76">
        <v>946</v>
      </c>
      <c r="AV22" s="36">
        <f t="shared" si="19"/>
        <v>0</v>
      </c>
      <c r="AW22" s="76">
        <v>3110</v>
      </c>
      <c r="AX22" s="36">
        <f t="shared" si="20"/>
        <v>0</v>
      </c>
      <c r="AY22" s="76">
        <v>373721</v>
      </c>
      <c r="AZ22" s="36">
        <f t="shared" si="21"/>
        <v>5184</v>
      </c>
      <c r="BA22" s="76">
        <v>161101</v>
      </c>
      <c r="BB22" s="36">
        <f t="shared" si="22"/>
        <v>0</v>
      </c>
      <c r="BC22" s="76">
        <v>251316</v>
      </c>
      <c r="BD22" s="36">
        <f t="shared" si="23"/>
        <v>3168</v>
      </c>
      <c r="BE22" s="76">
        <v>5350</v>
      </c>
      <c r="BF22" s="36">
        <f t="shared" si="24"/>
        <v>0</v>
      </c>
      <c r="BH22" s="155">
        <f t="shared" si="2"/>
        <v>147091.20000000001</v>
      </c>
      <c r="BI22" s="155">
        <f t="shared" si="3"/>
        <v>87436.800000000003</v>
      </c>
    </row>
    <row r="23" spans="1:61" s="34" customFormat="1" ht="39.950000000000003" customHeight="1">
      <c r="A23" s="174">
        <f t="shared" si="27"/>
        <v>44972</v>
      </c>
      <c r="B23" s="33"/>
      <c r="C23" s="76">
        <v>7616958</v>
      </c>
      <c r="D23" s="36">
        <f t="shared" si="0"/>
        <v>165024</v>
      </c>
      <c r="E23" s="101">
        <f>D23*E5</f>
        <v>99014.399999999994</v>
      </c>
      <c r="F23" s="100">
        <f>D23*F5</f>
        <v>66009.600000000006</v>
      </c>
      <c r="G23" s="76">
        <v>307147</v>
      </c>
      <c r="H23" s="36">
        <f t="shared" si="1"/>
        <v>1488</v>
      </c>
      <c r="I23" s="76">
        <v>231858</v>
      </c>
      <c r="J23" s="36">
        <f t="shared" si="1"/>
        <v>8304</v>
      </c>
      <c r="K23" s="76">
        <v>281328</v>
      </c>
      <c r="L23" s="36">
        <f t="shared" si="1"/>
        <v>1440</v>
      </c>
      <c r="M23" s="76">
        <v>25836</v>
      </c>
      <c r="N23" s="36">
        <f t="shared" si="1"/>
        <v>0</v>
      </c>
      <c r="O23" s="76">
        <v>384196</v>
      </c>
      <c r="P23" s="36">
        <f t="shared" si="1"/>
        <v>8928</v>
      </c>
      <c r="Q23" s="76">
        <v>498502</v>
      </c>
      <c r="R23" s="36">
        <f t="shared" si="4"/>
        <v>4512</v>
      </c>
      <c r="S23" s="76">
        <v>801628</v>
      </c>
      <c r="T23" s="36">
        <f t="shared" si="5"/>
        <v>7440</v>
      </c>
      <c r="U23" s="80">
        <v>10335</v>
      </c>
      <c r="V23" s="36">
        <f t="shared" si="6"/>
        <v>1152</v>
      </c>
      <c r="W23" s="76">
        <v>88841</v>
      </c>
      <c r="X23" s="36">
        <f t="shared" si="7"/>
        <v>816</v>
      </c>
      <c r="Y23" s="76">
        <v>1564084</v>
      </c>
      <c r="Z23" s="36">
        <f t="shared" si="8"/>
        <v>21936</v>
      </c>
      <c r="AA23" s="76">
        <v>14470</v>
      </c>
      <c r="AB23" s="36">
        <f t="shared" si="9"/>
        <v>192</v>
      </c>
      <c r="AC23" s="76">
        <v>535466</v>
      </c>
      <c r="AD23" s="36">
        <f t="shared" si="10"/>
        <v>6144</v>
      </c>
      <c r="AE23" s="76">
        <v>604288</v>
      </c>
      <c r="AF23" s="36">
        <f t="shared" si="11"/>
        <v>3168</v>
      </c>
      <c r="AG23" s="76">
        <v>49814</v>
      </c>
      <c r="AH23" s="36">
        <f t="shared" si="12"/>
        <v>0</v>
      </c>
      <c r="AI23" s="195">
        <v>473680</v>
      </c>
      <c r="AJ23" s="36">
        <f t="shared" si="13"/>
        <v>5184</v>
      </c>
      <c r="AK23" s="195">
        <v>103291</v>
      </c>
      <c r="AL23" s="36">
        <f t="shared" si="14"/>
        <v>336</v>
      </c>
      <c r="AM23" s="76">
        <v>640113</v>
      </c>
      <c r="AN23" s="36">
        <f t="shared" si="15"/>
        <v>4848</v>
      </c>
      <c r="AO23" s="76">
        <v>32719</v>
      </c>
      <c r="AP23" s="36">
        <f t="shared" si="16"/>
        <v>5568</v>
      </c>
      <c r="AQ23" s="76">
        <v>20290</v>
      </c>
      <c r="AR23" s="36">
        <f t="shared" si="17"/>
        <v>12768</v>
      </c>
      <c r="AS23" s="76">
        <v>2686</v>
      </c>
      <c r="AT23" s="36">
        <f t="shared" si="18"/>
        <v>288</v>
      </c>
      <c r="AU23" s="76">
        <v>946</v>
      </c>
      <c r="AV23" s="36">
        <f t="shared" si="19"/>
        <v>0</v>
      </c>
      <c r="AW23" s="76">
        <v>3110</v>
      </c>
      <c r="AX23" s="36">
        <f t="shared" si="20"/>
        <v>0</v>
      </c>
      <c r="AY23" s="76">
        <v>373820</v>
      </c>
      <c r="AZ23" s="36">
        <f t="shared" si="21"/>
        <v>4752</v>
      </c>
      <c r="BA23" s="76">
        <v>161101</v>
      </c>
      <c r="BB23" s="36">
        <f t="shared" si="22"/>
        <v>0</v>
      </c>
      <c r="BC23" s="76">
        <v>251386</v>
      </c>
      <c r="BD23" s="36">
        <f t="shared" si="23"/>
        <v>3360</v>
      </c>
      <c r="BE23" s="76">
        <v>5350</v>
      </c>
      <c r="BF23" s="36">
        <f t="shared" si="24"/>
        <v>0</v>
      </c>
      <c r="BH23" s="155">
        <f t="shared" si="2"/>
        <v>170054.39999999999</v>
      </c>
      <c r="BI23" s="155">
        <f t="shared" si="3"/>
        <v>97593.600000000006</v>
      </c>
    </row>
    <row r="24" spans="1:61" s="34" customFormat="1" ht="39.950000000000003" customHeight="1">
      <c r="A24" s="174">
        <f t="shared" si="27"/>
        <v>44973</v>
      </c>
      <c r="B24" s="33"/>
      <c r="C24" s="76">
        <v>7620823</v>
      </c>
      <c r="D24" s="36">
        <f t="shared" si="0"/>
        <v>185520</v>
      </c>
      <c r="E24" s="101">
        <f>D24*E5</f>
        <v>111312</v>
      </c>
      <c r="F24" s="100">
        <f>D24*F5</f>
        <v>74208</v>
      </c>
      <c r="G24" s="76">
        <v>307191</v>
      </c>
      <c r="H24" s="36">
        <f t="shared" si="1"/>
        <v>2112</v>
      </c>
      <c r="I24" s="76">
        <v>232020</v>
      </c>
      <c r="J24" s="36">
        <f t="shared" si="1"/>
        <v>7776</v>
      </c>
      <c r="K24" s="76">
        <v>281355</v>
      </c>
      <c r="L24" s="36">
        <f t="shared" si="1"/>
        <v>1296</v>
      </c>
      <c r="M24" s="76">
        <v>25836</v>
      </c>
      <c r="N24" s="36">
        <f t="shared" si="1"/>
        <v>0</v>
      </c>
      <c r="O24" s="76">
        <v>384401</v>
      </c>
      <c r="P24" s="36">
        <f t="shared" si="1"/>
        <v>9840</v>
      </c>
      <c r="Q24" s="76">
        <v>498593</v>
      </c>
      <c r="R24" s="36">
        <f t="shared" si="4"/>
        <v>4368</v>
      </c>
      <c r="S24" s="76">
        <v>801765</v>
      </c>
      <c r="T24" s="36">
        <f t="shared" si="5"/>
        <v>6576</v>
      </c>
      <c r="U24" s="80">
        <v>10358</v>
      </c>
      <c r="V24" s="36">
        <f t="shared" si="6"/>
        <v>1104</v>
      </c>
      <c r="W24" s="76">
        <v>88859</v>
      </c>
      <c r="X24" s="36">
        <f t="shared" si="7"/>
        <v>864</v>
      </c>
      <c r="Y24" s="76">
        <v>1564595</v>
      </c>
      <c r="Z24" s="36">
        <f t="shared" si="8"/>
        <v>24528</v>
      </c>
      <c r="AA24" s="76">
        <v>14473</v>
      </c>
      <c r="AB24" s="36">
        <f t="shared" si="9"/>
        <v>144</v>
      </c>
      <c r="AC24" s="76">
        <v>535562</v>
      </c>
      <c r="AD24" s="36">
        <f t="shared" si="10"/>
        <v>4608</v>
      </c>
      <c r="AE24" s="76">
        <v>604317</v>
      </c>
      <c r="AF24" s="36">
        <f t="shared" si="11"/>
        <v>1392</v>
      </c>
      <c r="AG24" s="76">
        <v>49814</v>
      </c>
      <c r="AH24" s="36">
        <f t="shared" si="12"/>
        <v>0</v>
      </c>
      <c r="AI24" s="195">
        <v>473792</v>
      </c>
      <c r="AJ24" s="36">
        <f t="shared" si="13"/>
        <v>5376</v>
      </c>
      <c r="AK24" s="195">
        <v>103299</v>
      </c>
      <c r="AL24" s="36">
        <f t="shared" si="14"/>
        <v>384</v>
      </c>
      <c r="AM24" s="76">
        <v>640199</v>
      </c>
      <c r="AN24" s="36">
        <f t="shared" si="15"/>
        <v>4128</v>
      </c>
      <c r="AO24" s="76">
        <v>32768</v>
      </c>
      <c r="AP24" s="36">
        <f t="shared" si="16"/>
        <v>2352</v>
      </c>
      <c r="AQ24" s="76">
        <v>20526</v>
      </c>
      <c r="AR24" s="36">
        <f t="shared" si="17"/>
        <v>11328</v>
      </c>
      <c r="AS24" s="76">
        <v>2691</v>
      </c>
      <c r="AT24" s="36">
        <f t="shared" si="18"/>
        <v>240</v>
      </c>
      <c r="AU24" s="76">
        <v>946</v>
      </c>
      <c r="AV24" s="36">
        <f t="shared" si="19"/>
        <v>0</v>
      </c>
      <c r="AW24" s="76">
        <v>3110</v>
      </c>
      <c r="AX24" s="36">
        <f t="shared" si="20"/>
        <v>0</v>
      </c>
      <c r="AY24" s="76">
        <v>373925</v>
      </c>
      <c r="AZ24" s="36">
        <f t="shared" si="21"/>
        <v>5040</v>
      </c>
      <c r="BA24" s="76">
        <v>161101</v>
      </c>
      <c r="BB24" s="36">
        <f t="shared" si="22"/>
        <v>0</v>
      </c>
      <c r="BC24" s="76">
        <v>251451</v>
      </c>
      <c r="BD24" s="36">
        <f t="shared" si="23"/>
        <v>3120</v>
      </c>
      <c r="BE24" s="76">
        <v>5350</v>
      </c>
      <c r="BF24" s="36">
        <f t="shared" si="24"/>
        <v>0</v>
      </c>
      <c r="BH24" s="102">
        <f t="shared" si="2"/>
        <v>181680</v>
      </c>
      <c r="BI24" s="102">
        <f t="shared" si="3"/>
        <v>100416</v>
      </c>
    </row>
    <row r="25" spans="1:61" s="34" customFormat="1" ht="39.950000000000003" customHeight="1">
      <c r="A25" s="174">
        <f t="shared" si="27"/>
        <v>44974</v>
      </c>
      <c r="B25" s="33"/>
      <c r="C25" s="76">
        <v>7624622</v>
      </c>
      <c r="D25" s="36">
        <f t="shared" si="0"/>
        <v>182352</v>
      </c>
      <c r="E25" s="101">
        <f>D25*E5</f>
        <v>109411.2</v>
      </c>
      <c r="F25" s="100">
        <f>D25*F5</f>
        <v>72940.800000000003</v>
      </c>
      <c r="G25" s="76">
        <v>307232</v>
      </c>
      <c r="H25" s="36">
        <f t="shared" si="1"/>
        <v>1968</v>
      </c>
      <c r="I25" s="76">
        <v>232188</v>
      </c>
      <c r="J25" s="36">
        <f t="shared" si="1"/>
        <v>8064</v>
      </c>
      <c r="K25" s="76">
        <v>281373</v>
      </c>
      <c r="L25" s="36">
        <f t="shared" si="1"/>
        <v>864</v>
      </c>
      <c r="M25" s="76">
        <v>25836</v>
      </c>
      <c r="N25" s="36">
        <f t="shared" si="1"/>
        <v>0</v>
      </c>
      <c r="O25" s="76">
        <v>384600</v>
      </c>
      <c r="P25" s="36">
        <f t="shared" si="1"/>
        <v>9552</v>
      </c>
      <c r="Q25" s="76">
        <v>498692</v>
      </c>
      <c r="R25" s="36">
        <f t="shared" si="4"/>
        <v>4752</v>
      </c>
      <c r="S25" s="76">
        <v>801892</v>
      </c>
      <c r="T25" s="36">
        <f t="shared" si="5"/>
        <v>6096</v>
      </c>
      <c r="U25" s="80">
        <v>10382</v>
      </c>
      <c r="V25" s="36">
        <f t="shared" si="6"/>
        <v>1152</v>
      </c>
      <c r="W25" s="76">
        <v>88876</v>
      </c>
      <c r="X25" s="36">
        <f t="shared" si="7"/>
        <v>816</v>
      </c>
      <c r="Y25" s="76">
        <v>1565107</v>
      </c>
      <c r="Z25" s="36">
        <f t="shared" si="8"/>
        <v>24576</v>
      </c>
      <c r="AA25" s="76">
        <v>14480</v>
      </c>
      <c r="AB25" s="36">
        <f t="shared" si="9"/>
        <v>336</v>
      </c>
      <c r="AC25" s="76">
        <v>535669</v>
      </c>
      <c r="AD25" s="36">
        <f t="shared" si="10"/>
        <v>5136</v>
      </c>
      <c r="AE25" s="76">
        <v>604362</v>
      </c>
      <c r="AF25" s="36">
        <f t="shared" si="11"/>
        <v>2160</v>
      </c>
      <c r="AG25" s="76">
        <v>49814</v>
      </c>
      <c r="AH25" s="36">
        <f t="shared" si="12"/>
        <v>0</v>
      </c>
      <c r="AI25" s="195">
        <v>473905</v>
      </c>
      <c r="AJ25" s="36">
        <f t="shared" si="13"/>
        <v>5424</v>
      </c>
      <c r="AK25" s="195">
        <v>103311</v>
      </c>
      <c r="AL25" s="36">
        <f t="shared" si="14"/>
        <v>576</v>
      </c>
      <c r="AM25" s="76">
        <v>640299</v>
      </c>
      <c r="AN25" s="36">
        <f t="shared" si="15"/>
        <v>4800</v>
      </c>
      <c r="AO25" s="76">
        <v>32834</v>
      </c>
      <c r="AP25" s="36">
        <f t="shared" si="16"/>
        <v>3168</v>
      </c>
      <c r="AQ25" s="76">
        <v>20759</v>
      </c>
      <c r="AR25" s="36">
        <f t="shared" si="17"/>
        <v>11184</v>
      </c>
      <c r="AS25" s="76">
        <v>2695</v>
      </c>
      <c r="AT25" s="36">
        <f t="shared" si="18"/>
        <v>192</v>
      </c>
      <c r="AU25" s="76">
        <v>946</v>
      </c>
      <c r="AV25" s="36">
        <f t="shared" si="19"/>
        <v>0</v>
      </c>
      <c r="AW25" s="76">
        <v>3110</v>
      </c>
      <c r="AX25" s="36">
        <f t="shared" si="20"/>
        <v>0</v>
      </c>
      <c r="AY25" s="76">
        <v>374031</v>
      </c>
      <c r="AZ25" s="36">
        <f t="shared" si="21"/>
        <v>5088</v>
      </c>
      <c r="BA25" s="76">
        <v>161101</v>
      </c>
      <c r="BB25" s="36">
        <f t="shared" si="22"/>
        <v>0</v>
      </c>
      <c r="BC25" s="76">
        <v>251522</v>
      </c>
      <c r="BD25" s="36">
        <f t="shared" si="23"/>
        <v>3408</v>
      </c>
      <c r="BE25" s="76">
        <v>5350</v>
      </c>
      <c r="BF25" s="36">
        <f t="shared" si="24"/>
        <v>0</v>
      </c>
      <c r="BH25" s="102">
        <f t="shared" si="2"/>
        <v>180883.20000000001</v>
      </c>
      <c r="BI25" s="102">
        <f t="shared" si="3"/>
        <v>100780.8</v>
      </c>
    </row>
    <row r="26" spans="1:61" s="34" customFormat="1" ht="39.950000000000003" customHeight="1">
      <c r="A26" s="174">
        <f t="shared" si="27"/>
        <v>44975</v>
      </c>
      <c r="B26" s="33"/>
      <c r="C26" s="76">
        <v>7627956</v>
      </c>
      <c r="D26" s="36">
        <f t="shared" si="0"/>
        <v>160032</v>
      </c>
      <c r="E26" s="101">
        <f>D26*E5</f>
        <v>96019.199999999997</v>
      </c>
      <c r="F26" s="100">
        <f>D26*F5</f>
        <v>64012.800000000003</v>
      </c>
      <c r="G26" s="76">
        <v>307286</v>
      </c>
      <c r="H26" s="36">
        <f t="shared" si="1"/>
        <v>2592</v>
      </c>
      <c r="I26" s="76">
        <v>232355</v>
      </c>
      <c r="J26" s="36">
        <f t="shared" si="1"/>
        <v>8016</v>
      </c>
      <c r="K26" s="76">
        <v>281440</v>
      </c>
      <c r="L26" s="36">
        <f t="shared" si="1"/>
        <v>3216</v>
      </c>
      <c r="M26" s="76">
        <v>25836</v>
      </c>
      <c r="N26" s="36">
        <f t="shared" si="1"/>
        <v>0</v>
      </c>
      <c r="O26" s="76">
        <v>384799</v>
      </c>
      <c r="P26" s="36">
        <f t="shared" si="1"/>
        <v>9552</v>
      </c>
      <c r="Q26" s="76">
        <v>498801</v>
      </c>
      <c r="R26" s="36">
        <f t="shared" si="4"/>
        <v>5232</v>
      </c>
      <c r="S26" s="76">
        <v>802034</v>
      </c>
      <c r="T26" s="36">
        <f t="shared" si="5"/>
        <v>6816</v>
      </c>
      <c r="U26" s="80">
        <v>10405</v>
      </c>
      <c r="V26" s="100">
        <f t="shared" si="6"/>
        <v>1104</v>
      </c>
      <c r="W26" s="76">
        <v>88883</v>
      </c>
      <c r="X26" s="36">
        <f t="shared" si="7"/>
        <v>336</v>
      </c>
      <c r="Y26" s="76">
        <v>1565549</v>
      </c>
      <c r="Z26" s="36">
        <f t="shared" si="8"/>
        <v>21216</v>
      </c>
      <c r="AA26" s="76">
        <v>14483</v>
      </c>
      <c r="AB26" s="36">
        <f t="shared" si="9"/>
        <v>144</v>
      </c>
      <c r="AC26" s="76">
        <v>535829</v>
      </c>
      <c r="AD26" s="36">
        <f t="shared" si="10"/>
        <v>7680</v>
      </c>
      <c r="AE26" s="76">
        <v>604463</v>
      </c>
      <c r="AF26" s="36">
        <f t="shared" si="11"/>
        <v>4848</v>
      </c>
      <c r="AG26" s="76">
        <v>49814</v>
      </c>
      <c r="AH26" s="36">
        <f t="shared" si="12"/>
        <v>0</v>
      </c>
      <c r="AI26" s="76">
        <v>474025</v>
      </c>
      <c r="AJ26" s="36">
        <f t="shared" si="13"/>
        <v>5760</v>
      </c>
      <c r="AK26" s="76">
        <v>103321</v>
      </c>
      <c r="AL26" s="36">
        <f t="shared" si="14"/>
        <v>480</v>
      </c>
      <c r="AM26" s="76">
        <v>640435</v>
      </c>
      <c r="AN26" s="36">
        <f t="shared" si="15"/>
        <v>6528</v>
      </c>
      <c r="AO26" s="195">
        <v>32970</v>
      </c>
      <c r="AP26" s="36">
        <f t="shared" si="16"/>
        <v>6528</v>
      </c>
      <c r="AQ26" s="76">
        <v>20988</v>
      </c>
      <c r="AR26" s="36">
        <f t="shared" si="17"/>
        <v>10992</v>
      </c>
      <c r="AS26" s="195">
        <v>2701</v>
      </c>
      <c r="AT26" s="36">
        <f t="shared" si="18"/>
        <v>288</v>
      </c>
      <c r="AU26" s="76">
        <v>946</v>
      </c>
      <c r="AV26" s="36">
        <f t="shared" si="19"/>
        <v>0</v>
      </c>
      <c r="AW26" s="76">
        <v>3110</v>
      </c>
      <c r="AX26" s="36">
        <f t="shared" si="20"/>
        <v>0</v>
      </c>
      <c r="AY26" s="76">
        <v>374144</v>
      </c>
      <c r="AZ26" s="36">
        <f t="shared" si="21"/>
        <v>5424</v>
      </c>
      <c r="BA26" s="76">
        <v>161101</v>
      </c>
      <c r="BB26" s="36">
        <f t="shared" si="22"/>
        <v>0</v>
      </c>
      <c r="BC26" s="76">
        <v>251595</v>
      </c>
      <c r="BD26" s="36">
        <f t="shared" si="23"/>
        <v>3504</v>
      </c>
      <c r="BE26" s="76">
        <v>5350</v>
      </c>
      <c r="BF26" s="36">
        <f t="shared" si="24"/>
        <v>0</v>
      </c>
      <c r="BH26" s="102">
        <f t="shared" si="2"/>
        <v>173011.20000000001</v>
      </c>
      <c r="BI26" s="102">
        <f t="shared" si="3"/>
        <v>97276.800000000003</v>
      </c>
    </row>
    <row r="27" spans="1:61" s="34" customFormat="1" ht="39.950000000000003" customHeight="1">
      <c r="A27" s="174">
        <f t="shared" si="27"/>
        <v>44976</v>
      </c>
      <c r="B27" s="33"/>
      <c r="C27" s="76">
        <v>7630700</v>
      </c>
      <c r="D27" s="36">
        <f t="shared" si="0"/>
        <v>131712</v>
      </c>
      <c r="E27" s="101">
        <f>D27*E5</f>
        <v>79027.199999999997</v>
      </c>
      <c r="F27" s="100">
        <f>D27*F5</f>
        <v>52684.800000000003</v>
      </c>
      <c r="G27" s="76">
        <v>307351</v>
      </c>
      <c r="H27" s="36">
        <f t="shared" si="1"/>
        <v>3120</v>
      </c>
      <c r="I27" s="76">
        <v>232520</v>
      </c>
      <c r="J27" s="36">
        <f t="shared" si="1"/>
        <v>7920</v>
      </c>
      <c r="K27" s="76">
        <v>281518</v>
      </c>
      <c r="L27" s="36">
        <f t="shared" si="1"/>
        <v>3744</v>
      </c>
      <c r="M27" s="76">
        <v>25836</v>
      </c>
      <c r="N27" s="36">
        <f t="shared" si="1"/>
        <v>0</v>
      </c>
      <c r="O27" s="76">
        <v>385018</v>
      </c>
      <c r="P27" s="36">
        <f t="shared" si="1"/>
        <v>10512</v>
      </c>
      <c r="Q27" s="76">
        <v>498931</v>
      </c>
      <c r="R27" s="36">
        <f t="shared" si="4"/>
        <v>6240</v>
      </c>
      <c r="S27" s="76">
        <v>802170</v>
      </c>
      <c r="T27" s="36">
        <f t="shared" si="5"/>
        <v>6528</v>
      </c>
      <c r="U27" s="80">
        <v>10429</v>
      </c>
      <c r="V27" s="100">
        <f t="shared" si="6"/>
        <v>1152</v>
      </c>
      <c r="W27" s="76">
        <v>88902</v>
      </c>
      <c r="X27" s="36">
        <f t="shared" si="7"/>
        <v>912</v>
      </c>
      <c r="Y27" s="76">
        <v>1565919</v>
      </c>
      <c r="Z27" s="36">
        <f t="shared" si="8"/>
        <v>17760</v>
      </c>
      <c r="AA27" s="76">
        <v>14483</v>
      </c>
      <c r="AB27" s="36">
        <f t="shared" si="9"/>
        <v>0</v>
      </c>
      <c r="AC27" s="76">
        <v>535981</v>
      </c>
      <c r="AD27" s="36">
        <f t="shared" si="10"/>
        <v>7296</v>
      </c>
      <c r="AE27" s="76">
        <v>604569</v>
      </c>
      <c r="AF27" s="36">
        <f t="shared" si="11"/>
        <v>5088</v>
      </c>
      <c r="AG27" s="76">
        <v>49814</v>
      </c>
      <c r="AH27" s="36">
        <f t="shared" si="12"/>
        <v>0</v>
      </c>
      <c r="AI27" s="76">
        <v>474147</v>
      </c>
      <c r="AJ27" s="36">
        <f t="shared" si="13"/>
        <v>5856</v>
      </c>
      <c r="AK27" s="76">
        <v>103335</v>
      </c>
      <c r="AL27" s="36">
        <f t="shared" si="14"/>
        <v>672</v>
      </c>
      <c r="AM27" s="76">
        <v>640556</v>
      </c>
      <c r="AN27" s="36">
        <f t="shared" si="15"/>
        <v>5808</v>
      </c>
      <c r="AO27" s="76">
        <v>33120</v>
      </c>
      <c r="AP27" s="36">
        <f t="shared" si="16"/>
        <v>7200</v>
      </c>
      <c r="AQ27" s="195">
        <v>21212</v>
      </c>
      <c r="AR27" s="36">
        <f t="shared" si="17"/>
        <v>10752</v>
      </c>
      <c r="AS27" s="76">
        <v>2705</v>
      </c>
      <c r="AT27" s="36">
        <f t="shared" si="18"/>
        <v>192</v>
      </c>
      <c r="AU27" s="76">
        <v>946</v>
      </c>
      <c r="AV27" s="36">
        <f t="shared" si="19"/>
        <v>0</v>
      </c>
      <c r="AW27" s="76">
        <v>3110</v>
      </c>
      <c r="AX27" s="36">
        <f t="shared" si="20"/>
        <v>0</v>
      </c>
      <c r="AY27" s="76">
        <v>374251</v>
      </c>
      <c r="AZ27" s="36">
        <f t="shared" si="21"/>
        <v>5136</v>
      </c>
      <c r="BA27" s="76">
        <v>161101</v>
      </c>
      <c r="BB27" s="36">
        <f t="shared" si="22"/>
        <v>0</v>
      </c>
      <c r="BC27" s="76">
        <v>251668</v>
      </c>
      <c r="BD27" s="36">
        <f t="shared" si="23"/>
        <v>3504</v>
      </c>
      <c r="BE27" s="76">
        <v>5350</v>
      </c>
      <c r="BF27" s="36">
        <f t="shared" si="24"/>
        <v>0</v>
      </c>
      <c r="BH27" s="102">
        <f t="shared" si="2"/>
        <v>155827.20000000001</v>
      </c>
      <c r="BI27" s="102">
        <f t="shared" si="3"/>
        <v>85276.800000000003</v>
      </c>
    </row>
    <row r="28" spans="1:61" s="34" customFormat="1" ht="39.950000000000003" customHeight="1">
      <c r="A28" s="174">
        <f t="shared" si="27"/>
        <v>44977</v>
      </c>
      <c r="B28" s="33"/>
      <c r="C28" s="76">
        <v>7633372</v>
      </c>
      <c r="D28" s="36">
        <f t="shared" si="0"/>
        <v>128256</v>
      </c>
      <c r="E28" s="101">
        <f>D28*E5</f>
        <v>76953.599999999991</v>
      </c>
      <c r="F28" s="100">
        <f>D28*F5</f>
        <v>51302.400000000001</v>
      </c>
      <c r="G28" s="76">
        <v>307390</v>
      </c>
      <c r="H28" s="36">
        <f t="shared" si="1"/>
        <v>1872</v>
      </c>
      <c r="I28" s="76">
        <v>232687</v>
      </c>
      <c r="J28" s="36">
        <f t="shared" si="1"/>
        <v>8016</v>
      </c>
      <c r="K28" s="76">
        <v>281536</v>
      </c>
      <c r="L28" s="36">
        <f t="shared" si="1"/>
        <v>864</v>
      </c>
      <c r="M28" s="76">
        <v>25836</v>
      </c>
      <c r="N28" s="36">
        <f t="shared" si="1"/>
        <v>0</v>
      </c>
      <c r="O28" s="76">
        <v>385241</v>
      </c>
      <c r="P28" s="36">
        <f t="shared" si="1"/>
        <v>10704</v>
      </c>
      <c r="Q28" s="76">
        <v>499013</v>
      </c>
      <c r="R28" s="36">
        <f t="shared" si="4"/>
        <v>3936</v>
      </c>
      <c r="S28" s="76">
        <v>802292</v>
      </c>
      <c r="T28" s="36">
        <f t="shared" si="5"/>
        <v>5856</v>
      </c>
      <c r="U28" s="80">
        <v>10455</v>
      </c>
      <c r="V28" s="100">
        <f t="shared" si="6"/>
        <v>1248</v>
      </c>
      <c r="W28" s="76">
        <v>88918</v>
      </c>
      <c r="X28" s="36">
        <f t="shared" si="7"/>
        <v>768</v>
      </c>
      <c r="Y28" s="76">
        <v>1566201</v>
      </c>
      <c r="Z28" s="36">
        <f t="shared" si="8"/>
        <v>13536</v>
      </c>
      <c r="AA28" s="76">
        <v>14484</v>
      </c>
      <c r="AB28" s="36">
        <f t="shared" si="9"/>
        <v>48</v>
      </c>
      <c r="AC28" s="76">
        <v>536139</v>
      </c>
      <c r="AD28" s="36">
        <f t="shared" si="10"/>
        <v>7584</v>
      </c>
      <c r="AE28" s="76">
        <v>604691</v>
      </c>
      <c r="AF28" s="36">
        <f t="shared" si="11"/>
        <v>5856</v>
      </c>
      <c r="AG28" s="76">
        <v>49814</v>
      </c>
      <c r="AH28" s="36">
        <f t="shared" si="12"/>
        <v>0</v>
      </c>
      <c r="AI28" s="76">
        <v>474273</v>
      </c>
      <c r="AJ28" s="36">
        <f t="shared" si="13"/>
        <v>6048</v>
      </c>
      <c r="AK28" s="76">
        <v>103349</v>
      </c>
      <c r="AL28" s="36">
        <f t="shared" si="14"/>
        <v>672</v>
      </c>
      <c r="AM28" s="76">
        <v>640691</v>
      </c>
      <c r="AN28" s="36">
        <f t="shared" si="15"/>
        <v>6480</v>
      </c>
      <c r="AO28" s="76">
        <v>33321</v>
      </c>
      <c r="AP28" s="36">
        <f t="shared" si="16"/>
        <v>9648</v>
      </c>
      <c r="AQ28" s="76">
        <v>21434</v>
      </c>
      <c r="AR28" s="36">
        <f t="shared" si="17"/>
        <v>10656</v>
      </c>
      <c r="AS28" s="76">
        <v>2705</v>
      </c>
      <c r="AT28" s="36">
        <f t="shared" si="18"/>
        <v>0</v>
      </c>
      <c r="AU28" s="76">
        <v>946</v>
      </c>
      <c r="AV28" s="36">
        <f t="shared" si="19"/>
        <v>0</v>
      </c>
      <c r="AW28" s="76">
        <v>3110</v>
      </c>
      <c r="AX28" s="36">
        <f t="shared" si="20"/>
        <v>0</v>
      </c>
      <c r="AY28" s="76">
        <v>374353</v>
      </c>
      <c r="AZ28" s="36">
        <f t="shared" si="21"/>
        <v>4896</v>
      </c>
      <c r="BA28" s="76">
        <v>161101</v>
      </c>
      <c r="BB28" s="36">
        <f t="shared" si="22"/>
        <v>0</v>
      </c>
      <c r="BC28" s="76">
        <v>251741</v>
      </c>
      <c r="BD28" s="36">
        <f t="shared" si="23"/>
        <v>3504</v>
      </c>
      <c r="BE28" s="76">
        <v>5350</v>
      </c>
      <c r="BF28" s="36">
        <f t="shared" si="24"/>
        <v>0</v>
      </c>
      <c r="BH28" s="102">
        <f t="shared" si="2"/>
        <v>143961.59999999998</v>
      </c>
      <c r="BI28" s="102">
        <f t="shared" si="3"/>
        <v>86486.399999999994</v>
      </c>
    </row>
    <row r="29" spans="1:61" s="34" customFormat="1" ht="39.950000000000003" customHeight="1">
      <c r="A29" s="174">
        <f t="shared" si="27"/>
        <v>44978</v>
      </c>
      <c r="B29" s="33"/>
      <c r="C29" s="76">
        <v>7635955</v>
      </c>
      <c r="D29" s="36">
        <f t="shared" si="0"/>
        <v>123984</v>
      </c>
      <c r="E29" s="101">
        <f>D29*E5</f>
        <v>74390.399999999994</v>
      </c>
      <c r="F29" s="100">
        <f>D29*F5</f>
        <v>49593.600000000006</v>
      </c>
      <c r="G29" s="76">
        <v>307432</v>
      </c>
      <c r="H29" s="36">
        <f t="shared" si="1"/>
        <v>2016</v>
      </c>
      <c r="I29" s="76">
        <v>232850</v>
      </c>
      <c r="J29" s="36">
        <f t="shared" si="1"/>
        <v>7824</v>
      </c>
      <c r="K29" s="76">
        <v>281546</v>
      </c>
      <c r="L29" s="36">
        <f t="shared" si="1"/>
        <v>480</v>
      </c>
      <c r="M29" s="76">
        <v>25836</v>
      </c>
      <c r="N29" s="36">
        <f t="shared" si="1"/>
        <v>0</v>
      </c>
      <c r="O29" s="76">
        <v>385454</v>
      </c>
      <c r="P29" s="36">
        <f t="shared" si="1"/>
        <v>10224</v>
      </c>
      <c r="Q29" s="76">
        <v>499108</v>
      </c>
      <c r="R29" s="36">
        <f t="shared" si="4"/>
        <v>4560</v>
      </c>
      <c r="S29" s="75">
        <v>802423</v>
      </c>
      <c r="T29" s="36">
        <f t="shared" si="5"/>
        <v>6288</v>
      </c>
      <c r="U29" s="81">
        <v>10479</v>
      </c>
      <c r="V29" s="100">
        <f t="shared" si="6"/>
        <v>1152</v>
      </c>
      <c r="W29" s="76">
        <v>88918</v>
      </c>
      <c r="X29" s="36">
        <f t="shared" si="7"/>
        <v>0</v>
      </c>
      <c r="Y29" s="76">
        <v>1566581</v>
      </c>
      <c r="Z29" s="36">
        <f t="shared" si="8"/>
        <v>18240</v>
      </c>
      <c r="AA29" s="76">
        <v>14484</v>
      </c>
      <c r="AB29" s="36">
        <f t="shared" si="9"/>
        <v>0</v>
      </c>
      <c r="AC29" s="76">
        <v>536277</v>
      </c>
      <c r="AD29" s="36">
        <f t="shared" si="10"/>
        <v>6624</v>
      </c>
      <c r="AE29" s="76">
        <v>604775</v>
      </c>
      <c r="AF29" s="36">
        <f t="shared" si="11"/>
        <v>4032</v>
      </c>
      <c r="AG29" s="76">
        <v>49814</v>
      </c>
      <c r="AH29" s="36">
        <f t="shared" si="12"/>
        <v>0</v>
      </c>
      <c r="AI29" s="76">
        <v>474385</v>
      </c>
      <c r="AJ29" s="36">
        <f t="shared" si="13"/>
        <v>5376</v>
      </c>
      <c r="AK29" s="76">
        <v>103359</v>
      </c>
      <c r="AL29" s="36">
        <f t="shared" si="14"/>
        <v>480</v>
      </c>
      <c r="AM29" s="76">
        <v>640801</v>
      </c>
      <c r="AN29" s="36">
        <f t="shared" si="15"/>
        <v>5280</v>
      </c>
      <c r="AO29" s="76">
        <v>33449</v>
      </c>
      <c r="AP29" s="36">
        <f t="shared" si="16"/>
        <v>6144</v>
      </c>
      <c r="AQ29" s="76">
        <v>21653</v>
      </c>
      <c r="AR29" s="36">
        <f t="shared" si="17"/>
        <v>10512</v>
      </c>
      <c r="AS29" s="76">
        <v>2706</v>
      </c>
      <c r="AT29" s="36">
        <f t="shared" si="18"/>
        <v>48</v>
      </c>
      <c r="AU29" s="76">
        <v>946</v>
      </c>
      <c r="AV29" s="36">
        <f t="shared" si="19"/>
        <v>0</v>
      </c>
      <c r="AW29" s="76">
        <v>3110</v>
      </c>
      <c r="AX29" s="36">
        <f t="shared" si="20"/>
        <v>0</v>
      </c>
      <c r="AY29" s="76">
        <v>374459</v>
      </c>
      <c r="AZ29" s="36">
        <f t="shared" si="21"/>
        <v>5088</v>
      </c>
      <c r="BA29" s="76">
        <v>161101</v>
      </c>
      <c r="BB29" s="36">
        <f t="shared" si="22"/>
        <v>0</v>
      </c>
      <c r="BC29" s="76">
        <v>251811</v>
      </c>
      <c r="BD29" s="36">
        <f t="shared" si="23"/>
        <v>3360</v>
      </c>
      <c r="BE29" s="76">
        <v>5350</v>
      </c>
      <c r="BF29" s="36">
        <f t="shared" si="24"/>
        <v>0</v>
      </c>
      <c r="BH29" s="102">
        <f t="shared" si="2"/>
        <v>141686.39999999999</v>
      </c>
      <c r="BI29" s="102">
        <f t="shared" si="3"/>
        <v>80025.600000000006</v>
      </c>
    </row>
    <row r="30" spans="1:61" s="34" customFormat="1" ht="39.950000000000003" customHeight="1">
      <c r="A30" s="174">
        <f t="shared" si="27"/>
        <v>44979</v>
      </c>
      <c r="B30" s="33"/>
      <c r="C30" s="76">
        <v>7638701</v>
      </c>
      <c r="D30" s="36">
        <f t="shared" si="0"/>
        <v>131808</v>
      </c>
      <c r="E30" s="101">
        <f>D30*E5</f>
        <v>79084.800000000003</v>
      </c>
      <c r="F30" s="100">
        <f>D30*F5</f>
        <v>52723.200000000004</v>
      </c>
      <c r="G30" s="76">
        <v>307476</v>
      </c>
      <c r="H30" s="36">
        <f t="shared" si="1"/>
        <v>2112</v>
      </c>
      <c r="I30" s="76">
        <v>233028</v>
      </c>
      <c r="J30" s="36">
        <f t="shared" si="1"/>
        <v>8544</v>
      </c>
      <c r="K30" s="76">
        <v>281588</v>
      </c>
      <c r="L30" s="36">
        <f t="shared" si="1"/>
        <v>2016</v>
      </c>
      <c r="M30" s="76">
        <v>25836</v>
      </c>
      <c r="N30" s="36">
        <f t="shared" si="1"/>
        <v>0</v>
      </c>
      <c r="O30" s="76">
        <v>385662</v>
      </c>
      <c r="P30" s="36">
        <f t="shared" si="1"/>
        <v>9984</v>
      </c>
      <c r="Q30" s="76">
        <v>499202</v>
      </c>
      <c r="R30" s="36">
        <f t="shared" si="4"/>
        <v>4512</v>
      </c>
      <c r="S30" s="76">
        <v>802550</v>
      </c>
      <c r="T30" s="36">
        <f t="shared" si="5"/>
        <v>6096</v>
      </c>
      <c r="U30" s="80">
        <v>10503</v>
      </c>
      <c r="V30" s="100">
        <f t="shared" si="6"/>
        <v>1152</v>
      </c>
      <c r="W30" s="76">
        <v>88936</v>
      </c>
      <c r="X30" s="36">
        <f t="shared" si="7"/>
        <v>864</v>
      </c>
      <c r="Y30" s="76">
        <v>1566964</v>
      </c>
      <c r="Z30" s="36">
        <f t="shared" si="8"/>
        <v>18384</v>
      </c>
      <c r="AA30" s="76">
        <v>14487</v>
      </c>
      <c r="AB30" s="36">
        <f t="shared" si="9"/>
        <v>144</v>
      </c>
      <c r="AC30" s="76">
        <v>536399</v>
      </c>
      <c r="AD30" s="36">
        <f t="shared" si="10"/>
        <v>5856</v>
      </c>
      <c r="AE30" s="76">
        <v>604829</v>
      </c>
      <c r="AF30" s="36">
        <f t="shared" si="11"/>
        <v>2592</v>
      </c>
      <c r="AG30" s="75">
        <v>49814</v>
      </c>
      <c r="AH30" s="36">
        <f t="shared" si="12"/>
        <v>0</v>
      </c>
      <c r="AI30" s="76">
        <v>474503</v>
      </c>
      <c r="AJ30" s="36">
        <f t="shared" si="13"/>
        <v>5664</v>
      </c>
      <c r="AK30" s="76">
        <v>103376</v>
      </c>
      <c r="AL30" s="36">
        <f t="shared" si="14"/>
        <v>816</v>
      </c>
      <c r="AM30" s="76">
        <v>640899</v>
      </c>
      <c r="AN30" s="36">
        <f t="shared" si="15"/>
        <v>4704</v>
      </c>
      <c r="AO30" s="76">
        <v>33536</v>
      </c>
      <c r="AP30" s="36">
        <f t="shared" si="16"/>
        <v>4176</v>
      </c>
      <c r="AQ30" s="76">
        <v>21880</v>
      </c>
      <c r="AR30" s="36">
        <f t="shared" si="17"/>
        <v>10896</v>
      </c>
      <c r="AS30" s="76">
        <v>2706</v>
      </c>
      <c r="AT30" s="36">
        <f t="shared" si="18"/>
        <v>0</v>
      </c>
      <c r="AU30" s="76">
        <v>946</v>
      </c>
      <c r="AV30" s="36">
        <f t="shared" si="19"/>
        <v>0</v>
      </c>
      <c r="AW30" s="76">
        <v>3110</v>
      </c>
      <c r="AX30" s="36">
        <f t="shared" si="20"/>
        <v>0</v>
      </c>
      <c r="AY30" s="76">
        <v>374564</v>
      </c>
      <c r="AZ30" s="36">
        <f t="shared" si="21"/>
        <v>5040</v>
      </c>
      <c r="BA30" s="76">
        <v>161101</v>
      </c>
      <c r="BB30" s="36">
        <f t="shared" si="22"/>
        <v>0</v>
      </c>
      <c r="BC30" s="76">
        <v>251883</v>
      </c>
      <c r="BD30" s="36">
        <f t="shared" si="23"/>
        <v>3456</v>
      </c>
      <c r="BE30" s="76">
        <v>5350</v>
      </c>
      <c r="BF30" s="36">
        <f t="shared" si="24"/>
        <v>0</v>
      </c>
      <c r="BH30" s="102">
        <f t="shared" si="2"/>
        <v>147820.79999999999</v>
      </c>
      <c r="BI30" s="102">
        <f t="shared" si="3"/>
        <v>80995.200000000012</v>
      </c>
    </row>
    <row r="31" spans="1:61" s="34" customFormat="1" ht="39.950000000000003" customHeight="1">
      <c r="A31" s="174">
        <f t="shared" si="27"/>
        <v>44980</v>
      </c>
      <c r="B31" s="33"/>
      <c r="C31" s="76">
        <v>7641925</v>
      </c>
      <c r="D31" s="36">
        <f t="shared" si="0"/>
        <v>154752</v>
      </c>
      <c r="E31" s="101">
        <f>D31*E5</f>
        <v>92851.199999999997</v>
      </c>
      <c r="F31" s="100">
        <f>D31*F5</f>
        <v>61900.800000000003</v>
      </c>
      <c r="G31" s="76">
        <v>307513</v>
      </c>
      <c r="H31" s="36">
        <f t="shared" si="1"/>
        <v>1776</v>
      </c>
      <c r="I31" s="76">
        <v>233211</v>
      </c>
      <c r="J31" s="36">
        <f t="shared" si="1"/>
        <v>8784</v>
      </c>
      <c r="K31" s="76">
        <v>281640</v>
      </c>
      <c r="L31" s="36">
        <f t="shared" si="1"/>
        <v>2496</v>
      </c>
      <c r="M31" s="76">
        <v>25836</v>
      </c>
      <c r="N31" s="36">
        <f t="shared" si="1"/>
        <v>0</v>
      </c>
      <c r="O31" s="76">
        <v>385859</v>
      </c>
      <c r="P31" s="36">
        <f t="shared" si="1"/>
        <v>9456</v>
      </c>
      <c r="Q31" s="76">
        <v>499303</v>
      </c>
      <c r="R31" s="36">
        <f t="shared" si="4"/>
        <v>4848</v>
      </c>
      <c r="S31" s="76">
        <v>802674</v>
      </c>
      <c r="T31" s="36">
        <f t="shared" si="5"/>
        <v>5952</v>
      </c>
      <c r="U31" s="80">
        <v>10530.62</v>
      </c>
      <c r="V31" s="100">
        <f t="shared" si="6"/>
        <v>1325.7600000000384</v>
      </c>
      <c r="W31" s="76">
        <v>88952</v>
      </c>
      <c r="X31" s="36">
        <f t="shared" si="7"/>
        <v>768</v>
      </c>
      <c r="Y31" s="76">
        <v>1567488</v>
      </c>
      <c r="Z31" s="36">
        <f t="shared" si="8"/>
        <v>25152</v>
      </c>
      <c r="AA31" s="76">
        <v>14493</v>
      </c>
      <c r="AB31" s="36">
        <f t="shared" si="9"/>
        <v>288</v>
      </c>
      <c r="AC31" s="76">
        <v>536505</v>
      </c>
      <c r="AD31" s="36">
        <f t="shared" si="10"/>
        <v>5088</v>
      </c>
      <c r="AE31" s="76">
        <v>604874</v>
      </c>
      <c r="AF31" s="36">
        <f t="shared" si="11"/>
        <v>2160</v>
      </c>
      <c r="AG31" s="75">
        <v>49822</v>
      </c>
      <c r="AH31" s="36">
        <f t="shared" si="12"/>
        <v>384</v>
      </c>
      <c r="AI31" s="76">
        <v>474631</v>
      </c>
      <c r="AJ31" s="36">
        <f t="shared" si="13"/>
        <v>6144</v>
      </c>
      <c r="AK31" s="76">
        <v>103401</v>
      </c>
      <c r="AL31" s="36">
        <f t="shared" si="14"/>
        <v>1200</v>
      </c>
      <c r="AM31" s="76">
        <v>640999</v>
      </c>
      <c r="AN31" s="36">
        <f t="shared" si="15"/>
        <v>4800</v>
      </c>
      <c r="AO31" s="76">
        <v>33608</v>
      </c>
      <c r="AP31" s="36">
        <f t="shared" si="16"/>
        <v>3456</v>
      </c>
      <c r="AQ31" s="76">
        <v>22111</v>
      </c>
      <c r="AR31" s="36">
        <f t="shared" si="17"/>
        <v>11088</v>
      </c>
      <c r="AS31" s="76">
        <v>2706</v>
      </c>
      <c r="AT31" s="36">
        <f t="shared" si="18"/>
        <v>0</v>
      </c>
      <c r="AU31" s="76">
        <v>946</v>
      </c>
      <c r="AV31" s="36">
        <f t="shared" si="19"/>
        <v>0</v>
      </c>
      <c r="AW31" s="76">
        <v>3110</v>
      </c>
      <c r="AX31" s="36">
        <f t="shared" si="20"/>
        <v>0</v>
      </c>
      <c r="AY31" s="76">
        <v>374678</v>
      </c>
      <c r="AZ31" s="36">
        <f t="shared" si="21"/>
        <v>5472</v>
      </c>
      <c r="BA31" s="76">
        <v>161101</v>
      </c>
      <c r="BB31" s="36">
        <f t="shared" si="22"/>
        <v>0</v>
      </c>
      <c r="BC31" s="76">
        <v>251954</v>
      </c>
      <c r="BD31" s="36">
        <f t="shared" si="23"/>
        <v>3408</v>
      </c>
      <c r="BE31" s="76">
        <v>5350</v>
      </c>
      <c r="BF31" s="36">
        <f t="shared" si="24"/>
        <v>0</v>
      </c>
      <c r="BH31" s="102">
        <f t="shared" si="2"/>
        <v>168672.96000000002</v>
      </c>
      <c r="BI31" s="102">
        <f t="shared" si="3"/>
        <v>90124.800000000003</v>
      </c>
    </row>
    <row r="32" spans="1:61" s="34" customFormat="1" ht="39.950000000000003" customHeight="1">
      <c r="A32" s="174">
        <f t="shared" si="27"/>
        <v>44981</v>
      </c>
      <c r="B32" s="33"/>
      <c r="C32" s="76">
        <v>7644746</v>
      </c>
      <c r="D32" s="36">
        <f t="shared" si="0"/>
        <v>135408</v>
      </c>
      <c r="E32" s="101">
        <f>D32*E5</f>
        <v>81244.800000000003</v>
      </c>
      <c r="F32" s="100">
        <f>D32*F5</f>
        <v>54163.200000000004</v>
      </c>
      <c r="G32" s="76">
        <v>307557</v>
      </c>
      <c r="H32" s="36">
        <f t="shared" si="1"/>
        <v>2112</v>
      </c>
      <c r="I32" s="76">
        <v>233385</v>
      </c>
      <c r="J32" s="36">
        <f t="shared" si="1"/>
        <v>8352</v>
      </c>
      <c r="K32" s="76">
        <v>281688</v>
      </c>
      <c r="L32" s="36">
        <f t="shared" si="1"/>
        <v>2304</v>
      </c>
      <c r="M32" s="76">
        <v>25836</v>
      </c>
      <c r="N32" s="36">
        <f t="shared" si="1"/>
        <v>0</v>
      </c>
      <c r="O32" s="76">
        <v>386073</v>
      </c>
      <c r="P32" s="36">
        <f t="shared" si="1"/>
        <v>10272</v>
      </c>
      <c r="Q32" s="80">
        <v>499379</v>
      </c>
      <c r="R32" s="36">
        <f t="shared" si="4"/>
        <v>3648</v>
      </c>
      <c r="S32" s="76">
        <v>802808</v>
      </c>
      <c r="T32" s="36">
        <f t="shared" si="5"/>
        <v>6432</v>
      </c>
      <c r="U32" s="80">
        <v>10555.808999999999</v>
      </c>
      <c r="V32" s="100">
        <f t="shared" si="6"/>
        <v>1209.0719999999274</v>
      </c>
      <c r="W32" s="76">
        <v>88968</v>
      </c>
      <c r="X32" s="36">
        <f t="shared" si="7"/>
        <v>768</v>
      </c>
      <c r="Y32" s="76">
        <v>1567991</v>
      </c>
      <c r="Z32" s="36">
        <f t="shared" si="8"/>
        <v>24144</v>
      </c>
      <c r="AA32" s="76">
        <v>14493</v>
      </c>
      <c r="AB32" s="36">
        <f t="shared" si="9"/>
        <v>0</v>
      </c>
      <c r="AC32" s="76">
        <v>536658</v>
      </c>
      <c r="AD32" s="36">
        <f t="shared" si="10"/>
        <v>7344</v>
      </c>
      <c r="AE32" s="76">
        <v>604970</v>
      </c>
      <c r="AF32" s="36">
        <f t="shared" si="11"/>
        <v>4608</v>
      </c>
      <c r="AG32" s="75">
        <v>49822</v>
      </c>
      <c r="AH32" s="36">
        <f t="shared" si="12"/>
        <v>0</v>
      </c>
      <c r="AI32" s="76">
        <v>474754</v>
      </c>
      <c r="AJ32" s="36">
        <f t="shared" si="13"/>
        <v>5904</v>
      </c>
      <c r="AK32" s="76">
        <v>103420</v>
      </c>
      <c r="AL32" s="36">
        <f t="shared" si="14"/>
        <v>912</v>
      </c>
      <c r="AM32" s="76">
        <v>641129</v>
      </c>
      <c r="AN32" s="36">
        <f t="shared" si="15"/>
        <v>6240</v>
      </c>
      <c r="AO32" s="76">
        <v>33753</v>
      </c>
      <c r="AP32" s="36">
        <f t="shared" si="16"/>
        <v>6960</v>
      </c>
      <c r="AQ32" s="76">
        <v>22336</v>
      </c>
      <c r="AR32" s="36">
        <f t="shared" si="17"/>
        <v>10800</v>
      </c>
      <c r="AS32" s="76">
        <v>2706</v>
      </c>
      <c r="AT32" s="36">
        <f t="shared" si="18"/>
        <v>0</v>
      </c>
      <c r="AU32" s="76">
        <v>946</v>
      </c>
      <c r="AV32" s="36">
        <f t="shared" si="19"/>
        <v>0</v>
      </c>
      <c r="AW32" s="76">
        <v>3110</v>
      </c>
      <c r="AX32" s="36">
        <f t="shared" si="20"/>
        <v>0</v>
      </c>
      <c r="AY32" s="76">
        <v>374788</v>
      </c>
      <c r="AZ32" s="36">
        <f t="shared" si="21"/>
        <v>5280</v>
      </c>
      <c r="BA32" s="76">
        <v>161101</v>
      </c>
      <c r="BB32" s="36">
        <f t="shared" si="22"/>
        <v>0</v>
      </c>
      <c r="BC32" s="76">
        <v>252028</v>
      </c>
      <c r="BD32" s="36">
        <f t="shared" si="23"/>
        <v>3552</v>
      </c>
      <c r="BE32" s="76">
        <v>5350</v>
      </c>
      <c r="BF32" s="36">
        <f t="shared" si="24"/>
        <v>0</v>
      </c>
      <c r="BH32" s="102">
        <f t="shared" si="2"/>
        <v>159253.87199999992</v>
      </c>
      <c r="BI32" s="102">
        <f t="shared" si="3"/>
        <v>86995.200000000012</v>
      </c>
    </row>
    <row r="33" spans="1:61" s="34" customFormat="1" ht="39.950000000000003" customHeight="1">
      <c r="A33" s="174">
        <f t="shared" si="27"/>
        <v>44982</v>
      </c>
      <c r="B33" s="33"/>
      <c r="C33" s="76">
        <v>7647400</v>
      </c>
      <c r="D33" s="36">
        <f t="shared" si="0"/>
        <v>127392</v>
      </c>
      <c r="E33" s="101">
        <f>D33*E5</f>
        <v>76435.199999999997</v>
      </c>
      <c r="F33" s="100">
        <f>D33*F5</f>
        <v>50956.800000000003</v>
      </c>
      <c r="G33" s="76">
        <v>307596</v>
      </c>
      <c r="H33" s="36">
        <f t="shared" si="1"/>
        <v>1872</v>
      </c>
      <c r="I33" s="76">
        <v>233552</v>
      </c>
      <c r="J33" s="36">
        <f t="shared" si="1"/>
        <v>8016</v>
      </c>
      <c r="K33" s="76">
        <v>281731</v>
      </c>
      <c r="L33" s="36">
        <f t="shared" si="1"/>
        <v>2064</v>
      </c>
      <c r="M33" s="76">
        <v>25836</v>
      </c>
      <c r="N33" s="36">
        <f t="shared" si="1"/>
        <v>0</v>
      </c>
      <c r="O33" s="76">
        <v>386270</v>
      </c>
      <c r="P33" s="36">
        <f t="shared" si="1"/>
        <v>9456</v>
      </c>
      <c r="Q33" s="80">
        <v>499487</v>
      </c>
      <c r="R33" s="36">
        <f t="shared" si="4"/>
        <v>5184</v>
      </c>
      <c r="S33" s="76">
        <v>802936</v>
      </c>
      <c r="T33" s="36">
        <f t="shared" si="5"/>
        <v>6144</v>
      </c>
      <c r="U33" s="80">
        <v>10580.092000000001</v>
      </c>
      <c r="V33" s="100">
        <f t="shared" si="6"/>
        <v>1165.5840000000608</v>
      </c>
      <c r="W33" s="76">
        <v>88985</v>
      </c>
      <c r="X33" s="36">
        <f t="shared" si="7"/>
        <v>816</v>
      </c>
      <c r="Y33" s="76">
        <v>1568414</v>
      </c>
      <c r="Z33" s="36">
        <f t="shared" si="8"/>
        <v>20304</v>
      </c>
      <c r="AA33" s="76">
        <v>14493</v>
      </c>
      <c r="AB33" s="36">
        <f t="shared" si="9"/>
        <v>0</v>
      </c>
      <c r="AC33" s="76">
        <v>536813</v>
      </c>
      <c r="AD33" s="36">
        <f t="shared" si="10"/>
        <v>7440</v>
      </c>
      <c r="AE33" s="76">
        <v>605070</v>
      </c>
      <c r="AF33" s="36">
        <f t="shared" si="11"/>
        <v>4800</v>
      </c>
      <c r="AG33" s="75">
        <v>49822</v>
      </c>
      <c r="AH33" s="36">
        <f t="shared" si="12"/>
        <v>0</v>
      </c>
      <c r="AI33" s="76">
        <v>474873</v>
      </c>
      <c r="AJ33" s="36">
        <f t="shared" si="13"/>
        <v>5712</v>
      </c>
      <c r="AK33" s="76">
        <v>103438</v>
      </c>
      <c r="AL33" s="36">
        <f t="shared" si="14"/>
        <v>864</v>
      </c>
      <c r="AM33" s="76">
        <v>641254</v>
      </c>
      <c r="AN33" s="36">
        <f t="shared" si="15"/>
        <v>6000</v>
      </c>
      <c r="AO33" s="76">
        <v>33908</v>
      </c>
      <c r="AP33" s="36">
        <f t="shared" si="16"/>
        <v>7440</v>
      </c>
      <c r="AQ33" s="76">
        <v>22553</v>
      </c>
      <c r="AR33" s="36">
        <f t="shared" si="17"/>
        <v>10416</v>
      </c>
      <c r="AS33" s="76">
        <v>2715</v>
      </c>
      <c r="AT33" s="36">
        <f t="shared" si="18"/>
        <v>432</v>
      </c>
      <c r="AU33" s="76">
        <v>946</v>
      </c>
      <c r="AV33" s="36">
        <f t="shared" si="19"/>
        <v>0</v>
      </c>
      <c r="AW33" s="76">
        <v>3110</v>
      </c>
      <c r="AX33" s="36">
        <f t="shared" si="20"/>
        <v>0</v>
      </c>
      <c r="AY33" s="76">
        <v>374894</v>
      </c>
      <c r="AZ33" s="36">
        <f t="shared" si="21"/>
        <v>5088</v>
      </c>
      <c r="BA33" s="76">
        <v>161101</v>
      </c>
      <c r="BB33" s="36">
        <f t="shared" si="22"/>
        <v>0</v>
      </c>
      <c r="BC33" s="76">
        <v>252097</v>
      </c>
      <c r="BD33" s="36">
        <f t="shared" si="23"/>
        <v>3312</v>
      </c>
      <c r="BE33" s="76">
        <v>5350</v>
      </c>
      <c r="BF33" s="36">
        <f t="shared" si="24"/>
        <v>0</v>
      </c>
      <c r="BH33" s="102">
        <f t="shared" si="2"/>
        <v>150272.78400000004</v>
      </c>
      <c r="BI33" s="102">
        <f t="shared" si="3"/>
        <v>83644.800000000003</v>
      </c>
    </row>
    <row r="34" spans="1:61" s="34" customFormat="1" ht="39.950000000000003" customHeight="1">
      <c r="A34" s="174">
        <f t="shared" si="27"/>
        <v>44983</v>
      </c>
      <c r="B34" s="33"/>
      <c r="C34" s="76">
        <v>7650408</v>
      </c>
      <c r="D34" s="36">
        <f t="shared" si="0"/>
        <v>144384</v>
      </c>
      <c r="E34" s="101">
        <f>D34*E5</f>
        <v>86630.399999999994</v>
      </c>
      <c r="F34" s="100">
        <f>D34*F5</f>
        <v>57753.600000000006</v>
      </c>
      <c r="G34" s="76">
        <v>307641</v>
      </c>
      <c r="H34" s="36">
        <f t="shared" si="1"/>
        <v>2160</v>
      </c>
      <c r="I34" s="76">
        <v>233720</v>
      </c>
      <c r="J34" s="36">
        <f t="shared" si="1"/>
        <v>8064</v>
      </c>
      <c r="K34" s="76">
        <v>281755</v>
      </c>
      <c r="L34" s="36">
        <f t="shared" si="1"/>
        <v>1152</v>
      </c>
      <c r="M34" s="76">
        <v>25836</v>
      </c>
      <c r="N34" s="36">
        <f t="shared" si="1"/>
        <v>0</v>
      </c>
      <c r="O34" s="76">
        <v>386505</v>
      </c>
      <c r="P34" s="36">
        <f t="shared" si="1"/>
        <v>11280</v>
      </c>
      <c r="Q34" s="76">
        <v>499568</v>
      </c>
      <c r="R34" s="36">
        <f t="shared" si="4"/>
        <v>3888</v>
      </c>
      <c r="S34" s="76">
        <v>803050</v>
      </c>
      <c r="T34" s="36">
        <f t="shared" si="5"/>
        <v>5472</v>
      </c>
      <c r="U34" s="80">
        <v>10606.561</v>
      </c>
      <c r="V34" s="100">
        <f t="shared" si="6"/>
        <v>1270.5119999999588</v>
      </c>
      <c r="W34" s="76">
        <v>89004</v>
      </c>
      <c r="X34" s="36">
        <f t="shared" si="7"/>
        <v>912</v>
      </c>
      <c r="Y34" s="76">
        <v>1568949</v>
      </c>
      <c r="Z34" s="36">
        <f t="shared" si="8"/>
        <v>25680</v>
      </c>
      <c r="AA34" s="76">
        <v>14499</v>
      </c>
      <c r="AB34" s="36">
        <f t="shared" si="9"/>
        <v>288</v>
      </c>
      <c r="AC34" s="76">
        <v>536872</v>
      </c>
      <c r="AD34" s="36">
        <f t="shared" si="10"/>
        <v>2832</v>
      </c>
      <c r="AE34" s="76">
        <v>605076</v>
      </c>
      <c r="AF34" s="36">
        <f t="shared" si="11"/>
        <v>288</v>
      </c>
      <c r="AG34" s="75">
        <v>49822</v>
      </c>
      <c r="AH34" s="36">
        <f t="shared" si="12"/>
        <v>0</v>
      </c>
      <c r="AI34" s="76">
        <v>474990</v>
      </c>
      <c r="AJ34" s="36">
        <f t="shared" si="13"/>
        <v>5616</v>
      </c>
      <c r="AK34" s="76">
        <v>103455</v>
      </c>
      <c r="AL34" s="36">
        <f t="shared" si="14"/>
        <v>816</v>
      </c>
      <c r="AM34" s="76">
        <v>641326</v>
      </c>
      <c r="AN34" s="36">
        <f t="shared" si="15"/>
        <v>3456</v>
      </c>
      <c r="AO34" s="76">
        <v>33928</v>
      </c>
      <c r="AP34" s="36">
        <f t="shared" si="16"/>
        <v>960</v>
      </c>
      <c r="AQ34" s="76">
        <v>22685</v>
      </c>
      <c r="AR34" s="36">
        <f t="shared" si="17"/>
        <v>6336</v>
      </c>
      <c r="AS34" s="76">
        <v>2716</v>
      </c>
      <c r="AT34" s="36">
        <f t="shared" si="18"/>
        <v>48</v>
      </c>
      <c r="AU34" s="76">
        <v>946</v>
      </c>
      <c r="AV34" s="36">
        <f t="shared" si="19"/>
        <v>0</v>
      </c>
      <c r="AW34" s="76">
        <v>3110</v>
      </c>
      <c r="AX34" s="36">
        <f t="shared" si="20"/>
        <v>0</v>
      </c>
      <c r="AY34" s="76">
        <v>375002</v>
      </c>
      <c r="AZ34" s="36">
        <f t="shared" si="21"/>
        <v>5184</v>
      </c>
      <c r="BA34" s="76">
        <v>161101</v>
      </c>
      <c r="BB34" s="36">
        <f t="shared" si="22"/>
        <v>0</v>
      </c>
      <c r="BC34" s="76">
        <v>252172</v>
      </c>
      <c r="BD34" s="36">
        <f t="shared" si="23"/>
        <v>3600</v>
      </c>
      <c r="BE34" s="76">
        <v>5350</v>
      </c>
      <c r="BF34" s="36">
        <f t="shared" si="24"/>
        <v>0</v>
      </c>
      <c r="BH34" s="102">
        <f t="shared" si="2"/>
        <v>156348.91199999995</v>
      </c>
      <c r="BI34" s="102">
        <f t="shared" si="3"/>
        <v>77337.600000000006</v>
      </c>
    </row>
    <row r="35" spans="1:61" s="34" customFormat="1" ht="39.950000000000003" customHeight="1">
      <c r="A35" s="174">
        <f t="shared" si="27"/>
        <v>44984</v>
      </c>
      <c r="B35" s="33"/>
      <c r="C35" s="76">
        <v>7654111</v>
      </c>
      <c r="D35" s="36">
        <f t="shared" si="0"/>
        <v>177744</v>
      </c>
      <c r="E35" s="101">
        <f>D35*E5</f>
        <v>106646.39999999999</v>
      </c>
      <c r="F35" s="100">
        <f>D35*F5</f>
        <v>71097.600000000006</v>
      </c>
      <c r="G35" s="76">
        <v>307701</v>
      </c>
      <c r="H35" s="36">
        <f t="shared" si="1"/>
        <v>2880</v>
      </c>
      <c r="I35" s="76">
        <v>233885</v>
      </c>
      <c r="J35" s="36">
        <f t="shared" si="1"/>
        <v>7920</v>
      </c>
      <c r="K35" s="76">
        <v>281794</v>
      </c>
      <c r="L35" s="36">
        <f t="shared" si="1"/>
        <v>1872</v>
      </c>
      <c r="M35" s="76">
        <v>25836</v>
      </c>
      <c r="N35" s="36">
        <f t="shared" si="1"/>
        <v>0</v>
      </c>
      <c r="O35" s="76">
        <v>386725</v>
      </c>
      <c r="P35" s="36">
        <f t="shared" ref="P35:P36" si="28">(+O35-+O34)*48</f>
        <v>10560</v>
      </c>
      <c r="Q35" s="76">
        <v>499675</v>
      </c>
      <c r="R35" s="36">
        <f t="shared" si="4"/>
        <v>5136</v>
      </c>
      <c r="S35" s="76">
        <v>803185</v>
      </c>
      <c r="T35" s="36">
        <f t="shared" si="5"/>
        <v>6480</v>
      </c>
      <c r="U35" s="80">
        <v>10630.351000000001</v>
      </c>
      <c r="V35" s="100">
        <f t="shared" si="6"/>
        <v>1141.9200000000419</v>
      </c>
      <c r="W35" s="76">
        <v>89018</v>
      </c>
      <c r="X35" s="36">
        <f t="shared" si="7"/>
        <v>672</v>
      </c>
      <c r="Y35" s="76">
        <v>1569485</v>
      </c>
      <c r="Z35" s="36">
        <f t="shared" si="8"/>
        <v>25728</v>
      </c>
      <c r="AA35" s="76">
        <v>14503</v>
      </c>
      <c r="AB35" s="36">
        <f t="shared" si="9"/>
        <v>192</v>
      </c>
      <c r="AC35" s="76">
        <v>536948</v>
      </c>
      <c r="AD35" s="36">
        <f t="shared" si="10"/>
        <v>3648</v>
      </c>
      <c r="AE35" s="76">
        <v>605101</v>
      </c>
      <c r="AF35" s="36">
        <f t="shared" si="11"/>
        <v>1200</v>
      </c>
      <c r="AG35" s="75">
        <v>49822</v>
      </c>
      <c r="AH35" s="36">
        <f t="shared" si="12"/>
        <v>0</v>
      </c>
      <c r="AI35" s="76">
        <v>475110</v>
      </c>
      <c r="AJ35" s="36">
        <f t="shared" si="13"/>
        <v>5760</v>
      </c>
      <c r="AK35" s="76">
        <v>103468</v>
      </c>
      <c r="AL35" s="36">
        <f t="shared" si="14"/>
        <v>624</v>
      </c>
      <c r="AM35" s="76">
        <v>641410</v>
      </c>
      <c r="AN35" s="36">
        <f t="shared" si="15"/>
        <v>4032</v>
      </c>
      <c r="AO35" s="76">
        <v>33974</v>
      </c>
      <c r="AP35" s="36">
        <f t="shared" si="16"/>
        <v>2208</v>
      </c>
      <c r="AQ35" s="76">
        <v>22903</v>
      </c>
      <c r="AR35" s="36">
        <f t="shared" si="17"/>
        <v>10464</v>
      </c>
      <c r="AS35" s="76">
        <v>2717</v>
      </c>
      <c r="AT35" s="36">
        <f t="shared" si="18"/>
        <v>48</v>
      </c>
      <c r="AU35" s="76">
        <v>946</v>
      </c>
      <c r="AV35" s="36">
        <f t="shared" si="19"/>
        <v>0</v>
      </c>
      <c r="AW35" s="76">
        <v>3110</v>
      </c>
      <c r="AX35" s="36">
        <f t="shared" si="20"/>
        <v>0</v>
      </c>
      <c r="AY35" s="76">
        <v>375104</v>
      </c>
      <c r="AZ35" s="36">
        <f t="shared" si="21"/>
        <v>4896</v>
      </c>
      <c r="BA35" s="76">
        <v>161101</v>
      </c>
      <c r="BB35" s="36">
        <f t="shared" si="22"/>
        <v>0</v>
      </c>
      <c r="BC35" s="76">
        <v>252237</v>
      </c>
      <c r="BD35" s="36">
        <f t="shared" si="23"/>
        <v>3120</v>
      </c>
      <c r="BE35" s="76">
        <v>5350</v>
      </c>
      <c r="BF35" s="36">
        <f t="shared" si="24"/>
        <v>0</v>
      </c>
      <c r="BH35" s="102">
        <f t="shared" si="2"/>
        <v>180460.32000000004</v>
      </c>
      <c r="BI35" s="102">
        <f t="shared" si="3"/>
        <v>95865.600000000006</v>
      </c>
    </row>
    <row r="36" spans="1:61" s="34" customFormat="1" ht="39.950000000000003" customHeight="1">
      <c r="A36" s="174">
        <f t="shared" si="27"/>
        <v>44985</v>
      </c>
      <c r="B36" s="33"/>
      <c r="C36" s="76">
        <v>7658185</v>
      </c>
      <c r="D36" s="36">
        <f t="shared" si="0"/>
        <v>195552</v>
      </c>
      <c r="E36" s="101">
        <f>D36*E5</f>
        <v>117331.2</v>
      </c>
      <c r="F36" s="100">
        <f>D36*F5</f>
        <v>78220.800000000003</v>
      </c>
      <c r="G36" s="76">
        <v>307735</v>
      </c>
      <c r="H36" s="36">
        <f t="shared" si="1"/>
        <v>1632</v>
      </c>
      <c r="I36" s="76">
        <v>234059</v>
      </c>
      <c r="J36" s="36">
        <f t="shared" si="1"/>
        <v>8352</v>
      </c>
      <c r="K36" s="76">
        <v>281807</v>
      </c>
      <c r="L36" s="36">
        <f t="shared" si="1"/>
        <v>624</v>
      </c>
      <c r="M36" s="76">
        <v>25836</v>
      </c>
      <c r="N36" s="36">
        <f t="shared" si="1"/>
        <v>0</v>
      </c>
      <c r="O36" s="76">
        <v>386916</v>
      </c>
      <c r="P36" s="36">
        <f t="shared" si="28"/>
        <v>9168</v>
      </c>
      <c r="Q36" s="76">
        <v>499733</v>
      </c>
      <c r="R36" s="36">
        <f t="shared" si="4"/>
        <v>2784</v>
      </c>
      <c r="S36" s="76">
        <v>803332</v>
      </c>
      <c r="T36" s="36">
        <f t="shared" si="5"/>
        <v>7056</v>
      </c>
      <c r="U36" s="80">
        <v>10656.044</v>
      </c>
      <c r="V36" s="100">
        <f t="shared" si="6"/>
        <v>1233.2639999999665</v>
      </c>
      <c r="W36" s="76">
        <v>89018</v>
      </c>
      <c r="X36" s="36">
        <f t="shared" si="7"/>
        <v>0</v>
      </c>
      <c r="Y36" s="76">
        <v>1570045</v>
      </c>
      <c r="Z36" s="36">
        <f t="shared" si="8"/>
        <v>26880</v>
      </c>
      <c r="AA36" s="76">
        <v>14512</v>
      </c>
      <c r="AB36" s="36">
        <f t="shared" si="9"/>
        <v>432</v>
      </c>
      <c r="AC36" s="76">
        <v>537034</v>
      </c>
      <c r="AD36" s="36">
        <f t="shared" si="10"/>
        <v>4128</v>
      </c>
      <c r="AE36" s="76">
        <v>605136</v>
      </c>
      <c r="AF36" s="36">
        <f t="shared" si="11"/>
        <v>1680</v>
      </c>
      <c r="AG36" s="75">
        <v>49822</v>
      </c>
      <c r="AH36" s="36">
        <f t="shared" si="12"/>
        <v>0</v>
      </c>
      <c r="AI36" s="76">
        <v>475231</v>
      </c>
      <c r="AJ36" s="36">
        <f t="shared" si="13"/>
        <v>5808</v>
      </c>
      <c r="AK36" s="76">
        <v>103486</v>
      </c>
      <c r="AL36" s="36">
        <f t="shared" si="14"/>
        <v>864</v>
      </c>
      <c r="AM36" s="76">
        <v>641506</v>
      </c>
      <c r="AN36" s="36">
        <f t="shared" si="15"/>
        <v>4608</v>
      </c>
      <c r="AO36" s="76">
        <v>34034</v>
      </c>
      <c r="AP36" s="36">
        <f t="shared" si="16"/>
        <v>2880</v>
      </c>
      <c r="AQ36" s="76">
        <v>23118</v>
      </c>
      <c r="AR36" s="36">
        <f t="shared" si="17"/>
        <v>10320</v>
      </c>
      <c r="AS36" s="76">
        <v>2718</v>
      </c>
      <c r="AT36" s="36">
        <f t="shared" si="18"/>
        <v>48</v>
      </c>
      <c r="AU36" s="76">
        <v>946</v>
      </c>
      <c r="AV36" s="36">
        <f t="shared" si="19"/>
        <v>0</v>
      </c>
      <c r="AW36" s="76">
        <v>3110</v>
      </c>
      <c r="AX36" s="36">
        <f t="shared" si="20"/>
        <v>0</v>
      </c>
      <c r="AY36" s="76">
        <v>375217</v>
      </c>
      <c r="AZ36" s="36">
        <f t="shared" si="21"/>
        <v>5424</v>
      </c>
      <c r="BA36" s="76">
        <v>161101</v>
      </c>
      <c r="BB36" s="36">
        <f t="shared" si="22"/>
        <v>0</v>
      </c>
      <c r="BC36" s="76">
        <v>252311</v>
      </c>
      <c r="BD36" s="36">
        <f t="shared" si="23"/>
        <v>3552</v>
      </c>
      <c r="BE36" s="76">
        <v>5350</v>
      </c>
      <c r="BF36" s="36">
        <f t="shared" si="24"/>
        <v>0</v>
      </c>
      <c r="BH36" s="102">
        <f t="shared" si="2"/>
        <v>187972.46399999998</v>
      </c>
      <c r="BI36" s="102">
        <f t="shared" si="3"/>
        <v>105052.8</v>
      </c>
    </row>
    <row r="37" spans="1:61" s="34" customFormat="1" ht="39.950000000000003" customHeight="1">
      <c r="A37" s="17"/>
      <c r="D37" s="10">
        <f>SUM(D9:D36)</f>
        <v>4068384</v>
      </c>
      <c r="F37" s="10">
        <f>SUM(F9:F36)</f>
        <v>1627353.6000000003</v>
      </c>
      <c r="H37" s="10">
        <f>SUM(H9:H36)</f>
        <v>61584</v>
      </c>
      <c r="J37" s="10">
        <f>SUM(J9:J36)</f>
        <v>225072</v>
      </c>
      <c r="L37" s="10">
        <f>SUM(L9:L36)</f>
        <v>57024</v>
      </c>
      <c r="N37" s="10">
        <f>SUM(N9:N36)</f>
        <v>0</v>
      </c>
      <c r="P37" s="10">
        <f>SUM(P9:P36)</f>
        <v>277440</v>
      </c>
      <c r="R37" s="10">
        <f>SUM(R9:R36)</f>
        <v>124656</v>
      </c>
      <c r="T37" s="10">
        <f>SUM(T9:T36)</f>
        <v>182208</v>
      </c>
      <c r="V37" s="10">
        <f>SUM(V9:V36)</f>
        <v>31944.671999999962</v>
      </c>
      <c r="X37" s="10">
        <f>SUM(X9:X36)</f>
        <v>19488</v>
      </c>
      <c r="Z37" s="10">
        <f>SUM(Z9:Z36)</f>
        <v>616560</v>
      </c>
      <c r="AB37" s="10">
        <f>SUM(AB9:AB36)</f>
        <v>4176</v>
      </c>
      <c r="AD37" s="10">
        <f>SUM(AD9:AD36)</f>
        <v>201408</v>
      </c>
      <c r="AE37" s="77"/>
      <c r="AF37" s="10">
        <f>SUM(AF9:AF36)</f>
        <v>129456</v>
      </c>
      <c r="AG37" s="77"/>
      <c r="AH37" s="10">
        <f>SUM(AH9:AH36)</f>
        <v>384</v>
      </c>
      <c r="AI37" s="77"/>
      <c r="AJ37" s="10">
        <f>SUM(AJ9:AJ36)</f>
        <v>157680</v>
      </c>
      <c r="AK37" s="77"/>
      <c r="AL37" s="10">
        <f>SUM(AL9:AL36)</f>
        <v>18048</v>
      </c>
      <c r="AM37" s="77"/>
      <c r="AN37" s="10">
        <f>SUM(AN9:AN36)</f>
        <v>167856</v>
      </c>
      <c r="AO37" s="77"/>
      <c r="AP37" s="10">
        <f>SUM(AP9:AP36)</f>
        <v>214320</v>
      </c>
      <c r="AQ37" s="77"/>
      <c r="AR37" s="10">
        <f>SUM(AR9:AR36)</f>
        <v>327120</v>
      </c>
      <c r="AS37" s="77"/>
      <c r="AT37" s="10">
        <f>SUM(AT9:AT36)</f>
        <v>4800</v>
      </c>
      <c r="AU37" s="77"/>
      <c r="AV37" s="10">
        <f>SUM(AV9:AV36)</f>
        <v>0</v>
      </c>
      <c r="AW37" s="77"/>
      <c r="AX37" s="10">
        <f>SUM(AX9:AX36)</f>
        <v>0</v>
      </c>
      <c r="AY37" s="77"/>
      <c r="AZ37" s="10">
        <f>SUM(AZ9:AZ36)</f>
        <v>144288</v>
      </c>
      <c r="BA37" s="77"/>
      <c r="BB37" s="10">
        <f>SUM(BB9:BB36)</f>
        <v>0</v>
      </c>
      <c r="BC37" s="77"/>
      <c r="BD37" s="10">
        <f>SUM(BD9:BD36)</f>
        <v>94992</v>
      </c>
      <c r="BE37" s="77"/>
      <c r="BF37" s="10">
        <f>SUM(BF9:BF36)</f>
        <v>0</v>
      </c>
      <c r="BH37" s="21"/>
      <c r="BI37" s="21"/>
    </row>
    <row r="38" spans="1:61" s="34" customFormat="1" ht="39.950000000000003" customHeight="1">
      <c r="A38" s="17"/>
      <c r="AD38" s="28"/>
      <c r="AE38" s="77"/>
      <c r="AG38" s="77"/>
      <c r="AI38" s="77"/>
      <c r="AK38" s="77"/>
      <c r="AM38" s="77"/>
      <c r="AO38" s="77"/>
      <c r="AQ38" s="77"/>
      <c r="AS38" s="77"/>
      <c r="AU38" s="77"/>
      <c r="AW38" s="77"/>
      <c r="AY38" s="77"/>
      <c r="BA38" s="77"/>
      <c r="BC38" s="77"/>
      <c r="BE38" s="77"/>
      <c r="BH38" s="28"/>
      <c r="BI38" s="28"/>
    </row>
    <row r="39" spans="1:61" s="34" customFormat="1" ht="39.950000000000003" customHeight="1">
      <c r="A39" s="35"/>
      <c r="AD39" s="28"/>
      <c r="AE39" s="77"/>
      <c r="AG39" s="77"/>
      <c r="AI39" s="77"/>
      <c r="AK39" s="77"/>
      <c r="AM39" s="77"/>
      <c r="AO39" s="77"/>
      <c r="AQ39" s="77"/>
      <c r="AS39" s="77"/>
      <c r="AU39" s="77"/>
      <c r="AW39" s="77"/>
      <c r="AY39" s="77"/>
      <c r="BA39" s="77"/>
      <c r="BC39" s="77"/>
      <c r="BE39" s="77"/>
      <c r="BH39" s="28"/>
      <c r="BI39" s="28"/>
    </row>
    <row r="40" spans="1:61" s="34" customFormat="1" ht="21">
      <c r="A40" s="35"/>
      <c r="AD40" s="28"/>
      <c r="AE40" s="77"/>
      <c r="AG40" s="77"/>
      <c r="AI40" s="77"/>
      <c r="AK40" s="77"/>
      <c r="AM40" s="77"/>
      <c r="AO40" s="77"/>
      <c r="AQ40" s="77"/>
      <c r="AS40" s="77"/>
      <c r="AU40" s="77"/>
      <c r="AW40" s="77"/>
      <c r="AY40" s="77"/>
      <c r="BA40" s="77"/>
      <c r="BC40" s="77"/>
      <c r="BE40" s="77"/>
      <c r="BH40" s="28"/>
      <c r="BI40" s="28"/>
    </row>
    <row r="41" spans="1:61" s="34" customFormat="1" ht="2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ht="21">
      <c r="A45" s="11"/>
      <c r="BH45" s="28"/>
      <c r="BI45" s="28"/>
    </row>
    <row r="46" spans="1:61">
      <c r="A46" s="11"/>
    </row>
    <row r="47" spans="1:61">
      <c r="A47" s="11"/>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69" t="s">
        <v>196</v>
      </c>
      <c r="C1" s="269"/>
      <c r="D1" s="269" t="s">
        <v>196</v>
      </c>
      <c r="E1" s="269"/>
      <c r="F1" s="269" t="s">
        <v>196</v>
      </c>
      <c r="G1" s="269"/>
      <c r="H1" s="269" t="s">
        <v>197</v>
      </c>
      <c r="I1" s="269"/>
      <c r="J1" s="266"/>
      <c r="K1" s="266"/>
      <c r="L1" s="269" t="s">
        <v>198</v>
      </c>
      <c r="M1" s="269"/>
      <c r="N1" s="269" t="s">
        <v>198</v>
      </c>
      <c r="O1" s="269"/>
      <c r="P1" s="269" t="s">
        <v>198</v>
      </c>
      <c r="Q1" s="269"/>
      <c r="R1" s="269" t="s">
        <v>198</v>
      </c>
      <c r="S1" s="269"/>
      <c r="T1" s="269" t="s">
        <v>199</v>
      </c>
      <c r="U1" s="269"/>
      <c r="V1" s="277" t="s">
        <v>199</v>
      </c>
      <c r="W1" s="277"/>
      <c r="X1" s="269" t="s">
        <v>199</v>
      </c>
      <c r="Y1" s="269"/>
      <c r="Z1" s="269" t="s">
        <v>199</v>
      </c>
      <c r="AA1" s="269"/>
      <c r="AB1" s="266"/>
      <c r="AC1" s="266"/>
      <c r="AD1" s="269" t="s">
        <v>199</v>
      </c>
      <c r="AE1" s="269"/>
      <c r="AF1" s="269" t="s">
        <v>199</v>
      </c>
      <c r="AG1" s="269"/>
      <c r="AH1" s="269" t="s">
        <v>200</v>
      </c>
      <c r="AI1" s="269"/>
      <c r="AJ1" s="269" t="s">
        <v>200</v>
      </c>
      <c r="AK1" s="269"/>
      <c r="AL1" s="278" t="s">
        <v>200</v>
      </c>
      <c r="AM1" s="278"/>
      <c r="AN1" s="269" t="s">
        <v>200</v>
      </c>
      <c r="AO1" s="269"/>
      <c r="AP1" s="266" t="s">
        <v>200</v>
      </c>
      <c r="AQ1" s="266"/>
      <c r="AR1" s="278" t="s">
        <v>200</v>
      </c>
      <c r="AS1" s="278"/>
      <c r="AT1" s="269" t="s">
        <v>200</v>
      </c>
      <c r="AU1" s="269"/>
      <c r="AV1" s="266"/>
      <c r="AW1" s="266"/>
      <c r="AX1" s="269" t="s">
        <v>200</v>
      </c>
      <c r="AY1" s="269"/>
      <c r="AZ1" s="269" t="s">
        <v>200</v>
      </c>
      <c r="BA1" s="269"/>
      <c r="BB1" s="269" t="s">
        <v>200</v>
      </c>
      <c r="BC1" s="269"/>
      <c r="BD1" s="269" t="s">
        <v>201</v>
      </c>
      <c r="BE1" s="269"/>
      <c r="BF1" s="269" t="s">
        <v>201</v>
      </c>
      <c r="BG1" s="269"/>
      <c r="BH1" s="269" t="s">
        <v>201</v>
      </c>
      <c r="BI1" s="269"/>
      <c r="BJ1" s="269" t="s">
        <v>201</v>
      </c>
      <c r="BK1" s="269"/>
      <c r="BL1" s="269" t="s">
        <v>201</v>
      </c>
      <c r="BM1" s="269"/>
      <c r="BN1" s="269" t="s">
        <v>201</v>
      </c>
      <c r="BO1" s="269"/>
      <c r="BP1" s="269" t="s">
        <v>201</v>
      </c>
      <c r="BQ1" s="269"/>
      <c r="BR1" s="269" t="s">
        <v>201</v>
      </c>
      <c r="BS1" s="269"/>
      <c r="BT1" s="269" t="s">
        <v>201</v>
      </c>
      <c r="BU1" s="269"/>
      <c r="BV1" s="269" t="s">
        <v>201</v>
      </c>
      <c r="BW1" s="269"/>
      <c r="BX1" s="269" t="s">
        <v>201</v>
      </c>
      <c r="BY1" s="269"/>
      <c r="BZ1" s="269" t="s">
        <v>202</v>
      </c>
      <c r="CA1" s="269"/>
      <c r="CB1" s="277" t="s">
        <v>202</v>
      </c>
      <c r="CC1" s="277"/>
      <c r="CD1" s="269" t="s">
        <v>202</v>
      </c>
      <c r="CE1" s="269"/>
      <c r="CF1" s="269" t="s">
        <v>202</v>
      </c>
      <c r="CG1" s="269"/>
      <c r="CH1" s="269" t="s">
        <v>203</v>
      </c>
      <c r="CI1" s="269"/>
      <c r="CJ1" s="269" t="s">
        <v>203</v>
      </c>
      <c r="CK1" s="269"/>
      <c r="CL1" s="269" t="s">
        <v>203</v>
      </c>
      <c r="CM1" s="269"/>
      <c r="CN1" s="269" t="s">
        <v>204</v>
      </c>
      <c r="CO1" s="269"/>
      <c r="CP1" s="269" t="s">
        <v>204</v>
      </c>
      <c r="CQ1" s="269"/>
      <c r="CR1" s="277" t="s">
        <v>204</v>
      </c>
      <c r="CS1" s="277"/>
      <c r="CT1" s="269" t="s">
        <v>204</v>
      </c>
      <c r="CU1" s="269"/>
      <c r="CV1" s="269" t="s">
        <v>204</v>
      </c>
      <c r="CW1" s="269"/>
      <c r="CX1" s="269" t="s">
        <v>204</v>
      </c>
      <c r="CY1" s="269"/>
      <c r="CZ1" s="269" t="s">
        <v>204</v>
      </c>
      <c r="DA1" s="269"/>
      <c r="DB1" s="269" t="s">
        <v>204</v>
      </c>
      <c r="DC1" s="269"/>
      <c r="DD1" s="269" t="s">
        <v>204</v>
      </c>
      <c r="DE1" s="269"/>
      <c r="DF1" s="269" t="s">
        <v>204</v>
      </c>
      <c r="DG1" s="269"/>
      <c r="DH1" s="269" t="s">
        <v>204</v>
      </c>
      <c r="DI1" s="269"/>
      <c r="DJ1" s="266" t="s">
        <v>204</v>
      </c>
      <c r="DK1" s="266"/>
      <c r="DL1" s="269" t="s">
        <v>205</v>
      </c>
      <c r="DM1" s="269"/>
      <c r="DN1" s="269" t="s">
        <v>205</v>
      </c>
      <c r="DO1" s="269"/>
      <c r="DP1" s="269" t="s">
        <v>205</v>
      </c>
      <c r="DQ1" s="269"/>
      <c r="DR1" s="269" t="s">
        <v>205</v>
      </c>
      <c r="DS1" s="269"/>
      <c r="DT1" s="269" t="s">
        <v>205</v>
      </c>
      <c r="DU1" s="269"/>
      <c r="DV1" s="269" t="s">
        <v>205</v>
      </c>
      <c r="DW1" s="269"/>
      <c r="DX1" s="269" t="s">
        <v>206</v>
      </c>
      <c r="DY1" s="269"/>
      <c r="DZ1" s="269" t="s">
        <v>206</v>
      </c>
      <c r="EA1" s="269"/>
      <c r="EB1" s="269" t="s">
        <v>206</v>
      </c>
      <c r="EC1" s="269"/>
      <c r="ED1" s="269" t="s">
        <v>206</v>
      </c>
      <c r="EE1" s="269"/>
      <c r="EF1" s="269" t="s">
        <v>206</v>
      </c>
      <c r="EG1" s="269"/>
      <c r="EH1" s="269" t="s">
        <v>206</v>
      </c>
      <c r="EI1" s="269"/>
      <c r="EJ1" s="269" t="s">
        <v>206</v>
      </c>
      <c r="EK1" s="269"/>
      <c r="EL1" s="269" t="s">
        <v>207</v>
      </c>
      <c r="EM1" s="269"/>
      <c r="EN1" s="269" t="s">
        <v>207</v>
      </c>
      <c r="EO1" s="269"/>
      <c r="EP1" s="269" t="s">
        <v>207</v>
      </c>
      <c r="EQ1" s="269"/>
      <c r="ER1" s="269" t="s">
        <v>208</v>
      </c>
      <c r="ES1" s="269"/>
      <c r="ET1" s="269" t="s">
        <v>208</v>
      </c>
      <c r="EU1" s="269"/>
      <c r="EV1" s="269" t="s">
        <v>208</v>
      </c>
      <c r="EW1" s="269"/>
      <c r="EX1" s="269" t="s">
        <v>209</v>
      </c>
      <c r="EY1" s="269"/>
      <c r="EZ1" s="269" t="s">
        <v>210</v>
      </c>
      <c r="FA1" s="269"/>
      <c r="FB1" s="269" t="s">
        <v>210</v>
      </c>
      <c r="FC1" s="269"/>
      <c r="FD1" s="269" t="s">
        <v>210</v>
      </c>
      <c r="FE1" s="269"/>
      <c r="FF1" s="269" t="s">
        <v>211</v>
      </c>
      <c r="FG1" s="269"/>
      <c r="FH1" s="269" t="s">
        <v>211</v>
      </c>
      <c r="FI1" s="269"/>
      <c r="FJ1" s="269" t="s">
        <v>211</v>
      </c>
      <c r="FK1" s="269"/>
      <c r="FL1" s="266" t="s">
        <v>211</v>
      </c>
      <c r="FM1" s="266"/>
    </row>
    <row r="2" spans="1:169" s="22" customFormat="1" ht="49.5" customHeight="1">
      <c r="B2" s="269" t="s">
        <v>212</v>
      </c>
      <c r="C2" s="269"/>
      <c r="D2" s="269" t="s">
        <v>213</v>
      </c>
      <c r="E2" s="269"/>
      <c r="F2" s="269" t="s">
        <v>212</v>
      </c>
      <c r="G2" s="269"/>
      <c r="H2" s="269" t="s">
        <v>213</v>
      </c>
      <c r="I2" s="269"/>
      <c r="J2" s="269" t="s">
        <v>213</v>
      </c>
      <c r="K2" s="269"/>
      <c r="L2" s="269" t="s">
        <v>212</v>
      </c>
      <c r="M2" s="269"/>
      <c r="N2" s="269" t="s">
        <v>212</v>
      </c>
      <c r="O2" s="269"/>
      <c r="P2" s="269" t="s">
        <v>213</v>
      </c>
      <c r="Q2" s="269"/>
      <c r="R2" s="269" t="s">
        <v>213</v>
      </c>
      <c r="S2" s="269"/>
      <c r="T2" s="269" t="s">
        <v>212</v>
      </c>
      <c r="U2" s="269"/>
      <c r="V2" s="269" t="s">
        <v>213</v>
      </c>
      <c r="W2" s="269"/>
      <c r="X2" s="269" t="s">
        <v>213</v>
      </c>
      <c r="Y2" s="269"/>
      <c r="Z2" s="269" t="s">
        <v>213</v>
      </c>
      <c r="AA2" s="269"/>
      <c r="AB2" s="266" t="s">
        <v>213</v>
      </c>
      <c r="AC2" s="266"/>
      <c r="AD2" s="269" t="s">
        <v>212</v>
      </c>
      <c r="AE2" s="269"/>
      <c r="AF2" s="269" t="s">
        <v>213</v>
      </c>
      <c r="AG2" s="269"/>
      <c r="AH2" s="269" t="s">
        <v>213</v>
      </c>
      <c r="AI2" s="269"/>
      <c r="AJ2" s="269" t="s">
        <v>213</v>
      </c>
      <c r="AK2" s="269"/>
      <c r="AL2" s="269" t="s">
        <v>213</v>
      </c>
      <c r="AM2" s="269"/>
      <c r="AN2" s="269" t="s">
        <v>213</v>
      </c>
      <c r="AO2" s="269"/>
      <c r="AP2" s="266" t="s">
        <v>213</v>
      </c>
      <c r="AQ2" s="266"/>
      <c r="AR2" s="269" t="s">
        <v>213</v>
      </c>
      <c r="AS2" s="269"/>
      <c r="AT2" s="269" t="s">
        <v>213</v>
      </c>
      <c r="AU2" s="269"/>
      <c r="AV2" s="266" t="s">
        <v>213</v>
      </c>
      <c r="AW2" s="266"/>
      <c r="AX2" s="269" t="s">
        <v>213</v>
      </c>
      <c r="AY2" s="269"/>
      <c r="AZ2" s="269" t="s">
        <v>213</v>
      </c>
      <c r="BA2" s="269"/>
      <c r="BB2" s="269" t="s">
        <v>213</v>
      </c>
      <c r="BC2" s="269"/>
      <c r="BD2" s="269" t="s">
        <v>212</v>
      </c>
      <c r="BE2" s="269"/>
      <c r="BF2" s="269" t="s">
        <v>214</v>
      </c>
      <c r="BG2" s="269"/>
      <c r="BH2" s="269" t="s">
        <v>213</v>
      </c>
      <c r="BI2" s="269"/>
      <c r="BJ2" s="269" t="s">
        <v>213</v>
      </c>
      <c r="BK2" s="269"/>
      <c r="BL2" s="269" t="s">
        <v>213</v>
      </c>
      <c r="BM2" s="269"/>
      <c r="BN2" s="269" t="s">
        <v>213</v>
      </c>
      <c r="BO2" s="269"/>
      <c r="BP2" s="269" t="s">
        <v>213</v>
      </c>
      <c r="BQ2" s="269"/>
      <c r="BR2" s="269" t="s">
        <v>213</v>
      </c>
      <c r="BS2" s="269"/>
      <c r="BT2" s="269" t="s">
        <v>213</v>
      </c>
      <c r="BU2" s="269"/>
      <c r="BV2" s="269" t="s">
        <v>213</v>
      </c>
      <c r="BW2" s="269"/>
      <c r="BX2" s="269" t="s">
        <v>213</v>
      </c>
      <c r="BY2" s="269"/>
      <c r="BZ2" s="269" t="s">
        <v>212</v>
      </c>
      <c r="CA2" s="269"/>
      <c r="CB2" s="269" t="s">
        <v>212</v>
      </c>
      <c r="CC2" s="269"/>
      <c r="CD2" s="269" t="s">
        <v>212</v>
      </c>
      <c r="CE2" s="269"/>
      <c r="CF2" s="269" t="s">
        <v>212</v>
      </c>
      <c r="CG2" s="269"/>
      <c r="CH2" s="269" t="s">
        <v>213</v>
      </c>
      <c r="CI2" s="269"/>
      <c r="CJ2" s="269" t="s">
        <v>213</v>
      </c>
      <c r="CK2" s="269"/>
      <c r="CL2" s="269" t="s">
        <v>213</v>
      </c>
      <c r="CM2" s="269"/>
      <c r="CN2" s="269" t="s">
        <v>212</v>
      </c>
      <c r="CO2" s="269"/>
      <c r="CP2" s="269" t="s">
        <v>213</v>
      </c>
      <c r="CQ2" s="269"/>
      <c r="CR2" s="269" t="s">
        <v>213</v>
      </c>
      <c r="CS2" s="269"/>
      <c r="CT2" s="269" t="s">
        <v>213</v>
      </c>
      <c r="CU2" s="269"/>
      <c r="CV2" s="269" t="s">
        <v>213</v>
      </c>
      <c r="CW2" s="269"/>
      <c r="CX2" s="269" t="s">
        <v>213</v>
      </c>
      <c r="CY2" s="269"/>
      <c r="CZ2" s="269" t="s">
        <v>213</v>
      </c>
      <c r="DA2" s="269"/>
      <c r="DB2" s="269" t="s">
        <v>212</v>
      </c>
      <c r="DC2" s="269"/>
      <c r="DD2" s="269" t="s">
        <v>213</v>
      </c>
      <c r="DE2" s="269"/>
      <c r="DF2" s="269" t="s">
        <v>213</v>
      </c>
      <c r="DG2" s="269"/>
      <c r="DH2" s="269" t="s">
        <v>213</v>
      </c>
      <c r="DI2" s="269"/>
      <c r="DJ2" s="266" t="s">
        <v>213</v>
      </c>
      <c r="DK2" s="266"/>
      <c r="DL2" s="269" t="s">
        <v>213</v>
      </c>
      <c r="DM2" s="269"/>
      <c r="DN2" s="269" t="s">
        <v>213</v>
      </c>
      <c r="DO2" s="269"/>
      <c r="DP2" s="269" t="s">
        <v>213</v>
      </c>
      <c r="DQ2" s="269"/>
      <c r="DR2" s="269" t="s">
        <v>213</v>
      </c>
      <c r="DS2" s="269"/>
      <c r="DT2" s="269" t="s">
        <v>213</v>
      </c>
      <c r="DU2" s="269"/>
      <c r="DV2" s="269" t="s">
        <v>213</v>
      </c>
      <c r="DW2" s="269"/>
      <c r="DX2" s="269" t="s">
        <v>213</v>
      </c>
      <c r="DY2" s="269"/>
      <c r="DZ2" s="269" t="s">
        <v>213</v>
      </c>
      <c r="EA2" s="269"/>
      <c r="EB2" s="269" t="s">
        <v>213</v>
      </c>
      <c r="EC2" s="269"/>
      <c r="ED2" s="269" t="s">
        <v>213</v>
      </c>
      <c r="EE2" s="269"/>
      <c r="EF2" s="269" t="s">
        <v>213</v>
      </c>
      <c r="EG2" s="269"/>
      <c r="EH2" s="269" t="s">
        <v>213</v>
      </c>
      <c r="EI2" s="269"/>
      <c r="EJ2" s="269" t="s">
        <v>213</v>
      </c>
      <c r="EK2" s="269"/>
      <c r="EL2" s="269" t="s">
        <v>213</v>
      </c>
      <c r="EM2" s="269"/>
      <c r="EN2" s="269" t="s">
        <v>213</v>
      </c>
      <c r="EO2" s="269"/>
      <c r="EP2" s="269" t="s">
        <v>213</v>
      </c>
      <c r="EQ2" s="269"/>
      <c r="ER2" s="269" t="s">
        <v>213</v>
      </c>
      <c r="ES2" s="269"/>
      <c r="ET2" s="269" t="s">
        <v>213</v>
      </c>
      <c r="EU2" s="269"/>
      <c r="EV2" s="269" t="s">
        <v>213</v>
      </c>
      <c r="EW2" s="269"/>
      <c r="EX2" s="269" t="s">
        <v>213</v>
      </c>
      <c r="EY2" s="269"/>
      <c r="EZ2" s="269" t="s">
        <v>213</v>
      </c>
      <c r="FA2" s="269"/>
      <c r="FB2" s="269" t="s">
        <v>213</v>
      </c>
      <c r="FC2" s="269"/>
      <c r="FD2" s="269" t="s">
        <v>213</v>
      </c>
      <c r="FE2" s="269"/>
      <c r="FF2" s="269" t="s">
        <v>213</v>
      </c>
      <c r="FG2" s="269"/>
      <c r="FH2" s="269" t="s">
        <v>213</v>
      </c>
      <c r="FI2" s="269"/>
      <c r="FJ2" s="269" t="s">
        <v>213</v>
      </c>
      <c r="FK2" s="269"/>
      <c r="FL2" s="266" t="s">
        <v>213</v>
      </c>
      <c r="FM2" s="266"/>
    </row>
    <row r="3" spans="1:169" s="22" customFormat="1" ht="49.5" customHeight="1">
      <c r="B3" s="218" t="s">
        <v>67</v>
      </c>
      <c r="C3" s="219"/>
      <c r="D3" s="218" t="s">
        <v>215</v>
      </c>
      <c r="E3" s="219"/>
      <c r="F3" s="218"/>
      <c r="G3" s="219"/>
      <c r="H3" s="218" t="s">
        <v>215</v>
      </c>
      <c r="I3" s="219"/>
      <c r="J3" s="218" t="s">
        <v>215</v>
      </c>
      <c r="K3" s="219"/>
      <c r="L3" s="218"/>
      <c r="M3" s="219"/>
      <c r="N3" s="218"/>
      <c r="O3" s="219"/>
      <c r="P3" s="218" t="s">
        <v>215</v>
      </c>
      <c r="Q3" s="219"/>
      <c r="R3" s="218" t="s">
        <v>215</v>
      </c>
      <c r="S3" s="219"/>
      <c r="T3" s="218"/>
      <c r="U3" s="219"/>
      <c r="V3" s="218" t="s">
        <v>216</v>
      </c>
      <c r="W3" s="219"/>
      <c r="X3" s="218" t="s">
        <v>216</v>
      </c>
      <c r="Y3" s="219"/>
      <c r="Z3" s="218" t="s">
        <v>216</v>
      </c>
      <c r="AA3" s="219"/>
      <c r="AB3" s="275" t="s">
        <v>216</v>
      </c>
      <c r="AC3" s="276"/>
      <c r="AD3" s="218"/>
      <c r="AE3" s="219"/>
      <c r="AF3" s="218" t="s">
        <v>216</v>
      </c>
      <c r="AG3" s="219"/>
      <c r="AH3" s="218" t="s">
        <v>215</v>
      </c>
      <c r="AI3" s="219"/>
      <c r="AJ3" s="218" t="s">
        <v>215</v>
      </c>
      <c r="AK3" s="219"/>
      <c r="AL3" s="218" t="s">
        <v>215</v>
      </c>
      <c r="AM3" s="219"/>
      <c r="AN3" s="218" t="s">
        <v>215</v>
      </c>
      <c r="AO3" s="219"/>
      <c r="AP3" s="275" t="s">
        <v>215</v>
      </c>
      <c r="AQ3" s="276"/>
      <c r="AR3" s="218" t="s">
        <v>215</v>
      </c>
      <c r="AS3" s="219"/>
      <c r="AT3" s="218" t="s">
        <v>215</v>
      </c>
      <c r="AU3" s="219"/>
      <c r="AV3" s="275" t="s">
        <v>215</v>
      </c>
      <c r="AW3" s="276"/>
      <c r="AX3" s="218" t="s">
        <v>215</v>
      </c>
      <c r="AY3" s="219"/>
      <c r="AZ3" s="218" t="s">
        <v>215</v>
      </c>
      <c r="BA3" s="219"/>
      <c r="BB3" s="218" t="s">
        <v>215</v>
      </c>
      <c r="BC3" s="219"/>
      <c r="BD3" s="218"/>
      <c r="BE3" s="219"/>
      <c r="BF3" s="218"/>
      <c r="BG3" s="219"/>
      <c r="BH3" s="218" t="s">
        <v>215</v>
      </c>
      <c r="BI3" s="219"/>
      <c r="BJ3" s="218" t="s">
        <v>215</v>
      </c>
      <c r="BK3" s="219"/>
      <c r="BL3" s="218" t="s">
        <v>215</v>
      </c>
      <c r="BM3" s="219"/>
      <c r="BN3" s="218" t="s">
        <v>215</v>
      </c>
      <c r="BO3" s="219"/>
      <c r="BP3" s="218" t="s">
        <v>215</v>
      </c>
      <c r="BQ3" s="219"/>
      <c r="BR3" s="218" t="s">
        <v>215</v>
      </c>
      <c r="BS3" s="219"/>
      <c r="BT3" s="218" t="s">
        <v>215</v>
      </c>
      <c r="BU3" s="219"/>
      <c r="BV3" s="218" t="s">
        <v>215</v>
      </c>
      <c r="BW3" s="219"/>
      <c r="BX3" s="218" t="s">
        <v>215</v>
      </c>
      <c r="BY3" s="219"/>
      <c r="BZ3" s="218" t="s">
        <v>66</v>
      </c>
      <c r="CA3" s="219"/>
      <c r="CB3" s="218" t="s">
        <v>66</v>
      </c>
      <c r="CC3" s="219"/>
      <c r="CD3" s="218" t="s">
        <v>66</v>
      </c>
      <c r="CE3" s="219"/>
      <c r="CF3" s="108"/>
      <c r="CG3" s="108"/>
      <c r="CH3" s="218" t="s">
        <v>67</v>
      </c>
      <c r="CI3" s="219"/>
      <c r="CJ3" s="218" t="s">
        <v>67</v>
      </c>
      <c r="CK3" s="219"/>
      <c r="CL3" s="218" t="s">
        <v>215</v>
      </c>
      <c r="CM3" s="219"/>
      <c r="CN3" s="218"/>
      <c r="CO3" s="219"/>
      <c r="CP3" s="218" t="s">
        <v>215</v>
      </c>
      <c r="CQ3" s="219"/>
      <c r="CR3" s="218" t="s">
        <v>215</v>
      </c>
      <c r="CS3" s="219"/>
      <c r="CT3" s="218" t="s">
        <v>215</v>
      </c>
      <c r="CU3" s="219"/>
      <c r="CV3" s="218" t="s">
        <v>215</v>
      </c>
      <c r="CW3" s="219"/>
      <c r="CX3" s="218" t="s">
        <v>215</v>
      </c>
      <c r="CY3" s="219"/>
      <c r="CZ3" s="218" t="s">
        <v>215</v>
      </c>
      <c r="DA3" s="219"/>
      <c r="DB3" s="218" t="s">
        <v>215</v>
      </c>
      <c r="DC3" s="219"/>
      <c r="DD3" s="218" t="s">
        <v>215</v>
      </c>
      <c r="DE3" s="219"/>
      <c r="DF3" s="218" t="s">
        <v>215</v>
      </c>
      <c r="DG3" s="219"/>
      <c r="DH3" s="218" t="s">
        <v>215</v>
      </c>
      <c r="DI3" s="219"/>
      <c r="DJ3" s="275" t="s">
        <v>215</v>
      </c>
      <c r="DK3" s="276"/>
      <c r="DL3" s="218" t="s">
        <v>65</v>
      </c>
      <c r="DM3" s="219"/>
      <c r="DN3" s="218" t="s">
        <v>65</v>
      </c>
      <c r="DO3" s="219"/>
      <c r="DP3" s="218" t="s">
        <v>65</v>
      </c>
      <c r="DQ3" s="219"/>
      <c r="DR3" s="218" t="s">
        <v>65</v>
      </c>
      <c r="DS3" s="219"/>
      <c r="DT3" s="218" t="s">
        <v>65</v>
      </c>
      <c r="DU3" s="219"/>
      <c r="DV3" s="218" t="s">
        <v>217</v>
      </c>
      <c r="DW3" s="219"/>
      <c r="DX3" s="218" t="s">
        <v>65</v>
      </c>
      <c r="DY3" s="219"/>
      <c r="DZ3" s="218" t="s">
        <v>216</v>
      </c>
      <c r="EA3" s="219"/>
      <c r="EB3" s="218" t="s">
        <v>65</v>
      </c>
      <c r="EC3" s="219"/>
      <c r="ED3" s="218" t="s">
        <v>65</v>
      </c>
      <c r="EE3" s="219"/>
      <c r="EF3" s="218" t="s">
        <v>65</v>
      </c>
      <c r="EG3" s="219"/>
      <c r="EH3" s="218" t="s">
        <v>65</v>
      </c>
      <c r="EI3" s="219"/>
      <c r="EJ3" s="218" t="s">
        <v>65</v>
      </c>
      <c r="EK3" s="219"/>
      <c r="EL3" s="218" t="s">
        <v>67</v>
      </c>
      <c r="EM3" s="219"/>
      <c r="EN3" s="218" t="s">
        <v>67</v>
      </c>
      <c r="EO3" s="219"/>
      <c r="EP3" s="218" t="s">
        <v>67</v>
      </c>
      <c r="EQ3" s="219"/>
      <c r="ER3" s="218" t="s">
        <v>67</v>
      </c>
      <c r="ES3" s="219"/>
      <c r="ET3" s="218" t="s">
        <v>67</v>
      </c>
      <c r="EU3" s="219"/>
      <c r="EV3" s="218" t="s">
        <v>67</v>
      </c>
      <c r="EW3" s="219"/>
      <c r="EX3" s="218" t="s">
        <v>67</v>
      </c>
      <c r="EY3" s="219"/>
      <c r="EZ3" s="218" t="s">
        <v>67</v>
      </c>
      <c r="FA3" s="219"/>
      <c r="FB3" s="218" t="s">
        <v>67</v>
      </c>
      <c r="FC3" s="219"/>
      <c r="FD3" s="218" t="s">
        <v>67</v>
      </c>
      <c r="FE3" s="219"/>
      <c r="FF3" s="218" t="s">
        <v>67</v>
      </c>
      <c r="FG3" s="219"/>
      <c r="FH3" s="218" t="s">
        <v>67</v>
      </c>
      <c r="FI3" s="219"/>
      <c r="FJ3" s="218" t="s">
        <v>67</v>
      </c>
      <c r="FK3" s="219"/>
      <c r="FL3" s="275" t="s">
        <v>215</v>
      </c>
      <c r="FM3" s="276"/>
    </row>
    <row r="4" spans="1:169" s="22" customFormat="1" ht="30" customHeight="1">
      <c r="B4" s="218" t="s">
        <v>218</v>
      </c>
      <c r="C4" s="219"/>
      <c r="D4" s="218" t="s">
        <v>218</v>
      </c>
      <c r="E4" s="219"/>
      <c r="F4" s="106"/>
      <c r="G4" s="107"/>
      <c r="H4" s="218" t="s">
        <v>218</v>
      </c>
      <c r="I4" s="219"/>
      <c r="J4" s="218" t="s">
        <v>219</v>
      </c>
      <c r="K4" s="219"/>
      <c r="L4" s="106"/>
      <c r="M4" s="107"/>
      <c r="N4" s="218"/>
      <c r="O4" s="219"/>
      <c r="P4" s="218" t="s">
        <v>220</v>
      </c>
      <c r="Q4" s="219"/>
      <c r="R4" s="218" t="s">
        <v>220</v>
      </c>
      <c r="S4" s="219"/>
      <c r="T4" s="106"/>
      <c r="U4" s="107"/>
      <c r="V4" s="218" t="s">
        <v>220</v>
      </c>
      <c r="W4" s="219"/>
      <c r="X4" s="218" t="s">
        <v>220</v>
      </c>
      <c r="Y4" s="219"/>
      <c r="Z4" s="218" t="s">
        <v>220</v>
      </c>
      <c r="AA4" s="219"/>
      <c r="AB4" s="275" t="s">
        <v>220</v>
      </c>
      <c r="AC4" s="276"/>
      <c r="AD4" s="106"/>
      <c r="AE4" s="107"/>
      <c r="AF4" s="218" t="s">
        <v>220</v>
      </c>
      <c r="AG4" s="219"/>
      <c r="AH4" s="218" t="s">
        <v>220</v>
      </c>
      <c r="AI4" s="219"/>
      <c r="AJ4" s="218" t="s">
        <v>218</v>
      </c>
      <c r="AK4" s="219"/>
      <c r="AL4" s="218" t="s">
        <v>218</v>
      </c>
      <c r="AM4" s="219"/>
      <c r="AN4" s="218" t="s">
        <v>218</v>
      </c>
      <c r="AO4" s="219"/>
      <c r="AP4" s="275" t="s">
        <v>219</v>
      </c>
      <c r="AQ4" s="276"/>
      <c r="AR4" s="218" t="s">
        <v>218</v>
      </c>
      <c r="AS4" s="219"/>
      <c r="AT4" s="218" t="s">
        <v>218</v>
      </c>
      <c r="AU4" s="219"/>
      <c r="AV4" s="275" t="s">
        <v>218</v>
      </c>
      <c r="AW4" s="276"/>
      <c r="AX4" s="218" t="s">
        <v>220</v>
      </c>
      <c r="AY4" s="219"/>
      <c r="AZ4" s="218" t="s">
        <v>218</v>
      </c>
      <c r="BA4" s="219"/>
      <c r="BB4" s="218" t="s">
        <v>218</v>
      </c>
      <c r="BC4" s="219"/>
      <c r="BD4" s="106"/>
      <c r="BE4" s="107"/>
      <c r="BF4" s="106"/>
      <c r="BG4" s="107"/>
      <c r="BH4" s="218" t="s">
        <v>219</v>
      </c>
      <c r="BI4" s="219"/>
      <c r="BJ4" s="218" t="s">
        <v>220</v>
      </c>
      <c r="BK4" s="219"/>
      <c r="BL4" s="218" t="s">
        <v>218</v>
      </c>
      <c r="BM4" s="219"/>
      <c r="BN4" s="218" t="s">
        <v>218</v>
      </c>
      <c r="BO4" s="219"/>
      <c r="BP4" s="218" t="s">
        <v>218</v>
      </c>
      <c r="BQ4" s="219"/>
      <c r="BR4" s="218" t="s">
        <v>218</v>
      </c>
      <c r="BS4" s="219"/>
      <c r="BT4" s="218" t="s">
        <v>218</v>
      </c>
      <c r="BU4" s="219"/>
      <c r="BV4" s="218" t="s">
        <v>218</v>
      </c>
      <c r="BW4" s="219"/>
      <c r="BX4" s="218" t="s">
        <v>218</v>
      </c>
      <c r="BY4" s="219"/>
      <c r="BZ4" s="218" t="s">
        <v>220</v>
      </c>
      <c r="CA4" s="219"/>
      <c r="CB4" s="218" t="s">
        <v>220</v>
      </c>
      <c r="CC4" s="219"/>
      <c r="CD4" s="218" t="s">
        <v>220</v>
      </c>
      <c r="CE4" s="219"/>
      <c r="CF4" s="218" t="s">
        <v>218</v>
      </c>
      <c r="CG4" s="219"/>
      <c r="CH4" s="218" t="s">
        <v>218</v>
      </c>
      <c r="CI4" s="219"/>
      <c r="CJ4" s="218" t="s">
        <v>218</v>
      </c>
      <c r="CK4" s="219"/>
      <c r="CL4" s="218" t="s">
        <v>218</v>
      </c>
      <c r="CM4" s="219"/>
      <c r="CN4" s="106"/>
      <c r="CO4" s="107"/>
      <c r="CP4" s="218" t="s">
        <v>219</v>
      </c>
      <c r="CQ4" s="219"/>
      <c r="CR4" s="218" t="s">
        <v>221</v>
      </c>
      <c r="CS4" s="219"/>
      <c r="CT4" s="218" t="s">
        <v>219</v>
      </c>
      <c r="CU4" s="219"/>
      <c r="CV4" s="218" t="s">
        <v>220</v>
      </c>
      <c r="CW4" s="219"/>
      <c r="CX4" s="218" t="s">
        <v>218</v>
      </c>
      <c r="CY4" s="219"/>
      <c r="CZ4" s="218" t="s">
        <v>218</v>
      </c>
      <c r="DA4" s="219"/>
      <c r="DB4" s="106"/>
      <c r="DC4" s="107"/>
      <c r="DD4" s="218" t="s">
        <v>219</v>
      </c>
      <c r="DE4" s="219"/>
      <c r="DF4" s="218" t="s">
        <v>220</v>
      </c>
      <c r="DG4" s="219"/>
      <c r="DH4" s="218" t="s">
        <v>220</v>
      </c>
      <c r="DI4" s="219"/>
      <c r="DJ4" s="275" t="s">
        <v>219</v>
      </c>
      <c r="DK4" s="276"/>
      <c r="DL4" s="218" t="s">
        <v>218</v>
      </c>
      <c r="DM4" s="219"/>
      <c r="DN4" s="218" t="s">
        <v>218</v>
      </c>
      <c r="DO4" s="219"/>
      <c r="DP4" s="218" t="s">
        <v>218</v>
      </c>
      <c r="DQ4" s="219"/>
      <c r="DR4" s="218" t="s">
        <v>218</v>
      </c>
      <c r="DS4" s="219"/>
      <c r="DT4" s="218" t="s">
        <v>220</v>
      </c>
      <c r="DU4" s="219"/>
      <c r="DV4" s="218" t="s">
        <v>220</v>
      </c>
      <c r="DW4" s="219"/>
      <c r="DX4" s="218" t="s">
        <v>222</v>
      </c>
      <c r="DY4" s="219"/>
      <c r="DZ4" s="218" t="s">
        <v>223</v>
      </c>
      <c r="EA4" s="219"/>
      <c r="EB4" s="218" t="s">
        <v>222</v>
      </c>
      <c r="EC4" s="219"/>
      <c r="ED4" s="218" t="s">
        <v>218</v>
      </c>
      <c r="EE4" s="219"/>
      <c r="EF4" s="218" t="s">
        <v>218</v>
      </c>
      <c r="EG4" s="219"/>
      <c r="EH4" s="218" t="s">
        <v>220</v>
      </c>
      <c r="EI4" s="219"/>
      <c r="EJ4" s="218" t="s">
        <v>220</v>
      </c>
      <c r="EK4" s="219"/>
      <c r="EL4" s="218" t="s">
        <v>218</v>
      </c>
      <c r="EM4" s="219"/>
      <c r="EN4" s="218" t="s">
        <v>218</v>
      </c>
      <c r="EO4" s="219"/>
      <c r="EP4" s="218" t="s">
        <v>218</v>
      </c>
      <c r="EQ4" s="219"/>
      <c r="ER4" s="218" t="s">
        <v>218</v>
      </c>
      <c r="ES4" s="219"/>
      <c r="ET4" s="218" t="s">
        <v>218</v>
      </c>
      <c r="EU4" s="219"/>
      <c r="EV4" s="218" t="s">
        <v>218</v>
      </c>
      <c r="EW4" s="219"/>
      <c r="EX4" s="218" t="s">
        <v>218</v>
      </c>
      <c r="EY4" s="219"/>
      <c r="EZ4" s="218" t="s">
        <v>220</v>
      </c>
      <c r="FA4" s="219"/>
      <c r="FB4" s="218" t="s">
        <v>218</v>
      </c>
      <c r="FC4" s="219"/>
      <c r="FD4" s="218" t="s">
        <v>218</v>
      </c>
      <c r="FE4" s="219"/>
      <c r="FF4" s="218" t="s">
        <v>222</v>
      </c>
      <c r="FG4" s="219"/>
      <c r="FH4" s="218" t="s">
        <v>218</v>
      </c>
      <c r="FI4" s="219"/>
      <c r="FJ4" s="218" t="s">
        <v>222</v>
      </c>
      <c r="FK4" s="219"/>
      <c r="FL4" s="275" t="s">
        <v>218</v>
      </c>
      <c r="FM4" s="276"/>
    </row>
    <row r="5" spans="1:169" s="82" customFormat="1" ht="138.75" customHeight="1">
      <c r="B5" s="272" t="s">
        <v>78</v>
      </c>
      <c r="C5" s="272"/>
      <c r="D5" s="272" t="s">
        <v>224</v>
      </c>
      <c r="E5" s="272"/>
      <c r="F5" s="272" t="s">
        <v>79</v>
      </c>
      <c r="G5" s="272"/>
      <c r="H5" s="272" t="s">
        <v>225</v>
      </c>
      <c r="I5" s="272"/>
      <c r="J5" s="272" t="s">
        <v>226</v>
      </c>
      <c r="K5" s="272"/>
      <c r="L5" s="272" t="s">
        <v>78</v>
      </c>
      <c r="M5" s="272"/>
      <c r="N5" s="272" t="s">
        <v>80</v>
      </c>
      <c r="O5" s="272"/>
      <c r="P5" s="272" t="s">
        <v>227</v>
      </c>
      <c r="Q5" s="272"/>
      <c r="R5" s="272" t="s">
        <v>227</v>
      </c>
      <c r="S5" s="272"/>
      <c r="T5" s="272" t="s">
        <v>68</v>
      </c>
      <c r="U5" s="272"/>
      <c r="V5" s="272" t="s">
        <v>228</v>
      </c>
      <c r="W5" s="272"/>
      <c r="X5" s="272" t="s">
        <v>229</v>
      </c>
      <c r="Y5" s="272"/>
      <c r="Z5" s="272" t="s">
        <v>230</v>
      </c>
      <c r="AA5" s="272"/>
      <c r="AB5" s="273" t="s">
        <v>227</v>
      </c>
      <c r="AC5" s="273"/>
      <c r="AD5" s="272" t="s">
        <v>69</v>
      </c>
      <c r="AE5" s="272"/>
      <c r="AF5" s="272" t="s">
        <v>231</v>
      </c>
      <c r="AG5" s="272"/>
      <c r="AH5" s="272" t="s">
        <v>232</v>
      </c>
      <c r="AI5" s="272"/>
      <c r="AJ5" s="272" t="s">
        <v>233</v>
      </c>
      <c r="AK5" s="272"/>
      <c r="AL5" s="272" t="s">
        <v>225</v>
      </c>
      <c r="AM5" s="272"/>
      <c r="AN5" s="272" t="s">
        <v>234</v>
      </c>
      <c r="AO5" s="272"/>
      <c r="AP5" s="273" t="s">
        <v>235</v>
      </c>
      <c r="AQ5" s="273"/>
      <c r="AR5" s="272" t="s">
        <v>236</v>
      </c>
      <c r="AS5" s="272"/>
      <c r="AT5" s="272" t="s">
        <v>237</v>
      </c>
      <c r="AU5" s="272"/>
      <c r="AV5" s="273" t="s">
        <v>238</v>
      </c>
      <c r="AW5" s="273"/>
      <c r="AX5" s="272" t="s">
        <v>227</v>
      </c>
      <c r="AY5" s="272"/>
      <c r="AZ5" s="272" t="s">
        <v>225</v>
      </c>
      <c r="BA5" s="272"/>
      <c r="BB5" s="272" t="s">
        <v>239</v>
      </c>
      <c r="BC5" s="272"/>
      <c r="BD5" s="272" t="s">
        <v>71</v>
      </c>
      <c r="BE5" s="272"/>
      <c r="BF5" s="272" t="s">
        <v>72</v>
      </c>
      <c r="BG5" s="272"/>
      <c r="BH5" s="272" t="s">
        <v>240</v>
      </c>
      <c r="BI5" s="272"/>
      <c r="BJ5" s="272" t="s">
        <v>241</v>
      </c>
      <c r="BK5" s="272"/>
      <c r="BL5" s="272" t="s">
        <v>242</v>
      </c>
      <c r="BM5" s="272"/>
      <c r="BN5" s="272" t="s">
        <v>243</v>
      </c>
      <c r="BO5" s="272"/>
      <c r="BP5" s="272" t="s">
        <v>244</v>
      </c>
      <c r="BQ5" s="272"/>
      <c r="BR5" s="272" t="s">
        <v>245</v>
      </c>
      <c r="BS5" s="272"/>
      <c r="BT5" s="272" t="s">
        <v>246</v>
      </c>
      <c r="BU5" s="272"/>
      <c r="BV5" s="272" t="s">
        <v>247</v>
      </c>
      <c r="BW5" s="272"/>
      <c r="BX5" s="272" t="s">
        <v>245</v>
      </c>
      <c r="BY5" s="272"/>
      <c r="BZ5" s="272" t="s">
        <v>74</v>
      </c>
      <c r="CA5" s="272"/>
      <c r="CB5" s="272" t="s">
        <v>75</v>
      </c>
      <c r="CC5" s="272"/>
      <c r="CD5" s="272" t="s">
        <v>76</v>
      </c>
      <c r="CE5" s="272"/>
      <c r="CF5" s="272" t="s">
        <v>77</v>
      </c>
      <c r="CG5" s="272"/>
      <c r="CH5" s="272" t="s">
        <v>248</v>
      </c>
      <c r="CI5" s="272"/>
      <c r="CJ5" s="272" t="s">
        <v>248</v>
      </c>
      <c r="CK5" s="272"/>
      <c r="CL5" s="272" t="s">
        <v>249</v>
      </c>
      <c r="CM5" s="272"/>
      <c r="CN5" s="272" t="s">
        <v>70</v>
      </c>
      <c r="CO5" s="272"/>
      <c r="CP5" s="274" t="s">
        <v>250</v>
      </c>
      <c r="CQ5" s="274"/>
      <c r="CR5" s="274" t="s">
        <v>221</v>
      </c>
      <c r="CS5" s="274"/>
      <c r="CT5" s="274" t="s">
        <v>251</v>
      </c>
      <c r="CU5" s="274"/>
      <c r="CV5" s="274" t="s">
        <v>252</v>
      </c>
      <c r="CW5" s="274"/>
      <c r="CX5" s="274" t="s">
        <v>253</v>
      </c>
      <c r="CY5" s="274"/>
      <c r="CZ5" s="274" t="s">
        <v>254</v>
      </c>
      <c r="DA5" s="274"/>
      <c r="DB5" s="272" t="s">
        <v>73</v>
      </c>
      <c r="DC5" s="272"/>
      <c r="DD5" s="272" t="s">
        <v>255</v>
      </c>
      <c r="DE5" s="272"/>
      <c r="DF5" s="272" t="s">
        <v>256</v>
      </c>
      <c r="DG5" s="272"/>
      <c r="DH5" s="272" t="s">
        <v>257</v>
      </c>
      <c r="DI5" s="272"/>
      <c r="DJ5" s="273" t="s">
        <v>255</v>
      </c>
      <c r="DK5" s="273"/>
      <c r="DL5" s="272" t="s">
        <v>258</v>
      </c>
      <c r="DM5" s="272"/>
      <c r="DN5" s="272" t="s">
        <v>258</v>
      </c>
      <c r="DO5" s="272"/>
      <c r="DP5" s="272" t="s">
        <v>259</v>
      </c>
      <c r="DQ5" s="272"/>
      <c r="DR5" s="272" t="s">
        <v>259</v>
      </c>
      <c r="DS5" s="272"/>
      <c r="DT5" s="272" t="s">
        <v>231</v>
      </c>
      <c r="DU5" s="272"/>
      <c r="DV5" s="272" t="s">
        <v>260</v>
      </c>
      <c r="DW5" s="272"/>
      <c r="DX5" s="274" t="s">
        <v>261</v>
      </c>
      <c r="DY5" s="274"/>
      <c r="DZ5" s="272" t="s">
        <v>225</v>
      </c>
      <c r="EA5" s="272"/>
      <c r="EB5" s="274" t="s">
        <v>262</v>
      </c>
      <c r="EC5" s="274"/>
      <c r="ED5" s="274" t="s">
        <v>263</v>
      </c>
      <c r="EE5" s="274"/>
      <c r="EF5" s="274" t="s">
        <v>264</v>
      </c>
      <c r="EG5" s="274"/>
      <c r="EH5" s="274" t="s">
        <v>227</v>
      </c>
      <c r="EI5" s="274"/>
      <c r="EJ5" s="274" t="s">
        <v>265</v>
      </c>
      <c r="EK5" s="274"/>
      <c r="EL5" s="272" t="s">
        <v>266</v>
      </c>
      <c r="EM5" s="272"/>
      <c r="EN5" s="272" t="s">
        <v>267</v>
      </c>
      <c r="EO5" s="272"/>
      <c r="EP5" s="272" t="s">
        <v>268</v>
      </c>
      <c r="EQ5" s="272"/>
      <c r="ER5" s="272" t="s">
        <v>269</v>
      </c>
      <c r="ES5" s="272"/>
      <c r="ET5" s="272" t="s">
        <v>267</v>
      </c>
      <c r="EU5" s="272"/>
      <c r="EV5" s="272" t="s">
        <v>268</v>
      </c>
      <c r="EW5" s="272"/>
      <c r="EX5" s="272" t="s">
        <v>270</v>
      </c>
      <c r="EY5" s="272"/>
      <c r="EZ5" s="272" t="s">
        <v>265</v>
      </c>
      <c r="FA5" s="272"/>
      <c r="FB5" s="272" t="s">
        <v>271</v>
      </c>
      <c r="FC5" s="272"/>
      <c r="FD5" s="272" t="s">
        <v>272</v>
      </c>
      <c r="FE5" s="272"/>
      <c r="FF5" s="272" t="s">
        <v>273</v>
      </c>
      <c r="FG5" s="272"/>
      <c r="FH5" s="272" t="s">
        <v>274</v>
      </c>
      <c r="FI5" s="272"/>
      <c r="FJ5" s="272" t="s">
        <v>275</v>
      </c>
      <c r="FK5" s="272"/>
      <c r="FL5" s="273" t="s">
        <v>276</v>
      </c>
      <c r="FM5" s="273"/>
    </row>
    <row r="6" spans="1:169" s="22" customFormat="1" ht="30" customHeight="1">
      <c r="B6" s="269">
        <v>5065544</v>
      </c>
      <c r="C6" s="269"/>
      <c r="D6" s="218"/>
      <c r="E6" s="219"/>
      <c r="F6" s="269">
        <v>5065541</v>
      </c>
      <c r="G6" s="269"/>
      <c r="H6" s="218"/>
      <c r="I6" s="219"/>
      <c r="J6" s="218"/>
      <c r="K6" s="219"/>
      <c r="L6" s="269">
        <v>5065542</v>
      </c>
      <c r="M6" s="269"/>
      <c r="N6" s="269">
        <v>5065540</v>
      </c>
      <c r="O6" s="269"/>
      <c r="P6" s="218"/>
      <c r="Q6" s="219"/>
      <c r="R6" s="218"/>
      <c r="S6" s="219"/>
      <c r="T6" s="269">
        <v>5065546</v>
      </c>
      <c r="U6" s="269"/>
      <c r="V6" s="218"/>
      <c r="W6" s="219"/>
      <c r="X6" s="218"/>
      <c r="Y6" s="219"/>
      <c r="Z6" s="218"/>
      <c r="AA6" s="219"/>
      <c r="AB6" s="218"/>
      <c r="AC6" s="219"/>
      <c r="AD6" s="269">
        <v>5065547</v>
      </c>
      <c r="AE6" s="269"/>
      <c r="AF6" s="218"/>
      <c r="AG6" s="219"/>
      <c r="AH6" s="270"/>
      <c r="AI6" s="271"/>
      <c r="AJ6" s="270"/>
      <c r="AK6" s="271"/>
      <c r="AL6" s="270"/>
      <c r="AM6" s="271"/>
      <c r="AN6" s="270"/>
      <c r="AO6" s="271"/>
      <c r="AP6" s="270"/>
      <c r="AQ6" s="271"/>
      <c r="AR6" s="270"/>
      <c r="AS6" s="271"/>
      <c r="AT6" s="270"/>
      <c r="AU6" s="271"/>
      <c r="AV6" s="270"/>
      <c r="AW6" s="271"/>
      <c r="AX6" s="270"/>
      <c r="AY6" s="271"/>
      <c r="AZ6" s="270"/>
      <c r="BA6" s="271"/>
      <c r="BB6" s="270"/>
      <c r="BC6" s="271"/>
      <c r="BD6" s="269">
        <v>5065548</v>
      </c>
      <c r="BE6" s="269"/>
      <c r="BF6" s="269">
        <v>5465545</v>
      </c>
      <c r="BG6" s="269"/>
      <c r="BH6" s="218"/>
      <c r="BI6" s="219"/>
      <c r="BJ6" s="218"/>
      <c r="BK6" s="219"/>
      <c r="BL6" s="218"/>
      <c r="BM6" s="219"/>
      <c r="BN6" s="218"/>
      <c r="BO6" s="219"/>
      <c r="BP6" s="218"/>
      <c r="BQ6" s="219"/>
      <c r="BR6" s="218"/>
      <c r="BS6" s="219"/>
      <c r="BT6" s="218"/>
      <c r="BU6" s="219"/>
      <c r="BV6" s="218"/>
      <c r="BW6" s="219"/>
      <c r="BX6" s="218"/>
      <c r="BY6" s="219"/>
      <c r="BZ6" s="269">
        <v>5018351</v>
      </c>
      <c r="CA6" s="269"/>
      <c r="CB6" s="269">
        <v>5018354</v>
      </c>
      <c r="CC6" s="269"/>
      <c r="CD6" s="269">
        <v>5018350</v>
      </c>
      <c r="CE6" s="269"/>
      <c r="CF6" s="269">
        <v>5065543</v>
      </c>
      <c r="CG6" s="269"/>
      <c r="CH6" s="218"/>
      <c r="CI6" s="219"/>
      <c r="CJ6" s="218"/>
      <c r="CK6" s="219"/>
      <c r="CL6" s="218"/>
      <c r="CM6" s="219"/>
      <c r="CN6" s="269">
        <v>5008272</v>
      </c>
      <c r="CO6" s="269"/>
      <c r="CP6" s="218"/>
      <c r="CQ6" s="219"/>
      <c r="CR6" s="218"/>
      <c r="CS6" s="219"/>
      <c r="CT6" s="218"/>
      <c r="CU6" s="219"/>
      <c r="CV6" s="218"/>
      <c r="CW6" s="219"/>
      <c r="CX6" s="218"/>
      <c r="CY6" s="219"/>
      <c r="CZ6" s="218"/>
      <c r="DA6" s="219"/>
      <c r="DB6" s="269">
        <v>5008273</v>
      </c>
      <c r="DC6" s="269"/>
      <c r="DD6" s="218"/>
      <c r="DE6" s="219"/>
      <c r="DF6" s="218"/>
      <c r="DG6" s="219"/>
      <c r="DH6" s="218"/>
      <c r="DI6" s="219"/>
      <c r="DJ6" s="218"/>
      <c r="DK6" s="219"/>
      <c r="DL6" s="218"/>
      <c r="DM6" s="219"/>
      <c r="DN6" s="218"/>
      <c r="DO6" s="219"/>
      <c r="DP6" s="218"/>
      <c r="DQ6" s="219"/>
      <c r="DR6" s="218"/>
      <c r="DS6" s="219"/>
      <c r="DT6" s="218"/>
      <c r="DU6" s="219"/>
      <c r="DV6" s="218"/>
      <c r="DW6" s="219"/>
      <c r="DX6" s="218"/>
      <c r="DY6" s="219"/>
      <c r="DZ6" s="218"/>
      <c r="EA6" s="219"/>
      <c r="EB6" s="218"/>
      <c r="EC6" s="219"/>
      <c r="ED6" s="218"/>
      <c r="EE6" s="219"/>
      <c r="EF6" s="218"/>
      <c r="EG6" s="219"/>
      <c r="EH6" s="218"/>
      <c r="EI6" s="219"/>
      <c r="EJ6" s="218"/>
      <c r="EK6" s="219"/>
      <c r="EL6" s="218"/>
      <c r="EM6" s="219"/>
      <c r="EN6" s="218"/>
      <c r="EO6" s="219"/>
      <c r="EP6" s="218"/>
      <c r="EQ6" s="219"/>
      <c r="ER6" s="218"/>
      <c r="ES6" s="219"/>
      <c r="ET6" s="218"/>
      <c r="EU6" s="219"/>
      <c r="EV6" s="218"/>
      <c r="EW6" s="219"/>
      <c r="EX6" s="218"/>
      <c r="EY6" s="219"/>
      <c r="EZ6" s="218"/>
      <c r="FA6" s="219"/>
      <c r="FB6" s="218"/>
      <c r="FC6" s="219"/>
      <c r="FD6" s="218"/>
      <c r="FE6" s="219"/>
      <c r="FF6" s="218"/>
      <c r="FG6" s="219"/>
      <c r="FH6" s="218"/>
      <c r="FI6" s="219"/>
      <c r="FJ6" s="218"/>
      <c r="FK6" s="219"/>
      <c r="FL6" s="218"/>
      <c r="FM6" s="219"/>
    </row>
    <row r="7" spans="1:169" s="22" customFormat="1" ht="30" customHeight="1">
      <c r="B7" s="257" t="s">
        <v>92</v>
      </c>
      <c r="C7" s="257"/>
      <c r="D7" s="257" t="s">
        <v>92</v>
      </c>
      <c r="E7" s="257"/>
      <c r="F7" s="255" t="s">
        <v>93</v>
      </c>
      <c r="G7" s="255"/>
      <c r="H7" s="256" t="s">
        <v>94</v>
      </c>
      <c r="I7" s="256"/>
      <c r="J7" s="256" t="s">
        <v>94</v>
      </c>
      <c r="K7" s="256"/>
      <c r="L7" s="256" t="s">
        <v>94</v>
      </c>
      <c r="M7" s="256"/>
      <c r="N7" s="258" t="s">
        <v>95</v>
      </c>
      <c r="O7" s="258"/>
      <c r="P7" s="258" t="s">
        <v>95</v>
      </c>
      <c r="Q7" s="258"/>
      <c r="R7" s="258" t="s">
        <v>95</v>
      </c>
      <c r="S7" s="258"/>
      <c r="T7" s="259" t="s">
        <v>82</v>
      </c>
      <c r="U7" s="259"/>
      <c r="V7" s="259" t="s">
        <v>82</v>
      </c>
      <c r="W7" s="259"/>
      <c r="X7" s="259" t="s">
        <v>82</v>
      </c>
      <c r="Y7" s="259"/>
      <c r="Z7" s="259" t="s">
        <v>82</v>
      </c>
      <c r="AA7" s="259"/>
      <c r="AB7" s="259" t="s">
        <v>82</v>
      </c>
      <c r="AC7" s="259"/>
      <c r="AD7" s="261" t="s">
        <v>83</v>
      </c>
      <c r="AE7" s="261"/>
      <c r="AF7" s="261" t="s">
        <v>83</v>
      </c>
      <c r="AG7" s="261"/>
      <c r="AH7" s="268" t="s">
        <v>85</v>
      </c>
      <c r="AI7" s="268"/>
      <c r="AJ7" s="268" t="s">
        <v>85</v>
      </c>
      <c r="AK7" s="268"/>
      <c r="AL7" s="268" t="s">
        <v>85</v>
      </c>
      <c r="AM7" s="268"/>
      <c r="AN7" s="268" t="s">
        <v>85</v>
      </c>
      <c r="AO7" s="268"/>
      <c r="AP7" s="268" t="s">
        <v>85</v>
      </c>
      <c r="AQ7" s="268"/>
      <c r="AR7" s="268" t="s">
        <v>85</v>
      </c>
      <c r="AS7" s="268"/>
      <c r="AT7" s="268" t="s">
        <v>85</v>
      </c>
      <c r="AU7" s="268"/>
      <c r="AV7" s="268" t="s">
        <v>85</v>
      </c>
      <c r="AW7" s="268"/>
      <c r="AX7" s="268" t="s">
        <v>85</v>
      </c>
      <c r="AY7" s="268"/>
      <c r="AZ7" s="268" t="s">
        <v>85</v>
      </c>
      <c r="BA7" s="268"/>
      <c r="BB7" s="268" t="s">
        <v>85</v>
      </c>
      <c r="BC7" s="268"/>
      <c r="BD7" s="268" t="s">
        <v>85</v>
      </c>
      <c r="BE7" s="268"/>
      <c r="BF7" s="263" t="s">
        <v>86</v>
      </c>
      <c r="BG7" s="263"/>
      <c r="BH7" s="263" t="s">
        <v>86</v>
      </c>
      <c r="BI7" s="263"/>
      <c r="BJ7" s="263" t="s">
        <v>86</v>
      </c>
      <c r="BK7" s="263"/>
      <c r="BL7" s="263" t="s">
        <v>86</v>
      </c>
      <c r="BM7" s="263"/>
      <c r="BN7" s="263" t="s">
        <v>86</v>
      </c>
      <c r="BO7" s="263"/>
      <c r="BP7" s="263" t="s">
        <v>86</v>
      </c>
      <c r="BQ7" s="263"/>
      <c r="BR7" s="263" t="s">
        <v>86</v>
      </c>
      <c r="BS7" s="263"/>
      <c r="BT7" s="263" t="s">
        <v>86</v>
      </c>
      <c r="BU7" s="263"/>
      <c r="BV7" s="263" t="s">
        <v>86</v>
      </c>
      <c r="BW7" s="263"/>
      <c r="BX7" s="263" t="s">
        <v>86</v>
      </c>
      <c r="BY7" s="263"/>
      <c r="BZ7" s="264" t="s">
        <v>88</v>
      </c>
      <c r="CA7" s="264"/>
      <c r="CB7" s="265" t="s">
        <v>89</v>
      </c>
      <c r="CC7" s="265"/>
      <c r="CD7" s="266" t="s">
        <v>90</v>
      </c>
      <c r="CE7" s="266"/>
      <c r="CF7" s="267" t="s">
        <v>91</v>
      </c>
      <c r="CG7" s="267"/>
      <c r="CH7" s="267" t="s">
        <v>91</v>
      </c>
      <c r="CI7" s="267"/>
      <c r="CJ7" s="267" t="s">
        <v>91</v>
      </c>
      <c r="CK7" s="267"/>
      <c r="CL7" s="267" t="s">
        <v>91</v>
      </c>
      <c r="CM7" s="267"/>
      <c r="CN7" s="262" t="s">
        <v>84</v>
      </c>
      <c r="CO7" s="262"/>
      <c r="CP7" s="262" t="s">
        <v>84</v>
      </c>
      <c r="CQ7" s="262"/>
      <c r="CR7" s="262" t="s">
        <v>84</v>
      </c>
      <c r="CS7" s="262"/>
      <c r="CT7" s="262" t="s">
        <v>84</v>
      </c>
      <c r="CU7" s="262"/>
      <c r="CV7" s="262" t="s">
        <v>84</v>
      </c>
      <c r="CW7" s="262"/>
      <c r="CX7" s="262" t="s">
        <v>84</v>
      </c>
      <c r="CY7" s="262"/>
      <c r="CZ7" s="262" t="s">
        <v>84</v>
      </c>
      <c r="DA7" s="262"/>
      <c r="DB7" s="260" t="s">
        <v>87</v>
      </c>
      <c r="DC7" s="260"/>
      <c r="DD7" s="260" t="s">
        <v>87</v>
      </c>
      <c r="DE7" s="260"/>
      <c r="DF7" s="260" t="s">
        <v>87</v>
      </c>
      <c r="DG7" s="260"/>
      <c r="DH7" s="260" t="s">
        <v>87</v>
      </c>
      <c r="DI7" s="260"/>
      <c r="DJ7" s="260" t="s">
        <v>87</v>
      </c>
      <c r="DK7" s="260"/>
      <c r="DL7" s="261" t="s">
        <v>83</v>
      </c>
      <c r="DM7" s="261"/>
      <c r="DN7" s="261" t="s">
        <v>83</v>
      </c>
      <c r="DO7" s="261"/>
      <c r="DP7" s="261" t="s">
        <v>83</v>
      </c>
      <c r="DQ7" s="261"/>
      <c r="DR7" s="261" t="s">
        <v>83</v>
      </c>
      <c r="DS7" s="261"/>
      <c r="DT7" s="261" t="s">
        <v>83</v>
      </c>
      <c r="DU7" s="261"/>
      <c r="DV7" s="261" t="s">
        <v>83</v>
      </c>
      <c r="DW7" s="261"/>
      <c r="DX7" s="259" t="s">
        <v>82</v>
      </c>
      <c r="DY7" s="259"/>
      <c r="DZ7" s="259" t="s">
        <v>82</v>
      </c>
      <c r="EA7" s="259"/>
      <c r="EB7" s="259" t="s">
        <v>82</v>
      </c>
      <c r="EC7" s="259"/>
      <c r="ED7" s="259" t="s">
        <v>82</v>
      </c>
      <c r="EE7" s="259"/>
      <c r="EF7" s="259" t="s">
        <v>82</v>
      </c>
      <c r="EG7" s="259"/>
      <c r="EH7" s="259" t="s">
        <v>82</v>
      </c>
      <c r="EI7" s="259"/>
      <c r="EJ7" s="259" t="s">
        <v>82</v>
      </c>
      <c r="EK7" s="259"/>
      <c r="EL7" s="256" t="s">
        <v>94</v>
      </c>
      <c r="EM7" s="256"/>
      <c r="EN7" s="256" t="s">
        <v>94</v>
      </c>
      <c r="EO7" s="256"/>
      <c r="EP7" s="256" t="s">
        <v>94</v>
      </c>
      <c r="EQ7" s="256"/>
      <c r="ER7" s="257" t="s">
        <v>92</v>
      </c>
      <c r="ES7" s="257"/>
      <c r="ET7" s="257" t="s">
        <v>92</v>
      </c>
      <c r="EU7" s="257"/>
      <c r="EV7" s="257" t="s">
        <v>92</v>
      </c>
      <c r="EW7" s="257"/>
      <c r="EX7" s="255" t="s">
        <v>93</v>
      </c>
      <c r="EY7" s="255"/>
      <c r="EZ7" s="258" t="s">
        <v>95</v>
      </c>
      <c r="FA7" s="258"/>
      <c r="FB7" s="258" t="s">
        <v>95</v>
      </c>
      <c r="FC7" s="258"/>
      <c r="FD7" s="258" t="s">
        <v>95</v>
      </c>
      <c r="FE7" s="258"/>
      <c r="FF7" s="255" t="s">
        <v>93</v>
      </c>
      <c r="FG7" s="255"/>
      <c r="FH7" s="255" t="s">
        <v>93</v>
      </c>
      <c r="FI7" s="255"/>
      <c r="FJ7" s="255" t="s">
        <v>93</v>
      </c>
      <c r="FK7" s="255"/>
      <c r="FL7" s="255" t="s">
        <v>93</v>
      </c>
      <c r="FM7" s="255"/>
    </row>
    <row r="8" spans="1:169" s="22" customFormat="1" ht="30" customHeight="1">
      <c r="B8" s="254"/>
      <c r="C8" s="254"/>
      <c r="D8" s="252" t="s">
        <v>277</v>
      </c>
      <c r="E8" s="253"/>
      <c r="F8" s="254"/>
      <c r="G8" s="254"/>
      <c r="H8" s="252" t="s">
        <v>278</v>
      </c>
      <c r="I8" s="253"/>
      <c r="J8" s="252" t="s">
        <v>279</v>
      </c>
      <c r="K8" s="253"/>
      <c r="L8" s="254"/>
      <c r="M8" s="254"/>
      <c r="N8" s="254"/>
      <c r="O8" s="254"/>
      <c r="P8" s="252" t="s">
        <v>280</v>
      </c>
      <c r="Q8" s="253"/>
      <c r="R8" s="252" t="s">
        <v>281</v>
      </c>
      <c r="S8" s="253"/>
      <c r="T8" s="254"/>
      <c r="U8" s="254"/>
      <c r="V8" s="252" t="s">
        <v>282</v>
      </c>
      <c r="W8" s="253"/>
      <c r="X8" s="252" t="s">
        <v>283</v>
      </c>
      <c r="Y8" s="253"/>
      <c r="Z8" s="252" t="s">
        <v>284</v>
      </c>
      <c r="AA8" s="253"/>
      <c r="AB8" s="252" t="s">
        <v>285</v>
      </c>
      <c r="AC8" s="253"/>
      <c r="AD8" s="254"/>
      <c r="AE8" s="254"/>
      <c r="AF8" s="252" t="s">
        <v>286</v>
      </c>
      <c r="AG8" s="253"/>
      <c r="AH8" s="252" t="s">
        <v>287</v>
      </c>
      <c r="AI8" s="253"/>
      <c r="AJ8" s="252" t="s">
        <v>288</v>
      </c>
      <c r="AK8" s="253"/>
      <c r="AL8" s="252" t="s">
        <v>289</v>
      </c>
      <c r="AM8" s="253"/>
      <c r="AN8" s="252" t="s">
        <v>290</v>
      </c>
      <c r="AO8" s="253"/>
      <c r="AP8" s="252" t="s">
        <v>291</v>
      </c>
      <c r="AQ8" s="253"/>
      <c r="AR8" s="252" t="s">
        <v>292</v>
      </c>
      <c r="AS8" s="253"/>
      <c r="AT8" s="252" t="s">
        <v>293</v>
      </c>
      <c r="AU8" s="253"/>
      <c r="AV8" s="252" t="s">
        <v>294</v>
      </c>
      <c r="AW8" s="253"/>
      <c r="AX8" s="252" t="s">
        <v>295</v>
      </c>
      <c r="AY8" s="253"/>
      <c r="AZ8" s="252" t="s">
        <v>296</v>
      </c>
      <c r="BA8" s="253"/>
      <c r="BB8" s="252" t="s">
        <v>297</v>
      </c>
      <c r="BC8" s="253"/>
      <c r="BD8" s="252"/>
      <c r="BE8" s="253"/>
      <c r="BF8" s="254"/>
      <c r="BG8" s="254"/>
      <c r="BH8" s="252" t="s">
        <v>298</v>
      </c>
      <c r="BI8" s="253"/>
      <c r="BJ8" s="252" t="s">
        <v>299</v>
      </c>
      <c r="BK8" s="253"/>
      <c r="BL8" s="252" t="s">
        <v>300</v>
      </c>
      <c r="BM8" s="253"/>
      <c r="BN8" s="252" t="s">
        <v>301</v>
      </c>
      <c r="BO8" s="253"/>
      <c r="BP8" s="252" t="s">
        <v>302</v>
      </c>
      <c r="BQ8" s="253"/>
      <c r="BR8" s="252" t="s">
        <v>303</v>
      </c>
      <c r="BS8" s="253"/>
      <c r="BT8" s="252" t="s">
        <v>304</v>
      </c>
      <c r="BU8" s="253"/>
      <c r="BV8" s="252" t="s">
        <v>305</v>
      </c>
      <c r="BW8" s="253"/>
      <c r="BX8" s="252" t="s">
        <v>306</v>
      </c>
      <c r="BY8" s="253"/>
      <c r="BZ8" s="254"/>
      <c r="CA8" s="254"/>
      <c r="CB8" s="254"/>
      <c r="CC8" s="254"/>
      <c r="CD8" s="254"/>
      <c r="CE8" s="254"/>
      <c r="CF8" s="254"/>
      <c r="CG8" s="254"/>
      <c r="CH8" s="252" t="s">
        <v>307</v>
      </c>
      <c r="CI8" s="253"/>
      <c r="CJ8" s="252" t="s">
        <v>308</v>
      </c>
      <c r="CK8" s="253"/>
      <c r="CL8" s="252" t="s">
        <v>309</v>
      </c>
      <c r="CM8" s="253"/>
      <c r="CN8" s="254"/>
      <c r="CO8" s="254"/>
      <c r="CP8" s="252" t="s">
        <v>310</v>
      </c>
      <c r="CQ8" s="253"/>
      <c r="CR8" s="252" t="s">
        <v>311</v>
      </c>
      <c r="CS8" s="253"/>
      <c r="CT8" s="252" t="s">
        <v>312</v>
      </c>
      <c r="CU8" s="253"/>
      <c r="CV8" s="252" t="s">
        <v>313</v>
      </c>
      <c r="CW8" s="253"/>
      <c r="CX8" s="252" t="s">
        <v>314</v>
      </c>
      <c r="CY8" s="253"/>
      <c r="CZ8" s="252" t="s">
        <v>315</v>
      </c>
      <c r="DA8" s="253"/>
      <c r="DB8" s="254"/>
      <c r="DC8" s="254"/>
      <c r="DD8" s="252" t="s">
        <v>316</v>
      </c>
      <c r="DE8" s="253"/>
      <c r="DF8" s="252" t="s">
        <v>317</v>
      </c>
      <c r="DG8" s="253"/>
      <c r="DH8" s="252" t="s">
        <v>318</v>
      </c>
      <c r="DI8" s="253"/>
      <c r="DJ8" s="252" t="s">
        <v>319</v>
      </c>
      <c r="DK8" s="253"/>
      <c r="DL8" s="252" t="s">
        <v>320</v>
      </c>
      <c r="DM8" s="253"/>
      <c r="DN8" s="252" t="s">
        <v>321</v>
      </c>
      <c r="DO8" s="253"/>
      <c r="DP8" s="252" t="s">
        <v>322</v>
      </c>
      <c r="DQ8" s="253"/>
      <c r="DR8" s="252" t="s">
        <v>323</v>
      </c>
      <c r="DS8" s="253"/>
      <c r="DT8" s="252" t="s">
        <v>324</v>
      </c>
      <c r="DU8" s="253"/>
      <c r="DV8" s="252" t="s">
        <v>325</v>
      </c>
      <c r="DW8" s="253"/>
      <c r="DX8" s="252" t="s">
        <v>326</v>
      </c>
      <c r="DY8" s="253"/>
      <c r="DZ8" s="252" t="s">
        <v>327</v>
      </c>
      <c r="EA8" s="253"/>
      <c r="EB8" s="252" t="s">
        <v>328</v>
      </c>
      <c r="EC8" s="253"/>
      <c r="ED8" s="252" t="s">
        <v>329</v>
      </c>
      <c r="EE8" s="253"/>
      <c r="EF8" s="252" t="s">
        <v>330</v>
      </c>
      <c r="EG8" s="253"/>
      <c r="EH8" s="252" t="s">
        <v>331</v>
      </c>
      <c r="EI8" s="253"/>
      <c r="EJ8" s="252" t="s">
        <v>332</v>
      </c>
      <c r="EK8" s="253"/>
      <c r="EL8" s="252" t="s">
        <v>333</v>
      </c>
      <c r="EM8" s="253"/>
      <c r="EN8" s="252" t="s">
        <v>334</v>
      </c>
      <c r="EO8" s="253"/>
      <c r="EP8" s="252" t="s">
        <v>335</v>
      </c>
      <c r="EQ8" s="253"/>
      <c r="ER8" s="252" t="s">
        <v>336</v>
      </c>
      <c r="ES8" s="253"/>
      <c r="ET8" s="252" t="s">
        <v>337</v>
      </c>
      <c r="EU8" s="253"/>
      <c r="EV8" s="252" t="s">
        <v>338</v>
      </c>
      <c r="EW8" s="253"/>
      <c r="EX8" s="252" t="s">
        <v>339</v>
      </c>
      <c r="EY8" s="253"/>
      <c r="EZ8" s="252" t="s">
        <v>340</v>
      </c>
      <c r="FA8" s="253"/>
      <c r="FB8" s="252" t="s">
        <v>341</v>
      </c>
      <c r="FC8" s="253"/>
      <c r="FD8" s="252" t="s">
        <v>342</v>
      </c>
      <c r="FE8" s="253"/>
      <c r="FF8" s="252" t="s">
        <v>343</v>
      </c>
      <c r="FG8" s="253"/>
      <c r="FH8" s="252" t="s">
        <v>344</v>
      </c>
      <c r="FI8" s="253"/>
      <c r="FJ8" s="252" t="s">
        <v>345</v>
      </c>
      <c r="FK8" s="253"/>
      <c r="FL8" s="252" t="s">
        <v>346</v>
      </c>
      <c r="FM8" s="253"/>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80" t="s">
        <v>347</v>
      </c>
      <c r="D2" s="280"/>
      <c r="E2" s="280" t="s">
        <v>348</v>
      </c>
      <c r="F2" s="280"/>
      <c r="G2" s="280" t="s">
        <v>349</v>
      </c>
      <c r="H2" s="280"/>
      <c r="I2" s="280" t="s">
        <v>350</v>
      </c>
      <c r="J2" s="280"/>
      <c r="K2" s="280" t="s">
        <v>351</v>
      </c>
      <c r="L2" s="280"/>
      <c r="M2" s="280" t="s">
        <v>352</v>
      </c>
      <c r="N2" s="280"/>
      <c r="O2" s="280" t="s">
        <v>353</v>
      </c>
      <c r="P2" s="280"/>
      <c r="Q2" s="280" t="s">
        <v>354</v>
      </c>
      <c r="R2" s="280"/>
      <c r="S2" s="280" t="s">
        <v>355</v>
      </c>
      <c r="T2" s="280"/>
      <c r="V2" s="280" t="s">
        <v>356</v>
      </c>
      <c r="W2" s="280"/>
      <c r="X2" s="280" t="s">
        <v>357</v>
      </c>
      <c r="Y2" s="280"/>
      <c r="Z2" s="280" t="s">
        <v>358</v>
      </c>
      <c r="AA2" s="280"/>
      <c r="AB2" s="280" t="s">
        <v>359</v>
      </c>
      <c r="AC2" s="280"/>
      <c r="AD2" s="280" t="s">
        <v>360</v>
      </c>
      <c r="AE2" s="280"/>
      <c r="AF2" s="280" t="s">
        <v>361</v>
      </c>
      <c r="AG2" s="280"/>
      <c r="AH2" s="280" t="s">
        <v>362</v>
      </c>
      <c r="AI2" s="280"/>
      <c r="AJ2" s="280" t="s">
        <v>363</v>
      </c>
      <c r="AK2" s="280"/>
      <c r="AL2" s="280" t="s">
        <v>364</v>
      </c>
      <c r="AM2" s="280"/>
      <c r="AO2" s="280" t="s">
        <v>365</v>
      </c>
      <c r="AP2" s="280"/>
      <c r="AQ2" s="280" t="s">
        <v>366</v>
      </c>
      <c r="AR2" s="280"/>
      <c r="AS2" s="280" t="s">
        <v>367</v>
      </c>
      <c r="AT2" s="280"/>
      <c r="AU2" s="280" t="s">
        <v>368</v>
      </c>
      <c r="AV2" s="280"/>
      <c r="AW2" s="280" t="s">
        <v>369</v>
      </c>
      <c r="AX2" s="280"/>
      <c r="AY2" s="280" t="s">
        <v>370</v>
      </c>
      <c r="AZ2" s="280"/>
      <c r="BA2" s="280" t="s">
        <v>371</v>
      </c>
      <c r="BB2" s="280"/>
      <c r="BC2" s="280" t="s">
        <v>372</v>
      </c>
      <c r="BD2" s="280"/>
      <c r="BE2" s="280" t="s">
        <v>373</v>
      </c>
      <c r="BF2" s="280"/>
      <c r="BH2" s="280" t="s">
        <v>103</v>
      </c>
      <c r="BI2" s="280"/>
      <c r="BJ2" s="280" t="s">
        <v>374</v>
      </c>
      <c r="BK2" s="280"/>
      <c r="BL2" s="280" t="s">
        <v>375</v>
      </c>
      <c r="BM2" s="280"/>
      <c r="BN2" s="280" t="s">
        <v>376</v>
      </c>
      <c r="BO2" s="280"/>
      <c r="BP2" s="280" t="s">
        <v>377</v>
      </c>
      <c r="BQ2" s="280"/>
      <c r="BR2" s="280" t="s">
        <v>378</v>
      </c>
      <c r="BS2" s="280"/>
      <c r="BT2" s="280" t="s">
        <v>379</v>
      </c>
      <c r="BU2" s="280"/>
      <c r="BV2" s="280" t="s">
        <v>380</v>
      </c>
      <c r="BW2" s="280"/>
      <c r="BX2" s="280" t="s">
        <v>381</v>
      </c>
      <c r="BY2" s="280"/>
      <c r="BZ2" s="280" t="s">
        <v>382</v>
      </c>
      <c r="CA2" s="280"/>
      <c r="CB2" s="280" t="s">
        <v>383</v>
      </c>
      <c r="CC2" s="280"/>
      <c r="CD2" s="280" t="s">
        <v>384</v>
      </c>
      <c r="CE2" s="280"/>
      <c r="CF2" s="280" t="s">
        <v>385</v>
      </c>
      <c r="CG2" s="280"/>
      <c r="CH2" s="280" t="s">
        <v>386</v>
      </c>
      <c r="CI2" s="280"/>
      <c r="CJ2" s="280" t="s">
        <v>387</v>
      </c>
      <c r="CK2" s="280"/>
      <c r="CL2" s="280" t="s">
        <v>388</v>
      </c>
      <c r="CM2" s="280"/>
      <c r="CN2" s="280" t="s">
        <v>389</v>
      </c>
      <c r="CO2" s="280"/>
      <c r="CP2" s="280" t="s">
        <v>390</v>
      </c>
      <c r="CQ2" s="280"/>
      <c r="CR2" s="280" t="s">
        <v>391</v>
      </c>
      <c r="CS2" s="280"/>
    </row>
    <row r="3" spans="1:97" s="53" customFormat="1" ht="49.5" customHeight="1">
      <c r="A3" s="110"/>
      <c r="B3" s="67"/>
      <c r="C3" s="279"/>
      <c r="D3" s="279"/>
      <c r="E3" s="282" t="s">
        <v>110</v>
      </c>
      <c r="F3" s="282"/>
      <c r="G3" s="279"/>
      <c r="H3" s="279"/>
      <c r="I3" s="283" t="s">
        <v>112</v>
      </c>
      <c r="J3" s="283"/>
      <c r="K3" s="279"/>
      <c r="L3" s="279"/>
      <c r="M3" s="279"/>
      <c r="N3" s="279"/>
      <c r="O3" s="279"/>
      <c r="P3" s="279"/>
      <c r="Q3" s="281" t="s">
        <v>113</v>
      </c>
      <c r="R3" s="281"/>
      <c r="S3" s="279"/>
      <c r="T3" s="279"/>
      <c r="U3" s="52"/>
      <c r="V3" s="281" t="s">
        <v>108</v>
      </c>
      <c r="W3" s="281"/>
      <c r="X3" s="279"/>
      <c r="Y3" s="279"/>
      <c r="Z3" s="279"/>
      <c r="AA3" s="279"/>
      <c r="AB3" s="279"/>
      <c r="AC3" s="279"/>
      <c r="AD3" s="279"/>
      <c r="AE3" s="279"/>
      <c r="AF3" s="279"/>
      <c r="AG3" s="279"/>
      <c r="AH3" s="279"/>
      <c r="AI3" s="279"/>
      <c r="AJ3" s="279"/>
      <c r="AK3" s="279"/>
      <c r="AL3" s="279"/>
      <c r="AM3" s="279"/>
      <c r="AN3" s="52"/>
      <c r="AO3" s="282" t="s">
        <v>111</v>
      </c>
      <c r="AP3" s="282"/>
      <c r="AQ3" s="279"/>
      <c r="AR3" s="279"/>
      <c r="AS3" s="279"/>
      <c r="AT3" s="279"/>
      <c r="AU3" s="279"/>
      <c r="AV3" s="279"/>
      <c r="AW3" s="279"/>
      <c r="AX3" s="279"/>
      <c r="AY3" s="279"/>
      <c r="AZ3" s="279"/>
      <c r="BA3" s="279"/>
      <c r="BB3" s="279"/>
      <c r="BC3" s="279"/>
      <c r="BD3" s="279"/>
      <c r="BE3" s="279"/>
      <c r="BF3" s="279"/>
      <c r="BG3" s="52"/>
      <c r="BH3" s="282" t="s">
        <v>109</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6" customFormat="1" ht="50.1" customHeight="1">
      <c r="A4" s="57" t="s">
        <v>99</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2023-03-07T02:24:37Z</dcterms:modified>
  <cp:category/>
  <cp:contentStatus/>
</cp:coreProperties>
</file>