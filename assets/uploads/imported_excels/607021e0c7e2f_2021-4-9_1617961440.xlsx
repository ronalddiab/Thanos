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14" i="7" l="1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9" i="7" l="1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3" i="7"/>
  <c r="AX14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<sst xmlns="http://schemas.openxmlformats.org/spreadsheetml/2006/main" count="313" uniqueCount="148">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</sst>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23800.000000000044</v>
      </c>
      <c r="F33" s="17">
        <f t="shared" ref="F33:BC33" si="1">SUM(F2:F32)</f>
        <v>29500.00000000008</v>
      </c>
      <c r="G33" s="17">
        <f t="shared" si="1"/>
        <v>26000.00000000024</v>
      </c>
      <c r="H33" s="17">
        <f t="shared" si="1"/>
        <v>13400.000000000076</v>
      </c>
      <c r="I33" s="17">
        <f t="shared" si="1"/>
        <v>20899.999999999694</v>
      </c>
      <c r="J33" s="17">
        <f t="shared" si="1"/>
        <v>9600.0000000000546</v>
      </c>
      <c r="K33" s="17">
        <f t="shared" si="1"/>
        <v>233</v>
      </c>
      <c r="L33" s="17">
        <f t="shared" si="1"/>
        <v>68</v>
      </c>
      <c r="M33" s="17">
        <f t="shared" si="1"/>
        <v>9624.8000000000466</v>
      </c>
      <c r="N33" s="17">
        <f t="shared" si="1"/>
        <v>4342.9000000000233</v>
      </c>
      <c r="O33" s="17">
        <f t="shared" si="1"/>
        <v>2959.9999999999795</v>
      </c>
      <c r="P33" s="17">
        <f t="shared" si="1"/>
        <v>26899.99999999992</v>
      </c>
      <c r="Q33" s="17">
        <f t="shared" si="1"/>
        <v>3689.9999999999977</v>
      </c>
      <c r="R33" s="17">
        <f t="shared" si="1"/>
        <v>1589.999999999975</v>
      </c>
      <c r="S33" s="17">
        <f t="shared" si="1"/>
        <v>3399.9999999999773</v>
      </c>
      <c r="T33" s="17">
        <f t="shared" si="1"/>
        <v>341</v>
      </c>
      <c r="U33" s="35">
        <f t="shared" si="1"/>
        <v>9110.0000000000146</v>
      </c>
      <c r="V33" s="35">
        <f t="shared" si="1"/>
        <v>1820.0000000000216</v>
      </c>
      <c r="W33" s="35">
        <f t="shared" si="1"/>
        <v>1169.9999999999875</v>
      </c>
      <c r="X33" s="35">
        <f t="shared" si="1"/>
        <v>1510.0000000000193</v>
      </c>
      <c r="Y33" s="35">
        <f t="shared" si="1"/>
        <v>2199.9999999999891</v>
      </c>
      <c r="Z33" s="35">
        <f t="shared" si="1"/>
        <v>1900.0000000000341</v>
      </c>
      <c r="AA33" s="35">
        <f t="shared" si="1"/>
        <v>1900.0000000000341</v>
      </c>
      <c r="AB33" s="35">
        <f t="shared" si="1"/>
        <v>1370.0000000000045</v>
      </c>
      <c r="AC33" s="35">
        <f t="shared" si="1"/>
        <v>370.00000000000455</v>
      </c>
      <c r="AD33" s="35">
        <f t="shared" si="1"/>
        <v>150.00000000003411</v>
      </c>
      <c r="AE33" s="35">
        <f t="shared" si="1"/>
        <v>1280.0000000000011</v>
      </c>
      <c r="AF33" s="17">
        <f t="shared" si="1"/>
        <v>346</v>
      </c>
      <c r="AG33" s="32">
        <f t="shared" si="1"/>
        <v>409.99999999999659</v>
      </c>
      <c r="AH33" s="32">
        <f t="shared" si="1"/>
        <v>389.99999999998636</v>
      </c>
      <c r="AI33" s="32">
        <f t="shared" si="1"/>
        <v>310.00000000000227</v>
      </c>
      <c r="AJ33" s="32">
        <f t="shared" si="1"/>
        <v>450.00000000001705</v>
      </c>
      <c r="AK33" s="32">
        <f t="shared" si="1"/>
        <v>290.00000000002046</v>
      </c>
      <c r="AL33" s="32">
        <f t="shared" si="1"/>
        <v>248</v>
      </c>
      <c r="AM33" s="32">
        <f t="shared" si="1"/>
        <v>370.00000000000455</v>
      </c>
      <c r="AN33" s="32">
        <f t="shared" si="1"/>
        <v>453</v>
      </c>
      <c r="AO33" s="32">
        <f t="shared" si="1"/>
        <v>259.99999999999091</v>
      </c>
      <c r="AP33" s="32">
        <f t="shared" si="1"/>
        <v>488</v>
      </c>
      <c r="AQ33" s="17">
        <f t="shared" si="1"/>
        <v>236.10000000000218</v>
      </c>
      <c r="AR33" s="17">
        <f t="shared" si="1"/>
        <v>67.800000000001091</v>
      </c>
      <c r="AS33" s="17">
        <f t="shared" si="1"/>
        <v>67.099999999999454</v>
      </c>
      <c r="AT33" s="17">
        <f t="shared" si="1"/>
        <v>447.69999999999709</v>
      </c>
      <c r="AU33" s="17">
        <f t="shared" si="1"/>
        <v>2834</v>
      </c>
      <c r="AV33" s="17">
        <f t="shared" si="1"/>
        <v>6059.9999999999454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0.25471435604357884</v>
      </c>
      <c r="G35" s="29">
        <f>G33-M36</f>
        <v>12032.30000000017</v>
      </c>
      <c r="AE35" s="35">
        <f>SUM(U33:AE33)</f>
        <v>22780.000000000138</v>
      </c>
      <c r="AG35" s="32">
        <f>SUM(AG33:AP33)</f>
        <v>3669.0000000000182</v>
      </c>
    </row>
    <row r="36" spans="5:55" x14ac:dyDescent="0.25">
      <c r="G36" s="29">
        <f>G35-633*14</f>
        <v>3170.3000000001703</v>
      </c>
      <c r="M36" s="29">
        <f>M33+N33</f>
        <v>13967.70000000007</v>
      </c>
    </row>
    <row r="37" spans="5:55" x14ac:dyDescent="0.25">
      <c r="E37" s="17">
        <f>E33+F33+G33+H33+J33-633*14</f>
        <v>93438.000000000495</v>
      </c>
      <c r="G37" s="37">
        <f>M36/E37</f>
        <v>0.14948629037436584</v>
      </c>
      <c r="M37" s="35">
        <f>AE35</f>
        <v>22780.000000000138</v>
      </c>
    </row>
    <row r="38" spans="5:55" x14ac:dyDescent="0.25">
      <c r="L38" s="27">
        <f>M38/E37</f>
        <v>3.9266679509407293E-2</v>
      </c>
      <c r="M38" s="29">
        <f>AG35</f>
        <v>3669.0000000000182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AO1" zoomScale="77" zoomScaleNormal="77" workbookViewId="0">
      <pane ySplit="1" topLeftCell="A2" activePane="bottomLeft" state="frozen"/>
      <selection pane="bottomLeft" activeCell="BK19" sqref="BK19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/>
      <c r="D13" s="64" t="str">
        <f t="shared" si="1"/>
        <v>0</v>
      </c>
      <c r="E13" s="58"/>
      <c r="F13" s="64" t="str">
        <f t="shared" si="2"/>
        <v>0</v>
      </c>
      <c r="G13" s="58"/>
      <c r="H13" s="64" t="str">
        <f t="shared" si="3"/>
        <v>0</v>
      </c>
      <c r="I13" s="58"/>
      <c r="J13" s="64" t="str">
        <f t="shared" si="4"/>
        <v>0</v>
      </c>
      <c r="K13" s="58"/>
      <c r="L13" s="64" t="str">
        <f t="shared" si="37"/>
        <v>0</v>
      </c>
      <c r="M13" s="58"/>
      <c r="N13" s="64" t="str">
        <f t="shared" si="5"/>
        <v/>
      </c>
      <c r="O13" s="58"/>
      <c r="P13" s="67" t="str">
        <f t="shared" si="43"/>
        <v/>
      </c>
      <c r="Q13" s="58"/>
      <c r="R13" s="67" t="str">
        <f t="shared" si="7"/>
        <v/>
      </c>
      <c r="S13" s="58"/>
      <c r="T13" s="67" t="str">
        <f t="shared" si="8"/>
        <v/>
      </c>
      <c r="U13" s="58"/>
      <c r="V13" s="67" t="str">
        <f t="shared" si="38"/>
        <v/>
      </c>
      <c r="W13" s="58"/>
      <c r="X13" s="65" t="str">
        <f t="shared" si="41"/>
        <v/>
      </c>
      <c r="Y13" s="58"/>
      <c r="Z13" s="65" t="str">
        <f t="shared" si="9"/>
        <v/>
      </c>
      <c r="AA13" s="58"/>
      <c r="AB13" s="65" t="str">
        <f t="shared" si="10"/>
        <v/>
      </c>
      <c r="AC13" s="58"/>
      <c r="AD13" s="65" t="str">
        <f t="shared" si="11"/>
        <v/>
      </c>
      <c r="AE13" s="58"/>
      <c r="AF13" s="65" t="str">
        <f t="shared" si="12"/>
        <v/>
      </c>
      <c r="AG13" s="58"/>
      <c r="AH13" s="67" t="str">
        <f t="shared" si="13"/>
        <v/>
      </c>
      <c r="AI13" s="58"/>
      <c r="AJ13" s="65" t="str">
        <f t="shared" si="14"/>
        <v/>
      </c>
      <c r="AK13" s="58"/>
      <c r="AL13" s="65" t="str">
        <f t="shared" si="14"/>
        <v/>
      </c>
      <c r="AM13" s="58"/>
      <c r="AN13" s="65" t="str">
        <f t="shared" si="14"/>
        <v/>
      </c>
      <c r="AO13" s="58"/>
      <c r="AP13" s="65" t="str">
        <f t="shared" si="14"/>
        <v/>
      </c>
      <c r="AQ13" s="58"/>
      <c r="AR13" s="65" t="str">
        <f t="shared" si="15"/>
        <v/>
      </c>
      <c r="AS13" s="58"/>
      <c r="AT13" s="65" t="str">
        <f t="shared" si="16"/>
        <v/>
      </c>
      <c r="AU13" s="58"/>
      <c r="AV13" s="65" t="str">
        <f t="shared" si="17"/>
        <v/>
      </c>
      <c r="AW13" s="58"/>
      <c r="AX13" s="65" t="str">
        <f t="shared" si="18"/>
        <v/>
      </c>
      <c r="AY13" s="58"/>
      <c r="AZ13" s="65" t="str">
        <f t="shared" si="19"/>
        <v/>
      </c>
      <c r="BA13" s="58"/>
      <c r="BB13" s="65" t="str">
        <f t="shared" si="20"/>
        <v/>
      </c>
      <c r="BC13" s="58"/>
      <c r="BD13" s="65" t="str">
        <f t="shared" si="21"/>
        <v/>
      </c>
      <c r="BE13" s="59"/>
      <c r="BF13" s="67" t="str">
        <f t="shared" si="39"/>
        <v/>
      </c>
      <c r="BG13" s="60"/>
      <c r="BH13" s="65" t="str">
        <f t="shared" si="22"/>
        <v/>
      </c>
      <c r="BI13" s="60"/>
      <c r="BJ13" s="65" t="str">
        <f t="shared" si="40"/>
        <v/>
      </c>
      <c r="BK13" s="60"/>
      <c r="BL13" s="65" t="str">
        <f t="shared" si="23"/>
        <v/>
      </c>
      <c r="BM13" s="60"/>
      <c r="BN13" s="65" t="str">
        <f t="shared" si="24"/>
        <v/>
      </c>
      <c r="BO13" s="60"/>
      <c r="BP13" s="65" t="str">
        <f t="shared" si="25"/>
        <v/>
      </c>
      <c r="BQ13" s="60"/>
      <c r="BR13" s="65" t="str">
        <f t="shared" si="26"/>
        <v/>
      </c>
      <c r="BS13" s="60"/>
      <c r="BT13" s="65" t="str">
        <f t="shared" si="42"/>
        <v/>
      </c>
      <c r="BU13" s="60"/>
      <c r="BV13" s="65" t="str">
        <f t="shared" si="27"/>
        <v/>
      </c>
      <c r="BW13" s="60"/>
      <c r="BX13" s="65" t="str">
        <f t="shared" si="28"/>
        <v/>
      </c>
      <c r="BY13" s="60"/>
      <c r="BZ13" s="67" t="str">
        <f t="shared" si="29"/>
        <v/>
      </c>
      <c r="CA13" s="60"/>
      <c r="CB13" s="67" t="str">
        <f t="shared" si="30"/>
        <v/>
      </c>
      <c r="CC13" s="60"/>
      <c r="CD13" s="67" t="str">
        <f t="shared" si="31"/>
        <v/>
      </c>
      <c r="CE13" s="60"/>
      <c r="CF13" s="67" t="str">
        <f t="shared" si="32"/>
        <v/>
      </c>
      <c r="CG13" s="60"/>
      <c r="CH13" s="67" t="str">
        <f t="shared" si="33"/>
        <v/>
      </c>
      <c r="CI13" s="60"/>
      <c r="CJ13" s="67" t="str">
        <f t="shared" si="34"/>
        <v/>
      </c>
      <c r="CK13" s="60"/>
      <c r="CL13" s="64" t="str">
        <f t="shared" si="35"/>
        <v/>
      </c>
      <c r="CM13" s="65" t="e">
        <f t="shared" si="0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6"/>
        <v/>
      </c>
      <c r="CT13" s="75"/>
      <c r="CU13" s="67" t="str">
        <f t="shared" si="36"/>
        <v/>
      </c>
      <c r="CV13" s="68"/>
      <c r="CW13" s="67" t="str">
        <f t="shared" si="36"/>
        <v/>
      </c>
    </row>
    <row r="14" spans="1:101" ht="25.5" customHeight="1" thickBot="1" x14ac:dyDescent="0.45">
      <c r="A14" s="63">
        <v>44296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37"/>
        <v>0</v>
      </c>
      <c r="M14" s="58"/>
      <c r="N14" s="64">
        <f t="shared" si="5"/>
        <v>0</v>
      </c>
      <c r="O14" s="58"/>
      <c r="P14" s="67">
        <f t="shared" si="43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38"/>
        <v>0</v>
      </c>
      <c r="W14" s="58"/>
      <c r="X14" s="65">
        <f t="shared" si="41"/>
        <v>0</v>
      </c>
      <c r="Y14" s="58"/>
      <c r="Z14" s="65">
        <f t="shared" si="9"/>
        <v>0</v>
      </c>
      <c r="AA14" s="58"/>
      <c r="AB14" s="65">
        <f t="shared" si="10"/>
        <v>0</v>
      </c>
      <c r="AC14" s="58"/>
      <c r="AD14" s="65">
        <f t="shared" si="11"/>
        <v>0</v>
      </c>
      <c r="AE14" s="58"/>
      <c r="AF14" s="65">
        <f t="shared" si="12"/>
        <v>0</v>
      </c>
      <c r="AG14" s="58"/>
      <c r="AH14" s="67">
        <f t="shared" si="13"/>
        <v>0</v>
      </c>
      <c r="AI14" s="58"/>
      <c r="AJ14" s="65">
        <f t="shared" si="14"/>
        <v>0</v>
      </c>
      <c r="AK14" s="58"/>
      <c r="AL14" s="65">
        <f t="shared" si="14"/>
        <v>0</v>
      </c>
      <c r="AM14" s="58"/>
      <c r="AN14" s="65">
        <f t="shared" si="14"/>
        <v>0</v>
      </c>
      <c r="AO14" s="58"/>
      <c r="AP14" s="65">
        <f t="shared" si="14"/>
        <v>0</v>
      </c>
      <c r="AQ14" s="58"/>
      <c r="AR14" s="65">
        <f t="shared" si="15"/>
        <v>0</v>
      </c>
      <c r="AS14" s="58"/>
      <c r="AT14" s="65">
        <f t="shared" si="16"/>
        <v>0</v>
      </c>
      <c r="AU14" s="58"/>
      <c r="AV14" s="65">
        <f t="shared" si="17"/>
        <v>0</v>
      </c>
      <c r="AW14" s="58"/>
      <c r="AX14" s="65">
        <f t="shared" si="18"/>
        <v>0</v>
      </c>
      <c r="AY14" s="58"/>
      <c r="AZ14" s="65">
        <f t="shared" si="19"/>
        <v>0</v>
      </c>
      <c r="BA14" s="58"/>
      <c r="BB14" s="65">
        <f t="shared" si="20"/>
        <v>0</v>
      </c>
      <c r="BC14" s="58"/>
      <c r="BD14" s="65">
        <f t="shared" si="21"/>
        <v>0</v>
      </c>
      <c r="BE14" s="59"/>
      <c r="BF14" s="67">
        <f t="shared" si="39"/>
        <v>0</v>
      </c>
      <c r="BG14" s="60"/>
      <c r="BH14" s="65">
        <f t="shared" si="22"/>
        <v>0</v>
      </c>
      <c r="BI14" s="60"/>
      <c r="BJ14" s="65">
        <f t="shared" si="40"/>
        <v>0</v>
      </c>
      <c r="BK14" s="60"/>
      <c r="BL14" s="65">
        <f t="shared" si="23"/>
        <v>0</v>
      </c>
      <c r="BM14" s="60"/>
      <c r="BN14" s="65">
        <f t="shared" si="24"/>
        <v>0</v>
      </c>
      <c r="BO14" s="60"/>
      <c r="BP14" s="65">
        <f t="shared" si="25"/>
        <v>0</v>
      </c>
      <c r="BQ14" s="60"/>
      <c r="BR14" s="65">
        <f t="shared" si="26"/>
        <v>0</v>
      </c>
      <c r="BS14" s="60"/>
      <c r="BT14" s="65">
        <f t="shared" si="42"/>
        <v>0</v>
      </c>
      <c r="BU14" s="60"/>
      <c r="BV14" s="65">
        <f t="shared" si="27"/>
        <v>0</v>
      </c>
      <c r="BW14" s="60"/>
      <c r="BX14" s="65">
        <f t="shared" si="28"/>
        <v>0</v>
      </c>
      <c r="BY14" s="60"/>
      <c r="BZ14" s="67">
        <f t="shared" si="29"/>
        <v>0</v>
      </c>
      <c r="CA14" s="60"/>
      <c r="CB14" s="67">
        <f t="shared" si="30"/>
        <v>0</v>
      </c>
      <c r="CC14" s="60"/>
      <c r="CD14" s="67">
        <f t="shared" si="31"/>
        <v>0</v>
      </c>
      <c r="CE14" s="60"/>
      <c r="CF14" s="67">
        <f t="shared" si="32"/>
        <v>0</v>
      </c>
      <c r="CG14" s="60"/>
      <c r="CH14" s="67">
        <f t="shared" si="33"/>
        <v>0</v>
      </c>
      <c r="CI14" s="60"/>
      <c r="CJ14" s="67">
        <f t="shared" si="34"/>
        <v>0</v>
      </c>
      <c r="CK14" s="60"/>
      <c r="CL14" s="64">
        <f t="shared" si="35"/>
        <v>0</v>
      </c>
      <c r="CM14" s="65">
        <f t="shared" si="0"/>
        <v>0</v>
      </c>
      <c r="CN14" s="62">
        <v>0</v>
      </c>
      <c r="CO14" s="62">
        <v>0</v>
      </c>
      <c r="CP14" s="68"/>
      <c r="CQ14" s="67">
        <f t="shared" si="36"/>
        <v>0</v>
      </c>
      <c r="CR14" s="68"/>
      <c r="CS14" s="67">
        <f t="shared" si="36"/>
        <v>0</v>
      </c>
      <c r="CT14" s="75"/>
      <c r="CU14" s="67">
        <f t="shared" si="36"/>
        <v>0</v>
      </c>
      <c r="CV14" s="68"/>
      <c r="CW14" s="67">
        <f t="shared" si="36"/>
        <v>0</v>
      </c>
    </row>
    <row r="15" spans="1:101" ht="25.5" customHeight="1" thickBot="1" x14ac:dyDescent="0.45">
      <c r="A15" s="63">
        <v>44297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37"/>
        <v>0</v>
      </c>
      <c r="M15" s="58"/>
      <c r="N15" s="64">
        <f t="shared" si="5"/>
        <v>0</v>
      </c>
      <c r="O15" s="58"/>
      <c r="P15" s="67">
        <f t="shared" si="43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38"/>
        <v>0</v>
      </c>
      <c r="W15" s="58"/>
      <c r="X15" s="65">
        <f t="shared" si="41"/>
        <v>0</v>
      </c>
      <c r="Y15" s="58"/>
      <c r="Z15" s="65">
        <f t="shared" si="9"/>
        <v>0</v>
      </c>
      <c r="AA15" s="58"/>
      <c r="AB15" s="65">
        <f t="shared" si="10"/>
        <v>0</v>
      </c>
      <c r="AC15" s="58"/>
      <c r="AD15" s="65">
        <f t="shared" si="11"/>
        <v>0</v>
      </c>
      <c r="AE15" s="58"/>
      <c r="AF15" s="65">
        <f t="shared" si="12"/>
        <v>0</v>
      </c>
      <c r="AG15" s="58"/>
      <c r="AH15" s="67">
        <f t="shared" si="13"/>
        <v>0</v>
      </c>
      <c r="AI15" s="58"/>
      <c r="AJ15" s="65">
        <f t="shared" si="14"/>
        <v>0</v>
      </c>
      <c r="AK15" s="58"/>
      <c r="AL15" s="65">
        <f t="shared" si="14"/>
        <v>0</v>
      </c>
      <c r="AM15" s="58"/>
      <c r="AN15" s="65">
        <f t="shared" si="14"/>
        <v>0</v>
      </c>
      <c r="AO15" s="58"/>
      <c r="AP15" s="65">
        <f t="shared" si="14"/>
        <v>0</v>
      </c>
      <c r="AQ15" s="58"/>
      <c r="AR15" s="65">
        <f t="shared" si="15"/>
        <v>0</v>
      </c>
      <c r="AS15" s="58"/>
      <c r="AT15" s="65">
        <f t="shared" si="16"/>
        <v>0</v>
      </c>
      <c r="AU15" s="58"/>
      <c r="AV15" s="65">
        <f t="shared" si="17"/>
        <v>0</v>
      </c>
      <c r="AW15" s="58"/>
      <c r="AX15" s="65">
        <f t="shared" si="18"/>
        <v>0</v>
      </c>
      <c r="AY15" s="58"/>
      <c r="AZ15" s="65">
        <f t="shared" si="19"/>
        <v>0</v>
      </c>
      <c r="BA15" s="58"/>
      <c r="BB15" s="65">
        <f t="shared" si="20"/>
        <v>0</v>
      </c>
      <c r="BC15" s="58"/>
      <c r="BD15" s="65">
        <f t="shared" si="21"/>
        <v>0</v>
      </c>
      <c r="BE15" s="59"/>
      <c r="BF15" s="67">
        <f t="shared" si="39"/>
        <v>0</v>
      </c>
      <c r="BG15" s="60"/>
      <c r="BH15" s="65">
        <f t="shared" si="22"/>
        <v>0</v>
      </c>
      <c r="BI15" s="60"/>
      <c r="BJ15" s="65">
        <f t="shared" si="40"/>
        <v>0</v>
      </c>
      <c r="BK15" s="60"/>
      <c r="BL15" s="65">
        <f t="shared" si="23"/>
        <v>0</v>
      </c>
      <c r="BM15" s="60"/>
      <c r="BN15" s="65">
        <f t="shared" si="24"/>
        <v>0</v>
      </c>
      <c r="BO15" s="60"/>
      <c r="BP15" s="65">
        <f t="shared" si="25"/>
        <v>0</v>
      </c>
      <c r="BQ15" s="60"/>
      <c r="BR15" s="65">
        <f t="shared" si="26"/>
        <v>0</v>
      </c>
      <c r="BS15" s="60"/>
      <c r="BT15" s="65">
        <f t="shared" si="42"/>
        <v>0</v>
      </c>
      <c r="BU15" s="60"/>
      <c r="BV15" s="65">
        <f t="shared" si="27"/>
        <v>0</v>
      </c>
      <c r="BW15" s="60"/>
      <c r="BX15" s="65">
        <f t="shared" si="28"/>
        <v>0</v>
      </c>
      <c r="BY15" s="60"/>
      <c r="BZ15" s="67">
        <f t="shared" si="29"/>
        <v>0</v>
      </c>
      <c r="CA15" s="60"/>
      <c r="CB15" s="67">
        <f t="shared" si="30"/>
        <v>0</v>
      </c>
      <c r="CC15" s="60"/>
      <c r="CD15" s="67">
        <f t="shared" si="31"/>
        <v>0</v>
      </c>
      <c r="CE15" s="60"/>
      <c r="CF15" s="67">
        <f t="shared" si="32"/>
        <v>0</v>
      </c>
      <c r="CG15" s="60"/>
      <c r="CH15" s="67">
        <f t="shared" si="33"/>
        <v>0</v>
      </c>
      <c r="CI15" s="60"/>
      <c r="CJ15" s="67">
        <f t="shared" si="34"/>
        <v>0</v>
      </c>
      <c r="CK15" s="60"/>
      <c r="CL15" s="64">
        <f t="shared" si="35"/>
        <v>0</v>
      </c>
      <c r="CM15" s="65">
        <f t="shared" si="0"/>
        <v>0</v>
      </c>
      <c r="CN15" s="62">
        <v>0</v>
      </c>
      <c r="CO15" s="62">
        <v>0</v>
      </c>
      <c r="CP15" s="68"/>
      <c r="CQ15" s="67">
        <f t="shared" si="36"/>
        <v>0</v>
      </c>
      <c r="CR15" s="68"/>
      <c r="CS15" s="67">
        <f t="shared" si="36"/>
        <v>0</v>
      </c>
      <c r="CT15" s="75"/>
      <c r="CU15" s="67">
        <f t="shared" si="36"/>
        <v>0</v>
      </c>
      <c r="CV15" s="68"/>
      <c r="CW15" s="67">
        <f t="shared" si="36"/>
        <v>0</v>
      </c>
    </row>
    <row r="16" spans="1:101" ht="25.5" customHeight="1" thickBot="1" x14ac:dyDescent="0.45">
      <c r="A16" s="63">
        <v>44298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37"/>
        <v>0</v>
      </c>
      <c r="M16" s="58"/>
      <c r="N16" s="64">
        <f t="shared" si="5"/>
        <v>0</v>
      </c>
      <c r="O16" s="58"/>
      <c r="P16" s="67">
        <f t="shared" si="43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38"/>
        <v>0</v>
      </c>
      <c r="W16" s="58"/>
      <c r="X16" s="65">
        <f t="shared" si="41"/>
        <v>0</v>
      </c>
      <c r="Y16" s="58"/>
      <c r="Z16" s="65">
        <f t="shared" si="9"/>
        <v>0</v>
      </c>
      <c r="AA16" s="58"/>
      <c r="AB16" s="65">
        <f t="shared" si="10"/>
        <v>0</v>
      </c>
      <c r="AC16" s="58"/>
      <c r="AD16" s="65">
        <f t="shared" si="11"/>
        <v>0</v>
      </c>
      <c r="AE16" s="58"/>
      <c r="AF16" s="65">
        <f t="shared" si="12"/>
        <v>0</v>
      </c>
      <c r="AG16" s="58"/>
      <c r="AH16" s="67">
        <f t="shared" si="13"/>
        <v>0</v>
      </c>
      <c r="AI16" s="58"/>
      <c r="AJ16" s="65">
        <f t="shared" si="14"/>
        <v>0</v>
      </c>
      <c r="AK16" s="58"/>
      <c r="AL16" s="65">
        <f t="shared" si="14"/>
        <v>0</v>
      </c>
      <c r="AM16" s="58"/>
      <c r="AN16" s="65">
        <f t="shared" si="14"/>
        <v>0</v>
      </c>
      <c r="AO16" s="58"/>
      <c r="AP16" s="65">
        <f t="shared" si="14"/>
        <v>0</v>
      </c>
      <c r="AQ16" s="58"/>
      <c r="AR16" s="65">
        <f t="shared" si="15"/>
        <v>0</v>
      </c>
      <c r="AS16" s="58"/>
      <c r="AT16" s="65">
        <f t="shared" si="16"/>
        <v>0</v>
      </c>
      <c r="AU16" s="58"/>
      <c r="AV16" s="65">
        <f t="shared" si="17"/>
        <v>0</v>
      </c>
      <c r="AW16" s="58"/>
      <c r="AX16" s="65">
        <f t="shared" si="18"/>
        <v>0</v>
      </c>
      <c r="AY16" s="58"/>
      <c r="AZ16" s="65">
        <f t="shared" si="19"/>
        <v>0</v>
      </c>
      <c r="BA16" s="58"/>
      <c r="BB16" s="65">
        <f t="shared" si="20"/>
        <v>0</v>
      </c>
      <c r="BC16" s="58"/>
      <c r="BD16" s="65">
        <f t="shared" si="21"/>
        <v>0</v>
      </c>
      <c r="BE16" s="59"/>
      <c r="BF16" s="67">
        <f t="shared" si="39"/>
        <v>0</v>
      </c>
      <c r="BG16" s="60"/>
      <c r="BH16" s="65">
        <f t="shared" si="22"/>
        <v>0</v>
      </c>
      <c r="BI16" s="60"/>
      <c r="BJ16" s="65">
        <f t="shared" si="40"/>
        <v>0</v>
      </c>
      <c r="BK16" s="60"/>
      <c r="BL16" s="65">
        <f t="shared" si="23"/>
        <v>0</v>
      </c>
      <c r="BM16" s="60"/>
      <c r="BN16" s="65">
        <f t="shared" si="24"/>
        <v>0</v>
      </c>
      <c r="BO16" s="60"/>
      <c r="BP16" s="65">
        <f t="shared" si="25"/>
        <v>0</v>
      </c>
      <c r="BQ16" s="60"/>
      <c r="BR16" s="65">
        <f t="shared" si="26"/>
        <v>0</v>
      </c>
      <c r="BS16" s="60"/>
      <c r="BT16" s="65">
        <f t="shared" si="42"/>
        <v>0</v>
      </c>
      <c r="BU16" s="60"/>
      <c r="BV16" s="65">
        <f t="shared" si="27"/>
        <v>0</v>
      </c>
      <c r="BW16" s="60"/>
      <c r="BX16" s="65">
        <f t="shared" si="28"/>
        <v>0</v>
      </c>
      <c r="BY16" s="60"/>
      <c r="BZ16" s="67">
        <f t="shared" si="29"/>
        <v>0</v>
      </c>
      <c r="CA16" s="60"/>
      <c r="CB16" s="67">
        <f>IF((CA16-CA15&lt;0), "",CA16-CA15)</f>
        <v>0</v>
      </c>
      <c r="CC16" s="60"/>
      <c r="CD16" s="67">
        <f t="shared" si="31"/>
        <v>0</v>
      </c>
      <c r="CE16" s="60"/>
      <c r="CF16" s="67">
        <f t="shared" si="32"/>
        <v>0</v>
      </c>
      <c r="CG16" s="60"/>
      <c r="CH16" s="67">
        <f t="shared" si="33"/>
        <v>0</v>
      </c>
      <c r="CI16" s="60"/>
      <c r="CJ16" s="67">
        <f t="shared" si="34"/>
        <v>0</v>
      </c>
      <c r="CK16" s="60"/>
      <c r="CL16" s="64">
        <f t="shared" si="35"/>
        <v>0</v>
      </c>
      <c r="CM16" s="65">
        <f t="shared" si="0"/>
        <v>0</v>
      </c>
      <c r="CN16" s="62">
        <v>0</v>
      </c>
      <c r="CO16" s="62">
        <v>0</v>
      </c>
      <c r="CP16" s="68"/>
      <c r="CQ16" s="67">
        <f t="shared" si="36"/>
        <v>0</v>
      </c>
      <c r="CR16" s="68"/>
      <c r="CS16" s="67">
        <f t="shared" si="36"/>
        <v>0</v>
      </c>
      <c r="CT16" s="75"/>
      <c r="CU16" s="67">
        <f t="shared" si="36"/>
        <v>0</v>
      </c>
      <c r="CV16" s="68"/>
      <c r="CW16" s="67">
        <f t="shared" si="36"/>
        <v>0</v>
      </c>
    </row>
    <row r="17" spans="1:101" ht="25.5" customHeight="1" thickBot="1" x14ac:dyDescent="0.45">
      <c r="A17" s="63">
        <v>44299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37"/>
        <v>0</v>
      </c>
      <c r="M17" s="58"/>
      <c r="N17" s="64">
        <f t="shared" si="5"/>
        <v>0</v>
      </c>
      <c r="O17" s="58"/>
      <c r="P17" s="67">
        <f t="shared" si="43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38"/>
        <v>0</v>
      </c>
      <c r="W17" s="58"/>
      <c r="X17" s="65">
        <f t="shared" si="41"/>
        <v>0</v>
      </c>
      <c r="Y17" s="58"/>
      <c r="Z17" s="65">
        <f t="shared" si="9"/>
        <v>0</v>
      </c>
      <c r="AA17" s="58"/>
      <c r="AB17" s="65">
        <f t="shared" si="10"/>
        <v>0</v>
      </c>
      <c r="AC17" s="58"/>
      <c r="AD17" s="65">
        <f t="shared" si="11"/>
        <v>0</v>
      </c>
      <c r="AE17" s="58"/>
      <c r="AF17" s="65">
        <f t="shared" si="12"/>
        <v>0</v>
      </c>
      <c r="AG17" s="58"/>
      <c r="AH17" s="67">
        <f t="shared" si="13"/>
        <v>0</v>
      </c>
      <c r="AI17" s="58"/>
      <c r="AJ17" s="65">
        <f t="shared" si="14"/>
        <v>0</v>
      </c>
      <c r="AK17" s="58"/>
      <c r="AL17" s="65">
        <f t="shared" si="14"/>
        <v>0</v>
      </c>
      <c r="AM17" s="58"/>
      <c r="AN17" s="65">
        <f t="shared" si="14"/>
        <v>0</v>
      </c>
      <c r="AO17" s="58"/>
      <c r="AP17" s="65">
        <f t="shared" si="14"/>
        <v>0</v>
      </c>
      <c r="AQ17" s="58"/>
      <c r="AR17" s="65">
        <f t="shared" si="15"/>
        <v>0</v>
      </c>
      <c r="AS17" s="58"/>
      <c r="AT17" s="65">
        <f t="shared" si="16"/>
        <v>0</v>
      </c>
      <c r="AU17" s="58"/>
      <c r="AV17" s="65">
        <f t="shared" si="17"/>
        <v>0</v>
      </c>
      <c r="AW17" s="58"/>
      <c r="AX17" s="65">
        <f t="shared" si="18"/>
        <v>0</v>
      </c>
      <c r="AY17" s="58"/>
      <c r="AZ17" s="65">
        <f t="shared" si="19"/>
        <v>0</v>
      </c>
      <c r="BA17" s="58"/>
      <c r="BB17" s="65">
        <f t="shared" si="20"/>
        <v>0</v>
      </c>
      <c r="BC17" s="58"/>
      <c r="BD17" s="65">
        <f t="shared" si="21"/>
        <v>0</v>
      </c>
      <c r="BE17" s="59"/>
      <c r="BF17" s="67">
        <f t="shared" si="39"/>
        <v>0</v>
      </c>
      <c r="BG17" s="60"/>
      <c r="BH17" s="65">
        <f t="shared" si="22"/>
        <v>0</v>
      </c>
      <c r="BI17" s="60"/>
      <c r="BJ17" s="65">
        <f t="shared" si="40"/>
        <v>0</v>
      </c>
      <c r="BK17" s="60"/>
      <c r="BL17" s="65">
        <f t="shared" si="23"/>
        <v>0</v>
      </c>
      <c r="BM17" s="60"/>
      <c r="BN17" s="65">
        <f t="shared" si="24"/>
        <v>0</v>
      </c>
      <c r="BO17" s="60"/>
      <c r="BP17" s="65">
        <f t="shared" si="25"/>
        <v>0</v>
      </c>
      <c r="BQ17" s="60"/>
      <c r="BR17" s="65">
        <f t="shared" si="26"/>
        <v>0</v>
      </c>
      <c r="BS17" s="60"/>
      <c r="BT17" s="65">
        <f t="shared" si="42"/>
        <v>0</v>
      </c>
      <c r="BU17" s="60"/>
      <c r="BV17" s="65">
        <f t="shared" si="27"/>
        <v>0</v>
      </c>
      <c r="BW17" s="60"/>
      <c r="BX17" s="65">
        <f t="shared" si="28"/>
        <v>0</v>
      </c>
      <c r="BY17" s="60"/>
      <c r="BZ17" s="67">
        <f t="shared" si="29"/>
        <v>0</v>
      </c>
      <c r="CA17" s="60"/>
      <c r="CB17" s="67">
        <f>IF((CA17-CA16&lt;0), "",CA17-CA16)</f>
        <v>0</v>
      </c>
      <c r="CC17" s="60"/>
      <c r="CD17" s="67">
        <f t="shared" si="31"/>
        <v>0</v>
      </c>
      <c r="CE17" s="60"/>
      <c r="CF17" s="67">
        <f t="shared" si="32"/>
        <v>0</v>
      </c>
      <c r="CG17" s="60"/>
      <c r="CH17" s="67">
        <f t="shared" si="33"/>
        <v>0</v>
      </c>
      <c r="CI17" s="60"/>
      <c r="CJ17" s="67">
        <f t="shared" si="34"/>
        <v>0</v>
      </c>
      <c r="CK17" s="60"/>
      <c r="CL17" s="64">
        <f t="shared" si="35"/>
        <v>0</v>
      </c>
      <c r="CM17" s="65">
        <f t="shared" si="0"/>
        <v>0</v>
      </c>
      <c r="CN17" s="62">
        <v>0</v>
      </c>
      <c r="CO17" s="62">
        <v>0</v>
      </c>
      <c r="CP17" s="68"/>
      <c r="CQ17" s="67">
        <f t="shared" si="36"/>
        <v>0</v>
      </c>
      <c r="CR17" s="68"/>
      <c r="CS17" s="67">
        <f t="shared" si="36"/>
        <v>0</v>
      </c>
      <c r="CT17" s="75"/>
      <c r="CU17" s="67">
        <f t="shared" si="36"/>
        <v>0</v>
      </c>
      <c r="CV17" s="68"/>
      <c r="CW17" s="67">
        <f t="shared" si="36"/>
        <v>0</v>
      </c>
    </row>
    <row r="18" spans="1:101" ht="25.5" customHeight="1" thickBot="1" x14ac:dyDescent="0.45">
      <c r="A18" s="63">
        <v>44300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37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38"/>
        <v>0</v>
      </c>
      <c r="W18" s="58"/>
      <c r="X18" s="65">
        <f t="shared" si="41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7"/>
        <v>0</v>
      </c>
      <c r="BW18" s="60"/>
      <c r="BX18" s="65">
        <f t="shared" si="28"/>
        <v>0</v>
      </c>
      <c r="BY18" s="60"/>
      <c r="BZ18" s="67">
        <f t="shared" si="29"/>
        <v>0</v>
      </c>
      <c r="CA18" s="60"/>
      <c r="CB18" s="67">
        <f>IF((CA18-CA17&lt;0), "",CA18-CA17)</f>
        <v>0</v>
      </c>
      <c r="CC18" s="60"/>
      <c r="CD18" s="67">
        <f t="shared" si="31"/>
        <v>0</v>
      </c>
      <c r="CE18" s="60"/>
      <c r="CF18" s="67">
        <f t="shared" si="32"/>
        <v>0</v>
      </c>
      <c r="CG18" s="60"/>
      <c r="CH18" s="67">
        <f t="shared" si="33"/>
        <v>0</v>
      </c>
      <c r="CI18" s="60"/>
      <c r="CJ18" s="67">
        <f t="shared" si="34"/>
        <v>0</v>
      </c>
      <c r="CK18" s="60"/>
      <c r="CL18" s="64">
        <f t="shared" si="35"/>
        <v>0</v>
      </c>
      <c r="CM18" s="65">
        <f t="shared" si="0"/>
        <v>0</v>
      </c>
      <c r="CN18" s="62">
        <v>0</v>
      </c>
      <c r="CO18" s="62">
        <v>0</v>
      </c>
      <c r="CP18" s="68"/>
      <c r="CQ18" s="67">
        <f t="shared" si="36"/>
        <v>0</v>
      </c>
      <c r="CR18" s="68"/>
      <c r="CS18" s="67">
        <f t="shared" si="36"/>
        <v>0</v>
      </c>
      <c r="CT18" s="75"/>
      <c r="CU18" s="67">
        <f t="shared" si="36"/>
        <v>0</v>
      </c>
      <c r="CV18" s="68"/>
      <c r="CW18" s="67">
        <f t="shared" si="36"/>
        <v>0</v>
      </c>
    </row>
    <row r="19" spans="1:101" ht="25.5" customHeight="1" thickBot="1" x14ac:dyDescent="0.45">
      <c r="A19" s="63">
        <v>44301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37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38"/>
        <v>0</v>
      </c>
      <c r="W19" s="58"/>
      <c r="X19" s="65">
        <f t="shared" si="41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7"/>
        <v>0</v>
      </c>
      <c r="BW19" s="60"/>
      <c r="BX19" s="65">
        <f t="shared" si="28"/>
        <v>0</v>
      </c>
      <c r="BY19" s="60"/>
      <c r="BZ19" s="67">
        <f t="shared" si="29"/>
        <v>0</v>
      </c>
      <c r="CA19" s="60"/>
      <c r="CB19" s="67">
        <f t="shared" si="30"/>
        <v>0</v>
      </c>
      <c r="CC19" s="60"/>
      <c r="CD19" s="67">
        <f t="shared" si="31"/>
        <v>0</v>
      </c>
      <c r="CE19" s="60"/>
      <c r="CF19" s="67">
        <f t="shared" si="32"/>
        <v>0</v>
      </c>
      <c r="CG19" s="60"/>
      <c r="CH19" s="67">
        <f t="shared" si="33"/>
        <v>0</v>
      </c>
      <c r="CI19" s="60"/>
      <c r="CJ19" s="67">
        <f t="shared" si="34"/>
        <v>0</v>
      </c>
      <c r="CK19" s="60"/>
      <c r="CL19" s="64">
        <f t="shared" si="35"/>
        <v>0</v>
      </c>
      <c r="CM19" s="65">
        <f t="shared" si="0"/>
        <v>0</v>
      </c>
      <c r="CN19" s="62">
        <v>0</v>
      </c>
      <c r="CO19" s="62">
        <v>0</v>
      </c>
      <c r="CP19" s="68"/>
      <c r="CQ19" s="67">
        <f t="shared" si="36"/>
        <v>0</v>
      </c>
      <c r="CR19" s="68"/>
      <c r="CS19" s="67">
        <f t="shared" si="36"/>
        <v>0</v>
      </c>
      <c r="CT19" s="75"/>
      <c r="CU19" s="67">
        <f t="shared" si="36"/>
        <v>0</v>
      </c>
      <c r="CV19" s="68"/>
      <c r="CW19" s="67">
        <f t="shared" si="36"/>
        <v>0</v>
      </c>
    </row>
    <row r="20" spans="1:101" ht="25.5" customHeight="1" thickBot="1" x14ac:dyDescent="0.45">
      <c r="A20" s="63">
        <v>44302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37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38"/>
        <v>0</v>
      </c>
      <c r="W20" s="58"/>
      <c r="X20" s="65">
        <f t="shared" si="41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7"/>
        <v>0</v>
      </c>
      <c r="BW20" s="60"/>
      <c r="BX20" s="65">
        <f t="shared" si="28"/>
        <v>0</v>
      </c>
      <c r="BY20" s="60"/>
      <c r="BZ20" s="67">
        <f t="shared" si="29"/>
        <v>0</v>
      </c>
      <c r="CA20" s="60"/>
      <c r="CB20" s="67">
        <f t="shared" si="30"/>
        <v>0</v>
      </c>
      <c r="CC20" s="60"/>
      <c r="CD20" s="67">
        <f t="shared" si="31"/>
        <v>0</v>
      </c>
      <c r="CE20" s="60"/>
      <c r="CF20" s="67">
        <f t="shared" si="32"/>
        <v>0</v>
      </c>
      <c r="CG20" s="60"/>
      <c r="CH20" s="67">
        <f t="shared" si="33"/>
        <v>0</v>
      </c>
      <c r="CI20" s="60"/>
      <c r="CJ20" s="67">
        <f t="shared" si="34"/>
        <v>0</v>
      </c>
      <c r="CK20" s="60"/>
      <c r="CL20" s="64">
        <f t="shared" si="35"/>
        <v>0</v>
      </c>
      <c r="CM20" s="65">
        <f t="shared" si="0"/>
        <v>0</v>
      </c>
      <c r="CN20" s="62">
        <v>0</v>
      </c>
      <c r="CO20" s="62">
        <v>0</v>
      </c>
      <c r="CP20" s="68"/>
      <c r="CQ20" s="67">
        <f t="shared" si="36"/>
        <v>0</v>
      </c>
      <c r="CR20" s="68"/>
      <c r="CS20" s="67">
        <f t="shared" si="36"/>
        <v>0</v>
      </c>
      <c r="CT20" s="75"/>
      <c r="CU20" s="67">
        <f t="shared" si="36"/>
        <v>0</v>
      </c>
      <c r="CV20" s="68"/>
      <c r="CW20" s="67">
        <f t="shared" si="36"/>
        <v>0</v>
      </c>
    </row>
    <row r="21" spans="1:101" ht="25.5" customHeight="1" thickBot="1" x14ac:dyDescent="0.45">
      <c r="A21" s="63">
        <v>44303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37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38"/>
        <v>0</v>
      </c>
      <c r="W21" s="58"/>
      <c r="X21" s="65">
        <f t="shared" si="41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7"/>
        <v>0</v>
      </c>
      <c r="BW21" s="60"/>
      <c r="BX21" s="65">
        <f t="shared" si="28"/>
        <v>0</v>
      </c>
      <c r="BY21" s="60"/>
      <c r="BZ21" s="67">
        <f t="shared" si="29"/>
        <v>0</v>
      </c>
      <c r="CA21" s="60"/>
      <c r="CB21" s="67">
        <f t="shared" si="30"/>
        <v>0</v>
      </c>
      <c r="CC21" s="60"/>
      <c r="CD21" s="67">
        <f t="shared" si="31"/>
        <v>0</v>
      </c>
      <c r="CE21" s="60"/>
      <c r="CF21" s="67">
        <f t="shared" si="32"/>
        <v>0</v>
      </c>
      <c r="CG21" s="60"/>
      <c r="CH21" s="67">
        <f t="shared" si="33"/>
        <v>0</v>
      </c>
      <c r="CI21" s="60"/>
      <c r="CJ21" s="67">
        <f t="shared" si="34"/>
        <v>0</v>
      </c>
      <c r="CK21" s="60"/>
      <c r="CL21" s="64">
        <f t="shared" si="35"/>
        <v>0</v>
      </c>
      <c r="CM21" s="65">
        <f t="shared" si="0"/>
        <v>0</v>
      </c>
      <c r="CN21" s="62">
        <v>0</v>
      </c>
      <c r="CO21" s="62">
        <v>0</v>
      </c>
      <c r="CP21" s="68"/>
      <c r="CQ21" s="67">
        <f t="shared" si="36"/>
        <v>0</v>
      </c>
      <c r="CR21" s="68"/>
      <c r="CS21" s="67">
        <f t="shared" si="36"/>
        <v>0</v>
      </c>
      <c r="CT21" s="75"/>
      <c r="CU21" s="67">
        <f t="shared" si="36"/>
        <v>0</v>
      </c>
      <c r="CV21" s="68"/>
      <c r="CW21" s="67">
        <f t="shared" si="36"/>
        <v>0</v>
      </c>
    </row>
    <row r="22" spans="1:101" ht="25.5" customHeight="1" thickBot="1" x14ac:dyDescent="0.45">
      <c r="A22" s="63">
        <v>44304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37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38"/>
        <v>0</v>
      </c>
      <c r="W22" s="58"/>
      <c r="X22" s="65">
        <f t="shared" si="41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7"/>
        <v>0</v>
      </c>
      <c r="BW22" s="60"/>
      <c r="BX22" s="65">
        <f t="shared" si="28"/>
        <v>0</v>
      </c>
      <c r="BY22" s="60"/>
      <c r="BZ22" s="67">
        <f t="shared" si="29"/>
        <v>0</v>
      </c>
      <c r="CA22" s="60"/>
      <c r="CB22" s="67">
        <f t="shared" si="30"/>
        <v>0</v>
      </c>
      <c r="CC22" s="60"/>
      <c r="CD22" s="67">
        <f t="shared" si="31"/>
        <v>0</v>
      </c>
      <c r="CE22" s="60"/>
      <c r="CF22" s="67">
        <f t="shared" si="32"/>
        <v>0</v>
      </c>
      <c r="CG22" s="60"/>
      <c r="CH22" s="67">
        <f t="shared" si="33"/>
        <v>0</v>
      </c>
      <c r="CI22" s="60"/>
      <c r="CJ22" s="67">
        <f t="shared" si="34"/>
        <v>0</v>
      </c>
      <c r="CK22" s="60"/>
      <c r="CL22" s="64">
        <f t="shared" si="35"/>
        <v>0</v>
      </c>
      <c r="CM22" s="65">
        <f t="shared" si="0"/>
        <v>0</v>
      </c>
      <c r="CN22" s="62">
        <v>0</v>
      </c>
      <c r="CO22" s="62">
        <v>0</v>
      </c>
      <c r="CP22" s="68"/>
      <c r="CQ22" s="67">
        <f t="shared" si="36"/>
        <v>0</v>
      </c>
      <c r="CR22" s="68"/>
      <c r="CS22" s="67">
        <f t="shared" si="36"/>
        <v>0</v>
      </c>
      <c r="CT22" s="75"/>
      <c r="CU22" s="67">
        <f t="shared" si="36"/>
        <v>0</v>
      </c>
      <c r="CV22" s="68"/>
      <c r="CW22" s="67">
        <f t="shared" si="36"/>
        <v>0</v>
      </c>
    </row>
    <row r="23" spans="1:101" ht="25.5" customHeight="1" thickBot="1" x14ac:dyDescent="0.45">
      <c r="A23" s="63">
        <v>44305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37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38"/>
        <v>0</v>
      </c>
      <c r="W23" s="58"/>
      <c r="X23" s="65">
        <f t="shared" si="41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7"/>
        <v>0</v>
      </c>
      <c r="BW23" s="60"/>
      <c r="BX23" s="65">
        <f t="shared" si="28"/>
        <v>0</v>
      </c>
      <c r="BY23" s="60"/>
      <c r="BZ23" s="67">
        <f t="shared" si="29"/>
        <v>0</v>
      </c>
      <c r="CA23" s="60"/>
      <c r="CB23" s="67">
        <f t="shared" si="30"/>
        <v>0</v>
      </c>
      <c r="CC23" s="60"/>
      <c r="CD23" s="67">
        <f t="shared" si="31"/>
        <v>0</v>
      </c>
      <c r="CE23" s="60"/>
      <c r="CF23" s="67">
        <f t="shared" si="32"/>
        <v>0</v>
      </c>
      <c r="CG23" s="60"/>
      <c r="CH23" s="67">
        <f t="shared" si="33"/>
        <v>0</v>
      </c>
      <c r="CI23" s="60"/>
      <c r="CJ23" s="67">
        <f t="shared" si="34"/>
        <v>0</v>
      </c>
      <c r="CK23" s="60"/>
      <c r="CL23" s="64">
        <f t="shared" si="35"/>
        <v>0</v>
      </c>
      <c r="CM23" s="65">
        <f t="shared" si="0"/>
        <v>0</v>
      </c>
      <c r="CN23" s="62">
        <v>0</v>
      </c>
      <c r="CO23" s="62">
        <v>0</v>
      </c>
      <c r="CP23" s="68"/>
      <c r="CQ23" s="67">
        <f t="shared" si="36"/>
        <v>0</v>
      </c>
      <c r="CR23" s="68"/>
      <c r="CS23" s="67">
        <f t="shared" si="36"/>
        <v>0</v>
      </c>
      <c r="CT23" s="75"/>
      <c r="CU23" s="67">
        <f t="shared" si="36"/>
        <v>0</v>
      </c>
      <c r="CV23" s="68"/>
      <c r="CW23" s="67">
        <f t="shared" si="36"/>
        <v>0</v>
      </c>
    </row>
    <row r="24" spans="1:101" ht="25.5" customHeight="1" thickBot="1" x14ac:dyDescent="0.45">
      <c r="A24" s="63">
        <v>44306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37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38"/>
        <v>0</v>
      </c>
      <c r="W24" s="58"/>
      <c r="X24" s="65">
        <f t="shared" si="41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7"/>
        <v>0</v>
      </c>
      <c r="BW24" s="60"/>
      <c r="BX24" s="65">
        <f t="shared" si="28"/>
        <v>0</v>
      </c>
      <c r="BY24" s="60"/>
      <c r="BZ24" s="67">
        <f t="shared" si="29"/>
        <v>0</v>
      </c>
      <c r="CA24" s="60"/>
      <c r="CB24" s="67">
        <f t="shared" si="30"/>
        <v>0</v>
      </c>
      <c r="CC24" s="60"/>
      <c r="CD24" s="67">
        <f t="shared" si="31"/>
        <v>0</v>
      </c>
      <c r="CE24" s="60"/>
      <c r="CF24" s="67">
        <f t="shared" si="32"/>
        <v>0</v>
      </c>
      <c r="CG24" s="60"/>
      <c r="CH24" s="67">
        <f t="shared" si="33"/>
        <v>0</v>
      </c>
      <c r="CI24" s="60"/>
      <c r="CJ24" s="67">
        <f t="shared" si="34"/>
        <v>0</v>
      </c>
      <c r="CK24" s="60"/>
      <c r="CL24" s="64">
        <f t="shared" si="35"/>
        <v>0</v>
      </c>
      <c r="CM24" s="65">
        <f t="shared" si="0"/>
        <v>0</v>
      </c>
      <c r="CN24" s="62">
        <v>0</v>
      </c>
      <c r="CO24" s="62">
        <v>0</v>
      </c>
      <c r="CP24" s="68"/>
      <c r="CQ24" s="67">
        <f t="shared" si="36"/>
        <v>0</v>
      </c>
      <c r="CR24" s="68"/>
      <c r="CS24" s="67">
        <f t="shared" si="36"/>
        <v>0</v>
      </c>
      <c r="CT24" s="75"/>
      <c r="CU24" s="67">
        <f t="shared" si="36"/>
        <v>0</v>
      </c>
      <c r="CV24" s="68"/>
      <c r="CW24" s="67">
        <f t="shared" si="36"/>
        <v>0</v>
      </c>
    </row>
    <row r="25" spans="1:101" ht="25.5" customHeight="1" thickBot="1" x14ac:dyDescent="0.45">
      <c r="A25" s="63">
        <v>44307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37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38"/>
        <v>0</v>
      </c>
      <c r="W25" s="58"/>
      <c r="X25" s="65">
        <f t="shared" si="41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7"/>
        <v>0</v>
      </c>
      <c r="BW25" s="60"/>
      <c r="BX25" s="65">
        <f t="shared" si="28"/>
        <v>0</v>
      </c>
      <c r="BY25" s="60"/>
      <c r="BZ25" s="67">
        <f t="shared" si="29"/>
        <v>0</v>
      </c>
      <c r="CA25" s="60"/>
      <c r="CB25" s="67">
        <f t="shared" si="30"/>
        <v>0</v>
      </c>
      <c r="CC25" s="60"/>
      <c r="CD25" s="67">
        <f t="shared" si="31"/>
        <v>0</v>
      </c>
      <c r="CE25" s="60"/>
      <c r="CF25" s="67">
        <f t="shared" si="32"/>
        <v>0</v>
      </c>
      <c r="CG25" s="60"/>
      <c r="CH25" s="67">
        <f t="shared" si="33"/>
        <v>0</v>
      </c>
      <c r="CI25" s="60"/>
      <c r="CJ25" s="67">
        <f t="shared" si="34"/>
        <v>0</v>
      </c>
      <c r="CK25" s="60"/>
      <c r="CL25" s="64">
        <f t="shared" si="35"/>
        <v>0</v>
      </c>
      <c r="CM25" s="65">
        <f t="shared" si="0"/>
        <v>0</v>
      </c>
      <c r="CN25" s="62">
        <v>0</v>
      </c>
      <c r="CO25" s="62">
        <v>0</v>
      </c>
      <c r="CP25" s="68"/>
      <c r="CQ25" s="67">
        <f t="shared" si="36"/>
        <v>0</v>
      </c>
      <c r="CR25" s="68"/>
      <c r="CS25" s="67">
        <f t="shared" si="36"/>
        <v>0</v>
      </c>
      <c r="CT25" s="75"/>
      <c r="CU25" s="67">
        <f t="shared" si="36"/>
        <v>0</v>
      </c>
      <c r="CV25" s="68"/>
      <c r="CW25" s="67">
        <f t="shared" si="36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V21" sqref="V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-197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2021-04-09T07:40:17Z</dcterms:modified>
</cp:coreProperties>
</file>