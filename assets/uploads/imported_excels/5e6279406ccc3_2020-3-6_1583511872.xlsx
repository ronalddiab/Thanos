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ronal\Downloads\"/>
    </mc:Choice>
  </mc:AlternateContent>
  <xr:revisionPtr revIDLastSave="0" documentId="8_{8AB15B9D-3327-4BDC-B382-18F2769B0340}" xr6:coauthVersionLast="45" xr6:coauthVersionMax="45" xr10:uidLastSave="{00000000-0000-0000-0000-000000000000}"/>
  <bookViews>
    <workbookView xWindow="-108" yWindow="-108" windowWidth="23256" windowHeight="12576" tabRatio="433" activeTab="1" xr2:uid="{00000000-000D-0000-FFFF-FFFF00000000}"/>
  </bookViews>
  <sheets>
    <sheet name="Sheet1" sheetId="1" r:id="rId1"/>
    <sheet name="Feb 2020 " sheetId="31" r:id="rId2"/>
  </sheets>
  <calcPr calcId="152511" calcMode="manual" iterate="1" calcCompleted="0" calcOnSave="0" concurrentCalc="0"/>
</workbook>
</file>

<file path=xl/calcChain.xml><?xml version="1.0" encoding="utf-8"?>
<calcChain xmlns="http://schemas.openxmlformats.org/spreadsheetml/2006/main">
  <c r="G28" i="1" l="1"/>
  <c r="G30" i="1"/>
  <c r="G29" i="1"/>
  <c r="E31" i="1"/>
  <c r="I33" i="31"/>
  <c r="I32" i="31"/>
  <c r="I31" i="31"/>
  <c r="I30" i="31"/>
  <c r="I29" i="31"/>
  <c r="G33" i="31"/>
  <c r="G32" i="31"/>
  <c r="G31" i="31"/>
  <c r="G30" i="31"/>
  <c r="G29" i="31"/>
  <c r="I28" i="31"/>
  <c r="I27" i="31"/>
  <c r="I26" i="31"/>
  <c r="I25" i="31"/>
  <c r="G28" i="31"/>
  <c r="G27" i="31"/>
  <c r="G26" i="31"/>
  <c r="G25" i="31"/>
  <c r="G24" i="31"/>
  <c r="G23" i="31"/>
  <c r="G22" i="31"/>
  <c r="G21" i="31"/>
  <c r="G20" i="31"/>
  <c r="G19" i="31"/>
  <c r="G18" i="31"/>
  <c r="I24" i="31"/>
  <c r="I23" i="31"/>
  <c r="I22" i="31"/>
  <c r="I21" i="31"/>
  <c r="I20" i="31"/>
  <c r="I19" i="31"/>
  <c r="I18" i="31"/>
  <c r="G17" i="31"/>
  <c r="G16" i="31"/>
  <c r="G15" i="31"/>
  <c r="G14" i="31"/>
  <c r="G13" i="31"/>
  <c r="G12" i="31"/>
  <c r="G11" i="31"/>
  <c r="G10" i="31"/>
  <c r="G9" i="31"/>
  <c r="G8" i="31"/>
  <c r="G7" i="31"/>
  <c r="G6" i="31"/>
  <c r="G5" i="31"/>
  <c r="L17" i="31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M3" i="1"/>
  <c r="M4" i="1"/>
  <c r="M5" i="1"/>
  <c r="M6" i="1"/>
  <c r="M7" i="1"/>
  <c r="M8" i="1"/>
  <c r="M9" i="1"/>
  <c r="M10" i="1"/>
  <c r="M11" i="1"/>
  <c r="M12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K3" i="1"/>
  <c r="K4" i="1"/>
  <c r="K5" i="1"/>
  <c r="K6" i="1"/>
  <c r="K7" i="1"/>
  <c r="K8" i="1"/>
  <c r="K9" i="1"/>
  <c r="K10" i="1"/>
  <c r="K11" i="1"/>
  <c r="K12" i="1"/>
  <c r="K13" i="1"/>
  <c r="K15" i="1"/>
  <c r="K16" i="1"/>
  <c r="K17" i="1"/>
  <c r="K18" i="1"/>
  <c r="K19" i="1"/>
  <c r="K20" i="1"/>
  <c r="K21" i="1"/>
  <c r="K22" i="1"/>
  <c r="K23" i="1"/>
  <c r="K24" i="1"/>
  <c r="K25" i="1"/>
  <c r="K26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7" i="1"/>
  <c r="E18" i="1"/>
  <c r="E19" i="1"/>
  <c r="E20" i="1"/>
  <c r="E21" i="1"/>
  <c r="E22" i="1"/>
  <c r="E23" i="1"/>
  <c r="E24" i="1"/>
  <c r="E25" i="1"/>
  <c r="E26" i="1"/>
  <c r="E27" i="1"/>
  <c r="E32" i="1"/>
  <c r="E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1" i="1"/>
  <c r="O32" i="1"/>
  <c r="O2" i="1"/>
  <c r="K14" i="1"/>
  <c r="M1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<sst xmlns="http://schemas.openxmlformats.org/spreadsheetml/2006/main" count="60" uniqueCount="29">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</sst>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65" fontId="2" fillId="2" borderId="11" xfId="0" applyNumberFormat="1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4" fillId="2" borderId="11" xfId="0" applyNumberFormat="1" applyFon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5" fontId="2" fillId="2" borderId="15" xfId="0" applyNumberFormat="1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2" borderId="3" xfId="0" applyFill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B30" sqref="B30:O30"/>
    </sheetView>
  </sheetViews>
  <sheetFormatPr defaultColWidth="11.5546875" defaultRowHeight="13.2" x14ac:dyDescent="0.25"/>
  <cols>
    <col min="4" max="4" width="13.44140625" customWidth="1"/>
    <col min="5" max="6" width="12.5546875" customWidth="1"/>
  </cols>
  <sheetData>
    <row r="1" spans="1:17" ht="52.8" x14ac:dyDescent="0.25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5">
      <c r="A2" t="s">
        <v>27</v>
      </c>
      <c r="B2">
        <v>1</v>
      </c>
      <c r="C2">
        <v>2</v>
      </c>
      <c r="D2">
        <v>2020</v>
      </c>
      <c r="E2" s="15">
        <f ca="1">'Feb 2020 '!#REF!</f>
        <v>45722</v>
      </c>
      <c r="F2" s="10">
        <v>2.9000000000000001E-2</v>
      </c>
      <c r="G2" s="1">
        <f ca="1">'Feb 2020 '!#REF!</f>
        <v>2970</v>
      </c>
      <c r="H2" s="10">
        <v>0.112</v>
      </c>
      <c r="I2" s="1">
        <f ca="1">'Feb 2020 '!#REF!*1000</f>
        <v>26000</v>
      </c>
      <c r="J2" s="10">
        <v>2.1999999999999999E-2</v>
      </c>
      <c r="K2" s="1">
        <f ca="1">'Feb 2020 '!#REF!</f>
        <v>675</v>
      </c>
      <c r="L2" s="10">
        <v>0.75</v>
      </c>
      <c r="M2" s="10">
        <f ca="1">'Feb 2020 '!#REF!</f>
        <v>0</v>
      </c>
      <c r="N2" s="10">
        <v>0.56299999999999994</v>
      </c>
      <c r="O2" s="15">
        <f ca="1">'Feb 2020 '!#REF!</f>
        <v>253</v>
      </c>
    </row>
    <row r="3" spans="1:17" x14ac:dyDescent="0.25">
      <c r="A3" t="s">
        <v>27</v>
      </c>
      <c r="B3">
        <f>B2+1</f>
        <v>2</v>
      </c>
      <c r="C3">
        <v>2</v>
      </c>
      <c r="D3">
        <v>2020</v>
      </c>
      <c r="E3" s="15">
        <f ca="1">'Feb 2020 '!E5</f>
        <v>43620</v>
      </c>
      <c r="F3" s="10">
        <v>2.9000000000000001E-2</v>
      </c>
      <c r="G3" s="1">
        <f ca="1">'Feb 2020 '!J5</f>
        <v>2970</v>
      </c>
      <c r="H3" s="10">
        <v>0.112</v>
      </c>
      <c r="I3" s="1">
        <f ca="1">'Feb 2020 '!G5*1000</f>
        <v>25000</v>
      </c>
      <c r="J3" s="10">
        <v>2.1999999999999999E-2</v>
      </c>
      <c r="K3" s="1">
        <f ca="1">'Feb 2020 '!I5</f>
        <v>480</v>
      </c>
      <c r="L3" s="10">
        <v>0.75</v>
      </c>
      <c r="M3" s="10">
        <f ca="1">'Feb 2020 '!L5</f>
        <v>0</v>
      </c>
      <c r="N3" s="10">
        <v>0.56299999999999994</v>
      </c>
      <c r="O3" s="15">
        <f ca="1">'Feb 2020 '!D5</f>
        <v>83</v>
      </c>
    </row>
    <row r="4" spans="1:17" x14ac:dyDescent="0.25">
      <c r="A4" t="s">
        <v>27</v>
      </c>
      <c r="B4">
        <f t="shared" ref="B4:B29" si="0">B3+1</f>
        <v>3</v>
      </c>
      <c r="C4">
        <v>2</v>
      </c>
      <c r="D4">
        <v>2020</v>
      </c>
      <c r="E4" s="15">
        <f ca="1">'Feb 2020 '!E6</f>
        <v>40390</v>
      </c>
      <c r="F4" s="10">
        <v>2.9000000000000001E-2</v>
      </c>
      <c r="G4" s="1">
        <f ca="1">'Feb 2020 '!J6</f>
        <v>2970</v>
      </c>
      <c r="H4" s="10">
        <v>0.112</v>
      </c>
      <c r="I4" s="1">
        <f ca="1">'Feb 2020 '!G6*1000</f>
        <v>24000</v>
      </c>
      <c r="J4" s="10">
        <v>2.1999999999999999E-2</v>
      </c>
      <c r="K4" s="1">
        <f ca="1">'Feb 2020 '!I6</f>
        <v>517</v>
      </c>
      <c r="L4" s="10">
        <v>0.75</v>
      </c>
      <c r="M4" s="10">
        <f ca="1">'Feb 2020 '!L6</f>
        <v>0</v>
      </c>
      <c r="N4" s="10">
        <v>0.56299999999999994</v>
      </c>
      <c r="O4" s="15">
        <f ca="1">'Feb 2020 '!D6</f>
        <v>72</v>
      </c>
    </row>
    <row r="5" spans="1:17" x14ac:dyDescent="0.25">
      <c r="A5" t="s">
        <v>27</v>
      </c>
      <c r="B5">
        <f t="shared" si="0"/>
        <v>4</v>
      </c>
      <c r="C5">
        <v>2</v>
      </c>
      <c r="D5">
        <v>2020</v>
      </c>
      <c r="E5" s="15">
        <f ca="1">'Feb 2020 '!E7</f>
        <v>40042</v>
      </c>
      <c r="F5" s="10">
        <v>2.9000000000000001E-2</v>
      </c>
      <c r="G5" s="1">
        <f ca="1">'Feb 2020 '!J7</f>
        <v>2970</v>
      </c>
      <c r="H5" s="10">
        <v>0.112</v>
      </c>
      <c r="I5" s="1">
        <f ca="1">'Feb 2020 '!G7*1000</f>
        <v>23000</v>
      </c>
      <c r="J5" s="10">
        <v>2.1999999999999999E-2</v>
      </c>
      <c r="K5" s="1">
        <f ca="1">'Feb 2020 '!I7</f>
        <v>431</v>
      </c>
      <c r="L5" s="10">
        <v>0.75</v>
      </c>
      <c r="M5" s="10">
        <f ca="1">'Feb 2020 '!L7</f>
        <v>0</v>
      </c>
      <c r="N5" s="10">
        <v>0.56299999999999994</v>
      </c>
      <c r="O5" s="15">
        <f ca="1">'Feb 2020 '!D7</f>
        <v>66</v>
      </c>
    </row>
    <row r="6" spans="1:17" x14ac:dyDescent="0.25">
      <c r="A6" t="s">
        <v>27</v>
      </c>
      <c r="B6">
        <f t="shared" si="0"/>
        <v>5</v>
      </c>
      <c r="C6">
        <v>2</v>
      </c>
      <c r="D6">
        <v>2020</v>
      </c>
      <c r="E6" s="15">
        <f ca="1">'Feb 2020 '!E8</f>
        <v>40800</v>
      </c>
      <c r="F6" s="10">
        <v>2.9000000000000001E-2</v>
      </c>
      <c r="G6" s="1">
        <f ca="1">'Feb 2020 '!J8</f>
        <v>2970</v>
      </c>
      <c r="H6" s="10">
        <v>0.112</v>
      </c>
      <c r="I6" s="1">
        <f ca="1">'Feb 2020 '!G8*1000</f>
        <v>27000</v>
      </c>
      <c r="J6" s="10">
        <v>2.1999999999999999E-2</v>
      </c>
      <c r="K6" s="1">
        <f ca="1">'Feb 2020 '!I8</f>
        <v>523</v>
      </c>
      <c r="L6" s="10">
        <v>0.75</v>
      </c>
      <c r="M6" s="10">
        <f ca="1">'Feb 2020 '!L8</f>
        <v>0</v>
      </c>
      <c r="N6" s="10">
        <v>0.56299999999999994</v>
      </c>
      <c r="O6" s="15">
        <f ca="1">'Feb 2020 '!D8</f>
        <v>105</v>
      </c>
    </row>
    <row r="7" spans="1:17" x14ac:dyDescent="0.25">
      <c r="A7" t="s">
        <v>27</v>
      </c>
      <c r="B7">
        <f t="shared" si="0"/>
        <v>6</v>
      </c>
      <c r="C7">
        <v>2</v>
      </c>
      <c r="D7">
        <v>2020</v>
      </c>
      <c r="E7" s="15">
        <f ca="1">'Feb 2020 '!E9</f>
        <v>41911</v>
      </c>
      <c r="F7" s="10">
        <v>2.9000000000000001E-2</v>
      </c>
      <c r="G7" s="1">
        <f ca="1">'Feb 2020 '!J9</f>
        <v>2970</v>
      </c>
      <c r="H7" s="10">
        <v>0.112</v>
      </c>
      <c r="I7" s="1">
        <f ca="1">'Feb 2020 '!G9*1000</f>
        <v>32000</v>
      </c>
      <c r="J7" s="10">
        <v>2.1999999999999999E-2</v>
      </c>
      <c r="K7" s="1">
        <f ca="1">'Feb 2020 '!I9</f>
        <v>538</v>
      </c>
      <c r="L7" s="10">
        <v>0.75</v>
      </c>
      <c r="M7" s="10">
        <f ca="1">'Feb 2020 '!L9</f>
        <v>0</v>
      </c>
      <c r="N7" s="10">
        <v>0.56299999999999994</v>
      </c>
      <c r="O7" s="15">
        <f ca="1">'Feb 2020 '!D9</f>
        <v>170</v>
      </c>
    </row>
    <row r="8" spans="1:17" x14ac:dyDescent="0.25">
      <c r="A8" t="s">
        <v>27</v>
      </c>
      <c r="B8">
        <f t="shared" si="0"/>
        <v>7</v>
      </c>
      <c r="C8">
        <v>2</v>
      </c>
      <c r="D8">
        <v>2020</v>
      </c>
      <c r="E8" s="15">
        <f ca="1">'Feb 2020 '!E10</f>
        <v>44168</v>
      </c>
      <c r="F8" s="10">
        <v>2.9000000000000001E-2</v>
      </c>
      <c r="G8" s="1">
        <f ca="1">'Feb 2020 '!J10</f>
        <v>2970</v>
      </c>
      <c r="H8" s="10">
        <v>0.112</v>
      </c>
      <c r="I8" s="1">
        <f ca="1">'Feb 2020 '!G10*1000</f>
        <v>37000</v>
      </c>
      <c r="J8" s="10">
        <v>2.1999999999999999E-2</v>
      </c>
      <c r="K8" s="1">
        <f ca="1">'Feb 2020 '!I10</f>
        <v>655</v>
      </c>
      <c r="L8" s="10">
        <v>0.75</v>
      </c>
      <c r="M8" s="10">
        <f ca="1">'Feb 2020 '!L10</f>
        <v>0</v>
      </c>
      <c r="N8" s="10">
        <v>0.56299999999999994</v>
      </c>
      <c r="O8" s="15">
        <f ca="1">'Feb 2020 '!D10</f>
        <v>247</v>
      </c>
    </row>
    <row r="9" spans="1:17" x14ac:dyDescent="0.25">
      <c r="A9" t="s">
        <v>27</v>
      </c>
      <c r="B9">
        <f t="shared" si="0"/>
        <v>8</v>
      </c>
      <c r="C9">
        <v>2</v>
      </c>
      <c r="D9">
        <v>2020</v>
      </c>
      <c r="E9" s="15">
        <f ca="1">'Feb 2020 '!E11</f>
        <v>44321</v>
      </c>
      <c r="F9" s="10">
        <v>2.9000000000000001E-2</v>
      </c>
      <c r="G9" s="1">
        <f ca="1">'Feb 2020 '!J11</f>
        <v>0</v>
      </c>
      <c r="H9" s="10">
        <v>0.112</v>
      </c>
      <c r="I9" s="1">
        <f ca="1">'Feb 2020 '!G11*1000</f>
        <v>37000</v>
      </c>
      <c r="J9" s="10">
        <v>2.1999999999999999E-2</v>
      </c>
      <c r="K9" s="1">
        <f ca="1">'Feb 2020 '!I11</f>
        <v>650</v>
      </c>
      <c r="L9" s="10">
        <v>0.75</v>
      </c>
      <c r="M9" s="10">
        <f ca="1">'Feb 2020 '!L11</f>
        <v>0</v>
      </c>
      <c r="N9" s="10">
        <v>0.56299999999999994</v>
      </c>
      <c r="O9" s="15">
        <f ca="1">'Feb 2020 '!D11</f>
        <v>271</v>
      </c>
    </row>
    <row r="10" spans="1:17" x14ac:dyDescent="0.25">
      <c r="A10" t="s">
        <v>27</v>
      </c>
      <c r="B10">
        <f t="shared" si="0"/>
        <v>9</v>
      </c>
      <c r="C10">
        <v>2</v>
      </c>
      <c r="D10">
        <v>2020</v>
      </c>
      <c r="E10" s="15">
        <f ca="1">'Feb 2020 '!E12</f>
        <v>42827</v>
      </c>
      <c r="F10" s="10">
        <v>2.9000000000000001E-2</v>
      </c>
      <c r="G10" s="1">
        <f ca="1">'Feb 2020 '!J12</f>
        <v>2970</v>
      </c>
      <c r="H10" s="10">
        <v>0.112</v>
      </c>
      <c r="I10" s="1">
        <f ca="1">'Feb 2020 '!G12*1000</f>
        <v>31000</v>
      </c>
      <c r="J10" s="10">
        <v>2.1999999999999999E-2</v>
      </c>
      <c r="K10" s="1">
        <f ca="1">'Feb 2020 '!I12</f>
        <v>519</v>
      </c>
      <c r="L10" s="10">
        <v>0.75</v>
      </c>
      <c r="M10" s="10">
        <f ca="1">'Feb 2020 '!L12</f>
        <v>0</v>
      </c>
      <c r="N10" s="10">
        <v>0.56299999999999994</v>
      </c>
      <c r="O10" s="15">
        <f ca="1">'Feb 2020 '!D12</f>
        <v>84</v>
      </c>
    </row>
    <row r="11" spans="1:17" x14ac:dyDescent="0.25">
      <c r="A11" t="s">
        <v>27</v>
      </c>
      <c r="B11">
        <f t="shared" si="0"/>
        <v>10</v>
      </c>
      <c r="C11">
        <v>2</v>
      </c>
      <c r="D11">
        <v>2020</v>
      </c>
      <c r="E11" s="15">
        <f ca="1">'Feb 2020 '!E13</f>
        <v>39835</v>
      </c>
      <c r="F11" s="10">
        <v>2.9000000000000001E-2</v>
      </c>
      <c r="G11" s="1">
        <f ca="1">'Feb 2020 '!J13</f>
        <v>2970</v>
      </c>
      <c r="H11" s="10">
        <v>0.112</v>
      </c>
      <c r="I11" s="1">
        <f ca="1">'Feb 2020 '!G13*1000</f>
        <v>27000</v>
      </c>
      <c r="J11" s="10">
        <v>2.1999999999999999E-2</v>
      </c>
      <c r="K11" s="1">
        <f ca="1">'Feb 2020 '!I13</f>
        <v>448</v>
      </c>
      <c r="L11" s="10">
        <v>0.75</v>
      </c>
      <c r="M11" s="10">
        <f ca="1">'Feb 2020 '!L13</f>
        <v>0</v>
      </c>
      <c r="N11" s="10">
        <v>0.56299999999999994</v>
      </c>
      <c r="O11" s="15">
        <f ca="1">'Feb 2020 '!D13</f>
        <v>68</v>
      </c>
    </row>
    <row r="12" spans="1:17" x14ac:dyDescent="0.25">
      <c r="A12" t="s">
        <v>27</v>
      </c>
      <c r="B12">
        <f t="shared" si="0"/>
        <v>11</v>
      </c>
      <c r="C12">
        <v>2</v>
      </c>
      <c r="D12">
        <v>2020</v>
      </c>
      <c r="E12" s="15">
        <f ca="1">'Feb 2020 '!E14</f>
        <v>40510</v>
      </c>
      <c r="F12" s="10">
        <v>2.9000000000000001E-2</v>
      </c>
      <c r="G12" s="1">
        <f ca="1">'Feb 2020 '!J14</f>
        <v>2970</v>
      </c>
      <c r="H12" s="10">
        <v>0.112</v>
      </c>
      <c r="I12" s="1">
        <f ca="1">'Feb 2020 '!G14*1000</f>
        <v>23000</v>
      </c>
      <c r="J12" s="10">
        <v>2.1999999999999999E-2</v>
      </c>
      <c r="K12" s="1">
        <f ca="1">'Feb 2020 '!I14</f>
        <v>477</v>
      </c>
      <c r="L12" s="10">
        <v>0.75</v>
      </c>
      <c r="M12" s="10">
        <f ca="1">'Feb 2020 '!L14</f>
        <v>0</v>
      </c>
      <c r="N12" s="10">
        <v>0.56299999999999994</v>
      </c>
      <c r="O12" s="15">
        <f ca="1">'Feb 2020 '!D14</f>
        <v>78</v>
      </c>
    </row>
    <row r="13" spans="1:17" x14ac:dyDescent="0.25">
      <c r="A13" t="s">
        <v>27</v>
      </c>
      <c r="B13">
        <f t="shared" si="0"/>
        <v>12</v>
      </c>
      <c r="C13">
        <v>2</v>
      </c>
      <c r="D13">
        <v>2020</v>
      </c>
      <c r="E13" s="15">
        <f ca="1">'Feb 2020 '!E15</f>
        <v>40526</v>
      </c>
      <c r="F13" s="10">
        <v>2.9000000000000001E-2</v>
      </c>
      <c r="G13" s="1">
        <f ca="1">'Feb 2020 '!J15</f>
        <v>2970</v>
      </c>
      <c r="H13" s="10">
        <v>0.112</v>
      </c>
      <c r="I13" s="1">
        <f ca="1">'Feb 2020 '!G15*1000</f>
        <v>20000</v>
      </c>
      <c r="J13" s="10">
        <v>2.1999999999999999E-2</v>
      </c>
      <c r="K13" s="1">
        <f ca="1">'Feb 2020 '!I15</f>
        <v>489</v>
      </c>
      <c r="L13" s="10">
        <v>0.75</v>
      </c>
      <c r="M13" s="10">
        <f ca="1">'Feb 2020 '!L15</f>
        <v>0</v>
      </c>
      <c r="N13" s="10">
        <v>0.56299999999999994</v>
      </c>
      <c r="O13" s="15">
        <f ca="1">'Feb 2020 '!D15</f>
        <v>85</v>
      </c>
    </row>
    <row r="14" spans="1:17" x14ac:dyDescent="0.25">
      <c r="A14" t="s">
        <v>27</v>
      </c>
      <c r="B14">
        <f t="shared" si="0"/>
        <v>13</v>
      </c>
      <c r="C14">
        <v>2</v>
      </c>
      <c r="D14">
        <v>2020</v>
      </c>
      <c r="E14" s="15">
        <f ca="1">'Feb 2020 '!E16</f>
        <v>40814</v>
      </c>
      <c r="F14" s="10">
        <v>2.9000000000000001E-2</v>
      </c>
      <c r="G14" s="1">
        <f ca="1">'Feb 2020 '!J16</f>
        <v>2970</v>
      </c>
      <c r="H14" s="10">
        <v>0.112</v>
      </c>
      <c r="I14" s="1">
        <f ca="1">'Feb 2020 '!G16*1000</f>
        <v>22000</v>
      </c>
      <c r="J14" s="10">
        <v>2.1999999999999999E-2</v>
      </c>
      <c r="K14" s="1">
        <f ca="1">'Feb 2020 '!I16</f>
        <v>600</v>
      </c>
      <c r="L14" s="10">
        <v>0.75</v>
      </c>
      <c r="M14" s="10">
        <f ca="1">'Feb 2020 '!L16</f>
        <v>0</v>
      </c>
      <c r="N14" s="10">
        <v>0.56299999999999994</v>
      </c>
      <c r="O14" s="15">
        <f ca="1">'Feb 2020 '!D16</f>
        <v>145</v>
      </c>
    </row>
    <row r="15" spans="1:17" x14ac:dyDescent="0.25">
      <c r="A15" t="s">
        <v>27</v>
      </c>
      <c r="B15">
        <f t="shared" si="0"/>
        <v>14</v>
      </c>
      <c r="C15">
        <v>2</v>
      </c>
      <c r="D15">
        <v>2020</v>
      </c>
      <c r="E15" s="15">
        <f ca="1">'Feb 2020 '!E17</f>
        <v>44676</v>
      </c>
      <c r="F15" s="10">
        <v>2.9000000000000001E-2</v>
      </c>
      <c r="G15" s="1">
        <f ca="1">'Feb 2020 '!J17</f>
        <v>2970</v>
      </c>
      <c r="H15" s="10">
        <v>0.112</v>
      </c>
      <c r="I15" s="1">
        <f ca="1">'Feb 2020 '!G17*1000</f>
        <v>26000</v>
      </c>
      <c r="J15" s="10">
        <v>2.1999999999999999E-2</v>
      </c>
      <c r="K15" s="1">
        <f ca="1">'Feb 2020 '!I17</f>
        <v>703</v>
      </c>
      <c r="L15" s="10">
        <v>0.75</v>
      </c>
      <c r="M15" s="10">
        <f ca="1">'Feb 2020 '!L17</f>
        <v>454</v>
      </c>
      <c r="N15" s="10">
        <v>0.56299999999999994</v>
      </c>
      <c r="O15" s="15">
        <f ca="1">'Feb 2020 '!D17</f>
        <v>222</v>
      </c>
    </row>
    <row r="16" spans="1:17" x14ac:dyDescent="0.25">
      <c r="A16" t="s">
        <v>27</v>
      </c>
      <c r="B16">
        <f t="shared" si="0"/>
        <v>15</v>
      </c>
      <c r="C16">
        <v>2</v>
      </c>
      <c r="D16">
        <v>2020</v>
      </c>
      <c r="E16" s="13">
        <v>44521</v>
      </c>
      <c r="F16" s="10">
        <v>2.9000000000000001E-2</v>
      </c>
      <c r="G16" s="1">
        <f ca="1">'Feb 2020 '!J18</f>
        <v>2970</v>
      </c>
      <c r="H16" s="10">
        <v>0.112</v>
      </c>
      <c r="I16" s="1">
        <f ca="1">'Feb 2020 '!G18*1000</f>
        <v>28000</v>
      </c>
      <c r="J16" s="10">
        <v>2.1999999999999999E-2</v>
      </c>
      <c r="K16" s="1">
        <f ca="1">'Feb 2020 '!I18</f>
        <v>704</v>
      </c>
      <c r="L16" s="10">
        <v>0.75</v>
      </c>
      <c r="M16" s="10">
        <f ca="1">'Feb 2020 '!L18</f>
        <v>0</v>
      </c>
      <c r="N16" s="10">
        <v>0.56299999999999994</v>
      </c>
      <c r="O16" s="15">
        <f ca="1">'Feb 2020 '!D18</f>
        <v>267</v>
      </c>
    </row>
    <row r="17" spans="1:15" x14ac:dyDescent="0.25">
      <c r="A17" t="s">
        <v>27</v>
      </c>
      <c r="B17">
        <f t="shared" si="0"/>
        <v>16</v>
      </c>
      <c r="C17">
        <v>2</v>
      </c>
      <c r="D17">
        <v>2020</v>
      </c>
      <c r="E17" s="15">
        <f ca="1">'Feb 2020 '!E19</f>
        <v>44873</v>
      </c>
      <c r="F17" s="10">
        <v>2.9000000000000001E-2</v>
      </c>
      <c r="G17" s="1">
        <f ca="1">'Feb 2020 '!J19</f>
        <v>0</v>
      </c>
      <c r="H17" s="10">
        <v>0.112</v>
      </c>
      <c r="I17" s="1">
        <f ca="1">'Feb 2020 '!G19*1000</f>
        <v>26000</v>
      </c>
      <c r="J17" s="10">
        <v>2.1999999999999999E-2</v>
      </c>
      <c r="K17" s="1">
        <f ca="1">'Feb 2020 '!I19</f>
        <v>507</v>
      </c>
      <c r="L17" s="10">
        <v>0.75</v>
      </c>
      <c r="M17" s="10">
        <f ca="1">'Feb 2020 '!L19</f>
        <v>0</v>
      </c>
      <c r="N17" s="10">
        <v>0.56299999999999994</v>
      </c>
      <c r="O17" s="15">
        <f ca="1">'Feb 2020 '!D19</f>
        <v>92</v>
      </c>
    </row>
    <row r="18" spans="1:15" x14ac:dyDescent="0.25">
      <c r="A18" t="s">
        <v>27</v>
      </c>
      <c r="B18">
        <f t="shared" si="0"/>
        <v>17</v>
      </c>
      <c r="C18">
        <v>2</v>
      </c>
      <c r="D18">
        <v>2020</v>
      </c>
      <c r="E18" s="15">
        <f ca="1">'Feb 2020 '!E20</f>
        <v>43716</v>
      </c>
      <c r="F18" s="10">
        <v>2.9000000000000001E-2</v>
      </c>
      <c r="G18" s="1">
        <f ca="1">'Feb 2020 '!J20</f>
        <v>2970</v>
      </c>
      <c r="H18" s="10">
        <v>0.112</v>
      </c>
      <c r="I18" s="1">
        <f ca="1">'Feb 2020 '!G20*1000</f>
        <v>28000</v>
      </c>
      <c r="J18" s="10">
        <v>2.1999999999999999E-2</v>
      </c>
      <c r="K18" s="1">
        <f ca="1">'Feb 2020 '!I20</f>
        <v>442</v>
      </c>
      <c r="L18" s="10">
        <v>0.75</v>
      </c>
      <c r="M18" s="10">
        <f ca="1">'Feb 2020 '!L20</f>
        <v>0</v>
      </c>
      <c r="N18" s="10">
        <v>0.56299999999999994</v>
      </c>
      <c r="O18" s="15">
        <f ca="1">'Feb 2020 '!D20</f>
        <v>81</v>
      </c>
    </row>
    <row r="19" spans="1:15" x14ac:dyDescent="0.25">
      <c r="A19" t="s">
        <v>27</v>
      </c>
      <c r="B19">
        <f t="shared" si="0"/>
        <v>18</v>
      </c>
      <c r="C19">
        <v>2</v>
      </c>
      <c r="D19">
        <v>2020</v>
      </c>
      <c r="E19" s="15">
        <f ca="1">'Feb 2020 '!E21</f>
        <v>39219</v>
      </c>
      <c r="F19" s="10">
        <v>2.9000000000000001E-2</v>
      </c>
      <c r="G19" s="1">
        <f ca="1">'Feb 2020 '!J21</f>
        <v>2970</v>
      </c>
      <c r="H19" s="10">
        <v>0.112</v>
      </c>
      <c r="I19" s="1">
        <f ca="1">'Feb 2020 '!G21*1000</f>
        <v>33000</v>
      </c>
      <c r="J19" s="10">
        <v>2.1999999999999999E-2</v>
      </c>
      <c r="K19" s="1">
        <f ca="1">'Feb 2020 '!I21</f>
        <v>469</v>
      </c>
      <c r="L19" s="10">
        <v>0.75</v>
      </c>
      <c r="M19" s="10">
        <f ca="1">'Feb 2020 '!L21</f>
        <v>0</v>
      </c>
      <c r="N19" s="10">
        <v>0.56299999999999994</v>
      </c>
      <c r="O19" s="15">
        <f ca="1">'Feb 2020 '!D21</f>
        <v>90</v>
      </c>
    </row>
    <row r="20" spans="1:15" x14ac:dyDescent="0.25">
      <c r="A20" t="s">
        <v>27</v>
      </c>
      <c r="B20">
        <f t="shared" si="0"/>
        <v>19</v>
      </c>
      <c r="C20">
        <v>2</v>
      </c>
      <c r="D20">
        <v>2020</v>
      </c>
      <c r="E20" s="15">
        <f ca="1">'Feb 2020 '!E22</f>
        <v>42024</v>
      </c>
      <c r="F20" s="10">
        <v>2.9000000000000001E-2</v>
      </c>
      <c r="G20" s="1">
        <f ca="1">'Feb 2020 '!J22</f>
        <v>2970</v>
      </c>
      <c r="H20" s="10">
        <v>0.112</v>
      </c>
      <c r="I20" s="1">
        <f ca="1">'Feb 2020 '!G22*1000</f>
        <v>35000</v>
      </c>
      <c r="J20" s="10">
        <v>2.1999999999999999E-2</v>
      </c>
      <c r="K20" s="1">
        <f ca="1">'Feb 2020 '!I22</f>
        <v>738</v>
      </c>
      <c r="L20" s="10">
        <v>0.75</v>
      </c>
      <c r="M20" s="10">
        <f ca="1">'Feb 2020 '!L22</f>
        <v>0</v>
      </c>
      <c r="N20" s="10">
        <v>0.56299999999999994</v>
      </c>
      <c r="O20" s="15">
        <f ca="1">'Feb 2020 '!D22</f>
        <v>96</v>
      </c>
    </row>
    <row r="21" spans="1:15" x14ac:dyDescent="0.25">
      <c r="A21" t="s">
        <v>27</v>
      </c>
      <c r="B21">
        <f t="shared" si="0"/>
        <v>20</v>
      </c>
      <c r="C21">
        <v>2</v>
      </c>
      <c r="D21">
        <v>2020</v>
      </c>
      <c r="E21" s="15">
        <f ca="1">'Feb 2020 '!E23</f>
        <v>41575</v>
      </c>
      <c r="F21" s="10">
        <v>2.9000000000000001E-2</v>
      </c>
      <c r="G21" s="1">
        <f ca="1">'Feb 2020 '!J23</f>
        <v>2970</v>
      </c>
      <c r="H21" s="10">
        <v>0.112</v>
      </c>
      <c r="I21" s="1">
        <f ca="1">'Feb 2020 '!G23*1000</f>
        <v>37000</v>
      </c>
      <c r="J21" s="10">
        <v>2.1999999999999999E-2</v>
      </c>
      <c r="K21" s="1">
        <f ca="1">'Feb 2020 '!I23</f>
        <v>462</v>
      </c>
      <c r="L21" s="10">
        <v>0.75</v>
      </c>
      <c r="M21" s="10">
        <f ca="1">'Feb 2020 '!L23</f>
        <v>0</v>
      </c>
      <c r="N21" s="10">
        <v>0.56299999999999994</v>
      </c>
      <c r="O21" s="15">
        <f ca="1">'Feb 2020 '!D23</f>
        <v>132</v>
      </c>
    </row>
    <row r="22" spans="1:15" x14ac:dyDescent="0.25">
      <c r="A22" t="s">
        <v>27</v>
      </c>
      <c r="B22">
        <f t="shared" si="0"/>
        <v>21</v>
      </c>
      <c r="C22">
        <v>2</v>
      </c>
      <c r="D22">
        <v>2020</v>
      </c>
      <c r="E22" s="15">
        <f ca="1">'Feb 2020 '!E24</f>
        <v>42820</v>
      </c>
      <c r="F22" s="10">
        <v>2.9000000000000001E-2</v>
      </c>
      <c r="G22" s="1">
        <f ca="1">'Feb 2020 '!J24</f>
        <v>2970</v>
      </c>
      <c r="H22" s="10">
        <v>0.112</v>
      </c>
      <c r="I22" s="1">
        <f ca="1">'Feb 2020 '!G24*1000</f>
        <v>36000</v>
      </c>
      <c r="J22" s="10">
        <v>2.1999999999999999E-2</v>
      </c>
      <c r="K22" s="1">
        <f ca="1">'Feb 2020 '!I24</f>
        <v>664</v>
      </c>
      <c r="L22" s="10">
        <v>0.75</v>
      </c>
      <c r="M22" s="10">
        <f ca="1">'Feb 2020 '!L24</f>
        <v>0</v>
      </c>
      <c r="N22" s="10">
        <v>0.56299999999999994</v>
      </c>
      <c r="O22" s="15">
        <f ca="1">'Feb 2020 '!D24</f>
        <v>259</v>
      </c>
    </row>
    <row r="23" spans="1:15" x14ac:dyDescent="0.25">
      <c r="A23" t="s">
        <v>27</v>
      </c>
      <c r="B23">
        <f t="shared" si="0"/>
        <v>22</v>
      </c>
      <c r="C23">
        <v>2</v>
      </c>
      <c r="D23">
        <v>2020</v>
      </c>
      <c r="E23" s="15">
        <f ca="1">'Feb 2020 '!E25</f>
        <v>47941</v>
      </c>
      <c r="F23" s="10">
        <v>2.9000000000000001E-2</v>
      </c>
      <c r="G23" s="1">
        <f ca="1">'Feb 2020 '!J25</f>
        <v>0</v>
      </c>
      <c r="H23" s="10">
        <v>0.112</v>
      </c>
      <c r="I23" s="1">
        <f ca="1">'Feb 2020 '!G25*1000</f>
        <v>36000</v>
      </c>
      <c r="J23" s="10">
        <v>2.1999999999999999E-2</v>
      </c>
      <c r="K23" s="1">
        <f ca="1">'Feb 2020 '!I25</f>
        <v>673</v>
      </c>
      <c r="L23" s="10">
        <v>0.75</v>
      </c>
      <c r="M23" s="10">
        <f ca="1">'Feb 2020 '!L25</f>
        <v>0</v>
      </c>
      <c r="N23" s="10">
        <v>0.56299999999999994</v>
      </c>
      <c r="O23" s="15">
        <f ca="1">'Feb 2020 '!D25</f>
        <v>269</v>
      </c>
    </row>
    <row r="24" spans="1:15" ht="12" customHeight="1" x14ac:dyDescent="0.25">
      <c r="A24" t="s">
        <v>27</v>
      </c>
      <c r="B24">
        <f t="shared" si="0"/>
        <v>23</v>
      </c>
      <c r="C24">
        <v>2</v>
      </c>
      <c r="D24">
        <v>2020</v>
      </c>
      <c r="E24" s="15">
        <f ca="1">'Feb 2020 '!E26</f>
        <v>43551</v>
      </c>
      <c r="F24" s="10">
        <v>2.9000000000000001E-2</v>
      </c>
      <c r="G24" s="1">
        <f ca="1">'Feb 2020 '!J26</f>
        <v>2970</v>
      </c>
      <c r="H24" s="10">
        <v>0.112</v>
      </c>
      <c r="I24" s="1">
        <f ca="1">'Feb 2020 '!G26*1000</f>
        <v>39000</v>
      </c>
      <c r="J24" s="10">
        <v>2.1999999999999999E-2</v>
      </c>
      <c r="K24" s="1">
        <f ca="1">'Feb 2020 '!I26</f>
        <v>434</v>
      </c>
      <c r="L24" s="10">
        <v>0.75</v>
      </c>
      <c r="M24" s="10">
        <f ca="1">'Feb 2020 '!L26</f>
        <v>0</v>
      </c>
      <c r="N24" s="10">
        <v>0.56299999999999994</v>
      </c>
      <c r="O24" s="15">
        <f ca="1">'Feb 2020 '!D26</f>
        <v>140</v>
      </c>
    </row>
    <row r="25" spans="1:15" ht="13.5" customHeight="1" x14ac:dyDescent="0.25">
      <c r="A25" t="s">
        <v>27</v>
      </c>
      <c r="B25">
        <f t="shared" si="0"/>
        <v>24</v>
      </c>
      <c r="C25">
        <v>2</v>
      </c>
      <c r="D25">
        <v>2020</v>
      </c>
      <c r="E25" s="15">
        <f ca="1">'Feb 2020 '!E27</f>
        <v>42192</v>
      </c>
      <c r="F25" s="10">
        <v>2.9000000000000001E-2</v>
      </c>
      <c r="G25" s="1">
        <f ca="1">'Feb 2020 '!J27</f>
        <v>2970</v>
      </c>
      <c r="H25" s="10">
        <v>0.112</v>
      </c>
      <c r="I25" s="1">
        <f ca="1">'Feb 2020 '!G27*1000</f>
        <v>40000</v>
      </c>
      <c r="J25" s="10">
        <v>2.1999999999999999E-2</v>
      </c>
      <c r="K25" s="1">
        <f ca="1">'Feb 2020 '!I27</f>
        <v>467</v>
      </c>
      <c r="L25" s="10">
        <v>0.75</v>
      </c>
      <c r="M25" s="10">
        <f ca="1">'Feb 2020 '!L27</f>
        <v>0</v>
      </c>
      <c r="N25" s="10">
        <v>0.56299999999999994</v>
      </c>
      <c r="O25" s="15">
        <f ca="1">'Feb 2020 '!D27</f>
        <v>124</v>
      </c>
    </row>
    <row r="26" spans="1:15" x14ac:dyDescent="0.25">
      <c r="A26" t="s">
        <v>27</v>
      </c>
      <c r="B26">
        <f>B25+1</f>
        <v>25</v>
      </c>
      <c r="C26">
        <v>2</v>
      </c>
      <c r="D26">
        <v>2020</v>
      </c>
      <c r="E26" s="15">
        <f ca="1">'Feb 2020 '!E28</f>
        <v>41887</v>
      </c>
      <c r="F26" s="10">
        <v>2.9000000000000001E-2</v>
      </c>
      <c r="G26" s="1">
        <f ca="1">'Feb 2020 '!J28</f>
        <v>2970</v>
      </c>
      <c r="H26" s="10">
        <v>0.112</v>
      </c>
      <c r="I26" s="1">
        <f ca="1">'Feb 2020 '!G28*1000</f>
        <v>44000</v>
      </c>
      <c r="J26" s="10">
        <v>2.1999999999999999E-2</v>
      </c>
      <c r="K26" s="1">
        <f ca="1">'Feb 2020 '!I28</f>
        <v>489</v>
      </c>
      <c r="L26" s="10">
        <v>0.75</v>
      </c>
      <c r="M26" s="10">
        <f ca="1">'Feb 2020 '!L28</f>
        <v>0</v>
      </c>
      <c r="N26" s="10">
        <v>0.56299999999999994</v>
      </c>
      <c r="O26" s="15">
        <f ca="1">'Feb 2020 '!D28</f>
        <v>187</v>
      </c>
    </row>
    <row r="27" spans="1:15" x14ac:dyDescent="0.25">
      <c r="A27" t="s">
        <v>27</v>
      </c>
      <c r="B27">
        <f t="shared" si="0"/>
        <v>26</v>
      </c>
      <c r="C27">
        <v>2</v>
      </c>
      <c r="D27">
        <v>2020</v>
      </c>
      <c r="E27" s="15">
        <f ca="1">'Feb 2020 '!E29</f>
        <v>44619</v>
      </c>
      <c r="F27" s="10">
        <v>2.9000000000000001E-2</v>
      </c>
      <c r="G27" s="1">
        <f ca="1">'Feb 2020 '!J29</f>
        <v>2970</v>
      </c>
      <c r="H27" s="10">
        <v>0.112</v>
      </c>
      <c r="I27" s="1">
        <v>33000</v>
      </c>
      <c r="J27" s="10">
        <v>2.1999999999999999E-2</v>
      </c>
      <c r="K27" s="1">
        <v>613</v>
      </c>
      <c r="L27" s="10">
        <v>0.75</v>
      </c>
      <c r="M27" s="10">
        <f ca="1">'Feb 2020 '!L29</f>
        <v>0</v>
      </c>
      <c r="N27" s="10">
        <v>0.56299999999999994</v>
      </c>
      <c r="O27" s="15">
        <f ca="1">'Feb 2020 '!D29</f>
        <v>207</v>
      </c>
    </row>
    <row r="28" spans="1:15" x14ac:dyDescent="0.25">
      <c r="A28" t="s">
        <v>27</v>
      </c>
      <c r="B28">
        <f t="shared" si="0"/>
        <v>27</v>
      </c>
      <c r="C28">
        <v>2</v>
      </c>
      <c r="D28">
        <v>2020</v>
      </c>
      <c r="E28" s="15">
        <v>41930</v>
      </c>
      <c r="F28" s="10">
        <v>2.9000000000000001E-2</v>
      </c>
      <c r="G28" s="1">
        <f ca="1">'Feb 2020 '!J30</f>
        <v>0</v>
      </c>
      <c r="H28" s="10">
        <v>0.112</v>
      </c>
      <c r="I28" s="1">
        <v>30000</v>
      </c>
      <c r="J28" s="10">
        <v>2.1999999999999999E-2</v>
      </c>
      <c r="K28" s="1">
        <v>708</v>
      </c>
      <c r="L28" s="10">
        <v>0.75</v>
      </c>
      <c r="M28" s="10">
        <f ca="1">'Feb 2020 '!L30</f>
        <v>0</v>
      </c>
      <c r="N28" s="10">
        <v>0.56299999999999994</v>
      </c>
      <c r="O28" s="15">
        <v>164</v>
      </c>
    </row>
    <row r="29" spans="1:15" x14ac:dyDescent="0.25">
      <c r="A29" t="s">
        <v>27</v>
      </c>
      <c r="B29">
        <f t="shared" si="0"/>
        <v>28</v>
      </c>
      <c r="C29">
        <v>2</v>
      </c>
      <c r="D29">
        <v>2020</v>
      </c>
      <c r="E29" s="15">
        <v>40576</v>
      </c>
      <c r="F29" s="10">
        <v>2.9000000000000001E-2</v>
      </c>
      <c r="G29" s="1">
        <f ca="1">'Feb 2020 '!J31</f>
        <v>2970</v>
      </c>
      <c r="H29" s="10">
        <v>0.112</v>
      </c>
      <c r="I29" s="1">
        <v>30000</v>
      </c>
      <c r="J29" s="10">
        <v>2.1999999999999999E-2</v>
      </c>
      <c r="K29" s="1">
        <v>450</v>
      </c>
      <c r="L29" s="10">
        <v>0.75</v>
      </c>
      <c r="M29" s="10">
        <f ca="1">'Feb 2020 '!L31</f>
        <v>0</v>
      </c>
      <c r="N29" s="10">
        <v>0.56299999999999994</v>
      </c>
      <c r="O29" s="15">
        <v>119</v>
      </c>
    </row>
    <row r="30" spans="1:15" x14ac:dyDescent="0.25">
      <c r="A30" t="s">
        <v>27</v>
      </c>
      <c r="B30">
        <v>29</v>
      </c>
      <c r="C30">
        <v>2</v>
      </c>
      <c r="D30">
        <v>2020</v>
      </c>
      <c r="E30" s="15">
        <v>41580</v>
      </c>
      <c r="F30" s="10">
        <v>2.9000000000000001E-2</v>
      </c>
      <c r="G30" s="1">
        <f ca="1">'Feb 2020 '!J32</f>
        <v>2970</v>
      </c>
      <c r="H30" s="10">
        <v>0.112</v>
      </c>
      <c r="I30" s="1">
        <v>29000</v>
      </c>
      <c r="J30" s="10">
        <v>2.1999999999999999E-2</v>
      </c>
      <c r="K30" s="1">
        <v>400</v>
      </c>
      <c r="L30" s="10">
        <v>0.75</v>
      </c>
      <c r="M30" s="10">
        <f ca="1">'Feb 2020 '!L32</f>
        <v>0</v>
      </c>
      <c r="N30" s="10">
        <v>0.56299999999999994</v>
      </c>
      <c r="O30" s="15">
        <v>72</v>
      </c>
    </row>
    <row r="31" spans="1:15" x14ac:dyDescent="0.25">
      <c r="A31" t="s">
        <v>27</v>
      </c>
      <c r="D31">
        <v>2020</v>
      </c>
      <c r="E31" s="15">
        <f ca="1">'Feb 2020 '!E33</f>
        <v>0</v>
      </c>
      <c r="F31" s="10">
        <v>2.9000000000000001E-2</v>
      </c>
      <c r="G31" s="1">
        <f ca="1">'Feb 2020 '!J33</f>
        <v>0</v>
      </c>
      <c r="H31" s="10">
        <v>0.112</v>
      </c>
      <c r="I31" s="1">
        <f ca="1">'Feb 2020 '!G33*1000</f>
        <v>0</v>
      </c>
      <c r="J31" s="10">
        <v>2.1999999999999999E-2</v>
      </c>
      <c r="K31" s="1">
        <f ca="1">'Feb 2020 '!I33</f>
        <v>0</v>
      </c>
      <c r="L31" s="10">
        <v>0.75</v>
      </c>
      <c r="M31" s="10">
        <f ca="1">'Feb 2020 '!L33</f>
        <v>0</v>
      </c>
      <c r="N31" s="10">
        <v>0.56299999999999994</v>
      </c>
      <c r="O31" s="15">
        <f ca="1">'Feb 2020 '!D33</f>
        <v>0</v>
      </c>
    </row>
    <row r="32" spans="1:15" x14ac:dyDescent="0.25">
      <c r="A32" t="s">
        <v>27</v>
      </c>
      <c r="D32">
        <v>2020</v>
      </c>
      <c r="E32" s="15">
        <f ca="1">'Feb 2020 '!E34</f>
        <v>0</v>
      </c>
      <c r="F32" s="10">
        <v>2.9000000000000001E-2</v>
      </c>
      <c r="G32" s="1">
        <f ca="1">'Feb 2020 '!J34</f>
        <v>0</v>
      </c>
      <c r="H32" s="10">
        <v>0.112</v>
      </c>
      <c r="I32" s="1">
        <f ca="1">'Feb 2020 '!G34*1000</f>
        <v>0</v>
      </c>
      <c r="J32" s="10">
        <v>2.1999999999999999E-2</v>
      </c>
      <c r="K32" s="1">
        <f ca="1">'Feb 2020 '!I34</f>
        <v>0</v>
      </c>
      <c r="L32" s="10">
        <v>0.75</v>
      </c>
      <c r="M32" s="10">
        <f ca="1">'Feb 2020 '!L34</f>
        <v>0</v>
      </c>
      <c r="N32" s="10">
        <v>0.56299999999999994</v>
      </c>
      <c r="O32" s="15">
        <f ca="1">'Feb 2020 '!D34</f>
        <v>0</v>
      </c>
    </row>
    <row r="33" spans="5:13" x14ac:dyDescent="0.25">
      <c r="E33" s="1"/>
      <c r="G33" s="1"/>
      <c r="M33" s="1"/>
    </row>
    <row r="34" spans="5:13" x14ac:dyDescent="0.25">
      <c r="M34" s="1"/>
    </row>
    <row r="35" spans="5:13" x14ac:dyDescent="0.25">
      <c r="K35" s="1"/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5"/>
  <sheetViews>
    <sheetView tabSelected="1" workbookViewId="0">
      <selection activeCell="H34" sqref="H34"/>
    </sheetView>
  </sheetViews>
  <sheetFormatPr defaultRowHeight="13.2" x14ac:dyDescent="0.25"/>
  <cols>
    <col min="2" max="2" width="13.5546875" customWidth="1"/>
    <col min="3" max="3" width="14.44140625" customWidth="1"/>
    <col min="4" max="4" width="26.109375" bestFit="1" customWidth="1"/>
    <col min="5" max="5" width="21.44140625" customWidth="1"/>
    <col min="6" max="6" width="27.44140625" customWidth="1"/>
    <col min="7" max="7" width="17" customWidth="1"/>
    <col min="8" max="8" width="28.44140625" customWidth="1"/>
    <col min="9" max="9" width="14.6640625" customWidth="1"/>
    <col min="10" max="10" width="19.5546875" customWidth="1"/>
    <col min="11" max="11" width="28.88671875" customWidth="1"/>
    <col min="12" max="12" width="16.109375" customWidth="1"/>
  </cols>
  <sheetData>
    <row r="2" spans="2:14" ht="15.6" thickBot="1" x14ac:dyDescent="0.3">
      <c r="B2" s="39" t="s">
        <v>23</v>
      </c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2:14" ht="14.4" x14ac:dyDescent="0.25">
      <c r="B3" s="40" t="s">
        <v>16</v>
      </c>
      <c r="C3" s="42" t="s">
        <v>17</v>
      </c>
      <c r="D3" s="18"/>
      <c r="E3" s="44" t="s">
        <v>24</v>
      </c>
      <c r="F3" s="44" t="s">
        <v>18</v>
      </c>
      <c r="G3" s="44" t="s">
        <v>19</v>
      </c>
      <c r="H3" s="44" t="s">
        <v>20</v>
      </c>
      <c r="I3" s="44" t="s">
        <v>21</v>
      </c>
      <c r="J3" s="20"/>
      <c r="K3" s="44" t="s">
        <v>22</v>
      </c>
      <c r="L3" s="46" t="s">
        <v>21</v>
      </c>
    </row>
    <row r="4" spans="2:14" ht="14.4" x14ac:dyDescent="0.25">
      <c r="B4" s="41"/>
      <c r="C4" s="43"/>
      <c r="D4" s="19" t="s">
        <v>25</v>
      </c>
      <c r="E4" s="45"/>
      <c r="F4" s="45"/>
      <c r="G4" s="45"/>
      <c r="H4" s="45"/>
      <c r="I4" s="45"/>
      <c r="J4" s="21" t="s">
        <v>26</v>
      </c>
      <c r="K4" s="45"/>
      <c r="L4" s="47"/>
    </row>
    <row r="5" spans="2:14" x14ac:dyDescent="0.25">
      <c r="B5" s="2">
        <v>1</v>
      </c>
      <c r="C5" s="11">
        <v>43862</v>
      </c>
      <c r="D5" s="7">
        <v>83</v>
      </c>
      <c r="E5" s="12">
        <v>43620</v>
      </c>
      <c r="F5" s="4">
        <v>167490</v>
      </c>
      <c r="G5" s="8">
        <f t="shared" ref="G5:G17" si="0">F6-F5</f>
        <v>25</v>
      </c>
      <c r="H5" s="7">
        <v>362091</v>
      </c>
      <c r="I5" s="3">
        <f t="shared" ref="I5:I17" si="1">H6-H5</f>
        <v>480</v>
      </c>
      <c r="J5" s="3">
        <v>2970</v>
      </c>
      <c r="K5" s="4">
        <v>208876</v>
      </c>
      <c r="L5" s="9">
        <v>0</v>
      </c>
      <c r="N5" s="1"/>
    </row>
    <row r="6" spans="2:14" x14ac:dyDescent="0.25">
      <c r="B6" s="2">
        <v>2</v>
      </c>
      <c r="C6" s="11">
        <v>43863</v>
      </c>
      <c r="D6" s="7">
        <v>72</v>
      </c>
      <c r="E6" s="12">
        <v>40390</v>
      </c>
      <c r="F6" s="4">
        <v>167515</v>
      </c>
      <c r="G6" s="8">
        <f t="shared" si="0"/>
        <v>24</v>
      </c>
      <c r="H6" s="7">
        <v>362571</v>
      </c>
      <c r="I6" s="3">
        <f t="shared" si="1"/>
        <v>517</v>
      </c>
      <c r="J6" s="3">
        <v>2970</v>
      </c>
      <c r="K6" s="4">
        <v>208876</v>
      </c>
      <c r="L6" s="9">
        <v>0</v>
      </c>
      <c r="N6" s="1"/>
    </row>
    <row r="7" spans="2:14" x14ac:dyDescent="0.25">
      <c r="B7" s="2">
        <v>3</v>
      </c>
      <c r="C7" s="11">
        <v>43864</v>
      </c>
      <c r="D7" s="7">
        <v>66</v>
      </c>
      <c r="E7" s="12">
        <v>40042</v>
      </c>
      <c r="F7" s="4">
        <v>167539</v>
      </c>
      <c r="G7" s="8">
        <f t="shared" si="0"/>
        <v>23</v>
      </c>
      <c r="H7" s="7">
        <v>363088</v>
      </c>
      <c r="I7" s="3">
        <f t="shared" si="1"/>
        <v>431</v>
      </c>
      <c r="J7" s="3">
        <v>2970</v>
      </c>
      <c r="K7" s="4">
        <v>208876</v>
      </c>
      <c r="L7" s="9">
        <v>0</v>
      </c>
      <c r="N7" s="1"/>
    </row>
    <row r="8" spans="2:14" x14ac:dyDescent="0.25">
      <c r="B8" s="2">
        <v>4</v>
      </c>
      <c r="C8" s="11">
        <v>43865</v>
      </c>
      <c r="D8" s="7">
        <v>105</v>
      </c>
      <c r="E8" s="12">
        <v>40800</v>
      </c>
      <c r="F8" s="4">
        <v>167562</v>
      </c>
      <c r="G8" s="8">
        <f t="shared" si="0"/>
        <v>27</v>
      </c>
      <c r="H8" s="7">
        <v>363519</v>
      </c>
      <c r="I8" s="3">
        <f t="shared" si="1"/>
        <v>523</v>
      </c>
      <c r="J8" s="3">
        <v>2970</v>
      </c>
      <c r="K8" s="4">
        <v>208876</v>
      </c>
      <c r="L8" s="9">
        <v>0</v>
      </c>
      <c r="N8" s="1"/>
    </row>
    <row r="9" spans="2:14" x14ac:dyDescent="0.25">
      <c r="B9" s="2">
        <v>5</v>
      </c>
      <c r="C9" s="11">
        <v>43866</v>
      </c>
      <c r="D9" s="7">
        <v>170</v>
      </c>
      <c r="E9" s="12">
        <v>41911</v>
      </c>
      <c r="F9" s="4">
        <v>167589</v>
      </c>
      <c r="G9" s="8">
        <f t="shared" si="0"/>
        <v>32</v>
      </c>
      <c r="H9" s="7">
        <v>364042</v>
      </c>
      <c r="I9" s="3">
        <f t="shared" si="1"/>
        <v>538</v>
      </c>
      <c r="J9" s="3">
        <v>2970</v>
      </c>
      <c r="K9" s="4">
        <v>208876</v>
      </c>
      <c r="L9" s="9">
        <v>0</v>
      </c>
      <c r="N9" s="1"/>
    </row>
    <row r="10" spans="2:14" x14ac:dyDescent="0.25">
      <c r="B10" s="2">
        <v>6</v>
      </c>
      <c r="C10" s="11">
        <v>43867</v>
      </c>
      <c r="D10" s="7">
        <v>247</v>
      </c>
      <c r="E10" s="12">
        <v>44168</v>
      </c>
      <c r="F10" s="4">
        <v>167621</v>
      </c>
      <c r="G10" s="8">
        <f t="shared" si="0"/>
        <v>37</v>
      </c>
      <c r="H10" s="7">
        <v>364580</v>
      </c>
      <c r="I10" s="3">
        <f t="shared" si="1"/>
        <v>655</v>
      </c>
      <c r="J10" s="3">
        <v>2970</v>
      </c>
      <c r="K10" s="4">
        <v>208876</v>
      </c>
      <c r="L10" s="9">
        <v>0</v>
      </c>
      <c r="N10" s="1"/>
    </row>
    <row r="11" spans="2:14" x14ac:dyDescent="0.25">
      <c r="B11" s="2">
        <v>7</v>
      </c>
      <c r="C11" s="11">
        <v>43868</v>
      </c>
      <c r="D11" s="7">
        <v>271</v>
      </c>
      <c r="E11" s="12">
        <v>44321</v>
      </c>
      <c r="F11" s="4">
        <v>167658</v>
      </c>
      <c r="G11" s="8">
        <f t="shared" si="0"/>
        <v>37</v>
      </c>
      <c r="H11" s="7">
        <v>365235</v>
      </c>
      <c r="I11" s="3">
        <f t="shared" si="1"/>
        <v>650</v>
      </c>
      <c r="J11" s="3">
        <v>0</v>
      </c>
      <c r="K11" s="4">
        <v>208876</v>
      </c>
      <c r="L11" s="9">
        <v>0</v>
      </c>
      <c r="N11" s="1"/>
    </row>
    <row r="12" spans="2:14" x14ac:dyDescent="0.25">
      <c r="B12" s="2">
        <v>8</v>
      </c>
      <c r="C12" s="11">
        <v>43869</v>
      </c>
      <c r="D12" s="7">
        <v>84</v>
      </c>
      <c r="E12" s="12">
        <v>42827</v>
      </c>
      <c r="F12" s="4">
        <v>167695</v>
      </c>
      <c r="G12" s="8">
        <f t="shared" si="0"/>
        <v>31</v>
      </c>
      <c r="H12" s="7">
        <v>365885</v>
      </c>
      <c r="I12" s="3">
        <f t="shared" si="1"/>
        <v>519</v>
      </c>
      <c r="J12" s="3">
        <v>2970</v>
      </c>
      <c r="K12" s="4">
        <v>208876</v>
      </c>
      <c r="L12" s="9">
        <v>0</v>
      </c>
      <c r="N12" s="1"/>
    </row>
    <row r="13" spans="2:14" ht="12" customHeight="1" x14ac:dyDescent="0.25">
      <c r="B13" s="2">
        <v>9</v>
      </c>
      <c r="C13" s="11">
        <v>43870</v>
      </c>
      <c r="D13" s="7">
        <v>68</v>
      </c>
      <c r="E13" s="12">
        <v>39835</v>
      </c>
      <c r="F13" s="4">
        <v>167726</v>
      </c>
      <c r="G13" s="8">
        <f t="shared" si="0"/>
        <v>27</v>
      </c>
      <c r="H13" s="7">
        <v>366404</v>
      </c>
      <c r="I13" s="3">
        <f t="shared" si="1"/>
        <v>448</v>
      </c>
      <c r="J13" s="3">
        <v>2970</v>
      </c>
      <c r="K13" s="4">
        <v>208876</v>
      </c>
      <c r="L13" s="9">
        <v>0</v>
      </c>
      <c r="N13" s="1"/>
    </row>
    <row r="14" spans="2:14" x14ac:dyDescent="0.25">
      <c r="B14" s="2">
        <v>10</v>
      </c>
      <c r="C14" s="11">
        <v>43871</v>
      </c>
      <c r="D14" s="7">
        <v>78</v>
      </c>
      <c r="E14" s="12">
        <v>40510</v>
      </c>
      <c r="F14" s="4">
        <v>167753</v>
      </c>
      <c r="G14" s="8">
        <f t="shared" si="0"/>
        <v>23</v>
      </c>
      <c r="H14" s="7">
        <v>366852</v>
      </c>
      <c r="I14" s="3">
        <f t="shared" si="1"/>
        <v>477</v>
      </c>
      <c r="J14" s="3">
        <v>2970</v>
      </c>
      <c r="K14" s="4">
        <v>208876</v>
      </c>
      <c r="L14" s="9">
        <v>0</v>
      </c>
      <c r="N14" s="1"/>
    </row>
    <row r="15" spans="2:14" x14ac:dyDescent="0.25">
      <c r="B15" s="2">
        <v>11</v>
      </c>
      <c r="C15" s="11">
        <v>43872</v>
      </c>
      <c r="D15" s="7">
        <v>85</v>
      </c>
      <c r="E15" s="12">
        <v>40526</v>
      </c>
      <c r="F15" s="4">
        <v>167776</v>
      </c>
      <c r="G15" s="8">
        <f t="shared" si="0"/>
        <v>20</v>
      </c>
      <c r="H15" s="7">
        <v>367329</v>
      </c>
      <c r="I15" s="3">
        <f t="shared" si="1"/>
        <v>489</v>
      </c>
      <c r="J15" s="3">
        <v>2970</v>
      </c>
      <c r="K15" s="4">
        <v>208876</v>
      </c>
      <c r="L15" s="9">
        <v>0</v>
      </c>
      <c r="N15" s="1"/>
    </row>
    <row r="16" spans="2:14" ht="13.5" customHeight="1" x14ac:dyDescent="0.25">
      <c r="B16" s="2">
        <v>12</v>
      </c>
      <c r="C16" s="11">
        <v>43873</v>
      </c>
      <c r="D16" s="7">
        <v>145</v>
      </c>
      <c r="E16" s="12">
        <v>40814</v>
      </c>
      <c r="F16" s="4">
        <v>167796</v>
      </c>
      <c r="G16" s="8">
        <f t="shared" si="0"/>
        <v>22</v>
      </c>
      <c r="H16" s="7">
        <v>367818</v>
      </c>
      <c r="I16" s="3">
        <f t="shared" si="1"/>
        <v>600</v>
      </c>
      <c r="J16" s="3">
        <v>2970</v>
      </c>
      <c r="K16" s="4">
        <v>208876</v>
      </c>
      <c r="L16" s="9">
        <v>0</v>
      </c>
      <c r="N16" s="1"/>
    </row>
    <row r="17" spans="1:14" x14ac:dyDescent="0.25">
      <c r="B17" s="2">
        <v>13</v>
      </c>
      <c r="C17" s="11">
        <v>43874</v>
      </c>
      <c r="D17" s="7">
        <v>222</v>
      </c>
      <c r="E17" s="12">
        <v>44676</v>
      </c>
      <c r="F17" s="4">
        <v>167818</v>
      </c>
      <c r="G17" s="8">
        <f t="shared" si="0"/>
        <v>26</v>
      </c>
      <c r="H17" s="7">
        <v>368418</v>
      </c>
      <c r="I17" s="3">
        <f t="shared" si="1"/>
        <v>703</v>
      </c>
      <c r="J17" s="3">
        <v>2970</v>
      </c>
      <c r="K17" s="4">
        <v>209330</v>
      </c>
      <c r="L17" s="9">
        <f>K17-K16</f>
        <v>454</v>
      </c>
      <c r="N17" s="1"/>
    </row>
    <row r="18" spans="1:14" x14ac:dyDescent="0.25">
      <c r="B18" s="2">
        <v>14</v>
      </c>
      <c r="C18" s="11">
        <v>43875</v>
      </c>
      <c r="D18" s="7">
        <v>267</v>
      </c>
      <c r="E18" s="13">
        <v>44521</v>
      </c>
      <c r="F18" s="4">
        <v>167844</v>
      </c>
      <c r="G18" s="8">
        <f t="shared" ref="G18:G24" si="2">F19-F18</f>
        <v>28</v>
      </c>
      <c r="H18" s="17">
        <v>369121</v>
      </c>
      <c r="I18" s="3">
        <f t="shared" ref="I18:I24" si="3">H19-H18</f>
        <v>704</v>
      </c>
      <c r="J18" s="3">
        <v>2970</v>
      </c>
      <c r="K18" s="4">
        <v>209330</v>
      </c>
      <c r="L18" s="9">
        <v>0</v>
      </c>
      <c r="N18" s="1"/>
    </row>
    <row r="19" spans="1:14" x14ac:dyDescent="0.25">
      <c r="B19" s="2">
        <v>15</v>
      </c>
      <c r="C19" s="11">
        <v>43876</v>
      </c>
      <c r="D19" s="7">
        <v>92</v>
      </c>
      <c r="E19" s="12">
        <v>44873</v>
      </c>
      <c r="F19" s="4">
        <v>167872</v>
      </c>
      <c r="G19" s="8">
        <f t="shared" si="2"/>
        <v>26</v>
      </c>
      <c r="H19" s="7">
        <v>369825</v>
      </c>
      <c r="I19" s="3">
        <f t="shared" si="3"/>
        <v>507</v>
      </c>
      <c r="J19" s="3">
        <v>0</v>
      </c>
      <c r="K19" s="4">
        <v>209330</v>
      </c>
      <c r="L19" s="9">
        <v>0</v>
      </c>
      <c r="N19" s="1"/>
    </row>
    <row r="20" spans="1:14" x14ac:dyDescent="0.25">
      <c r="B20" s="2">
        <v>16</v>
      </c>
      <c r="C20" s="11">
        <v>43877</v>
      </c>
      <c r="D20" s="7">
        <v>81</v>
      </c>
      <c r="E20" s="12">
        <v>43716</v>
      </c>
      <c r="F20" s="4">
        <v>167898</v>
      </c>
      <c r="G20" s="8">
        <f t="shared" si="2"/>
        <v>28</v>
      </c>
      <c r="H20" s="4">
        <v>370332</v>
      </c>
      <c r="I20" s="3">
        <f t="shared" si="3"/>
        <v>442</v>
      </c>
      <c r="J20" s="3">
        <v>2970</v>
      </c>
      <c r="K20" s="4">
        <v>209330</v>
      </c>
      <c r="L20" s="9">
        <v>0</v>
      </c>
      <c r="N20" s="1"/>
    </row>
    <row r="21" spans="1:14" x14ac:dyDescent="0.25">
      <c r="B21" s="2">
        <v>17</v>
      </c>
      <c r="C21" s="11">
        <v>43878</v>
      </c>
      <c r="D21" s="7">
        <v>90</v>
      </c>
      <c r="E21" s="12">
        <v>39219</v>
      </c>
      <c r="F21" s="4">
        <v>167926</v>
      </c>
      <c r="G21" s="8">
        <f t="shared" si="2"/>
        <v>33</v>
      </c>
      <c r="H21" s="4">
        <v>370774</v>
      </c>
      <c r="I21" s="3">
        <f t="shared" si="3"/>
        <v>469</v>
      </c>
      <c r="J21" s="3">
        <v>2970</v>
      </c>
      <c r="K21" s="4">
        <v>209330</v>
      </c>
      <c r="L21" s="9">
        <v>0</v>
      </c>
      <c r="N21" s="1"/>
    </row>
    <row r="22" spans="1:14" x14ac:dyDescent="0.25">
      <c r="B22" s="2">
        <v>18</v>
      </c>
      <c r="C22" s="11">
        <v>43879</v>
      </c>
      <c r="D22" s="7">
        <v>96</v>
      </c>
      <c r="E22" s="12">
        <v>42024</v>
      </c>
      <c r="F22" s="4">
        <v>167959</v>
      </c>
      <c r="G22" s="8">
        <f t="shared" si="2"/>
        <v>35</v>
      </c>
      <c r="H22" s="4">
        <v>371243</v>
      </c>
      <c r="I22" s="3">
        <f t="shared" si="3"/>
        <v>738</v>
      </c>
      <c r="J22" s="3">
        <v>2970</v>
      </c>
      <c r="K22" s="4">
        <v>209330</v>
      </c>
      <c r="L22" s="9">
        <v>0</v>
      </c>
      <c r="N22" s="1"/>
    </row>
    <row r="23" spans="1:14" x14ac:dyDescent="0.25">
      <c r="B23" s="2">
        <v>19</v>
      </c>
      <c r="C23" s="11">
        <v>43880</v>
      </c>
      <c r="D23" s="7">
        <v>132</v>
      </c>
      <c r="E23" s="13">
        <v>41575</v>
      </c>
      <c r="F23" s="4">
        <v>167994</v>
      </c>
      <c r="G23" s="8">
        <f t="shared" si="2"/>
        <v>37</v>
      </c>
      <c r="H23" s="4">
        <v>371981</v>
      </c>
      <c r="I23" s="3">
        <f t="shared" si="3"/>
        <v>462</v>
      </c>
      <c r="J23" s="3">
        <v>2970</v>
      </c>
      <c r="K23" s="4">
        <v>209330</v>
      </c>
      <c r="L23" s="9">
        <v>0</v>
      </c>
      <c r="N23" s="1"/>
    </row>
    <row r="24" spans="1:14" ht="12" customHeight="1" x14ac:dyDescent="0.25">
      <c r="B24" s="2">
        <v>20</v>
      </c>
      <c r="C24" s="11">
        <v>43881</v>
      </c>
      <c r="D24" s="7">
        <v>259</v>
      </c>
      <c r="E24" s="12">
        <v>42820</v>
      </c>
      <c r="F24" s="4">
        <v>168031</v>
      </c>
      <c r="G24" s="8">
        <f t="shared" si="2"/>
        <v>36</v>
      </c>
      <c r="H24" s="4">
        <v>372443</v>
      </c>
      <c r="I24" s="3">
        <f t="shared" si="3"/>
        <v>664</v>
      </c>
      <c r="J24" s="3">
        <v>2970</v>
      </c>
      <c r="K24" s="4">
        <v>209330</v>
      </c>
      <c r="L24" s="9">
        <v>0</v>
      </c>
      <c r="N24" s="1"/>
    </row>
    <row r="25" spans="1:14" x14ac:dyDescent="0.25">
      <c r="B25" s="2">
        <v>21</v>
      </c>
      <c r="C25" s="11">
        <v>43882</v>
      </c>
      <c r="D25" s="7">
        <v>269</v>
      </c>
      <c r="E25" s="12">
        <v>47941</v>
      </c>
      <c r="F25" s="4">
        <v>168067</v>
      </c>
      <c r="G25" s="8">
        <f t="shared" ref="G25:G33" si="4">F26-F25</f>
        <v>36</v>
      </c>
      <c r="H25" s="4">
        <v>373107</v>
      </c>
      <c r="I25" s="3">
        <f t="shared" ref="I25:I33" si="5">H26-H25</f>
        <v>673</v>
      </c>
      <c r="J25" s="3">
        <v>0</v>
      </c>
      <c r="K25" s="4">
        <v>209330</v>
      </c>
      <c r="L25" s="9">
        <v>0</v>
      </c>
      <c r="N25" s="1"/>
    </row>
    <row r="26" spans="1:14" x14ac:dyDescent="0.25">
      <c r="B26" s="2">
        <v>22</v>
      </c>
      <c r="C26" s="11">
        <v>43883</v>
      </c>
      <c r="D26" s="7">
        <v>140</v>
      </c>
      <c r="E26" s="12">
        <v>43551</v>
      </c>
      <c r="F26" s="4">
        <v>168103</v>
      </c>
      <c r="G26" s="8">
        <f t="shared" si="4"/>
        <v>39</v>
      </c>
      <c r="H26" s="4">
        <v>373780</v>
      </c>
      <c r="I26" s="3">
        <f t="shared" si="5"/>
        <v>434</v>
      </c>
      <c r="J26" s="3">
        <v>2970</v>
      </c>
      <c r="K26" s="4">
        <v>209330</v>
      </c>
      <c r="L26" s="9">
        <v>0</v>
      </c>
      <c r="N26" s="1"/>
    </row>
    <row r="27" spans="1:14" x14ac:dyDescent="0.25">
      <c r="B27" s="2">
        <v>23</v>
      </c>
      <c r="C27" s="11">
        <v>43884</v>
      </c>
      <c r="D27" s="7">
        <v>124</v>
      </c>
      <c r="E27" s="12">
        <v>42192</v>
      </c>
      <c r="F27" s="4">
        <v>168142</v>
      </c>
      <c r="G27" s="8">
        <f t="shared" si="4"/>
        <v>40</v>
      </c>
      <c r="H27" s="7">
        <v>374214</v>
      </c>
      <c r="I27" s="3">
        <f t="shared" si="5"/>
        <v>467</v>
      </c>
      <c r="J27" s="3">
        <v>2970</v>
      </c>
      <c r="K27" s="4">
        <v>209330</v>
      </c>
      <c r="L27" s="9">
        <v>0</v>
      </c>
      <c r="N27" s="1"/>
    </row>
    <row r="28" spans="1:14" ht="12.75" customHeight="1" x14ac:dyDescent="0.25">
      <c r="A28" t="s">
        <v>28</v>
      </c>
      <c r="B28" s="2">
        <v>24</v>
      </c>
      <c r="C28" s="11">
        <v>43885</v>
      </c>
      <c r="D28" s="7">
        <v>187</v>
      </c>
      <c r="E28" s="12">
        <v>41887</v>
      </c>
      <c r="F28" s="4">
        <v>168182</v>
      </c>
      <c r="G28" s="8">
        <f t="shared" si="4"/>
        <v>44</v>
      </c>
      <c r="H28" s="7">
        <v>374681</v>
      </c>
      <c r="I28" s="3">
        <f t="shared" si="5"/>
        <v>489</v>
      </c>
      <c r="J28" s="3">
        <v>2970</v>
      </c>
      <c r="K28" s="4">
        <v>209330</v>
      </c>
      <c r="L28" s="9">
        <v>0</v>
      </c>
      <c r="N28" s="1"/>
    </row>
    <row r="29" spans="1:14" x14ac:dyDescent="0.25">
      <c r="B29" s="2">
        <v>25</v>
      </c>
      <c r="C29" s="11">
        <v>43886</v>
      </c>
      <c r="D29" s="7">
        <v>207</v>
      </c>
      <c r="E29" s="12">
        <v>44619</v>
      </c>
      <c r="F29" s="4">
        <v>168226</v>
      </c>
      <c r="G29" s="8">
        <f t="shared" ca="1" si="4"/>
        <v>33</v>
      </c>
      <c r="H29" s="7">
        <v>375170</v>
      </c>
      <c r="I29" s="3">
        <f t="shared" ca="1" si="5"/>
        <v>613</v>
      </c>
      <c r="J29" s="3">
        <v>2970</v>
      </c>
      <c r="K29" s="4">
        <v>209330</v>
      </c>
      <c r="L29" s="9">
        <v>0</v>
      </c>
      <c r="N29" s="1"/>
    </row>
    <row r="30" spans="1:14" x14ac:dyDescent="0.25">
      <c r="B30" s="2">
        <v>26</v>
      </c>
      <c r="C30" s="11">
        <v>43887</v>
      </c>
      <c r="D30" s="7">
        <v>164</v>
      </c>
      <c r="E30" s="12">
        <v>41930</v>
      </c>
      <c r="F30" s="4">
        <v>168259</v>
      </c>
      <c r="G30" s="8">
        <f t="shared" ca="1" si="4"/>
        <v>30</v>
      </c>
      <c r="H30" s="7">
        <v>375783</v>
      </c>
      <c r="I30" s="3">
        <f t="shared" ca="1" si="5"/>
        <v>708</v>
      </c>
      <c r="J30" s="3">
        <v>0</v>
      </c>
      <c r="K30" s="4">
        <v>209330</v>
      </c>
      <c r="L30" s="9">
        <v>0</v>
      </c>
      <c r="N30" s="1"/>
    </row>
    <row r="31" spans="1:14" x14ac:dyDescent="0.25">
      <c r="B31" s="2">
        <v>27</v>
      </c>
      <c r="C31" s="11">
        <v>43888</v>
      </c>
      <c r="D31" s="7">
        <v>119</v>
      </c>
      <c r="E31" s="12">
        <v>40576</v>
      </c>
      <c r="F31" s="4">
        <v>168289</v>
      </c>
      <c r="G31" s="8">
        <f t="shared" ca="1" si="4"/>
        <v>30</v>
      </c>
      <c r="H31" s="7">
        <v>376491</v>
      </c>
      <c r="I31" s="3">
        <f t="shared" ca="1" si="5"/>
        <v>450</v>
      </c>
      <c r="J31" s="3">
        <v>2970</v>
      </c>
      <c r="K31" s="4">
        <v>209330</v>
      </c>
      <c r="L31" s="9">
        <v>0</v>
      </c>
      <c r="N31" s="1"/>
    </row>
    <row r="32" spans="1:14" x14ac:dyDescent="0.25">
      <c r="B32" s="2">
        <v>28</v>
      </c>
      <c r="C32" s="11">
        <v>43889</v>
      </c>
      <c r="D32" s="7">
        <v>72</v>
      </c>
      <c r="E32" s="12">
        <v>41580</v>
      </c>
      <c r="F32" s="4">
        <v>168319</v>
      </c>
      <c r="G32" s="8">
        <f t="shared" ca="1" si="4"/>
        <v>29</v>
      </c>
      <c r="H32" s="7">
        <v>376941</v>
      </c>
      <c r="I32" s="3">
        <f t="shared" ca="1" si="5"/>
        <v>400</v>
      </c>
      <c r="J32" s="3">
        <v>2970</v>
      </c>
      <c r="K32" s="4">
        <v>209330</v>
      </c>
      <c r="L32" s="9">
        <v>0</v>
      </c>
      <c r="N32" s="1"/>
    </row>
    <row r="33" spans="2:14" x14ac:dyDescent="0.25">
      <c r="B33" s="23">
        <v>29</v>
      </c>
      <c r="C33" s="24">
        <v>43890</v>
      </c>
      <c r="D33" s="25">
        <v>29</v>
      </c>
      <c r="E33" s="26">
        <v>37793</v>
      </c>
      <c r="F33" s="27">
        <v>168348</v>
      </c>
      <c r="G33" s="28">
        <f t="shared" ca="1" si="4"/>
        <v>30</v>
      </c>
      <c r="H33" s="25">
        <v>377341</v>
      </c>
      <c r="I33" s="29">
        <f t="shared" ca="1" si="5"/>
        <v>279</v>
      </c>
      <c r="J33" s="29">
        <v>0</v>
      </c>
      <c r="K33" s="4">
        <v>209330</v>
      </c>
      <c r="L33" s="30">
        <v>0</v>
      </c>
      <c r="N33" s="1"/>
    </row>
    <row r="34" spans="2:14" x14ac:dyDescent="0.25">
      <c r="B34" s="2"/>
      <c r="C34" s="11"/>
      <c r="D34" s="22"/>
      <c r="E34" s="22"/>
      <c r="F34" s="22">
        <v>168378</v>
      </c>
      <c r="G34" s="22"/>
      <c r="H34" s="22">
        <v>377620</v>
      </c>
      <c r="I34" s="22"/>
      <c r="J34" s="3"/>
      <c r="K34" s="4">
        <v>209330</v>
      </c>
      <c r="L34" s="37"/>
      <c r="M34" s="16"/>
    </row>
    <row r="35" spans="2:14" ht="13.8" thickBot="1" x14ac:dyDescent="0.3">
      <c r="B35" s="31"/>
      <c r="C35" s="32"/>
      <c r="D35" s="33"/>
      <c r="E35" s="38"/>
      <c r="F35" s="33"/>
      <c r="G35" s="33"/>
      <c r="H35" s="33"/>
      <c r="I35" s="33"/>
      <c r="J35" s="34"/>
      <c r="K35" s="35"/>
      <c r="L35" s="36"/>
      <c r="M35" s="16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Ronald Diab</cp:lastModifiedBy>
  <dcterms:created xsi:type="dcterms:W3CDTF">2016-09-19T10:41:46Z</dcterms:created>
  <dcterms:modified xsi:type="dcterms:W3CDTF">2020-03-06T16:23:26Z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