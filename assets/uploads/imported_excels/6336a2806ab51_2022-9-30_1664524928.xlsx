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55043CF5-6FBE-4E2D-94EE-B5EC37420B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Insert in SCR" sheetId="3" r:id="rId2"/>
    <sheet name="Calculation Foodwast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F10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K3" i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L7" i="1"/>
  <c r="S3" i="1"/>
  <c r="S4" i="1"/>
  <c r="S5" i="1"/>
  <c r="S6" i="1"/>
  <c r="S7" i="1"/>
  <c r="S8" i="1"/>
  <c r="S9" i="1"/>
  <c r="S2" i="1"/>
  <c r="R3" i="1"/>
  <c r="R4" i="1"/>
  <c r="R5" i="1"/>
  <c r="R6" i="1"/>
  <c r="R7" i="1"/>
  <c r="R8" i="1"/>
  <c r="R9" i="1"/>
  <c r="R2" i="1"/>
  <c r="Q3" i="1"/>
  <c r="Q4" i="1"/>
  <c r="Q5" i="1"/>
  <c r="Q6" i="1"/>
  <c r="Q7" i="1"/>
  <c r="Q8" i="1"/>
  <c r="Q9" i="1"/>
  <c r="Q2" i="1"/>
  <c r="P3" i="1"/>
  <c r="P4" i="1"/>
  <c r="P5" i="1"/>
  <c r="P6" i="1"/>
  <c r="P7" i="1"/>
  <c r="P8" i="1"/>
  <c r="P9" i="1"/>
  <c r="P2" i="1"/>
  <c r="I3" i="1"/>
  <c r="I4" i="1"/>
  <c r="I5" i="1"/>
  <c r="I6" i="1"/>
  <c r="I7" i="1"/>
  <c r="I8" i="1"/>
  <c r="I9" i="1"/>
  <c r="I2" i="1"/>
  <c r="H9" i="1"/>
  <c r="H3" i="1"/>
  <c r="H4" i="1"/>
  <c r="H5" i="1"/>
  <c r="H6" i="1"/>
  <c r="H7" i="1"/>
  <c r="H8" i="1"/>
  <c r="H2" i="1"/>
  <c r="AM17" i="3"/>
  <c r="AK17" i="3"/>
  <c r="AI17" i="3"/>
  <c r="AG17" i="3"/>
  <c r="AE17" i="3"/>
  <c r="AC17" i="3"/>
  <c r="AA17" i="3"/>
  <c r="Y17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K36" i="2"/>
  <c r="J37" i="2"/>
  <c r="L37" i="2"/>
  <c r="N37" i="2"/>
  <c r="P37" i="2"/>
  <c r="R37" i="2"/>
  <c r="T37" i="2"/>
  <c r="V37" i="2"/>
  <c r="H37" i="2"/>
  <c r="I36" i="2"/>
  <c r="J36" i="2"/>
  <c r="L36" i="2"/>
  <c r="M36" i="2"/>
  <c r="N36" i="2"/>
  <c r="O36" i="2"/>
  <c r="P36" i="2"/>
  <c r="Q36" i="2"/>
  <c r="R36" i="2"/>
  <c r="S36" i="2"/>
  <c r="T36" i="2"/>
  <c r="U36" i="2"/>
  <c r="V36" i="2"/>
  <c r="W36" i="2"/>
  <c r="H36" i="2"/>
  <c r="S8" i="2"/>
  <c r="S7" i="2"/>
  <c r="S6" i="2"/>
  <c r="S5" i="2"/>
  <c r="S4" i="2"/>
  <c r="S9" i="2" s="1"/>
  <c r="Q8" i="2"/>
  <c r="Q7" i="2"/>
  <c r="Q6" i="2"/>
  <c r="Q5" i="2"/>
  <c r="Q4" i="2"/>
  <c r="Q9" i="2" s="1"/>
  <c r="O8" i="2"/>
  <c r="O7" i="2"/>
  <c r="O6" i="2"/>
  <c r="O5" i="2"/>
  <c r="O4" i="2"/>
  <c r="O9" i="2" s="1"/>
  <c r="M8" i="2"/>
  <c r="M7" i="2"/>
  <c r="M6" i="2"/>
  <c r="M5" i="2"/>
  <c r="M4" i="2"/>
  <c r="M9" i="2" s="1"/>
  <c r="K8" i="2"/>
  <c r="K7" i="2"/>
  <c r="K6" i="2"/>
  <c r="K5" i="2"/>
  <c r="K4" i="2"/>
  <c r="K9" i="2" s="1"/>
  <c r="I8" i="2"/>
  <c r="I7" i="2"/>
  <c r="I6" i="2"/>
  <c r="I5" i="2"/>
  <c r="I4" i="2"/>
  <c r="I9" i="2" s="1"/>
  <c r="R7" i="2"/>
  <c r="R8" i="2"/>
  <c r="R6" i="2"/>
  <c r="R5" i="2"/>
  <c r="R4" i="2"/>
  <c r="R9" i="2" s="1"/>
  <c r="P8" i="2"/>
  <c r="P7" i="2"/>
  <c r="P6" i="2"/>
  <c r="P5" i="2"/>
  <c r="P4" i="2"/>
  <c r="P9" i="2" s="1"/>
  <c r="N8" i="2"/>
  <c r="N7" i="2"/>
  <c r="N6" i="2"/>
  <c r="N5" i="2"/>
  <c r="N4" i="2"/>
  <c r="N9" i="2" s="1"/>
  <c r="L8" i="2"/>
  <c r="L7" i="2"/>
  <c r="L6" i="2"/>
  <c r="L5" i="2"/>
  <c r="L4" i="2"/>
  <c r="L9" i="2" s="1"/>
  <c r="J8" i="2"/>
  <c r="J7" i="2"/>
  <c r="J6" i="2"/>
  <c r="J4" i="2"/>
  <c r="J5" i="2"/>
  <c r="H7" i="2"/>
  <c r="H5" i="2"/>
  <c r="H4" i="2"/>
  <c r="H9" i="2" s="1"/>
  <c r="V40" i="2"/>
  <c r="T40" i="2"/>
  <c r="R40" i="2"/>
  <c r="P40" i="2"/>
  <c r="N40" i="2"/>
  <c r="L40" i="2"/>
  <c r="J40" i="2"/>
  <c r="H40" i="2"/>
  <c r="AA14" i="1"/>
  <c r="AC14" i="1"/>
  <c r="AE14" i="1"/>
  <c r="AG14" i="1"/>
  <c r="AI14" i="1"/>
  <c r="AK14" i="1"/>
  <c r="AM14" i="1"/>
  <c r="Y14" i="1"/>
  <c r="H19" i="2"/>
  <c r="J19" i="2"/>
  <c r="L19" i="2"/>
  <c r="N19" i="2"/>
  <c r="P19" i="2"/>
  <c r="R19" i="2"/>
  <c r="U19" i="2"/>
  <c r="T16" i="2"/>
  <c r="T15" i="2"/>
  <c r="T14" i="2"/>
  <c r="T13" i="2"/>
  <c r="T12" i="2"/>
  <c r="T19" i="2" s="1"/>
  <c r="U6" i="2"/>
  <c r="T8" i="2"/>
  <c r="U8" i="2" s="1"/>
  <c r="T7" i="2"/>
  <c r="U7" i="2" s="1"/>
  <c r="T5" i="2"/>
  <c r="U5" i="2" s="1"/>
  <c r="T4" i="2"/>
  <c r="T9" i="2" s="1"/>
  <c r="V16" i="2"/>
  <c r="V15" i="2"/>
  <c r="V14" i="2"/>
  <c r="V13" i="2"/>
  <c r="V12" i="2"/>
  <c r="V19" i="2" s="1"/>
  <c r="E10" i="2"/>
  <c r="E9" i="2"/>
  <c r="V8" i="2"/>
  <c r="W8" i="2" s="1"/>
  <c r="E8" i="2"/>
  <c r="V7" i="2"/>
  <c r="W7" i="2" s="1"/>
  <c r="E7" i="2"/>
  <c r="V6" i="2"/>
  <c r="W6" i="2" s="1"/>
  <c r="E6" i="2"/>
  <c r="V5" i="2"/>
  <c r="W5" i="2" s="1"/>
  <c r="E5" i="2"/>
  <c r="V4" i="2"/>
  <c r="V11" i="2" s="1"/>
  <c r="E4" i="2"/>
  <c r="J9" i="2" l="1"/>
  <c r="U4" i="2"/>
  <c r="T11" i="2"/>
  <c r="W4" i="2"/>
  <c r="W11" i="2" s="1"/>
  <c r="U9" i="2" l="1"/>
  <c r="U11" i="2" s="1"/>
</calcChain>
</file>

<file path=xl/sharedStrings.xml><?xml version="1.0" encoding="utf-8"?>
<sst xmlns="http://schemas.openxmlformats.org/spreadsheetml/2006/main" count="134" uniqueCount="68">
  <si>
    <t>Site Name</t>
  </si>
  <si>
    <t>Month</t>
  </si>
  <si>
    <t>Year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</si>
  <si>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</si>
  <si>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</si>
  <si>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</si>
  <si>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</si>
  <si>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</si>
  <si>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</si>
  <si>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</si>
  <si>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</si>
  <si>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</si>
  <si>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</si>
  <si>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mixed metals</t>
  </si>
  <si>
    <t>Total cost mixed metals</t>
  </si>
  <si>
    <t>Total (per Unit) food waste</t>
  </si>
  <si>
    <t>Total cost food waste</t>
  </si>
  <si>
    <t>Total (per Unit) general municipal solid waste</t>
  </si>
  <si>
    <t>Total cost general municipal solid waste</t>
  </si>
  <si>
    <t>Seychelles</t>
  </si>
  <si>
    <t>Jan</t>
  </si>
  <si>
    <t>Feb</t>
  </si>
  <si>
    <t>Mar</t>
  </si>
  <si>
    <t>Apr</t>
  </si>
  <si>
    <t>May</t>
  </si>
  <si>
    <t>June</t>
  </si>
  <si>
    <t>July</t>
  </si>
  <si>
    <t>Aug</t>
  </si>
  <si>
    <t>IN SEYCHELLES RUPEE</t>
  </si>
  <si>
    <t>compactor</t>
  </si>
  <si>
    <t>Skip Gen</t>
  </si>
  <si>
    <t>Outlet</t>
  </si>
  <si>
    <t>Bin per day</t>
  </si>
  <si>
    <t>%</t>
  </si>
  <si>
    <t>Jun</t>
  </si>
  <si>
    <t>Jul</t>
  </si>
  <si>
    <t>Sep</t>
  </si>
  <si>
    <t>Oct</t>
  </si>
  <si>
    <t>Nov</t>
  </si>
  <si>
    <t>Dec</t>
  </si>
  <si>
    <t>Kannel</t>
  </si>
  <si>
    <t>Zez</t>
  </si>
  <si>
    <t>IVD</t>
  </si>
  <si>
    <t>Buther</t>
  </si>
  <si>
    <t>Sitronel</t>
  </si>
  <si>
    <t>E-housing</t>
  </si>
  <si>
    <t>Residence</t>
  </si>
  <si>
    <t>KG</t>
  </si>
  <si>
    <t>jan</t>
  </si>
  <si>
    <t>feb</t>
  </si>
  <si>
    <t>mar</t>
  </si>
  <si>
    <t>apr</t>
  </si>
  <si>
    <t>may</t>
  </si>
  <si>
    <t>jun</t>
  </si>
  <si>
    <t>jul</t>
  </si>
  <si>
    <t>aug</t>
  </si>
  <si>
    <t>January</t>
  </si>
  <si>
    <t>February</t>
  </si>
  <si>
    <t>March</t>
  </si>
  <si>
    <t>April</t>
  </si>
  <si>
    <t>August</t>
  </si>
  <si>
    <t>September</t>
  </si>
  <si>
    <t>October</t>
  </si>
  <si>
    <t>November</t>
  </si>
  <si>
    <t>December</t>
  </si>
  <si>
    <t>sum grease</t>
  </si>
  <si>
    <t>comp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</si>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</sst>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SCR]\ #,##0.00"/>
    <numFmt numFmtId="165" formatCode="_([$€-2]\ * #,##0.00_);_([$€-2]\ * \(#,##0.00\);_([$€-2]\ * &quot;-&quot;??_);_(@_)"/>
    <numFmt numFmtId="166" formatCode="_([$SCR]\ * #,##0.00_);_([$SCR]\ * \(#,##0.00\);_([$SCR]\ 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FF00"/>
      <name val="Arial"/>
      <family val="2"/>
    </font>
    <font>
      <sz val="10"/>
      <color rgb="FFFFFF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3" borderId="1" xfId="0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right"/>
    </xf>
    <xf numFmtId="16" fontId="3" fillId="3" borderId="1" xfId="0" applyNumberFormat="1" applyFont="1" applyFill="1" applyBorder="1"/>
    <xf numFmtId="0" fontId="0" fillId="5" borderId="1" xfId="0" applyFill="1" applyBorder="1"/>
    <xf numFmtId="1" fontId="0" fillId="5" borderId="1" xfId="0" applyNumberFormat="1" applyFill="1" applyBorder="1"/>
    <xf numFmtId="9" fontId="5" fillId="4" borderId="1" xfId="0" applyNumberFormat="1" applyFont="1" applyFill="1" applyBorder="1" applyAlignment="1">
      <alignment horizontal="right"/>
    </xf>
    <xf numFmtId="9" fontId="5" fillId="4" borderId="2" xfId="0" applyNumberFormat="1" applyFont="1" applyFill="1" applyBorder="1" applyAlignment="1">
      <alignment horizontal="right"/>
    </xf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5" fillId="4" borderId="11" xfId="0" applyFont="1" applyFill="1" applyBorder="1" applyAlignment="1">
      <alignment horizontal="right"/>
    </xf>
    <xf numFmtId="0" fontId="0" fillId="0" borderId="11" xfId="0" applyBorder="1"/>
    <xf numFmtId="2" fontId="2" fillId="0" borderId="1" xfId="0" applyNumberFormat="1" applyFont="1" applyBorder="1"/>
    <xf numFmtId="0" fontId="7" fillId="0" borderId="1" xfId="0" applyFont="1" applyBorder="1"/>
    <xf numFmtId="0" fontId="0" fillId="3" borderId="8" xfId="0" applyFill="1" applyBorder="1"/>
    <xf numFmtId="0" fontId="3" fillId="3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wrapText="1"/>
    </xf>
    <xf numFmtId="0" fontId="0" fillId="0" borderId="3" xfId="0" applyBorder="1"/>
    <xf numFmtId="1" fontId="0" fillId="5" borderId="2" xfId="0" applyNumberFormat="1" applyFill="1" applyBorder="1"/>
    <xf numFmtId="3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2" borderId="0" xfId="0" applyFill="1"/>
    <xf numFmtId="0" fontId="0" fillId="2" borderId="12" xfId="0" applyFill="1" applyBorder="1"/>
    <xf numFmtId="0" fontId="0" fillId="2" borderId="9" xfId="0" applyFill="1" applyBorder="1"/>
    <xf numFmtId="0" fontId="0" fillId="2" borderId="10" xfId="0" applyFill="1" applyBorder="1"/>
    <xf numFmtId="1" fontId="0" fillId="0" borderId="0" xfId="0" applyNumberFormat="1"/>
    <xf numFmtId="164" fontId="2" fillId="0" borderId="1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" fontId="0" fillId="0" borderId="13" xfId="0" applyNumberFormat="1" applyBorder="1"/>
    <xf numFmtId="0" fontId="0" fillId="2" borderId="13" xfId="0" applyFill="1" applyBorder="1"/>
    <xf numFmtId="0" fontId="0" fillId="2" borderId="7" xfId="0" applyFill="1" applyBorder="1"/>
    <xf numFmtId="0" fontId="1" fillId="0" borderId="2" xfId="0" applyFont="1" applyBorder="1" applyAlignment="1">
      <alignment wrapText="1"/>
    </xf>
    <xf numFmtId="165" fontId="0" fillId="0" borderId="1" xfId="0" applyNumberFormat="1" applyBorder="1"/>
    <xf numFmtId="0" fontId="0" fillId="0" borderId="13" xfId="0" applyBorder="1"/>
    <xf numFmtId="0" fontId="3" fillId="2" borderId="2" xfId="0" applyFont="1" applyFill="1" applyBorder="1"/>
    <xf numFmtId="0" fontId="6" fillId="3" borderId="0" xfId="0" applyFont="1" applyFill="1" applyAlignment="1">
      <alignment horizontal="center" wrapText="1"/>
    </xf>
    <xf numFmtId="2" fontId="0" fillId="0" borderId="0" xfId="0" applyNumberFormat="1"/>
    <xf numFmtId="16" fontId="3" fillId="3" borderId="3" xfId="0" applyNumberFormat="1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2" fillId="2" borderId="5" xfId="0" applyNumberFormat="1" applyFont="1" applyFill="1" applyBorder="1" applyAlignment="1">
      <alignment horizontal="right"/>
    </xf>
    <xf numFmtId="164" fontId="2" fillId="2" borderId="12" xfId="0" applyNumberFormat="1" applyFont="1" applyFill="1" applyBorder="1" applyAlignment="1">
      <alignment horizontal="right"/>
    </xf>
    <xf numFmtId="1" fontId="0" fillId="6" borderId="4" xfId="0" applyNumberFormat="1" applyFill="1" applyBorder="1"/>
    <xf numFmtId="1" fontId="0" fillId="6" borderId="13" xfId="0" applyNumberFormat="1" applyFill="1" applyBorder="1"/>
    <xf numFmtId="166" fontId="0" fillId="0" borderId="11" xfId="0" applyNumberFormat="1" applyBorder="1"/>
    <xf numFmtId="166" fontId="0" fillId="0" borderId="1" xfId="0" applyNumberFormat="1" applyBorder="1"/>
    <xf numFmtId="0" fontId="0" fillId="7" borderId="0" xfId="0" applyFill="1"/>
    <xf numFmtId="166" fontId="0" fillId="0" borderId="2" xfId="0" applyNumberFormat="1" applyBorder="1"/>
    <xf numFmtId="2" fontId="0" fillId="2" borderId="0" xfId="0" applyNumberFormat="1" applyFill="1"/>
    <xf numFmtId="2" fontId="0" fillId="2" borderId="9" xfId="0" applyNumberFormat="1" applyFill="1" applyBorder="1"/>
    <xf numFmtId="2" fontId="2" fillId="0" borderId="12" xfId="0" applyNumberFormat="1" applyFont="1" applyBorder="1" applyAlignment="1">
      <alignment horizontal="right"/>
    </xf>
    <xf numFmtId="2" fontId="0" fillId="2" borderId="12" xfId="0" applyNumberFormat="1" applyFill="1" applyBorder="1"/>
    <xf numFmtId="2" fontId="0" fillId="2" borderId="10" xfId="0" applyNumberFormat="1" applyFill="1" applyBorder="1"/>
    <xf numFmtId="16" fontId="3" fillId="3" borderId="3" xfId="0" applyNumberFormat="1" applyFont="1" applyFill="1" applyBorder="1" applyAlignment="1">
      <alignment horizontal="center"/>
    </xf>
    <xf numFmtId="16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"/>
  <sheetViews>
    <sheetView tabSelected="1" workbookViewId="0">
      <pane xSplit="3" topLeftCell="D1" activePane="topRight" state="frozen"/>
      <selection pane="topRight" activeCell="M16" sqref="M16"/>
    </sheetView>
  </sheetViews>
  <sheetFormatPr defaultRowHeight="14.4" x14ac:dyDescent="0.3"/>
  <cols>
    <col min="1" max="1" width="10" customWidth="1"/>
    <col min="2" max="2" width="7" customWidth="1"/>
    <col min="3" max="3" width="6.6640625" customWidth="1"/>
    <col min="4" max="5" width="15.44140625" customWidth="1"/>
    <col min="6" max="6" width="18.6640625" customWidth="1"/>
    <col min="7" max="7" width="16.44140625" customWidth="1"/>
    <col min="8" max="8" width="20.33203125" customWidth="1"/>
    <col min="9" max="9" width="16.5546875" customWidth="1"/>
    <col min="10" max="10" width="20.109375" customWidth="1"/>
    <col min="11" max="11" width="18.88671875" customWidth="1"/>
    <col min="12" max="12" width="13.44140625" customWidth="1"/>
    <col min="13" max="13" width="15.5546875" customWidth="1"/>
    <col min="14" max="14" width="15.109375" customWidth="1"/>
    <col min="15" max="15" width="15.44140625" customWidth="1"/>
    <col min="16" max="16" width="14.109375" customWidth="1"/>
    <col min="17" max="17" width="13.88671875" customWidth="1"/>
    <col min="18" max="18" width="21.6640625" customWidth="1"/>
    <col min="19" max="19" width="20.44140625" customWidth="1"/>
    <col min="24" max="24" width="10.109375" customWidth="1"/>
  </cols>
  <sheetData>
    <row r="1" spans="1:40" ht="28.8" x14ac:dyDescent="0.3">
      <c r="A1" s="24" t="s">
        <v>0</v>
      </c>
      <c r="B1" s="24" t="s">
        <v>1</v>
      </c>
      <c r="C1" s="24" t="s">
        <v>2</v>
      </c>
      <c r="D1" s="26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</row>
    <row r="2" spans="1:40" x14ac:dyDescent="0.3">
      <c r="A2" s="9" t="s">
        <v>19</v>
      </c>
      <c r="B2" s="10">
        <v>1</v>
      </c>
      <c r="C2" s="10">
        <v>2022</v>
      </c>
      <c r="D2" s="42">
        <v>0</v>
      </c>
      <c r="E2" s="42">
        <v>0</v>
      </c>
      <c r="F2" s="42">
        <f>'Insert in SCR'!F5</f>
        <v>0</v>
      </c>
      <c r="G2" s="42">
        <f>'Insert in SCR'!G5</f>
        <v>0</v>
      </c>
      <c r="H2" s="42">
        <f>'Insert in SCR'!H5</f>
        <v>28070</v>
      </c>
      <c r="I2" s="42">
        <f>'Insert in SCR'!I5/13.68</f>
        <v>302.81432748538015</v>
      </c>
      <c r="J2" s="42">
        <f>'Insert in SCR'!J5</f>
        <v>0</v>
      </c>
      <c r="K2" s="42">
        <f>'Insert in SCR'!K5/13.68</f>
        <v>0</v>
      </c>
      <c r="L2" s="42">
        <v>0</v>
      </c>
      <c r="M2" s="42">
        <v>0</v>
      </c>
      <c r="N2" s="42">
        <v>0</v>
      </c>
      <c r="O2" s="42">
        <v>0</v>
      </c>
      <c r="P2" s="42">
        <f>'Insert in SCR'!P5</f>
        <v>26692.799999999999</v>
      </c>
      <c r="Q2" s="42">
        <f>'Insert in SCR'!Q5/13.68</f>
        <v>186.57017543859652</v>
      </c>
      <c r="R2" s="42">
        <f>'Insert in SCR'!R5</f>
        <v>5410</v>
      </c>
      <c r="S2" s="56">
        <f>'Insert in SCR'!S5/13.68</f>
        <v>39.546783625730995</v>
      </c>
    </row>
    <row r="3" spans="1:40" x14ac:dyDescent="0.3">
      <c r="A3" s="9" t="s">
        <v>19</v>
      </c>
      <c r="B3" s="10">
        <v>2</v>
      </c>
      <c r="C3" s="10">
        <v>2022</v>
      </c>
      <c r="D3" s="42">
        <v>0</v>
      </c>
      <c r="E3" s="42">
        <v>0</v>
      </c>
      <c r="F3" s="42">
        <f>'Insert in SCR'!F6</f>
        <v>0</v>
      </c>
      <c r="G3" s="42">
        <f>'Insert in SCR'!G6</f>
        <v>0</v>
      </c>
      <c r="H3" s="42">
        <f>'Insert in SCR'!H6</f>
        <v>35820</v>
      </c>
      <c r="I3" s="42">
        <f>'Insert in SCR'!I6/13.68</f>
        <v>261.84210526315792</v>
      </c>
      <c r="J3" s="42">
        <f>'Insert in SCR'!J6</f>
        <v>1966</v>
      </c>
      <c r="K3" s="42">
        <f>'Insert in SCR'!K6/13.68</f>
        <v>1031.1440058479532</v>
      </c>
      <c r="L3" s="42">
        <v>31</v>
      </c>
      <c r="M3" s="42">
        <v>0</v>
      </c>
      <c r="N3" s="42">
        <v>0</v>
      </c>
      <c r="O3" s="42">
        <v>0</v>
      </c>
      <c r="P3" s="42">
        <f>'Insert in SCR'!P6</f>
        <v>23677.8</v>
      </c>
      <c r="Q3" s="42">
        <f>'Insert in SCR'!Q6/13.68</f>
        <v>173.07602339181287</v>
      </c>
      <c r="R3" s="42">
        <f>'Insert in SCR'!R6</f>
        <v>6530</v>
      </c>
      <c r="S3" s="56">
        <f>'Insert in SCR'!S6/13.68</f>
        <v>47.73391812865497</v>
      </c>
    </row>
    <row r="4" spans="1:40" x14ac:dyDescent="0.3">
      <c r="A4" s="9" t="s">
        <v>19</v>
      </c>
      <c r="B4" s="10">
        <v>3</v>
      </c>
      <c r="C4" s="10">
        <v>2022</v>
      </c>
      <c r="D4" s="42">
        <v>0</v>
      </c>
      <c r="E4" s="42">
        <v>0</v>
      </c>
      <c r="F4" s="42">
        <f>'Insert in SCR'!F7</f>
        <v>0</v>
      </c>
      <c r="G4" s="42">
        <f>'Insert in SCR'!G7</f>
        <v>0</v>
      </c>
      <c r="H4" s="42">
        <f>'Insert in SCR'!H7</f>
        <v>26600</v>
      </c>
      <c r="I4" s="42">
        <f>'Insert in SCR'!I7/13.68</f>
        <v>183.51608187134502</v>
      </c>
      <c r="J4" s="42">
        <f>'Insert in SCR'!J7</f>
        <v>0</v>
      </c>
      <c r="K4" s="42">
        <f>'Insert in SCR'!K7/13.68</f>
        <v>0</v>
      </c>
      <c r="L4" s="42">
        <v>20</v>
      </c>
      <c r="M4" s="42">
        <v>0</v>
      </c>
      <c r="N4" s="42">
        <v>0</v>
      </c>
      <c r="O4" s="42">
        <v>0</v>
      </c>
      <c r="P4" s="42">
        <f>'Insert in SCR'!P7</f>
        <v>26840.2</v>
      </c>
      <c r="Q4" s="42">
        <f>'Insert in SCR'!Q7/13.68</f>
        <v>196.20029239766083</v>
      </c>
      <c r="R4" s="42">
        <f>'Insert in SCR'!R7</f>
        <v>8370</v>
      </c>
      <c r="S4" s="56">
        <f>'Insert in SCR'!S7/13.68</f>
        <v>61.184210526315788</v>
      </c>
    </row>
    <row r="5" spans="1:40" x14ac:dyDescent="0.3">
      <c r="A5" s="9" t="s">
        <v>19</v>
      </c>
      <c r="B5" s="10">
        <v>4</v>
      </c>
      <c r="C5" s="10">
        <v>2022</v>
      </c>
      <c r="D5" s="42">
        <v>0</v>
      </c>
      <c r="E5" s="42">
        <v>0</v>
      </c>
      <c r="F5" s="42">
        <f>'Insert in SCR'!F8</f>
        <v>0</v>
      </c>
      <c r="G5" s="42">
        <f>'Insert in SCR'!G8</f>
        <v>0</v>
      </c>
      <c r="H5" s="42">
        <f>'Insert in SCR'!H8</f>
        <v>19560</v>
      </c>
      <c r="I5" s="42">
        <f>'Insert in SCR'!I8/13.68</f>
        <v>203.2529239766082</v>
      </c>
      <c r="J5" s="42">
        <f>'Insert in SCR'!J8</f>
        <v>1966</v>
      </c>
      <c r="K5" s="42">
        <f>'Insert in SCR'!K8/13.68</f>
        <v>1318.5709064327484</v>
      </c>
      <c r="L5" s="42">
        <v>50</v>
      </c>
      <c r="M5" s="42">
        <v>0</v>
      </c>
      <c r="N5" s="42">
        <v>0</v>
      </c>
      <c r="O5" s="42">
        <v>0</v>
      </c>
      <c r="P5" s="42">
        <f>'Insert in SCR'!P8</f>
        <v>21553.9</v>
      </c>
      <c r="Q5" s="42">
        <f>'Insert in SCR'!Q8/13.68</f>
        <v>236.33698830409358</v>
      </c>
      <c r="R5" s="42">
        <f>'Insert in SCR'!R8</f>
        <v>7650</v>
      </c>
      <c r="S5" s="56">
        <f>'Insert in SCR'!S8/13.68</f>
        <v>83.881578947368425</v>
      </c>
    </row>
    <row r="6" spans="1:40" x14ac:dyDescent="0.3">
      <c r="A6" s="9" t="s">
        <v>19</v>
      </c>
      <c r="B6" s="10">
        <v>5</v>
      </c>
      <c r="C6" s="10">
        <v>2022</v>
      </c>
      <c r="D6" s="42">
        <v>0</v>
      </c>
      <c r="E6" s="42">
        <v>0</v>
      </c>
      <c r="F6" s="42">
        <f>'Insert in SCR'!F9</f>
        <v>594</v>
      </c>
      <c r="G6" s="42">
        <f>'Insert in SCR'!G9</f>
        <v>0</v>
      </c>
      <c r="H6" s="42">
        <f>'Insert in SCR'!H9</f>
        <v>12920</v>
      </c>
      <c r="I6" s="42">
        <f>'Insert in SCR'!I9/13.68</f>
        <v>133.99122807017545</v>
      </c>
      <c r="J6" s="42">
        <f>'Insert in SCR'!J9</f>
        <v>0</v>
      </c>
      <c r="K6" s="42">
        <f>'Insert in SCR'!K9/13.68</f>
        <v>0</v>
      </c>
      <c r="L6" s="42">
        <v>66</v>
      </c>
      <c r="M6" s="42">
        <v>0</v>
      </c>
      <c r="N6" s="42">
        <v>0</v>
      </c>
      <c r="O6" s="42">
        <v>0</v>
      </c>
      <c r="P6" s="42">
        <f>'Insert in SCR'!P9</f>
        <v>26599</v>
      </c>
      <c r="Q6" s="42">
        <f>'Insert in SCR'!Q9/13.68</f>
        <v>291.65570175438597</v>
      </c>
      <c r="R6" s="42">
        <f>'Insert in SCR'!R9</f>
        <v>11330</v>
      </c>
      <c r="S6" s="56">
        <f>'Insert in SCR'!S9/13.68</f>
        <v>124.19590643274854</v>
      </c>
    </row>
    <row r="7" spans="1:40" x14ac:dyDescent="0.3">
      <c r="A7" s="9" t="s">
        <v>19</v>
      </c>
      <c r="B7" s="10">
        <v>6</v>
      </c>
      <c r="C7" s="10">
        <v>2022</v>
      </c>
      <c r="D7" s="42">
        <v>0</v>
      </c>
      <c r="E7" s="42">
        <v>0</v>
      </c>
      <c r="F7" s="42">
        <f>'Insert in SCR'!F10</f>
        <v>0</v>
      </c>
      <c r="G7" s="42">
        <f>'Insert in SCR'!G10</f>
        <v>0</v>
      </c>
      <c r="H7" s="42">
        <f>'Insert in SCR'!H10</f>
        <v>20380</v>
      </c>
      <c r="I7" s="42">
        <f>'Insert in SCR'!I10/13.68</f>
        <v>216.94078947368422</v>
      </c>
      <c r="J7" s="42">
        <f>'Insert in SCR'!J10</f>
        <v>0</v>
      </c>
      <c r="K7" s="42">
        <f>'Insert in SCR'!K10/13.68</f>
        <v>0</v>
      </c>
      <c r="L7" s="42">
        <f>64+35+35</f>
        <v>134</v>
      </c>
      <c r="M7" s="42">
        <v>0</v>
      </c>
      <c r="N7" s="42">
        <v>0</v>
      </c>
      <c r="O7" s="42">
        <v>0</v>
      </c>
      <c r="P7" s="42">
        <f>'Insert in SCR'!P10</f>
        <v>26183.599999999999</v>
      </c>
      <c r="Q7" s="42">
        <f>'Insert in SCR'!Q10/13.68</f>
        <v>287.10818713450294</v>
      </c>
      <c r="R7" s="42">
        <f>'Insert in SCR'!R10</f>
        <v>8490</v>
      </c>
      <c r="S7" s="56">
        <f>'Insert in SCR'!S10/13.68</f>
        <v>93.09210526315789</v>
      </c>
    </row>
    <row r="8" spans="1:40" x14ac:dyDescent="0.3">
      <c r="A8" s="9" t="s">
        <v>19</v>
      </c>
      <c r="B8" s="10">
        <v>7</v>
      </c>
      <c r="C8" s="10">
        <v>2022</v>
      </c>
      <c r="D8" s="42">
        <v>0</v>
      </c>
      <c r="E8" s="42">
        <v>0</v>
      </c>
      <c r="F8" s="42">
        <f>'Insert in SCR'!F11</f>
        <v>342</v>
      </c>
      <c r="G8" s="42">
        <f>'Insert in SCR'!G11</f>
        <v>0</v>
      </c>
      <c r="H8" s="42">
        <f>'Insert in SCR'!H11</f>
        <v>16870</v>
      </c>
      <c r="I8" s="42">
        <f>'Insert in SCR'!I11/13.68</f>
        <v>221.60087719298247</v>
      </c>
      <c r="J8" s="42">
        <f>'Insert in SCR'!J11</f>
        <v>0</v>
      </c>
      <c r="K8" s="42">
        <f>'Insert in SCR'!K11/13.68</f>
        <v>0</v>
      </c>
      <c r="L8" s="42">
        <v>44</v>
      </c>
      <c r="M8" s="42">
        <v>0</v>
      </c>
      <c r="N8" s="42">
        <v>0</v>
      </c>
      <c r="O8" s="42">
        <v>0</v>
      </c>
      <c r="P8" s="42">
        <f>'Insert in SCR'!P11</f>
        <v>19859</v>
      </c>
      <c r="Q8" s="42">
        <f>'Insert in SCR'!Q11/13.68</f>
        <v>217.75000000000003</v>
      </c>
      <c r="R8" s="42">
        <f>'Insert in SCR'!R11</f>
        <v>10980</v>
      </c>
      <c r="S8" s="56">
        <f>'Insert in SCR'!S11/13.68</f>
        <v>120.39473684210526</v>
      </c>
    </row>
    <row r="9" spans="1:40" x14ac:dyDescent="0.3">
      <c r="A9" s="9" t="s">
        <v>19</v>
      </c>
      <c r="B9" s="10">
        <v>8</v>
      </c>
      <c r="C9" s="10">
        <v>2022</v>
      </c>
      <c r="D9" s="42">
        <v>0</v>
      </c>
      <c r="E9" s="42">
        <v>0</v>
      </c>
      <c r="F9" s="42">
        <f>'Insert in SCR'!F12</f>
        <v>342</v>
      </c>
      <c r="G9" s="42">
        <f>'Insert in SCR'!G12</f>
        <v>0</v>
      </c>
      <c r="H9" s="42">
        <f>'Insert in SCR'!H12</f>
        <v>8910</v>
      </c>
      <c r="I9" s="42">
        <f>'Insert in SCR'!I12/13.68</f>
        <v>136.65935672514621</v>
      </c>
      <c r="J9" s="42">
        <f>'Insert in SCR'!J12</f>
        <v>0</v>
      </c>
      <c r="K9" s="42">
        <f>'Insert in SCR'!K12/13.68</f>
        <v>0</v>
      </c>
      <c r="L9" s="42">
        <v>40</v>
      </c>
      <c r="M9" s="42">
        <v>0</v>
      </c>
      <c r="N9" s="42">
        <v>0</v>
      </c>
      <c r="O9" s="42">
        <v>0</v>
      </c>
      <c r="P9" s="42">
        <f>'Insert in SCR'!P12</f>
        <v>34297.300000000003</v>
      </c>
      <c r="Q9" s="42">
        <f>'Insert in SCR'!Q12/13.68</f>
        <v>376.06725146198835</v>
      </c>
      <c r="R9" s="42">
        <f>'Insert in SCR'!R12</f>
        <v>7690</v>
      </c>
      <c r="S9" s="56">
        <f>'Insert in SCR'!S12/13.68</f>
        <v>84.320175438596493</v>
      </c>
    </row>
    <row r="10" spans="1:40" x14ac:dyDescent="0.3">
      <c r="A10" s="9" t="s">
        <v>19</v>
      </c>
      <c r="B10" s="10">
        <v>9</v>
      </c>
      <c r="C10" s="10">
        <v>2022</v>
      </c>
      <c r="D10" s="42">
        <v>0</v>
      </c>
      <c r="E10" s="42">
        <v>0</v>
      </c>
      <c r="F10" s="42">
        <f>'Insert in SCR'!F13</f>
        <v>612</v>
      </c>
      <c r="G10" s="42">
        <f>'Insert in SCR'!G13</f>
        <v>0</v>
      </c>
      <c r="H10" s="54"/>
      <c r="I10" s="54"/>
      <c r="J10" s="54"/>
      <c r="K10" s="54"/>
      <c r="L10" s="42">
        <v>0</v>
      </c>
      <c r="M10" s="42">
        <v>0</v>
      </c>
      <c r="N10" s="42">
        <v>0</v>
      </c>
      <c r="O10" s="42">
        <v>0</v>
      </c>
      <c r="P10" s="54"/>
      <c r="Q10" s="54"/>
      <c r="R10" s="54"/>
      <c r="S10" s="57"/>
      <c r="Y10" t="s">
        <v>20</v>
      </c>
      <c r="AA10" t="s">
        <v>21</v>
      </c>
      <c r="AC10" t="s">
        <v>22</v>
      </c>
      <c r="AE10" t="s">
        <v>23</v>
      </c>
      <c r="AG10" t="s">
        <v>24</v>
      </c>
      <c r="AI10" t="s">
        <v>25</v>
      </c>
      <c r="AK10" t="s">
        <v>26</v>
      </c>
      <c r="AM10" t="s">
        <v>27</v>
      </c>
    </row>
    <row r="11" spans="1:40" x14ac:dyDescent="0.3">
      <c r="A11" s="9" t="s">
        <v>19</v>
      </c>
      <c r="B11" s="10">
        <v>10</v>
      </c>
      <c r="C11" s="10">
        <v>2022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7"/>
      <c r="Y11">
        <v>0.98</v>
      </c>
      <c r="Z11">
        <v>96</v>
      </c>
      <c r="AA11">
        <v>1.08</v>
      </c>
      <c r="AB11">
        <v>108</v>
      </c>
      <c r="AC11">
        <v>5.43</v>
      </c>
      <c r="AD11">
        <v>543</v>
      </c>
      <c r="AE11">
        <v>1.03</v>
      </c>
      <c r="AF11">
        <v>154.5</v>
      </c>
      <c r="AG11">
        <v>1.05</v>
      </c>
      <c r="AH11">
        <v>157.5</v>
      </c>
      <c r="AI11">
        <v>1.05</v>
      </c>
      <c r="AJ11">
        <v>159</v>
      </c>
      <c r="AK11">
        <v>1</v>
      </c>
      <c r="AL11">
        <v>750</v>
      </c>
      <c r="AM11">
        <v>0.98</v>
      </c>
      <c r="AN11">
        <v>73.5</v>
      </c>
    </row>
    <row r="12" spans="1:40" x14ac:dyDescent="0.3">
      <c r="A12" s="9" t="s">
        <v>19</v>
      </c>
      <c r="B12" s="10">
        <v>11</v>
      </c>
      <c r="C12" s="10">
        <v>2022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7"/>
      <c r="Y12">
        <v>1.02</v>
      </c>
      <c r="Z12">
        <v>102</v>
      </c>
      <c r="AA12">
        <v>1.07</v>
      </c>
      <c r="AB12">
        <v>107</v>
      </c>
      <c r="AC12">
        <v>1.5</v>
      </c>
      <c r="AD12">
        <v>150</v>
      </c>
      <c r="AE12">
        <v>1.07</v>
      </c>
      <c r="AF12">
        <v>160.5</v>
      </c>
      <c r="AG12">
        <v>5.89</v>
      </c>
      <c r="AH12">
        <v>883.5</v>
      </c>
      <c r="AI12">
        <v>1</v>
      </c>
      <c r="AJ12">
        <v>150</v>
      </c>
      <c r="AK12">
        <v>0.99</v>
      </c>
      <c r="AL12">
        <v>49.5</v>
      </c>
      <c r="AM12">
        <v>1.04</v>
      </c>
      <c r="AN12">
        <v>156</v>
      </c>
    </row>
    <row r="13" spans="1:40" x14ac:dyDescent="0.3">
      <c r="A13" s="9" t="s">
        <v>19</v>
      </c>
      <c r="B13" s="10">
        <v>12</v>
      </c>
      <c r="C13" s="10">
        <v>2022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8"/>
      <c r="Y13">
        <v>1.58</v>
      </c>
      <c r="Z13">
        <v>158</v>
      </c>
      <c r="AA13">
        <v>1.8</v>
      </c>
      <c r="AB13">
        <v>180</v>
      </c>
      <c r="AC13">
        <v>1.06</v>
      </c>
      <c r="AD13">
        <v>106</v>
      </c>
      <c r="AE13">
        <v>0.74</v>
      </c>
      <c r="AF13">
        <v>55.5</v>
      </c>
      <c r="AG13">
        <v>0.14000000000000001</v>
      </c>
      <c r="AH13">
        <v>10.5</v>
      </c>
      <c r="AI13">
        <v>1.01</v>
      </c>
      <c r="AJ13">
        <v>151.5</v>
      </c>
      <c r="AK13">
        <v>1.1299999999999999</v>
      </c>
      <c r="AL13">
        <v>169.5</v>
      </c>
      <c r="AM13">
        <v>1.1000000000000001</v>
      </c>
      <c r="AN13">
        <v>165</v>
      </c>
    </row>
    <row r="14" spans="1:40" x14ac:dyDescent="0.3">
      <c r="Y14" t="e">
        <f>#REF!*1000</f>
        <v>#REF!</v>
      </c>
      <c r="AA14" t="e">
        <f>#REF!*1000</f>
        <v>#REF!</v>
      </c>
      <c r="AC14" t="e">
        <f>#REF!*1000</f>
        <v>#REF!</v>
      </c>
      <c r="AE14" t="e">
        <f>#REF!*1000</f>
        <v>#REF!</v>
      </c>
      <c r="AG14" t="e">
        <f>#REF!*1000</f>
        <v>#REF!</v>
      </c>
      <c r="AI14" t="e">
        <f>#REF!*1000</f>
        <v>#REF!</v>
      </c>
      <c r="AK14" t="e">
        <f>#REF!*1000</f>
        <v>#REF!</v>
      </c>
      <c r="AM14" t="e">
        <f>#REF!*1000</f>
        <v>#REF!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DE3-0DC4-4977-9E60-70C75C8B94D9}">
  <dimension ref="A1:AN17"/>
  <sheetViews>
    <sheetView workbookViewId="0">
      <pane xSplit="3" topLeftCell="D1" activePane="topRight" state="frozen"/>
      <selection pane="topRight" activeCell="F7" sqref="F7"/>
    </sheetView>
  </sheetViews>
  <sheetFormatPr defaultRowHeight="14.4" x14ac:dyDescent="0.3"/>
  <cols>
    <col min="1" max="1" width="10" customWidth="1"/>
    <col min="2" max="2" width="7" customWidth="1"/>
    <col min="3" max="3" width="6.6640625" customWidth="1"/>
    <col min="4" max="5" width="15.44140625" customWidth="1"/>
    <col min="6" max="6" width="18.6640625" customWidth="1"/>
    <col min="7" max="7" width="16.44140625" customWidth="1"/>
    <col min="8" max="8" width="20.33203125" customWidth="1"/>
    <col min="9" max="9" width="16.5546875" customWidth="1"/>
    <col min="10" max="10" width="20.109375" customWidth="1"/>
    <col min="11" max="11" width="18.88671875" customWidth="1"/>
    <col min="12" max="12" width="13.44140625" customWidth="1"/>
    <col min="13" max="13" width="15.5546875" customWidth="1"/>
    <col min="14" max="14" width="15.109375" customWidth="1"/>
    <col min="15" max="15" width="15.44140625" customWidth="1"/>
    <col min="16" max="16" width="14.109375" customWidth="1"/>
    <col min="17" max="17" width="13.88671875" customWidth="1"/>
    <col min="18" max="18" width="21.6640625" customWidth="1"/>
    <col min="19" max="19" width="20.44140625" customWidth="1"/>
    <col min="24" max="24" width="10.109375" customWidth="1"/>
  </cols>
  <sheetData>
    <row r="1" spans="1:40" x14ac:dyDescent="0.3">
      <c r="Y1">
        <v>0.86</v>
      </c>
      <c r="Z1">
        <v>86</v>
      </c>
      <c r="AA1">
        <v>8.2100000000000009</v>
      </c>
      <c r="AB1">
        <v>821</v>
      </c>
      <c r="AC1">
        <v>7.48</v>
      </c>
      <c r="AD1">
        <v>748</v>
      </c>
      <c r="AE1">
        <v>5.39</v>
      </c>
      <c r="AF1">
        <v>808.5</v>
      </c>
      <c r="AG1">
        <v>1.06</v>
      </c>
      <c r="AH1">
        <v>159</v>
      </c>
      <c r="AI1">
        <v>1.03</v>
      </c>
      <c r="AJ1">
        <v>154.5</v>
      </c>
      <c r="AK1">
        <v>1.88</v>
      </c>
      <c r="AL1">
        <v>282</v>
      </c>
      <c r="AM1">
        <v>1.25</v>
      </c>
      <c r="AN1">
        <v>187.5</v>
      </c>
    </row>
    <row r="2" spans="1:40" x14ac:dyDescent="0.3">
      <c r="D2" t="s">
        <v>28</v>
      </c>
      <c r="Y2">
        <v>0.55000000000000004</v>
      </c>
      <c r="Z2">
        <v>550</v>
      </c>
      <c r="AA2">
        <v>1.03</v>
      </c>
      <c r="AB2">
        <v>103</v>
      </c>
      <c r="AC2">
        <v>6.08</v>
      </c>
      <c r="AD2">
        <v>608</v>
      </c>
      <c r="AE2">
        <v>6.07</v>
      </c>
      <c r="AF2">
        <v>910.5</v>
      </c>
      <c r="AG2">
        <v>0.37</v>
      </c>
      <c r="AH2">
        <v>27.75</v>
      </c>
      <c r="AI2">
        <v>0.42</v>
      </c>
      <c r="AJ2">
        <v>31.5</v>
      </c>
      <c r="AK2">
        <v>1.03</v>
      </c>
      <c r="AL2">
        <v>154.5</v>
      </c>
      <c r="AM2">
        <v>1.26</v>
      </c>
      <c r="AN2">
        <v>189</v>
      </c>
    </row>
    <row r="3" spans="1:40" x14ac:dyDescent="0.3">
      <c r="Y3" s="42">
        <v>1.1000000000000001</v>
      </c>
      <c r="Z3">
        <v>1100</v>
      </c>
      <c r="AA3">
        <v>7.81</v>
      </c>
      <c r="AB3">
        <v>781</v>
      </c>
      <c r="AC3">
        <v>0.28999999999999998</v>
      </c>
      <c r="AD3">
        <v>14.5</v>
      </c>
      <c r="AE3">
        <v>1.03</v>
      </c>
      <c r="AF3">
        <v>154.5</v>
      </c>
      <c r="AG3">
        <v>1.03</v>
      </c>
      <c r="AH3">
        <v>154.5</v>
      </c>
      <c r="AI3">
        <v>1</v>
      </c>
      <c r="AJ3">
        <v>150</v>
      </c>
      <c r="AK3">
        <v>5.1100000000000003</v>
      </c>
      <c r="AL3">
        <v>766.5</v>
      </c>
      <c r="AM3">
        <v>0.98</v>
      </c>
      <c r="AN3">
        <v>73.5</v>
      </c>
    </row>
    <row r="4" spans="1:40" ht="28.8" x14ac:dyDescent="0.3">
      <c r="A4" s="24" t="s">
        <v>0</v>
      </c>
      <c r="B4" s="24" t="s">
        <v>1</v>
      </c>
      <c r="C4" s="24" t="s">
        <v>2</v>
      </c>
      <c r="D4" s="26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25" t="s">
        <v>13</v>
      </c>
      <c r="O4" s="25" t="s">
        <v>14</v>
      </c>
      <c r="P4" s="37" t="s">
        <v>15</v>
      </c>
      <c r="Q4" s="37" t="s">
        <v>16</v>
      </c>
      <c r="R4" s="25" t="s">
        <v>17</v>
      </c>
      <c r="S4" s="25" t="s">
        <v>18</v>
      </c>
      <c r="Y4">
        <v>0.95</v>
      </c>
      <c r="Z4">
        <v>47.5</v>
      </c>
      <c r="AA4">
        <v>0.92</v>
      </c>
      <c r="AB4">
        <v>92</v>
      </c>
      <c r="AC4">
        <v>0.91</v>
      </c>
      <c r="AD4">
        <v>45</v>
      </c>
      <c r="AE4">
        <v>1.23</v>
      </c>
      <c r="AF4">
        <v>184.5</v>
      </c>
      <c r="AG4">
        <v>1.07</v>
      </c>
      <c r="AH4">
        <v>160.5</v>
      </c>
      <c r="AI4">
        <v>0.79</v>
      </c>
      <c r="AJ4">
        <v>59.25</v>
      </c>
      <c r="AK4">
        <v>5.73</v>
      </c>
      <c r="AL4">
        <v>859.5</v>
      </c>
      <c r="AM4">
        <v>1.3</v>
      </c>
      <c r="AN4">
        <v>195</v>
      </c>
    </row>
    <row r="5" spans="1:40" x14ac:dyDescent="0.3">
      <c r="A5" s="9" t="s">
        <v>19</v>
      </c>
      <c r="B5" s="10">
        <v>1</v>
      </c>
      <c r="C5" s="10">
        <v>2022</v>
      </c>
      <c r="D5" s="31"/>
      <c r="E5" s="32"/>
      <c r="F5" s="31">
        <v>0</v>
      </c>
      <c r="G5" s="32">
        <v>0</v>
      </c>
      <c r="H5" s="15">
        <v>28070</v>
      </c>
      <c r="I5" s="50">
        <v>4142.5</v>
      </c>
      <c r="J5" s="31">
        <v>0</v>
      </c>
      <c r="K5" s="32">
        <v>0</v>
      </c>
      <c r="L5" s="31"/>
      <c r="M5" s="32"/>
      <c r="N5" s="31"/>
      <c r="O5" s="33"/>
      <c r="P5" s="15">
        <v>26692.799999999999</v>
      </c>
      <c r="Q5" s="50">
        <v>2552.2800000000002</v>
      </c>
      <c r="R5" s="31">
        <v>5410</v>
      </c>
      <c r="S5" s="32">
        <v>541</v>
      </c>
      <c r="Y5">
        <v>1.32</v>
      </c>
      <c r="Z5">
        <v>132</v>
      </c>
      <c r="AA5">
        <v>1.06</v>
      </c>
      <c r="AB5">
        <v>106</v>
      </c>
      <c r="AC5">
        <v>0.82</v>
      </c>
      <c r="AD5">
        <v>41</v>
      </c>
      <c r="AE5">
        <v>1.02</v>
      </c>
      <c r="AF5">
        <v>153</v>
      </c>
      <c r="AG5">
        <v>1.42</v>
      </c>
      <c r="AH5">
        <v>213</v>
      </c>
      <c r="AI5">
        <v>1.1000000000000001</v>
      </c>
      <c r="AJ5">
        <v>165</v>
      </c>
      <c r="AM5">
        <v>1</v>
      </c>
      <c r="AN5">
        <v>830</v>
      </c>
    </row>
    <row r="6" spans="1:40" x14ac:dyDescent="0.3">
      <c r="A6" s="9" t="s">
        <v>19</v>
      </c>
      <c r="B6" s="10">
        <v>2</v>
      </c>
      <c r="C6" s="10">
        <v>2022</v>
      </c>
      <c r="D6" s="31"/>
      <c r="E6" s="32"/>
      <c r="F6" s="31">
        <v>0</v>
      </c>
      <c r="G6" s="32">
        <v>0</v>
      </c>
      <c r="H6" s="9">
        <v>35820</v>
      </c>
      <c r="I6" s="51">
        <v>3582</v>
      </c>
      <c r="J6" s="31">
        <v>1966</v>
      </c>
      <c r="K6" s="32">
        <v>14106.05</v>
      </c>
      <c r="L6" s="31"/>
      <c r="M6" s="32"/>
      <c r="N6" s="31"/>
      <c r="O6" s="33"/>
      <c r="P6" s="9">
        <v>23677.8</v>
      </c>
      <c r="Q6" s="51">
        <v>2367.6799999999998</v>
      </c>
      <c r="R6" s="31">
        <v>6530</v>
      </c>
      <c r="S6" s="32">
        <v>653</v>
      </c>
      <c r="Y6">
        <v>6.54</v>
      </c>
      <c r="Z6">
        <v>554</v>
      </c>
      <c r="AA6">
        <v>6.23</v>
      </c>
      <c r="AB6">
        <v>623</v>
      </c>
      <c r="AC6">
        <v>1.02</v>
      </c>
      <c r="AD6">
        <v>102</v>
      </c>
      <c r="AE6">
        <v>0.98</v>
      </c>
      <c r="AF6">
        <v>49</v>
      </c>
      <c r="AG6">
        <v>0.89</v>
      </c>
      <c r="AH6">
        <v>66.75</v>
      </c>
      <c r="AI6">
        <v>6.42</v>
      </c>
      <c r="AJ6">
        <v>963</v>
      </c>
    </row>
    <row r="7" spans="1:40" x14ac:dyDescent="0.3">
      <c r="A7" s="9" t="s">
        <v>19</v>
      </c>
      <c r="B7" s="10">
        <v>3</v>
      </c>
      <c r="C7" s="10">
        <v>2022</v>
      </c>
      <c r="D7" s="31"/>
      <c r="E7" s="32"/>
      <c r="F7" s="31">
        <v>0</v>
      </c>
      <c r="G7" s="32">
        <v>0</v>
      </c>
      <c r="H7" s="9">
        <v>26600</v>
      </c>
      <c r="I7" s="51">
        <v>2510.5</v>
      </c>
      <c r="J7" s="31">
        <v>0</v>
      </c>
      <c r="K7" s="32">
        <v>0</v>
      </c>
      <c r="L7" s="31"/>
      <c r="M7" s="32"/>
      <c r="N7" s="31"/>
      <c r="O7" s="33"/>
      <c r="P7" s="9">
        <v>26840.2</v>
      </c>
      <c r="Q7" s="51">
        <v>2684.02</v>
      </c>
      <c r="R7" s="31">
        <v>8370</v>
      </c>
      <c r="S7" s="32">
        <v>837</v>
      </c>
      <c r="Y7">
        <v>1.02</v>
      </c>
      <c r="Z7">
        <v>102</v>
      </c>
      <c r="AA7">
        <v>1.02</v>
      </c>
      <c r="AB7">
        <v>102</v>
      </c>
      <c r="AC7">
        <v>1.05</v>
      </c>
      <c r="AD7">
        <v>105</v>
      </c>
      <c r="AE7">
        <v>1</v>
      </c>
      <c r="AF7">
        <v>150</v>
      </c>
      <c r="AI7">
        <v>6.56</v>
      </c>
      <c r="AJ7">
        <v>984</v>
      </c>
    </row>
    <row r="8" spans="1:40" x14ac:dyDescent="0.3">
      <c r="A8" s="9" t="s">
        <v>19</v>
      </c>
      <c r="B8" s="10">
        <v>4</v>
      </c>
      <c r="C8" s="10">
        <v>2022</v>
      </c>
      <c r="D8" s="31"/>
      <c r="E8" s="32"/>
      <c r="F8" s="31">
        <v>0</v>
      </c>
      <c r="G8" s="32">
        <v>0</v>
      </c>
      <c r="H8" s="9">
        <v>19560</v>
      </c>
      <c r="I8" s="51">
        <v>2780.5</v>
      </c>
      <c r="J8" s="31">
        <v>1966</v>
      </c>
      <c r="K8" s="32">
        <v>18038.05</v>
      </c>
      <c r="L8" s="31"/>
      <c r="M8" s="32"/>
      <c r="N8" s="31"/>
      <c r="O8" s="33"/>
      <c r="P8" s="9">
        <v>21553.9</v>
      </c>
      <c r="Q8" s="51">
        <v>3233.09</v>
      </c>
      <c r="R8" s="31">
        <v>7650</v>
      </c>
      <c r="S8" s="32">
        <v>1147.5</v>
      </c>
      <c r="Y8">
        <v>1</v>
      </c>
      <c r="Z8">
        <v>100</v>
      </c>
      <c r="AA8">
        <v>1.03</v>
      </c>
      <c r="AB8">
        <v>103</v>
      </c>
      <c r="AC8">
        <v>0.96</v>
      </c>
      <c r="AD8">
        <v>48</v>
      </c>
    </row>
    <row r="9" spans="1:40" x14ac:dyDescent="0.3">
      <c r="A9" s="9" t="s">
        <v>19</v>
      </c>
      <c r="B9" s="10">
        <v>5</v>
      </c>
      <c r="C9" s="10">
        <v>2022</v>
      </c>
      <c r="D9" s="31"/>
      <c r="E9" s="32"/>
      <c r="F9" s="31">
        <v>594</v>
      </c>
      <c r="G9" s="32">
        <v>0</v>
      </c>
      <c r="H9" s="9">
        <v>12920</v>
      </c>
      <c r="I9" s="51">
        <v>1833</v>
      </c>
      <c r="J9" s="31">
        <v>0</v>
      </c>
      <c r="K9" s="32">
        <v>0</v>
      </c>
      <c r="L9" s="31"/>
      <c r="M9" s="32"/>
      <c r="N9" s="31"/>
      <c r="O9" s="33"/>
      <c r="P9" s="9">
        <v>26599</v>
      </c>
      <c r="Q9" s="51">
        <v>3989.85</v>
      </c>
      <c r="R9" s="31">
        <v>11330</v>
      </c>
      <c r="S9" s="32">
        <v>1699</v>
      </c>
      <c r="Y9">
        <v>3.64</v>
      </c>
      <c r="Z9">
        <v>364</v>
      </c>
      <c r="AA9">
        <v>4.5599999999999996</v>
      </c>
      <c r="AB9">
        <v>456</v>
      </c>
    </row>
    <row r="10" spans="1:40" x14ac:dyDescent="0.3">
      <c r="A10" s="9" t="s">
        <v>19</v>
      </c>
      <c r="B10" s="10">
        <v>6</v>
      </c>
      <c r="C10" s="10">
        <v>2022</v>
      </c>
      <c r="D10" s="31"/>
      <c r="E10" s="32"/>
      <c r="F10" s="31">
        <v>0</v>
      </c>
      <c r="G10" s="32">
        <v>0</v>
      </c>
      <c r="H10" s="9">
        <v>20380</v>
      </c>
      <c r="I10" s="51">
        <v>2967.75</v>
      </c>
      <c r="J10" s="31">
        <v>0</v>
      </c>
      <c r="K10" s="32">
        <v>0</v>
      </c>
      <c r="L10" s="31"/>
      <c r="M10" s="32"/>
      <c r="N10" s="31"/>
      <c r="O10" s="33"/>
      <c r="P10" s="9">
        <v>26183.599999999999</v>
      </c>
      <c r="Q10" s="51">
        <v>3927.64</v>
      </c>
      <c r="R10" s="31">
        <v>8490</v>
      </c>
      <c r="S10" s="32">
        <v>1273.5</v>
      </c>
      <c r="Y10">
        <v>1.72</v>
      </c>
      <c r="Z10">
        <v>172</v>
      </c>
    </row>
    <row r="11" spans="1:40" x14ac:dyDescent="0.3">
      <c r="A11" s="9" t="s">
        <v>19</v>
      </c>
      <c r="B11" s="10">
        <v>7</v>
      </c>
      <c r="C11" s="10">
        <v>2022</v>
      </c>
      <c r="D11" s="31"/>
      <c r="E11" s="32"/>
      <c r="F11" s="31">
        <v>342</v>
      </c>
      <c r="G11" s="32">
        <v>0</v>
      </c>
      <c r="H11" s="9">
        <v>16870</v>
      </c>
      <c r="I11" s="51">
        <v>3031.5</v>
      </c>
      <c r="J11" s="31">
        <v>0</v>
      </c>
      <c r="K11" s="32">
        <v>0</v>
      </c>
      <c r="L11" s="31"/>
      <c r="M11" s="32"/>
      <c r="N11" s="31"/>
      <c r="O11" s="33"/>
      <c r="P11" s="34">
        <v>19859</v>
      </c>
      <c r="Q11" s="32">
        <v>2978.82</v>
      </c>
      <c r="R11" s="31">
        <v>10980</v>
      </c>
      <c r="S11" s="32">
        <v>1647</v>
      </c>
      <c r="Y11">
        <v>5.79</v>
      </c>
      <c r="Z11">
        <v>579</v>
      </c>
    </row>
    <row r="12" spans="1:40" x14ac:dyDescent="0.3">
      <c r="A12" s="9" t="s">
        <v>19</v>
      </c>
      <c r="B12" s="10">
        <v>8</v>
      </c>
      <c r="C12" s="10">
        <v>2022</v>
      </c>
      <c r="D12" s="31"/>
      <c r="E12" s="32"/>
      <c r="F12" s="31">
        <v>342</v>
      </c>
      <c r="G12" s="32">
        <v>0</v>
      </c>
      <c r="H12" s="11">
        <v>8910</v>
      </c>
      <c r="I12" s="53">
        <v>1869.5</v>
      </c>
      <c r="J12" s="31"/>
      <c r="K12" s="32"/>
      <c r="L12" s="31"/>
      <c r="M12" s="32"/>
      <c r="N12" s="31"/>
      <c r="O12" s="33"/>
      <c r="P12" s="34">
        <v>34297.300000000003</v>
      </c>
      <c r="Q12" s="32">
        <v>5144.6000000000004</v>
      </c>
      <c r="R12" s="31">
        <v>7690</v>
      </c>
      <c r="S12" s="32">
        <v>1153.5</v>
      </c>
    </row>
    <row r="13" spans="1:40" x14ac:dyDescent="0.3">
      <c r="A13" s="9" t="s">
        <v>19</v>
      </c>
      <c r="B13" s="10">
        <v>9</v>
      </c>
      <c r="C13" s="10">
        <v>2022</v>
      </c>
      <c r="D13" s="27"/>
      <c r="E13" s="27"/>
      <c r="F13" s="27">
        <v>612</v>
      </c>
      <c r="G13" s="27">
        <v>0</v>
      </c>
      <c r="H13" s="27"/>
      <c r="I13" s="27"/>
      <c r="J13" s="27"/>
      <c r="K13" s="27"/>
      <c r="L13" s="27"/>
      <c r="M13" s="27"/>
      <c r="N13" s="27"/>
      <c r="O13" s="27"/>
      <c r="P13" s="35"/>
      <c r="Q13" s="28"/>
      <c r="R13" s="27"/>
      <c r="S13" s="28"/>
    </row>
    <row r="14" spans="1:40" x14ac:dyDescent="0.3">
      <c r="A14" s="9" t="s">
        <v>19</v>
      </c>
      <c r="B14" s="10">
        <v>10</v>
      </c>
      <c r="C14" s="10">
        <v>2022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35"/>
      <c r="Q14" s="28"/>
      <c r="R14" s="27"/>
      <c r="S14" s="28"/>
      <c r="Y14">
        <f>Y15*1000</f>
        <v>39840</v>
      </c>
      <c r="Z14">
        <f t="shared" ref="Z14:AN14" si="0">Z15*1000</f>
        <v>3984000</v>
      </c>
      <c r="AA14">
        <f t="shared" si="0"/>
        <v>35340</v>
      </c>
      <c r="AB14">
        <f t="shared" si="0"/>
        <v>3534000</v>
      </c>
      <c r="AC14">
        <f t="shared" si="0"/>
        <v>40060</v>
      </c>
      <c r="AD14">
        <f t="shared" si="0"/>
        <v>4006000</v>
      </c>
      <c r="AE14">
        <f t="shared" si="0"/>
        <v>32170</v>
      </c>
      <c r="AF14">
        <f t="shared" si="0"/>
        <v>4825500</v>
      </c>
      <c r="AG14">
        <f t="shared" si="0"/>
        <v>39700</v>
      </c>
      <c r="AH14">
        <f t="shared" si="0"/>
        <v>5955000</v>
      </c>
      <c r="AI14">
        <f t="shared" si="0"/>
        <v>39080</v>
      </c>
      <c r="AJ14">
        <f t="shared" si="0"/>
        <v>5862150</v>
      </c>
      <c r="AK14">
        <f t="shared" si="0"/>
        <v>29640</v>
      </c>
      <c r="AL14">
        <f t="shared" si="0"/>
        <v>4446000</v>
      </c>
      <c r="AM14">
        <f t="shared" si="0"/>
        <v>51190</v>
      </c>
      <c r="AN14">
        <f t="shared" si="0"/>
        <v>7678500</v>
      </c>
    </row>
    <row r="15" spans="1:40" x14ac:dyDescent="0.3">
      <c r="A15" s="9" t="s">
        <v>19</v>
      </c>
      <c r="B15" s="10">
        <v>11</v>
      </c>
      <c r="C15" s="10">
        <v>2022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35"/>
      <c r="Q15" s="28"/>
      <c r="R15" s="27"/>
      <c r="S15" s="28"/>
      <c r="X15" t="s">
        <v>29</v>
      </c>
      <c r="Y15">
        <v>39.840000000000003</v>
      </c>
      <c r="Z15">
        <v>3984</v>
      </c>
      <c r="AA15">
        <v>35.340000000000003</v>
      </c>
      <c r="AB15">
        <v>3534</v>
      </c>
      <c r="AC15">
        <v>40.06</v>
      </c>
      <c r="AD15">
        <v>4006</v>
      </c>
      <c r="AE15">
        <v>32.17</v>
      </c>
      <c r="AF15">
        <v>4825.5</v>
      </c>
      <c r="AG15">
        <v>39.700000000000003</v>
      </c>
      <c r="AH15">
        <v>5955</v>
      </c>
      <c r="AI15">
        <v>39.08</v>
      </c>
      <c r="AJ15">
        <v>5862.15</v>
      </c>
      <c r="AK15">
        <v>29.64</v>
      </c>
      <c r="AL15">
        <v>4446</v>
      </c>
      <c r="AM15">
        <v>51.19</v>
      </c>
      <c r="AN15">
        <v>7678.5</v>
      </c>
    </row>
    <row r="16" spans="1:40" x14ac:dyDescent="0.3">
      <c r="A16" s="9" t="s">
        <v>19</v>
      </c>
      <c r="B16" s="10">
        <v>12</v>
      </c>
      <c r="C16" s="10">
        <v>2022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6"/>
      <c r="Q16" s="30"/>
      <c r="R16" s="29"/>
      <c r="S16" s="30"/>
      <c r="X16" t="s">
        <v>30</v>
      </c>
      <c r="Y16">
        <v>5.41</v>
      </c>
      <c r="Z16">
        <v>541</v>
      </c>
      <c r="AA16">
        <v>6.53</v>
      </c>
      <c r="AB16">
        <v>653</v>
      </c>
      <c r="AC16">
        <v>8.3699999999999992</v>
      </c>
      <c r="AD16">
        <v>837</v>
      </c>
      <c r="AE16">
        <v>7.65</v>
      </c>
      <c r="AF16">
        <v>1147.5</v>
      </c>
      <c r="AG16">
        <v>11.33</v>
      </c>
      <c r="AH16">
        <v>1699</v>
      </c>
      <c r="AI16">
        <v>8.49</v>
      </c>
      <c r="AJ16">
        <v>1273.5</v>
      </c>
      <c r="AK16">
        <v>10.98</v>
      </c>
      <c r="AL16">
        <v>1647</v>
      </c>
      <c r="AM16">
        <v>7.69</v>
      </c>
      <c r="AN16">
        <v>1153.5</v>
      </c>
    </row>
    <row r="17" spans="25:39" x14ac:dyDescent="0.3">
      <c r="Y17">
        <f>Y16*1000</f>
        <v>5410</v>
      </c>
      <c r="AA17">
        <f t="shared" ref="AA17:AM17" si="1">AA16*1000</f>
        <v>6530</v>
      </c>
      <c r="AC17">
        <f t="shared" si="1"/>
        <v>8370</v>
      </c>
      <c r="AE17">
        <f t="shared" si="1"/>
        <v>7650</v>
      </c>
      <c r="AG17">
        <f t="shared" si="1"/>
        <v>11330</v>
      </c>
      <c r="AI17">
        <f t="shared" si="1"/>
        <v>8490</v>
      </c>
      <c r="AK17">
        <f t="shared" si="1"/>
        <v>10980</v>
      </c>
      <c r="AM17">
        <f t="shared" si="1"/>
        <v>7690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4D8F-DFA1-48BE-9961-DBCEFE7F8A31}">
  <dimension ref="B3:AA40"/>
  <sheetViews>
    <sheetView topLeftCell="A6" workbookViewId="0">
      <selection activeCell="K11" sqref="K11:K18"/>
    </sheetView>
  </sheetViews>
  <sheetFormatPr defaultRowHeight="14.4" x14ac:dyDescent="0.3"/>
  <cols>
    <col min="4" max="4" width="17.6640625" customWidth="1"/>
    <col min="6" max="6" width="15.5546875" customWidth="1"/>
    <col min="8" max="23" width="13.44140625" customWidth="1"/>
    <col min="24" max="27" width="10.44140625" customWidth="1"/>
  </cols>
  <sheetData>
    <row r="3" spans="2:27" x14ac:dyDescent="0.3">
      <c r="B3" s="1"/>
      <c r="C3" s="2" t="s">
        <v>31</v>
      </c>
      <c r="D3" s="2" t="s">
        <v>32</v>
      </c>
      <c r="E3" s="2"/>
      <c r="F3" s="3" t="s">
        <v>33</v>
      </c>
      <c r="G3" s="3"/>
      <c r="H3" s="4" t="s">
        <v>20</v>
      </c>
      <c r="I3" s="4"/>
      <c r="J3" s="4" t="s">
        <v>21</v>
      </c>
      <c r="K3" s="4"/>
      <c r="L3" s="4" t="s">
        <v>22</v>
      </c>
      <c r="M3" s="4"/>
      <c r="N3" s="4" t="s">
        <v>23</v>
      </c>
      <c r="O3" s="4"/>
      <c r="P3" s="4" t="s">
        <v>24</v>
      </c>
      <c r="Q3" s="4"/>
      <c r="R3" s="4" t="s">
        <v>34</v>
      </c>
      <c r="S3" s="43"/>
      <c r="T3" s="59" t="s">
        <v>35</v>
      </c>
      <c r="U3" s="60"/>
      <c r="V3" s="59" t="s">
        <v>27</v>
      </c>
      <c r="W3" s="60"/>
      <c r="X3" s="4" t="s">
        <v>36</v>
      </c>
      <c r="Y3" s="4" t="s">
        <v>37</v>
      </c>
      <c r="Z3" s="4" t="s">
        <v>38</v>
      </c>
      <c r="AA3" s="4" t="s">
        <v>39</v>
      </c>
    </row>
    <row r="4" spans="2:27" x14ac:dyDescent="0.3">
      <c r="B4" s="5">
        <v>1</v>
      </c>
      <c r="C4" s="5" t="s">
        <v>40</v>
      </c>
      <c r="D4" s="5">
        <v>5</v>
      </c>
      <c r="E4" s="6" t="e">
        <f>D4*100/D11</f>
        <v>#DIV/0!</v>
      </c>
      <c r="F4" s="7">
        <v>0.17</v>
      </c>
      <c r="G4" s="7"/>
      <c r="H4" s="44">
        <f>D21*F4</f>
        <v>677.28000000000009</v>
      </c>
      <c r="I4" s="9">
        <f>F21*E21</f>
        <v>6772.8</v>
      </c>
      <c r="J4" s="44">
        <f>D22*E21</f>
        <v>600.78000000000009</v>
      </c>
      <c r="K4" s="9">
        <f>F22*E21</f>
        <v>6007.8</v>
      </c>
      <c r="L4" s="44">
        <f>D23*E21</f>
        <v>681.0200000000001</v>
      </c>
      <c r="M4" s="9">
        <f>F23*E21</f>
        <v>6810.2000000000007</v>
      </c>
      <c r="N4" s="44">
        <f>D24*E21</f>
        <v>820.33500000000004</v>
      </c>
      <c r="O4" s="9">
        <f>F24*E21</f>
        <v>5468.9000000000005</v>
      </c>
      <c r="P4" s="44">
        <f>D25*E21</f>
        <v>1012.35</v>
      </c>
      <c r="Q4" s="9">
        <f>F25*E21</f>
        <v>6749.0000000000009</v>
      </c>
      <c r="R4" s="44">
        <f>D26*E21</f>
        <v>996.56550000000004</v>
      </c>
      <c r="S4" s="9">
        <f>F26*E21</f>
        <v>6643.6</v>
      </c>
      <c r="T4" s="9">
        <f>D27*F4</f>
        <v>5.0388000000000002</v>
      </c>
      <c r="U4" s="23">
        <f>T4*1000</f>
        <v>5038.8</v>
      </c>
      <c r="V4" s="9">
        <f>D28*F4</f>
        <v>8.702300000000001</v>
      </c>
      <c r="W4" s="9">
        <f>V4*1000</f>
        <v>8702.3000000000011</v>
      </c>
      <c r="X4" s="9"/>
      <c r="Y4" s="9"/>
      <c r="Z4" s="9"/>
      <c r="AA4" s="9"/>
    </row>
    <row r="5" spans="2:27" x14ac:dyDescent="0.3">
      <c r="B5" s="5">
        <v>2</v>
      </c>
      <c r="C5" s="5" t="s">
        <v>41</v>
      </c>
      <c r="D5" s="5">
        <v>4</v>
      </c>
      <c r="E5" s="6" t="e">
        <f>D5*100/D11</f>
        <v>#DIV/0!</v>
      </c>
      <c r="F5" s="7">
        <v>0.13</v>
      </c>
      <c r="G5" s="7"/>
      <c r="H5" s="44">
        <f>D22*F5</f>
        <v>459.42</v>
      </c>
      <c r="I5" s="9">
        <f>F21*E22</f>
        <v>5179.2</v>
      </c>
      <c r="J5" s="44">
        <f>D22*E22</f>
        <v>459.42</v>
      </c>
      <c r="K5" s="9">
        <f>F22*E22</f>
        <v>4594.2</v>
      </c>
      <c r="L5" s="44">
        <f>D23*E22</f>
        <v>520.78</v>
      </c>
      <c r="M5" s="9">
        <f>F23*E22</f>
        <v>5207.8</v>
      </c>
      <c r="N5" s="44">
        <f>D24*E22</f>
        <v>627.31500000000005</v>
      </c>
      <c r="O5" s="9">
        <f>F24*E22</f>
        <v>4182.1000000000004</v>
      </c>
      <c r="P5" s="44">
        <f>D25*E22</f>
        <v>774.15</v>
      </c>
      <c r="Q5" s="9">
        <f>F25*E22</f>
        <v>5161</v>
      </c>
      <c r="R5" s="44">
        <f>D26*E22</f>
        <v>762.07949999999994</v>
      </c>
      <c r="S5" s="9">
        <f>F26*E22</f>
        <v>5080.4000000000005</v>
      </c>
      <c r="T5" s="9">
        <f>D27*F5</f>
        <v>3.8532000000000002</v>
      </c>
      <c r="U5" s="23">
        <f t="shared" ref="U5:U8" si="0">T5*1000</f>
        <v>3853.2000000000003</v>
      </c>
      <c r="V5" s="9">
        <f>D28*F5</f>
        <v>6.6547000000000001</v>
      </c>
      <c r="W5" s="9">
        <f>V5*1000</f>
        <v>6654.7</v>
      </c>
      <c r="X5" s="9"/>
      <c r="Y5" s="9"/>
      <c r="Z5" s="9"/>
      <c r="AA5" s="9"/>
    </row>
    <row r="6" spans="2:27" x14ac:dyDescent="0.3">
      <c r="B6" s="5">
        <v>3</v>
      </c>
      <c r="C6" s="5" t="s">
        <v>42</v>
      </c>
      <c r="D6" s="5">
        <v>5</v>
      </c>
      <c r="E6" s="6" t="e">
        <f>D6*100/D11</f>
        <v>#DIV/0!</v>
      </c>
      <c r="F6" s="7">
        <v>0.17</v>
      </c>
      <c r="G6" s="7"/>
      <c r="H6" s="44">
        <v>677.28</v>
      </c>
      <c r="I6" s="9">
        <f>F21*E23</f>
        <v>6772.8</v>
      </c>
      <c r="J6" s="44">
        <f>D22*E23</f>
        <v>600.78000000000009</v>
      </c>
      <c r="K6" s="9">
        <f>F22*E23</f>
        <v>6007.8</v>
      </c>
      <c r="L6" s="44">
        <f>D23*E23</f>
        <v>681.0200000000001</v>
      </c>
      <c r="M6" s="9">
        <f>F23*E23</f>
        <v>6810.2000000000007</v>
      </c>
      <c r="N6" s="44">
        <f>D24*E23</f>
        <v>820.33500000000004</v>
      </c>
      <c r="O6" s="9">
        <f>F24*E23</f>
        <v>5468.9000000000005</v>
      </c>
      <c r="P6" s="44">
        <f>D25*E23</f>
        <v>1012.35</v>
      </c>
      <c r="Q6" s="9">
        <f>F25*E23</f>
        <v>6749.0000000000009</v>
      </c>
      <c r="R6" s="44">
        <f>D26*E23</f>
        <v>996.56550000000004</v>
      </c>
      <c r="S6" s="9">
        <f>F26*E23</f>
        <v>6643.6</v>
      </c>
      <c r="T6" s="9">
        <v>5.0388000000000002</v>
      </c>
      <c r="U6" s="23">
        <f t="shared" si="0"/>
        <v>5038.8</v>
      </c>
      <c r="V6" s="9">
        <f>D28*F6</f>
        <v>8.702300000000001</v>
      </c>
      <c r="W6" s="9">
        <f>V6*1000</f>
        <v>8702.3000000000011</v>
      </c>
      <c r="X6" s="9"/>
      <c r="Y6" s="9"/>
      <c r="Z6" s="9"/>
      <c r="AA6" s="9"/>
    </row>
    <row r="7" spans="2:27" x14ac:dyDescent="0.3">
      <c r="B7" s="5">
        <v>4</v>
      </c>
      <c r="C7" s="5" t="s">
        <v>43</v>
      </c>
      <c r="D7" s="5">
        <v>2</v>
      </c>
      <c r="E7" s="6" t="e">
        <f>D7*100/D11</f>
        <v>#DIV/0!</v>
      </c>
      <c r="F7" s="7">
        <v>7.0000000000000007E-2</v>
      </c>
      <c r="G7" s="7"/>
      <c r="H7" s="44">
        <f>D21*F7</f>
        <v>278.88000000000005</v>
      </c>
      <c r="I7" s="9">
        <f>F21*E24</f>
        <v>2788.8</v>
      </c>
      <c r="J7" s="44">
        <f>D22*E24</f>
        <v>247.38000000000002</v>
      </c>
      <c r="K7" s="9">
        <f>F22*E24</f>
        <v>2473.8000000000002</v>
      </c>
      <c r="L7" s="44">
        <f>D23*E24</f>
        <v>280.42</v>
      </c>
      <c r="M7" s="9">
        <f>F23*E24</f>
        <v>2804.2000000000003</v>
      </c>
      <c r="N7" s="44">
        <f>D24*E24</f>
        <v>337.78500000000003</v>
      </c>
      <c r="O7" s="9">
        <f>F24*E24</f>
        <v>2251.9</v>
      </c>
      <c r="P7" s="44">
        <f>D25*E24</f>
        <v>416.85</v>
      </c>
      <c r="Q7" s="9">
        <f>F25*E24</f>
        <v>2779.0000000000005</v>
      </c>
      <c r="R7" s="44">
        <f>D26*E24</f>
        <v>410.35050000000001</v>
      </c>
      <c r="S7" s="9">
        <f>F26*E24</f>
        <v>2735.6000000000004</v>
      </c>
      <c r="T7" s="9">
        <f>D27*F7</f>
        <v>2.0748000000000002</v>
      </c>
      <c r="U7" s="23">
        <f t="shared" si="0"/>
        <v>2074.8000000000002</v>
      </c>
      <c r="V7" s="9">
        <f>D28*F7</f>
        <v>3.5833000000000004</v>
      </c>
      <c r="W7" s="9">
        <f>V7*1000</f>
        <v>3583.3</v>
      </c>
      <c r="X7" s="9"/>
      <c r="Y7" s="9"/>
      <c r="Z7" s="9"/>
      <c r="AA7" s="9"/>
    </row>
    <row r="8" spans="2:27" x14ac:dyDescent="0.3">
      <c r="B8" s="5">
        <v>5</v>
      </c>
      <c r="C8" s="5" t="s">
        <v>44</v>
      </c>
      <c r="D8" s="5">
        <v>4</v>
      </c>
      <c r="E8" s="22" t="e">
        <f>D8*100/D11</f>
        <v>#DIV/0!</v>
      </c>
      <c r="F8" s="8">
        <v>0.13</v>
      </c>
      <c r="G8" s="8"/>
      <c r="H8" s="44">
        <v>459.42</v>
      </c>
      <c r="I8" s="11">
        <f>F21*E25</f>
        <v>5179.2</v>
      </c>
      <c r="J8" s="45">
        <f>D22*E25</f>
        <v>459.42</v>
      </c>
      <c r="K8" s="11">
        <f>F22*E25</f>
        <v>4594.2</v>
      </c>
      <c r="L8" s="45">
        <f>D23*E25</f>
        <v>520.78</v>
      </c>
      <c r="M8" s="11">
        <f>F23*E25</f>
        <v>5207.8</v>
      </c>
      <c r="N8" s="45">
        <f>D24*E25</f>
        <v>627.31500000000005</v>
      </c>
      <c r="O8" s="11">
        <f>F24*E25</f>
        <v>4182.1000000000004</v>
      </c>
      <c r="P8" s="45">
        <f>D25*E25</f>
        <v>774.15</v>
      </c>
      <c r="Q8" s="11">
        <f>F25*E25</f>
        <v>5161</v>
      </c>
      <c r="R8" s="45">
        <f>D26*E25</f>
        <v>762.07949999999994</v>
      </c>
      <c r="S8" s="11">
        <f>F26*E25</f>
        <v>5080.4000000000005</v>
      </c>
      <c r="T8" s="11">
        <f>D27*F8</f>
        <v>3.8532000000000002</v>
      </c>
      <c r="U8" s="23">
        <f t="shared" si="0"/>
        <v>3853.2000000000003</v>
      </c>
      <c r="V8" s="11">
        <f>D28*F8</f>
        <v>6.6547000000000001</v>
      </c>
      <c r="W8" s="9">
        <f>V8*1000</f>
        <v>6654.7</v>
      </c>
      <c r="X8" s="9"/>
      <c r="Y8" s="9"/>
      <c r="Z8" s="9"/>
      <c r="AA8" s="9"/>
    </row>
    <row r="9" spans="2:27" x14ac:dyDescent="0.3">
      <c r="B9" s="9">
        <v>6</v>
      </c>
      <c r="C9" s="9" t="s">
        <v>45</v>
      </c>
      <c r="D9" s="21">
        <v>10</v>
      </c>
      <c r="E9" s="10" t="e">
        <f>D9*100/D11</f>
        <v>#DIV/0!</v>
      </c>
      <c r="F9" s="7">
        <v>0.33</v>
      </c>
      <c r="G9" s="7"/>
      <c r="H9" s="44">
        <f>SUM(H4:H8)</f>
        <v>2552.2800000000002</v>
      </c>
      <c r="I9" s="44">
        <f t="shared" ref="I9:U9" si="1">SUM(I4:I8)</f>
        <v>26692.799999999999</v>
      </c>
      <c r="J9" s="44">
        <f t="shared" si="1"/>
        <v>2367.7800000000002</v>
      </c>
      <c r="K9" s="44">
        <f t="shared" si="1"/>
        <v>23677.8</v>
      </c>
      <c r="L9" s="44">
        <f t="shared" si="1"/>
        <v>2684.0200000000004</v>
      </c>
      <c r="M9" s="44">
        <f t="shared" si="1"/>
        <v>26840.2</v>
      </c>
      <c r="N9" s="44">
        <f t="shared" si="1"/>
        <v>3233.085</v>
      </c>
      <c r="O9" s="44">
        <f t="shared" si="1"/>
        <v>21553.9</v>
      </c>
      <c r="P9" s="44">
        <f t="shared" si="1"/>
        <v>3989.85</v>
      </c>
      <c r="Q9" s="44">
        <f t="shared" si="1"/>
        <v>26599</v>
      </c>
      <c r="R9" s="44">
        <f t="shared" si="1"/>
        <v>3927.6405</v>
      </c>
      <c r="S9" s="44">
        <f t="shared" si="1"/>
        <v>26183.599999999999</v>
      </c>
      <c r="T9" s="44">
        <f t="shared" si="1"/>
        <v>19.858800000000002</v>
      </c>
      <c r="U9" s="44">
        <f t="shared" si="1"/>
        <v>19858.8</v>
      </c>
      <c r="V9" s="9"/>
      <c r="W9" s="13"/>
      <c r="X9" s="13"/>
      <c r="Y9" s="9"/>
      <c r="Z9" s="9"/>
      <c r="AA9" s="9"/>
    </row>
    <row r="10" spans="2:27" x14ac:dyDescent="0.3">
      <c r="B10" s="9">
        <v>7</v>
      </c>
      <c r="C10" s="9" t="s">
        <v>46</v>
      </c>
      <c r="D10" s="21">
        <v>0</v>
      </c>
      <c r="E10" s="10" t="e">
        <f>D10*100/D11</f>
        <v>#DIV/0!</v>
      </c>
      <c r="F10" s="7"/>
      <c r="G10" s="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9"/>
      <c r="W10" s="12"/>
      <c r="X10" s="13"/>
      <c r="Y10" s="9"/>
      <c r="Z10" s="9"/>
      <c r="AA10" s="9"/>
    </row>
    <row r="11" spans="2:27" x14ac:dyDescent="0.3">
      <c r="B11" s="11"/>
      <c r="C11" s="40" t="s">
        <v>47</v>
      </c>
      <c r="D11" s="11"/>
      <c r="E11" s="15"/>
      <c r="F11" s="14"/>
      <c r="G11" s="14" t="s">
        <v>48</v>
      </c>
      <c r="H11" s="15">
        <v>2552.2800000000002</v>
      </c>
      <c r="I11" s="15">
        <v>26692.799999999999</v>
      </c>
      <c r="J11" s="15">
        <v>28070</v>
      </c>
      <c r="K11" s="15">
        <v>4142.5</v>
      </c>
      <c r="L11" s="15"/>
      <c r="M11" s="15"/>
      <c r="N11" s="15"/>
      <c r="O11" s="15"/>
      <c r="P11" s="15"/>
      <c r="Q11" s="15"/>
      <c r="R11" s="15"/>
      <c r="S11" s="39"/>
      <c r="T11" s="39">
        <f>SUM(T4:T10)</f>
        <v>39.717600000000004</v>
      </c>
      <c r="U11" s="23">
        <f>SUM(U4:U10)</f>
        <v>39717.599999999999</v>
      </c>
      <c r="V11" s="39">
        <f>SUM(V4:V10)</f>
        <v>34.2973</v>
      </c>
      <c r="W11" s="9">
        <f>SUM(W4:W10)</f>
        <v>34297.300000000003</v>
      </c>
      <c r="X11" s="13"/>
      <c r="Y11" s="9"/>
      <c r="Z11" s="9"/>
      <c r="AA11" s="9"/>
    </row>
    <row r="12" spans="2:27" x14ac:dyDescent="0.3">
      <c r="B12" s="5">
        <v>1</v>
      </c>
      <c r="C12" s="5" t="s">
        <v>40</v>
      </c>
      <c r="D12" s="9"/>
      <c r="E12" s="9"/>
      <c r="F12" s="9"/>
      <c r="G12" s="14" t="s">
        <v>49</v>
      </c>
      <c r="H12" s="9">
        <v>2367.6799999999998</v>
      </c>
      <c r="I12" s="9">
        <v>23677.8</v>
      </c>
      <c r="J12" s="9">
        <v>35820</v>
      </c>
      <c r="K12" s="9">
        <v>3582</v>
      </c>
      <c r="L12" s="9"/>
      <c r="M12" s="9"/>
      <c r="N12" s="9"/>
      <c r="O12" s="9"/>
      <c r="P12" s="9"/>
      <c r="Q12" s="9"/>
      <c r="R12" s="9"/>
      <c r="S12" s="9"/>
      <c r="T12" s="9">
        <f>E27*F4</f>
        <v>755.82</v>
      </c>
      <c r="U12" s="9"/>
      <c r="V12" s="13">
        <f>E28*F4</f>
        <v>1305.345</v>
      </c>
    </row>
    <row r="13" spans="2:27" x14ac:dyDescent="0.3">
      <c r="B13" s="5">
        <v>2</v>
      </c>
      <c r="C13" s="5" t="s">
        <v>41</v>
      </c>
      <c r="D13" s="9"/>
      <c r="E13" s="9"/>
      <c r="F13" s="9"/>
      <c r="G13" s="14" t="s">
        <v>50</v>
      </c>
      <c r="H13" s="9">
        <v>2684.02</v>
      </c>
      <c r="I13" s="9">
        <v>26840.2</v>
      </c>
      <c r="J13" s="9">
        <v>26600</v>
      </c>
      <c r="K13" s="9">
        <v>2510.5</v>
      </c>
      <c r="L13" s="9"/>
      <c r="M13" s="9"/>
      <c r="N13" s="9"/>
      <c r="O13" s="9"/>
      <c r="P13" s="9"/>
      <c r="Q13" s="9"/>
      <c r="R13" s="9"/>
      <c r="S13" s="9"/>
      <c r="T13" s="9">
        <f>E27*F5</f>
        <v>577.98</v>
      </c>
      <c r="U13" s="9"/>
      <c r="V13" s="13">
        <f>E28*F5</f>
        <v>998.20500000000004</v>
      </c>
    </row>
    <row r="14" spans="2:27" x14ac:dyDescent="0.3">
      <c r="B14" s="5">
        <v>3</v>
      </c>
      <c r="C14" s="5" t="s">
        <v>42</v>
      </c>
      <c r="D14" s="9"/>
      <c r="E14" s="9"/>
      <c r="F14" s="9"/>
      <c r="G14" s="14" t="s">
        <v>51</v>
      </c>
      <c r="H14" s="9">
        <v>3233.09</v>
      </c>
      <c r="I14" s="9">
        <v>21553.9</v>
      </c>
      <c r="J14" s="9">
        <v>19560</v>
      </c>
      <c r="K14" s="9">
        <v>2780.5</v>
      </c>
      <c r="L14" s="9"/>
      <c r="M14" s="9"/>
      <c r="N14" s="9"/>
      <c r="O14" s="9"/>
      <c r="P14" s="9"/>
      <c r="Q14" s="9"/>
      <c r="R14" s="9"/>
      <c r="S14" s="9"/>
      <c r="T14" s="9">
        <f>E27*F6</f>
        <v>755.82</v>
      </c>
      <c r="U14" s="9"/>
      <c r="V14" s="13">
        <f>E28*F6</f>
        <v>1305.345</v>
      </c>
    </row>
    <row r="15" spans="2:27" x14ac:dyDescent="0.3">
      <c r="B15" s="5">
        <v>4</v>
      </c>
      <c r="C15" s="5" t="s">
        <v>43</v>
      </c>
      <c r="D15" s="9"/>
      <c r="E15" s="9"/>
      <c r="F15" s="9"/>
      <c r="G15" s="14" t="s">
        <v>52</v>
      </c>
      <c r="H15" s="9">
        <v>3989.85</v>
      </c>
      <c r="I15" s="9">
        <v>26599</v>
      </c>
      <c r="J15" s="9">
        <v>12920</v>
      </c>
      <c r="K15" s="9">
        <v>1833</v>
      </c>
      <c r="L15" s="9"/>
      <c r="M15" s="9"/>
      <c r="N15" s="9"/>
      <c r="O15" s="9"/>
      <c r="P15" s="9"/>
      <c r="Q15" s="9"/>
      <c r="R15" s="9"/>
      <c r="S15" s="9"/>
      <c r="T15" s="9">
        <f>E27*F7</f>
        <v>311.22000000000003</v>
      </c>
      <c r="U15" s="9"/>
      <c r="V15" s="13">
        <f>E28*F7</f>
        <v>537.495</v>
      </c>
    </row>
    <row r="16" spans="2:27" x14ac:dyDescent="0.3">
      <c r="B16" s="5">
        <v>5</v>
      </c>
      <c r="C16" s="5" t="s">
        <v>44</v>
      </c>
      <c r="D16" s="9"/>
      <c r="E16" s="9"/>
      <c r="F16" s="9"/>
      <c r="G16" s="14" t="s">
        <v>53</v>
      </c>
      <c r="H16" s="9">
        <v>3927.64</v>
      </c>
      <c r="I16" s="9">
        <v>26183.599999999999</v>
      </c>
      <c r="J16" s="9">
        <v>20380</v>
      </c>
      <c r="K16" s="9">
        <v>2967.75</v>
      </c>
      <c r="L16" s="9"/>
      <c r="M16" s="9"/>
      <c r="N16" s="9"/>
      <c r="O16" s="9"/>
      <c r="P16" s="9"/>
      <c r="Q16" s="9"/>
      <c r="R16" s="9"/>
      <c r="S16" s="9"/>
      <c r="T16" s="9">
        <f>E27*F8</f>
        <v>577.98</v>
      </c>
      <c r="U16" s="9"/>
      <c r="V16" s="13">
        <f>E28*F8</f>
        <v>998.20500000000004</v>
      </c>
    </row>
    <row r="17" spans="2:23" x14ac:dyDescent="0.3">
      <c r="B17" s="9">
        <v>6</v>
      </c>
      <c r="C17" s="9" t="s">
        <v>45</v>
      </c>
      <c r="D17" s="9"/>
      <c r="E17" s="9"/>
      <c r="F17" s="9"/>
      <c r="G17" s="14" t="s">
        <v>54</v>
      </c>
      <c r="H17" s="9"/>
      <c r="I17" s="9">
        <v>19852.8</v>
      </c>
      <c r="J17" s="9">
        <v>16870</v>
      </c>
      <c r="K17" s="9">
        <v>3031.5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13"/>
    </row>
    <row r="18" spans="2:23" x14ac:dyDescent="0.3">
      <c r="B18" s="11">
        <v>7</v>
      </c>
      <c r="C18" s="11" t="s">
        <v>46</v>
      </c>
      <c r="D18" s="11"/>
      <c r="E18" s="11"/>
      <c r="F18" s="11"/>
      <c r="G18" s="14" t="s">
        <v>55</v>
      </c>
      <c r="H18" s="11"/>
      <c r="I18" s="11"/>
      <c r="J18" s="11">
        <v>8910</v>
      </c>
      <c r="K18" s="11">
        <v>1869.5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2"/>
    </row>
    <row r="19" spans="2:23" x14ac:dyDescent="0.3">
      <c r="B19" s="9"/>
      <c r="C19" s="9"/>
      <c r="D19" s="9"/>
      <c r="E19" s="9"/>
      <c r="F19" s="9"/>
      <c r="G19" s="9"/>
      <c r="H19" s="38">
        <f t="shared" ref="H19:U19" si="2">SUM(H12:H16)</f>
        <v>16202.28</v>
      </c>
      <c r="I19" s="38"/>
      <c r="J19" s="38">
        <f t="shared" si="2"/>
        <v>115280</v>
      </c>
      <c r="K19" s="38"/>
      <c r="L19" s="38">
        <f t="shared" si="2"/>
        <v>0</v>
      </c>
      <c r="M19" s="38"/>
      <c r="N19" s="38">
        <f t="shared" si="2"/>
        <v>0</v>
      </c>
      <c r="O19" s="38"/>
      <c r="P19" s="38">
        <f t="shared" si="2"/>
        <v>0</v>
      </c>
      <c r="Q19" s="38"/>
      <c r="R19" s="38">
        <f t="shared" si="2"/>
        <v>0</v>
      </c>
      <c r="S19" s="38"/>
      <c r="T19" s="38">
        <f t="shared" si="2"/>
        <v>2978.82</v>
      </c>
      <c r="U19" s="38">
        <f t="shared" si="2"/>
        <v>0</v>
      </c>
      <c r="V19" s="38">
        <f>SUM(V12:V16)</f>
        <v>5144.5950000000003</v>
      </c>
      <c r="W19" s="9"/>
    </row>
    <row r="20" spans="2:23" x14ac:dyDescent="0.3">
      <c r="B20" s="18"/>
      <c r="C20" s="18"/>
      <c r="D20" s="18"/>
      <c r="E20" s="19"/>
      <c r="F20" s="19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41"/>
      <c r="T20" s="41"/>
    </row>
    <row r="21" spans="2:23" x14ac:dyDescent="0.3">
      <c r="B21" s="9">
        <v>2022</v>
      </c>
      <c r="C21" s="9" t="s">
        <v>56</v>
      </c>
      <c r="D21" s="46">
        <v>3984</v>
      </c>
      <c r="E21" s="7">
        <v>0.17</v>
      </c>
      <c r="F21" s="48">
        <v>39840</v>
      </c>
      <c r="G21" s="17"/>
      <c r="H21" t="s">
        <v>20</v>
      </c>
      <c r="J21" t="s">
        <v>21</v>
      </c>
      <c r="L21" t="s">
        <v>22</v>
      </c>
      <c r="N21" t="s">
        <v>23</v>
      </c>
      <c r="P21" t="s">
        <v>24</v>
      </c>
      <c r="R21" t="s">
        <v>25</v>
      </c>
      <c r="T21" t="s">
        <v>26</v>
      </c>
      <c r="V21" t="s">
        <v>27</v>
      </c>
    </row>
    <row r="22" spans="2:23" x14ac:dyDescent="0.3">
      <c r="B22" s="9">
        <v>2022</v>
      </c>
      <c r="C22" s="9" t="s">
        <v>57</v>
      </c>
      <c r="D22" s="47">
        <v>3534</v>
      </c>
      <c r="E22" s="7">
        <v>0.13</v>
      </c>
      <c r="F22" s="49">
        <v>35340</v>
      </c>
      <c r="G22" s="17"/>
      <c r="H22">
        <v>0.98</v>
      </c>
      <c r="I22">
        <v>96</v>
      </c>
      <c r="J22">
        <v>1.08</v>
      </c>
      <c r="K22">
        <v>108</v>
      </c>
      <c r="L22">
        <v>5.43</v>
      </c>
      <c r="M22">
        <v>543</v>
      </c>
      <c r="N22">
        <v>1.03</v>
      </c>
      <c r="O22">
        <v>154.5</v>
      </c>
      <c r="P22">
        <v>1.05</v>
      </c>
      <c r="Q22">
        <v>157.5</v>
      </c>
      <c r="R22">
        <v>1.05</v>
      </c>
      <c r="S22">
        <v>159</v>
      </c>
      <c r="T22">
        <v>1</v>
      </c>
      <c r="U22">
        <v>750</v>
      </c>
      <c r="V22">
        <v>0.98</v>
      </c>
      <c r="W22">
        <v>73.5</v>
      </c>
    </row>
    <row r="23" spans="2:23" x14ac:dyDescent="0.3">
      <c r="B23" s="9">
        <v>2022</v>
      </c>
      <c r="C23" s="9" t="s">
        <v>58</v>
      </c>
      <c r="D23" s="47">
        <v>4006</v>
      </c>
      <c r="E23" s="7">
        <v>0.17</v>
      </c>
      <c r="F23" s="49">
        <v>40060</v>
      </c>
      <c r="G23" s="17"/>
      <c r="H23">
        <v>1.02</v>
      </c>
      <c r="I23">
        <v>102</v>
      </c>
      <c r="J23">
        <v>1.07</v>
      </c>
      <c r="K23">
        <v>107</v>
      </c>
      <c r="L23">
        <v>1.5</v>
      </c>
      <c r="M23">
        <v>150</v>
      </c>
      <c r="N23">
        <v>1.07</v>
      </c>
      <c r="O23">
        <v>160.5</v>
      </c>
      <c r="P23">
        <v>5.89</v>
      </c>
      <c r="Q23">
        <v>883.5</v>
      </c>
      <c r="R23">
        <v>1</v>
      </c>
      <c r="S23">
        <v>150</v>
      </c>
      <c r="T23">
        <v>0.99</v>
      </c>
      <c r="U23">
        <v>49.5</v>
      </c>
      <c r="V23">
        <v>1.04</v>
      </c>
      <c r="W23">
        <v>156</v>
      </c>
    </row>
    <row r="24" spans="2:23" x14ac:dyDescent="0.3">
      <c r="B24" s="9">
        <v>2022</v>
      </c>
      <c r="C24" s="9" t="s">
        <v>59</v>
      </c>
      <c r="D24" s="47">
        <v>4825.5</v>
      </c>
      <c r="E24" s="7">
        <v>7.0000000000000007E-2</v>
      </c>
      <c r="F24" s="49">
        <v>32170</v>
      </c>
      <c r="G24" s="17"/>
      <c r="H24">
        <v>1.58</v>
      </c>
      <c r="I24">
        <v>158</v>
      </c>
      <c r="J24">
        <v>1.8</v>
      </c>
      <c r="K24">
        <v>180</v>
      </c>
      <c r="L24">
        <v>1.06</v>
      </c>
      <c r="M24">
        <v>106</v>
      </c>
      <c r="N24">
        <v>0.74</v>
      </c>
      <c r="O24">
        <v>55.5</v>
      </c>
      <c r="P24">
        <v>0.14000000000000001</v>
      </c>
      <c r="Q24">
        <v>10.5</v>
      </c>
      <c r="R24">
        <v>1.01</v>
      </c>
      <c r="S24">
        <v>151.5</v>
      </c>
      <c r="T24">
        <v>1.1299999999999999</v>
      </c>
      <c r="U24">
        <v>169.5</v>
      </c>
      <c r="V24">
        <v>1.1000000000000001</v>
      </c>
      <c r="W24">
        <v>165</v>
      </c>
    </row>
    <row r="25" spans="2:23" x14ac:dyDescent="0.3">
      <c r="B25" s="9">
        <v>2022</v>
      </c>
      <c r="C25" s="9" t="s">
        <v>24</v>
      </c>
      <c r="D25" s="32">
        <v>5955</v>
      </c>
      <c r="E25" s="8">
        <v>0.13</v>
      </c>
      <c r="F25" s="49">
        <v>39700</v>
      </c>
      <c r="G25" s="17"/>
      <c r="H25">
        <v>0.86</v>
      </c>
      <c r="I25">
        <v>86</v>
      </c>
      <c r="J25">
        <v>8.2100000000000009</v>
      </c>
      <c r="K25">
        <v>821</v>
      </c>
      <c r="L25">
        <v>7.48</v>
      </c>
      <c r="M25">
        <v>748</v>
      </c>
      <c r="N25">
        <v>5.39</v>
      </c>
      <c r="O25">
        <v>808.5</v>
      </c>
      <c r="P25">
        <v>1.06</v>
      </c>
      <c r="Q25">
        <v>159</v>
      </c>
      <c r="R25">
        <v>1.03</v>
      </c>
      <c r="S25">
        <v>154.5</v>
      </c>
      <c r="T25">
        <v>1.88</v>
      </c>
      <c r="U25">
        <v>282</v>
      </c>
      <c r="V25">
        <v>1.25</v>
      </c>
      <c r="W25">
        <v>187.5</v>
      </c>
    </row>
    <row r="26" spans="2:23" x14ac:dyDescent="0.3">
      <c r="B26" s="9">
        <v>2022</v>
      </c>
      <c r="C26" s="9" t="s">
        <v>25</v>
      </c>
      <c r="D26" s="32">
        <v>5862.15</v>
      </c>
      <c r="E26" s="7"/>
      <c r="F26" s="34">
        <v>39080</v>
      </c>
      <c r="G26" s="17"/>
      <c r="H26">
        <v>0.55000000000000004</v>
      </c>
      <c r="I26">
        <v>550</v>
      </c>
      <c r="J26">
        <v>1.03</v>
      </c>
      <c r="K26">
        <v>103</v>
      </c>
      <c r="L26">
        <v>6.08</v>
      </c>
      <c r="M26">
        <v>608</v>
      </c>
      <c r="N26">
        <v>6.07</v>
      </c>
      <c r="O26">
        <v>910.5</v>
      </c>
      <c r="P26">
        <v>0.37</v>
      </c>
      <c r="Q26">
        <v>27.75</v>
      </c>
      <c r="R26">
        <v>0.42</v>
      </c>
      <c r="S26">
        <v>31.5</v>
      </c>
      <c r="T26">
        <v>1.03</v>
      </c>
      <c r="U26">
        <v>154.5</v>
      </c>
      <c r="V26">
        <v>1.26</v>
      </c>
      <c r="W26">
        <v>189</v>
      </c>
    </row>
    <row r="27" spans="2:23" hidden="1" x14ac:dyDescent="0.3">
      <c r="B27" s="9">
        <v>2022</v>
      </c>
      <c r="C27" s="9" t="s">
        <v>26</v>
      </c>
      <c r="D27" s="16">
        <v>29.64</v>
      </c>
      <c r="E27" s="17">
        <v>4446</v>
      </c>
      <c r="F27" s="17"/>
      <c r="G27" s="17"/>
      <c r="H27" s="42">
        <v>1.1000000000000001</v>
      </c>
      <c r="I27">
        <v>1100</v>
      </c>
      <c r="J27">
        <v>7.81</v>
      </c>
      <c r="K27">
        <v>781</v>
      </c>
      <c r="L27">
        <v>0.28999999999999998</v>
      </c>
      <c r="M27">
        <v>14.5</v>
      </c>
      <c r="N27">
        <v>1.03</v>
      </c>
      <c r="O27">
        <v>154.5</v>
      </c>
      <c r="P27">
        <v>1.03</v>
      </c>
      <c r="Q27">
        <v>154.5</v>
      </c>
      <c r="R27">
        <v>1</v>
      </c>
      <c r="S27">
        <v>150</v>
      </c>
      <c r="T27">
        <v>5.1100000000000003</v>
      </c>
      <c r="U27">
        <v>766.5</v>
      </c>
      <c r="V27">
        <v>0.98</v>
      </c>
      <c r="W27">
        <v>73.5</v>
      </c>
    </row>
    <row r="28" spans="2:23" hidden="1" x14ac:dyDescent="0.3">
      <c r="B28" s="9">
        <v>2022</v>
      </c>
      <c r="C28" s="9" t="s">
        <v>60</v>
      </c>
      <c r="D28" s="16">
        <v>51.19</v>
      </c>
      <c r="E28" s="17">
        <v>7678.5</v>
      </c>
      <c r="F28" s="17"/>
      <c r="G28" s="17"/>
      <c r="H28">
        <v>0.95</v>
      </c>
      <c r="I28">
        <v>47.5</v>
      </c>
      <c r="J28">
        <v>0.92</v>
      </c>
      <c r="K28">
        <v>92</v>
      </c>
      <c r="L28">
        <v>0.91</v>
      </c>
      <c r="M28">
        <v>45</v>
      </c>
      <c r="N28">
        <v>1.23</v>
      </c>
      <c r="O28">
        <v>184.5</v>
      </c>
      <c r="P28">
        <v>1.07</v>
      </c>
      <c r="Q28">
        <v>160.5</v>
      </c>
      <c r="R28">
        <v>0.79</v>
      </c>
      <c r="S28">
        <v>59.25</v>
      </c>
      <c r="T28">
        <v>5.73</v>
      </c>
      <c r="U28">
        <v>859.5</v>
      </c>
      <c r="V28">
        <v>1.3</v>
      </c>
      <c r="W28">
        <v>195</v>
      </c>
    </row>
    <row r="29" spans="2:23" hidden="1" x14ac:dyDescent="0.3">
      <c r="B29" s="9">
        <v>2022</v>
      </c>
      <c r="C29" s="9" t="s">
        <v>61</v>
      </c>
      <c r="D29" s="16"/>
      <c r="E29" s="17"/>
      <c r="F29" s="17"/>
      <c r="G29" s="17"/>
      <c r="H29">
        <v>1.32</v>
      </c>
      <c r="I29">
        <v>132</v>
      </c>
      <c r="J29">
        <v>1.06</v>
      </c>
      <c r="K29">
        <v>106</v>
      </c>
      <c r="L29">
        <v>0.82</v>
      </c>
      <c r="M29">
        <v>41</v>
      </c>
      <c r="N29">
        <v>1.02</v>
      </c>
      <c r="O29">
        <v>153</v>
      </c>
      <c r="P29">
        <v>1.42</v>
      </c>
      <c r="Q29">
        <v>213</v>
      </c>
      <c r="R29">
        <v>1.1000000000000001</v>
      </c>
      <c r="S29">
        <v>165</v>
      </c>
      <c r="V29">
        <v>1</v>
      </c>
      <c r="W29">
        <v>830</v>
      </c>
    </row>
    <row r="30" spans="2:23" hidden="1" x14ac:dyDescent="0.3">
      <c r="B30" s="9">
        <v>2022</v>
      </c>
      <c r="C30" s="9" t="s">
        <v>62</v>
      </c>
      <c r="D30" s="16"/>
      <c r="E30" s="17"/>
      <c r="F30" s="17"/>
      <c r="G30" s="17"/>
      <c r="H30">
        <v>6.54</v>
      </c>
      <c r="I30">
        <v>554</v>
      </c>
      <c r="J30">
        <v>6.23</v>
      </c>
      <c r="K30">
        <v>623</v>
      </c>
      <c r="L30">
        <v>1.02</v>
      </c>
      <c r="M30">
        <v>102</v>
      </c>
      <c r="N30">
        <v>0.98</v>
      </c>
      <c r="O30">
        <v>49</v>
      </c>
      <c r="P30">
        <v>0.89</v>
      </c>
      <c r="Q30">
        <v>66.75</v>
      </c>
      <c r="R30">
        <v>6.42</v>
      </c>
      <c r="S30">
        <v>963</v>
      </c>
    </row>
    <row r="31" spans="2:23" hidden="1" x14ac:dyDescent="0.3">
      <c r="B31" s="9">
        <v>2022</v>
      </c>
      <c r="C31" s="9" t="s">
        <v>63</v>
      </c>
      <c r="D31" s="16"/>
      <c r="E31" s="17"/>
      <c r="F31" s="17"/>
      <c r="G31" s="17"/>
      <c r="H31">
        <v>1.02</v>
      </c>
      <c r="I31">
        <v>102</v>
      </c>
      <c r="J31">
        <v>1.02</v>
      </c>
      <c r="K31">
        <v>102</v>
      </c>
      <c r="L31">
        <v>1.05</v>
      </c>
      <c r="M31">
        <v>105</v>
      </c>
      <c r="N31">
        <v>1</v>
      </c>
      <c r="O31">
        <v>150</v>
      </c>
      <c r="R31">
        <v>6.56</v>
      </c>
      <c r="S31">
        <v>984</v>
      </c>
    </row>
    <row r="32" spans="2:23" hidden="1" x14ac:dyDescent="0.3">
      <c r="B32" s="9">
        <v>2022</v>
      </c>
      <c r="C32" s="9" t="s">
        <v>64</v>
      </c>
      <c r="D32" s="16"/>
      <c r="E32" s="17"/>
      <c r="F32" s="17"/>
      <c r="G32" s="17"/>
      <c r="H32">
        <v>1</v>
      </c>
      <c r="I32">
        <v>100</v>
      </c>
      <c r="J32">
        <v>1.03</v>
      </c>
      <c r="K32">
        <v>103</v>
      </c>
      <c r="L32">
        <v>0.96</v>
      </c>
      <c r="M32">
        <v>48</v>
      </c>
    </row>
    <row r="33" spans="7:23" hidden="1" x14ac:dyDescent="0.3">
      <c r="H33">
        <v>3.64</v>
      </c>
      <c r="I33">
        <v>364</v>
      </c>
      <c r="J33">
        <v>4.5599999999999996</v>
      </c>
      <c r="K33">
        <v>456</v>
      </c>
    </row>
    <row r="34" spans="7:23" x14ac:dyDescent="0.3">
      <c r="H34">
        <v>1.72</v>
      </c>
      <c r="I34">
        <v>172</v>
      </c>
    </row>
    <row r="35" spans="7:23" x14ac:dyDescent="0.3">
      <c r="H35">
        <v>5.79</v>
      </c>
      <c r="I35">
        <v>579</v>
      </c>
    </row>
    <row r="36" spans="7:23" x14ac:dyDescent="0.3">
      <c r="G36" t="s">
        <v>65</v>
      </c>
      <c r="H36" s="52">
        <f>SUM(H22:H35)</f>
        <v>28.069999999999997</v>
      </c>
      <c r="I36" s="52">
        <f t="shared" ref="I36:W36" si="3">SUM(I22:I35)</f>
        <v>4142.5</v>
      </c>
      <c r="J36" s="52">
        <f t="shared" si="3"/>
        <v>35.82</v>
      </c>
      <c r="K36" s="52">
        <f t="shared" si="3"/>
        <v>3582</v>
      </c>
      <c r="L36" s="52">
        <f t="shared" si="3"/>
        <v>26.6</v>
      </c>
      <c r="M36" s="52">
        <f t="shared" si="3"/>
        <v>2510.5</v>
      </c>
      <c r="N36" s="52">
        <f t="shared" si="3"/>
        <v>19.559999999999999</v>
      </c>
      <c r="O36" s="52">
        <f t="shared" si="3"/>
        <v>2780.5</v>
      </c>
      <c r="P36" s="52">
        <f t="shared" si="3"/>
        <v>12.919999999999998</v>
      </c>
      <c r="Q36" s="52">
        <f t="shared" si="3"/>
        <v>1833</v>
      </c>
      <c r="R36" s="52">
        <f t="shared" si="3"/>
        <v>20.38</v>
      </c>
      <c r="S36" s="52">
        <f t="shared" si="3"/>
        <v>2967.75</v>
      </c>
      <c r="T36" s="52">
        <f t="shared" si="3"/>
        <v>16.87</v>
      </c>
      <c r="U36" s="52">
        <f t="shared" si="3"/>
        <v>3031.5</v>
      </c>
      <c r="V36" s="52">
        <f t="shared" si="3"/>
        <v>8.91</v>
      </c>
      <c r="W36" s="52">
        <f t="shared" si="3"/>
        <v>1869.5</v>
      </c>
    </row>
    <row r="37" spans="7:23" x14ac:dyDescent="0.3">
      <c r="H37" s="52">
        <f>H36*1000</f>
        <v>28069.999999999996</v>
      </c>
      <c r="I37" s="52"/>
      <c r="J37" s="52">
        <f t="shared" ref="J37:V37" si="4">J36*1000</f>
        <v>35820</v>
      </c>
      <c r="K37" s="52"/>
      <c r="L37" s="52">
        <f t="shared" si="4"/>
        <v>26600</v>
      </c>
      <c r="M37" s="52"/>
      <c r="N37" s="52">
        <f t="shared" si="4"/>
        <v>19560</v>
      </c>
      <c r="O37" s="52"/>
      <c r="P37" s="52">
        <f t="shared" si="4"/>
        <v>12919.999999999998</v>
      </c>
      <c r="Q37" s="52"/>
      <c r="R37" s="52">
        <f t="shared" si="4"/>
        <v>20380</v>
      </c>
      <c r="S37" s="52"/>
      <c r="T37" s="52">
        <f t="shared" si="4"/>
        <v>16870</v>
      </c>
      <c r="U37" s="52"/>
      <c r="V37" s="52">
        <f t="shared" si="4"/>
        <v>8910</v>
      </c>
      <c r="W37" s="52"/>
    </row>
    <row r="38" spans="7:23" x14ac:dyDescent="0.3">
      <c r="G38" t="s">
        <v>66</v>
      </c>
      <c r="H38">
        <v>39.840000000000003</v>
      </c>
      <c r="I38">
        <v>3984</v>
      </c>
      <c r="J38">
        <v>35.340000000000003</v>
      </c>
      <c r="K38">
        <v>3534</v>
      </c>
      <c r="L38">
        <v>40.06</v>
      </c>
      <c r="M38">
        <v>4006</v>
      </c>
      <c r="N38">
        <v>32.17</v>
      </c>
      <c r="O38">
        <v>4825.5</v>
      </c>
      <c r="P38">
        <v>39.700000000000003</v>
      </c>
      <c r="Q38">
        <v>5955</v>
      </c>
      <c r="R38">
        <v>39.08</v>
      </c>
      <c r="S38">
        <v>5862.15</v>
      </c>
      <c r="T38">
        <v>29.64</v>
      </c>
      <c r="U38">
        <v>4446</v>
      </c>
      <c r="V38">
        <v>51.19</v>
      </c>
      <c r="W38">
        <v>7678.5</v>
      </c>
    </row>
    <row r="39" spans="7:23" x14ac:dyDescent="0.3">
      <c r="G39" t="s">
        <v>67</v>
      </c>
      <c r="H39">
        <v>5.41</v>
      </c>
      <c r="I39">
        <v>541</v>
      </c>
      <c r="J39">
        <v>6.53</v>
      </c>
      <c r="K39">
        <v>653</v>
      </c>
      <c r="L39">
        <v>8.3699999999999992</v>
      </c>
      <c r="M39">
        <v>837</v>
      </c>
      <c r="N39">
        <v>7.65</v>
      </c>
      <c r="O39">
        <v>1147.5</v>
      </c>
      <c r="P39">
        <v>11.33</v>
      </c>
      <c r="Q39">
        <v>1699</v>
      </c>
      <c r="R39">
        <v>8.49</v>
      </c>
      <c r="S39">
        <v>1273.5</v>
      </c>
      <c r="T39">
        <v>10.98</v>
      </c>
      <c r="U39">
        <v>1647</v>
      </c>
      <c r="V39">
        <v>7.69</v>
      </c>
      <c r="W39">
        <v>1153.5</v>
      </c>
    </row>
    <row r="40" spans="7:23" x14ac:dyDescent="0.3">
      <c r="H40">
        <f>H39*1000</f>
        <v>5410</v>
      </c>
      <c r="J40">
        <f t="shared" ref="J40:V40" si="5">J39*1000</f>
        <v>6530</v>
      </c>
      <c r="L40">
        <f t="shared" si="5"/>
        <v>8370</v>
      </c>
      <c r="N40">
        <f t="shared" si="5"/>
        <v>7650</v>
      </c>
      <c r="P40">
        <f t="shared" si="5"/>
        <v>11330</v>
      </c>
      <c r="R40">
        <f t="shared" si="5"/>
        <v>8490</v>
      </c>
      <c r="T40">
        <f t="shared" si="5"/>
        <v>10980</v>
      </c>
      <c r="V40">
        <f t="shared" si="5"/>
        <v>7690</v>
      </c>
    </row>
  </sheetData>
  <mergeCells count="2">
    <mergeCell ref="V3:W3"/>
    <mergeCell ref="T3:U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76D9C9-2FD9-4A4B-8871-03EAC458CB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3D3BB1-03D9-4265-B993-D055E72C7323}">
  <ds:schemaRefs>
    <ds:schemaRef ds:uri="http://schemas.microsoft.com/office/2006/metadata/properties"/>
    <ds:schemaRef ds:uri="http://schemas.microsoft.com/office/infopath/2007/PartnerControls"/>
    <ds:schemaRef ds:uri="c0bb2215-5bf3-43e0-9dce-b3effc6cb50f"/>
    <ds:schemaRef ds:uri="8c44e1e5-30d2-450a-b924-ac87e029a220"/>
  </ds:schemaRefs>
</ds:datastoreItem>
</file>

<file path=customXml/itemProps3.xml><?xml version="1.0" encoding="utf-8"?>
<ds:datastoreItem xmlns:ds="http://schemas.openxmlformats.org/officeDocument/2006/customXml" ds:itemID="{6F85216E-F494-4A30-B970-10A546FB5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Insert in SCR</vt:lpstr>
      <vt:lpstr>Calculation Foodwaste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Joe Khoury</cp:lastModifiedBy>
  <cp:revision/>
  <dcterms:created xsi:type="dcterms:W3CDTF">2022-01-28T13:49:17Z</dcterms:created>
  <dcterms:modified xsi:type="dcterms:W3CDTF">2022-09-30T08:01:19Z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