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BAL-ENG\4. Energy\4.3 Utilities\HEP\2022\HEP Daily Report 2022\"/>
    </mc:Choice>
  </mc:AlternateContent>
  <bookViews>
    <workbookView xWindow="0" yWindow="0" windowWidth="28800" windowHeight="12435" tabRatio="762"/>
  </bookViews>
  <sheets>
    <sheet name="TOTAL" sheetId="11" r:id="rId1"/>
    <sheet name="FS Jimbaran February 2022" sheetId="14" r:id="rId2"/>
    <sheet name="RNs &amp; Covers February 2022" sheetId="10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3" i="14" l="1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12" i="14"/>
  <c r="Y43" i="14" l="1"/>
  <c r="AH11" i="14" l="1"/>
  <c r="AH12" i="14" s="1"/>
  <c r="X43" i="14" l="1"/>
  <c r="AL13" i="14" l="1"/>
  <c r="AL14" i="14"/>
  <c r="AL15" i="14"/>
  <c r="AL16" i="14"/>
  <c r="AL17" i="14"/>
  <c r="AL18" i="14"/>
  <c r="AL19" i="14"/>
  <c r="AL20" i="14"/>
  <c r="AL21" i="14"/>
  <c r="AL22" i="14"/>
  <c r="AL23" i="14"/>
  <c r="AL24" i="14"/>
  <c r="AL25" i="14"/>
  <c r="AL26" i="14"/>
  <c r="AL27" i="14"/>
  <c r="AL28" i="14"/>
  <c r="AL29" i="14"/>
  <c r="AL30" i="14"/>
  <c r="AL31" i="14"/>
  <c r="AL32" i="14"/>
  <c r="AL33" i="14"/>
  <c r="AL34" i="14"/>
  <c r="AL35" i="14"/>
  <c r="AL36" i="14"/>
  <c r="AL37" i="14"/>
  <c r="AL38" i="14"/>
  <c r="AL39" i="14"/>
  <c r="AL12" i="14"/>
  <c r="AI12" i="14" l="1"/>
  <c r="AH13" i="14"/>
  <c r="AI13" i="14" s="1"/>
  <c r="AH14" i="14"/>
  <c r="AI14" i="14" s="1"/>
  <c r="AH15" i="14"/>
  <c r="AI15" i="14" s="1"/>
  <c r="AH16" i="14"/>
  <c r="AI16" i="14" s="1"/>
  <c r="AH17" i="14"/>
  <c r="AI17" i="14" s="1"/>
  <c r="AH18" i="14"/>
  <c r="AI18" i="14" s="1"/>
  <c r="AH19" i="14"/>
  <c r="AI19" i="14" s="1"/>
  <c r="AH20" i="14"/>
  <c r="AI20" i="14" s="1"/>
  <c r="AH21" i="14"/>
  <c r="AI21" i="14" s="1"/>
  <c r="AH22" i="14"/>
  <c r="AI22" i="14" s="1"/>
  <c r="AH23" i="14"/>
  <c r="AI23" i="14" s="1"/>
  <c r="AH24" i="14"/>
  <c r="AI24" i="14" s="1"/>
  <c r="AH25" i="14"/>
  <c r="AI25" i="14" s="1"/>
  <c r="AH26" i="14"/>
  <c r="AI26" i="14" s="1"/>
  <c r="AH27" i="14"/>
  <c r="AI27" i="14" s="1"/>
  <c r="AH28" i="14"/>
  <c r="AI28" i="14" s="1"/>
  <c r="AH29" i="14"/>
  <c r="AI29" i="14" s="1"/>
  <c r="AH30" i="14"/>
  <c r="AI30" i="14" s="1"/>
  <c r="AH31" i="14"/>
  <c r="AI31" i="14" s="1"/>
  <c r="AH32" i="14"/>
  <c r="AI32" i="14" s="1"/>
  <c r="AH33" i="14"/>
  <c r="AI33" i="14" s="1"/>
  <c r="AH34" i="14"/>
  <c r="AI34" i="14" s="1"/>
  <c r="AH35" i="14"/>
  <c r="AI35" i="14" s="1"/>
  <c r="AH36" i="14"/>
  <c r="AI36" i="14" s="1"/>
  <c r="AH37" i="14"/>
  <c r="AI37" i="14" s="1"/>
  <c r="AH38" i="14"/>
  <c r="AI38" i="14" s="1"/>
  <c r="AH39" i="14"/>
  <c r="AI39" i="14" s="1"/>
  <c r="AA17" i="14" l="1"/>
  <c r="AB17" i="14" s="1"/>
  <c r="AA18" i="14"/>
  <c r="AB18" i="14" s="1"/>
  <c r="AA20" i="14"/>
  <c r="AB20" i="14" s="1"/>
  <c r="AA25" i="14"/>
  <c r="AB25" i="14" s="1"/>
  <c r="AA26" i="14"/>
  <c r="AB26" i="14" s="1"/>
  <c r="AA28" i="14"/>
  <c r="AB28" i="14" s="1"/>
  <c r="AA33" i="14"/>
  <c r="AB33" i="14" s="1"/>
  <c r="AA34" i="14"/>
  <c r="AB34" i="14" s="1"/>
  <c r="AA36" i="14"/>
  <c r="AB36" i="14" s="1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12" i="14"/>
  <c r="AA13" i="14"/>
  <c r="AB13" i="14" s="1"/>
  <c r="AA14" i="14"/>
  <c r="AB14" i="14" s="1"/>
  <c r="AA15" i="14"/>
  <c r="AB15" i="14" s="1"/>
  <c r="AA16" i="14"/>
  <c r="AB16" i="14" s="1"/>
  <c r="AA19" i="14"/>
  <c r="AB19" i="14" s="1"/>
  <c r="AA21" i="14"/>
  <c r="AB21" i="14" s="1"/>
  <c r="AA22" i="14"/>
  <c r="AB22" i="14" s="1"/>
  <c r="AA23" i="14"/>
  <c r="AB23" i="14" s="1"/>
  <c r="AA24" i="14"/>
  <c r="AB24" i="14" s="1"/>
  <c r="AA27" i="14"/>
  <c r="AB27" i="14" s="1"/>
  <c r="AA29" i="14"/>
  <c r="AB29" i="14" s="1"/>
  <c r="AA30" i="14"/>
  <c r="AB30" i="14" s="1"/>
  <c r="AA31" i="14"/>
  <c r="AB31" i="14" s="1"/>
  <c r="AA32" i="14"/>
  <c r="AB32" i="14" s="1"/>
  <c r="AA35" i="14"/>
  <c r="AB35" i="14" s="1"/>
  <c r="AA37" i="14"/>
  <c r="AB37" i="14" s="1"/>
  <c r="AA38" i="14"/>
  <c r="AB38" i="14" s="1"/>
  <c r="AA39" i="14"/>
  <c r="AB39" i="14" s="1"/>
  <c r="AA12" i="14"/>
  <c r="AB12" i="14" s="1"/>
  <c r="V43" i="14" l="1"/>
  <c r="AB43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12" i="14"/>
  <c r="I13" i="14"/>
  <c r="I14" i="14"/>
  <c r="I15" i="14"/>
  <c r="I16" i="14"/>
  <c r="I17" i="14"/>
  <c r="I18" i="14"/>
  <c r="I19" i="14"/>
  <c r="I20" i="14"/>
  <c r="O20" i="14" s="1"/>
  <c r="I21" i="14"/>
  <c r="I22" i="14"/>
  <c r="I23" i="14"/>
  <c r="I24" i="14"/>
  <c r="I25" i="14"/>
  <c r="I26" i="14"/>
  <c r="I27" i="14"/>
  <c r="I28" i="14"/>
  <c r="O28" i="14" s="1"/>
  <c r="I29" i="14"/>
  <c r="I30" i="14"/>
  <c r="I31" i="14"/>
  <c r="I32" i="14"/>
  <c r="I33" i="14"/>
  <c r="I34" i="14"/>
  <c r="I35" i="14"/>
  <c r="I36" i="14"/>
  <c r="O36" i="14" s="1"/>
  <c r="I37" i="14"/>
  <c r="I38" i="14"/>
  <c r="I39" i="14"/>
  <c r="I12" i="14"/>
  <c r="O34" i="14" l="1"/>
  <c r="O26" i="14"/>
  <c r="O18" i="14"/>
  <c r="O33" i="14"/>
  <c r="O25" i="14"/>
  <c r="O17" i="14"/>
  <c r="O21" i="14"/>
  <c r="O13" i="14"/>
  <c r="I43" i="14"/>
  <c r="O32" i="14"/>
  <c r="O24" i="14"/>
  <c r="O16" i="14"/>
  <c r="O38" i="14"/>
  <c r="O22" i="14"/>
  <c r="O14" i="14"/>
  <c r="O30" i="14"/>
  <c r="O23" i="14"/>
  <c r="O15" i="14"/>
  <c r="O39" i="14"/>
  <c r="O31" i="14"/>
  <c r="O37" i="14"/>
  <c r="O29" i="14"/>
  <c r="O35" i="14"/>
  <c r="O27" i="14"/>
  <c r="O19" i="14"/>
  <c r="O12" i="14"/>
  <c r="P43" i="14"/>
  <c r="L43" i="14"/>
  <c r="K43" i="14"/>
  <c r="J43" i="14"/>
  <c r="H43" i="14"/>
  <c r="G43" i="14"/>
  <c r="F43" i="14"/>
  <c r="E43" i="14"/>
  <c r="AK43" i="14" l="1"/>
  <c r="AL43" i="14" s="1"/>
  <c r="AJ43" i="14"/>
  <c r="AH43" i="14"/>
  <c r="AI43" i="14" s="1"/>
  <c r="AF43" i="14"/>
  <c r="AE43" i="14"/>
  <c r="M43" i="14"/>
  <c r="C43" i="14"/>
  <c r="D43" i="14"/>
  <c r="Z43" i="14"/>
  <c r="W43" i="14"/>
  <c r="C34" i="10" l="1"/>
  <c r="B34" i="10"/>
  <c r="AG43" i="14" l="1"/>
  <c r="N43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K21" i="11"/>
  <c r="K22" i="11"/>
  <c r="K23" i="11"/>
  <c r="K24" i="11"/>
  <c r="K25" i="11"/>
  <c r="K26" i="11"/>
  <c r="K27" i="11"/>
  <c r="K28" i="11"/>
  <c r="K29" i="11"/>
  <c r="AA43" i="14" l="1"/>
  <c r="L29" i="11"/>
  <c r="L27" i="11"/>
  <c r="L25" i="11"/>
  <c r="L23" i="11"/>
  <c r="L21" i="11"/>
  <c r="E23" i="11"/>
  <c r="E24" i="11"/>
  <c r="E25" i="11"/>
  <c r="E26" i="11"/>
  <c r="E27" i="11"/>
  <c r="E28" i="11"/>
  <c r="E29" i="11"/>
  <c r="L28" i="11"/>
  <c r="L26" i="11"/>
  <c r="L24" i="11"/>
  <c r="L22" i="11"/>
  <c r="E21" i="11" l="1"/>
  <c r="E22" i="11"/>
  <c r="F28" i="11"/>
  <c r="F26" i="11"/>
  <c r="F24" i="11"/>
  <c r="F22" i="11"/>
  <c r="F29" i="11"/>
  <c r="F27" i="11"/>
  <c r="F25" i="11"/>
  <c r="F23" i="11"/>
  <c r="F21" i="11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3" i="14"/>
  <c r="J20" i="11"/>
  <c r="I15" i="11"/>
  <c r="K14" i="11"/>
  <c r="I9" i="11"/>
  <c r="I7" i="11"/>
  <c r="K6" i="11"/>
  <c r="K2" i="11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H12" i="11"/>
  <c r="H14" i="11"/>
  <c r="H15" i="11"/>
  <c r="G16" i="11"/>
  <c r="H16" i="11"/>
  <c r="H18" i="11"/>
  <c r="H19" i="11"/>
  <c r="H20" i="11"/>
  <c r="H4" i="11"/>
  <c r="H6" i="11"/>
  <c r="H10" i="11"/>
  <c r="H17" i="11"/>
  <c r="G20" i="11"/>
  <c r="G15" i="11"/>
  <c r="G14" i="11"/>
  <c r="J13" i="11"/>
  <c r="J14" i="11"/>
  <c r="J6" i="11"/>
  <c r="J5" i="11"/>
  <c r="G7" i="11"/>
  <c r="G11" i="11"/>
  <c r="J17" i="11"/>
  <c r="G13" i="11"/>
  <c r="J4" i="11"/>
  <c r="G5" i="11"/>
  <c r="G3" i="11"/>
  <c r="J11" i="11"/>
  <c r="J12" i="11"/>
  <c r="J16" i="11"/>
  <c r="J8" i="11"/>
  <c r="K3" i="11"/>
  <c r="G6" i="11"/>
  <c r="I12" i="11"/>
  <c r="I4" i="11"/>
  <c r="J15" i="11"/>
  <c r="G12" i="11"/>
  <c r="G4" i="11"/>
  <c r="I18" i="11"/>
  <c r="K16" i="11"/>
  <c r="K8" i="11"/>
  <c r="G19" i="11"/>
  <c r="I17" i="11"/>
  <c r="K15" i="11"/>
  <c r="K7" i="11"/>
  <c r="L10" i="11"/>
  <c r="I10" i="11"/>
  <c r="G18" i="11"/>
  <c r="G10" i="11"/>
  <c r="I16" i="11"/>
  <c r="I8" i="11"/>
  <c r="J19" i="11"/>
  <c r="J3" i="11"/>
  <c r="L9" i="11"/>
  <c r="G17" i="11"/>
  <c r="J18" i="11"/>
  <c r="J10" i="11"/>
  <c r="K13" i="11"/>
  <c r="K5" i="11"/>
  <c r="I14" i="11"/>
  <c r="I6" i="11"/>
  <c r="K12" i="11"/>
  <c r="K4" i="11"/>
  <c r="L2" i="11"/>
  <c r="H2" i="11"/>
  <c r="J2" i="11"/>
  <c r="AC43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L14" i="11"/>
  <c r="L12" i="11"/>
  <c r="L18" i="11"/>
  <c r="L4" i="11"/>
  <c r="L20" i="11"/>
  <c r="L19" i="11"/>
  <c r="L8" i="11"/>
  <c r="L15" i="11"/>
  <c r="L13" i="11"/>
  <c r="L16" i="11"/>
  <c r="L7" i="11"/>
  <c r="L17" i="11"/>
  <c r="L5" i="11"/>
  <c r="L11" i="11"/>
  <c r="J9" i="11"/>
  <c r="L3" i="11"/>
  <c r="O43" i="14" l="1"/>
  <c r="F7" i="11"/>
  <c r="F2" i="11"/>
  <c r="L6" i="11"/>
  <c r="U44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</calcChain>
</file>

<file path=xl/sharedStrings.xml><?xml version="1.0" encoding="utf-8"?>
<sst xmlns="http://schemas.openxmlformats.org/spreadsheetml/2006/main" count="98" uniqueCount="55">
  <si>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</si>
  <si>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</si>
  <si>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</si>
  <si>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</si>
  <si>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</si>
  <si>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</si>
  <si>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</si>
  <si>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</si>
  <si>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</si>
  <si>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</si>
  <si>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</si>
  <si>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</si>
  <si>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</si>
  <si>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</si>
  <si>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</si>
  <si>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</si>
  <si>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</si>
  <si>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</si>
  <si>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</si>
  <si>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</si>
  <si>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</si>
  <si>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</si>
  <si>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</si>
  <si>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</si>
  <si>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</si>
  <si>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</si>
  <si>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</si>
  <si>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</si>
  <si>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</si>
  <si>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</si>
  <si>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</si>
  <si>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</si>
  <si>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</si>
  <si>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</si>
  <si>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</si>
  <si>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</si>
  <si>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</si>
  <si>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</si>
  <si>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</si>
  <si>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</si>
  <si>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</si>
  <si>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</si>
  <si>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</si>
  <si>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</si>
  <si>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</si>
  <si>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</si>
  <si>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</si>
  <si>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</si>
  <si>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</si>
  <si>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>Fuel Oil  $/Liter</t>
  </si>
  <si>
    <t>Residences- Electricity KWh</t>
  </si>
  <si>
    <t>m3/RNs</t>
  </si>
  <si>
    <t xml:space="preserve">Total Fuel Oil  (Liter) </t>
  </si>
  <si>
    <t>ELECTRICITY Resort &amp; Sundara</t>
  </si>
  <si>
    <t>FEBRUARY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</si>
</sst>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48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70" fontId="6" fillId="3" borderId="0" xfId="0" applyNumberFormat="1" applyFont="1" applyFill="1" applyBorder="1" applyAlignment="1"/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8" fontId="8" fillId="0" borderId="44" xfId="2" applyNumberFormat="1" applyFont="1" applyBorder="1" applyAlignment="1">
      <alignment horizontal="center" vertical="center" wrapText="1"/>
    </xf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0" fillId="3" borderId="14" xfId="2" applyNumberFormat="1" applyFont="1" applyFill="1" applyBorder="1"/>
    <xf numFmtId="0" fontId="0" fillId="3" borderId="57" xfId="0" applyFill="1" applyBorder="1"/>
    <xf numFmtId="0" fontId="0" fillId="3" borderId="15" xfId="0" applyFill="1" applyBorder="1"/>
    <xf numFmtId="0" fontId="0" fillId="3" borderId="58" xfId="0" applyFill="1" applyBorder="1"/>
    <xf numFmtId="0" fontId="0" fillId="3" borderId="59" xfId="0" applyFill="1" applyBorder="1"/>
    <xf numFmtId="168" fontId="0" fillId="3" borderId="48" xfId="2" applyNumberFormat="1" applyFont="1" applyFill="1" applyBorder="1"/>
    <xf numFmtId="0" fontId="0" fillId="0" borderId="60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8" fontId="0" fillId="0" borderId="21" xfId="0" applyNumberFormat="1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1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0" fontId="0" fillId="3" borderId="52" xfId="0" applyFill="1" applyBorder="1" applyAlignment="1">
      <alignment wrapText="1"/>
    </xf>
    <xf numFmtId="167" fontId="0" fillId="0" borderId="0" xfId="0" applyNumberFormat="1" applyBorder="1"/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43" fontId="5" fillId="0" borderId="0" xfId="2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1" fillId="0" borderId="1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1" fillId="0" borderId="10" xfId="2" applyNumberFormat="1" applyFont="1" applyBorder="1"/>
    <xf numFmtId="43" fontId="0" fillId="3" borderId="49" xfId="0" applyNumberFormat="1" applyFill="1" applyBorder="1"/>
    <xf numFmtId="0" fontId="0" fillId="3" borderId="57" xfId="0" applyFill="1" applyBorder="1" applyAlignment="1">
      <alignment wrapText="1"/>
    </xf>
    <xf numFmtId="0" fontId="7" fillId="3" borderId="57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43" fontId="0" fillId="3" borderId="64" xfId="2" applyFont="1" applyFill="1" applyBorder="1"/>
    <xf numFmtId="43" fontId="0" fillId="3" borderId="46" xfId="2" applyFont="1" applyFill="1" applyBorder="1"/>
    <xf numFmtId="43" fontId="0" fillId="3" borderId="45" xfId="2" applyFont="1" applyFill="1" applyBorder="1"/>
    <xf numFmtId="43" fontId="17" fillId="0" borderId="0" xfId="0" applyNumberFormat="1" applyFont="1"/>
    <xf numFmtId="43" fontId="0" fillId="0" borderId="0" xfId="0" applyNumberFormat="1" applyBorder="1"/>
    <xf numFmtId="43" fontId="0" fillId="0" borderId="0" xfId="2" applyNumberFormat="1" applyFont="1" applyBorder="1"/>
    <xf numFmtId="43" fontId="0" fillId="0" borderId="0" xfId="2" applyNumberFormat="1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9" fontId="17" fillId="0" borderId="0" xfId="5" applyFont="1"/>
    <xf numFmtId="43" fontId="0" fillId="3" borderId="0" xfId="2" applyNumberFormat="1" applyFont="1" applyFill="1" applyBorder="1"/>
    <xf numFmtId="0" fontId="0" fillId="0" borderId="65" xfId="0" applyBorder="1" applyAlignment="1">
      <alignment horizontal="center" vertical="center" wrapText="1"/>
    </xf>
    <xf numFmtId="169" fontId="20" fillId="0" borderId="8" xfId="0" applyNumberFormat="1" applyFont="1" applyBorder="1"/>
    <xf numFmtId="37" fontId="20" fillId="0" borderId="8" xfId="0" applyNumberFormat="1" applyFont="1" applyBorder="1"/>
    <xf numFmtId="0" fontId="0" fillId="0" borderId="29" xfId="0" applyFont="1" applyBorder="1" applyAlignment="1">
      <alignment horizontal="center" vertical="center" wrapText="1"/>
    </xf>
    <xf numFmtId="1" fontId="0" fillId="0" borderId="9" xfId="2" applyNumberFormat="1" applyFont="1" applyBorder="1"/>
    <xf numFmtId="1" fontId="0" fillId="0" borderId="8" xfId="2" applyNumberFormat="1" applyFont="1" applyBorder="1"/>
    <xf numFmtId="1" fontId="0" fillId="0" borderId="45" xfId="2" applyNumberFormat="1" applyFont="1" applyBorder="1"/>
    <xf numFmtId="1" fontId="2" fillId="0" borderId="45" xfId="2" applyNumberFormat="1" applyFont="1" applyBorder="1"/>
    <xf numFmtId="1" fontId="0" fillId="0" borderId="10" xfId="2" applyNumberFormat="1" applyFont="1" applyBorder="1"/>
    <xf numFmtId="1" fontId="0" fillId="0" borderId="21" xfId="0" applyNumberFormat="1" applyBorder="1"/>
    <xf numFmtId="1" fontId="2" fillId="0" borderId="8" xfId="2" applyNumberFormat="1" applyFont="1" applyBorder="1"/>
    <xf numFmtId="1" fontId="0" fillId="3" borderId="14" xfId="2" applyNumberFormat="1" applyFont="1" applyFill="1" applyBorder="1"/>
    <xf numFmtId="1" fontId="0" fillId="3" borderId="0" xfId="2" applyNumberFormat="1" applyFont="1" applyFill="1" applyBorder="1"/>
    <xf numFmtId="1" fontId="0" fillId="3" borderId="0" xfId="0" applyNumberFormat="1" applyFill="1" applyBorder="1"/>
    <xf numFmtId="1" fontId="8" fillId="3" borderId="0" xfId="2" applyNumberFormat="1" applyFont="1" applyFill="1" applyBorder="1"/>
    <xf numFmtId="1" fontId="1" fillId="0" borderId="39" xfId="0" applyNumberFormat="1" applyFont="1" applyBorder="1"/>
    <xf numFmtId="1" fontId="9" fillId="6" borderId="23" xfId="2" applyNumberFormat="1" applyFont="1" applyFill="1" applyBorder="1"/>
    <xf numFmtId="1" fontId="1" fillId="6" borderId="23" xfId="2" applyNumberFormat="1" applyFont="1" applyFill="1" applyBorder="1"/>
    <xf numFmtId="1" fontId="1" fillId="0" borderId="23" xfId="2" applyNumberFormat="1" applyFont="1" applyBorder="1"/>
    <xf numFmtId="1" fontId="9" fillId="6" borderId="23" xfId="0" applyNumberFormat="1" applyFont="1" applyFill="1" applyBorder="1"/>
    <xf numFmtId="1" fontId="9" fillId="12" borderId="7" xfId="1" applyNumberFormat="1" applyFont="1" applyFill="1" applyBorder="1"/>
    <xf numFmtId="1" fontId="1" fillId="5" borderId="6" xfId="0" applyNumberFormat="1" applyFont="1" applyFill="1" applyBorder="1"/>
    <xf numFmtId="1" fontId="1" fillId="3" borderId="6" xfId="0" applyNumberFormat="1" applyFont="1" applyFill="1" applyBorder="1"/>
    <xf numFmtId="1" fontId="1" fillId="12" borderId="6" xfId="0" applyNumberFormat="1" applyFont="1" applyFill="1" applyBorder="1"/>
    <xf numFmtId="43" fontId="14" fillId="3" borderId="8" xfId="2" applyNumberFormat="1" applyFont="1" applyFill="1" applyBorder="1" applyProtection="1">
      <protection locked="0"/>
    </xf>
    <xf numFmtId="1" fontId="4" fillId="0" borderId="0" xfId="0" applyNumberFormat="1" applyFont="1" applyAlignment="1">
      <alignment horizontal="center"/>
    </xf>
    <xf numFmtId="1" fontId="0" fillId="3" borderId="23" xfId="0" applyNumberFormat="1" applyFill="1" applyBorder="1"/>
    <xf numFmtId="1" fontId="0" fillId="3" borderId="23" xfId="2" applyNumberFormat="1" applyFont="1" applyFill="1" applyBorder="1"/>
    <xf numFmtId="1" fontId="13" fillId="3" borderId="23" xfId="0" applyNumberFormat="1" applyFont="1" applyFill="1" applyBorder="1"/>
    <xf numFmtId="1" fontId="1" fillId="12" borderId="31" xfId="2" applyNumberFormat="1" applyFont="1" applyFill="1" applyBorder="1"/>
    <xf numFmtId="1" fontId="1" fillId="12" borderId="33" xfId="2" applyNumberFormat="1" applyFont="1" applyFill="1" applyBorder="1"/>
    <xf numFmtId="1" fontId="0" fillId="13" borderId="6" xfId="2" applyNumberFormat="1" applyFont="1" applyFill="1" applyBorder="1"/>
    <xf numFmtId="1" fontId="1" fillId="12" borderId="6" xfId="2" applyNumberFormat="1" applyFont="1" applyFill="1" applyBorder="1"/>
    <xf numFmtId="1" fontId="1" fillId="12" borderId="7" xfId="0" applyNumberFormat="1" applyFont="1" applyFill="1" applyBorder="1"/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171" fontId="1" fillId="4" borderId="1" xfId="2" applyNumberFormat="1" applyFont="1" applyFill="1" applyBorder="1" applyAlignment="1">
      <alignment horizontal="center" vertical="center"/>
    </xf>
    <xf numFmtId="171" fontId="1" fillId="4" borderId="40" xfId="2" applyNumberFormat="1" applyFont="1" applyFill="1" applyBorder="1" applyAlignment="1">
      <alignment horizontal="center" vertical="center"/>
    </xf>
    <xf numFmtId="171" fontId="1" fillId="4" borderId="2" xfId="2" applyNumberFormat="1" applyFont="1" applyFill="1" applyBorder="1" applyAlignment="1">
      <alignment horizontal="center" vertical="center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17" fontId="6" fillId="3" borderId="56" xfId="0" applyNumberFormat="1" applyFont="1" applyFill="1" applyBorder="1" applyAlignment="1">
      <alignment horizontal="center"/>
    </xf>
    <xf numFmtId="0" fontId="6" fillId="3" borderId="56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Y30"/>
  <sheetViews>
    <sheetView tabSelected="1" workbookViewId="0">
      <selection activeCell="O19" sqref="O19"/>
    </sheetView>
  </sheetViews>
  <sheetFormatPr defaultColWidth="11.5703125" defaultRowHeight="15" x14ac:dyDescent="0.25"/>
  <cols>
    <col min="1" max="1" width="18.42578125" style="127" customWidth="1"/>
    <col min="2" max="2" width="11.5703125" style="128"/>
    <col min="3" max="3" width="11.5703125" style="129"/>
    <col min="4" max="4" width="13.42578125" style="128" customWidth="1"/>
    <col min="5" max="5" width="12.5703125" style="126" customWidth="1"/>
    <col min="6" max="6" width="12.5703125" style="130" customWidth="1"/>
    <col min="7" max="7" width="11.5703125" style="126"/>
    <col min="8" max="8" width="11.5703125" style="130"/>
    <col min="9" max="9" width="11.5703125" style="131"/>
    <col min="10" max="10" width="11.5703125" style="132"/>
    <col min="11" max="11" width="11.5703125" style="126"/>
    <col min="12" max="12" width="11.5703125" style="132"/>
    <col min="13" max="25" width="11.5703125" style="126"/>
  </cols>
  <sheetData>
    <row r="1" spans="1:15" s="120" customFormat="1" ht="60" x14ac:dyDescent="0.25">
      <c r="A1" s="116" t="s">
        <v>36</v>
      </c>
      <c r="B1" s="116" t="s">
        <v>37</v>
      </c>
      <c r="C1" s="117" t="s">
        <v>38</v>
      </c>
      <c r="D1" s="116" t="s">
        <v>39</v>
      </c>
      <c r="E1" s="115" t="s">
        <v>40</v>
      </c>
      <c r="F1" s="118" t="s">
        <v>41</v>
      </c>
      <c r="G1" s="115" t="s">
        <v>46</v>
      </c>
      <c r="H1" s="118" t="s">
        <v>47</v>
      </c>
      <c r="I1" s="134" t="s">
        <v>52</v>
      </c>
      <c r="J1" s="118" t="s">
        <v>49</v>
      </c>
      <c r="K1" s="115" t="s">
        <v>42</v>
      </c>
      <c r="L1" s="119" t="s">
        <v>43</v>
      </c>
      <c r="M1" s="115" t="s">
        <v>44</v>
      </c>
      <c r="N1" s="115" t="s">
        <v>3</v>
      </c>
    </row>
    <row r="2" spans="1:15" x14ac:dyDescent="0.25">
      <c r="A2" s="121" t="s">
        <v>48</v>
      </c>
      <c r="B2" s="122">
        <v>1</v>
      </c>
      <c r="C2" s="123">
        <v>2</v>
      </c>
      <c r="D2" s="122">
        <v>2022</v>
      </c>
      <c r="E2" s="124">
        <f>'FS Jimbaran February 2022'!P12</f>
        <v>15019.999999999953</v>
      </c>
      <c r="F2" s="133">
        <f>'FS Jimbaran February 2022'!O12/'FS Jimbaran February 2022'!P12</f>
        <v>1175.1827476697756</v>
      </c>
      <c r="G2" s="124">
        <f>'FS Jimbaran February 2022'!AG12</f>
        <v>113.94868000000022</v>
      </c>
      <c r="H2" s="133">
        <f>'FS Jimbaran February 2022'!AH12/'FS Jimbaran February 2022'!AG12</f>
        <v>29523.333333333336</v>
      </c>
      <c r="I2" s="124">
        <f>'FS Jimbaran February 2022'!AJ12</f>
        <v>159.72999999999593</v>
      </c>
      <c r="J2" s="125">
        <f>'FS Jimbaran February 2022'!AK12/'FS Jimbaran February 2022'!AJ12</f>
        <v>12000</v>
      </c>
      <c r="K2" s="124">
        <f>'FS Jimbaran February 2022'!V12</f>
        <v>918</v>
      </c>
      <c r="L2" s="133">
        <f>'FS Jimbaran February 2022'!AA12/'FS Jimbaran February 2022'!V12</f>
        <v>7549.4237037037046</v>
      </c>
      <c r="M2" s="124">
        <f>'RNs &amp; Covers February 2022'!B6</f>
        <v>6</v>
      </c>
      <c r="N2" s="135">
        <f>'RNs &amp; Covers February 2022'!C6</f>
        <v>79</v>
      </c>
    </row>
    <row r="3" spans="1:15" x14ac:dyDescent="0.25">
      <c r="A3" s="121" t="s">
        <v>48</v>
      </c>
      <c r="B3" s="122">
        <f>B2+1</f>
        <v>2</v>
      </c>
      <c r="C3" s="123">
        <v>2</v>
      </c>
      <c r="D3" s="122">
        <v>2022</v>
      </c>
      <c r="E3" s="135">
        <f>'FS Jimbaran February 2022'!P13</f>
        <v>14380.000000000253</v>
      </c>
      <c r="F3" s="133">
        <f>'FS Jimbaran February 2022'!O13/'FS Jimbaran February 2022'!P13</f>
        <v>1182.863641168288</v>
      </c>
      <c r="G3" s="135">
        <f>'FS Jimbaran February 2022'!AG13</f>
        <v>88.088919999999931</v>
      </c>
      <c r="H3" s="133">
        <f>'FS Jimbaran February 2022'!AH13/'FS Jimbaran February 2022'!AG13</f>
        <v>29523.333333333336</v>
      </c>
      <c r="I3" s="135">
        <f>'FS Jimbaran February 2022'!AJ13</f>
        <v>158.55999999999767</v>
      </c>
      <c r="J3" s="125">
        <f>'FS Jimbaran February 2022'!AK13/'FS Jimbaran February 2022'!AJ13</f>
        <v>12000</v>
      </c>
      <c r="K3" s="135">
        <f>'FS Jimbaran February 2022'!V13</f>
        <v>967</v>
      </c>
      <c r="L3" s="133">
        <f>'FS Jimbaran February 2022'!AA13/'FS Jimbaran February 2022'!V13</f>
        <v>7353.6030403309214</v>
      </c>
      <c r="M3" s="135">
        <f>'RNs &amp; Covers February 2022'!B7</f>
        <v>4</v>
      </c>
      <c r="N3" s="135">
        <f>'RNs &amp; Covers February 2022'!C7</f>
        <v>48</v>
      </c>
    </row>
    <row r="4" spans="1:15" x14ac:dyDescent="0.25">
      <c r="A4" s="121" t="s">
        <v>48</v>
      </c>
      <c r="B4" s="122">
        <f t="shared" ref="B4:B29" si="0">B3+1</f>
        <v>3</v>
      </c>
      <c r="C4" s="123">
        <v>2</v>
      </c>
      <c r="D4" s="122">
        <v>2022</v>
      </c>
      <c r="E4" s="135">
        <f>'FS Jimbaran February 2022'!P14</f>
        <v>14199.999999999392</v>
      </c>
      <c r="F4" s="133">
        <f>'FS Jimbaran February 2022'!O14/'FS Jimbaran February 2022'!P14</f>
        <v>1177.1785584507061</v>
      </c>
      <c r="G4" s="135">
        <f>'FS Jimbaran February 2022'!AG14</f>
        <v>92.076639999999969</v>
      </c>
      <c r="H4" s="133">
        <f>'FS Jimbaran February 2022'!AH14/'FS Jimbaran February 2022'!AG14</f>
        <v>29523.333333333336</v>
      </c>
      <c r="I4" s="135">
        <f>'FS Jimbaran February 2022'!AJ14</f>
        <v>91.669999999998254</v>
      </c>
      <c r="J4" s="125">
        <f>'FS Jimbaran February 2022'!AK14/'FS Jimbaran February 2022'!AJ14</f>
        <v>12000</v>
      </c>
      <c r="K4" s="135">
        <f>'FS Jimbaran February 2022'!V14</f>
        <v>907</v>
      </c>
      <c r="L4" s="133">
        <f>'FS Jimbaran February 2022'!AA14/'FS Jimbaran February 2022'!V14</f>
        <v>7589.497221609703</v>
      </c>
      <c r="M4" s="135">
        <f>'RNs &amp; Covers February 2022'!B8</f>
        <v>4</v>
      </c>
      <c r="N4" s="135">
        <f>'RNs &amp; Covers February 2022'!C8</f>
        <v>43</v>
      </c>
    </row>
    <row r="5" spans="1:15" x14ac:dyDescent="0.25">
      <c r="A5" s="121" t="s">
        <v>48</v>
      </c>
      <c r="B5" s="122">
        <f t="shared" si="0"/>
        <v>4</v>
      </c>
      <c r="C5" s="123">
        <v>2</v>
      </c>
      <c r="D5" s="122">
        <v>2022</v>
      </c>
      <c r="E5" s="135">
        <f>'FS Jimbaran February 2022'!P15</f>
        <v>13959.99999999998</v>
      </c>
      <c r="F5" s="133">
        <f>'FS Jimbaran February 2022'!O15/'FS Jimbaran February 2022'!P15</f>
        <v>1185.7306719197725</v>
      </c>
      <c r="G5" s="135">
        <f>'FS Jimbaran February 2022'!AG15</f>
        <v>75.605559999999926</v>
      </c>
      <c r="H5" s="133">
        <f>'FS Jimbaran February 2022'!AH15/'FS Jimbaran February 2022'!AG15</f>
        <v>29523.333333333339</v>
      </c>
      <c r="I5" s="135">
        <f>'FS Jimbaran February 2022'!AJ15</f>
        <v>291</v>
      </c>
      <c r="J5" s="125">
        <f>'FS Jimbaran February 2022'!AK15/'FS Jimbaran February 2022'!AJ15</f>
        <v>12000</v>
      </c>
      <c r="K5" s="135">
        <f>'FS Jimbaran February 2022'!V15</f>
        <v>951</v>
      </c>
      <c r="L5" s="133">
        <f>'FS Jimbaran February 2022'!AA15/'FS Jimbaran February 2022'!V15</f>
        <v>7449.1979179810733</v>
      </c>
      <c r="M5" s="135">
        <f>'RNs &amp; Covers February 2022'!B9</f>
        <v>5</v>
      </c>
      <c r="N5" s="135">
        <f>'RNs &amp; Covers February 2022'!C9</f>
        <v>52</v>
      </c>
    </row>
    <row r="6" spans="1:15" x14ac:dyDescent="0.25">
      <c r="A6" s="121" t="s">
        <v>48</v>
      </c>
      <c r="B6" s="122">
        <f t="shared" si="0"/>
        <v>5</v>
      </c>
      <c r="C6" s="123">
        <v>2</v>
      </c>
      <c r="D6" s="122">
        <v>2022</v>
      </c>
      <c r="E6" s="135">
        <f>'FS Jimbaran February 2022'!P16</f>
        <v>14320.00000000056</v>
      </c>
      <c r="F6" s="133">
        <f>'FS Jimbaran February 2022'!O16/'FS Jimbaran February 2022'!P16</f>
        <v>1180.9844937150795</v>
      </c>
      <c r="G6" s="135">
        <f>'FS Jimbaran February 2022'!AG16</f>
        <v>76.209760000000287</v>
      </c>
      <c r="H6" s="133">
        <f>'FS Jimbaran February 2022'!AH16/'FS Jimbaran February 2022'!AG16</f>
        <v>29523.333333333336</v>
      </c>
      <c r="I6" s="135">
        <f>'FS Jimbaran February 2022'!AJ16</f>
        <v>92.970000000001164</v>
      </c>
      <c r="J6" s="125">
        <f>'FS Jimbaran February 2022'!AK16/'FS Jimbaran February 2022'!AJ16</f>
        <v>12000</v>
      </c>
      <c r="K6" s="135">
        <f>'FS Jimbaran February 2022'!V16</f>
        <v>1002</v>
      </c>
      <c r="L6" s="133">
        <f>'FS Jimbaran February 2022'!AA16/'FS Jimbaran February 2022'!V16</f>
        <v>7286.1191616766473</v>
      </c>
      <c r="M6" s="135">
        <f>'RNs &amp; Covers February 2022'!B10</f>
        <v>9</v>
      </c>
      <c r="N6" s="135">
        <f>'RNs &amp; Covers February 2022'!C10</f>
        <v>75</v>
      </c>
    </row>
    <row r="7" spans="1:15" x14ac:dyDescent="0.25">
      <c r="A7" s="121" t="s">
        <v>48</v>
      </c>
      <c r="B7" s="122">
        <f t="shared" si="0"/>
        <v>6</v>
      </c>
      <c r="C7" s="123">
        <v>2</v>
      </c>
      <c r="D7" s="122">
        <v>2022</v>
      </c>
      <c r="E7" s="135">
        <f>'FS Jimbaran February 2022'!P17</f>
        <v>14179.999999999438</v>
      </c>
      <c r="F7" s="133">
        <f>'FS Jimbaran February 2022'!O17/'FS Jimbaran February 2022'!P17</f>
        <v>1178.0719210155169</v>
      </c>
      <c r="G7" s="135">
        <f>'FS Jimbaran February 2022'!AG17</f>
        <v>80.318319999999758</v>
      </c>
      <c r="H7" s="133">
        <f>'FS Jimbaran February 2022'!AH17/'FS Jimbaran February 2022'!AG17</f>
        <v>29523.333333333336</v>
      </c>
      <c r="I7" s="135">
        <f>'FS Jimbaran February 2022'!AJ17</f>
        <v>86.990000000005239</v>
      </c>
      <c r="J7" s="125">
        <f>'FS Jimbaran February 2022'!AK17/'FS Jimbaran February 2022'!AJ17</f>
        <v>12000</v>
      </c>
      <c r="K7" s="135">
        <f>'FS Jimbaran February 2022'!V17</f>
        <v>931</v>
      </c>
      <c r="L7" s="133">
        <f>'FS Jimbaran February 2022'!AA17/'FS Jimbaran February 2022'!V17</f>
        <v>7459.0572932330824</v>
      </c>
      <c r="M7" s="135">
        <f>'RNs &amp; Covers February 2022'!B11</f>
        <v>7</v>
      </c>
      <c r="N7" s="135">
        <f>'RNs &amp; Covers February 2022'!C11</f>
        <v>76</v>
      </c>
    </row>
    <row r="8" spans="1:15" x14ac:dyDescent="0.25">
      <c r="A8" s="121" t="s">
        <v>48</v>
      </c>
      <c r="B8" s="122">
        <f t="shared" si="0"/>
        <v>7</v>
      </c>
      <c r="C8" s="123">
        <v>2</v>
      </c>
      <c r="D8" s="122">
        <v>2022</v>
      </c>
      <c r="E8" s="135">
        <f>'FS Jimbaran February 2022'!P18</f>
        <v>14260.000000000387</v>
      </c>
      <c r="F8" s="133">
        <f>'FS Jimbaran February 2022'!O18/'FS Jimbaran February 2022'!P18</f>
        <v>1182.902888499294</v>
      </c>
      <c r="G8" s="135">
        <f>'FS Jimbaran February 2022'!AG18</f>
        <v>107.50044000000007</v>
      </c>
      <c r="H8" s="133">
        <f>'FS Jimbaran February 2022'!AH18/'FS Jimbaran February 2022'!AG18</f>
        <v>29523.333333333336</v>
      </c>
      <c r="I8" s="135">
        <f>'FS Jimbaran February 2022'!AJ18</f>
        <v>293.36000000000058</v>
      </c>
      <c r="J8" s="125">
        <f>'FS Jimbaran February 2022'!AK18/'FS Jimbaran February 2022'!AJ18</f>
        <v>12000</v>
      </c>
      <c r="K8" s="135">
        <f>'FS Jimbaran February 2022'!V18</f>
        <v>940</v>
      </c>
      <c r="L8" s="133">
        <f>'FS Jimbaran February 2022'!AA18/'FS Jimbaran February 2022'!V18</f>
        <v>7413.6847234042561</v>
      </c>
      <c r="M8" s="135">
        <f>'RNs &amp; Covers February 2022'!B12</f>
        <v>5</v>
      </c>
      <c r="N8" s="135">
        <f>'RNs &amp; Covers February 2022'!C12</f>
        <v>33</v>
      </c>
    </row>
    <row r="9" spans="1:15" x14ac:dyDescent="0.25">
      <c r="A9" s="121" t="s">
        <v>48</v>
      </c>
      <c r="B9" s="122">
        <f t="shared" si="0"/>
        <v>8</v>
      </c>
      <c r="C9" s="123">
        <v>2</v>
      </c>
      <c r="D9" s="122">
        <v>2022</v>
      </c>
      <c r="E9" s="135">
        <f>'FS Jimbaran February 2022'!P19</f>
        <v>13899.999999999949</v>
      </c>
      <c r="F9" s="133">
        <f>'FS Jimbaran February 2022'!O19/'FS Jimbaran February 2022'!P19</f>
        <v>1184.5895438848963</v>
      </c>
      <c r="G9" s="135">
        <f>'FS Jimbaran February 2022'!AG19</f>
        <v>97.759559999999922</v>
      </c>
      <c r="H9" s="133">
        <f>'FS Jimbaran February 2022'!AH19/'FS Jimbaran February 2022'!AG19</f>
        <v>29523.333333333336</v>
      </c>
      <c r="I9" s="135">
        <f>'FS Jimbaran February 2022'!AJ19</f>
        <v>106.80000000000291</v>
      </c>
      <c r="J9" s="125">
        <f>'FS Jimbaran February 2022'!AK19/'FS Jimbaran February 2022'!AJ19</f>
        <v>12000</v>
      </c>
      <c r="K9" s="135">
        <f>'FS Jimbaran February 2022'!V19</f>
        <v>943</v>
      </c>
      <c r="L9" s="133">
        <f>'FS Jimbaran February 2022'!AA19/'FS Jimbaran February 2022'!V19</f>
        <v>7418.1595970307526</v>
      </c>
      <c r="M9" s="135">
        <f>'RNs &amp; Covers February 2022'!B13</f>
        <v>4</v>
      </c>
      <c r="N9" s="135">
        <f>'RNs &amp; Covers February 2022'!C13</f>
        <v>45</v>
      </c>
      <c r="O9" s="126" t="s">
        <v>45</v>
      </c>
    </row>
    <row r="10" spans="1:15" x14ac:dyDescent="0.25">
      <c r="A10" s="121" t="s">
        <v>48</v>
      </c>
      <c r="B10" s="122">
        <f t="shared" si="0"/>
        <v>9</v>
      </c>
      <c r="C10" s="123">
        <v>2</v>
      </c>
      <c r="D10" s="122">
        <v>2022</v>
      </c>
      <c r="E10" s="135">
        <f>'FS Jimbaran February 2022'!P20</f>
        <v>13779.999999999687</v>
      </c>
      <c r="F10" s="133">
        <f>'FS Jimbaran February 2022'!O20/'FS Jimbaran February 2022'!P20</f>
        <v>1176.7528149492057</v>
      </c>
      <c r="G10" s="135">
        <f>'FS Jimbaran February 2022'!AG20</f>
        <v>80.63711999999984</v>
      </c>
      <c r="H10" s="133">
        <f>'FS Jimbaran February 2022'!AH20/'FS Jimbaran February 2022'!AG20</f>
        <v>29523.333333333336</v>
      </c>
      <c r="I10" s="135">
        <f>'FS Jimbaran February 2022'!AJ20</f>
        <v>100.69999999999709</v>
      </c>
      <c r="J10" s="125">
        <f>'FS Jimbaran February 2022'!AK20/'FS Jimbaran February 2022'!AJ20</f>
        <v>12000</v>
      </c>
      <c r="K10" s="135">
        <f>'FS Jimbaran February 2022'!V20</f>
        <v>954</v>
      </c>
      <c r="L10" s="133">
        <f>'FS Jimbaran February 2022'!AA20/'FS Jimbaran February 2022'!V20</f>
        <v>7381.5738784067089</v>
      </c>
      <c r="M10" s="135">
        <f>'RNs &amp; Covers February 2022'!B14</f>
        <v>3</v>
      </c>
      <c r="N10" s="135">
        <f>'RNs &amp; Covers February 2022'!C14</f>
        <v>36</v>
      </c>
    </row>
    <row r="11" spans="1:15" x14ac:dyDescent="0.25">
      <c r="A11" s="121" t="s">
        <v>48</v>
      </c>
      <c r="B11" s="122">
        <f t="shared" si="0"/>
        <v>10</v>
      </c>
      <c r="C11" s="123">
        <v>2</v>
      </c>
      <c r="D11" s="122">
        <v>2022</v>
      </c>
      <c r="E11" s="135">
        <f>'FS Jimbaran February 2022'!P21</f>
        <v>13220.000000000056</v>
      </c>
      <c r="F11" s="133">
        <f>'FS Jimbaran February 2022'!O21/'FS Jimbaran February 2022'!P21</f>
        <v>1178.0626384266195</v>
      </c>
      <c r="G11" s="135">
        <f>'FS Jimbaran February 2022'!AG21</f>
        <v>81.40244000000007</v>
      </c>
      <c r="H11" s="133">
        <f>'FS Jimbaran February 2022'!AH21/'FS Jimbaran February 2022'!AG21</f>
        <v>29523.333333333336</v>
      </c>
      <c r="I11" s="135">
        <f>'FS Jimbaran February 2022'!AJ21</f>
        <v>253.83000000000175</v>
      </c>
      <c r="J11" s="125">
        <f>'FS Jimbaran February 2022'!AK21/'FS Jimbaran February 2022'!AJ21</f>
        <v>12000</v>
      </c>
      <c r="K11" s="135">
        <f>'FS Jimbaran February 2022'!V21</f>
        <v>925</v>
      </c>
      <c r="L11" s="133">
        <f>'FS Jimbaran February 2022'!AA21/'FS Jimbaran February 2022'!V21</f>
        <v>6604.4512216216226</v>
      </c>
      <c r="M11" s="135">
        <f>'RNs &amp; Covers February 2022'!B15</f>
        <v>3</v>
      </c>
      <c r="N11" s="135">
        <f>'RNs &amp; Covers February 2022'!C15</f>
        <v>28</v>
      </c>
    </row>
    <row r="12" spans="1:15" x14ac:dyDescent="0.25">
      <c r="A12" s="121" t="s">
        <v>48</v>
      </c>
      <c r="B12" s="122">
        <f t="shared" si="0"/>
        <v>11</v>
      </c>
      <c r="C12" s="123">
        <v>2</v>
      </c>
      <c r="D12" s="122">
        <v>2022</v>
      </c>
      <c r="E12" s="135">
        <f>'FS Jimbaran February 2022'!P22</f>
        <v>12720.000000000739</v>
      </c>
      <c r="F12" s="133">
        <f>'FS Jimbaran February 2022'!O22/'FS Jimbaran February 2022'!P22</f>
        <v>1179.9097641509427</v>
      </c>
      <c r="G12" s="135">
        <f>'FS Jimbaran February 2022'!AG22</f>
        <v>88.290320000000207</v>
      </c>
      <c r="H12" s="133">
        <f>'FS Jimbaran February 2022'!AH22/'FS Jimbaran February 2022'!AG22</f>
        <v>29523.333333333336</v>
      </c>
      <c r="I12" s="135">
        <f>'FS Jimbaran February 2022'!AJ22</f>
        <v>267.39999999999418</v>
      </c>
      <c r="J12" s="125">
        <f>'FS Jimbaran February 2022'!AK22/'FS Jimbaran February 2022'!AJ22</f>
        <v>12000</v>
      </c>
      <c r="K12" s="135">
        <f>'FS Jimbaran February 2022'!V22</f>
        <v>923</v>
      </c>
      <c r="L12" s="133">
        <f>'FS Jimbaran February 2022'!AA22/'FS Jimbaran February 2022'!V22</f>
        <v>7516.6538894907908</v>
      </c>
      <c r="M12" s="135">
        <f>'RNs &amp; Covers February 2022'!B16</f>
        <v>6</v>
      </c>
      <c r="N12" s="135">
        <f>'RNs &amp; Covers February 2022'!C16</f>
        <v>42</v>
      </c>
    </row>
    <row r="13" spans="1:15" x14ac:dyDescent="0.25">
      <c r="A13" s="121" t="s">
        <v>48</v>
      </c>
      <c r="B13" s="122">
        <f t="shared" si="0"/>
        <v>12</v>
      </c>
      <c r="C13" s="123">
        <v>2</v>
      </c>
      <c r="D13" s="122">
        <v>2022</v>
      </c>
      <c r="E13" s="135">
        <f>'FS Jimbaran February 2022'!P23</f>
        <v>12779.999999999434</v>
      </c>
      <c r="F13" s="133">
        <f>'FS Jimbaran February 2022'!O23/'FS Jimbaran February 2022'!P23</f>
        <v>1180.3272323943645</v>
      </c>
      <c r="G13" s="135">
        <f>'FS Jimbaran February 2022'!AG23</f>
        <v>87.763239999999698</v>
      </c>
      <c r="H13" s="133">
        <f>'FS Jimbaran February 2022'!AH23/'FS Jimbaran February 2022'!AG23</f>
        <v>29523.333333333336</v>
      </c>
      <c r="I13" s="135">
        <f>'FS Jimbaran February 2022'!AJ23</f>
        <v>62.399999999994179</v>
      </c>
      <c r="J13" s="125">
        <f>'FS Jimbaran February 2022'!AK23/'FS Jimbaran February 2022'!AJ23</f>
        <v>12000</v>
      </c>
      <c r="K13" s="135">
        <f>'FS Jimbaran February 2022'!V23</f>
        <v>934</v>
      </c>
      <c r="L13" s="133">
        <f>'FS Jimbaran February 2022'!AA23/'FS Jimbaran February 2022'!V23</f>
        <v>7448.7343468950758</v>
      </c>
      <c r="M13" s="135">
        <f>'RNs &amp; Covers February 2022'!B17</f>
        <v>8</v>
      </c>
      <c r="N13" s="135">
        <f>'RNs &amp; Covers February 2022'!C17</f>
        <v>54</v>
      </c>
    </row>
    <row r="14" spans="1:15" x14ac:dyDescent="0.25">
      <c r="A14" s="121" t="s">
        <v>48</v>
      </c>
      <c r="B14" s="122">
        <f t="shared" si="0"/>
        <v>13</v>
      </c>
      <c r="C14" s="123">
        <v>2</v>
      </c>
      <c r="D14" s="122">
        <v>2022</v>
      </c>
      <c r="E14" s="135">
        <f>'FS Jimbaran February 2022'!P24</f>
        <v>12960.000000000406</v>
      </c>
      <c r="F14" s="133">
        <f>'FS Jimbaran February 2022'!O24/'FS Jimbaran February 2022'!P24</f>
        <v>1174.8430555555606</v>
      </c>
      <c r="G14" s="135">
        <f>'FS Jimbaran February 2022'!AG24</f>
        <v>83.218480000000326</v>
      </c>
      <c r="H14" s="133">
        <f>'FS Jimbaran February 2022'!AH24/'FS Jimbaran February 2022'!AG24</f>
        <v>29523.333333333332</v>
      </c>
      <c r="I14" s="135">
        <f>'FS Jimbaran February 2022'!AJ24</f>
        <v>102.27000000000407</v>
      </c>
      <c r="J14" s="125">
        <f>'FS Jimbaran February 2022'!AK24/'FS Jimbaran February 2022'!AJ24</f>
        <v>12000</v>
      </c>
      <c r="K14" s="135">
        <f>'FS Jimbaran February 2022'!V24</f>
        <v>914</v>
      </c>
      <c r="L14" s="133">
        <f>'FS Jimbaran February 2022'!AA24/'FS Jimbaran February 2022'!V24</f>
        <v>7023.2808752735236</v>
      </c>
      <c r="M14" s="135">
        <f>'RNs &amp; Covers February 2022'!B18</f>
        <v>3</v>
      </c>
      <c r="N14" s="135">
        <f>'RNs &amp; Covers February 2022'!C18</f>
        <v>53</v>
      </c>
    </row>
    <row r="15" spans="1:15" x14ac:dyDescent="0.25">
      <c r="A15" s="121" t="s">
        <v>48</v>
      </c>
      <c r="B15" s="122">
        <f t="shared" si="0"/>
        <v>14</v>
      </c>
      <c r="C15" s="123">
        <v>2</v>
      </c>
      <c r="D15" s="122">
        <v>2022</v>
      </c>
      <c r="E15" s="135">
        <f>'FS Jimbaran February 2022'!P25</f>
        <v>13079.999999999331</v>
      </c>
      <c r="F15" s="133">
        <f>'FS Jimbaran February 2022'!O25/'FS Jimbaran February 2022'!P25</f>
        <v>1180.694174311926</v>
      </c>
      <c r="G15" s="135">
        <f>'FS Jimbaran February 2022'!AG25</f>
        <v>77.055639999999514</v>
      </c>
      <c r="H15" s="133">
        <f>'FS Jimbaran February 2022'!AH25/'FS Jimbaran February 2022'!AG25</f>
        <v>29523.333333333339</v>
      </c>
      <c r="I15" s="135">
        <f>'FS Jimbaran February 2022'!AJ25</f>
        <v>234.30999999999767</v>
      </c>
      <c r="J15" s="125">
        <f>'FS Jimbaran February 2022'!AK25/'FS Jimbaran February 2022'!AJ25</f>
        <v>12000</v>
      </c>
      <c r="K15" s="135">
        <f>'FS Jimbaran February 2022'!V25</f>
        <v>947</v>
      </c>
      <c r="L15" s="133">
        <f>'FS Jimbaran February 2022'!AA25/'FS Jimbaran February 2022'!V25</f>
        <v>7288.8095670538542</v>
      </c>
      <c r="M15" s="135">
        <f>'RNs &amp; Covers February 2022'!B19</f>
        <v>4</v>
      </c>
      <c r="N15" s="135">
        <f>'RNs &amp; Covers February 2022'!C19</f>
        <v>59</v>
      </c>
    </row>
    <row r="16" spans="1:15" x14ac:dyDescent="0.25">
      <c r="A16" s="121" t="s">
        <v>48</v>
      </c>
      <c r="B16" s="122">
        <f t="shared" si="0"/>
        <v>15</v>
      </c>
      <c r="C16" s="123">
        <v>2</v>
      </c>
      <c r="D16" s="122">
        <v>2022</v>
      </c>
      <c r="E16" s="135">
        <f>'FS Jimbaran February 2022'!P26</f>
        <v>13420.000000000244</v>
      </c>
      <c r="F16" s="133">
        <f>'FS Jimbaran February 2022'!O26/'FS Jimbaran February 2022'!P26</f>
        <v>1175.9035909090942</v>
      </c>
      <c r="G16" s="135">
        <f>'FS Jimbaran February 2022'!AG26</f>
        <v>121.4741600000001</v>
      </c>
      <c r="H16" s="133">
        <f>'FS Jimbaran February 2022'!AH26/'FS Jimbaran February 2022'!AG26</f>
        <v>29523.333333333336</v>
      </c>
      <c r="I16" s="135">
        <f>'FS Jimbaran February 2022'!AJ26</f>
        <v>157.29000000000815</v>
      </c>
      <c r="J16" s="125">
        <f>'FS Jimbaran February 2022'!AK26/'FS Jimbaran February 2022'!AJ26</f>
        <v>12000</v>
      </c>
      <c r="K16" s="135">
        <f>'FS Jimbaran February 2022'!V26</f>
        <v>978</v>
      </c>
      <c r="L16" s="133">
        <f>'FS Jimbaran February 2022'!AA26/'FS Jimbaran February 2022'!V26</f>
        <v>7192.334601226994</v>
      </c>
      <c r="M16" s="135">
        <f>'RNs &amp; Covers February 2022'!B20</f>
        <v>5</v>
      </c>
      <c r="N16" s="135">
        <f>'RNs &amp; Covers February 2022'!C20</f>
        <v>36</v>
      </c>
    </row>
    <row r="17" spans="1:14" x14ac:dyDescent="0.25">
      <c r="A17" s="121" t="s">
        <v>48</v>
      </c>
      <c r="B17" s="122">
        <f t="shared" si="0"/>
        <v>16</v>
      </c>
      <c r="C17" s="123">
        <v>2</v>
      </c>
      <c r="D17" s="122">
        <v>2022</v>
      </c>
      <c r="E17" s="135">
        <f>'FS Jimbaran February 2022'!P27</f>
        <v>13640.000000000044</v>
      </c>
      <c r="F17" s="133">
        <f>'FS Jimbaran February 2022'!O27/'FS Jimbaran February 2022'!P27</f>
        <v>1182.4522192082131</v>
      </c>
      <c r="G17" s="135">
        <f>'FS Jimbaran February 2022'!AG27</f>
        <v>96.628279999999961</v>
      </c>
      <c r="H17" s="133">
        <f>'FS Jimbaran February 2022'!AH27/'FS Jimbaran February 2022'!AG27</f>
        <v>29523.333333333336</v>
      </c>
      <c r="I17" s="135">
        <f>'FS Jimbaran February 2022'!AJ27</f>
        <v>290.70999999999185</v>
      </c>
      <c r="J17" s="125">
        <f>'FS Jimbaran February 2022'!AK27/'FS Jimbaran February 2022'!AJ27</f>
        <v>12000</v>
      </c>
      <c r="K17" s="135">
        <f>'FS Jimbaran February 2022'!V27</f>
        <v>975</v>
      </c>
      <c r="L17" s="133">
        <f>'FS Jimbaran February 2022'!AA27/'FS Jimbaran February 2022'!V27</f>
        <v>7497.0250461538462</v>
      </c>
      <c r="M17" s="135">
        <f>'RNs &amp; Covers February 2022'!B21</f>
        <v>3</v>
      </c>
      <c r="N17" s="135">
        <f>'RNs &amp; Covers February 2022'!C21</f>
        <v>48</v>
      </c>
    </row>
    <row r="18" spans="1:14" x14ac:dyDescent="0.25">
      <c r="A18" s="121" t="s">
        <v>48</v>
      </c>
      <c r="B18" s="122">
        <f t="shared" si="0"/>
        <v>17</v>
      </c>
      <c r="C18" s="123">
        <v>2</v>
      </c>
      <c r="D18" s="122">
        <v>2022</v>
      </c>
      <c r="E18" s="135">
        <f>'FS Jimbaran February 2022'!P28</f>
        <v>13779.999999999547</v>
      </c>
      <c r="F18" s="133">
        <f>'FS Jimbaran February 2022'!O28/'FS Jimbaran February 2022'!P28</f>
        <v>1176.7528149491966</v>
      </c>
      <c r="G18" s="135">
        <f>'FS Jimbaran February 2022'!AG28</f>
        <v>98.598559999999921</v>
      </c>
      <c r="H18" s="133">
        <f>'FS Jimbaran February 2022'!AH28/'FS Jimbaran February 2022'!AG28</f>
        <v>29523.333333333336</v>
      </c>
      <c r="I18" s="135">
        <f>'FS Jimbaran February 2022'!AJ28</f>
        <v>104.91999999999825</v>
      </c>
      <c r="J18" s="125">
        <f>'FS Jimbaran February 2022'!AK28/'FS Jimbaran February 2022'!AJ28</f>
        <v>12000</v>
      </c>
      <c r="K18" s="135">
        <f>'FS Jimbaran February 2022'!V28</f>
        <v>1000</v>
      </c>
      <c r="L18" s="133">
        <f>'FS Jimbaran February 2022'!AA28/'FS Jimbaran February 2022'!V28</f>
        <v>7333.3770000000004</v>
      </c>
      <c r="M18" s="135">
        <f>'RNs &amp; Covers February 2022'!B22</f>
        <v>2</v>
      </c>
      <c r="N18" s="135">
        <f>'RNs &amp; Covers February 2022'!C22</f>
        <v>24</v>
      </c>
    </row>
    <row r="19" spans="1:14" x14ac:dyDescent="0.25">
      <c r="A19" s="121" t="s">
        <v>48</v>
      </c>
      <c r="B19" s="122">
        <f t="shared" si="0"/>
        <v>18</v>
      </c>
      <c r="C19" s="123">
        <v>2</v>
      </c>
      <c r="D19" s="122">
        <v>2022</v>
      </c>
      <c r="E19" s="135">
        <f>'FS Jimbaran February 2022'!P29</f>
        <v>13860.000000000866</v>
      </c>
      <c r="F19" s="133">
        <f>'FS Jimbaran February 2022'!O29/'FS Jimbaran February 2022'!P29</f>
        <v>1179.376772727275</v>
      </c>
      <c r="G19" s="135">
        <f>'FS Jimbaran February 2022'!AG29</f>
        <v>94.006640000000431</v>
      </c>
      <c r="H19" s="133">
        <f>'FS Jimbaran February 2022'!AH29/'FS Jimbaran February 2022'!AG29</f>
        <v>29523.333333333339</v>
      </c>
      <c r="I19" s="135">
        <f>'FS Jimbaran February 2022'!AJ29</f>
        <v>301.99000000000524</v>
      </c>
      <c r="J19" s="125">
        <f>'FS Jimbaran February 2022'!AK29/'FS Jimbaran February 2022'!AJ29</f>
        <v>12000</v>
      </c>
      <c r="K19" s="135">
        <f>'FS Jimbaran February 2022'!V29</f>
        <v>987</v>
      </c>
      <c r="L19" s="133">
        <f>'FS Jimbaran February 2022'!AA29/'FS Jimbaran February 2022'!V29</f>
        <v>7234.9913475177318</v>
      </c>
      <c r="M19" s="135">
        <f>'RNs &amp; Covers February 2022'!B23</f>
        <v>5</v>
      </c>
      <c r="N19" s="135">
        <f>'RNs &amp; Covers February 2022'!C23</f>
        <v>59</v>
      </c>
    </row>
    <row r="20" spans="1:14" x14ac:dyDescent="0.25">
      <c r="A20" s="121" t="s">
        <v>48</v>
      </c>
      <c r="B20" s="122">
        <f t="shared" si="0"/>
        <v>19</v>
      </c>
      <c r="C20" s="123">
        <v>2</v>
      </c>
      <c r="D20" s="122">
        <v>2022</v>
      </c>
      <c r="E20" s="135">
        <f>'FS Jimbaran February 2022'!P30</f>
        <v>14800.00000000004</v>
      </c>
      <c r="F20" s="133">
        <f>'FS Jimbaran February 2022'!O30/'FS Jimbaran February 2022'!P30</f>
        <v>1177.9548020270229</v>
      </c>
      <c r="G20" s="135">
        <f>'FS Jimbaran February 2022'!AG30</f>
        <v>68.677399999999807</v>
      </c>
      <c r="H20" s="133">
        <f>'FS Jimbaran February 2022'!AH30/'FS Jimbaran February 2022'!AG30</f>
        <v>29523.333333333336</v>
      </c>
      <c r="I20" s="135">
        <f>'FS Jimbaran February 2022'!AJ30</f>
        <v>66.990000000005239</v>
      </c>
      <c r="J20" s="125">
        <f>'FS Jimbaran February 2022'!AK30/'FS Jimbaran February 2022'!AJ30</f>
        <v>12000</v>
      </c>
      <c r="K20" s="135">
        <f>'FS Jimbaran February 2022'!V30</f>
        <v>925</v>
      </c>
      <c r="L20" s="133">
        <f>'FS Jimbaran February 2022'!AA30/'FS Jimbaran February 2022'!V30</f>
        <v>7435.3895135135144</v>
      </c>
      <c r="M20" s="135">
        <f>'RNs &amp; Covers February 2022'!B24</f>
        <v>8</v>
      </c>
      <c r="N20" s="135">
        <f>'RNs &amp; Covers February 2022'!C24</f>
        <v>168</v>
      </c>
    </row>
    <row r="21" spans="1:14" x14ac:dyDescent="0.25">
      <c r="A21" s="121" t="s">
        <v>48</v>
      </c>
      <c r="B21" s="122">
        <f t="shared" si="0"/>
        <v>20</v>
      </c>
      <c r="C21" s="123">
        <v>2</v>
      </c>
      <c r="D21" s="122">
        <v>2022</v>
      </c>
      <c r="E21" s="135">
        <f>'FS Jimbaran February 2022'!P31</f>
        <v>14499.999999999176</v>
      </c>
      <c r="F21" s="133">
        <f>'FS Jimbaran February 2022'!O31/'FS Jimbaran February 2022'!P31</f>
        <v>1178.3247579310371</v>
      </c>
      <c r="G21" s="135">
        <f>'FS Jimbaran February 2022'!AG31</f>
        <v>90.831399999999803</v>
      </c>
      <c r="H21" s="133">
        <f>'FS Jimbaran February 2022'!AH31/'FS Jimbaran February 2022'!AG31</f>
        <v>29523.333333333336</v>
      </c>
      <c r="I21" s="135">
        <f>'FS Jimbaran February 2022'!AJ31</f>
        <v>156.26999999998952</v>
      </c>
      <c r="J21" s="125">
        <f>'FS Jimbaran February 2022'!AK31/'FS Jimbaran February 2022'!AJ31</f>
        <v>12000</v>
      </c>
      <c r="K21" s="135">
        <f>'FS Jimbaran February 2022'!V31</f>
        <v>950</v>
      </c>
      <c r="L21" s="133">
        <f>'FS Jimbaran February 2022'!AA31/'FS Jimbaran February 2022'!V31</f>
        <v>7510.3613894736845</v>
      </c>
      <c r="M21" s="135">
        <f>'RNs &amp; Covers February 2022'!B25</f>
        <v>5</v>
      </c>
      <c r="N21" s="135">
        <f>'RNs &amp; Covers February 2022'!C25</f>
        <v>114</v>
      </c>
    </row>
    <row r="22" spans="1:14" x14ac:dyDescent="0.25">
      <c r="A22" s="121" t="s">
        <v>48</v>
      </c>
      <c r="B22" s="122">
        <f t="shared" si="0"/>
        <v>21</v>
      </c>
      <c r="C22" s="123">
        <v>2</v>
      </c>
      <c r="D22" s="122">
        <v>2022</v>
      </c>
      <c r="E22" s="135">
        <f>'FS Jimbaran February 2022'!P32</f>
        <v>12280.000000000799</v>
      </c>
      <c r="F22" s="133">
        <f>'FS Jimbaran February 2022'!O32/'FS Jimbaran February 2022'!P32</f>
        <v>1176.1332508143278</v>
      </c>
      <c r="G22" s="135">
        <f>'FS Jimbaran February 2022'!AG32</f>
        <v>80.278040000000246</v>
      </c>
      <c r="H22" s="133">
        <f>'FS Jimbaran February 2022'!AH32/'FS Jimbaran February 2022'!AG32</f>
        <v>29523.333333333336</v>
      </c>
      <c r="I22" s="135">
        <f>'FS Jimbaran February 2022'!AJ32</f>
        <v>255.90000000000873</v>
      </c>
      <c r="J22" s="125">
        <f>'FS Jimbaran February 2022'!AK32/'FS Jimbaran February 2022'!AJ32</f>
        <v>12000</v>
      </c>
      <c r="K22" s="135">
        <f>'FS Jimbaran February 2022'!V32</f>
        <v>867</v>
      </c>
      <c r="L22" s="133">
        <f>'FS Jimbaran February 2022'!AA32/'FS Jimbaran February 2022'!V32</f>
        <v>7110.5582237600929</v>
      </c>
      <c r="M22" s="135">
        <f>'RNs &amp; Covers February 2022'!B26</f>
        <v>4</v>
      </c>
      <c r="N22" s="135">
        <f>'RNs &amp; Covers February 2022'!C26</f>
        <v>34</v>
      </c>
    </row>
    <row r="23" spans="1:14" x14ac:dyDescent="0.25">
      <c r="A23" s="121" t="s">
        <v>48</v>
      </c>
      <c r="B23" s="122">
        <f t="shared" si="0"/>
        <v>22</v>
      </c>
      <c r="C23" s="123">
        <v>2</v>
      </c>
      <c r="D23" s="122">
        <v>2022</v>
      </c>
      <c r="E23" s="135">
        <f>'FS Jimbaran February 2022'!P33</f>
        <v>12679.999999999751</v>
      </c>
      <c r="F23" s="133">
        <f>'FS Jimbaran February 2022'!O33/'FS Jimbaran February 2022'!P33</f>
        <v>1182.774172712938</v>
      </c>
      <c r="G23" s="135">
        <f>'FS Jimbaran February 2022'!AG33</f>
        <v>117.61072000000003</v>
      </c>
      <c r="H23" s="133">
        <f>'FS Jimbaran February 2022'!AH33/'FS Jimbaran February 2022'!AG33</f>
        <v>29523.333333333336</v>
      </c>
      <c r="I23" s="135">
        <f>'FS Jimbaran February 2022'!AJ33</f>
        <v>109.09999999999127</v>
      </c>
      <c r="J23" s="125">
        <f>'FS Jimbaran February 2022'!AK33/'FS Jimbaran February 2022'!AJ33</f>
        <v>12000</v>
      </c>
      <c r="K23" s="135">
        <f>'FS Jimbaran February 2022'!V33</f>
        <v>773</v>
      </c>
      <c r="L23" s="133">
        <f>'FS Jimbaran February 2022'!AA33/'FS Jimbaran February 2022'!V33</f>
        <v>4476.0068564036228</v>
      </c>
      <c r="M23" s="135">
        <f>'RNs &amp; Covers February 2022'!B27</f>
        <v>5</v>
      </c>
      <c r="N23" s="135">
        <f>'RNs &amp; Covers February 2022'!C27</f>
        <v>37</v>
      </c>
    </row>
    <row r="24" spans="1:14" x14ac:dyDescent="0.25">
      <c r="A24" s="121" t="s">
        <v>48</v>
      </c>
      <c r="B24" s="122">
        <f t="shared" si="0"/>
        <v>23</v>
      </c>
      <c r="C24" s="123">
        <v>2</v>
      </c>
      <c r="D24" s="122">
        <v>2022</v>
      </c>
      <c r="E24" s="135">
        <f>'FS Jimbaran February 2022'!P34</f>
        <v>12839.999999999549</v>
      </c>
      <c r="F24" s="133">
        <f>'FS Jimbaran February 2022'!O34/'FS Jimbaran February 2022'!P34</f>
        <v>1179.046766355141</v>
      </c>
      <c r="G24" s="135">
        <f>'FS Jimbaran February 2022'!AG34</f>
        <v>84.101200000000361</v>
      </c>
      <c r="H24" s="133">
        <f>'FS Jimbaran February 2022'!AH34/'FS Jimbaran February 2022'!AG34</f>
        <v>29523.333333333332</v>
      </c>
      <c r="I24" s="135">
        <f>'FS Jimbaran February 2022'!AJ34</f>
        <v>283.40000000000873</v>
      </c>
      <c r="J24" s="125">
        <f>'FS Jimbaran February 2022'!AK34/'FS Jimbaran February 2022'!AJ34</f>
        <v>12000</v>
      </c>
      <c r="K24" s="135">
        <f>'FS Jimbaran February 2022'!V34</f>
        <v>885</v>
      </c>
      <c r="L24" s="133">
        <f>'FS Jimbaran February 2022'!AA34/'FS Jimbaran February 2022'!V34</f>
        <v>6168.2756836158196</v>
      </c>
      <c r="M24" s="135">
        <f>'RNs &amp; Covers February 2022'!B28</f>
        <v>5</v>
      </c>
      <c r="N24" s="135">
        <f>'RNs &amp; Covers February 2022'!C28</f>
        <v>45</v>
      </c>
    </row>
    <row r="25" spans="1:14" x14ac:dyDescent="0.25">
      <c r="A25" s="121" t="s">
        <v>48</v>
      </c>
      <c r="B25" s="122">
        <f t="shared" si="0"/>
        <v>24</v>
      </c>
      <c r="C25" s="123">
        <v>2</v>
      </c>
      <c r="D25" s="122">
        <v>2022</v>
      </c>
      <c r="E25" s="135">
        <f>'FS Jimbaran February 2022'!P35</f>
        <v>13899.999999999865</v>
      </c>
      <c r="F25" s="133">
        <f>'FS Jimbaran February 2022'!O35/'FS Jimbaran February 2022'!P35</f>
        <v>1182.2422726618697</v>
      </c>
      <c r="G25" s="135">
        <f>'FS Jimbaran February 2022'!AG35</f>
        <v>89.62299999999999</v>
      </c>
      <c r="H25" s="133">
        <f>'FS Jimbaran February 2022'!AH35/'FS Jimbaran February 2022'!AG35</f>
        <v>29523.333333333336</v>
      </c>
      <c r="I25" s="135">
        <f>'FS Jimbaran February 2022'!AJ35</f>
        <v>97.30000000000291</v>
      </c>
      <c r="J25" s="125">
        <f>'FS Jimbaran February 2022'!AK35/'FS Jimbaran February 2022'!AJ35</f>
        <v>12000</v>
      </c>
      <c r="K25" s="135">
        <f>'FS Jimbaran February 2022'!V35</f>
        <v>956</v>
      </c>
      <c r="L25" s="133">
        <f>'FS Jimbaran February 2022'!AA35/'FS Jimbaran February 2022'!V35</f>
        <v>6484.8765690376567</v>
      </c>
      <c r="M25" s="135">
        <f>'RNs &amp; Covers February 2022'!B29</f>
        <v>7</v>
      </c>
      <c r="N25" s="135">
        <f>'RNs &amp; Covers February 2022'!C29</f>
        <v>55</v>
      </c>
    </row>
    <row r="26" spans="1:14" x14ac:dyDescent="0.25">
      <c r="A26" s="121" t="s">
        <v>48</v>
      </c>
      <c r="B26" s="122">
        <f>B25+1</f>
        <v>25</v>
      </c>
      <c r="C26" s="123">
        <v>2</v>
      </c>
      <c r="D26" s="122">
        <v>2022</v>
      </c>
      <c r="E26" s="135">
        <f>'FS Jimbaran February 2022'!P36</f>
        <v>14840.000000000289</v>
      </c>
      <c r="F26" s="133">
        <f>'FS Jimbaran February 2022'!O36/'FS Jimbaran February 2022'!P36</f>
        <v>1177.7111745283023</v>
      </c>
      <c r="G26" s="135">
        <f>'FS Jimbaran February 2022'!AG36</f>
        <v>82.936519999999661</v>
      </c>
      <c r="H26" s="133">
        <f>'FS Jimbaran February 2022'!AH36/'FS Jimbaran February 2022'!AG36</f>
        <v>29523.333333333336</v>
      </c>
      <c r="I26" s="135">
        <f>'FS Jimbaran February 2022'!AJ36</f>
        <v>358.58999999999651</v>
      </c>
      <c r="J26" s="125">
        <f>'FS Jimbaran February 2022'!AK36/'FS Jimbaran February 2022'!AJ36</f>
        <v>12000</v>
      </c>
      <c r="K26" s="135">
        <f>'FS Jimbaran February 2022'!V36</f>
        <v>917</v>
      </c>
      <c r="L26" s="133">
        <f>'FS Jimbaran February 2022'!AA36/'FS Jimbaran February 2022'!V36</f>
        <v>6595.0984732824436</v>
      </c>
      <c r="M26" s="135">
        <f>'RNs &amp; Covers February 2022'!B30</f>
        <v>9</v>
      </c>
      <c r="N26" s="135">
        <f>'RNs &amp; Covers February 2022'!C30</f>
        <v>55</v>
      </c>
    </row>
    <row r="27" spans="1:14" x14ac:dyDescent="0.25">
      <c r="A27" s="121" t="s">
        <v>48</v>
      </c>
      <c r="B27" s="122">
        <f t="shared" si="0"/>
        <v>26</v>
      </c>
      <c r="C27" s="123">
        <v>2</v>
      </c>
      <c r="D27" s="122">
        <v>2022</v>
      </c>
      <c r="E27" s="135">
        <f>'FS Jimbaran February 2022'!P37</f>
        <v>14660.000000000196</v>
      </c>
      <c r="F27" s="133">
        <f>'FS Jimbaran February 2022'!O37/'FS Jimbaran February 2022'!P37</f>
        <v>1181.0435525238768</v>
      </c>
      <c r="G27" s="135">
        <f>'FS Jimbaran February 2022'!AG37</f>
        <v>85.430440000000061</v>
      </c>
      <c r="H27" s="133">
        <f>'FS Jimbaran February 2022'!AH37/'FS Jimbaran February 2022'!AG37</f>
        <v>29523.333333333336</v>
      </c>
      <c r="I27" s="135">
        <f>'FS Jimbaran February 2022'!AJ37</f>
        <v>267.50999999999476</v>
      </c>
      <c r="J27" s="125">
        <f>'FS Jimbaran February 2022'!AK37/'FS Jimbaran February 2022'!AJ37</f>
        <v>12000</v>
      </c>
      <c r="K27" s="135">
        <f>'FS Jimbaran February 2022'!V37</f>
        <v>873</v>
      </c>
      <c r="L27" s="133">
        <f>'FS Jimbaran February 2022'!AA37/'FS Jimbaran February 2022'!V37</f>
        <v>6713.5365177548692</v>
      </c>
      <c r="M27" s="135">
        <f>'RNs &amp; Covers February 2022'!B31</f>
        <v>12</v>
      </c>
      <c r="N27" s="135">
        <f>'RNs &amp; Covers February 2022'!C31</f>
        <v>91</v>
      </c>
    </row>
    <row r="28" spans="1:14" x14ac:dyDescent="0.25">
      <c r="A28" s="121" t="s">
        <v>48</v>
      </c>
      <c r="B28" s="122">
        <f t="shared" si="0"/>
        <v>27</v>
      </c>
      <c r="C28" s="123">
        <v>2</v>
      </c>
      <c r="D28" s="122">
        <v>2022</v>
      </c>
      <c r="E28" s="135">
        <f>'FS Jimbaran February 2022'!P38</f>
        <v>16440.000000000084</v>
      </c>
      <c r="F28" s="133">
        <f>'FS Jimbaran February 2022'!O38/'FS Jimbaran February 2022'!P38</f>
        <v>1183.4920565693428</v>
      </c>
      <c r="G28" s="135">
        <f>'FS Jimbaran February 2022'!AG38</f>
        <v>72.544279999999958</v>
      </c>
      <c r="H28" s="133">
        <f>'FS Jimbaran February 2022'!AH38/'FS Jimbaran February 2022'!AG38</f>
        <v>29523.333333333339</v>
      </c>
      <c r="I28" s="135">
        <f>'FS Jimbaran February 2022'!AJ38</f>
        <v>278.24000000000524</v>
      </c>
      <c r="J28" s="125">
        <f>'FS Jimbaran February 2022'!AK38/'FS Jimbaran February 2022'!AJ38</f>
        <v>12000</v>
      </c>
      <c r="K28" s="135">
        <f>'FS Jimbaran February 2022'!V38</f>
        <v>875</v>
      </c>
      <c r="L28" s="133">
        <f>'FS Jimbaran February 2022'!AA38/'FS Jimbaran February 2022'!V38</f>
        <v>6378.4868799999995</v>
      </c>
      <c r="M28" s="135">
        <f>'RNs &amp; Covers February 2022'!B32</f>
        <v>9</v>
      </c>
      <c r="N28" s="135">
        <f>'RNs &amp; Covers February 2022'!C32</f>
        <v>115</v>
      </c>
    </row>
    <row r="29" spans="1:14" x14ac:dyDescent="0.25">
      <c r="A29" s="121" t="s">
        <v>48</v>
      </c>
      <c r="B29" s="122">
        <f t="shared" si="0"/>
        <v>28</v>
      </c>
      <c r="C29" s="123">
        <v>2</v>
      </c>
      <c r="D29" s="122">
        <v>2022</v>
      </c>
      <c r="E29" s="135">
        <f>'FS Jimbaran February 2022'!P39</f>
        <v>16599.999999999851</v>
      </c>
      <c r="F29" s="133">
        <f>'FS Jimbaran February 2022'!O39/'FS Jimbaran February 2022'!P39</f>
        <v>1184.5329831325305</v>
      </c>
      <c r="G29" s="135">
        <f>'FS Jimbaran February 2022'!AG39</f>
        <v>80.157199999999449</v>
      </c>
      <c r="H29" s="133">
        <f>'FS Jimbaran February 2022'!AH39/'FS Jimbaran February 2022'!AG39</f>
        <v>29523.333333333336</v>
      </c>
      <c r="I29" s="135">
        <f>'FS Jimbaran February 2022'!AJ39</f>
        <v>309.91000000000349</v>
      </c>
      <c r="J29" s="125">
        <f>'FS Jimbaran February 2022'!AK39/'FS Jimbaran February 2022'!AJ39</f>
        <v>12000</v>
      </c>
      <c r="K29" s="135">
        <f>'FS Jimbaran February 2022'!V39</f>
        <v>875</v>
      </c>
      <c r="L29" s="133">
        <f>'FS Jimbaran February 2022'!AA39/'FS Jimbaran February 2022'!V39</f>
        <v>7005.9300800000001</v>
      </c>
      <c r="M29" s="135">
        <f>'RNs &amp; Covers February 2022'!B33</f>
        <v>10</v>
      </c>
      <c r="N29" s="135">
        <f>'RNs &amp; Covers February 2022'!C33</f>
        <v>99</v>
      </c>
    </row>
    <row r="30" spans="1:14" x14ac:dyDescent="0.25">
      <c r="L30" s="19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6"/>
  <sheetViews>
    <sheetView zoomScale="53" zoomScaleNormal="53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AA54" sqref="AA54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7.28515625" style="4" customWidth="1"/>
    <col min="4" max="4" width="7.28515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58" bestFit="1" customWidth="1"/>
    <col min="14" max="14" width="20.42578125" style="62" customWidth="1"/>
    <col min="15" max="15" width="18.85546875" customWidth="1"/>
    <col min="16" max="16" width="15.140625" style="62" customWidth="1"/>
    <col min="17" max="17" width="19.7109375" hidden="1" customWidth="1"/>
    <col min="18" max="18" width="18.140625" style="82" hidden="1" customWidth="1"/>
    <col min="19" max="19" width="24.28515625" hidden="1" customWidth="1"/>
    <col min="20" max="20" width="21.140625" hidden="1" customWidth="1"/>
    <col min="21" max="21" width="18.85546875" hidden="1" customWidth="1"/>
    <col min="22" max="22" width="13.7109375" customWidth="1"/>
    <col min="23" max="23" width="12.140625" customWidth="1"/>
    <col min="24" max="24" width="13.5703125" customWidth="1"/>
    <col min="25" max="25" width="13.28515625" customWidth="1"/>
    <col min="26" max="26" width="13.5703125" customWidth="1"/>
    <col min="27" max="27" width="11.5703125" customWidth="1"/>
    <col min="28" max="28" width="10.5703125" customWidth="1"/>
    <col min="29" max="29" width="13.42578125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1.42578125" bestFit="1" customWidth="1"/>
    <col min="34" max="34" width="19" style="4" customWidth="1"/>
    <col min="35" max="35" width="10.5703125" customWidth="1"/>
    <col min="36" max="36" width="13.28515625" style="82" bestFit="1" customWidth="1"/>
    <col min="37" max="37" width="20.7109375" bestFit="1" customWidth="1"/>
    <col min="38" max="38" width="12.140625" style="38" customWidth="1"/>
    <col min="39" max="39" width="2.28515625" style="15" customWidth="1"/>
  </cols>
  <sheetData>
    <row r="5" spans="1:39" x14ac:dyDescent="0.25">
      <c r="N5" s="136"/>
      <c r="X5" s="137"/>
    </row>
    <row r="6" spans="1:39" s="25" customFormat="1" ht="19.5" thickBot="1" x14ac:dyDescent="0.35">
      <c r="B6" s="25" t="s">
        <v>28</v>
      </c>
      <c r="C6" s="34"/>
      <c r="E6" s="34"/>
      <c r="F6" s="34"/>
      <c r="H6" s="34"/>
      <c r="L6" s="34"/>
      <c r="M6" s="53"/>
      <c r="N6" s="59"/>
      <c r="P6" s="59"/>
      <c r="R6" s="78"/>
      <c r="AD6" s="34"/>
      <c r="AH6" s="34"/>
      <c r="AJ6" s="78"/>
      <c r="AL6" s="35"/>
    </row>
    <row r="7" spans="1:39" s="12" customFormat="1" ht="16.5" thickBot="1" x14ac:dyDescent="0.3">
      <c r="A7" s="30"/>
      <c r="B7" s="209" t="s">
        <v>54</v>
      </c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0"/>
      <c r="AD7" s="210"/>
      <c r="AE7" s="210"/>
      <c r="AF7" s="210"/>
      <c r="AG7" s="210"/>
      <c r="AH7" s="210"/>
      <c r="AI7" s="210"/>
      <c r="AJ7" s="210"/>
      <c r="AK7" s="210"/>
      <c r="AL7" s="211"/>
      <c r="AM7" s="30"/>
    </row>
    <row r="8" spans="1:39" s="8" customFormat="1" ht="15.75" customHeight="1" thickBot="1" x14ac:dyDescent="0.3">
      <c r="A8" s="26"/>
      <c r="B8" s="212" t="s">
        <v>1</v>
      </c>
      <c r="C8" s="215" t="s">
        <v>2</v>
      </c>
      <c r="D8" s="218" t="s">
        <v>3</v>
      </c>
      <c r="E8" s="220" t="s">
        <v>53</v>
      </c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1"/>
      <c r="V8" s="222" t="s">
        <v>19</v>
      </c>
      <c r="W8" s="223"/>
      <c r="X8" s="223"/>
      <c r="Y8" s="223"/>
      <c r="Z8" s="223"/>
      <c r="AA8" s="223"/>
      <c r="AB8" s="224"/>
      <c r="AC8" s="225" t="s">
        <v>24</v>
      </c>
      <c r="AD8" s="225"/>
      <c r="AE8" s="225"/>
      <c r="AF8" s="225"/>
      <c r="AG8" s="225"/>
      <c r="AH8" s="225"/>
      <c r="AI8" s="225"/>
      <c r="AJ8" s="225"/>
      <c r="AK8" s="225"/>
      <c r="AL8" s="226"/>
      <c r="AM8" s="28"/>
    </row>
    <row r="9" spans="1:39" ht="15" customHeight="1" thickBot="1" x14ac:dyDescent="0.3">
      <c r="A9" s="29"/>
      <c r="B9" s="213"/>
      <c r="C9" s="216"/>
      <c r="D9" s="219"/>
      <c r="E9" s="227" t="s">
        <v>33</v>
      </c>
      <c r="F9" s="228"/>
      <c r="G9" s="228"/>
      <c r="H9" s="228"/>
      <c r="I9" s="229"/>
      <c r="J9" s="230" t="s">
        <v>5</v>
      </c>
      <c r="K9" s="230"/>
      <c r="L9" s="230"/>
      <c r="M9" s="230"/>
      <c r="N9" s="231"/>
      <c r="O9" s="218" t="s">
        <v>12</v>
      </c>
      <c r="P9" s="233" t="s">
        <v>32</v>
      </c>
      <c r="Q9" s="235" t="s">
        <v>50</v>
      </c>
      <c r="R9" s="240" t="s">
        <v>21</v>
      </c>
      <c r="S9" s="242" t="s">
        <v>13</v>
      </c>
      <c r="T9" s="205" t="s">
        <v>18</v>
      </c>
      <c r="U9" s="206"/>
      <c r="V9" s="48"/>
      <c r="W9" s="48" t="s">
        <v>4</v>
      </c>
      <c r="X9" s="48"/>
      <c r="Y9" s="49"/>
      <c r="Z9" s="168"/>
      <c r="AA9" s="207" t="s">
        <v>27</v>
      </c>
      <c r="AB9" s="208"/>
      <c r="AC9" s="225" t="s">
        <v>22</v>
      </c>
      <c r="AD9" s="225"/>
      <c r="AE9" s="225"/>
      <c r="AF9" s="225"/>
      <c r="AG9" s="225"/>
      <c r="AH9" s="225"/>
      <c r="AI9" s="226"/>
      <c r="AJ9" s="237" t="s">
        <v>20</v>
      </c>
      <c r="AK9" s="238"/>
      <c r="AL9" s="239"/>
      <c r="AM9" s="29"/>
    </row>
    <row r="10" spans="1:39" ht="61.5" customHeight="1" thickBot="1" x14ac:dyDescent="0.3">
      <c r="A10" s="27"/>
      <c r="B10" s="214"/>
      <c r="C10" s="217"/>
      <c r="D10" s="219"/>
      <c r="E10" s="87" t="s">
        <v>34</v>
      </c>
      <c r="F10" s="76" t="s">
        <v>6</v>
      </c>
      <c r="G10" s="106" t="s">
        <v>35</v>
      </c>
      <c r="H10" s="18" t="s">
        <v>6</v>
      </c>
      <c r="I10" s="88" t="s">
        <v>14</v>
      </c>
      <c r="J10" s="87" t="s">
        <v>34</v>
      </c>
      <c r="K10" s="77" t="s">
        <v>6</v>
      </c>
      <c r="L10" s="106" t="s">
        <v>35</v>
      </c>
      <c r="M10" s="54" t="s">
        <v>6</v>
      </c>
      <c r="N10" s="85" t="s">
        <v>15</v>
      </c>
      <c r="O10" s="232"/>
      <c r="P10" s="234"/>
      <c r="Q10" s="236"/>
      <c r="R10" s="241"/>
      <c r="S10" s="243"/>
      <c r="T10" s="138" t="s">
        <v>16</v>
      </c>
      <c r="U10" s="23" t="s">
        <v>17</v>
      </c>
      <c r="V10" s="139" t="s">
        <v>8</v>
      </c>
      <c r="W10" s="174" t="s">
        <v>0</v>
      </c>
      <c r="X10" s="174" t="s">
        <v>26</v>
      </c>
      <c r="Y10" s="22" t="s">
        <v>10</v>
      </c>
      <c r="Z10" s="22" t="s">
        <v>30</v>
      </c>
      <c r="AA10" s="22" t="s">
        <v>16</v>
      </c>
      <c r="AB10" s="13" t="s">
        <v>17</v>
      </c>
      <c r="AC10" s="100" t="s">
        <v>7</v>
      </c>
      <c r="AD10" s="44" t="s">
        <v>31</v>
      </c>
      <c r="AE10" s="43" t="s">
        <v>11</v>
      </c>
      <c r="AF10" s="43" t="s">
        <v>9</v>
      </c>
      <c r="AG10" s="43" t="s">
        <v>25</v>
      </c>
      <c r="AH10" s="44" t="s">
        <v>16</v>
      </c>
      <c r="AI10" s="45" t="s">
        <v>17</v>
      </c>
      <c r="AJ10" s="109" t="s">
        <v>23</v>
      </c>
      <c r="AK10" s="43" t="s">
        <v>16</v>
      </c>
      <c r="AL10" s="47" t="s">
        <v>17</v>
      </c>
      <c r="AM10" s="27"/>
    </row>
    <row r="11" spans="1:39" x14ac:dyDescent="0.25">
      <c r="A11" s="27"/>
      <c r="B11" s="51"/>
      <c r="C11" s="89"/>
      <c r="D11" s="171"/>
      <c r="E11" s="20"/>
      <c r="F11" s="83"/>
      <c r="G11" s="19"/>
      <c r="H11" s="20"/>
      <c r="I11" s="90"/>
      <c r="J11" s="84"/>
      <c r="K11" s="19"/>
      <c r="L11" s="20"/>
      <c r="M11" s="55"/>
      <c r="N11" s="86"/>
      <c r="O11" s="50"/>
      <c r="P11" s="91"/>
      <c r="Q11" s="140"/>
      <c r="R11" s="92"/>
      <c r="S11" s="141"/>
      <c r="T11" s="141"/>
      <c r="U11" s="167"/>
      <c r="V11" s="84"/>
      <c r="W11" s="19"/>
      <c r="X11" s="19"/>
      <c r="Y11" s="21"/>
      <c r="Z11" s="21"/>
      <c r="AA11" s="21"/>
      <c r="AB11" s="90">
        <v>14522</v>
      </c>
      <c r="AC11" s="101"/>
      <c r="AD11" s="41"/>
      <c r="AE11" s="39">
        <v>797000</v>
      </c>
      <c r="AF11" s="39">
        <v>163000</v>
      </c>
      <c r="AG11" s="39"/>
      <c r="AH11" s="41">
        <f>(AE11/50)+(AF11/12)</f>
        <v>29523.333333333336</v>
      </c>
      <c r="AI11" s="42"/>
      <c r="AJ11" s="110"/>
      <c r="AK11" s="39">
        <v>12000</v>
      </c>
      <c r="AL11" s="46"/>
      <c r="AM11" s="27"/>
    </row>
    <row r="12" spans="1:39" ht="15" x14ac:dyDescent="0.25">
      <c r="A12" s="33"/>
      <c r="B12" s="52">
        <v>1</v>
      </c>
      <c r="C12" s="172">
        <v>6</v>
      </c>
      <c r="D12" s="173">
        <v>79</v>
      </c>
      <c r="E12" s="179">
        <v>11079.999999999927</v>
      </c>
      <c r="F12" s="176">
        <v>11476442.399999924</v>
      </c>
      <c r="G12" s="176">
        <v>2080.0000000000409</v>
      </c>
      <c r="H12" s="176">
        <v>3231633.6000000639</v>
      </c>
      <c r="I12" s="180">
        <f>(F12+H12)*1.05</f>
        <v>15443479.79999999</v>
      </c>
      <c r="J12" s="179">
        <v>1519.9999999999818</v>
      </c>
      <c r="K12" s="176">
        <v>1574385.5999999812</v>
      </c>
      <c r="L12" s="181">
        <v>340.00000000000341</v>
      </c>
      <c r="M12" s="181">
        <v>528247.80000000529</v>
      </c>
      <c r="N12" s="180">
        <f>(K12+M12)*1.05</f>
        <v>2207765.0699999859</v>
      </c>
      <c r="O12" s="177">
        <f>I12+N12</f>
        <v>17651244.869999975</v>
      </c>
      <c r="P12" s="178">
        <f>E12+G12+J12+L12</f>
        <v>15019.999999999953</v>
      </c>
      <c r="Q12" s="107"/>
      <c r="R12" s="154"/>
      <c r="S12" s="162"/>
      <c r="T12" s="161"/>
      <c r="U12" s="160">
        <v>0</v>
      </c>
      <c r="V12" s="142">
        <f>W12+Y12</f>
        <v>918</v>
      </c>
      <c r="W12" s="3">
        <v>221</v>
      </c>
      <c r="X12" s="176">
        <v>3971480.5</v>
      </c>
      <c r="Y12" s="31">
        <v>697</v>
      </c>
      <c r="Z12" s="175">
        <v>2958890.4600000004</v>
      </c>
      <c r="AA12" s="175">
        <f>X12+Z12</f>
        <v>6930370.9600000009</v>
      </c>
      <c r="AB12" s="102">
        <f>AA12/$AB$11</f>
        <v>477.23254097231791</v>
      </c>
      <c r="AC12" s="195">
        <v>0</v>
      </c>
      <c r="AD12" s="3">
        <v>0</v>
      </c>
      <c r="AE12" s="3">
        <v>101.94868000000022</v>
      </c>
      <c r="AF12" s="3">
        <v>12</v>
      </c>
      <c r="AG12" s="3">
        <f>AC12+AD12+AE12+AF12</f>
        <v>113.94868000000022</v>
      </c>
      <c r="AH12" s="176">
        <f>(AE12+AF12)*$AH$11</f>
        <v>3364144.8625333402</v>
      </c>
      <c r="AI12" s="40">
        <f>AH12/14522</f>
        <v>231.65850864435617</v>
      </c>
      <c r="AJ12" s="111">
        <v>159.72999999999593</v>
      </c>
      <c r="AK12" s="176">
        <v>1916759.9999999511</v>
      </c>
      <c r="AL12" s="36">
        <f>AK12/14522</f>
        <v>131.99008401046351</v>
      </c>
      <c r="AM12" s="7"/>
    </row>
    <row r="13" spans="1:39" ht="15" x14ac:dyDescent="0.25">
      <c r="A13" s="33"/>
      <c r="B13" s="52">
        <v>2</v>
      </c>
      <c r="C13" s="172">
        <v>4</v>
      </c>
      <c r="D13" s="173">
        <v>48</v>
      </c>
      <c r="E13" s="179">
        <v>10760.000000000218</v>
      </c>
      <c r="F13" s="176">
        <v>11144992.800000226</v>
      </c>
      <c r="G13" s="176">
        <v>2240.0000000000091</v>
      </c>
      <c r="H13" s="176">
        <v>3480220.8000000142</v>
      </c>
      <c r="I13" s="180">
        <f t="shared" ref="I13:I39" si="0">(F13+H13)*1.05</f>
        <v>15356474.280000253</v>
      </c>
      <c r="J13" s="179">
        <v>1100.0000000000227</v>
      </c>
      <c r="K13" s="176">
        <v>1139358.0000000235</v>
      </c>
      <c r="L13" s="181">
        <v>280.00000000000114</v>
      </c>
      <c r="M13" s="181">
        <v>435027.60000000178</v>
      </c>
      <c r="N13" s="180">
        <f t="shared" ref="N13:N39" si="1">(K13+M13)*1.05</f>
        <v>1653104.8800000267</v>
      </c>
      <c r="O13" s="177">
        <f t="shared" ref="O13:O39" si="2">I13+N13</f>
        <v>17009579.16000028</v>
      </c>
      <c r="P13" s="178">
        <f t="shared" ref="P13:P39" si="3">E13+G13+J13+L13</f>
        <v>14380.000000000253</v>
      </c>
      <c r="Q13" s="144"/>
      <c r="R13" s="155"/>
      <c r="S13" s="162"/>
      <c r="T13" s="161"/>
      <c r="U13" s="160">
        <v>0</v>
      </c>
      <c r="V13" s="142">
        <f t="shared" ref="V13:V39" si="4">W13+Y13</f>
        <v>967</v>
      </c>
      <c r="W13" s="3">
        <v>219</v>
      </c>
      <c r="X13" s="176">
        <v>3935539.5</v>
      </c>
      <c r="Y13" s="31">
        <v>748</v>
      </c>
      <c r="Z13" s="175">
        <v>3175394.64</v>
      </c>
      <c r="AA13" s="175">
        <f t="shared" ref="AA13:AA39" si="5">X13+Z13</f>
        <v>7110934.1400000006</v>
      </c>
      <c r="AB13" s="102">
        <f t="shared" ref="AB13:AB39" si="6">AA13/$AB$11</f>
        <v>489.66630904834051</v>
      </c>
      <c r="AC13" s="195">
        <v>0</v>
      </c>
      <c r="AD13" s="3">
        <v>0</v>
      </c>
      <c r="AE13" s="3">
        <v>76.088919999999931</v>
      </c>
      <c r="AF13" s="3">
        <v>12</v>
      </c>
      <c r="AG13" s="3">
        <f t="shared" ref="AG13:AG39" si="7">AC13+AD13+AE13+AF13</f>
        <v>88.088919999999931</v>
      </c>
      <c r="AH13" s="176">
        <f t="shared" ref="AH13:AH39" si="8">(AE13+AF13)*$AH$11</f>
        <v>2600678.5481333314</v>
      </c>
      <c r="AI13" s="40">
        <f t="shared" ref="AI13:AI39" si="9">AH13/14522</f>
        <v>179.08542543267671</v>
      </c>
      <c r="AJ13" s="111">
        <v>158.55999999999767</v>
      </c>
      <c r="AK13" s="176">
        <v>1902719.9999999721</v>
      </c>
      <c r="AL13" s="36">
        <f t="shared" ref="AL13:AL39" si="10">AK13/14522</f>
        <v>131.02327503098553</v>
      </c>
      <c r="AM13" s="7"/>
    </row>
    <row r="14" spans="1:39" ht="15" x14ac:dyDescent="0.25">
      <c r="A14" s="33"/>
      <c r="B14" s="52">
        <v>3</v>
      </c>
      <c r="C14" s="172">
        <v>4</v>
      </c>
      <c r="D14" s="173">
        <v>43</v>
      </c>
      <c r="E14" s="179">
        <v>10639.999999999418</v>
      </c>
      <c r="F14" s="176">
        <v>11020699.199999398</v>
      </c>
      <c r="G14" s="176">
        <v>2039.9999999999636</v>
      </c>
      <c r="H14" s="176">
        <v>3169486.7999999435</v>
      </c>
      <c r="I14" s="180">
        <f t="shared" si="0"/>
        <v>14899695.299999308</v>
      </c>
      <c r="J14" s="179">
        <v>1220.0000000000273</v>
      </c>
      <c r="K14" s="176">
        <v>1263651.6000000283</v>
      </c>
      <c r="L14" s="181">
        <v>299.99999999998295</v>
      </c>
      <c r="M14" s="181">
        <v>466100.99999997352</v>
      </c>
      <c r="N14" s="180">
        <f t="shared" si="1"/>
        <v>1816240.2300000018</v>
      </c>
      <c r="O14" s="177">
        <f t="shared" si="2"/>
        <v>16715935.52999931</v>
      </c>
      <c r="P14" s="178">
        <f t="shared" si="3"/>
        <v>14199.999999999392</v>
      </c>
      <c r="Q14" s="144"/>
      <c r="R14" s="155"/>
      <c r="S14" s="162"/>
      <c r="T14" s="161"/>
      <c r="U14" s="160">
        <v>0</v>
      </c>
      <c r="V14" s="142">
        <f t="shared" si="4"/>
        <v>907</v>
      </c>
      <c r="W14" s="3">
        <v>221</v>
      </c>
      <c r="X14" s="176">
        <v>3971480.5</v>
      </c>
      <c r="Y14" s="31">
        <v>686</v>
      </c>
      <c r="Z14" s="175">
        <v>2912193.48</v>
      </c>
      <c r="AA14" s="175">
        <f t="shared" si="5"/>
        <v>6883673.9800000004</v>
      </c>
      <c r="AB14" s="102">
        <f t="shared" si="6"/>
        <v>474.0169384382317</v>
      </c>
      <c r="AC14" s="195">
        <v>0</v>
      </c>
      <c r="AD14" s="3">
        <v>0</v>
      </c>
      <c r="AE14" s="3">
        <v>80.076639999999969</v>
      </c>
      <c r="AF14" s="3">
        <v>12</v>
      </c>
      <c r="AG14" s="3">
        <f t="shared" si="7"/>
        <v>92.076639999999969</v>
      </c>
      <c r="AH14" s="176">
        <f t="shared" si="8"/>
        <v>2718409.3349333326</v>
      </c>
      <c r="AI14" s="40">
        <f t="shared" si="9"/>
        <v>187.19248966625346</v>
      </c>
      <c r="AJ14" s="111">
        <v>91.669999999998254</v>
      </c>
      <c r="AK14" s="176">
        <v>1100039.999999979</v>
      </c>
      <c r="AL14" s="36">
        <f t="shared" si="10"/>
        <v>75.749896708440914</v>
      </c>
      <c r="AM14" s="7"/>
    </row>
    <row r="15" spans="1:39" ht="15" x14ac:dyDescent="0.25">
      <c r="A15" s="33"/>
      <c r="B15" s="52">
        <v>4</v>
      </c>
      <c r="C15" s="172">
        <v>5</v>
      </c>
      <c r="D15" s="173">
        <v>52</v>
      </c>
      <c r="E15" s="179">
        <v>10000</v>
      </c>
      <c r="F15" s="176">
        <v>10357800</v>
      </c>
      <c r="G15" s="176">
        <v>2080.0000000000409</v>
      </c>
      <c r="H15" s="176">
        <v>3231633.6000000639</v>
      </c>
      <c r="I15" s="180">
        <f t="shared" si="0"/>
        <v>14268905.280000068</v>
      </c>
      <c r="J15" s="179">
        <v>1439.9999999999409</v>
      </c>
      <c r="K15" s="176">
        <v>1491523.1999999387</v>
      </c>
      <c r="L15" s="181">
        <v>439.99999999999773</v>
      </c>
      <c r="M15" s="181">
        <v>683614.79999999655</v>
      </c>
      <c r="N15" s="180">
        <f t="shared" si="1"/>
        <v>2283894.8999999319</v>
      </c>
      <c r="O15" s="177">
        <f t="shared" si="2"/>
        <v>16552800.18</v>
      </c>
      <c r="P15" s="178">
        <f t="shared" si="3"/>
        <v>13959.99999999998</v>
      </c>
      <c r="Q15" s="144"/>
      <c r="R15" s="155"/>
      <c r="S15" s="162"/>
      <c r="T15" s="161"/>
      <c r="U15" s="160">
        <v>0</v>
      </c>
      <c r="V15" s="142">
        <f t="shared" si="4"/>
        <v>951</v>
      </c>
      <c r="W15" s="3">
        <v>222</v>
      </c>
      <c r="X15" s="176">
        <v>3989451</v>
      </c>
      <c r="Y15" s="31">
        <v>729</v>
      </c>
      <c r="Z15" s="175">
        <v>3094736.22</v>
      </c>
      <c r="AA15" s="175">
        <f t="shared" si="5"/>
        <v>7084187.2200000007</v>
      </c>
      <c r="AB15" s="102">
        <f t="shared" si="6"/>
        <v>487.82448836248454</v>
      </c>
      <c r="AC15" s="195">
        <v>0</v>
      </c>
      <c r="AD15" s="3">
        <v>0</v>
      </c>
      <c r="AE15" s="3">
        <v>75.605559999999926</v>
      </c>
      <c r="AF15" s="3">
        <v>0</v>
      </c>
      <c r="AG15" s="3">
        <f t="shared" si="7"/>
        <v>75.605559999999926</v>
      </c>
      <c r="AH15" s="176">
        <f t="shared" si="8"/>
        <v>2232128.1497333315</v>
      </c>
      <c r="AI15" s="40">
        <f t="shared" si="9"/>
        <v>153.70666228710451</v>
      </c>
      <c r="AJ15" s="111">
        <v>291</v>
      </c>
      <c r="AK15" s="176">
        <v>3492000</v>
      </c>
      <c r="AL15" s="36">
        <f t="shared" si="10"/>
        <v>240.46274617821237</v>
      </c>
      <c r="AM15" s="7"/>
    </row>
    <row r="16" spans="1:39" ht="15" x14ac:dyDescent="0.25">
      <c r="A16" s="33"/>
      <c r="B16" s="52">
        <v>5</v>
      </c>
      <c r="C16" s="172">
        <v>9</v>
      </c>
      <c r="D16" s="173">
        <v>75</v>
      </c>
      <c r="E16" s="179">
        <v>10360.000000000582</v>
      </c>
      <c r="F16" s="176">
        <v>10730680.800000602</v>
      </c>
      <c r="G16" s="176">
        <v>2159.9999999999682</v>
      </c>
      <c r="H16" s="176">
        <v>3355927.1999999508</v>
      </c>
      <c r="I16" s="180">
        <f t="shared" si="0"/>
        <v>14790938.400000582</v>
      </c>
      <c r="J16" s="179">
        <v>1500</v>
      </c>
      <c r="K16" s="176">
        <v>1553670</v>
      </c>
      <c r="L16" s="181">
        <v>300.00000000001137</v>
      </c>
      <c r="M16" s="181">
        <v>466101.0000000177</v>
      </c>
      <c r="N16" s="180">
        <f t="shared" si="1"/>
        <v>2120759.5500000184</v>
      </c>
      <c r="O16" s="177">
        <f t="shared" si="2"/>
        <v>16911697.950000599</v>
      </c>
      <c r="P16" s="178">
        <f t="shared" si="3"/>
        <v>14320.00000000056</v>
      </c>
      <c r="Q16" s="144"/>
      <c r="R16" s="155"/>
      <c r="S16" s="162"/>
      <c r="T16" s="161"/>
      <c r="U16" s="160">
        <v>0</v>
      </c>
      <c r="V16" s="142">
        <f t="shared" si="4"/>
        <v>1002</v>
      </c>
      <c r="W16" s="3">
        <v>222</v>
      </c>
      <c r="X16" s="176">
        <v>3989451</v>
      </c>
      <c r="Y16" s="31">
        <v>780</v>
      </c>
      <c r="Z16" s="175">
        <v>3311240.4000000004</v>
      </c>
      <c r="AA16" s="175">
        <f t="shared" si="5"/>
        <v>7300691.4000000004</v>
      </c>
      <c r="AB16" s="102">
        <f t="shared" si="6"/>
        <v>502.73319102052062</v>
      </c>
      <c r="AC16" s="195">
        <v>0</v>
      </c>
      <c r="AD16" s="3">
        <v>0</v>
      </c>
      <c r="AE16" s="3">
        <v>76.209760000000287</v>
      </c>
      <c r="AF16" s="3">
        <v>0</v>
      </c>
      <c r="AG16" s="3">
        <f t="shared" si="7"/>
        <v>76.209760000000287</v>
      </c>
      <c r="AH16" s="176">
        <f t="shared" si="8"/>
        <v>2249966.1477333419</v>
      </c>
      <c r="AI16" s="40">
        <f t="shared" si="9"/>
        <v>154.93500535279864</v>
      </c>
      <c r="AJ16" s="111">
        <v>92.970000000001164</v>
      </c>
      <c r="AK16" s="176">
        <v>1115640.000000014</v>
      </c>
      <c r="AL16" s="36">
        <f t="shared" si="10"/>
        <v>76.824128907864889</v>
      </c>
      <c r="AM16" s="7"/>
    </row>
    <row r="17" spans="1:39" ht="15" x14ac:dyDescent="0.25">
      <c r="A17" s="33"/>
      <c r="B17" s="52">
        <v>6</v>
      </c>
      <c r="C17" s="172">
        <v>7</v>
      </c>
      <c r="D17" s="173">
        <v>76</v>
      </c>
      <c r="E17" s="179">
        <v>10559.999999999491</v>
      </c>
      <c r="F17" s="176">
        <v>10937836.799999472</v>
      </c>
      <c r="G17" s="176">
        <v>2039.9999999999636</v>
      </c>
      <c r="H17" s="176">
        <v>3169486.7999999435</v>
      </c>
      <c r="I17" s="180">
        <f t="shared" si="0"/>
        <v>14812689.779999387</v>
      </c>
      <c r="J17" s="179">
        <v>1259.9999999999909</v>
      </c>
      <c r="K17" s="176">
        <v>1305082.7999999905</v>
      </c>
      <c r="L17" s="181">
        <v>319.99999999999318</v>
      </c>
      <c r="M17" s="181">
        <v>497174.39999998943</v>
      </c>
      <c r="N17" s="180">
        <f t="shared" si="1"/>
        <v>1892370.0599999791</v>
      </c>
      <c r="O17" s="177">
        <f t="shared" si="2"/>
        <v>16705059.839999367</v>
      </c>
      <c r="P17" s="178">
        <f t="shared" si="3"/>
        <v>14179.999999999438</v>
      </c>
      <c r="Q17" s="144"/>
      <c r="R17" s="155"/>
      <c r="S17" s="162"/>
      <c r="T17" s="161"/>
      <c r="U17" s="160">
        <v>0</v>
      </c>
      <c r="V17" s="142">
        <f t="shared" si="4"/>
        <v>931</v>
      </c>
      <c r="W17" s="3">
        <v>218</v>
      </c>
      <c r="X17" s="176">
        <v>3917569</v>
      </c>
      <c r="Y17" s="31">
        <v>713</v>
      </c>
      <c r="Z17" s="175">
        <v>3026813.3400000003</v>
      </c>
      <c r="AA17" s="175">
        <f t="shared" si="5"/>
        <v>6944382.3399999999</v>
      </c>
      <c r="AB17" s="102">
        <f t="shared" si="6"/>
        <v>478.19737914887753</v>
      </c>
      <c r="AC17" s="195">
        <v>0</v>
      </c>
      <c r="AD17" s="3">
        <v>0</v>
      </c>
      <c r="AE17" s="3">
        <v>80.318319999999758</v>
      </c>
      <c r="AF17" s="3">
        <v>0</v>
      </c>
      <c r="AG17" s="3">
        <f t="shared" si="7"/>
        <v>80.318319999999758</v>
      </c>
      <c r="AH17" s="176">
        <f t="shared" si="8"/>
        <v>2371264.5341333263</v>
      </c>
      <c r="AI17" s="40">
        <f t="shared" si="9"/>
        <v>163.28773819951289</v>
      </c>
      <c r="AJ17" s="111">
        <v>86.990000000005239</v>
      </c>
      <c r="AK17" s="176">
        <v>1043880.0000000629</v>
      </c>
      <c r="AL17" s="36">
        <f t="shared" si="10"/>
        <v>71.882660790529044</v>
      </c>
      <c r="AM17" s="7"/>
    </row>
    <row r="18" spans="1:39" ht="15" x14ac:dyDescent="0.25">
      <c r="A18" s="33"/>
      <c r="B18" s="52">
        <v>7</v>
      </c>
      <c r="C18" s="172">
        <v>5</v>
      </c>
      <c r="D18" s="173">
        <v>33</v>
      </c>
      <c r="E18" s="179">
        <v>10560.0000000004</v>
      </c>
      <c r="F18" s="176">
        <v>10937836.800000414</v>
      </c>
      <c r="G18" s="176">
        <v>2199.9999999999318</v>
      </c>
      <c r="H18" s="176">
        <v>3418073.9999998943</v>
      </c>
      <c r="I18" s="180">
        <f t="shared" si="0"/>
        <v>15073706.340000324</v>
      </c>
      <c r="J18" s="179">
        <v>1200.0000000000455</v>
      </c>
      <c r="K18" s="176">
        <v>1242936.000000047</v>
      </c>
      <c r="L18" s="181">
        <v>300.00000000001137</v>
      </c>
      <c r="M18" s="181">
        <v>466101.0000000177</v>
      </c>
      <c r="N18" s="180">
        <f t="shared" si="1"/>
        <v>1794488.8500000681</v>
      </c>
      <c r="O18" s="177">
        <f t="shared" si="2"/>
        <v>16868195.190000392</v>
      </c>
      <c r="P18" s="178">
        <f t="shared" si="3"/>
        <v>14260.000000000387</v>
      </c>
      <c r="Q18" s="144"/>
      <c r="R18" s="155"/>
      <c r="S18" s="162"/>
      <c r="T18" s="161"/>
      <c r="U18" s="160">
        <v>0</v>
      </c>
      <c r="V18" s="142">
        <f t="shared" si="4"/>
        <v>940</v>
      </c>
      <c r="W18" s="3">
        <v>217</v>
      </c>
      <c r="X18" s="176">
        <v>3899598.5</v>
      </c>
      <c r="Y18" s="31">
        <v>723</v>
      </c>
      <c r="Z18" s="175">
        <v>3069265.14</v>
      </c>
      <c r="AA18" s="175">
        <f t="shared" si="5"/>
        <v>6968863.6400000006</v>
      </c>
      <c r="AB18" s="102">
        <f t="shared" si="6"/>
        <v>479.88318688885835</v>
      </c>
      <c r="AC18" s="195">
        <v>0</v>
      </c>
      <c r="AD18" s="3">
        <v>0</v>
      </c>
      <c r="AE18" s="3">
        <v>83.500440000000069</v>
      </c>
      <c r="AF18" s="3">
        <v>24</v>
      </c>
      <c r="AG18" s="3">
        <f t="shared" si="7"/>
        <v>107.50044000000007</v>
      </c>
      <c r="AH18" s="176">
        <f t="shared" si="8"/>
        <v>3173771.3236000021</v>
      </c>
      <c r="AI18" s="40">
        <f t="shared" si="9"/>
        <v>218.54918906486725</v>
      </c>
      <c r="AJ18" s="111">
        <v>293.36000000000058</v>
      </c>
      <c r="AK18" s="176">
        <v>3520320.000000007</v>
      </c>
      <c r="AL18" s="36">
        <f t="shared" si="10"/>
        <v>242.41289078639355</v>
      </c>
      <c r="AM18" s="7"/>
    </row>
    <row r="19" spans="1:39" ht="15" x14ac:dyDescent="0.25">
      <c r="A19" s="33"/>
      <c r="B19" s="52">
        <v>8</v>
      </c>
      <c r="C19" s="172">
        <v>4</v>
      </c>
      <c r="D19" s="173">
        <v>45</v>
      </c>
      <c r="E19" s="179">
        <v>10199.999999999818</v>
      </c>
      <c r="F19" s="176">
        <v>10564955.999999812</v>
      </c>
      <c r="G19" s="176">
        <v>2120.0000000001182</v>
      </c>
      <c r="H19" s="176">
        <v>3293780.4000001838</v>
      </c>
      <c r="I19" s="180">
        <f t="shared" si="0"/>
        <v>14551673.219999995</v>
      </c>
      <c r="J19" s="179">
        <v>1220.0000000000273</v>
      </c>
      <c r="K19" s="176">
        <v>1263651.6000000283</v>
      </c>
      <c r="L19" s="181">
        <v>359.99999999998522</v>
      </c>
      <c r="M19" s="181">
        <v>559321.19999997702</v>
      </c>
      <c r="N19" s="180">
        <f t="shared" si="1"/>
        <v>1914121.4400000058</v>
      </c>
      <c r="O19" s="177">
        <f t="shared" si="2"/>
        <v>16465794.66</v>
      </c>
      <c r="P19" s="178">
        <f t="shared" si="3"/>
        <v>13899.999999999949</v>
      </c>
      <c r="Q19" s="144"/>
      <c r="R19" s="155"/>
      <c r="S19" s="162"/>
      <c r="T19" s="161"/>
      <c r="U19" s="160">
        <v>0</v>
      </c>
      <c r="V19" s="142">
        <f t="shared" si="4"/>
        <v>943</v>
      </c>
      <c r="W19" s="3">
        <v>218</v>
      </c>
      <c r="X19" s="176">
        <v>3917569</v>
      </c>
      <c r="Y19" s="31">
        <v>725</v>
      </c>
      <c r="Z19" s="175">
        <v>3077755.5</v>
      </c>
      <c r="AA19" s="175">
        <f t="shared" si="5"/>
        <v>6995324.5</v>
      </c>
      <c r="AB19" s="102">
        <f t="shared" si="6"/>
        <v>481.70530918606255</v>
      </c>
      <c r="AC19" s="195">
        <v>0</v>
      </c>
      <c r="AD19" s="3">
        <v>0</v>
      </c>
      <c r="AE19" s="3">
        <v>97.759559999999922</v>
      </c>
      <c r="AF19" s="3">
        <v>0</v>
      </c>
      <c r="AG19" s="3">
        <f t="shared" si="7"/>
        <v>97.759559999999922</v>
      </c>
      <c r="AH19" s="176">
        <f t="shared" si="8"/>
        <v>2886188.0763999978</v>
      </c>
      <c r="AI19" s="40">
        <f t="shared" si="9"/>
        <v>198.74590802919693</v>
      </c>
      <c r="AJ19" s="111">
        <v>106.80000000000291</v>
      </c>
      <c r="AK19" s="176">
        <v>1281600.0000000349</v>
      </c>
      <c r="AL19" s="36">
        <f t="shared" si="10"/>
        <v>88.252306844789629</v>
      </c>
      <c r="AM19" s="7"/>
    </row>
    <row r="20" spans="1:39" ht="15" x14ac:dyDescent="0.25">
      <c r="A20" s="33"/>
      <c r="B20" s="52">
        <v>9</v>
      </c>
      <c r="C20" s="172">
        <v>3</v>
      </c>
      <c r="D20" s="173">
        <v>36</v>
      </c>
      <c r="E20" s="179">
        <v>10319.999999999709</v>
      </c>
      <c r="F20" s="176">
        <v>10689249.599999698</v>
      </c>
      <c r="G20" s="176">
        <v>1960.0000000000364</v>
      </c>
      <c r="H20" s="176">
        <v>3045193.2000000565</v>
      </c>
      <c r="I20" s="180">
        <f t="shared" si="0"/>
        <v>14421164.939999742</v>
      </c>
      <c r="J20" s="179">
        <v>1199.9999999999318</v>
      </c>
      <c r="K20" s="176">
        <v>1242935.9999999292</v>
      </c>
      <c r="L20" s="181">
        <v>300.00000000001137</v>
      </c>
      <c r="M20" s="181">
        <v>466101.0000000177</v>
      </c>
      <c r="N20" s="180">
        <f t="shared" si="1"/>
        <v>1794488.8499999444</v>
      </c>
      <c r="O20" s="177">
        <f t="shared" si="2"/>
        <v>16215653.789999686</v>
      </c>
      <c r="P20" s="178">
        <f t="shared" si="3"/>
        <v>13779.999999999687</v>
      </c>
      <c r="Q20" s="144"/>
      <c r="R20" s="155"/>
      <c r="S20" s="162"/>
      <c r="T20" s="161"/>
      <c r="U20" s="160">
        <v>0</v>
      </c>
      <c r="V20" s="142">
        <f t="shared" si="4"/>
        <v>954</v>
      </c>
      <c r="W20" s="3">
        <v>218</v>
      </c>
      <c r="X20" s="176">
        <v>3917569</v>
      </c>
      <c r="Y20" s="31">
        <v>736</v>
      </c>
      <c r="Z20" s="175">
        <v>3124452.4800000004</v>
      </c>
      <c r="AA20" s="175">
        <f t="shared" si="5"/>
        <v>7042021.4800000004</v>
      </c>
      <c r="AB20" s="102">
        <f t="shared" si="6"/>
        <v>484.92091172014875</v>
      </c>
      <c r="AC20" s="195">
        <v>0</v>
      </c>
      <c r="AD20" s="3">
        <v>0</v>
      </c>
      <c r="AE20" s="3">
        <v>68.63711999999984</v>
      </c>
      <c r="AF20" s="3">
        <v>12</v>
      </c>
      <c r="AG20" s="3">
        <f t="shared" si="7"/>
        <v>80.63711999999984</v>
      </c>
      <c r="AH20" s="176">
        <f t="shared" si="8"/>
        <v>2380676.5727999955</v>
      </c>
      <c r="AI20" s="40">
        <f t="shared" si="9"/>
        <v>163.9358609557909</v>
      </c>
      <c r="AJ20" s="111">
        <v>100.69999999999709</v>
      </c>
      <c r="AK20" s="176">
        <v>1208399.9999999651</v>
      </c>
      <c r="AL20" s="36">
        <f t="shared" si="10"/>
        <v>83.211678832114387</v>
      </c>
      <c r="AM20" s="7"/>
    </row>
    <row r="21" spans="1:39" ht="15" x14ac:dyDescent="0.25">
      <c r="A21" s="33"/>
      <c r="B21" s="52">
        <v>10</v>
      </c>
      <c r="C21" s="172">
        <v>3</v>
      </c>
      <c r="D21" s="173">
        <v>28</v>
      </c>
      <c r="E21" s="179">
        <v>9800.0000000001819</v>
      </c>
      <c r="F21" s="176">
        <v>10150644.000000188</v>
      </c>
      <c r="G21" s="176">
        <v>1919.9999999998454</v>
      </c>
      <c r="H21" s="176">
        <v>2983046.3999997601</v>
      </c>
      <c r="I21" s="180">
        <f t="shared" si="0"/>
        <v>13790374.919999946</v>
      </c>
      <c r="J21" s="179">
        <v>1220.0000000000273</v>
      </c>
      <c r="K21" s="176">
        <v>1263651.6000000283</v>
      </c>
      <c r="L21" s="181">
        <v>280.00000000000114</v>
      </c>
      <c r="M21" s="181">
        <v>435027.60000000178</v>
      </c>
      <c r="N21" s="180">
        <f t="shared" si="1"/>
        <v>1783613.1600000316</v>
      </c>
      <c r="O21" s="177">
        <f t="shared" si="2"/>
        <v>15573988.079999978</v>
      </c>
      <c r="P21" s="178">
        <f t="shared" si="3"/>
        <v>13220.000000000056</v>
      </c>
      <c r="Q21" s="144"/>
      <c r="R21" s="155"/>
      <c r="S21" s="162"/>
      <c r="T21" s="161"/>
      <c r="U21" s="160">
        <v>0</v>
      </c>
      <c r="V21" s="142">
        <f t="shared" si="4"/>
        <v>925</v>
      </c>
      <c r="W21" s="3">
        <v>159</v>
      </c>
      <c r="X21" s="176">
        <v>2857309.5</v>
      </c>
      <c r="Y21" s="31">
        <v>766</v>
      </c>
      <c r="Z21" s="175">
        <v>3251807.8800000004</v>
      </c>
      <c r="AA21" s="175">
        <f t="shared" si="5"/>
        <v>6109117.3800000008</v>
      </c>
      <c r="AB21" s="102">
        <f t="shared" si="6"/>
        <v>420.68016664371305</v>
      </c>
      <c r="AC21" s="195">
        <v>0</v>
      </c>
      <c r="AD21" s="3">
        <v>0</v>
      </c>
      <c r="AE21" s="3">
        <v>69.40244000000007</v>
      </c>
      <c r="AF21" s="3">
        <v>12</v>
      </c>
      <c r="AG21" s="3">
        <f t="shared" si="7"/>
        <v>81.40244000000007</v>
      </c>
      <c r="AH21" s="176">
        <f t="shared" si="8"/>
        <v>2403271.370266669</v>
      </c>
      <c r="AI21" s="40">
        <f t="shared" si="9"/>
        <v>165.49176217233639</v>
      </c>
      <c r="AJ21" s="111">
        <v>253.83000000000175</v>
      </c>
      <c r="AK21" s="176">
        <v>3045960.000000021</v>
      </c>
      <c r="AL21" s="36">
        <f t="shared" si="10"/>
        <v>209.74796859936791</v>
      </c>
      <c r="AM21" s="7"/>
    </row>
    <row r="22" spans="1:39" ht="15" x14ac:dyDescent="0.25">
      <c r="A22" s="33"/>
      <c r="B22" s="52">
        <v>11</v>
      </c>
      <c r="C22" s="172">
        <v>6</v>
      </c>
      <c r="D22" s="173">
        <v>42</v>
      </c>
      <c r="E22" s="179">
        <v>9360.0000000005821</v>
      </c>
      <c r="F22" s="176">
        <v>9694900.8000006024</v>
      </c>
      <c r="G22" s="176">
        <v>1880.0000000001091</v>
      </c>
      <c r="H22" s="176">
        <v>2920899.6000001696</v>
      </c>
      <c r="I22" s="180">
        <f t="shared" si="0"/>
        <v>13246590.42000081</v>
      </c>
      <c r="J22" s="179">
        <v>1200.0000000000455</v>
      </c>
      <c r="K22" s="176">
        <v>1242936.000000047</v>
      </c>
      <c r="L22" s="181">
        <v>280.00000000000114</v>
      </c>
      <c r="M22" s="181">
        <v>435027.60000000178</v>
      </c>
      <c r="N22" s="180">
        <f t="shared" si="1"/>
        <v>1761861.7800000513</v>
      </c>
      <c r="O22" s="177">
        <f t="shared" si="2"/>
        <v>15008452.200000862</v>
      </c>
      <c r="P22" s="178">
        <f t="shared" si="3"/>
        <v>12720.000000000739</v>
      </c>
      <c r="Q22" s="144"/>
      <c r="R22" s="155"/>
      <c r="S22" s="162"/>
      <c r="T22" s="161"/>
      <c r="U22" s="160">
        <v>0</v>
      </c>
      <c r="V22" s="142">
        <f t="shared" si="4"/>
        <v>923</v>
      </c>
      <c r="W22" s="3">
        <v>220</v>
      </c>
      <c r="X22" s="176">
        <v>3953510</v>
      </c>
      <c r="Y22" s="31">
        <v>703</v>
      </c>
      <c r="Z22" s="175">
        <v>2984361.54</v>
      </c>
      <c r="AA22" s="175">
        <f t="shared" si="5"/>
        <v>6937871.54</v>
      </c>
      <c r="AB22" s="102">
        <f t="shared" si="6"/>
        <v>477.74903869990362</v>
      </c>
      <c r="AC22" s="195">
        <v>0</v>
      </c>
      <c r="AD22" s="3">
        <v>0</v>
      </c>
      <c r="AE22" s="3">
        <v>76.290320000000207</v>
      </c>
      <c r="AF22" s="3">
        <v>12</v>
      </c>
      <c r="AG22" s="3">
        <f t="shared" si="7"/>
        <v>88.290320000000207</v>
      </c>
      <c r="AH22" s="176">
        <f t="shared" si="8"/>
        <v>2606624.547466673</v>
      </c>
      <c r="AI22" s="40">
        <f t="shared" si="9"/>
        <v>179.49487312124177</v>
      </c>
      <c r="AJ22" s="111">
        <v>267.39999999999418</v>
      </c>
      <c r="AK22" s="176">
        <v>3208799.9999999302</v>
      </c>
      <c r="AL22" s="36">
        <f t="shared" si="10"/>
        <v>220.96130009640063</v>
      </c>
      <c r="AM22" s="7"/>
    </row>
    <row r="23" spans="1:39" ht="15" x14ac:dyDescent="0.25">
      <c r="A23" s="33"/>
      <c r="B23" s="52">
        <v>12</v>
      </c>
      <c r="C23" s="172">
        <v>8</v>
      </c>
      <c r="D23" s="173">
        <v>54</v>
      </c>
      <c r="E23" s="179">
        <v>9479.9999999995634</v>
      </c>
      <c r="F23" s="176">
        <v>9819194.3999995477</v>
      </c>
      <c r="G23" s="176">
        <v>1879.9999999998818</v>
      </c>
      <c r="H23" s="176">
        <v>2920899.5999998166</v>
      </c>
      <c r="I23" s="180">
        <f t="shared" si="0"/>
        <v>13377098.699999334</v>
      </c>
      <c r="J23" s="179">
        <v>1120.0000000000045</v>
      </c>
      <c r="K23" s="176">
        <v>1160073.6000000047</v>
      </c>
      <c r="L23" s="181">
        <v>299.99999999998295</v>
      </c>
      <c r="M23" s="181">
        <v>466100.99999997352</v>
      </c>
      <c r="N23" s="180">
        <f t="shared" si="1"/>
        <v>1707483.3299999773</v>
      </c>
      <c r="O23" s="177">
        <f t="shared" si="2"/>
        <v>15084582.029999312</v>
      </c>
      <c r="P23" s="178">
        <f t="shared" si="3"/>
        <v>12779.999999999434</v>
      </c>
      <c r="Q23" s="144"/>
      <c r="R23" s="155"/>
      <c r="S23" s="162"/>
      <c r="T23" s="161"/>
      <c r="U23" s="160">
        <v>0</v>
      </c>
      <c r="V23" s="142">
        <f t="shared" si="4"/>
        <v>934</v>
      </c>
      <c r="W23" s="3">
        <v>218</v>
      </c>
      <c r="X23" s="176">
        <v>3917569</v>
      </c>
      <c r="Y23" s="31">
        <v>716</v>
      </c>
      <c r="Z23" s="175">
        <v>3039548.8800000004</v>
      </c>
      <c r="AA23" s="175">
        <f t="shared" si="5"/>
        <v>6957117.8800000008</v>
      </c>
      <c r="AB23" s="102">
        <f t="shared" si="6"/>
        <v>479.07436165817387</v>
      </c>
      <c r="AC23" s="195">
        <v>0</v>
      </c>
      <c r="AD23" s="3">
        <v>0</v>
      </c>
      <c r="AE23" s="3">
        <v>63.763239999999698</v>
      </c>
      <c r="AF23" s="3">
        <v>24</v>
      </c>
      <c r="AG23" s="3">
        <f t="shared" si="7"/>
        <v>87.763239999999698</v>
      </c>
      <c r="AH23" s="176">
        <f t="shared" si="8"/>
        <v>2591063.3889333247</v>
      </c>
      <c r="AI23" s="40">
        <f t="shared" si="9"/>
        <v>178.42331558554778</v>
      </c>
      <c r="AJ23" s="111">
        <v>62.399999999994179</v>
      </c>
      <c r="AK23" s="176">
        <v>748799.99999993015</v>
      </c>
      <c r="AL23" s="36">
        <f t="shared" si="10"/>
        <v>51.563145572230418</v>
      </c>
      <c r="AM23" s="7"/>
    </row>
    <row r="24" spans="1:39" ht="15" x14ac:dyDescent="0.25">
      <c r="A24" s="33"/>
      <c r="B24" s="52">
        <v>13</v>
      </c>
      <c r="C24" s="172">
        <v>3</v>
      </c>
      <c r="D24" s="173">
        <v>53</v>
      </c>
      <c r="E24" s="179">
        <v>9680.000000000291</v>
      </c>
      <c r="F24" s="176">
        <v>10026350.4000003</v>
      </c>
      <c r="G24" s="176">
        <v>1800.0000000001819</v>
      </c>
      <c r="H24" s="176">
        <v>2796606.0000002827</v>
      </c>
      <c r="I24" s="180">
        <f t="shared" si="0"/>
        <v>13464104.220000613</v>
      </c>
      <c r="J24" s="179">
        <v>1199.9999999999318</v>
      </c>
      <c r="K24" s="176">
        <v>1242935.9999999292</v>
      </c>
      <c r="L24" s="181">
        <v>280.00000000000114</v>
      </c>
      <c r="M24" s="181">
        <v>435027.60000000178</v>
      </c>
      <c r="N24" s="180">
        <f t="shared" si="1"/>
        <v>1761861.7799999276</v>
      </c>
      <c r="O24" s="177">
        <f t="shared" si="2"/>
        <v>15225966.00000054</v>
      </c>
      <c r="P24" s="178">
        <f t="shared" si="3"/>
        <v>12960.000000000406</v>
      </c>
      <c r="Q24" s="144"/>
      <c r="R24" s="144"/>
      <c r="S24" s="162"/>
      <c r="T24" s="161"/>
      <c r="U24" s="160">
        <v>0</v>
      </c>
      <c r="V24" s="142">
        <f t="shared" si="4"/>
        <v>914</v>
      </c>
      <c r="W24" s="3">
        <v>185</v>
      </c>
      <c r="X24" s="176">
        <v>3324542.5</v>
      </c>
      <c r="Y24" s="31">
        <v>729</v>
      </c>
      <c r="Z24" s="175">
        <v>3094736.22</v>
      </c>
      <c r="AA24" s="175">
        <f t="shared" si="5"/>
        <v>6419278.7200000007</v>
      </c>
      <c r="AB24" s="102">
        <f t="shared" si="6"/>
        <v>442.03819859523486</v>
      </c>
      <c r="AC24" s="195">
        <v>0</v>
      </c>
      <c r="AD24" s="3">
        <v>0</v>
      </c>
      <c r="AE24" s="3">
        <v>83.218480000000326</v>
      </c>
      <c r="AF24" s="3">
        <v>0</v>
      </c>
      <c r="AG24" s="3">
        <f t="shared" si="7"/>
        <v>83.218480000000326</v>
      </c>
      <c r="AH24" s="176">
        <f t="shared" si="8"/>
        <v>2456886.9245333429</v>
      </c>
      <c r="AI24" s="40">
        <f t="shared" si="9"/>
        <v>169.18378491484251</v>
      </c>
      <c r="AJ24" s="111">
        <v>102.27000000000407</v>
      </c>
      <c r="AK24" s="176">
        <v>1227240.0000000489</v>
      </c>
      <c r="AL24" s="36">
        <f t="shared" si="10"/>
        <v>84.509020796036978</v>
      </c>
      <c r="AM24" s="7"/>
    </row>
    <row r="25" spans="1:39" ht="15" x14ac:dyDescent="0.25">
      <c r="A25" s="33"/>
      <c r="B25" s="52">
        <v>14</v>
      </c>
      <c r="C25" s="172">
        <v>4</v>
      </c>
      <c r="D25" s="173">
        <v>59</v>
      </c>
      <c r="E25" s="179">
        <v>9639.9999999994179</v>
      </c>
      <c r="F25" s="176">
        <v>9984919.1999993976</v>
      </c>
      <c r="G25" s="176">
        <v>1919.9999999998454</v>
      </c>
      <c r="H25" s="176">
        <v>2983046.3999997601</v>
      </c>
      <c r="I25" s="180">
        <f t="shared" si="0"/>
        <v>13616363.879999116</v>
      </c>
      <c r="J25" s="179">
        <v>1200.0000000000455</v>
      </c>
      <c r="K25" s="176">
        <v>1242936.000000047</v>
      </c>
      <c r="L25" s="181">
        <v>320.0000000000216</v>
      </c>
      <c r="M25" s="181">
        <v>497174.40000003361</v>
      </c>
      <c r="N25" s="180">
        <f t="shared" si="1"/>
        <v>1827115.9200000849</v>
      </c>
      <c r="O25" s="177">
        <f t="shared" si="2"/>
        <v>15443479.799999202</v>
      </c>
      <c r="P25" s="178">
        <f t="shared" si="3"/>
        <v>13079.999999999331</v>
      </c>
      <c r="Q25" s="145"/>
      <c r="R25" s="145"/>
      <c r="S25" s="162"/>
      <c r="T25" s="161"/>
      <c r="U25" s="160">
        <v>0</v>
      </c>
      <c r="V25" s="142">
        <f t="shared" si="4"/>
        <v>947</v>
      </c>
      <c r="W25" s="3">
        <v>210</v>
      </c>
      <c r="X25" s="176">
        <v>3773805</v>
      </c>
      <c r="Y25" s="31">
        <v>737</v>
      </c>
      <c r="Z25" s="175">
        <v>3128697.66</v>
      </c>
      <c r="AA25" s="175">
        <f t="shared" si="5"/>
        <v>6902502.6600000001</v>
      </c>
      <c r="AB25" s="102">
        <f t="shared" si="6"/>
        <v>475.3135008951935</v>
      </c>
      <c r="AC25" s="195">
        <v>0</v>
      </c>
      <c r="AD25" s="3">
        <v>0</v>
      </c>
      <c r="AE25" s="3">
        <v>77.055639999999514</v>
      </c>
      <c r="AF25" s="3">
        <v>0</v>
      </c>
      <c r="AG25" s="3">
        <f t="shared" si="7"/>
        <v>77.055639999999514</v>
      </c>
      <c r="AH25" s="176">
        <f t="shared" si="8"/>
        <v>2274939.3449333194</v>
      </c>
      <c r="AI25" s="40">
        <f t="shared" si="9"/>
        <v>156.65468564476791</v>
      </c>
      <c r="AJ25" s="111">
        <v>234.30999999999767</v>
      </c>
      <c r="AK25" s="176">
        <v>2811719.9999999721</v>
      </c>
      <c r="AL25" s="36">
        <f t="shared" si="10"/>
        <v>193.61795895881917</v>
      </c>
      <c r="AM25" s="7"/>
    </row>
    <row r="26" spans="1:39" ht="15" x14ac:dyDescent="0.25">
      <c r="A26" s="33"/>
      <c r="B26" s="52">
        <v>15</v>
      </c>
      <c r="C26" s="172">
        <v>5</v>
      </c>
      <c r="D26" s="173">
        <v>36</v>
      </c>
      <c r="E26" s="179">
        <v>9840.0000000001455</v>
      </c>
      <c r="F26" s="176">
        <v>10192075.20000015</v>
      </c>
      <c r="G26" s="176">
        <v>1840.0000000001455</v>
      </c>
      <c r="H26" s="176">
        <v>2858752.8000002261</v>
      </c>
      <c r="I26" s="180">
        <f t="shared" si="0"/>
        <v>13703369.400000395</v>
      </c>
      <c r="J26" s="179">
        <v>1399.9999999999773</v>
      </c>
      <c r="K26" s="176">
        <v>1450091.9999999765</v>
      </c>
      <c r="L26" s="181">
        <v>339.99999999997499</v>
      </c>
      <c r="M26" s="181">
        <v>528247.79999996116</v>
      </c>
      <c r="N26" s="180">
        <f t="shared" si="1"/>
        <v>2077256.7899999346</v>
      </c>
      <c r="O26" s="177">
        <f t="shared" si="2"/>
        <v>15780626.190000329</v>
      </c>
      <c r="P26" s="178">
        <f t="shared" si="3"/>
        <v>13420.000000000244</v>
      </c>
      <c r="Q26" s="144"/>
      <c r="R26" s="155"/>
      <c r="S26" s="162"/>
      <c r="T26" s="161"/>
      <c r="U26" s="160">
        <v>0</v>
      </c>
      <c r="V26" s="142">
        <f t="shared" si="4"/>
        <v>978</v>
      </c>
      <c r="W26" s="3">
        <v>210</v>
      </c>
      <c r="X26" s="176">
        <v>3773805</v>
      </c>
      <c r="Y26" s="31">
        <v>768</v>
      </c>
      <c r="Z26" s="175">
        <v>3260298.24</v>
      </c>
      <c r="AA26" s="175">
        <f t="shared" si="5"/>
        <v>7034103.2400000002</v>
      </c>
      <c r="AB26" s="102">
        <f t="shared" si="6"/>
        <v>484.37565349125464</v>
      </c>
      <c r="AC26" s="195">
        <v>0</v>
      </c>
      <c r="AD26" s="3">
        <v>0</v>
      </c>
      <c r="AE26" s="3">
        <v>85.474160000000097</v>
      </c>
      <c r="AF26" s="3">
        <v>36</v>
      </c>
      <c r="AG26" s="3">
        <f t="shared" si="7"/>
        <v>121.4741600000001</v>
      </c>
      <c r="AH26" s="176">
        <f t="shared" si="8"/>
        <v>3586322.1170666697</v>
      </c>
      <c r="AI26" s="40">
        <f t="shared" si="9"/>
        <v>246.95786510581667</v>
      </c>
      <c r="AJ26" s="111">
        <v>157.29000000000815</v>
      </c>
      <c r="AK26" s="176">
        <v>1887480.0000000978</v>
      </c>
      <c r="AL26" s="36">
        <f t="shared" si="10"/>
        <v>129.97383280540544</v>
      </c>
      <c r="AM26" s="7"/>
    </row>
    <row r="27" spans="1:39" ht="15" x14ac:dyDescent="0.25">
      <c r="A27" s="33"/>
      <c r="B27" s="52">
        <v>16</v>
      </c>
      <c r="C27" s="172">
        <v>3</v>
      </c>
      <c r="D27" s="173">
        <v>48</v>
      </c>
      <c r="E27" s="179">
        <v>10000</v>
      </c>
      <c r="F27" s="176">
        <v>10357800</v>
      </c>
      <c r="G27" s="176">
        <v>1960.0000000000364</v>
      </c>
      <c r="H27" s="176">
        <v>3045193.2000000565</v>
      </c>
      <c r="I27" s="180">
        <f t="shared" si="0"/>
        <v>14073142.860000061</v>
      </c>
      <c r="J27" s="179">
        <v>1259.9999999999909</v>
      </c>
      <c r="K27" s="176">
        <v>1305082.7999999905</v>
      </c>
      <c r="L27" s="181">
        <v>420.00000000001592</v>
      </c>
      <c r="M27" s="181">
        <v>652541.4000000247</v>
      </c>
      <c r="N27" s="180">
        <f t="shared" si="1"/>
        <v>2055505.410000016</v>
      </c>
      <c r="O27" s="177">
        <f t="shared" si="2"/>
        <v>16128648.270000078</v>
      </c>
      <c r="P27" s="178">
        <f t="shared" si="3"/>
        <v>13640.000000000044</v>
      </c>
      <c r="Q27" s="144"/>
      <c r="R27" s="144"/>
      <c r="S27" s="162"/>
      <c r="T27" s="161"/>
      <c r="U27" s="160">
        <v>0</v>
      </c>
      <c r="V27" s="142">
        <f t="shared" si="4"/>
        <v>975</v>
      </c>
      <c r="W27" s="3">
        <v>231</v>
      </c>
      <c r="X27" s="176">
        <v>4151185.5</v>
      </c>
      <c r="Y27" s="31">
        <v>744</v>
      </c>
      <c r="Z27" s="175">
        <v>3158413.9200000004</v>
      </c>
      <c r="AA27" s="175">
        <f t="shared" si="5"/>
        <v>7309599.4199999999</v>
      </c>
      <c r="AB27" s="102">
        <f t="shared" si="6"/>
        <v>503.34660652802643</v>
      </c>
      <c r="AC27" s="195">
        <v>0</v>
      </c>
      <c r="AD27" s="3">
        <v>0</v>
      </c>
      <c r="AE27" s="3">
        <v>84.628279999999961</v>
      </c>
      <c r="AF27" s="3">
        <v>12</v>
      </c>
      <c r="AG27" s="3">
        <f t="shared" si="7"/>
        <v>96.628279999999961</v>
      </c>
      <c r="AH27" s="176">
        <f t="shared" si="8"/>
        <v>2852788.9198666657</v>
      </c>
      <c r="AI27" s="40">
        <f t="shared" si="9"/>
        <v>196.44600742781063</v>
      </c>
      <c r="AJ27" s="111">
        <v>290.70999999999185</v>
      </c>
      <c r="AK27" s="176">
        <v>3488519.9999999022</v>
      </c>
      <c r="AL27" s="36">
        <f t="shared" si="10"/>
        <v>240.22310976448853</v>
      </c>
      <c r="AM27" s="7"/>
    </row>
    <row r="28" spans="1:39" ht="15" x14ac:dyDescent="0.25">
      <c r="A28" s="33"/>
      <c r="B28" s="52">
        <v>17</v>
      </c>
      <c r="C28" s="172">
        <v>2</v>
      </c>
      <c r="D28" s="173">
        <v>24</v>
      </c>
      <c r="E28" s="179">
        <v>10239.999999999782</v>
      </c>
      <c r="F28" s="176">
        <v>10606387.199999774</v>
      </c>
      <c r="G28" s="176">
        <v>1959.999999999809</v>
      </c>
      <c r="H28" s="176">
        <v>3045193.1999997036</v>
      </c>
      <c r="I28" s="180">
        <f t="shared" si="0"/>
        <v>14334159.419999452</v>
      </c>
      <c r="J28" s="179">
        <v>1279.9999999999727</v>
      </c>
      <c r="K28" s="176">
        <v>1325798.3999999717</v>
      </c>
      <c r="L28" s="181">
        <v>299.99999999998295</v>
      </c>
      <c r="M28" s="181">
        <v>466100.99999997352</v>
      </c>
      <c r="N28" s="180">
        <f t="shared" si="1"/>
        <v>1881494.3699999426</v>
      </c>
      <c r="O28" s="177">
        <f t="shared" si="2"/>
        <v>16215653.789999396</v>
      </c>
      <c r="P28" s="178">
        <f t="shared" si="3"/>
        <v>13779.999999999547</v>
      </c>
      <c r="Q28" s="145"/>
      <c r="R28" s="145"/>
      <c r="S28" s="162"/>
      <c r="T28" s="161"/>
      <c r="U28" s="160">
        <v>0</v>
      </c>
      <c r="V28" s="142">
        <f t="shared" si="4"/>
        <v>1000</v>
      </c>
      <c r="W28" s="3">
        <v>225</v>
      </c>
      <c r="X28" s="176">
        <v>4043362.5</v>
      </c>
      <c r="Y28" s="31">
        <v>775</v>
      </c>
      <c r="Z28" s="175">
        <v>3290014.5</v>
      </c>
      <c r="AA28" s="175">
        <f t="shared" si="5"/>
        <v>7333377</v>
      </c>
      <c r="AB28" s="102">
        <f t="shared" si="6"/>
        <v>504.98395537804709</v>
      </c>
      <c r="AC28" s="195">
        <v>0</v>
      </c>
      <c r="AD28" s="3">
        <v>0</v>
      </c>
      <c r="AE28" s="3">
        <v>74.598559999999921</v>
      </c>
      <c r="AF28" s="3">
        <v>24</v>
      </c>
      <c r="AG28" s="3">
        <f t="shared" si="7"/>
        <v>98.598559999999921</v>
      </c>
      <c r="AH28" s="176">
        <f t="shared" si="8"/>
        <v>2910958.1530666645</v>
      </c>
      <c r="AI28" s="40">
        <f t="shared" si="9"/>
        <v>200.45160123031707</v>
      </c>
      <c r="AJ28" s="111">
        <v>104.91999999999825</v>
      </c>
      <c r="AK28" s="176">
        <v>1259039.999999979</v>
      </c>
      <c r="AL28" s="36">
        <f t="shared" si="10"/>
        <v>86.698801817929976</v>
      </c>
      <c r="AM28" s="7"/>
    </row>
    <row r="29" spans="1:39" ht="15" x14ac:dyDescent="0.25">
      <c r="A29" s="33"/>
      <c r="B29" s="52">
        <v>18</v>
      </c>
      <c r="C29" s="172">
        <v>5</v>
      </c>
      <c r="D29" s="173">
        <v>59</v>
      </c>
      <c r="E29" s="179">
        <v>10320.000000000618</v>
      </c>
      <c r="F29" s="176">
        <v>10689249.60000064</v>
      </c>
      <c r="G29" s="176">
        <v>2040.000000000191</v>
      </c>
      <c r="H29" s="176">
        <v>3169486.8000002969</v>
      </c>
      <c r="I29" s="180">
        <f t="shared" si="0"/>
        <v>14551673.220000984</v>
      </c>
      <c r="J29" s="179">
        <v>1200.0000000000455</v>
      </c>
      <c r="K29" s="176">
        <v>1242936.000000047</v>
      </c>
      <c r="L29" s="181">
        <v>300.00000000001137</v>
      </c>
      <c r="M29" s="181">
        <v>466101.0000000177</v>
      </c>
      <c r="N29" s="180">
        <f t="shared" si="1"/>
        <v>1794488.8500000681</v>
      </c>
      <c r="O29" s="177">
        <f t="shared" si="2"/>
        <v>16346162.070001053</v>
      </c>
      <c r="P29" s="178">
        <f t="shared" si="3"/>
        <v>13860.000000000866</v>
      </c>
      <c r="Q29" s="145"/>
      <c r="R29" s="145"/>
      <c r="S29" s="162"/>
      <c r="T29" s="161"/>
      <c r="U29" s="160">
        <v>0</v>
      </c>
      <c r="V29" s="142">
        <f t="shared" si="4"/>
        <v>987</v>
      </c>
      <c r="W29" s="3">
        <v>215</v>
      </c>
      <c r="X29" s="176">
        <v>3863657.5</v>
      </c>
      <c r="Y29" s="31">
        <v>772</v>
      </c>
      <c r="Z29" s="175">
        <v>3277278.9600000004</v>
      </c>
      <c r="AA29" s="175">
        <f t="shared" si="5"/>
        <v>7140936.4600000009</v>
      </c>
      <c r="AB29" s="102">
        <f t="shared" si="6"/>
        <v>491.73229995868343</v>
      </c>
      <c r="AC29" s="195">
        <v>0</v>
      </c>
      <c r="AD29" s="3">
        <v>0</v>
      </c>
      <c r="AE29" s="3">
        <v>70.006640000000431</v>
      </c>
      <c r="AF29" s="3">
        <v>24</v>
      </c>
      <c r="AG29" s="3">
        <f t="shared" si="7"/>
        <v>94.006640000000431</v>
      </c>
      <c r="AH29" s="176">
        <f t="shared" si="8"/>
        <v>2775389.3682666798</v>
      </c>
      <c r="AI29" s="40">
        <f t="shared" si="9"/>
        <v>191.11619393104806</v>
      </c>
      <c r="AJ29" s="111">
        <v>301.99000000000524</v>
      </c>
      <c r="AK29" s="176">
        <v>3623880.0000000629</v>
      </c>
      <c r="AL29" s="36">
        <f t="shared" si="10"/>
        <v>249.5441399256344</v>
      </c>
      <c r="AM29" s="7"/>
    </row>
    <row r="30" spans="1:39" ht="15" x14ac:dyDescent="0.25">
      <c r="A30" s="33"/>
      <c r="B30" s="52">
        <v>19</v>
      </c>
      <c r="C30" s="172">
        <v>8</v>
      </c>
      <c r="D30" s="173">
        <v>168</v>
      </c>
      <c r="E30" s="179">
        <v>10880.000000000109</v>
      </c>
      <c r="F30" s="176">
        <v>11269286.400000112</v>
      </c>
      <c r="G30" s="176">
        <v>2119.9999999998909</v>
      </c>
      <c r="H30" s="176">
        <v>3293780.3999998304</v>
      </c>
      <c r="I30" s="180">
        <f t="shared" si="0"/>
        <v>15291220.139999941</v>
      </c>
      <c r="J30" s="179">
        <v>1460.0000000000364</v>
      </c>
      <c r="K30" s="176">
        <v>1512238.8000000375</v>
      </c>
      <c r="L30" s="181">
        <v>340.00000000000341</v>
      </c>
      <c r="M30" s="181">
        <v>528247.80000000529</v>
      </c>
      <c r="N30" s="180">
        <f t="shared" si="1"/>
        <v>2142510.9300000453</v>
      </c>
      <c r="O30" s="177">
        <f t="shared" si="2"/>
        <v>17433731.069999985</v>
      </c>
      <c r="P30" s="178">
        <f t="shared" si="3"/>
        <v>14800.00000000004</v>
      </c>
      <c r="Q30" s="144"/>
      <c r="R30" s="144"/>
      <c r="S30" s="162"/>
      <c r="T30" s="161"/>
      <c r="U30" s="160">
        <v>0</v>
      </c>
      <c r="V30" s="142">
        <f t="shared" si="4"/>
        <v>925</v>
      </c>
      <c r="W30" s="3">
        <v>215</v>
      </c>
      <c r="X30" s="176">
        <v>3863657.5</v>
      </c>
      <c r="Y30" s="31">
        <v>710</v>
      </c>
      <c r="Z30" s="175">
        <v>3014077.8000000003</v>
      </c>
      <c r="AA30" s="175">
        <f t="shared" si="5"/>
        <v>6877735.3000000007</v>
      </c>
      <c r="AB30" s="102">
        <f t="shared" si="6"/>
        <v>473.60799476656115</v>
      </c>
      <c r="AC30" s="195">
        <v>0</v>
      </c>
      <c r="AD30" s="3">
        <v>0</v>
      </c>
      <c r="AE30" s="3">
        <v>68.677399999999807</v>
      </c>
      <c r="AF30" s="3">
        <v>0</v>
      </c>
      <c r="AG30" s="3">
        <f t="shared" si="7"/>
        <v>68.677399999999807</v>
      </c>
      <c r="AH30" s="176">
        <f t="shared" si="8"/>
        <v>2027585.7726666611</v>
      </c>
      <c r="AI30" s="40">
        <f t="shared" si="9"/>
        <v>139.62166180048624</v>
      </c>
      <c r="AJ30" s="111">
        <v>66.990000000005239</v>
      </c>
      <c r="AK30" s="176">
        <v>803880.00000006286</v>
      </c>
      <c r="AL30" s="36">
        <f t="shared" si="10"/>
        <v>55.356011568658786</v>
      </c>
      <c r="AM30" s="7"/>
    </row>
    <row r="31" spans="1:39" ht="15" x14ac:dyDescent="0.25">
      <c r="A31" s="33"/>
      <c r="B31" s="52">
        <v>20</v>
      </c>
      <c r="C31" s="172">
        <v>5</v>
      </c>
      <c r="D31" s="173">
        <v>114</v>
      </c>
      <c r="E31" s="179">
        <v>10799.999999999272</v>
      </c>
      <c r="F31" s="176">
        <v>11186423.999999246</v>
      </c>
      <c r="G31" s="176">
        <v>2079.9999999999272</v>
      </c>
      <c r="H31" s="176">
        <v>3231633.5999998869</v>
      </c>
      <c r="I31" s="180">
        <f t="shared" si="0"/>
        <v>15138960.479999091</v>
      </c>
      <c r="J31" s="179">
        <v>1279.9999999999727</v>
      </c>
      <c r="K31" s="176">
        <v>1325798.3999999717</v>
      </c>
      <c r="L31" s="181">
        <v>340.00000000000341</v>
      </c>
      <c r="M31" s="181">
        <v>528247.80000000529</v>
      </c>
      <c r="N31" s="180">
        <f t="shared" si="1"/>
        <v>1946748.5099999758</v>
      </c>
      <c r="O31" s="177">
        <f t="shared" si="2"/>
        <v>17085708.989999067</v>
      </c>
      <c r="P31" s="178">
        <f t="shared" si="3"/>
        <v>14499.999999999176</v>
      </c>
      <c r="Q31" s="145"/>
      <c r="R31" s="145"/>
      <c r="S31" s="162"/>
      <c r="T31" s="161"/>
      <c r="U31" s="160">
        <v>0</v>
      </c>
      <c r="V31" s="142">
        <f t="shared" si="4"/>
        <v>950</v>
      </c>
      <c r="W31" s="3">
        <v>226</v>
      </c>
      <c r="X31" s="176">
        <v>4061333</v>
      </c>
      <c r="Y31" s="31">
        <v>724</v>
      </c>
      <c r="Z31" s="175">
        <v>3073510.3200000003</v>
      </c>
      <c r="AA31" s="175">
        <f t="shared" si="5"/>
        <v>7134843.3200000003</v>
      </c>
      <c r="AB31" s="102">
        <f t="shared" si="6"/>
        <v>491.3127200110178</v>
      </c>
      <c r="AC31" s="195">
        <v>0</v>
      </c>
      <c r="AD31" s="3">
        <v>0</v>
      </c>
      <c r="AE31" s="3">
        <v>90.831399999999803</v>
      </c>
      <c r="AF31" s="3">
        <v>0</v>
      </c>
      <c r="AG31" s="3">
        <f t="shared" si="7"/>
        <v>90.831399999999803</v>
      </c>
      <c r="AH31" s="176">
        <f t="shared" si="8"/>
        <v>2681645.6993333278</v>
      </c>
      <c r="AI31" s="40">
        <f t="shared" si="9"/>
        <v>184.66090754257868</v>
      </c>
      <c r="AJ31" s="111">
        <v>156.26999999998952</v>
      </c>
      <c r="AK31" s="176">
        <v>1875239.9999998743</v>
      </c>
      <c r="AL31" s="36">
        <f t="shared" si="10"/>
        <v>129.13097369507466</v>
      </c>
      <c r="AM31" s="7"/>
    </row>
    <row r="32" spans="1:39" ht="15" x14ac:dyDescent="0.25">
      <c r="A32" s="33"/>
      <c r="B32" s="52">
        <v>21</v>
      </c>
      <c r="C32" s="172">
        <v>4</v>
      </c>
      <c r="D32" s="173">
        <v>34</v>
      </c>
      <c r="E32" s="179">
        <v>9160.000000000764</v>
      </c>
      <c r="F32" s="176">
        <v>9487744.8000007905</v>
      </c>
      <c r="G32" s="176">
        <v>1720.0000000000273</v>
      </c>
      <c r="H32" s="176">
        <v>2672312.4000000427</v>
      </c>
      <c r="I32" s="180">
        <f t="shared" si="0"/>
        <v>12768060.060000876</v>
      </c>
      <c r="J32" s="179">
        <v>1120.0000000000045</v>
      </c>
      <c r="K32" s="176">
        <v>1160073.6000000047</v>
      </c>
      <c r="L32" s="181">
        <v>280.00000000000114</v>
      </c>
      <c r="M32" s="181">
        <v>435027.60000000178</v>
      </c>
      <c r="N32" s="180">
        <f t="shared" si="1"/>
        <v>1674856.2600000068</v>
      </c>
      <c r="O32" s="177">
        <f t="shared" si="2"/>
        <v>14442916.320000883</v>
      </c>
      <c r="P32" s="178">
        <f t="shared" si="3"/>
        <v>12280.000000000799</v>
      </c>
      <c r="Q32" s="144"/>
      <c r="R32" s="156"/>
      <c r="S32" s="162"/>
      <c r="T32" s="161"/>
      <c r="U32" s="160">
        <v>0</v>
      </c>
      <c r="V32" s="142">
        <f t="shared" si="4"/>
        <v>867</v>
      </c>
      <c r="W32" s="3">
        <v>181</v>
      </c>
      <c r="X32" s="176">
        <v>3252660.5</v>
      </c>
      <c r="Y32" s="31">
        <v>686</v>
      </c>
      <c r="Z32" s="175">
        <v>2912193.48</v>
      </c>
      <c r="AA32" s="175">
        <f t="shared" si="5"/>
        <v>6164853.9800000004</v>
      </c>
      <c r="AB32" s="102">
        <f t="shared" si="6"/>
        <v>424.51824679796175</v>
      </c>
      <c r="AC32" s="195">
        <v>0</v>
      </c>
      <c r="AD32" s="3">
        <v>0</v>
      </c>
      <c r="AE32" s="3">
        <v>80.278040000000246</v>
      </c>
      <c r="AF32" s="3">
        <v>0</v>
      </c>
      <c r="AG32" s="3">
        <f t="shared" si="7"/>
        <v>80.278040000000246</v>
      </c>
      <c r="AH32" s="176">
        <f t="shared" si="8"/>
        <v>2370075.3342666742</v>
      </c>
      <c r="AI32" s="40">
        <f t="shared" si="9"/>
        <v>163.20584866180101</v>
      </c>
      <c r="AJ32" s="111">
        <v>255.90000000000873</v>
      </c>
      <c r="AK32" s="176">
        <v>3070800.0000001048</v>
      </c>
      <c r="AL32" s="36">
        <f t="shared" si="10"/>
        <v>211.45847679383726</v>
      </c>
      <c r="AM32" s="7"/>
    </row>
    <row r="33" spans="1:39" ht="15" x14ac:dyDescent="0.25">
      <c r="A33" s="33"/>
      <c r="B33" s="52">
        <v>22</v>
      </c>
      <c r="C33" s="172">
        <v>5</v>
      </c>
      <c r="D33" s="173">
        <v>37</v>
      </c>
      <c r="E33" s="179">
        <v>9359.9999999996726</v>
      </c>
      <c r="F33" s="176">
        <v>9694900.7999996599</v>
      </c>
      <c r="G33" s="176">
        <v>1920.0000000000728</v>
      </c>
      <c r="H33" s="176">
        <v>2983046.4000001131</v>
      </c>
      <c r="I33" s="180">
        <f t="shared" si="0"/>
        <v>13311844.559999762</v>
      </c>
      <c r="J33" s="179">
        <v>1100.0000000000227</v>
      </c>
      <c r="K33" s="176">
        <v>1139358.0000000235</v>
      </c>
      <c r="L33" s="181">
        <v>299.99999999998295</v>
      </c>
      <c r="M33" s="181">
        <v>466100.99999997352</v>
      </c>
      <c r="N33" s="180">
        <f t="shared" si="1"/>
        <v>1685731.9499999969</v>
      </c>
      <c r="O33" s="177">
        <f t="shared" si="2"/>
        <v>14997576.509999759</v>
      </c>
      <c r="P33" s="178">
        <f t="shared" si="3"/>
        <v>12679.999999999751</v>
      </c>
      <c r="Q33" s="144"/>
      <c r="R33" s="157"/>
      <c r="S33" s="162"/>
      <c r="T33" s="161"/>
      <c r="U33" s="160">
        <v>0</v>
      </c>
      <c r="V33" s="142">
        <f t="shared" si="4"/>
        <v>773</v>
      </c>
      <c r="W33" s="3">
        <v>13</v>
      </c>
      <c r="X33" s="176">
        <v>233616.5</v>
      </c>
      <c r="Y33" s="31">
        <v>760</v>
      </c>
      <c r="Z33" s="175">
        <v>3226336.8000000003</v>
      </c>
      <c r="AA33" s="175">
        <f t="shared" si="5"/>
        <v>3459953.3000000003</v>
      </c>
      <c r="AB33" s="102">
        <f t="shared" si="6"/>
        <v>238.25597713813525</v>
      </c>
      <c r="AC33" s="195">
        <v>0</v>
      </c>
      <c r="AD33" s="3">
        <v>0</v>
      </c>
      <c r="AE33" s="3">
        <v>93.610720000000029</v>
      </c>
      <c r="AF33" s="3">
        <v>24</v>
      </c>
      <c r="AG33" s="3">
        <f t="shared" si="7"/>
        <v>117.61072000000003</v>
      </c>
      <c r="AH33" s="176">
        <f t="shared" si="8"/>
        <v>3472260.4901333344</v>
      </c>
      <c r="AI33" s="40">
        <f t="shared" si="9"/>
        <v>239.10346303080391</v>
      </c>
      <c r="AJ33" s="111">
        <v>109.09999999999127</v>
      </c>
      <c r="AK33" s="176">
        <v>1309199.9999998952</v>
      </c>
      <c r="AL33" s="36">
        <f t="shared" si="10"/>
        <v>90.152871505295082</v>
      </c>
      <c r="AM33" s="7"/>
    </row>
    <row r="34" spans="1:39" ht="15" x14ac:dyDescent="0.25">
      <c r="A34" s="33"/>
      <c r="B34" s="52">
        <v>23</v>
      </c>
      <c r="C34" s="172">
        <v>5</v>
      </c>
      <c r="D34" s="173">
        <v>45</v>
      </c>
      <c r="E34" s="179">
        <v>9439.9999999995998</v>
      </c>
      <c r="F34" s="176">
        <v>9777763.1999995857</v>
      </c>
      <c r="G34" s="176">
        <v>1839.9999999999181</v>
      </c>
      <c r="H34" s="176">
        <v>2858752.7999998732</v>
      </c>
      <c r="I34" s="180">
        <f t="shared" si="0"/>
        <v>13268341.799999433</v>
      </c>
      <c r="J34" s="179">
        <v>1240.0000000000091</v>
      </c>
      <c r="K34" s="176">
        <v>1284367.2000000095</v>
      </c>
      <c r="L34" s="181">
        <v>320.0000000000216</v>
      </c>
      <c r="M34" s="181">
        <v>497174.40000003361</v>
      </c>
      <c r="N34" s="180">
        <f t="shared" si="1"/>
        <v>1870618.6800000453</v>
      </c>
      <c r="O34" s="177">
        <f t="shared" si="2"/>
        <v>15138960.479999479</v>
      </c>
      <c r="P34" s="178">
        <f t="shared" si="3"/>
        <v>12839.999999999549</v>
      </c>
      <c r="Q34" s="145"/>
      <c r="R34" s="158"/>
      <c r="S34" s="162"/>
      <c r="T34" s="161"/>
      <c r="U34" s="160">
        <v>0</v>
      </c>
      <c r="V34" s="142">
        <f t="shared" si="4"/>
        <v>885</v>
      </c>
      <c r="W34" s="3">
        <v>124</v>
      </c>
      <c r="X34" s="176">
        <v>2228342</v>
      </c>
      <c r="Y34" s="31">
        <v>761</v>
      </c>
      <c r="Z34" s="175">
        <v>3230581.9800000004</v>
      </c>
      <c r="AA34" s="175">
        <f t="shared" si="5"/>
        <v>5458923.9800000004</v>
      </c>
      <c r="AB34" s="102">
        <f t="shared" si="6"/>
        <v>375.90717394298309</v>
      </c>
      <c r="AC34" s="195">
        <v>0</v>
      </c>
      <c r="AD34" s="3">
        <v>0</v>
      </c>
      <c r="AE34" s="3">
        <v>72.101200000000361</v>
      </c>
      <c r="AF34" s="3">
        <v>12</v>
      </c>
      <c r="AG34" s="3">
        <f t="shared" si="7"/>
        <v>84.101200000000361</v>
      </c>
      <c r="AH34" s="176">
        <f t="shared" si="8"/>
        <v>2482947.761333344</v>
      </c>
      <c r="AI34" s="40">
        <f t="shared" si="9"/>
        <v>170.97836119910096</v>
      </c>
      <c r="AJ34" s="111">
        <v>283.40000000000873</v>
      </c>
      <c r="AK34" s="176">
        <v>3400800.0000001048</v>
      </c>
      <c r="AL34" s="36">
        <f t="shared" si="10"/>
        <v>234.18261947390889</v>
      </c>
      <c r="AM34" s="7"/>
    </row>
    <row r="35" spans="1:39" ht="15" x14ac:dyDescent="0.25">
      <c r="A35" s="33"/>
      <c r="B35" s="52">
        <v>24</v>
      </c>
      <c r="C35" s="172">
        <v>7</v>
      </c>
      <c r="D35" s="173">
        <v>55</v>
      </c>
      <c r="E35" s="179">
        <v>10039.999999999964</v>
      </c>
      <c r="F35" s="176">
        <v>10399231.199999962</v>
      </c>
      <c r="G35" s="176">
        <v>2039.9999999999636</v>
      </c>
      <c r="H35" s="176">
        <v>3169486.7999999435</v>
      </c>
      <c r="I35" s="180">
        <f t="shared" si="0"/>
        <v>14247153.899999902</v>
      </c>
      <c r="J35" s="179">
        <v>1439.9999999999409</v>
      </c>
      <c r="K35" s="176">
        <v>1491523.1999999387</v>
      </c>
      <c r="L35" s="181">
        <v>379.99999999999545</v>
      </c>
      <c r="M35" s="181">
        <v>590394.59999999299</v>
      </c>
      <c r="N35" s="180">
        <f t="shared" si="1"/>
        <v>2186013.6899999287</v>
      </c>
      <c r="O35" s="177">
        <f t="shared" si="2"/>
        <v>16433167.58999983</v>
      </c>
      <c r="P35" s="178">
        <f t="shared" si="3"/>
        <v>13899.999999999865</v>
      </c>
      <c r="Q35" s="144"/>
      <c r="R35" s="156"/>
      <c r="S35" s="162"/>
      <c r="T35" s="161"/>
      <c r="U35" s="160">
        <v>0</v>
      </c>
      <c r="V35" s="142">
        <f t="shared" si="4"/>
        <v>956</v>
      </c>
      <c r="W35" s="3">
        <v>156</v>
      </c>
      <c r="X35" s="176">
        <v>2803398</v>
      </c>
      <c r="Y35" s="31">
        <v>800</v>
      </c>
      <c r="Z35" s="175">
        <v>3396144</v>
      </c>
      <c r="AA35" s="175">
        <f t="shared" si="5"/>
        <v>6199542</v>
      </c>
      <c r="AB35" s="102">
        <f t="shared" si="6"/>
        <v>426.90689987605015</v>
      </c>
      <c r="AC35" s="195">
        <v>0</v>
      </c>
      <c r="AD35" s="3">
        <v>0</v>
      </c>
      <c r="AE35" s="3">
        <v>89.62299999999999</v>
      </c>
      <c r="AF35" s="3">
        <v>0</v>
      </c>
      <c r="AG35" s="3">
        <f t="shared" si="7"/>
        <v>89.62299999999999</v>
      </c>
      <c r="AH35" s="176">
        <f t="shared" si="8"/>
        <v>2645969.7033333331</v>
      </c>
      <c r="AI35" s="40">
        <f t="shared" si="9"/>
        <v>182.20422141119221</v>
      </c>
      <c r="AJ35" s="111">
        <v>97.30000000000291</v>
      </c>
      <c r="AK35" s="176">
        <v>1167600.0000000349</v>
      </c>
      <c r="AL35" s="36">
        <f t="shared" si="10"/>
        <v>80.40214846440125</v>
      </c>
      <c r="AM35" s="7"/>
    </row>
    <row r="36" spans="1:39" ht="15" x14ac:dyDescent="0.25">
      <c r="A36" s="33"/>
      <c r="B36" s="52">
        <v>25</v>
      </c>
      <c r="C36" s="172">
        <v>9</v>
      </c>
      <c r="D36" s="173">
        <v>55</v>
      </c>
      <c r="E36" s="179">
        <v>10800.000000000182</v>
      </c>
      <c r="F36" s="176">
        <v>11186424.000000188</v>
      </c>
      <c r="G36" s="176">
        <v>2160.0000000000819</v>
      </c>
      <c r="H36" s="176">
        <v>3355927.2000001273</v>
      </c>
      <c r="I36" s="180">
        <f t="shared" si="0"/>
        <v>15269468.760000333</v>
      </c>
      <c r="J36" s="179">
        <v>1580.0000000000409</v>
      </c>
      <c r="K36" s="176">
        <v>1636532.4000000423</v>
      </c>
      <c r="L36" s="181">
        <v>299.99999999998295</v>
      </c>
      <c r="M36" s="181">
        <v>466100.99999997352</v>
      </c>
      <c r="N36" s="180">
        <f t="shared" si="1"/>
        <v>2207765.0700000166</v>
      </c>
      <c r="O36" s="177">
        <f t="shared" si="2"/>
        <v>17477233.830000348</v>
      </c>
      <c r="P36" s="178">
        <f t="shared" si="3"/>
        <v>14840.000000000289</v>
      </c>
      <c r="Q36" s="144"/>
      <c r="R36" s="156"/>
      <c r="S36" s="162"/>
      <c r="T36" s="161"/>
      <c r="U36" s="160">
        <v>0</v>
      </c>
      <c r="V36" s="142">
        <f t="shared" si="4"/>
        <v>917</v>
      </c>
      <c r="W36" s="3">
        <v>157</v>
      </c>
      <c r="X36" s="176">
        <v>2821368.5</v>
      </c>
      <c r="Y36" s="31">
        <v>760</v>
      </c>
      <c r="Z36" s="175">
        <v>3226336.8000000003</v>
      </c>
      <c r="AA36" s="175">
        <f t="shared" si="5"/>
        <v>6047705.3000000007</v>
      </c>
      <c r="AB36" s="102">
        <f t="shared" si="6"/>
        <v>416.45126704310707</v>
      </c>
      <c r="AC36" s="195">
        <v>0</v>
      </c>
      <c r="AD36" s="3">
        <v>0</v>
      </c>
      <c r="AE36" s="3">
        <v>82.936519999999661</v>
      </c>
      <c r="AF36" s="3">
        <v>0</v>
      </c>
      <c r="AG36" s="3">
        <f t="shared" si="7"/>
        <v>82.936519999999661</v>
      </c>
      <c r="AH36" s="176">
        <f t="shared" si="8"/>
        <v>2448562.5254666568</v>
      </c>
      <c r="AI36" s="40">
        <f t="shared" si="9"/>
        <v>168.61055815085089</v>
      </c>
      <c r="AJ36" s="111">
        <v>358.58999999999651</v>
      </c>
      <c r="AK36" s="176">
        <v>4303079.9999999581</v>
      </c>
      <c r="AL36" s="36">
        <f t="shared" si="10"/>
        <v>296.31455722352007</v>
      </c>
      <c r="AM36" s="7"/>
    </row>
    <row r="37" spans="1:39" ht="15" x14ac:dyDescent="0.25">
      <c r="A37" s="33"/>
      <c r="B37" s="52">
        <v>26</v>
      </c>
      <c r="C37" s="172">
        <v>12</v>
      </c>
      <c r="D37" s="173">
        <v>91</v>
      </c>
      <c r="E37" s="179">
        <v>10800.000000000182</v>
      </c>
      <c r="F37" s="176">
        <v>11186424.000000188</v>
      </c>
      <c r="G37" s="176">
        <v>2160.0000000000819</v>
      </c>
      <c r="H37" s="176">
        <v>3355927.2000001273</v>
      </c>
      <c r="I37" s="180">
        <f t="shared" si="0"/>
        <v>15269468.760000333</v>
      </c>
      <c r="J37" s="179">
        <v>1339.9999999999181</v>
      </c>
      <c r="K37" s="176">
        <v>1387945.1999999152</v>
      </c>
      <c r="L37" s="181">
        <v>360.00000000001364</v>
      </c>
      <c r="M37" s="181">
        <v>559321.20000002126</v>
      </c>
      <c r="N37" s="180">
        <f t="shared" si="1"/>
        <v>2044629.7199999334</v>
      </c>
      <c r="O37" s="177">
        <f t="shared" si="2"/>
        <v>17314098.480000265</v>
      </c>
      <c r="P37" s="178">
        <f t="shared" si="3"/>
        <v>14660.000000000196</v>
      </c>
      <c r="Q37" s="144"/>
      <c r="R37" s="156"/>
      <c r="S37" s="162"/>
      <c r="T37" s="161"/>
      <c r="U37" s="160">
        <v>0</v>
      </c>
      <c r="V37" s="142">
        <f t="shared" si="4"/>
        <v>873</v>
      </c>
      <c r="W37" s="3">
        <v>157</v>
      </c>
      <c r="X37" s="176">
        <v>2821368.5</v>
      </c>
      <c r="Y37" s="31">
        <v>716</v>
      </c>
      <c r="Z37" s="175">
        <v>3039548.8800000004</v>
      </c>
      <c r="AA37" s="175">
        <f t="shared" si="5"/>
        <v>5860917.3800000008</v>
      </c>
      <c r="AB37" s="102">
        <f t="shared" si="6"/>
        <v>403.5888569067622</v>
      </c>
      <c r="AC37" s="195">
        <v>0</v>
      </c>
      <c r="AD37" s="3">
        <v>0</v>
      </c>
      <c r="AE37" s="3">
        <v>73.430440000000061</v>
      </c>
      <c r="AF37" s="3">
        <v>12</v>
      </c>
      <c r="AG37" s="3">
        <f t="shared" si="7"/>
        <v>85.430440000000061</v>
      </c>
      <c r="AH37" s="176">
        <f t="shared" si="8"/>
        <v>2522191.3569333353</v>
      </c>
      <c r="AI37" s="40">
        <f t="shared" si="9"/>
        <v>173.6807159436259</v>
      </c>
      <c r="AJ37" s="111">
        <v>267.50999999999476</v>
      </c>
      <c r="AK37" s="176">
        <v>3210119.9999999371</v>
      </c>
      <c r="AL37" s="36">
        <f t="shared" si="10"/>
        <v>221.05219666712142</v>
      </c>
      <c r="AM37" s="7"/>
    </row>
    <row r="38" spans="1:39" ht="15" x14ac:dyDescent="0.25">
      <c r="A38" s="33"/>
      <c r="B38" s="52">
        <v>27</v>
      </c>
      <c r="C38" s="172">
        <v>9</v>
      </c>
      <c r="D38" s="173">
        <v>115</v>
      </c>
      <c r="E38" s="179">
        <v>11920.000000000073</v>
      </c>
      <c r="F38" s="176">
        <v>12346497.600000074</v>
      </c>
      <c r="G38" s="176">
        <v>2480.0000000000182</v>
      </c>
      <c r="H38" s="176">
        <v>3853101.6000000285</v>
      </c>
      <c r="I38" s="180">
        <f t="shared" si="0"/>
        <v>17009579.160000108</v>
      </c>
      <c r="J38" s="179">
        <v>1620.0000000000045</v>
      </c>
      <c r="K38" s="176">
        <v>1677963.6000000047</v>
      </c>
      <c r="L38" s="181">
        <v>419.99999999998749</v>
      </c>
      <c r="M38" s="181">
        <v>652541.39999998058</v>
      </c>
      <c r="N38" s="180">
        <f t="shared" si="1"/>
        <v>2447030.2499999846</v>
      </c>
      <c r="O38" s="177">
        <f t="shared" si="2"/>
        <v>19456609.410000093</v>
      </c>
      <c r="P38" s="178">
        <f t="shared" si="3"/>
        <v>16440.000000000084</v>
      </c>
      <c r="Q38" s="144"/>
      <c r="R38" s="156"/>
      <c r="S38" s="162"/>
      <c r="T38" s="161"/>
      <c r="U38" s="160">
        <v>0</v>
      </c>
      <c r="V38" s="142">
        <f t="shared" si="4"/>
        <v>875</v>
      </c>
      <c r="W38" s="3">
        <v>136</v>
      </c>
      <c r="X38" s="176">
        <v>2443988</v>
      </c>
      <c r="Y38" s="31">
        <v>739</v>
      </c>
      <c r="Z38" s="175">
        <v>3137188.02</v>
      </c>
      <c r="AA38" s="175">
        <f t="shared" si="5"/>
        <v>5581176.0199999996</v>
      </c>
      <c r="AB38" s="102">
        <f t="shared" si="6"/>
        <v>384.3255763668916</v>
      </c>
      <c r="AC38" s="195">
        <v>0</v>
      </c>
      <c r="AD38" s="3">
        <v>0</v>
      </c>
      <c r="AE38" s="3">
        <v>72.544279999999958</v>
      </c>
      <c r="AF38" s="3">
        <v>0</v>
      </c>
      <c r="AG38" s="3">
        <f t="shared" si="7"/>
        <v>72.544279999999958</v>
      </c>
      <c r="AH38" s="176">
        <f t="shared" si="8"/>
        <v>2141748.9598666658</v>
      </c>
      <c r="AI38" s="40">
        <f t="shared" si="9"/>
        <v>147.48305742092452</v>
      </c>
      <c r="AJ38" s="111">
        <v>278.24000000000524</v>
      </c>
      <c r="AK38" s="176">
        <v>3338880.0000000629</v>
      </c>
      <c r="AL38" s="36">
        <f t="shared" si="10"/>
        <v>229.91874397466347</v>
      </c>
      <c r="AM38" s="7"/>
    </row>
    <row r="39" spans="1:39" ht="15" x14ac:dyDescent="0.25">
      <c r="A39" s="33"/>
      <c r="B39" s="52">
        <v>28</v>
      </c>
      <c r="C39" s="172">
        <v>10</v>
      </c>
      <c r="D39" s="173">
        <v>99</v>
      </c>
      <c r="E39" s="179">
        <v>12199.999999999818</v>
      </c>
      <c r="F39" s="176">
        <v>12636515.999999812</v>
      </c>
      <c r="G39" s="176">
        <v>2519.9999999999818</v>
      </c>
      <c r="H39" s="176">
        <v>3915248.399999972</v>
      </c>
      <c r="I39" s="180">
        <f t="shared" si="0"/>
        <v>17379352.619999774</v>
      </c>
      <c r="J39" s="179">
        <v>1440.0000000000546</v>
      </c>
      <c r="K39" s="176">
        <v>1491523.2000000565</v>
      </c>
      <c r="L39" s="181">
        <v>439.99999999999773</v>
      </c>
      <c r="M39" s="181">
        <v>683614.79999999655</v>
      </c>
      <c r="N39" s="180">
        <f t="shared" si="1"/>
        <v>2283894.9000000558</v>
      </c>
      <c r="O39" s="177">
        <f t="shared" si="2"/>
        <v>19663247.519999828</v>
      </c>
      <c r="P39" s="178">
        <f t="shared" si="3"/>
        <v>16599.999999999851</v>
      </c>
      <c r="Q39" s="144"/>
      <c r="R39" s="159"/>
      <c r="S39" s="162"/>
      <c r="T39" s="161"/>
      <c r="U39" s="160">
        <v>0</v>
      </c>
      <c r="V39" s="142">
        <f t="shared" si="4"/>
        <v>875</v>
      </c>
      <c r="W39" s="3">
        <v>176</v>
      </c>
      <c r="X39" s="176">
        <v>3162808</v>
      </c>
      <c r="Y39" s="31">
        <v>699</v>
      </c>
      <c r="Z39" s="175">
        <v>2967380.8200000003</v>
      </c>
      <c r="AA39" s="175">
        <f t="shared" si="5"/>
        <v>6130188.8200000003</v>
      </c>
      <c r="AB39" s="102">
        <f t="shared" si="6"/>
        <v>422.13116788321167</v>
      </c>
      <c r="AC39" s="195">
        <v>0</v>
      </c>
      <c r="AD39" s="3">
        <v>0</v>
      </c>
      <c r="AE39" s="3">
        <v>80.157199999999449</v>
      </c>
      <c r="AF39" s="3">
        <v>0</v>
      </c>
      <c r="AG39" s="3">
        <f t="shared" si="7"/>
        <v>80.157199999999449</v>
      </c>
      <c r="AH39" s="176">
        <f t="shared" si="8"/>
        <v>2366507.7346666506</v>
      </c>
      <c r="AI39" s="40">
        <f t="shared" si="9"/>
        <v>162.9601800486607</v>
      </c>
      <c r="AJ39" s="111">
        <v>309.91000000000349</v>
      </c>
      <c r="AK39" s="176">
        <v>3718920.0000000419</v>
      </c>
      <c r="AL39" s="36">
        <f t="shared" si="10"/>
        <v>256.0886930174936</v>
      </c>
      <c r="AM39" s="7"/>
    </row>
    <row r="40" spans="1:39" s="8" customFormat="1" ht="13.5" customHeight="1" x14ac:dyDescent="0.25">
      <c r="A40" s="15"/>
      <c r="B40" s="95"/>
      <c r="C40" s="96"/>
      <c r="D40" s="96"/>
      <c r="E40" s="182"/>
      <c r="F40" s="183"/>
      <c r="G40" s="184"/>
      <c r="H40" s="183"/>
      <c r="I40" s="184"/>
      <c r="J40" s="184"/>
      <c r="K40" s="184"/>
      <c r="L40" s="183"/>
      <c r="M40" s="185"/>
      <c r="N40" s="185"/>
      <c r="O40" s="15"/>
      <c r="P40" s="60"/>
      <c r="Q40" s="15"/>
      <c r="R40" s="79"/>
      <c r="S40" s="7"/>
      <c r="T40" s="15"/>
      <c r="U40" s="32"/>
      <c r="V40" s="103"/>
      <c r="W40" s="15"/>
      <c r="X40" s="15"/>
      <c r="Y40" s="15"/>
      <c r="Z40" s="15"/>
      <c r="AA40" s="15"/>
      <c r="AB40" s="32"/>
      <c r="AC40" s="15"/>
      <c r="AD40" s="7"/>
      <c r="AE40" s="15"/>
      <c r="AF40" s="15"/>
      <c r="AG40" s="15"/>
      <c r="AH40" s="15"/>
      <c r="AI40" s="15"/>
      <c r="AJ40" s="79"/>
      <c r="AK40" s="15"/>
      <c r="AL40" s="32"/>
      <c r="AM40" s="15"/>
    </row>
    <row r="41" spans="1:39" s="8" customFormat="1" ht="6" customHeight="1" x14ac:dyDescent="0.25">
      <c r="A41" s="15"/>
      <c r="B41" s="95"/>
      <c r="C41" s="96"/>
      <c r="D41" s="96"/>
      <c r="E41" s="94"/>
      <c r="F41" s="7"/>
      <c r="G41" s="15"/>
      <c r="H41" s="7"/>
      <c r="I41" s="15"/>
      <c r="J41" s="15"/>
      <c r="K41" s="15"/>
      <c r="L41" s="7"/>
      <c r="M41" s="56"/>
      <c r="N41" s="60"/>
      <c r="O41" s="15"/>
      <c r="P41" s="60"/>
      <c r="Q41" s="15"/>
      <c r="R41" s="79"/>
      <c r="S41" s="16"/>
      <c r="T41" s="16"/>
      <c r="U41" s="32"/>
      <c r="V41" s="103"/>
      <c r="W41" s="15"/>
      <c r="X41" s="15"/>
      <c r="Y41" s="15"/>
      <c r="Z41" s="15"/>
      <c r="AA41" s="15"/>
      <c r="AB41" s="104"/>
      <c r="AC41" s="15"/>
      <c r="AD41" s="7"/>
      <c r="AE41" s="15"/>
      <c r="AF41" s="15"/>
      <c r="AG41" s="15"/>
      <c r="AH41" s="7"/>
      <c r="AI41" s="15"/>
      <c r="AJ41" s="81"/>
      <c r="AK41" s="5"/>
      <c r="AL41" s="37"/>
      <c r="AM41" s="15"/>
    </row>
    <row r="42" spans="1:39" s="8" customFormat="1" ht="16.5" thickBot="1" x14ac:dyDescent="0.3">
      <c r="A42" s="15"/>
      <c r="B42" s="97"/>
      <c r="C42" s="98"/>
      <c r="D42" s="98"/>
      <c r="E42" s="99"/>
      <c r="F42" s="66"/>
      <c r="G42" s="65"/>
      <c r="H42" s="66"/>
      <c r="I42" s="65"/>
      <c r="J42" s="65"/>
      <c r="K42" s="65"/>
      <c r="L42" s="66"/>
      <c r="M42" s="67"/>
      <c r="N42" s="68"/>
      <c r="O42" s="65"/>
      <c r="P42" s="68"/>
      <c r="Q42" s="65"/>
      <c r="R42" s="80"/>
      <c r="S42" s="69"/>
      <c r="T42" s="65"/>
      <c r="U42" s="143"/>
      <c r="V42" s="105"/>
      <c r="W42" s="71"/>
      <c r="X42" s="65"/>
      <c r="Y42" s="65"/>
      <c r="Z42" s="65"/>
      <c r="AA42" s="65"/>
      <c r="AB42" s="70"/>
      <c r="AC42" s="72"/>
      <c r="AD42" s="66"/>
      <c r="AE42" s="72"/>
      <c r="AF42" s="72"/>
      <c r="AG42" s="72"/>
      <c r="AH42" s="66"/>
      <c r="AI42" s="65"/>
      <c r="AJ42" s="112"/>
      <c r="AK42" s="73"/>
      <c r="AL42" s="74"/>
      <c r="AM42" s="15"/>
    </row>
    <row r="43" spans="1:39" ht="17.25" thickTop="1" thickBot="1" x14ac:dyDescent="0.3">
      <c r="A43" s="24"/>
      <c r="B43" s="63"/>
      <c r="C43" s="64">
        <f>SUM(C12:C39)</f>
        <v>160</v>
      </c>
      <c r="D43" s="64">
        <f>SUM(D12:D39)</f>
        <v>1703</v>
      </c>
      <c r="E43" s="186">
        <f>SUM(E12:E39)</f>
        <v>288239.99999999977</v>
      </c>
      <c r="F43" s="186">
        <f>SUM(F12:F39)</f>
        <v>298553227.19999981</v>
      </c>
      <c r="G43" s="186">
        <f>SUM(G12:G39)</f>
        <v>57160.000000000087</v>
      </c>
      <c r="H43" s="186">
        <f>SUM(H12:H39)</f>
        <v>88807777.200000122</v>
      </c>
      <c r="I43" s="186">
        <f>SUM(I12:I39)</f>
        <v>406729054.61999995</v>
      </c>
      <c r="J43" s="186">
        <f>SUM(J12:J39)</f>
        <v>36360.000000000015</v>
      </c>
      <c r="K43" s="186">
        <f>SUM(K12:K39)</f>
        <v>37660960.800000012</v>
      </c>
      <c r="L43" s="186">
        <f>SUM(L12:L39)</f>
        <v>9239.9999999999818</v>
      </c>
      <c r="M43" s="186">
        <f>SUM(M12:M39)</f>
        <v>14355910.799999967</v>
      </c>
      <c r="N43" s="186">
        <f>SUM(N12:N39)</f>
        <v>54617715.179999977</v>
      </c>
      <c r="O43" s="186">
        <f>SUM(O12:O39)</f>
        <v>461346769.79999983</v>
      </c>
      <c r="P43" s="187">
        <f>SUM(P12:P39)</f>
        <v>390999.99999999983</v>
      </c>
      <c r="Q43" s="188"/>
      <c r="R43" s="189"/>
      <c r="S43" s="190"/>
      <c r="T43" s="190"/>
      <c r="U43" s="191"/>
      <c r="V43" s="192">
        <f>SUM(V12:V39)</f>
        <v>25992</v>
      </c>
      <c r="W43" s="193">
        <f>SUM(W12:W39)</f>
        <v>5390</v>
      </c>
      <c r="X43" s="193">
        <f>SUM(X12:X39)</f>
        <v>96860995</v>
      </c>
      <c r="Y43" s="193">
        <f>SUM(Y12:Y39)</f>
        <v>20602</v>
      </c>
      <c r="Z43" s="193">
        <f>SUM(Z12:Z39)</f>
        <v>87459198.359999985</v>
      </c>
      <c r="AA43" s="194">
        <f>SUM(AA12:AA39)</f>
        <v>184320193.36000001</v>
      </c>
      <c r="AB43" s="193">
        <f>SUM(AB12:AB39)</f>
        <v>12692.479917366752</v>
      </c>
      <c r="AC43" s="197">
        <f>SUM(AC12:AC39)</f>
        <v>0</v>
      </c>
      <c r="AD43" s="198">
        <f>SUM(AD12:AD39)</f>
        <v>0</v>
      </c>
      <c r="AE43" s="197">
        <f>SUM(AE12:AE39)</f>
        <v>2228.7729599999998</v>
      </c>
      <c r="AF43" s="197">
        <f>SUM(AF12:AF39)</f>
        <v>264</v>
      </c>
      <c r="AG43" s="199">
        <f>SUM(AG12:AG39)</f>
        <v>2492.7729600000002</v>
      </c>
      <c r="AH43" s="200">
        <f>SUM(AH12:AH39)</f>
        <v>73594967.022399992</v>
      </c>
      <c r="AI43" s="201">
        <f>AH43/$AL$44</f>
        <v>5671.5826587515958</v>
      </c>
      <c r="AJ43" s="202">
        <f>SUM(AJ12:AJ39)</f>
        <v>5340.1100000000006</v>
      </c>
      <c r="AK43" s="203">
        <f>SUM(AK12:AK39)</f>
        <v>64081320</v>
      </c>
      <c r="AL43" s="204">
        <f>AK43/AL44</f>
        <v>4938.4151928662641</v>
      </c>
      <c r="AM43" s="24"/>
    </row>
    <row r="44" spans="1:39" s="1" customFormat="1" x14ac:dyDescent="0.25">
      <c r="A44" s="24"/>
      <c r="B44" s="24"/>
      <c r="C44" s="5"/>
      <c r="D44" s="11"/>
      <c r="E44" s="5"/>
      <c r="F44" s="5"/>
      <c r="G44" s="11"/>
      <c r="H44" s="5"/>
      <c r="I44" s="9"/>
      <c r="J44" s="9"/>
      <c r="K44" s="9"/>
      <c r="L44" s="17"/>
      <c r="M44" s="57"/>
      <c r="N44" s="61"/>
      <c r="O44" s="10"/>
      <c r="P44" s="61"/>
      <c r="Q44" s="10"/>
      <c r="R44" s="93"/>
      <c r="S44" s="14"/>
      <c r="T44" s="75" t="s">
        <v>29</v>
      </c>
      <c r="U44" s="114" t="e">
        <f>U43/S43</f>
        <v>#DIV/0!</v>
      </c>
      <c r="V44" s="146" t="s">
        <v>51</v>
      </c>
      <c r="W44" s="11"/>
      <c r="X44" s="11"/>
      <c r="Y44" s="108"/>
      <c r="Z44" s="11"/>
      <c r="AA44" s="11"/>
      <c r="AB44" s="11"/>
      <c r="AC44" s="16"/>
      <c r="AD44" s="7"/>
      <c r="AE44" s="16"/>
      <c r="AF44" s="16"/>
      <c r="AG44" s="7"/>
      <c r="AH44" s="165"/>
      <c r="AI44" s="11"/>
      <c r="AJ44" s="81"/>
      <c r="AK44" s="11"/>
      <c r="AL44" s="113">
        <v>12976.09</v>
      </c>
      <c r="AM44" s="24"/>
    </row>
    <row r="45" spans="1:39" s="1" customFormat="1" x14ac:dyDescent="0.25">
      <c r="A45" s="24"/>
      <c r="B45" s="24"/>
      <c r="C45" s="5"/>
      <c r="D45" s="11"/>
      <c r="E45" s="5"/>
      <c r="F45" s="5"/>
      <c r="G45" s="11"/>
      <c r="H45" s="5"/>
      <c r="I45" s="9"/>
      <c r="J45" s="9"/>
      <c r="K45" s="9"/>
      <c r="L45" s="17"/>
      <c r="M45" s="57"/>
      <c r="N45" s="61"/>
      <c r="O45" s="10"/>
      <c r="P45" s="61"/>
      <c r="Q45" s="10"/>
      <c r="R45" s="93"/>
      <c r="S45" s="14"/>
      <c r="T45" s="166"/>
      <c r="U45" s="114"/>
      <c r="V45" s="146"/>
      <c r="W45" s="164"/>
      <c r="X45" s="164"/>
      <c r="Y45" s="108"/>
      <c r="Z45" s="164"/>
      <c r="AA45" s="11"/>
      <c r="AB45" s="11"/>
      <c r="AC45" s="16"/>
      <c r="AD45" s="7"/>
      <c r="AE45" s="16"/>
      <c r="AF45" s="16"/>
      <c r="AG45" s="7"/>
      <c r="AH45" s="165"/>
      <c r="AI45" s="11"/>
      <c r="AJ45" s="81"/>
      <c r="AK45" s="11"/>
      <c r="AL45" s="113"/>
      <c r="AM45" s="24"/>
    </row>
    <row r="46" spans="1:39" s="1" customFormat="1" x14ac:dyDescent="0.25">
      <c r="A46" s="24"/>
      <c r="B46" s="24"/>
      <c r="C46" s="5"/>
      <c r="D46" s="11"/>
      <c r="E46" s="5"/>
      <c r="F46" s="5"/>
      <c r="G46" s="11"/>
      <c r="H46" s="5"/>
      <c r="I46" s="9"/>
      <c r="J46" s="9"/>
      <c r="K46" s="9"/>
      <c r="L46" s="17"/>
      <c r="M46" s="57"/>
      <c r="N46" s="61"/>
      <c r="O46" s="10"/>
      <c r="P46" s="61"/>
      <c r="Q46" s="10"/>
      <c r="R46" s="93"/>
      <c r="S46" s="14"/>
      <c r="T46" s="75"/>
      <c r="U46" s="114"/>
      <c r="V46" s="146"/>
      <c r="W46" s="11"/>
      <c r="X46" s="11"/>
      <c r="Y46" s="108"/>
      <c r="Z46" s="164"/>
      <c r="AA46" s="11"/>
      <c r="AB46" s="11"/>
      <c r="AC46" s="16"/>
      <c r="AD46" s="7"/>
      <c r="AE46" s="16"/>
      <c r="AF46" s="16"/>
      <c r="AG46" s="170"/>
      <c r="AH46" s="165"/>
      <c r="AI46" s="11"/>
      <c r="AJ46" s="81"/>
      <c r="AK46" s="11"/>
      <c r="AL46" s="113"/>
      <c r="AM46" s="24"/>
    </row>
    <row r="47" spans="1:39" s="149" customFormat="1" x14ac:dyDescent="0.25">
      <c r="A47" s="147"/>
      <c r="B47" s="147"/>
      <c r="C47" s="148"/>
      <c r="E47" s="148"/>
      <c r="F47" s="148"/>
      <c r="H47" s="148"/>
      <c r="L47" s="148"/>
      <c r="M47" s="150"/>
      <c r="N47" s="151"/>
      <c r="P47" s="151"/>
      <c r="R47" s="152"/>
      <c r="T47" s="163"/>
      <c r="Y47" s="169"/>
      <c r="AD47" s="148"/>
      <c r="AG47" s="163"/>
      <c r="AH47" s="148"/>
      <c r="AJ47" s="152"/>
      <c r="AL47" s="153"/>
      <c r="AM47" s="147"/>
    </row>
    <row r="48" spans="1:39" s="149" customFormat="1" x14ac:dyDescent="0.25">
      <c r="A48" s="147"/>
      <c r="B48" s="147"/>
      <c r="C48" s="148"/>
      <c r="E48" s="148"/>
      <c r="F48" s="148"/>
      <c r="H48" s="148"/>
      <c r="L48" s="148"/>
      <c r="M48" s="150"/>
      <c r="N48" s="151"/>
      <c r="P48" s="151"/>
      <c r="R48" s="152"/>
      <c r="S48" s="163"/>
      <c r="T48" s="163"/>
      <c r="Z48" s="163"/>
      <c r="AD48" s="148"/>
      <c r="AH48" s="148"/>
      <c r="AJ48" s="152"/>
      <c r="AL48" s="153"/>
      <c r="AM48" s="147"/>
    </row>
    <row r="49" spans="1:39" s="149" customFormat="1" x14ac:dyDescent="0.25">
      <c r="A49" s="147"/>
      <c r="B49" s="147"/>
      <c r="C49" s="148"/>
      <c r="E49" s="148"/>
      <c r="F49" s="148"/>
      <c r="H49" s="148"/>
      <c r="L49" s="148"/>
      <c r="M49" s="150"/>
      <c r="N49" s="151"/>
      <c r="P49" s="151"/>
      <c r="R49" s="152"/>
      <c r="X49" s="163"/>
      <c r="AD49" s="148"/>
      <c r="AH49" s="148"/>
      <c r="AJ49" s="152"/>
      <c r="AL49" s="153"/>
      <c r="AM49" s="147"/>
    </row>
    <row r="50" spans="1:39" s="149" customFormat="1" x14ac:dyDescent="0.25">
      <c r="A50" s="147"/>
      <c r="B50" s="147"/>
      <c r="C50" s="148"/>
      <c r="E50" s="148"/>
      <c r="F50" s="148"/>
      <c r="H50" s="148"/>
      <c r="L50" s="148"/>
      <c r="M50" s="150"/>
      <c r="N50" s="151"/>
      <c r="P50" s="151"/>
      <c r="R50" s="152"/>
      <c r="S50" s="163"/>
      <c r="AD50" s="148"/>
      <c r="AH50" s="148"/>
      <c r="AJ50" s="152"/>
      <c r="AL50" s="153"/>
      <c r="AM50" s="147"/>
    </row>
    <row r="51" spans="1:39" s="149" customFormat="1" x14ac:dyDescent="0.25">
      <c r="A51" s="147"/>
      <c r="B51" s="147"/>
      <c r="C51" s="148"/>
      <c r="E51" s="148"/>
      <c r="F51" s="148"/>
      <c r="H51" s="148"/>
      <c r="L51" s="148"/>
      <c r="M51" s="150"/>
      <c r="N51" s="151"/>
      <c r="P51" s="151"/>
      <c r="R51" s="152"/>
      <c r="T51" s="163"/>
      <c r="AD51" s="148"/>
      <c r="AH51" s="148"/>
      <c r="AJ51" s="152"/>
      <c r="AL51" s="153"/>
      <c r="AM51" s="147"/>
    </row>
    <row r="52" spans="1:39" s="149" customFormat="1" x14ac:dyDescent="0.25">
      <c r="A52" s="147"/>
      <c r="B52" s="147"/>
      <c r="C52" s="148"/>
      <c r="E52" s="148"/>
      <c r="F52" s="148"/>
      <c r="H52" s="148"/>
      <c r="L52" s="148"/>
      <c r="M52" s="150"/>
      <c r="N52" s="151"/>
      <c r="P52" s="151"/>
      <c r="R52" s="152"/>
      <c r="AD52" s="148"/>
      <c r="AH52" s="148"/>
      <c r="AJ52" s="152"/>
      <c r="AL52" s="153"/>
      <c r="AM52" s="147"/>
    </row>
    <row r="53" spans="1:39" s="149" customFormat="1" x14ac:dyDescent="0.25">
      <c r="A53" s="147"/>
      <c r="B53" s="147"/>
      <c r="C53" s="148"/>
      <c r="E53" s="148"/>
      <c r="F53" s="148"/>
      <c r="H53" s="148"/>
      <c r="L53" s="148"/>
      <c r="M53" s="150"/>
      <c r="N53" s="151"/>
      <c r="P53" s="151"/>
      <c r="R53" s="152"/>
      <c r="AD53" s="148"/>
      <c r="AH53" s="148"/>
      <c r="AJ53" s="152"/>
      <c r="AL53" s="153"/>
      <c r="AM53" s="147"/>
    </row>
    <row r="54" spans="1:39" s="149" customFormat="1" x14ac:dyDescent="0.25">
      <c r="A54" s="147"/>
      <c r="B54" s="147"/>
      <c r="C54" s="148"/>
      <c r="E54" s="148"/>
      <c r="F54" s="148"/>
      <c r="H54" s="148"/>
      <c r="L54" s="148"/>
      <c r="M54" s="150"/>
      <c r="N54" s="151"/>
      <c r="P54" s="151"/>
      <c r="R54" s="152"/>
      <c r="AD54" s="148"/>
      <c r="AH54" s="148"/>
      <c r="AJ54" s="152"/>
      <c r="AL54" s="153"/>
      <c r="AM54" s="147"/>
    </row>
    <row r="55" spans="1:39" s="149" customFormat="1" x14ac:dyDescent="0.25">
      <c r="A55" s="147"/>
      <c r="B55" s="147"/>
      <c r="C55" s="148"/>
      <c r="E55" s="148"/>
      <c r="F55" s="148"/>
      <c r="H55" s="148"/>
      <c r="L55" s="148"/>
      <c r="M55" s="150"/>
      <c r="N55" s="151"/>
      <c r="P55" s="151"/>
      <c r="R55" s="152"/>
      <c r="AD55" s="148"/>
      <c r="AH55" s="148"/>
      <c r="AJ55" s="152"/>
      <c r="AL55" s="153"/>
      <c r="AM55" s="147"/>
    </row>
    <row r="56" spans="1:39" s="149" customFormat="1" x14ac:dyDescent="0.25">
      <c r="A56" s="147"/>
      <c r="B56" s="147"/>
      <c r="C56" s="148"/>
      <c r="E56" s="148"/>
      <c r="F56" s="148"/>
      <c r="H56" s="148"/>
      <c r="L56" s="148"/>
      <c r="M56" s="150"/>
      <c r="N56" s="151"/>
      <c r="P56" s="151"/>
      <c r="R56" s="152"/>
      <c r="AD56" s="148"/>
      <c r="AH56" s="148"/>
      <c r="AJ56" s="152"/>
      <c r="AL56" s="153"/>
      <c r="AM56" s="147"/>
    </row>
    <row r="57" spans="1:39" s="149" customFormat="1" x14ac:dyDescent="0.25">
      <c r="A57" s="147"/>
      <c r="B57" s="147"/>
      <c r="C57" s="148"/>
      <c r="E57" s="148"/>
      <c r="F57" s="148"/>
      <c r="H57" s="148"/>
      <c r="L57" s="148"/>
      <c r="M57" s="150"/>
      <c r="N57" s="151"/>
      <c r="P57" s="151"/>
      <c r="R57" s="152"/>
      <c r="AD57" s="148"/>
      <c r="AH57" s="148"/>
      <c r="AJ57" s="152"/>
      <c r="AL57" s="153"/>
      <c r="AM57" s="147"/>
    </row>
    <row r="58" spans="1:39" s="149" customFormat="1" x14ac:dyDescent="0.25">
      <c r="A58" s="147"/>
      <c r="B58" s="147"/>
      <c r="C58" s="148"/>
      <c r="E58" s="148"/>
      <c r="F58" s="148"/>
      <c r="H58" s="148"/>
      <c r="L58" s="148"/>
      <c r="M58" s="150"/>
      <c r="N58" s="151"/>
      <c r="P58" s="151"/>
      <c r="R58" s="152"/>
      <c r="AD58" s="148"/>
      <c r="AH58" s="148"/>
      <c r="AJ58" s="152"/>
      <c r="AL58" s="153"/>
      <c r="AM58" s="147"/>
    </row>
    <row r="59" spans="1:39" s="149" customFormat="1" x14ac:dyDescent="0.25">
      <c r="A59" s="147"/>
      <c r="B59" s="147"/>
      <c r="C59" s="148"/>
      <c r="E59" s="148"/>
      <c r="F59" s="148"/>
      <c r="H59" s="148"/>
      <c r="I59" s="148"/>
      <c r="J59" s="148"/>
      <c r="L59" s="148"/>
      <c r="M59" s="150"/>
      <c r="N59" s="151"/>
      <c r="P59" s="151"/>
      <c r="R59" s="152"/>
      <c r="AD59" s="148"/>
      <c r="AH59" s="148"/>
      <c r="AJ59" s="152"/>
      <c r="AL59" s="153"/>
      <c r="AM59" s="147"/>
    </row>
    <row r="60" spans="1:39" s="149" customFormat="1" x14ac:dyDescent="0.25">
      <c r="A60" s="147"/>
      <c r="B60" s="147"/>
      <c r="C60" s="148"/>
      <c r="E60" s="148"/>
      <c r="F60" s="148"/>
      <c r="H60" s="148"/>
      <c r="L60" s="148"/>
      <c r="M60" s="150"/>
      <c r="N60" s="151"/>
      <c r="P60" s="151"/>
      <c r="R60" s="152"/>
      <c r="AD60" s="148"/>
      <c r="AH60" s="148"/>
      <c r="AJ60" s="152"/>
      <c r="AL60" s="153"/>
      <c r="AM60" s="147"/>
    </row>
    <row r="61" spans="1:39" s="149" customFormat="1" x14ac:dyDescent="0.25">
      <c r="A61" s="147"/>
      <c r="B61" s="147"/>
      <c r="C61" s="148"/>
      <c r="E61" s="148"/>
      <c r="F61" s="148"/>
      <c r="H61" s="148"/>
      <c r="L61" s="148"/>
      <c r="M61" s="150"/>
      <c r="N61" s="151"/>
      <c r="P61" s="151"/>
      <c r="R61" s="152"/>
      <c r="AD61" s="148"/>
      <c r="AH61" s="148"/>
      <c r="AJ61" s="152"/>
      <c r="AL61" s="153"/>
      <c r="AM61" s="147"/>
    </row>
    <row r="62" spans="1:39" s="149" customFormat="1" x14ac:dyDescent="0.25">
      <c r="A62" s="147"/>
      <c r="B62" s="147"/>
      <c r="C62" s="148"/>
      <c r="E62" s="148"/>
      <c r="F62" s="148"/>
      <c r="H62" s="148"/>
      <c r="L62" s="148"/>
      <c r="M62" s="150"/>
      <c r="N62" s="151"/>
      <c r="P62" s="151"/>
      <c r="R62" s="152"/>
      <c r="AD62" s="148"/>
      <c r="AH62" s="148"/>
      <c r="AJ62" s="152"/>
      <c r="AL62" s="153"/>
      <c r="AM62" s="147"/>
    </row>
    <row r="63" spans="1:39" s="149" customFormat="1" x14ac:dyDescent="0.25">
      <c r="A63" s="147"/>
      <c r="B63" s="147"/>
      <c r="C63" s="148"/>
      <c r="E63" s="148"/>
      <c r="F63" s="148"/>
      <c r="H63" s="148"/>
      <c r="L63" s="148"/>
      <c r="M63" s="150"/>
      <c r="N63" s="151"/>
      <c r="P63" s="151"/>
      <c r="R63" s="152"/>
      <c r="AD63" s="148"/>
      <c r="AH63" s="148"/>
      <c r="AJ63" s="152"/>
      <c r="AL63" s="153"/>
      <c r="AM63" s="147"/>
    </row>
    <row r="64" spans="1:39" s="149" customFormat="1" x14ac:dyDescent="0.25">
      <c r="A64" s="147"/>
      <c r="B64" s="147"/>
      <c r="C64" s="148"/>
      <c r="E64" s="148"/>
      <c r="F64" s="148"/>
      <c r="H64" s="148"/>
      <c r="L64" s="148"/>
      <c r="M64" s="150"/>
      <c r="N64" s="151"/>
      <c r="P64" s="151"/>
      <c r="R64" s="152"/>
      <c r="AD64" s="148"/>
      <c r="AH64" s="148"/>
      <c r="AJ64" s="152"/>
      <c r="AL64" s="153"/>
      <c r="AM64" s="147"/>
    </row>
    <row r="65" spans="1:39" s="149" customFormat="1" x14ac:dyDescent="0.25">
      <c r="A65" s="147"/>
      <c r="B65" s="147"/>
      <c r="C65" s="148"/>
      <c r="E65" s="148"/>
      <c r="F65" s="148"/>
      <c r="H65" s="148"/>
      <c r="L65" s="148"/>
      <c r="M65" s="150"/>
      <c r="N65" s="151"/>
      <c r="P65" s="151"/>
      <c r="R65" s="152"/>
      <c r="AD65" s="148"/>
      <c r="AH65" s="148"/>
      <c r="AJ65" s="152"/>
      <c r="AL65" s="153"/>
      <c r="AM65" s="147"/>
    </row>
    <row r="66" spans="1:39" s="149" customFormat="1" x14ac:dyDescent="0.25">
      <c r="A66" s="147"/>
      <c r="B66" s="147"/>
      <c r="C66" s="148"/>
      <c r="E66" s="148"/>
      <c r="F66" s="148"/>
      <c r="H66" s="148"/>
      <c r="L66" s="148"/>
      <c r="M66" s="150"/>
      <c r="N66" s="151"/>
      <c r="P66" s="151"/>
      <c r="R66" s="152"/>
      <c r="AD66" s="148"/>
      <c r="AH66" s="148"/>
      <c r="AJ66" s="152"/>
      <c r="AL66" s="153"/>
      <c r="AM66" s="147"/>
    </row>
  </sheetData>
  <mergeCells count="18"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18" sqref="E18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5" t="s">
        <v>28</v>
      </c>
    </row>
    <row r="2" spans="1:3" ht="18" x14ac:dyDescent="0.35">
      <c r="A2" s="244">
        <v>44562</v>
      </c>
      <c r="B2" s="245"/>
      <c r="C2" s="245"/>
    </row>
    <row r="3" spans="1:3" x14ac:dyDescent="0.25">
      <c r="A3" s="247" t="s">
        <v>1</v>
      </c>
      <c r="B3" s="246" t="s">
        <v>2</v>
      </c>
      <c r="C3" s="246" t="s">
        <v>3</v>
      </c>
    </row>
    <row r="4" spans="1:3" x14ac:dyDescent="0.25">
      <c r="A4" s="247"/>
      <c r="B4" s="246"/>
      <c r="C4" s="246"/>
    </row>
    <row r="5" spans="1:3" x14ac:dyDescent="0.25">
      <c r="A5" s="247"/>
      <c r="B5" s="246"/>
      <c r="C5" s="246"/>
    </row>
    <row r="6" spans="1:3" x14ac:dyDescent="0.25">
      <c r="A6" s="2">
        <v>1</v>
      </c>
      <c r="B6" s="172">
        <v>6</v>
      </c>
      <c r="C6" s="173">
        <v>79</v>
      </c>
    </row>
    <row r="7" spans="1:3" x14ac:dyDescent="0.25">
      <c r="A7" s="2">
        <v>2</v>
      </c>
      <c r="B7" s="172">
        <v>4</v>
      </c>
      <c r="C7" s="173">
        <v>48</v>
      </c>
    </row>
    <row r="8" spans="1:3" x14ac:dyDescent="0.25">
      <c r="A8" s="2">
        <f>A7+1</f>
        <v>3</v>
      </c>
      <c r="B8" s="172">
        <v>4</v>
      </c>
      <c r="C8" s="173">
        <v>43</v>
      </c>
    </row>
    <row r="9" spans="1:3" x14ac:dyDescent="0.25">
      <c r="A9" s="2">
        <f>A8+1</f>
        <v>4</v>
      </c>
      <c r="B9" s="172">
        <v>5</v>
      </c>
      <c r="C9" s="173">
        <v>52</v>
      </c>
    </row>
    <row r="10" spans="1:3" x14ac:dyDescent="0.25">
      <c r="A10" s="2">
        <f t="shared" ref="A10:A33" si="0">A9+1</f>
        <v>5</v>
      </c>
      <c r="B10" s="172">
        <v>9</v>
      </c>
      <c r="C10" s="173">
        <v>75</v>
      </c>
    </row>
    <row r="11" spans="1:3" x14ac:dyDescent="0.25">
      <c r="A11" s="2">
        <f t="shared" si="0"/>
        <v>6</v>
      </c>
      <c r="B11" s="172">
        <v>7</v>
      </c>
      <c r="C11" s="173">
        <v>76</v>
      </c>
    </row>
    <row r="12" spans="1:3" x14ac:dyDescent="0.25">
      <c r="A12" s="2">
        <f t="shared" si="0"/>
        <v>7</v>
      </c>
      <c r="B12" s="172">
        <v>5</v>
      </c>
      <c r="C12" s="173">
        <v>33</v>
      </c>
    </row>
    <row r="13" spans="1:3" x14ac:dyDescent="0.25">
      <c r="A13" s="2">
        <f t="shared" si="0"/>
        <v>8</v>
      </c>
      <c r="B13" s="172">
        <v>4</v>
      </c>
      <c r="C13" s="173">
        <v>45</v>
      </c>
    </row>
    <row r="14" spans="1:3" x14ac:dyDescent="0.25">
      <c r="A14" s="2">
        <f t="shared" si="0"/>
        <v>9</v>
      </c>
      <c r="B14" s="172">
        <v>3</v>
      </c>
      <c r="C14" s="173">
        <v>36</v>
      </c>
    </row>
    <row r="15" spans="1:3" x14ac:dyDescent="0.25">
      <c r="A15" s="2">
        <f t="shared" si="0"/>
        <v>10</v>
      </c>
      <c r="B15" s="172">
        <v>3</v>
      </c>
      <c r="C15" s="173">
        <v>28</v>
      </c>
    </row>
    <row r="16" spans="1:3" x14ac:dyDescent="0.25">
      <c r="A16" s="2">
        <f t="shared" si="0"/>
        <v>11</v>
      </c>
      <c r="B16" s="172">
        <v>6</v>
      </c>
      <c r="C16" s="173">
        <v>42</v>
      </c>
    </row>
    <row r="17" spans="1:3" x14ac:dyDescent="0.25">
      <c r="A17" s="2">
        <f t="shared" si="0"/>
        <v>12</v>
      </c>
      <c r="B17" s="172">
        <v>8</v>
      </c>
      <c r="C17" s="173">
        <v>54</v>
      </c>
    </row>
    <row r="18" spans="1:3" x14ac:dyDescent="0.25">
      <c r="A18" s="2">
        <f t="shared" si="0"/>
        <v>13</v>
      </c>
      <c r="B18" s="172">
        <v>3</v>
      </c>
      <c r="C18" s="173">
        <v>53</v>
      </c>
    </row>
    <row r="19" spans="1:3" x14ac:dyDescent="0.25">
      <c r="A19" s="2">
        <f t="shared" si="0"/>
        <v>14</v>
      </c>
      <c r="B19" s="172">
        <v>4</v>
      </c>
      <c r="C19" s="173">
        <v>59</v>
      </c>
    </row>
    <row r="20" spans="1:3" x14ac:dyDescent="0.25">
      <c r="A20" s="2">
        <f t="shared" si="0"/>
        <v>15</v>
      </c>
      <c r="B20" s="172">
        <v>5</v>
      </c>
      <c r="C20" s="173">
        <v>36</v>
      </c>
    </row>
    <row r="21" spans="1:3" x14ac:dyDescent="0.25">
      <c r="A21" s="2">
        <f t="shared" si="0"/>
        <v>16</v>
      </c>
      <c r="B21" s="172">
        <v>3</v>
      </c>
      <c r="C21" s="173">
        <v>48</v>
      </c>
    </row>
    <row r="22" spans="1:3" x14ac:dyDescent="0.25">
      <c r="A22" s="2">
        <f t="shared" si="0"/>
        <v>17</v>
      </c>
      <c r="B22" s="172">
        <v>2</v>
      </c>
      <c r="C22" s="173">
        <v>24</v>
      </c>
    </row>
    <row r="23" spans="1:3" x14ac:dyDescent="0.25">
      <c r="A23" s="2">
        <f t="shared" si="0"/>
        <v>18</v>
      </c>
      <c r="B23" s="172">
        <v>5</v>
      </c>
      <c r="C23" s="173">
        <v>59</v>
      </c>
    </row>
    <row r="24" spans="1:3" x14ac:dyDescent="0.25">
      <c r="A24" s="2">
        <f t="shared" si="0"/>
        <v>19</v>
      </c>
      <c r="B24" s="172">
        <v>8</v>
      </c>
      <c r="C24" s="173">
        <v>168</v>
      </c>
    </row>
    <row r="25" spans="1:3" x14ac:dyDescent="0.25">
      <c r="A25" s="2">
        <f t="shared" si="0"/>
        <v>20</v>
      </c>
      <c r="B25" s="172">
        <v>5</v>
      </c>
      <c r="C25" s="173">
        <v>114</v>
      </c>
    </row>
    <row r="26" spans="1:3" x14ac:dyDescent="0.25">
      <c r="A26" s="2">
        <f t="shared" si="0"/>
        <v>21</v>
      </c>
      <c r="B26" s="172">
        <v>4</v>
      </c>
      <c r="C26" s="173">
        <v>34</v>
      </c>
    </row>
    <row r="27" spans="1:3" x14ac:dyDescent="0.25">
      <c r="A27" s="2">
        <f t="shared" si="0"/>
        <v>22</v>
      </c>
      <c r="B27" s="172">
        <v>5</v>
      </c>
      <c r="C27" s="173">
        <v>37</v>
      </c>
    </row>
    <row r="28" spans="1:3" x14ac:dyDescent="0.25">
      <c r="A28" s="2">
        <f t="shared" si="0"/>
        <v>23</v>
      </c>
      <c r="B28" s="172">
        <v>5</v>
      </c>
      <c r="C28" s="173">
        <v>45</v>
      </c>
    </row>
    <row r="29" spans="1:3" x14ac:dyDescent="0.25">
      <c r="A29" s="2">
        <f t="shared" si="0"/>
        <v>24</v>
      </c>
      <c r="B29" s="172">
        <v>7</v>
      </c>
      <c r="C29" s="173">
        <v>55</v>
      </c>
    </row>
    <row r="30" spans="1:3" x14ac:dyDescent="0.25">
      <c r="A30" s="2">
        <f t="shared" si="0"/>
        <v>25</v>
      </c>
      <c r="B30" s="172">
        <v>9</v>
      </c>
      <c r="C30" s="173">
        <v>55</v>
      </c>
    </row>
    <row r="31" spans="1:3" x14ac:dyDescent="0.25">
      <c r="A31" s="2">
        <f t="shared" si="0"/>
        <v>26</v>
      </c>
      <c r="B31" s="172">
        <v>12</v>
      </c>
      <c r="C31" s="173">
        <v>91</v>
      </c>
    </row>
    <row r="32" spans="1:3" x14ac:dyDescent="0.25">
      <c r="A32" s="2">
        <f t="shared" si="0"/>
        <v>27</v>
      </c>
      <c r="B32" s="172">
        <v>9</v>
      </c>
      <c r="C32" s="173">
        <v>115</v>
      </c>
    </row>
    <row r="33" spans="1:3" x14ac:dyDescent="0.25">
      <c r="A33" s="2">
        <f t="shared" si="0"/>
        <v>28</v>
      </c>
      <c r="B33" s="172">
        <v>10</v>
      </c>
      <c r="C33" s="173">
        <v>99</v>
      </c>
    </row>
    <row r="34" spans="1:3" x14ac:dyDescent="0.25">
      <c r="B34" s="6">
        <f>SUM(B6:B33)</f>
        <v>160</v>
      </c>
      <c r="C34" s="6">
        <f>SUM(C6:C33)</f>
        <v>1703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ed2f2222-2bff-489f-89bb-9539c67e7b9c"/>
    <ds:schemaRef ds:uri="77842aba-bda6-4832-96cd-e75cb5324294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February 2022</vt:lpstr>
      <vt:lpstr>RNs &amp; Covers February 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2022-03-06T09:46:40Z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