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reet.Sanmukhiya\OneDrive - Four Seasons Hotels Limited\Engineering\Utilities\HEP Upload\2022\Daily Report\"/>
    </mc:Choice>
  </mc:AlternateContent>
  <bookViews>
    <workbookView xWindow="-120" yWindow="-120" windowWidth="29040" windowHeight="15225" tabRatio="434"/>
  </bookViews>
  <sheets>
    <sheet name="TOTAL" sheetId="1" r:id="rId1"/>
    <sheet name="Submetering" sheetId="4" r:id="rId2"/>
    <sheet name="HOTEL" sheetId="3" r:id="rId3"/>
    <sheet name="Sheet1" sheetId="5" state="hidden" r:id="rId4"/>
  </sheets>
  <externalReferences>
    <externalReference r:id="rId5"/>
  </externalReferences>
  <calcPr calcId="162913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0" i="1" l="1"/>
  <c r="E30" i="1"/>
  <c r="G30" i="1"/>
  <c r="T30" i="1" s="1"/>
  <c r="I30" i="1"/>
  <c r="K30" i="1"/>
  <c r="N30" i="1"/>
  <c r="P30" i="1" s="1"/>
  <c r="J30" i="1" s="1"/>
  <c r="O30" i="1"/>
  <c r="B31" i="1"/>
  <c r="B32" i="1" s="1"/>
  <c r="E31" i="1"/>
  <c r="G31" i="1"/>
  <c r="T31" i="1" s="1"/>
  <c r="I31" i="1"/>
  <c r="K31" i="1"/>
  <c r="N31" i="1"/>
  <c r="O31" i="1"/>
  <c r="E32" i="1"/>
  <c r="G32" i="1"/>
  <c r="T32" i="1" s="1"/>
  <c r="I32" i="1"/>
  <c r="K32" i="1"/>
  <c r="N32" i="1"/>
  <c r="P32" i="1" s="1"/>
  <c r="J32" i="1" s="1"/>
  <c r="O32" i="1"/>
  <c r="U32" i="1" l="1"/>
  <c r="U30" i="1"/>
  <c r="P31" i="1"/>
  <c r="J31" i="1" s="1"/>
  <c r="U31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2" i="1"/>
  <c r="O17" i="1" l="1"/>
  <c r="O9" i="1"/>
  <c r="O16" i="1"/>
  <c r="O15" i="1"/>
  <c r="O7" i="1"/>
  <c r="O22" i="1"/>
  <c r="O6" i="1"/>
  <c r="O25" i="1"/>
  <c r="O24" i="1"/>
  <c r="O8" i="1"/>
  <c r="O23" i="1"/>
  <c r="O2" i="1"/>
  <c r="O14" i="1"/>
  <c r="O29" i="1"/>
  <c r="O21" i="1"/>
  <c r="O13" i="1"/>
  <c r="O5" i="1"/>
  <c r="O20" i="1"/>
  <c r="O12" i="1"/>
  <c r="O4" i="1"/>
  <c r="O28" i="1"/>
  <c r="O27" i="1"/>
  <c r="O19" i="1"/>
  <c r="O11" i="1"/>
  <c r="O3" i="1"/>
  <c r="O26" i="1"/>
  <c r="O18" i="1"/>
  <c r="O10" i="1"/>
  <c r="F32" i="4"/>
  <c r="G32" i="4"/>
  <c r="H32" i="4"/>
  <c r="I32" i="4"/>
  <c r="J32" i="4"/>
  <c r="K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AH32" i="4"/>
  <c r="AI32" i="4"/>
  <c r="AJ32" i="4"/>
  <c r="AK3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2" i="4"/>
  <c r="B30" i="4"/>
  <c r="B31" i="4"/>
  <c r="B32" i="4"/>
  <c r="B2" i="4"/>
  <c r="L32" i="4" l="1"/>
  <c r="E32" i="4" l="1"/>
  <c r="M15" i="4" l="1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M3" i="4"/>
  <c r="M4" i="4"/>
  <c r="M5" i="4"/>
  <c r="M6" i="4"/>
  <c r="M7" i="4"/>
  <c r="M8" i="4"/>
  <c r="M9" i="4"/>
  <c r="M11" i="4"/>
  <c r="M12" i="4"/>
  <c r="M13" i="4"/>
  <c r="M14" i="4"/>
  <c r="N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S18" i="5"/>
  <c r="DU18" i="5"/>
  <c r="N19" i="5"/>
  <c r="S19" i="5"/>
  <c r="DU19" i="5"/>
  <c r="N20" i="5"/>
  <c r="S20" i="5"/>
  <c r="DU20" i="5"/>
  <c r="N21" i="5"/>
  <c r="P21" i="5"/>
  <c r="S21" i="5"/>
  <c r="DU21" i="5"/>
  <c r="B22" i="5"/>
  <c r="D22" i="5"/>
  <c r="G22" i="5"/>
  <c r="H22" i="5"/>
  <c r="I22" i="5"/>
  <c r="N22" i="5"/>
  <c r="P22" i="5"/>
  <c r="R22" i="5"/>
  <c r="S22" i="5"/>
  <c r="T22" i="5"/>
  <c r="V22" i="5"/>
  <c r="X22" i="5"/>
  <c r="Z22" i="5"/>
  <c r="AD22" i="5"/>
  <c r="AF22" i="5"/>
  <c r="AH22" i="5"/>
  <c r="CA22" i="5"/>
  <c r="CD22" i="5"/>
  <c r="CG22" i="5"/>
  <c r="CJ22" i="5"/>
  <c r="CM22" i="5"/>
  <c r="CP22" i="5"/>
  <c r="CS22" i="5"/>
  <c r="CV22" i="5"/>
  <c r="CY22" i="5"/>
  <c r="DB22" i="5"/>
  <c r="DE22" i="5"/>
  <c r="DH22" i="5"/>
  <c r="DK22" i="5"/>
  <c r="DM22" i="5"/>
  <c r="DO22" i="5"/>
  <c r="DQ22" i="5"/>
  <c r="DU22" i="5"/>
  <c r="B23" i="5"/>
  <c r="D23" i="5"/>
  <c r="G23" i="5"/>
  <c r="L23" i="5"/>
  <c r="N23" i="5"/>
  <c r="P23" i="5"/>
  <c r="R23" i="5"/>
  <c r="S23" i="5"/>
  <c r="T23" i="5"/>
  <c r="V23" i="5"/>
  <c r="X23" i="5"/>
  <c r="Z23" i="5"/>
  <c r="AH23" i="5"/>
  <c r="CA23" i="5"/>
  <c r="CD23" i="5"/>
  <c r="CG23" i="5"/>
  <c r="CJ23" i="5"/>
  <c r="CM23" i="5"/>
  <c r="CP23" i="5"/>
  <c r="CS23" i="5"/>
  <c r="CV23" i="5"/>
  <c r="CY23" i="5"/>
  <c r="DB23" i="5"/>
  <c r="DE23" i="5"/>
  <c r="DH23" i="5"/>
  <c r="DK23" i="5"/>
  <c r="DM23" i="5"/>
  <c r="DO23" i="5"/>
  <c r="DQ23" i="5"/>
  <c r="DU23" i="5"/>
  <c r="B24" i="5"/>
  <c r="D24" i="5"/>
  <c r="G24" i="5"/>
  <c r="L24" i="5"/>
  <c r="N24" i="5"/>
  <c r="P24" i="5"/>
  <c r="R24" i="5"/>
  <c r="S24" i="5"/>
  <c r="T24" i="5"/>
  <c r="V24" i="5"/>
  <c r="X24" i="5"/>
  <c r="Z24" i="5"/>
  <c r="AH24" i="5"/>
  <c r="CA24" i="5"/>
  <c r="CD24" i="5"/>
  <c r="CG24" i="5"/>
  <c r="CJ24" i="5"/>
  <c r="CM24" i="5"/>
  <c r="CP24" i="5"/>
  <c r="CS24" i="5"/>
  <c r="CV24" i="5"/>
  <c r="CY24" i="5"/>
  <c r="DB24" i="5"/>
  <c r="DE24" i="5"/>
  <c r="DH24" i="5"/>
  <c r="DK24" i="5"/>
  <c r="DM24" i="5"/>
  <c r="DO24" i="5"/>
  <c r="DQ24" i="5"/>
  <c r="DU24" i="5"/>
  <c r="B25" i="5"/>
  <c r="D25" i="5"/>
  <c r="G25" i="5"/>
  <c r="L25" i="5"/>
  <c r="N25" i="5"/>
  <c r="P25" i="5"/>
  <c r="R25" i="5"/>
  <c r="S25" i="5"/>
  <c r="T25" i="5"/>
  <c r="V25" i="5"/>
  <c r="X25" i="5"/>
  <c r="Z25" i="5"/>
  <c r="AH25" i="5"/>
  <c r="CA25" i="5"/>
  <c r="CD25" i="5"/>
  <c r="CG25" i="5"/>
  <c r="CJ25" i="5"/>
  <c r="CM25" i="5"/>
  <c r="CP25" i="5"/>
  <c r="CS25" i="5"/>
  <c r="CV25" i="5"/>
  <c r="CY25" i="5"/>
  <c r="DB25" i="5"/>
  <c r="DE25" i="5"/>
  <c r="DH25" i="5"/>
  <c r="DK25" i="5"/>
  <c r="DM25" i="5"/>
  <c r="DO25" i="5"/>
  <c r="DQ25" i="5"/>
  <c r="DU25" i="5"/>
  <c r="B26" i="5"/>
  <c r="D26" i="5"/>
  <c r="G26" i="5"/>
  <c r="L26" i="5"/>
  <c r="N26" i="5"/>
  <c r="P26" i="5"/>
  <c r="R26" i="5"/>
  <c r="S26" i="5"/>
  <c r="T26" i="5"/>
  <c r="V26" i="5"/>
  <c r="X26" i="5"/>
  <c r="Z26" i="5"/>
  <c r="AH26" i="5"/>
  <c r="CA26" i="5"/>
  <c r="CD26" i="5"/>
  <c r="CG26" i="5"/>
  <c r="CJ26" i="5"/>
  <c r="CM26" i="5"/>
  <c r="CP26" i="5"/>
  <c r="CS26" i="5"/>
  <c r="CV26" i="5"/>
  <c r="CY26" i="5"/>
  <c r="DB26" i="5"/>
  <c r="DE26" i="5"/>
  <c r="DH26" i="5"/>
  <c r="DK26" i="5"/>
  <c r="DM26" i="5"/>
  <c r="DO26" i="5"/>
  <c r="DQ26" i="5"/>
  <c r="DU26" i="5"/>
  <c r="B27" i="5"/>
  <c r="D27" i="5"/>
  <c r="G27" i="5"/>
  <c r="L27" i="5"/>
  <c r="N27" i="5"/>
  <c r="P27" i="5"/>
  <c r="R27" i="5"/>
  <c r="S27" i="5"/>
  <c r="T27" i="5"/>
  <c r="V27" i="5"/>
  <c r="X27" i="5"/>
  <c r="Z27" i="5"/>
  <c r="AH27" i="5"/>
  <c r="CA27" i="5"/>
  <c r="CD27" i="5"/>
  <c r="CG27" i="5"/>
  <c r="CJ27" i="5"/>
  <c r="CM27" i="5"/>
  <c r="CP27" i="5"/>
  <c r="CS27" i="5"/>
  <c r="CV27" i="5"/>
  <c r="CY27" i="5"/>
  <c r="DB27" i="5"/>
  <c r="DE27" i="5"/>
  <c r="DH27" i="5"/>
  <c r="DK27" i="5"/>
  <c r="DM27" i="5"/>
  <c r="DO27" i="5"/>
  <c r="DQ27" i="5"/>
  <c r="DU27" i="5"/>
  <c r="B28" i="5"/>
  <c r="D28" i="5"/>
  <c r="G28" i="5"/>
  <c r="L28" i="5"/>
  <c r="N28" i="5"/>
  <c r="P28" i="5"/>
  <c r="R28" i="5"/>
  <c r="S28" i="5"/>
  <c r="T28" i="5"/>
  <c r="V28" i="5"/>
  <c r="X28" i="5"/>
  <c r="Z28" i="5"/>
  <c r="AH28" i="5"/>
  <c r="CA28" i="5"/>
  <c r="CD28" i="5"/>
  <c r="CG28" i="5"/>
  <c r="CJ28" i="5"/>
  <c r="CM28" i="5"/>
  <c r="CP28" i="5"/>
  <c r="CS28" i="5"/>
  <c r="CV28" i="5"/>
  <c r="CY28" i="5"/>
  <c r="DB28" i="5"/>
  <c r="DE28" i="5"/>
  <c r="DH28" i="5"/>
  <c r="DK28" i="5"/>
  <c r="DM28" i="5"/>
  <c r="DO28" i="5"/>
  <c r="DQ28" i="5"/>
  <c r="DU28" i="5"/>
  <c r="B29" i="5"/>
  <c r="D29" i="5"/>
  <c r="G29" i="5"/>
  <c r="L29" i="5"/>
  <c r="N29" i="5"/>
  <c r="P29" i="5"/>
  <c r="R29" i="5"/>
  <c r="S29" i="5"/>
  <c r="T29" i="5"/>
  <c r="V29" i="5"/>
  <c r="X29" i="5"/>
  <c r="Z29" i="5"/>
  <c r="AH29" i="5"/>
  <c r="CA29" i="5"/>
  <c r="CD29" i="5"/>
  <c r="CG29" i="5"/>
  <c r="CJ29" i="5"/>
  <c r="CM29" i="5"/>
  <c r="CP29" i="5"/>
  <c r="CS29" i="5"/>
  <c r="CV29" i="5"/>
  <c r="CY29" i="5"/>
  <c r="DB29" i="5"/>
  <c r="DE29" i="5"/>
  <c r="DH29" i="5"/>
  <c r="DK29" i="5"/>
  <c r="DM29" i="5"/>
  <c r="DO29" i="5"/>
  <c r="DQ29" i="5"/>
  <c r="DU29" i="5"/>
  <c r="B30" i="5"/>
  <c r="D30" i="5"/>
  <c r="G30" i="5"/>
  <c r="L30" i="5"/>
  <c r="N30" i="5"/>
  <c r="P30" i="5"/>
  <c r="R30" i="5"/>
  <c r="S30" i="5"/>
  <c r="T30" i="5"/>
  <c r="V30" i="5"/>
  <c r="X30" i="5"/>
  <c r="Z30" i="5"/>
  <c r="AH30" i="5"/>
  <c r="CA30" i="5"/>
  <c r="CD30" i="5"/>
  <c r="CG30" i="5"/>
  <c r="CJ30" i="5"/>
  <c r="CM30" i="5"/>
  <c r="CP30" i="5"/>
  <c r="CS30" i="5"/>
  <c r="CV30" i="5"/>
  <c r="CY30" i="5"/>
  <c r="DB30" i="5"/>
  <c r="DE30" i="5"/>
  <c r="DH30" i="5"/>
  <c r="DK30" i="5"/>
  <c r="DM30" i="5"/>
  <c r="DO30" i="5"/>
  <c r="DQ30" i="5"/>
  <c r="DU30" i="5"/>
  <c r="B31" i="5"/>
  <c r="D31" i="5"/>
  <c r="G31" i="5"/>
  <c r="L31" i="5"/>
  <c r="N31" i="5"/>
  <c r="P31" i="5"/>
  <c r="R31" i="5"/>
  <c r="S31" i="5"/>
  <c r="T31" i="5"/>
  <c r="V31" i="5"/>
  <c r="X31" i="5"/>
  <c r="Z31" i="5"/>
  <c r="AH31" i="5"/>
  <c r="CA31" i="5"/>
  <c r="CD31" i="5"/>
  <c r="CG31" i="5"/>
  <c r="CJ31" i="5"/>
  <c r="CM31" i="5"/>
  <c r="CP31" i="5"/>
  <c r="CS31" i="5"/>
  <c r="CV31" i="5"/>
  <c r="CY31" i="5"/>
  <c r="DB31" i="5"/>
  <c r="DE31" i="5"/>
  <c r="DH31" i="5"/>
  <c r="DK31" i="5"/>
  <c r="DM31" i="5"/>
  <c r="DO31" i="5"/>
  <c r="DQ31" i="5"/>
  <c r="DU31" i="5"/>
  <c r="B32" i="5"/>
  <c r="D32" i="5"/>
  <c r="G32" i="5"/>
  <c r="L32" i="5"/>
  <c r="N32" i="5"/>
  <c r="P32" i="5"/>
  <c r="R32" i="5"/>
  <c r="S32" i="5"/>
  <c r="T32" i="5"/>
  <c r="V32" i="5"/>
  <c r="X32" i="5"/>
  <c r="Z32" i="5"/>
  <c r="AH32" i="5"/>
  <c r="CA32" i="5"/>
  <c r="CD32" i="5"/>
  <c r="CG32" i="5"/>
  <c r="CJ32" i="5"/>
  <c r="CM32" i="5"/>
  <c r="CP32" i="5"/>
  <c r="CS32" i="5"/>
  <c r="CV32" i="5"/>
  <c r="CY32" i="5"/>
  <c r="DB32" i="5"/>
  <c r="DE32" i="5"/>
  <c r="DH32" i="5"/>
  <c r="DK32" i="5"/>
  <c r="DM32" i="5"/>
  <c r="DO32" i="5"/>
  <c r="DQ32" i="5"/>
  <c r="DU32" i="5"/>
  <c r="B33" i="5"/>
  <c r="D33" i="5"/>
  <c r="G33" i="5"/>
  <c r="L33" i="5"/>
  <c r="N33" i="5"/>
  <c r="P33" i="5"/>
  <c r="R33" i="5"/>
  <c r="S33" i="5"/>
  <c r="T33" i="5"/>
  <c r="V33" i="5"/>
  <c r="X33" i="5"/>
  <c r="Z33" i="5"/>
  <c r="AH33" i="5"/>
  <c r="CA33" i="5"/>
  <c r="CD33" i="5"/>
  <c r="CG33" i="5"/>
  <c r="CJ33" i="5"/>
  <c r="CM33" i="5"/>
  <c r="CP33" i="5"/>
  <c r="CS33" i="5"/>
  <c r="CV33" i="5"/>
  <c r="CY33" i="5"/>
  <c r="DB33" i="5"/>
  <c r="DE33" i="5"/>
  <c r="DH33" i="5"/>
  <c r="DK33" i="5"/>
  <c r="DM33" i="5"/>
  <c r="DO33" i="5"/>
  <c r="DQ33" i="5"/>
  <c r="DU33" i="5"/>
  <c r="B34" i="5"/>
  <c r="D34" i="5"/>
  <c r="G34" i="5"/>
  <c r="L34" i="5"/>
  <c r="N34" i="5"/>
  <c r="O34" i="5"/>
  <c r="V34" i="5"/>
  <c r="AH34" i="5"/>
  <c r="CA34" i="5"/>
  <c r="CG34" i="5"/>
  <c r="CM34" i="5"/>
  <c r="DK34" i="5"/>
  <c r="DU34" i="5"/>
  <c r="E2" i="1"/>
  <c r="E2" i="4" s="1"/>
  <c r="F2" i="4"/>
  <c r="G2" i="4"/>
  <c r="N2" i="4"/>
  <c r="P2" i="4"/>
  <c r="Q2" i="4"/>
  <c r="R2" i="4"/>
  <c r="S2" i="4"/>
  <c r="T2" i="4"/>
  <c r="U2" i="4"/>
  <c r="V2" i="4"/>
  <c r="W2" i="4"/>
  <c r="Z3" i="4"/>
  <c r="AA2" i="4"/>
  <c r="AB2" i="4"/>
  <c r="AC2" i="4"/>
  <c r="AD2" i="4"/>
  <c r="AE2" i="4"/>
  <c r="AF2" i="4"/>
  <c r="AG2" i="4"/>
  <c r="AH2" i="4"/>
  <c r="AI2" i="4"/>
  <c r="AJ2" i="4"/>
  <c r="H2" i="4"/>
  <c r="I2" i="4"/>
  <c r="J2" i="4"/>
  <c r="K2" i="4"/>
  <c r="E3" i="1"/>
  <c r="E3" i="4" s="1"/>
  <c r="F3" i="4"/>
  <c r="G3" i="4"/>
  <c r="N3" i="4"/>
  <c r="P3" i="4"/>
  <c r="Q3" i="4"/>
  <c r="R3" i="4"/>
  <c r="S3" i="4"/>
  <c r="T3" i="4"/>
  <c r="U3" i="4"/>
  <c r="V3" i="4"/>
  <c r="W3" i="4"/>
  <c r="Z4" i="4"/>
  <c r="AA3" i="4"/>
  <c r="AB3" i="4"/>
  <c r="AC3" i="4"/>
  <c r="AD3" i="4"/>
  <c r="AE3" i="4"/>
  <c r="AF3" i="4"/>
  <c r="AG3" i="4"/>
  <c r="AH3" i="4"/>
  <c r="AI3" i="4"/>
  <c r="AJ3" i="4"/>
  <c r="H3" i="4"/>
  <c r="I3" i="4"/>
  <c r="J3" i="4"/>
  <c r="K3" i="4"/>
  <c r="E4" i="1"/>
  <c r="E4" i="4" s="1"/>
  <c r="F4" i="4"/>
  <c r="G4" i="4"/>
  <c r="I4" i="1"/>
  <c r="P4" i="1" s="1"/>
  <c r="N4" i="4"/>
  <c r="P4" i="4"/>
  <c r="Q4" i="4"/>
  <c r="R4" i="4"/>
  <c r="S4" i="4"/>
  <c r="T4" i="4"/>
  <c r="U4" i="4"/>
  <c r="V4" i="4"/>
  <c r="W4" i="4"/>
  <c r="Y4" i="4"/>
  <c r="Z5" i="4"/>
  <c r="AA4" i="4"/>
  <c r="AB4" i="4"/>
  <c r="AC4" i="4"/>
  <c r="AD4" i="4"/>
  <c r="AE4" i="4"/>
  <c r="AF4" i="4"/>
  <c r="AG4" i="4"/>
  <c r="AH4" i="4"/>
  <c r="AI4" i="4"/>
  <c r="AJ4" i="4"/>
  <c r="H4" i="4"/>
  <c r="I4" i="4"/>
  <c r="J4" i="4"/>
  <c r="K4" i="4"/>
  <c r="E5" i="1"/>
  <c r="E5" i="4" s="1"/>
  <c r="F5" i="4"/>
  <c r="G5" i="4"/>
  <c r="N5" i="4"/>
  <c r="P5" i="4"/>
  <c r="Q5" i="4"/>
  <c r="R5" i="4"/>
  <c r="S5" i="4"/>
  <c r="T5" i="4"/>
  <c r="U5" i="4"/>
  <c r="V5" i="4"/>
  <c r="W5" i="4"/>
  <c r="Y5" i="4"/>
  <c r="Z6" i="4"/>
  <c r="AA5" i="4"/>
  <c r="AB5" i="4"/>
  <c r="AC5" i="4"/>
  <c r="AD5" i="4"/>
  <c r="AE5" i="4"/>
  <c r="AF5" i="4"/>
  <c r="AG5" i="4"/>
  <c r="AH5" i="4"/>
  <c r="AI5" i="4"/>
  <c r="AJ5" i="4"/>
  <c r="H5" i="4"/>
  <c r="I5" i="4"/>
  <c r="J5" i="4"/>
  <c r="K5" i="4"/>
  <c r="F6" i="4"/>
  <c r="G6" i="4"/>
  <c r="N6" i="4"/>
  <c r="P6" i="4"/>
  <c r="Q6" i="4"/>
  <c r="R6" i="4"/>
  <c r="S6" i="4"/>
  <c r="T6" i="4"/>
  <c r="U6" i="4"/>
  <c r="V6" i="4"/>
  <c r="W6" i="4"/>
  <c r="Y6" i="4"/>
  <c r="Z7" i="4"/>
  <c r="AA6" i="4"/>
  <c r="AB6" i="4"/>
  <c r="AC6" i="4"/>
  <c r="AD6" i="4"/>
  <c r="AE6" i="4"/>
  <c r="AF6" i="4"/>
  <c r="AG6" i="4"/>
  <c r="AH6" i="4"/>
  <c r="AI6" i="4"/>
  <c r="AJ6" i="4"/>
  <c r="H6" i="4"/>
  <c r="I6" i="4"/>
  <c r="J6" i="4"/>
  <c r="K6" i="4"/>
  <c r="F7" i="4"/>
  <c r="G7" i="4"/>
  <c r="N7" i="4"/>
  <c r="P7" i="4"/>
  <c r="Q7" i="4"/>
  <c r="R7" i="4"/>
  <c r="S7" i="4"/>
  <c r="T7" i="4"/>
  <c r="U7" i="4"/>
  <c r="V7" i="4"/>
  <c r="W7" i="4"/>
  <c r="Y7" i="4"/>
  <c r="Z8" i="4"/>
  <c r="AA7" i="4"/>
  <c r="AB7" i="4"/>
  <c r="AC7" i="4"/>
  <c r="AD7" i="4"/>
  <c r="AE7" i="4"/>
  <c r="AF7" i="4"/>
  <c r="AG7" i="4"/>
  <c r="AH7" i="4"/>
  <c r="AI7" i="4"/>
  <c r="AJ7" i="4"/>
  <c r="H7" i="4"/>
  <c r="I7" i="4"/>
  <c r="J7" i="4"/>
  <c r="K7" i="4"/>
  <c r="F8" i="4"/>
  <c r="G8" i="4"/>
  <c r="N8" i="4"/>
  <c r="P8" i="4"/>
  <c r="Q8" i="4"/>
  <c r="R8" i="4"/>
  <c r="S8" i="4"/>
  <c r="U8" i="4"/>
  <c r="V8" i="4"/>
  <c r="W8" i="4"/>
  <c r="Y8" i="4"/>
  <c r="Z9" i="4"/>
  <c r="AA8" i="4"/>
  <c r="AB8" i="4"/>
  <c r="AC8" i="4"/>
  <c r="AD8" i="4"/>
  <c r="AE8" i="4"/>
  <c r="AF8" i="4"/>
  <c r="AG8" i="4"/>
  <c r="AH8" i="4"/>
  <c r="AI8" i="4"/>
  <c r="AJ8" i="4"/>
  <c r="H8" i="4"/>
  <c r="I8" i="4"/>
  <c r="J8" i="4"/>
  <c r="K8" i="4"/>
  <c r="F9" i="4"/>
  <c r="G9" i="4"/>
  <c r="N9" i="4"/>
  <c r="P9" i="4"/>
  <c r="Q9" i="4"/>
  <c r="R9" i="4"/>
  <c r="S9" i="4"/>
  <c r="T9" i="4"/>
  <c r="U9" i="4"/>
  <c r="V9" i="4"/>
  <c r="W9" i="4"/>
  <c r="Y9" i="4"/>
  <c r="AA9" i="4"/>
  <c r="AB9" i="4"/>
  <c r="AC9" i="4"/>
  <c r="AD9" i="4"/>
  <c r="AE9" i="4"/>
  <c r="AF9" i="4"/>
  <c r="AG9" i="4"/>
  <c r="AH9" i="4"/>
  <c r="AI9" i="4"/>
  <c r="AJ9" i="4"/>
  <c r="H9" i="4"/>
  <c r="I9" i="4"/>
  <c r="K9" i="4"/>
  <c r="E10" i="1"/>
  <c r="E10" i="4" s="1"/>
  <c r="F10" i="4"/>
  <c r="G10" i="4"/>
  <c r="N10" i="4"/>
  <c r="P10" i="4"/>
  <c r="Q10" i="4"/>
  <c r="R10" i="4"/>
  <c r="S10" i="4"/>
  <c r="T10" i="4"/>
  <c r="U10" i="4"/>
  <c r="V10" i="4"/>
  <c r="W10" i="4"/>
  <c r="Y10" i="4"/>
  <c r="Z11" i="4"/>
  <c r="AA10" i="4"/>
  <c r="AB10" i="4"/>
  <c r="AC10" i="4"/>
  <c r="AD10" i="4"/>
  <c r="AE10" i="4"/>
  <c r="AF10" i="4"/>
  <c r="AG10" i="4"/>
  <c r="AH10" i="4"/>
  <c r="AI10" i="4"/>
  <c r="AJ10" i="4"/>
  <c r="H10" i="4"/>
  <c r="I10" i="4"/>
  <c r="J10" i="4"/>
  <c r="K10" i="4"/>
  <c r="E11" i="1"/>
  <c r="E11" i="4" s="1"/>
  <c r="F11" i="4"/>
  <c r="G11" i="4"/>
  <c r="O11" i="4"/>
  <c r="P11" i="4"/>
  <c r="R11" i="4"/>
  <c r="S11" i="4"/>
  <c r="T11" i="4"/>
  <c r="U11" i="4"/>
  <c r="V11" i="4"/>
  <c r="W11" i="4"/>
  <c r="Y11" i="4"/>
  <c r="Z12" i="4"/>
  <c r="AA11" i="4"/>
  <c r="AB11" i="4"/>
  <c r="AC11" i="4"/>
  <c r="AD11" i="4"/>
  <c r="AE11" i="4"/>
  <c r="AF11" i="4"/>
  <c r="AG11" i="4"/>
  <c r="AH11" i="4"/>
  <c r="AI11" i="4"/>
  <c r="AJ11" i="4"/>
  <c r="H11" i="4"/>
  <c r="I11" i="4"/>
  <c r="J11" i="4"/>
  <c r="K11" i="4"/>
  <c r="E12" i="1"/>
  <c r="E12" i="4" s="1"/>
  <c r="F12" i="4"/>
  <c r="G12" i="4"/>
  <c r="N12" i="4"/>
  <c r="O12" i="4"/>
  <c r="P12" i="4"/>
  <c r="Q12" i="4"/>
  <c r="R12" i="4"/>
  <c r="S12" i="4"/>
  <c r="T12" i="4"/>
  <c r="U12" i="4"/>
  <c r="V12" i="4"/>
  <c r="W12" i="4"/>
  <c r="Y12" i="4"/>
  <c r="Z13" i="4"/>
  <c r="AA12" i="4"/>
  <c r="AB12" i="4"/>
  <c r="AC12" i="4"/>
  <c r="AD12" i="4"/>
  <c r="AE12" i="4"/>
  <c r="AF12" i="4"/>
  <c r="AG12" i="4"/>
  <c r="AH12" i="4"/>
  <c r="AI12" i="4"/>
  <c r="AJ12" i="4"/>
  <c r="H12" i="4"/>
  <c r="I12" i="4"/>
  <c r="J12" i="4"/>
  <c r="K12" i="4"/>
  <c r="E13" i="1"/>
  <c r="E13" i="4" s="1"/>
  <c r="F13" i="4"/>
  <c r="G13" i="4"/>
  <c r="O13" i="4"/>
  <c r="P13" i="4"/>
  <c r="Q13" i="4"/>
  <c r="S13" i="4"/>
  <c r="T13" i="4"/>
  <c r="U13" i="4"/>
  <c r="V13" i="4"/>
  <c r="W13" i="4"/>
  <c r="Y13" i="4"/>
  <c r="Z14" i="4"/>
  <c r="AA13" i="4"/>
  <c r="AB13" i="4"/>
  <c r="AC13" i="4"/>
  <c r="AD13" i="4"/>
  <c r="AE13" i="4"/>
  <c r="AF13" i="4"/>
  <c r="AG13" i="4"/>
  <c r="AH13" i="4"/>
  <c r="AI13" i="4"/>
  <c r="AJ13" i="4"/>
  <c r="H13" i="4"/>
  <c r="I13" i="4"/>
  <c r="K13" i="4"/>
  <c r="E14" i="1"/>
  <c r="E14" i="4" s="1"/>
  <c r="G14" i="4"/>
  <c r="O14" i="4"/>
  <c r="P14" i="4"/>
  <c r="Q14" i="4"/>
  <c r="S14" i="4"/>
  <c r="T14" i="4"/>
  <c r="U14" i="4"/>
  <c r="V14" i="4"/>
  <c r="W14" i="4"/>
  <c r="Z15" i="4"/>
  <c r="H14" i="4"/>
  <c r="I14" i="4"/>
  <c r="J14" i="4"/>
  <c r="K14" i="4"/>
  <c r="E15" i="1"/>
  <c r="E15" i="4" s="1"/>
  <c r="F15" i="4"/>
  <c r="G15" i="4"/>
  <c r="I15" i="1"/>
  <c r="P15" i="1" s="1"/>
  <c r="N15" i="4"/>
  <c r="P15" i="4"/>
  <c r="Q15" i="4"/>
  <c r="R15" i="4"/>
  <c r="S15" i="4"/>
  <c r="T15" i="4"/>
  <c r="V15" i="4"/>
  <c r="W15" i="4"/>
  <c r="Y15" i="4"/>
  <c r="Z16" i="4"/>
  <c r="AA15" i="4"/>
  <c r="AB15" i="4"/>
  <c r="AC15" i="4"/>
  <c r="AD15" i="4"/>
  <c r="AE15" i="4"/>
  <c r="AF15" i="4"/>
  <c r="AG15" i="4"/>
  <c r="AH15" i="4"/>
  <c r="AI15" i="4"/>
  <c r="AJ15" i="4"/>
  <c r="H15" i="4"/>
  <c r="I15" i="4"/>
  <c r="J15" i="4"/>
  <c r="K15" i="4"/>
  <c r="E16" i="1"/>
  <c r="E16" i="4" s="1"/>
  <c r="F16" i="4"/>
  <c r="N16" i="4"/>
  <c r="O16" i="4"/>
  <c r="P16" i="4"/>
  <c r="Q16" i="4"/>
  <c r="R16" i="4"/>
  <c r="T16" i="4"/>
  <c r="U16" i="4"/>
  <c r="V16" i="4"/>
  <c r="W16" i="4"/>
  <c r="Y16" i="4"/>
  <c r="Z17" i="4"/>
  <c r="AA16" i="4"/>
  <c r="AB16" i="4"/>
  <c r="AC16" i="4"/>
  <c r="AD16" i="4"/>
  <c r="AE16" i="4"/>
  <c r="AF16" i="4"/>
  <c r="AG16" i="4"/>
  <c r="AH16" i="4"/>
  <c r="AI16" i="4"/>
  <c r="AJ16" i="4"/>
  <c r="H16" i="4"/>
  <c r="I16" i="4"/>
  <c r="J16" i="4"/>
  <c r="K16" i="4"/>
  <c r="F17" i="4"/>
  <c r="G17" i="4"/>
  <c r="N17" i="4"/>
  <c r="O17" i="4"/>
  <c r="P17" i="4"/>
  <c r="Q17" i="4"/>
  <c r="S17" i="4"/>
  <c r="T17" i="4"/>
  <c r="U17" i="4"/>
  <c r="V17" i="4"/>
  <c r="W17" i="4"/>
  <c r="Y17" i="4"/>
  <c r="Z18" i="4"/>
  <c r="AA17" i="4"/>
  <c r="AB17" i="4"/>
  <c r="AC17" i="4"/>
  <c r="AD17" i="4"/>
  <c r="AE17" i="4"/>
  <c r="AF17" i="4"/>
  <c r="AG17" i="4"/>
  <c r="AH17" i="4"/>
  <c r="AI17" i="4"/>
  <c r="AJ17" i="4"/>
  <c r="H17" i="4"/>
  <c r="I17" i="4"/>
  <c r="J17" i="4"/>
  <c r="K17" i="4"/>
  <c r="E18" i="1"/>
  <c r="E18" i="4" s="1"/>
  <c r="F18" i="4"/>
  <c r="G18" i="4"/>
  <c r="O18" i="4"/>
  <c r="P18" i="4"/>
  <c r="Q18" i="4"/>
  <c r="R18" i="4"/>
  <c r="S18" i="4"/>
  <c r="T18" i="4"/>
  <c r="U18" i="4"/>
  <c r="V18" i="4"/>
  <c r="W18" i="4"/>
  <c r="Y18" i="4"/>
  <c r="Z19" i="4"/>
  <c r="AA18" i="4"/>
  <c r="AB18" i="4"/>
  <c r="AC18" i="4"/>
  <c r="AD18" i="4"/>
  <c r="AE18" i="4"/>
  <c r="AF18" i="4"/>
  <c r="AG18" i="4"/>
  <c r="AH18" i="4"/>
  <c r="AI18" i="4"/>
  <c r="AJ18" i="4"/>
  <c r="H18" i="4"/>
  <c r="I18" i="4"/>
  <c r="J18" i="4"/>
  <c r="K18" i="4"/>
  <c r="E19" i="1"/>
  <c r="E19" i="4" s="1"/>
  <c r="F19" i="4"/>
  <c r="G19" i="4"/>
  <c r="O19" i="4"/>
  <c r="P19" i="4"/>
  <c r="Q19" i="4"/>
  <c r="R19" i="4"/>
  <c r="S19" i="4"/>
  <c r="U19" i="4"/>
  <c r="V19" i="4"/>
  <c r="W19" i="4"/>
  <c r="Y19" i="4"/>
  <c r="Z20" i="4"/>
  <c r="AA19" i="4"/>
  <c r="AB19" i="4"/>
  <c r="AC19" i="4"/>
  <c r="AD19" i="4"/>
  <c r="AE19" i="4"/>
  <c r="AF19" i="4"/>
  <c r="AG19" i="4"/>
  <c r="AH19" i="4"/>
  <c r="AI19" i="4"/>
  <c r="AJ19" i="4"/>
  <c r="I19" i="4"/>
  <c r="J19" i="4"/>
  <c r="K19" i="4"/>
  <c r="F20" i="4"/>
  <c r="G20" i="4"/>
  <c r="O20" i="4"/>
  <c r="P20" i="4"/>
  <c r="R20" i="4"/>
  <c r="S20" i="4"/>
  <c r="T20" i="4"/>
  <c r="U20" i="4"/>
  <c r="V20" i="4"/>
  <c r="W20" i="4"/>
  <c r="Z21" i="4"/>
  <c r="AA20" i="4"/>
  <c r="AB20" i="4"/>
  <c r="AC20" i="4"/>
  <c r="AD20" i="4"/>
  <c r="AE20" i="4"/>
  <c r="AF20" i="4"/>
  <c r="AG20" i="4"/>
  <c r="AH20" i="4"/>
  <c r="AI20" i="4"/>
  <c r="AJ20" i="4"/>
  <c r="H20" i="4"/>
  <c r="I20" i="4"/>
  <c r="J20" i="4"/>
  <c r="K20" i="4"/>
  <c r="E21" i="1"/>
  <c r="E21" i="4" s="1"/>
  <c r="F21" i="4"/>
  <c r="G21" i="4"/>
  <c r="N21" i="4"/>
  <c r="O21" i="4"/>
  <c r="P21" i="4"/>
  <c r="Q21" i="4"/>
  <c r="R21" i="4"/>
  <c r="S21" i="4"/>
  <c r="U21" i="4"/>
  <c r="V21" i="4"/>
  <c r="W21" i="4"/>
  <c r="Y21" i="4"/>
  <c r="Z22" i="4"/>
  <c r="AA21" i="4"/>
  <c r="AB21" i="4"/>
  <c r="AC21" i="4"/>
  <c r="AD21" i="4"/>
  <c r="AE21" i="4"/>
  <c r="AF21" i="4"/>
  <c r="AG21" i="4"/>
  <c r="AH21" i="4"/>
  <c r="AI21" i="4"/>
  <c r="AJ21" i="4"/>
  <c r="H21" i="4"/>
  <c r="I21" i="4"/>
  <c r="J21" i="4"/>
  <c r="K21" i="4"/>
  <c r="E22" i="1"/>
  <c r="E22" i="4" s="1"/>
  <c r="F22" i="4"/>
  <c r="G22" i="4"/>
  <c r="N22" i="4"/>
  <c r="O22" i="4"/>
  <c r="P22" i="4"/>
  <c r="Q22" i="4"/>
  <c r="R22" i="4"/>
  <c r="S22" i="4"/>
  <c r="T22" i="4"/>
  <c r="V22" i="4"/>
  <c r="W22" i="4"/>
  <c r="Y22" i="4"/>
  <c r="Z23" i="4"/>
  <c r="AA22" i="4"/>
  <c r="AB22" i="4"/>
  <c r="AC22" i="4"/>
  <c r="AD22" i="4"/>
  <c r="AE22" i="4"/>
  <c r="AF22" i="4"/>
  <c r="AG22" i="4"/>
  <c r="AH22" i="4"/>
  <c r="AI22" i="4"/>
  <c r="AJ22" i="4"/>
  <c r="H22" i="4"/>
  <c r="I22" i="4"/>
  <c r="J22" i="4"/>
  <c r="K22" i="4"/>
  <c r="E23" i="1"/>
  <c r="E23" i="4" s="1"/>
  <c r="F23" i="4"/>
  <c r="G23" i="4"/>
  <c r="O23" i="4"/>
  <c r="P23" i="4"/>
  <c r="Q23" i="4"/>
  <c r="R23" i="4"/>
  <c r="S23" i="4"/>
  <c r="T23" i="4"/>
  <c r="U23" i="4"/>
  <c r="V23" i="4"/>
  <c r="W23" i="4"/>
  <c r="Y23" i="4"/>
  <c r="Z24" i="4"/>
  <c r="AA23" i="4"/>
  <c r="AB23" i="4"/>
  <c r="AC23" i="4"/>
  <c r="AD23" i="4"/>
  <c r="AE23" i="4"/>
  <c r="AF23" i="4"/>
  <c r="AG23" i="4"/>
  <c r="AH23" i="4"/>
  <c r="AI23" i="4"/>
  <c r="AJ23" i="4"/>
  <c r="H23" i="4"/>
  <c r="J23" i="4"/>
  <c r="K23" i="4"/>
  <c r="E24" i="1"/>
  <c r="E24" i="4" s="1"/>
  <c r="F24" i="4"/>
  <c r="G24" i="4"/>
  <c r="N24" i="4"/>
  <c r="O24" i="4"/>
  <c r="P24" i="4"/>
  <c r="Q24" i="4"/>
  <c r="R24" i="4"/>
  <c r="S24" i="4"/>
  <c r="T24" i="4"/>
  <c r="V24" i="4"/>
  <c r="W24" i="4"/>
  <c r="Y24" i="4"/>
  <c r="Z25" i="4"/>
  <c r="AA24" i="4"/>
  <c r="AB24" i="4"/>
  <c r="AC24" i="4"/>
  <c r="AD24" i="4"/>
  <c r="AE24" i="4"/>
  <c r="AF24" i="4"/>
  <c r="AG24" i="4"/>
  <c r="AH24" i="4"/>
  <c r="AI24" i="4"/>
  <c r="AJ24" i="4"/>
  <c r="H24" i="4"/>
  <c r="I24" i="4"/>
  <c r="J24" i="4"/>
  <c r="K24" i="4"/>
  <c r="E25" i="1"/>
  <c r="E25" i="4" s="1"/>
  <c r="F25" i="4"/>
  <c r="G25" i="4"/>
  <c r="N25" i="4"/>
  <c r="O25" i="4"/>
  <c r="P25" i="4"/>
  <c r="Q25" i="4"/>
  <c r="R25" i="4"/>
  <c r="S25" i="4"/>
  <c r="T25" i="4"/>
  <c r="U25" i="4"/>
  <c r="V25" i="4"/>
  <c r="W25" i="4"/>
  <c r="Y25" i="4"/>
  <c r="Z26" i="4"/>
  <c r="AA25" i="4"/>
  <c r="AB25" i="4"/>
  <c r="AC25" i="4"/>
  <c r="AD25" i="4"/>
  <c r="AE25" i="4"/>
  <c r="AF25" i="4"/>
  <c r="AG25" i="4"/>
  <c r="AH25" i="4"/>
  <c r="AI25" i="4"/>
  <c r="AJ25" i="4"/>
  <c r="H25" i="4"/>
  <c r="I25" i="4"/>
  <c r="J25" i="4"/>
  <c r="E26" i="1"/>
  <c r="E26" i="4" s="1"/>
  <c r="F26" i="4"/>
  <c r="G26" i="4"/>
  <c r="N26" i="4"/>
  <c r="O26" i="4"/>
  <c r="P26" i="4"/>
  <c r="R26" i="4"/>
  <c r="S26" i="4"/>
  <c r="T26" i="4"/>
  <c r="U26" i="4"/>
  <c r="V26" i="4"/>
  <c r="Y26" i="4"/>
  <c r="Z27" i="4"/>
  <c r="AA26" i="4"/>
  <c r="AB26" i="4"/>
  <c r="AC26" i="4"/>
  <c r="AD26" i="4"/>
  <c r="AE26" i="4"/>
  <c r="AF26" i="4"/>
  <c r="AG26" i="4"/>
  <c r="AH26" i="4"/>
  <c r="AI26" i="4"/>
  <c r="AJ26" i="4"/>
  <c r="H26" i="4"/>
  <c r="I26" i="4"/>
  <c r="J26" i="4"/>
  <c r="K26" i="4"/>
  <c r="E27" i="1"/>
  <c r="E27" i="4" s="1"/>
  <c r="F27" i="4"/>
  <c r="G27" i="4"/>
  <c r="N27" i="4"/>
  <c r="O27" i="4"/>
  <c r="P27" i="4"/>
  <c r="Q27" i="4"/>
  <c r="R27" i="4"/>
  <c r="S27" i="4"/>
  <c r="T27" i="4"/>
  <c r="U27" i="4"/>
  <c r="V27" i="4"/>
  <c r="W27" i="4"/>
  <c r="Y27" i="4"/>
  <c r="Z28" i="4"/>
  <c r="AA27" i="4"/>
  <c r="AB27" i="4"/>
  <c r="AC27" i="4"/>
  <c r="AD27" i="4"/>
  <c r="AE27" i="4"/>
  <c r="AF27" i="4"/>
  <c r="AG27" i="4"/>
  <c r="AH27" i="4"/>
  <c r="AI27" i="4"/>
  <c r="AJ27" i="4"/>
  <c r="H27" i="4"/>
  <c r="J27" i="4"/>
  <c r="K27" i="4"/>
  <c r="E28" i="1"/>
  <c r="E28" i="4" s="1"/>
  <c r="F28" i="4"/>
  <c r="G28" i="4"/>
  <c r="N28" i="4"/>
  <c r="O28" i="4"/>
  <c r="P28" i="4"/>
  <c r="Q28" i="4"/>
  <c r="R28" i="4"/>
  <c r="S28" i="4"/>
  <c r="T28" i="4"/>
  <c r="U28" i="4"/>
  <c r="W28" i="4"/>
  <c r="Y28" i="4"/>
  <c r="Z29" i="4"/>
  <c r="AA28" i="4"/>
  <c r="AB28" i="4"/>
  <c r="AC28" i="4"/>
  <c r="AD28" i="4"/>
  <c r="AE28" i="4"/>
  <c r="AF28" i="4"/>
  <c r="AG28" i="4"/>
  <c r="AH28" i="4"/>
  <c r="AI28" i="4"/>
  <c r="AJ28" i="4"/>
  <c r="H28" i="4"/>
  <c r="I28" i="4"/>
  <c r="J28" i="4"/>
  <c r="K28" i="4"/>
  <c r="E29" i="1"/>
  <c r="E29" i="4" s="1"/>
  <c r="F29" i="4"/>
  <c r="G29" i="4"/>
  <c r="N29" i="4"/>
  <c r="O29" i="4"/>
  <c r="P29" i="4"/>
  <c r="Q29" i="4"/>
  <c r="R29" i="4"/>
  <c r="S29" i="4"/>
  <c r="T29" i="4"/>
  <c r="U29" i="4"/>
  <c r="V29" i="4"/>
  <c r="W29" i="4"/>
  <c r="Y29" i="4"/>
  <c r="Z30" i="4"/>
  <c r="AA29" i="4"/>
  <c r="AB29" i="4"/>
  <c r="AC29" i="4"/>
  <c r="AD29" i="4"/>
  <c r="AE29" i="4"/>
  <c r="AF29" i="4"/>
  <c r="AG29" i="4"/>
  <c r="AH29" i="4"/>
  <c r="AI29" i="4"/>
  <c r="AJ29" i="4"/>
  <c r="H29" i="4"/>
  <c r="I29" i="4"/>
  <c r="J29" i="4"/>
  <c r="K29" i="4"/>
  <c r="E30" i="4"/>
  <c r="F30" i="4"/>
  <c r="G30" i="4"/>
  <c r="O30" i="4"/>
  <c r="P30" i="4"/>
  <c r="Q30" i="4"/>
  <c r="R30" i="4"/>
  <c r="S30" i="4"/>
  <c r="T30" i="4"/>
  <c r="U30" i="4"/>
  <c r="V30" i="4"/>
  <c r="W30" i="4"/>
  <c r="Y30" i="4"/>
  <c r="Z31" i="4"/>
  <c r="AA30" i="4"/>
  <c r="AB30" i="4"/>
  <c r="AC30" i="4"/>
  <c r="AD30" i="4"/>
  <c r="AE30" i="4"/>
  <c r="AF30" i="4"/>
  <c r="AG30" i="4"/>
  <c r="AH30" i="4"/>
  <c r="AI30" i="4"/>
  <c r="AJ30" i="4"/>
  <c r="H30" i="4"/>
  <c r="I30" i="4"/>
  <c r="J30" i="4"/>
  <c r="K30" i="4"/>
  <c r="E31" i="4"/>
  <c r="F31" i="4"/>
  <c r="G31" i="4"/>
  <c r="N31" i="4"/>
  <c r="O31" i="4"/>
  <c r="P31" i="4"/>
  <c r="Q31" i="4"/>
  <c r="R31" i="4"/>
  <c r="S31" i="4"/>
  <c r="T31" i="4"/>
  <c r="U31" i="4"/>
  <c r="V31" i="4"/>
  <c r="Y31" i="4"/>
  <c r="AA31" i="4"/>
  <c r="AB31" i="4"/>
  <c r="AC31" i="4"/>
  <c r="AD31" i="4"/>
  <c r="AE31" i="4"/>
  <c r="AF31" i="4"/>
  <c r="AG31" i="4"/>
  <c r="AH31" i="4"/>
  <c r="AI31" i="4"/>
  <c r="AJ31" i="4"/>
  <c r="H31" i="4"/>
  <c r="I31" i="4"/>
  <c r="J31" i="4"/>
  <c r="K31" i="4"/>
  <c r="J9" i="4"/>
  <c r="M10" i="4"/>
  <c r="N11" i="4"/>
  <c r="Q11" i="4"/>
  <c r="J13" i="4"/>
  <c r="G16" i="4"/>
  <c r="S16" i="4"/>
  <c r="H19" i="4"/>
  <c r="N19" i="4"/>
  <c r="T19" i="4"/>
  <c r="Q20" i="4"/>
  <c r="I23" i="4"/>
  <c r="K25" i="4"/>
  <c r="Q26" i="4"/>
  <c r="W26" i="4"/>
  <c r="I27" i="4"/>
  <c r="V28" i="4"/>
  <c r="W31" i="4"/>
  <c r="K2" i="1"/>
  <c r="AK2" i="4" s="1"/>
  <c r="B3" i="1"/>
  <c r="K3" i="1"/>
  <c r="AK3" i="4" s="1"/>
  <c r="K4" i="1"/>
  <c r="AK4" i="4" s="1"/>
  <c r="K5" i="1"/>
  <c r="AK5" i="4" s="1"/>
  <c r="K6" i="1"/>
  <c r="AK6" i="4" s="1"/>
  <c r="K7" i="1"/>
  <c r="AK7" i="4" s="1"/>
  <c r="K8" i="1"/>
  <c r="AK8" i="4" s="1"/>
  <c r="K9" i="1"/>
  <c r="AK9" i="4" s="1"/>
  <c r="K10" i="1"/>
  <c r="AK10" i="4" s="1"/>
  <c r="I11" i="1"/>
  <c r="P11" i="1" s="1"/>
  <c r="K11" i="1"/>
  <c r="AK11" i="4" s="1"/>
  <c r="K12" i="1"/>
  <c r="AK12" i="4" s="1"/>
  <c r="K13" i="1"/>
  <c r="AK13" i="4" s="1"/>
  <c r="K14" i="1"/>
  <c r="AK14" i="4" s="1"/>
  <c r="K15" i="1"/>
  <c r="AK15" i="4" s="1"/>
  <c r="K16" i="1"/>
  <c r="AK16" i="4" s="1"/>
  <c r="E17" i="1"/>
  <c r="E17" i="4" s="1"/>
  <c r="K17" i="1"/>
  <c r="AK17" i="4" s="1"/>
  <c r="K18" i="1"/>
  <c r="AK18" i="4" s="1"/>
  <c r="K19" i="1"/>
  <c r="AK19" i="4" s="1"/>
  <c r="E20" i="1"/>
  <c r="E20" i="4" s="1"/>
  <c r="K20" i="1"/>
  <c r="AK20" i="4" s="1"/>
  <c r="K21" i="1"/>
  <c r="AK21" i="4" s="1"/>
  <c r="K22" i="1"/>
  <c r="AK22" i="4" s="1"/>
  <c r="K23" i="1"/>
  <c r="AK23" i="4" s="1"/>
  <c r="K24" i="1"/>
  <c r="AK24" i="4" s="1"/>
  <c r="K25" i="1"/>
  <c r="AK25" i="4" s="1"/>
  <c r="K26" i="1"/>
  <c r="AK26" i="4" s="1"/>
  <c r="K27" i="1"/>
  <c r="AK27" i="4" s="1"/>
  <c r="K28" i="1"/>
  <c r="AK28" i="4" s="1"/>
  <c r="K29" i="1"/>
  <c r="AK29" i="4" s="1"/>
  <c r="AK30" i="4"/>
  <c r="AK31" i="4"/>
  <c r="Y20" i="4"/>
  <c r="X11" i="4"/>
  <c r="Z2" i="4"/>
  <c r="U24" i="4"/>
  <c r="B4" i="1" l="1"/>
  <c r="B3" i="4"/>
  <c r="C23" i="5"/>
  <c r="J4" i="1"/>
  <c r="J15" i="1"/>
  <c r="J11" i="1"/>
  <c r="O8" i="4"/>
  <c r="O5" i="4"/>
  <c r="O10" i="4"/>
  <c r="O2" i="4"/>
  <c r="O7" i="4"/>
  <c r="O4" i="4"/>
  <c r="O9" i="4"/>
  <c r="O6" i="4"/>
  <c r="O3" i="4"/>
  <c r="I9" i="1"/>
  <c r="P9" i="1" s="1"/>
  <c r="X25" i="4"/>
  <c r="L25" i="4" s="1"/>
  <c r="X24" i="4"/>
  <c r="L24" i="4" s="1"/>
  <c r="I29" i="1"/>
  <c r="P29" i="1" s="1"/>
  <c r="I3" i="1"/>
  <c r="P3" i="1" s="1"/>
  <c r="I23" i="1"/>
  <c r="P23" i="1" s="1"/>
  <c r="R13" i="4"/>
  <c r="X16" i="4"/>
  <c r="L16" i="4" s="1"/>
  <c r="I10" i="1"/>
  <c r="P10" i="1" s="1"/>
  <c r="I12" i="1"/>
  <c r="P12" i="1" s="1"/>
  <c r="Y3" i="4"/>
  <c r="Y2" i="4"/>
  <c r="X18" i="4"/>
  <c r="T21" i="4"/>
  <c r="X15" i="4"/>
  <c r="L15" i="4" s="1"/>
  <c r="X31" i="4"/>
  <c r="L31" i="4" s="1"/>
  <c r="X28" i="4"/>
  <c r="L28" i="4" s="1"/>
  <c r="X26" i="4"/>
  <c r="L26" i="4" s="1"/>
  <c r="X19" i="4"/>
  <c r="L19" i="4" s="1"/>
  <c r="I21" i="1"/>
  <c r="P21" i="1" s="1"/>
  <c r="I7" i="1"/>
  <c r="P7" i="1" s="1"/>
  <c r="I5" i="1"/>
  <c r="P5" i="1" s="1"/>
  <c r="I20" i="1"/>
  <c r="P20" i="1" s="1"/>
  <c r="I16" i="1"/>
  <c r="P16" i="1" s="1"/>
  <c r="I6" i="1"/>
  <c r="P6" i="1" s="1"/>
  <c r="I8" i="1"/>
  <c r="P8" i="1" s="1"/>
  <c r="X12" i="4"/>
  <c r="L12" i="4" s="1"/>
  <c r="X27" i="4"/>
  <c r="L27" i="4" s="1"/>
  <c r="I27" i="1"/>
  <c r="P27" i="1" s="1"/>
  <c r="N18" i="4"/>
  <c r="X22" i="4"/>
  <c r="L22" i="4" s="1"/>
  <c r="I19" i="1"/>
  <c r="P19" i="1" s="1"/>
  <c r="I13" i="1"/>
  <c r="P13" i="1" s="1"/>
  <c r="G17" i="1"/>
  <c r="T17" i="1" s="1"/>
  <c r="X17" i="4"/>
  <c r="L17" i="4" s="1"/>
  <c r="X13" i="4"/>
  <c r="X14" i="4"/>
  <c r="U15" i="4"/>
  <c r="T8" i="4"/>
  <c r="N13" i="4"/>
  <c r="I26" i="1"/>
  <c r="P26" i="1" s="1"/>
  <c r="I28" i="1"/>
  <c r="P28" i="1" s="1"/>
  <c r="I18" i="1"/>
  <c r="P18" i="1" s="1"/>
  <c r="I2" i="1"/>
  <c r="P2" i="1" s="1"/>
  <c r="E7" i="1"/>
  <c r="E7" i="4" s="1"/>
  <c r="E6" i="1"/>
  <c r="E6" i="4" s="1"/>
  <c r="E8" i="1"/>
  <c r="E8" i="4" s="1"/>
  <c r="R17" i="4"/>
  <c r="I17" i="1"/>
  <c r="P17" i="1" s="1"/>
  <c r="E9" i="1"/>
  <c r="E9" i="4" s="1"/>
  <c r="L11" i="4"/>
  <c r="I25" i="1"/>
  <c r="P25" i="1" s="1"/>
  <c r="I14" i="1"/>
  <c r="P14" i="1" s="1"/>
  <c r="X30" i="4"/>
  <c r="X29" i="4"/>
  <c r="L29" i="4" s="1"/>
  <c r="X23" i="4"/>
  <c r="N30" i="4"/>
  <c r="I24" i="1"/>
  <c r="P24" i="1" s="1"/>
  <c r="AJ14" i="4"/>
  <c r="AI14" i="4"/>
  <c r="AH14" i="4"/>
  <c r="AG14" i="4"/>
  <c r="AF14" i="4"/>
  <c r="AE14" i="4"/>
  <c r="AD14" i="4"/>
  <c r="AC14" i="4"/>
  <c r="AB14" i="4"/>
  <c r="AA14" i="4"/>
  <c r="Y14" i="4"/>
  <c r="Z10" i="4"/>
  <c r="X21" i="4"/>
  <c r="L21" i="4" s="1"/>
  <c r="U22" i="4"/>
  <c r="R14" i="4"/>
  <c r="O15" i="4"/>
  <c r="N23" i="4"/>
  <c r="N14" i="4"/>
  <c r="N20" i="4"/>
  <c r="X20" i="4"/>
  <c r="I22" i="1"/>
  <c r="P22" i="1" s="1"/>
  <c r="F14" i="4"/>
  <c r="B5" i="1" l="1"/>
  <c r="B4" i="4"/>
  <c r="L30" i="4"/>
  <c r="L18" i="4"/>
  <c r="J5" i="1"/>
  <c r="J2" i="1"/>
  <c r="J27" i="1"/>
  <c r="U7" i="1"/>
  <c r="J22" i="1"/>
  <c r="J25" i="1"/>
  <c r="J18" i="1"/>
  <c r="J8" i="1"/>
  <c r="J9" i="1"/>
  <c r="J19" i="1"/>
  <c r="J23" i="1"/>
  <c r="J26" i="1"/>
  <c r="J13" i="1"/>
  <c r="J6" i="1"/>
  <c r="J10" i="1"/>
  <c r="J29" i="1"/>
  <c r="J17" i="1"/>
  <c r="U12" i="1"/>
  <c r="X6" i="4"/>
  <c r="L6" i="4" s="1"/>
  <c r="X10" i="4"/>
  <c r="L10" i="4" s="1"/>
  <c r="X7" i="4"/>
  <c r="L7" i="4" s="1"/>
  <c r="X2" i="4"/>
  <c r="L2" i="4" s="1"/>
  <c r="X5" i="4"/>
  <c r="L5" i="4" s="1"/>
  <c r="X4" i="4"/>
  <c r="L4" i="4" s="1"/>
  <c r="X8" i="4"/>
  <c r="L8" i="4" s="1"/>
  <c r="X3" i="4"/>
  <c r="L3" i="4" s="1"/>
  <c r="X9" i="4"/>
  <c r="L9" i="4" s="1"/>
  <c r="G21" i="1"/>
  <c r="T21" i="1" s="1"/>
  <c r="G7" i="1"/>
  <c r="T7" i="1" s="1"/>
  <c r="L13" i="4"/>
  <c r="G8" i="1"/>
  <c r="T8" i="1" s="1"/>
  <c r="G9" i="1"/>
  <c r="T9" i="1" s="1"/>
  <c r="G4" i="1"/>
  <c r="T4" i="1" s="1"/>
  <c r="G2" i="1"/>
  <c r="T2" i="1" s="1"/>
  <c r="G20" i="1"/>
  <c r="T20" i="1" s="1"/>
  <c r="G19" i="1"/>
  <c r="T19" i="1" s="1"/>
  <c r="G6" i="1"/>
  <c r="T6" i="1" s="1"/>
  <c r="G15" i="1"/>
  <c r="T15" i="1" s="1"/>
  <c r="G16" i="1"/>
  <c r="T16" i="1" s="1"/>
  <c r="L14" i="4"/>
  <c r="G29" i="1"/>
  <c r="T29" i="1" s="1"/>
  <c r="U27" i="1"/>
  <c r="G14" i="1"/>
  <c r="T14" i="1" s="1"/>
  <c r="G24" i="1"/>
  <c r="T24" i="1" s="1"/>
  <c r="G12" i="1"/>
  <c r="T12" i="1" s="1"/>
  <c r="G5" i="1"/>
  <c r="T5" i="1" s="1"/>
  <c r="G18" i="1"/>
  <c r="T18" i="1" s="1"/>
  <c r="G25" i="1"/>
  <c r="T25" i="1" s="1"/>
  <c r="G22" i="1"/>
  <c r="T22" i="1" s="1"/>
  <c r="G27" i="1"/>
  <c r="T27" i="1" s="1"/>
  <c r="G3" i="1"/>
  <c r="T3" i="1" s="1"/>
  <c r="G13" i="1"/>
  <c r="T13" i="1" s="1"/>
  <c r="L23" i="4"/>
  <c r="U8" i="1"/>
  <c r="U13" i="1"/>
  <c r="J14" i="1"/>
  <c r="U14" i="1"/>
  <c r="U15" i="1"/>
  <c r="G28" i="1"/>
  <c r="T28" i="1" s="1"/>
  <c r="G26" i="1"/>
  <c r="T26" i="1" s="1"/>
  <c r="U5" i="1"/>
  <c r="U6" i="1"/>
  <c r="U4" i="1"/>
  <c r="U10" i="1"/>
  <c r="U26" i="1"/>
  <c r="J24" i="1"/>
  <c r="U24" i="1"/>
  <c r="G11" i="1"/>
  <c r="T11" i="1" s="1"/>
  <c r="G23" i="1"/>
  <c r="T23" i="1" s="1"/>
  <c r="L20" i="4"/>
  <c r="U22" i="1"/>
  <c r="G10" i="1"/>
  <c r="T10" i="1" s="1"/>
  <c r="U23" i="1"/>
  <c r="U29" i="1"/>
  <c r="U17" i="1"/>
  <c r="U19" i="1"/>
  <c r="U28" i="1"/>
  <c r="J28" i="1"/>
  <c r="J16" i="1"/>
  <c r="U16" i="1"/>
  <c r="U3" i="1"/>
  <c r="J3" i="1"/>
  <c r="U20" i="1"/>
  <c r="J20" i="1"/>
  <c r="U25" i="1"/>
  <c r="J21" i="1"/>
  <c r="U21" i="1"/>
  <c r="U11" i="1"/>
  <c r="B6" i="1" l="1"/>
  <c r="B5" i="4"/>
  <c r="U18" i="1"/>
  <c r="U2" i="1"/>
  <c r="J7" i="1"/>
  <c r="J12" i="1"/>
  <c r="U9" i="1"/>
  <c r="B7" i="1" l="1"/>
  <c r="B6" i="4"/>
  <c r="B8" i="1" l="1"/>
  <c r="B7" i="4"/>
  <c r="B9" i="1" l="1"/>
  <c r="B8" i="4"/>
  <c r="B10" i="1" l="1"/>
  <c r="B9" i="4"/>
  <c r="B11" i="1" l="1"/>
  <c r="B10" i="4"/>
  <c r="B12" i="1" l="1"/>
  <c r="B11" i="4"/>
  <c r="B13" i="1" l="1"/>
  <c r="B12" i="4"/>
  <c r="B14" i="1" l="1"/>
  <c r="B13" i="4"/>
  <c r="B15" i="1" l="1"/>
  <c r="B14" i="4"/>
  <c r="B16" i="1" l="1"/>
  <c r="B15" i="4"/>
  <c r="B17" i="1" l="1"/>
  <c r="B16" i="4"/>
  <c r="B18" i="1" l="1"/>
  <c r="B17" i="4"/>
  <c r="B19" i="1" l="1"/>
  <c r="B18" i="4"/>
  <c r="B20" i="1" l="1"/>
  <c r="B19" i="4"/>
  <c r="B21" i="1" l="1"/>
  <c r="B20" i="4"/>
  <c r="B22" i="1" l="1"/>
  <c r="B21" i="4"/>
  <c r="B23" i="1" l="1"/>
  <c r="B22" i="4"/>
  <c r="B24" i="1" l="1"/>
  <c r="B23" i="4"/>
  <c r="B25" i="1" l="1"/>
  <c r="B24" i="4"/>
  <c r="B26" i="1" l="1"/>
  <c r="B25" i="4"/>
  <c r="B27" i="1" l="1"/>
  <c r="B26" i="4"/>
  <c r="B28" i="1" l="1"/>
  <c r="B27" i="4"/>
  <c r="B29" i="1" l="1"/>
  <c r="B29" i="4" s="1"/>
  <c r="B28" i="4"/>
</calcChain>
</file>

<file path=xl/comments1.xml><?xml version="1.0" encoding="utf-8"?>
<comments xmlns="http://schemas.openxmlformats.org/spreadsheetml/2006/main">
  <authors>
    <author>tc={7D7B8EF4-66C7-490F-8BF6-D6C198256095}</author>
  </authors>
  <commentList>
    <comment ref="CF21" authorId="0" shapeId="0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Diesel Replenishment was done </t>
        </r>
      </text>
    </comment>
  </commentList>
</comments>
</file>

<file path=xl/sharedStrings.xml><?xml version="1.0" encoding="utf-8"?>
<sst xmlns="http://schemas.openxmlformats.org/spreadsheetml/2006/main" count="291" uniqueCount="136">
  <si>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</si>
  <si>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</si>
  <si>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</si>
  <si>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</si>
  <si>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</si>
  <si>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</si>
  <si>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</si>
  <si>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</si>
  <si>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</si>
  <si>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</si>
  <si>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</si>
  <si>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Water Tanks </t>
  </si>
  <si>
    <t>Cost of Water Tanks Rs</t>
  </si>
  <si>
    <t>Water Utility Supply (m3) Rs/m3</t>
  </si>
  <si>
    <t>Electricity Tariff (Rs/Kwh)</t>
  </si>
  <si>
    <t>LPG Rs/Kg</t>
  </si>
  <si>
    <t>Exchange Rate</t>
  </si>
  <si>
    <t xml:space="preserve">Total LPG Cost </t>
  </si>
  <si>
    <t xml:space="preserve">Total Water Cost </t>
  </si>
  <si>
    <t>Mauritius at Anahita</t>
  </si>
  <si>
    <t>Hotel (KWh)</t>
  </si>
  <si>
    <t>Vacoas (KWh)</t>
  </si>
  <si>
    <t>Laundry (KWh)</t>
  </si>
  <si>
    <t>Villa 145 (KWh)</t>
  </si>
  <si>
    <t>Villa 146 (KWh)</t>
  </si>
  <si>
    <t>Villa 111 (KWh)</t>
  </si>
  <si>
    <t>Villa 128 (KWh)</t>
  </si>
  <si>
    <t>Hotel (m3)</t>
  </si>
  <si>
    <t>Bamboo Pool (m3)</t>
  </si>
  <si>
    <t xml:space="preserve">Island (m3) </t>
  </si>
  <si>
    <t>Main Building (m3)</t>
  </si>
  <si>
    <t>Pantry A (m3)</t>
  </si>
  <si>
    <t>Pantry B (m3)</t>
  </si>
  <si>
    <t>Pantry C (m3)</t>
  </si>
  <si>
    <t>Pantry D (m3)</t>
  </si>
  <si>
    <t>Pantry E (m3)</t>
  </si>
  <si>
    <t>Pantry F (m3)</t>
  </si>
  <si>
    <t>Pantry G (m3)</t>
  </si>
  <si>
    <t>North Parcel (m3)</t>
  </si>
  <si>
    <t>South Parcel (m3)</t>
  </si>
  <si>
    <t>Beau champ (Kg)</t>
  </si>
  <si>
    <t>Acquapazza (Kg)</t>
  </si>
  <si>
    <t>Bamboo (Kg)</t>
  </si>
  <si>
    <t>Steam Boiler (Kg)</t>
  </si>
  <si>
    <t>Laundry (Kg)</t>
  </si>
  <si>
    <t>Pantry A (Kg)</t>
  </si>
  <si>
    <t>Pantry B (Kg)</t>
  </si>
  <si>
    <t>Pantry C (Kg)</t>
  </si>
  <si>
    <t>Pantry D (Kg)</t>
  </si>
  <si>
    <t>Pantry E (Kg)</t>
  </si>
  <si>
    <t>Pantry F (Kg)</t>
  </si>
  <si>
    <t>Pantry G (Kg)</t>
  </si>
  <si>
    <t>Hotel Electricity</t>
  </si>
  <si>
    <t>Gen 01</t>
  </si>
  <si>
    <t>Gen 02</t>
  </si>
  <si>
    <t xml:space="preserve">MB &amp; Island </t>
  </si>
  <si>
    <t>CONS</t>
  </si>
  <si>
    <t>North &amp; South</t>
  </si>
  <si>
    <t>Vacoas KW</t>
  </si>
  <si>
    <t>Hotel</t>
  </si>
  <si>
    <t>% Water Available</t>
  </si>
  <si>
    <t>Water reservoir, 400 m3</t>
  </si>
  <si>
    <t>water truck</t>
  </si>
  <si>
    <t>Water Softener</t>
  </si>
  <si>
    <t>bamboo pool</t>
  </si>
  <si>
    <t>CWA (FS)</t>
  </si>
  <si>
    <t>Island</t>
  </si>
  <si>
    <t>Island Sub</t>
  </si>
  <si>
    <t>Main Building</t>
  </si>
  <si>
    <t>Pantry A</t>
  </si>
  <si>
    <t>Pantry B</t>
  </si>
  <si>
    <t>Pantry C</t>
  </si>
  <si>
    <t>Pantry D</t>
  </si>
  <si>
    <t>Pantry E</t>
  </si>
  <si>
    <t>Pantry F</t>
  </si>
  <si>
    <t>Pantry G</t>
  </si>
  <si>
    <t>North</t>
  </si>
  <si>
    <t>North Sub</t>
  </si>
  <si>
    <t>South</t>
  </si>
  <si>
    <t>South Sub</t>
  </si>
  <si>
    <t>Diesel</t>
  </si>
  <si>
    <t>Gas</t>
  </si>
  <si>
    <t>Steam Boiler( Laundry)</t>
  </si>
  <si>
    <t>Main Building ( boiler)</t>
  </si>
  <si>
    <t>Pool Temperature</t>
  </si>
  <si>
    <t xml:space="preserve">BEVERAGE STORE </t>
  </si>
  <si>
    <t>Date</t>
  </si>
  <si>
    <t>KVAH</t>
  </si>
  <si>
    <t>KWH</t>
  </si>
  <si>
    <t>PF</t>
  </si>
  <si>
    <t>KVA</t>
  </si>
  <si>
    <t>KVA max</t>
  </si>
  <si>
    <t>Hrs</t>
  </si>
  <si>
    <t>CWA23</t>
  </si>
  <si>
    <t>Truck Meter</t>
  </si>
  <si>
    <t>Cons</t>
  </si>
  <si>
    <t xml:space="preserve">UV reading </t>
  </si>
  <si>
    <t>chiller</t>
  </si>
  <si>
    <t>island</t>
  </si>
  <si>
    <t>cons</t>
  </si>
  <si>
    <t>M.Buil</t>
  </si>
  <si>
    <t>Main Kitchen</t>
  </si>
  <si>
    <t>Bamboo C</t>
  </si>
  <si>
    <t>Bamboo H</t>
  </si>
  <si>
    <t>cyclon bridge</t>
  </si>
  <si>
    <t>Island - Hot</t>
  </si>
  <si>
    <t>Island Cold</t>
  </si>
  <si>
    <t>north</t>
  </si>
  <si>
    <t>south</t>
  </si>
  <si>
    <t>Total water consump</t>
  </si>
  <si>
    <t>Total HW consump</t>
  </si>
  <si>
    <t>DIESEL( cm)</t>
  </si>
  <si>
    <t>stock</t>
  </si>
  <si>
    <t>Del</t>
  </si>
  <si>
    <t>Meter</t>
  </si>
  <si>
    <t xml:space="preserve">cons </t>
  </si>
  <si>
    <t>Kg</t>
  </si>
  <si>
    <t>LPG 1</t>
  </si>
  <si>
    <t>LPG 2</t>
  </si>
  <si>
    <t>LPG 3</t>
  </si>
  <si>
    <t>total stock</t>
  </si>
  <si>
    <t>del</t>
  </si>
  <si>
    <t>Beau champ</t>
  </si>
  <si>
    <t>cons(Litres)</t>
  </si>
  <si>
    <t>Cons(Kg)</t>
  </si>
  <si>
    <t>Acquapazza</t>
  </si>
  <si>
    <t xml:space="preserve">Bamboo </t>
  </si>
  <si>
    <t>Villa 111</t>
  </si>
  <si>
    <t>Villa 128</t>
  </si>
  <si>
    <t>Room Nights</t>
  </si>
  <si>
    <t>Bed Nights</t>
  </si>
  <si>
    <t>% OCC</t>
  </si>
  <si>
    <t>California</t>
  </si>
  <si>
    <t>Infiniti</t>
  </si>
  <si>
    <t>Fitness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</si>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</sst>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;@"/>
    <numFmt numFmtId="165" formatCode="0.0%"/>
  </numFmts>
  <fonts count="13" x14ac:knownFonts="1">
    <font>
      <sz val="10"/>
      <name val="Arial"/>
      <family val="2"/>
    </font>
    <font>
      <b/>
      <sz val="10"/>
      <name val="Arial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0" fontId="9" fillId="8" borderId="0" applyNumberFormat="0" applyBorder="0" applyAlignment="0" applyProtection="0"/>
    <xf numFmtId="9" fontId="10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1" xfId="0" applyFont="1" applyBorder="1"/>
    <xf numFmtId="2" fontId="1" fillId="0" borderId="1" xfId="0" applyNumberFormat="1" applyFont="1" applyBorder="1" applyAlignment="1">
      <alignment wrapText="1"/>
    </xf>
    <xf numFmtId="2" fontId="1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4" fillId="0" borderId="0" xfId="2" applyAlignment="1">
      <alignment horizontal="center"/>
    </xf>
    <xf numFmtId="0" fontId="1" fillId="0" borderId="1" xfId="0" applyFont="1" applyBorder="1" applyAlignment="1">
      <alignment horizontal="center" wrapText="1"/>
    </xf>
    <xf numFmtId="2" fontId="0" fillId="0" borderId="0" xfId="0" applyNumberFormat="1" applyAlignment="1">
      <alignment horizontal="center"/>
    </xf>
    <xf numFmtId="0" fontId="1" fillId="0" borderId="16" xfId="0" applyFont="1" applyBorder="1" applyAlignment="1">
      <alignment horizontal="center" wrapText="1"/>
    </xf>
    <xf numFmtId="0" fontId="0" fillId="0" borderId="17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9" fontId="0" fillId="0" borderId="0" xfId="0" applyNumberFormat="1"/>
    <xf numFmtId="0" fontId="0" fillId="2" borderId="0" xfId="0" applyFill="1" applyAlignment="1">
      <alignment horizontal="center" vertical="center"/>
    </xf>
    <xf numFmtId="0" fontId="5" fillId="0" borderId="0" xfId="0" applyFont="1" applyProtection="1">
      <protection locked="0"/>
    </xf>
    <xf numFmtId="0" fontId="6" fillId="4" borderId="5" xfId="0" applyFont="1" applyFill="1" applyBorder="1" applyAlignment="1" applyProtection="1">
      <alignment horizontal="center"/>
      <protection locked="0"/>
    </xf>
    <xf numFmtId="0" fontId="6" fillId="0" borderId="3" xfId="2" applyFont="1" applyBorder="1" applyAlignment="1" applyProtection="1">
      <alignment horizontal="center"/>
      <protection locked="0"/>
    </xf>
    <xf numFmtId="0" fontId="6" fillId="0" borderId="8" xfId="2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wrapText="1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0" borderId="2" xfId="2" applyFont="1" applyBorder="1" applyProtection="1">
      <protection locked="0"/>
    </xf>
    <xf numFmtId="0" fontId="5" fillId="0" borderId="0" xfId="2" applyFont="1" applyProtection="1">
      <protection locked="0"/>
    </xf>
    <xf numFmtId="0" fontId="6" fillId="0" borderId="3" xfId="0" applyFont="1" applyBorder="1" applyProtection="1">
      <protection locked="0"/>
    </xf>
    <xf numFmtId="0" fontId="6" fillId="0" borderId="8" xfId="0" applyFont="1" applyBorder="1" applyProtection="1">
      <protection locked="0"/>
    </xf>
    <xf numFmtId="0" fontId="6" fillId="0" borderId="4" xfId="2" applyFont="1" applyBorder="1" applyAlignment="1" applyProtection="1">
      <alignment horizontal="center"/>
      <protection locked="0"/>
    </xf>
    <xf numFmtId="0" fontId="0" fillId="0" borderId="10" xfId="0" applyBorder="1"/>
    <xf numFmtId="0" fontId="0" fillId="0" borderId="18" xfId="0" applyBorder="1"/>
    <xf numFmtId="1" fontId="0" fillId="0" borderId="6" xfId="0" applyNumberFormat="1" applyBorder="1"/>
    <xf numFmtId="0" fontId="0" fillId="0" borderId="6" xfId="0" applyBorder="1"/>
    <xf numFmtId="1" fontId="0" fillId="2" borderId="6" xfId="0" applyNumberFormat="1" applyFill="1" applyBorder="1"/>
    <xf numFmtId="0" fontId="0" fillId="0" borderId="17" xfId="0" applyBorder="1"/>
    <xf numFmtId="0" fontId="0" fillId="0" borderId="11" xfId="0" applyBorder="1" applyAlignment="1">
      <alignment wrapText="1"/>
    </xf>
    <xf numFmtId="0" fontId="0" fillId="0" borderId="12" xfId="0" applyBorder="1"/>
    <xf numFmtId="0" fontId="0" fillId="0" borderId="6" xfId="0" applyBorder="1" applyProtection="1">
      <protection locked="0"/>
    </xf>
    <xf numFmtId="0" fontId="0" fillId="0" borderId="13" xfId="0" applyBorder="1" applyAlignment="1">
      <alignment wrapText="1"/>
    </xf>
    <xf numFmtId="0" fontId="0" fillId="2" borderId="6" xfId="0" applyFill="1" applyBorder="1"/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6" xfId="2" applyFont="1" applyBorder="1" applyAlignment="1">
      <alignment wrapText="1"/>
    </xf>
    <xf numFmtId="0" fontId="0" fillId="0" borderId="14" xfId="2" applyFont="1" applyBorder="1" applyAlignment="1">
      <alignment wrapText="1"/>
    </xf>
    <xf numFmtId="0" fontId="0" fillId="3" borderId="14" xfId="0" applyFill="1" applyBorder="1"/>
    <xf numFmtId="0" fontId="0" fillId="0" borderId="15" xfId="0" applyBorder="1"/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 wrapText="1"/>
    </xf>
    <xf numFmtId="164" fontId="0" fillId="0" borderId="19" xfId="0" applyNumberForma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7" borderId="2" xfId="0" applyFill="1" applyBorder="1" applyAlignment="1">
      <alignment horizontal="center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7" borderId="8" xfId="0" applyFill="1" applyBorder="1" applyAlignment="1">
      <alignment horizontal="center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1" fontId="0" fillId="0" borderId="21" xfId="0" applyNumberFormat="1" applyBorder="1" applyAlignment="1" applyProtection="1">
      <alignment horizontal="center"/>
      <protection locked="0"/>
    </xf>
    <xf numFmtId="1" fontId="0" fillId="0" borderId="2" xfId="0" applyNumberFormat="1" applyBorder="1" applyAlignment="1" applyProtection="1">
      <alignment horizontal="center" vertical="center"/>
      <protection locked="0"/>
    </xf>
    <xf numFmtId="0" fontId="0" fillId="3" borderId="2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0" fillId="7" borderId="9" xfId="0" applyFill="1" applyBorder="1" applyAlignment="1">
      <alignment horizontal="center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0" fillId="3" borderId="2" xfId="0" applyFill="1" applyBorder="1" applyAlignment="1">
      <alignment horizontal="center"/>
    </xf>
    <xf numFmtId="0" fontId="0" fillId="3" borderId="20" xfId="0" applyFill="1" applyBorder="1" applyAlignment="1">
      <alignment horizontal="center" vertical="center"/>
    </xf>
    <xf numFmtId="0" fontId="4" fillId="0" borderId="3" xfId="2" applyBorder="1" applyAlignment="1" applyProtection="1">
      <alignment horizontal="center" vertical="center"/>
      <protection locked="0"/>
    </xf>
    <xf numFmtId="0" fontId="4" fillId="0" borderId="2" xfId="2" applyBorder="1" applyAlignment="1" applyProtection="1">
      <alignment horizontal="center" vertical="center"/>
      <protection locked="0"/>
    </xf>
    <xf numFmtId="1" fontId="0" fillId="3" borderId="22" xfId="0" applyNumberFormat="1" applyFill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 vertical="center"/>
    </xf>
    <xf numFmtId="0" fontId="8" fillId="0" borderId="2" xfId="0" applyFont="1" applyBorder="1" applyAlignment="1" applyProtection="1">
      <alignment horizontal="center" vertical="center"/>
      <protection locked="0"/>
    </xf>
    <xf numFmtId="0" fontId="0" fillId="0" borderId="15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9" fillId="8" borderId="0" xfId="3" applyAlignment="1">
      <alignment horizontal="center"/>
    </xf>
    <xf numFmtId="0" fontId="0" fillId="0" borderId="22" xfId="0" applyBorder="1" applyAlignment="1">
      <alignment horizontal="center" vertical="center"/>
    </xf>
    <xf numFmtId="0" fontId="4" fillId="0" borderId="8" xfId="1" applyBorder="1" applyAlignment="1" applyProtection="1">
      <alignment horizontal="center" vertical="center"/>
      <protection locked="0"/>
    </xf>
    <xf numFmtId="2" fontId="0" fillId="0" borderId="2" xfId="0" applyNumberFormat="1" applyBorder="1" applyAlignment="1">
      <alignment horizontal="center"/>
    </xf>
    <xf numFmtId="0" fontId="0" fillId="2" borderId="0" xfId="0" applyFill="1" applyAlignment="1" applyProtection="1">
      <alignment horizontal="center"/>
      <protection locked="0"/>
    </xf>
    <xf numFmtId="0" fontId="4" fillId="0" borderId="0" xfId="2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7" xfId="0" applyBorder="1" applyAlignment="1" applyProtection="1">
      <alignment horizontal="center" vertical="center"/>
      <protection locked="0"/>
    </xf>
    <xf numFmtId="0" fontId="0" fillId="3" borderId="7" xfId="0" applyFill="1" applyBorder="1" applyAlignment="1">
      <alignment horizontal="center"/>
    </xf>
    <xf numFmtId="0" fontId="0" fillId="0" borderId="25" xfId="0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22" xfId="0" applyBorder="1" applyAlignment="1">
      <alignment horizontal="center"/>
    </xf>
    <xf numFmtId="0" fontId="0" fillId="2" borderId="25" xfId="0" applyFill="1" applyBorder="1" applyAlignment="1" applyProtection="1">
      <alignment horizontal="center" vertical="center"/>
      <protection locked="0"/>
    </xf>
    <xf numFmtId="0" fontId="0" fillId="2" borderId="15" xfId="0" applyFill="1" applyBorder="1" applyAlignment="1" applyProtection="1">
      <alignment horizontal="center" vertical="center"/>
      <protection locked="0"/>
    </xf>
    <xf numFmtId="0" fontId="0" fillId="2" borderId="10" xfId="0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>
      <alignment horizontal="center" vertical="center"/>
    </xf>
    <xf numFmtId="0" fontId="0" fillId="0" borderId="9" xfId="0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0" fillId="7" borderId="0" xfId="0" applyFill="1" applyAlignment="1">
      <alignment horizontal="center"/>
    </xf>
    <xf numFmtId="1" fontId="0" fillId="0" borderId="0" xfId="0" applyNumberFormat="1"/>
    <xf numFmtId="1" fontId="0" fillId="0" borderId="9" xfId="2" applyNumberFormat="1" applyFont="1" applyBorder="1" applyAlignment="1">
      <alignment wrapText="1"/>
    </xf>
    <xf numFmtId="20" fontId="0" fillId="0" borderId="3" xfId="0" applyNumberFormat="1" applyBorder="1" applyAlignment="1">
      <alignment horizontal="center"/>
    </xf>
    <xf numFmtId="20" fontId="0" fillId="0" borderId="2" xfId="0" applyNumberFormat="1" applyBorder="1" applyAlignment="1">
      <alignment horizontal="center"/>
    </xf>
    <xf numFmtId="20" fontId="0" fillId="0" borderId="0" xfId="0" applyNumberFormat="1"/>
    <xf numFmtId="9" fontId="0" fillId="7" borderId="0" xfId="0" applyNumberFormat="1" applyFill="1" applyAlignment="1">
      <alignment horizontal="center"/>
    </xf>
    <xf numFmtId="1" fontId="0" fillId="0" borderId="14" xfId="0" applyNumberFormat="1" applyBorder="1"/>
    <xf numFmtId="0" fontId="0" fillId="0" borderId="3" xfId="4" applyNumberFormat="1" applyFont="1" applyBorder="1" applyAlignment="1" applyProtection="1">
      <alignment horizontal="center"/>
      <protection locked="0"/>
    </xf>
    <xf numFmtId="2" fontId="0" fillId="3" borderId="2" xfId="0" applyNumberForma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7" borderId="7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 vertical="center"/>
    </xf>
    <xf numFmtId="1" fontId="0" fillId="0" borderId="0" xfId="0" applyNumberFormat="1" applyAlignment="1" applyProtection="1">
      <alignment horizontal="center"/>
      <protection locked="0"/>
    </xf>
    <xf numFmtId="0" fontId="0" fillId="3" borderId="24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165" fontId="0" fillId="3" borderId="7" xfId="0" applyNumberFormat="1" applyFill="1" applyBorder="1" applyAlignment="1">
      <alignment horizontal="center"/>
    </xf>
    <xf numFmtId="0" fontId="0" fillId="0" borderId="7" xfId="0" applyBorder="1" applyAlignment="1" applyProtection="1">
      <alignment horizontal="center" vertical="center" wrapText="1"/>
      <protection locked="0"/>
    </xf>
    <xf numFmtId="9" fontId="0" fillId="7" borderId="5" xfId="0" applyNumberFormat="1" applyFill="1" applyBorder="1" applyAlignment="1">
      <alignment horizontal="center"/>
    </xf>
    <xf numFmtId="1" fontId="0" fillId="7" borderId="23" xfId="0" applyNumberFormat="1" applyFill="1" applyBorder="1" applyAlignment="1">
      <alignment horizontal="center"/>
    </xf>
    <xf numFmtId="165" fontId="0" fillId="3" borderId="2" xfId="0" applyNumberFormat="1" applyFill="1" applyBorder="1" applyAlignment="1">
      <alignment horizontal="center"/>
    </xf>
    <xf numFmtId="0" fontId="0" fillId="0" borderId="2" xfId="0" applyBorder="1" applyAlignment="1" applyProtection="1">
      <alignment horizontal="center" vertical="center" wrapText="1"/>
      <protection locked="0"/>
    </xf>
    <xf numFmtId="1" fontId="0" fillId="0" borderId="2" xfId="0" applyNumberFormat="1" applyBorder="1" applyAlignment="1" applyProtection="1">
      <alignment horizontal="center"/>
      <protection locked="0"/>
    </xf>
    <xf numFmtId="0" fontId="0" fillId="7" borderId="5" xfId="0" applyFill="1" applyBorder="1" applyAlignment="1">
      <alignment horizontal="center"/>
    </xf>
    <xf numFmtId="9" fontId="0" fillId="0" borderId="3" xfId="4" applyFont="1" applyBorder="1" applyAlignment="1" applyProtection="1">
      <alignment horizontal="center"/>
      <protection locked="0"/>
    </xf>
    <xf numFmtId="2" fontId="0" fillId="3" borderId="0" xfId="0" applyNumberFormat="1" applyFill="1" applyAlignment="1">
      <alignment horizontal="center" vertical="center"/>
    </xf>
    <xf numFmtId="2" fontId="0" fillId="7" borderId="23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24" xfId="0" applyNumberFormat="1" applyFill="1" applyBorder="1" applyAlignment="1">
      <alignment horizontal="center" vertical="center"/>
    </xf>
    <xf numFmtId="1" fontId="0" fillId="3" borderId="22" xfId="0" applyNumberFormat="1" applyFill="1" applyBorder="1" applyAlignment="1">
      <alignment horizontal="center"/>
    </xf>
    <xf numFmtId="165" fontId="0" fillId="0" borderId="2" xfId="0" applyNumberFormat="1" applyBorder="1" applyAlignment="1" applyProtection="1">
      <alignment horizontal="center" vertical="center" wrapText="1"/>
      <protection locked="0"/>
    </xf>
    <xf numFmtId="0" fontId="0" fillId="7" borderId="3" xfId="0" applyFill="1" applyBorder="1" applyAlignment="1">
      <alignment horizontal="center"/>
    </xf>
    <xf numFmtId="0" fontId="0" fillId="7" borderId="5" xfId="0" applyFill="1" applyBorder="1" applyAlignment="1">
      <alignment horizontal="center" vertical="center"/>
    </xf>
    <xf numFmtId="0" fontId="12" fillId="0" borderId="22" xfId="5" applyNumberFormat="1" applyFont="1" applyFill="1" applyBorder="1" applyAlignment="1" applyProtection="1">
      <alignment horizontal="left" vertical="top" wrapText="1"/>
      <protection locked="0"/>
    </xf>
    <xf numFmtId="0" fontId="0" fillId="6" borderId="0" xfId="0" applyFill="1" applyAlignment="1" applyProtection="1">
      <alignment horizontal="center" vertical="center"/>
      <protection locked="0"/>
    </xf>
    <xf numFmtId="0" fontId="6" fillId="5" borderId="3" xfId="0" applyFont="1" applyFill="1" applyBorder="1" applyAlignment="1" applyProtection="1">
      <alignment horizontal="center"/>
      <protection locked="0"/>
    </xf>
    <xf numFmtId="0" fontId="6" fillId="5" borderId="5" xfId="0" applyFont="1" applyFill="1" applyBorder="1" applyAlignment="1" applyProtection="1">
      <alignment horizontal="center"/>
      <protection locked="0"/>
    </xf>
    <xf numFmtId="0" fontId="6" fillId="5" borderId="8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15" xfId="0" applyFont="1" applyBorder="1" applyAlignment="1" applyProtection="1">
      <alignment horizontal="center"/>
      <protection locked="0"/>
    </xf>
    <xf numFmtId="0" fontId="6" fillId="0" borderId="8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6" fillId="4" borderId="3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/>
      <protection locked="0"/>
    </xf>
  </cellXfs>
  <cellStyles count="6">
    <cellStyle name="Good" xfId="3" builtinId="26"/>
    <cellStyle name="Normal" xfId="0" builtinId="0"/>
    <cellStyle name="Normal 11" xfId="1"/>
    <cellStyle name="Normal 2" xfId="2"/>
    <cellStyle name="Percent" xfId="4" builtinId="5"/>
    <cellStyle name="Percent 3" xfId="5"/>
  </cellStyles>
  <dxfs count="82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shr-my.sharepoint.com/Engineering/Utilities/Consumption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V NEW"/>
      <sheetName val="Daily report"/>
      <sheetName val="Sep 2019"/>
      <sheetName val="Aug 2019"/>
      <sheetName val="July 2019"/>
      <sheetName val="June 2019"/>
      <sheetName val="May 2019"/>
      <sheetName val="Apr 2019"/>
      <sheetName val="Mar 2019"/>
      <sheetName val="Feb 2019"/>
      <sheetName val="Jan 2019"/>
      <sheetName val="Dec 18"/>
      <sheetName val="Nov 18 (PS)"/>
      <sheetName val="Nov 18"/>
      <sheetName val="Oct 18"/>
      <sheetName val="Sep 18"/>
      <sheetName val="Aug 2018"/>
      <sheetName val="July 18"/>
      <sheetName val="June 18"/>
      <sheetName val="May 18"/>
      <sheetName val="April 18"/>
      <sheetName val="Mar 18"/>
      <sheetName val="Feb 18"/>
      <sheetName val="Jan 18"/>
      <sheetName val="Dec17"/>
      <sheetName val="Nov 17"/>
      <sheetName val="Oct 17"/>
      <sheetName val="Sept 17"/>
      <sheetName val="cc"/>
      <sheetName val="AUGUST 17"/>
      <sheetName val="July17"/>
      <sheetName val="June17"/>
      <sheetName val="May17"/>
      <sheetName val="April17"/>
      <sheetName val="Mar17"/>
      <sheetName val="Feb17"/>
      <sheetName val="Jan17"/>
      <sheetName val="Dec16"/>
      <sheetName val="Nov16"/>
      <sheetName val="Oct16"/>
      <sheetName val="Sept16"/>
      <sheetName val="Aug16"/>
      <sheetName val="July16"/>
      <sheetName val="June16"/>
      <sheetName val="May16"/>
      <sheetName val="April16"/>
      <sheetName val="March16"/>
      <sheetName val="Feb16"/>
      <sheetName val="Jan16"/>
      <sheetName val="Dec15"/>
      <sheetName val="Nov15"/>
      <sheetName val="OCT15"/>
      <sheetName val="Sept15"/>
      <sheetName val="Aug15"/>
      <sheetName val="July15"/>
      <sheetName val="June 15"/>
      <sheetName val="May15"/>
      <sheetName val="Apr15"/>
      <sheetName val="Mar 15"/>
      <sheetName val="Chart1"/>
      <sheetName val="Feb 15"/>
      <sheetName val="Jan15"/>
      <sheetName val="Dec 14"/>
      <sheetName val="Nov 14"/>
      <sheetName val="Oct14"/>
      <sheetName val="Sept14"/>
      <sheetName val="Aug14"/>
      <sheetName val="July14"/>
      <sheetName val="June14"/>
      <sheetName val="May14"/>
      <sheetName val="April14"/>
      <sheetName val="Mar14"/>
      <sheetName val="Jan14 (2)"/>
      <sheetName val="Feb14"/>
      <sheetName val="Jan14"/>
      <sheetName val="Dec13"/>
      <sheetName val="Nov13"/>
      <sheetName val="Oct13"/>
      <sheetName val="Sept13"/>
      <sheetName val="Aug13 (2)"/>
      <sheetName val="Aug13"/>
      <sheetName val="July 13"/>
      <sheetName val="June13"/>
      <sheetName val="May 13"/>
      <sheetName val="Apr13"/>
      <sheetName val="Mar 13"/>
      <sheetName val="Feb 13"/>
      <sheetName val="Jan13"/>
      <sheetName val="Dec12"/>
      <sheetName val="Nov12"/>
      <sheetName val="Oct12"/>
      <sheetName val="Sept12"/>
      <sheetName val="Aug12"/>
      <sheetName val="july12"/>
      <sheetName val="june12"/>
      <sheetName val="May12"/>
      <sheetName val="April12"/>
      <sheetName val="March12"/>
      <sheetName val="feb12"/>
      <sheetName val="jan12"/>
      <sheetName val="dec11 (2)"/>
      <sheetName val="nov11"/>
      <sheetName val="Sept11"/>
      <sheetName val="Aug11"/>
      <sheetName val="july 11"/>
      <sheetName val="june11"/>
      <sheetName val="jan11"/>
      <sheetName val="DEC10"/>
      <sheetName val="sept10"/>
      <sheetName val="aug10"/>
      <sheetName val="july10"/>
      <sheetName val="june10"/>
      <sheetName val="may10"/>
      <sheetName val="April10"/>
      <sheetName val="mar10"/>
      <sheetName val="FEB10"/>
      <sheetName val="jan10"/>
      <sheetName val="dec09"/>
      <sheetName val="nov09"/>
      <sheetName val="oct09"/>
      <sheetName val="sept09"/>
      <sheetName val="august09"/>
      <sheetName val="july09"/>
      <sheetName val="june09"/>
      <sheetName val="may 09"/>
      <sheetName val="april09 (2)"/>
      <sheetName val="dec08"/>
      <sheetName val="JAN 09"/>
      <sheetName val="Feb 09 (2)"/>
      <sheetName val="march09"/>
    </sheetNames>
    <sheetDataSet>
      <sheetData sheetId="0" refreshError="1"/>
      <sheetData sheetId="1" refreshError="1"/>
      <sheetData sheetId="2" refreshError="1">
        <row r="3">
          <cell r="R3">
            <v>2054945</v>
          </cell>
        </row>
        <row r="4">
          <cell r="R4">
            <v>2055440</v>
          </cell>
        </row>
        <row r="5">
          <cell r="R5">
            <v>2056149</v>
          </cell>
        </row>
        <row r="6">
          <cell r="R6">
            <v>2056651</v>
          </cell>
        </row>
        <row r="7">
          <cell r="R7">
            <v>2057174</v>
          </cell>
        </row>
        <row r="8">
          <cell r="R8">
            <v>2057715</v>
          </cell>
        </row>
        <row r="9">
          <cell r="R9">
            <v>2058246</v>
          </cell>
        </row>
        <row r="10">
          <cell r="R10">
            <v>2058780</v>
          </cell>
        </row>
        <row r="11">
          <cell r="R11">
            <v>2059332</v>
          </cell>
        </row>
        <row r="12">
          <cell r="R12">
            <v>2059908</v>
          </cell>
        </row>
        <row r="13">
          <cell r="R13">
            <v>2060432</v>
          </cell>
        </row>
        <row r="14">
          <cell r="R14">
            <v>2061086</v>
          </cell>
        </row>
        <row r="15">
          <cell r="R15">
            <v>2061615</v>
          </cell>
        </row>
        <row r="16">
          <cell r="R16">
            <v>2062113</v>
          </cell>
        </row>
        <row r="17">
          <cell r="R17">
            <v>2062731</v>
          </cell>
        </row>
        <row r="18">
          <cell r="R18">
            <v>2063291</v>
          </cell>
          <cell r="W18">
            <v>7</v>
          </cell>
          <cell r="EA18">
            <v>0.67</v>
          </cell>
        </row>
        <row r="19">
          <cell r="R19">
            <v>2063914</v>
          </cell>
          <cell r="W19">
            <v>7</v>
          </cell>
          <cell r="EA19">
            <v>0.63</v>
          </cell>
        </row>
        <row r="20">
          <cell r="R20">
            <v>2064501</v>
          </cell>
          <cell r="W20">
            <v>8</v>
          </cell>
          <cell r="EA20">
            <v>0.69</v>
          </cell>
        </row>
        <row r="21">
          <cell r="R21">
            <v>2065035</v>
          </cell>
          <cell r="T21">
            <v>426545</v>
          </cell>
          <cell r="W21">
            <v>8</v>
          </cell>
          <cell r="EA21">
            <v>0.7</v>
          </cell>
        </row>
        <row r="22">
          <cell r="B22">
            <v>9576003</v>
          </cell>
          <cell r="D22">
            <v>9185016</v>
          </cell>
          <cell r="G22">
            <v>1264</v>
          </cell>
          <cell r="I22">
            <v>0</v>
          </cell>
          <cell r="J22">
            <v>729</v>
          </cell>
          <cell r="R22">
            <v>2065573</v>
          </cell>
          <cell r="T22">
            <v>426720</v>
          </cell>
          <cell r="V22">
            <v>61.7</v>
          </cell>
          <cell r="W22">
            <v>14</v>
          </cell>
          <cell r="X22">
            <v>114723.6</v>
          </cell>
          <cell r="Z22">
            <v>961</v>
          </cell>
          <cell r="AB22">
            <v>2535</v>
          </cell>
          <cell r="AF22">
            <v>542040</v>
          </cell>
          <cell r="AH22">
            <v>48870</v>
          </cell>
          <cell r="AJ22">
            <v>8302</v>
          </cell>
          <cell r="BO22">
            <v>20498</v>
          </cell>
          <cell r="CG22">
            <v>24323</v>
          </cell>
          <cell r="CJ22">
            <v>32962</v>
          </cell>
          <cell r="CM22">
            <v>6797</v>
          </cell>
          <cell r="CP22">
            <v>82233</v>
          </cell>
          <cell r="CS22">
            <v>4366</v>
          </cell>
          <cell r="CV22">
            <v>5316</v>
          </cell>
          <cell r="CY22">
            <v>2440</v>
          </cell>
          <cell r="DB22">
            <v>1679</v>
          </cell>
          <cell r="DE22">
            <v>3575</v>
          </cell>
          <cell r="DH22">
            <v>3444</v>
          </cell>
          <cell r="DK22">
            <v>3861</v>
          </cell>
          <cell r="DN22">
            <v>3171</v>
          </cell>
          <cell r="DQ22">
            <v>112173</v>
          </cell>
          <cell r="DS22">
            <v>52938</v>
          </cell>
          <cell r="DU22">
            <v>15019</v>
          </cell>
          <cell r="DW22">
            <v>22622</v>
          </cell>
          <cell r="EA22">
            <v>0.79</v>
          </cell>
        </row>
        <row r="23">
          <cell r="B23">
            <v>9598864</v>
          </cell>
          <cell r="D23">
            <v>9207028</v>
          </cell>
          <cell r="G23">
            <v>1264</v>
          </cell>
          <cell r="P23">
            <v>2322786</v>
          </cell>
          <cell r="R23">
            <v>2066117</v>
          </cell>
          <cell r="T23">
            <v>426872</v>
          </cell>
          <cell r="V23">
            <v>60.9</v>
          </cell>
          <cell r="W23">
            <v>8</v>
          </cell>
          <cell r="X23">
            <v>114934</v>
          </cell>
          <cell r="Z23">
            <v>961</v>
          </cell>
          <cell r="AB23">
            <v>2538</v>
          </cell>
          <cell r="AJ23">
            <v>8308</v>
          </cell>
          <cell r="BO23">
            <v>20580</v>
          </cell>
          <cell r="CG23">
            <v>24343</v>
          </cell>
          <cell r="CJ23">
            <v>32970</v>
          </cell>
          <cell r="CM23">
            <v>6824</v>
          </cell>
          <cell r="CP23">
            <v>82238</v>
          </cell>
          <cell r="CS23">
            <v>4381</v>
          </cell>
          <cell r="CV23">
            <v>5325</v>
          </cell>
          <cell r="CY23">
            <v>2447</v>
          </cell>
          <cell r="DB23">
            <v>1680</v>
          </cell>
          <cell r="DE23">
            <v>3580</v>
          </cell>
          <cell r="DH23">
            <v>3453</v>
          </cell>
          <cell r="DK23">
            <v>3871</v>
          </cell>
          <cell r="DN23">
            <v>3179</v>
          </cell>
          <cell r="DQ23">
            <v>112173</v>
          </cell>
          <cell r="DS23">
            <v>52938</v>
          </cell>
          <cell r="DU23">
            <v>15019</v>
          </cell>
          <cell r="DW23">
            <v>22622</v>
          </cell>
          <cell r="EA23">
            <v>0.83</v>
          </cell>
        </row>
        <row r="24">
          <cell r="B24">
            <v>9621009</v>
          </cell>
          <cell r="D24">
            <v>9228427</v>
          </cell>
          <cell r="G24">
            <v>1264</v>
          </cell>
          <cell r="P24">
            <v>2323995</v>
          </cell>
          <cell r="R24">
            <v>2066577</v>
          </cell>
          <cell r="T24">
            <v>426975</v>
          </cell>
          <cell r="V24">
            <v>58.8</v>
          </cell>
          <cell r="W24">
            <v>7</v>
          </cell>
          <cell r="X24">
            <v>115258</v>
          </cell>
          <cell r="Z24">
            <v>961</v>
          </cell>
          <cell r="AB24">
            <v>2544</v>
          </cell>
          <cell r="AJ24">
            <v>8312</v>
          </cell>
          <cell r="BO24">
            <v>20661</v>
          </cell>
          <cell r="CG24">
            <v>24365</v>
          </cell>
          <cell r="CJ24">
            <v>32980</v>
          </cell>
          <cell r="CM24">
            <v>6859</v>
          </cell>
          <cell r="CP24">
            <v>82243</v>
          </cell>
          <cell r="CS24">
            <v>4399</v>
          </cell>
          <cell r="CV24">
            <v>5334</v>
          </cell>
          <cell r="CY24">
            <v>2454</v>
          </cell>
          <cell r="DB24">
            <v>1681</v>
          </cell>
          <cell r="DE24">
            <v>3596</v>
          </cell>
          <cell r="DH24">
            <v>3463</v>
          </cell>
          <cell r="DK24">
            <v>3881</v>
          </cell>
          <cell r="DN24">
            <v>3188</v>
          </cell>
          <cell r="DQ24">
            <v>112173</v>
          </cell>
          <cell r="DS24">
            <v>52938</v>
          </cell>
          <cell r="DU24">
            <v>15019</v>
          </cell>
          <cell r="DW24">
            <v>22622</v>
          </cell>
          <cell r="EA24">
            <v>0.85</v>
          </cell>
        </row>
        <row r="25">
          <cell r="B25">
            <v>9644072</v>
          </cell>
          <cell r="D25">
            <v>9250623</v>
          </cell>
          <cell r="G25">
            <v>1264</v>
          </cell>
          <cell r="P25">
            <v>2325704</v>
          </cell>
          <cell r="R25">
            <v>2067069</v>
          </cell>
          <cell r="T25">
            <v>427090</v>
          </cell>
          <cell r="V25">
            <v>61</v>
          </cell>
          <cell r="W25">
            <v>0</v>
          </cell>
          <cell r="X25">
            <v>115479</v>
          </cell>
          <cell r="Z25">
            <v>962</v>
          </cell>
          <cell r="AB25">
            <v>2544</v>
          </cell>
          <cell r="AJ25">
            <v>8316</v>
          </cell>
          <cell r="BO25">
            <v>20744</v>
          </cell>
          <cell r="CG25">
            <v>24389</v>
          </cell>
          <cell r="CJ25">
            <v>32988</v>
          </cell>
          <cell r="CM25">
            <v>6890</v>
          </cell>
          <cell r="CP25">
            <v>82248</v>
          </cell>
          <cell r="CS25">
            <v>4415</v>
          </cell>
          <cell r="CV25">
            <v>5342</v>
          </cell>
          <cell r="CY25">
            <v>2459</v>
          </cell>
          <cell r="DB25">
            <v>1682</v>
          </cell>
          <cell r="DE25">
            <v>3607</v>
          </cell>
          <cell r="DH25">
            <v>3472</v>
          </cell>
          <cell r="DK25">
            <v>3890</v>
          </cell>
          <cell r="DN25">
            <v>3195</v>
          </cell>
          <cell r="DQ25">
            <v>112173</v>
          </cell>
          <cell r="DS25">
            <v>52938</v>
          </cell>
          <cell r="DU25">
            <v>15019</v>
          </cell>
          <cell r="DW25">
            <v>22622</v>
          </cell>
          <cell r="EA25">
            <v>0.85</v>
          </cell>
        </row>
        <row r="26">
          <cell r="B26">
            <v>9666928</v>
          </cell>
          <cell r="D26">
            <v>9272670</v>
          </cell>
          <cell r="G26">
            <v>1264</v>
          </cell>
          <cell r="P26">
            <v>2327245</v>
          </cell>
          <cell r="R26">
            <v>2067623</v>
          </cell>
          <cell r="T26">
            <v>427227</v>
          </cell>
          <cell r="V26">
            <v>58.24</v>
          </cell>
          <cell r="W26">
            <v>5</v>
          </cell>
          <cell r="X26">
            <v>115633</v>
          </cell>
          <cell r="Z26">
            <v>962</v>
          </cell>
          <cell r="AB26">
            <v>2554</v>
          </cell>
          <cell r="AJ26">
            <v>8321</v>
          </cell>
          <cell r="BO26">
            <v>20819</v>
          </cell>
          <cell r="CG26">
            <v>24414</v>
          </cell>
          <cell r="CJ26">
            <v>32998</v>
          </cell>
          <cell r="CM26">
            <v>6918</v>
          </cell>
          <cell r="CP26">
            <v>82257</v>
          </cell>
          <cell r="CS26">
            <v>4427</v>
          </cell>
          <cell r="CV26">
            <v>5352</v>
          </cell>
          <cell r="CY26">
            <v>2465</v>
          </cell>
          <cell r="DB26">
            <v>1683</v>
          </cell>
          <cell r="DE26">
            <v>3618</v>
          </cell>
          <cell r="DH26">
            <v>3482</v>
          </cell>
          <cell r="DK26">
            <v>3900</v>
          </cell>
          <cell r="DN26">
            <v>3203</v>
          </cell>
          <cell r="DQ26">
            <v>112173</v>
          </cell>
          <cell r="DS26">
            <v>52938</v>
          </cell>
          <cell r="DU26">
            <v>15019</v>
          </cell>
          <cell r="DW26">
            <v>22622</v>
          </cell>
          <cell r="EA26">
            <v>0.82</v>
          </cell>
        </row>
        <row r="27">
          <cell r="B27">
            <v>9690612</v>
          </cell>
          <cell r="D27">
            <v>9295412</v>
          </cell>
          <cell r="G27">
            <v>1264</v>
          </cell>
          <cell r="P27">
            <v>2327908</v>
          </cell>
          <cell r="R27">
            <v>2068165</v>
          </cell>
          <cell r="T27">
            <v>427316</v>
          </cell>
          <cell r="V27">
            <v>50.81</v>
          </cell>
          <cell r="W27">
            <v>10</v>
          </cell>
          <cell r="X27">
            <v>115855</v>
          </cell>
          <cell r="Z27">
            <v>963</v>
          </cell>
          <cell r="AB27">
            <v>2563</v>
          </cell>
          <cell r="AJ27">
            <v>8325</v>
          </cell>
          <cell r="BO27">
            <v>20905</v>
          </cell>
          <cell r="CG27">
            <v>24440</v>
          </cell>
          <cell r="CJ27">
            <v>33006</v>
          </cell>
          <cell r="CM27">
            <v>6945</v>
          </cell>
          <cell r="CP27">
            <v>82264</v>
          </cell>
          <cell r="CS27">
            <v>4439</v>
          </cell>
          <cell r="CV27">
            <v>5361</v>
          </cell>
          <cell r="CY27">
            <v>2472</v>
          </cell>
          <cell r="DB27">
            <v>1684</v>
          </cell>
          <cell r="DE27">
            <v>3629</v>
          </cell>
          <cell r="DH27">
            <v>3492</v>
          </cell>
          <cell r="DK27">
            <v>3911</v>
          </cell>
          <cell r="DN27">
            <v>3212</v>
          </cell>
          <cell r="DQ27">
            <v>112173</v>
          </cell>
          <cell r="DS27">
            <v>52938</v>
          </cell>
          <cell r="DU27">
            <v>15019</v>
          </cell>
          <cell r="DW27">
            <v>22622</v>
          </cell>
          <cell r="EA27">
            <v>0.69</v>
          </cell>
        </row>
        <row r="28">
          <cell r="B28">
            <v>9714311</v>
          </cell>
          <cell r="D28">
            <v>9318320</v>
          </cell>
          <cell r="G28">
            <v>1264</v>
          </cell>
          <cell r="P28">
            <v>2329030</v>
          </cell>
          <cell r="R28">
            <v>2068716</v>
          </cell>
          <cell r="T28">
            <v>427432</v>
          </cell>
          <cell r="V28">
            <v>48.5</v>
          </cell>
          <cell r="W28">
            <v>7</v>
          </cell>
          <cell r="X28">
            <v>116109</v>
          </cell>
          <cell r="Z28">
            <v>964</v>
          </cell>
          <cell r="AB28">
            <v>2563</v>
          </cell>
          <cell r="AJ28">
            <v>8327</v>
          </cell>
          <cell r="BO28">
            <v>20989</v>
          </cell>
          <cell r="CG28">
            <v>24494</v>
          </cell>
          <cell r="CJ28">
            <v>33009</v>
          </cell>
          <cell r="CM28">
            <v>6963</v>
          </cell>
          <cell r="CP28">
            <v>81270</v>
          </cell>
          <cell r="CS28">
            <v>4453</v>
          </cell>
          <cell r="CV28">
            <v>5370</v>
          </cell>
          <cell r="CY28">
            <v>2472.9</v>
          </cell>
          <cell r="DB28">
            <v>1685</v>
          </cell>
          <cell r="DE28">
            <v>3640</v>
          </cell>
          <cell r="DH28">
            <v>3502</v>
          </cell>
          <cell r="DK28">
            <v>3919</v>
          </cell>
          <cell r="DN28">
            <v>3220.6</v>
          </cell>
          <cell r="DQ28">
            <v>112173</v>
          </cell>
          <cell r="DS28">
            <v>52938</v>
          </cell>
          <cell r="DU28">
            <v>15019</v>
          </cell>
          <cell r="DW28">
            <v>22622</v>
          </cell>
          <cell r="EA28">
            <v>0.85</v>
          </cell>
        </row>
        <row r="29">
          <cell r="B29">
            <v>9739019</v>
          </cell>
          <cell r="D29">
            <v>9342039</v>
          </cell>
          <cell r="G29">
            <v>1264</v>
          </cell>
          <cell r="P29">
            <v>2330162</v>
          </cell>
          <cell r="R29">
            <v>2069255</v>
          </cell>
          <cell r="T29">
            <v>427491</v>
          </cell>
          <cell r="V29">
            <v>46.83</v>
          </cell>
          <cell r="W29">
            <v>9</v>
          </cell>
          <cell r="X29">
            <v>116341</v>
          </cell>
          <cell r="Z29">
            <v>965</v>
          </cell>
          <cell r="AB29">
            <v>2573</v>
          </cell>
          <cell r="AJ29">
            <v>8331</v>
          </cell>
          <cell r="BO29">
            <v>21072</v>
          </cell>
          <cell r="CG29">
            <v>24546</v>
          </cell>
          <cell r="CJ29">
            <v>33017</v>
          </cell>
          <cell r="CM29">
            <v>6987</v>
          </cell>
          <cell r="CP29">
            <v>82276</v>
          </cell>
          <cell r="CS29">
            <v>4464</v>
          </cell>
          <cell r="CV29">
            <v>5379</v>
          </cell>
          <cell r="CY29">
            <v>2484</v>
          </cell>
          <cell r="DB29">
            <v>1686.7</v>
          </cell>
          <cell r="DE29">
            <v>3650</v>
          </cell>
          <cell r="DH29">
            <v>3511</v>
          </cell>
          <cell r="DK29">
            <v>3926</v>
          </cell>
          <cell r="DN29">
            <v>3227</v>
          </cell>
          <cell r="DQ29">
            <v>112173</v>
          </cell>
          <cell r="DS29">
            <v>52938</v>
          </cell>
          <cell r="DU29">
            <v>15019</v>
          </cell>
          <cell r="DW29">
            <v>22622</v>
          </cell>
          <cell r="EA29">
            <v>0.85</v>
          </cell>
        </row>
        <row r="30">
          <cell r="B30">
            <v>9764276</v>
          </cell>
          <cell r="D30">
            <v>9369634</v>
          </cell>
          <cell r="G30">
            <v>1264</v>
          </cell>
          <cell r="P30">
            <v>2331403</v>
          </cell>
          <cell r="R30">
            <v>2069799</v>
          </cell>
          <cell r="T30">
            <v>427500</v>
          </cell>
          <cell r="V30">
            <v>68.42</v>
          </cell>
          <cell r="W30">
            <v>16</v>
          </cell>
          <cell r="X30">
            <v>116799</v>
          </cell>
          <cell r="Z30">
            <v>965</v>
          </cell>
          <cell r="AB30">
            <v>2583</v>
          </cell>
          <cell r="AJ30">
            <v>8335</v>
          </cell>
          <cell r="BO30">
            <v>21156</v>
          </cell>
          <cell r="CG30">
            <v>24606</v>
          </cell>
          <cell r="CJ30">
            <v>33026</v>
          </cell>
          <cell r="CM30">
            <v>7009</v>
          </cell>
          <cell r="CP30">
            <v>82281</v>
          </cell>
          <cell r="CS30">
            <v>4477</v>
          </cell>
          <cell r="CV30">
            <v>5388</v>
          </cell>
          <cell r="CY30">
            <v>2490</v>
          </cell>
          <cell r="DB30">
            <v>1687.8</v>
          </cell>
          <cell r="DE30">
            <v>3659</v>
          </cell>
          <cell r="DH30">
            <v>3521</v>
          </cell>
          <cell r="DK30">
            <v>3936</v>
          </cell>
          <cell r="DN30">
            <v>3235</v>
          </cell>
          <cell r="DQ30">
            <v>112173</v>
          </cell>
          <cell r="DS30">
            <v>52938</v>
          </cell>
          <cell r="DU30">
            <v>15111</v>
          </cell>
          <cell r="DW30">
            <v>22622</v>
          </cell>
          <cell r="EA30">
            <v>0.82</v>
          </cell>
        </row>
        <row r="31">
          <cell r="B31">
            <v>9788235</v>
          </cell>
          <cell r="D31">
            <v>9389524</v>
          </cell>
          <cell r="G31">
            <v>1264</v>
          </cell>
          <cell r="P31">
            <v>2332288</v>
          </cell>
          <cell r="R31">
            <v>2070337</v>
          </cell>
          <cell r="T31">
            <v>427708</v>
          </cell>
          <cell r="V31">
            <v>61.73</v>
          </cell>
          <cell r="W31">
            <v>5</v>
          </cell>
          <cell r="X31">
            <v>116939</v>
          </cell>
          <cell r="Z31">
            <v>965</v>
          </cell>
          <cell r="AB31">
            <v>2585</v>
          </cell>
          <cell r="AJ31">
            <v>8338</v>
          </cell>
          <cell r="BO31">
            <v>21234</v>
          </cell>
          <cell r="CG31">
            <v>24663</v>
          </cell>
          <cell r="CJ31">
            <v>33034</v>
          </cell>
          <cell r="CM31">
            <v>7031</v>
          </cell>
          <cell r="CP31">
            <v>82286</v>
          </cell>
          <cell r="CS31">
            <v>4486</v>
          </cell>
          <cell r="CV31">
            <v>5398</v>
          </cell>
          <cell r="CY31">
            <v>2497</v>
          </cell>
          <cell r="DB31">
            <v>1688.9</v>
          </cell>
          <cell r="DE31">
            <v>3669</v>
          </cell>
          <cell r="DH31">
            <v>3531</v>
          </cell>
          <cell r="DK31">
            <v>3945</v>
          </cell>
          <cell r="DN31">
            <v>3242</v>
          </cell>
          <cell r="DQ31">
            <v>112173</v>
          </cell>
          <cell r="DS31">
            <v>52938</v>
          </cell>
          <cell r="DU31">
            <v>15111</v>
          </cell>
          <cell r="DW31">
            <v>22622</v>
          </cell>
          <cell r="EA31">
            <v>0.88</v>
          </cell>
        </row>
        <row r="32">
          <cell r="B32">
            <v>9813889</v>
          </cell>
          <cell r="D32">
            <v>9414268</v>
          </cell>
          <cell r="G32">
            <v>1264</v>
          </cell>
          <cell r="P32">
            <v>2333027</v>
          </cell>
          <cell r="R32">
            <v>2070888</v>
          </cell>
          <cell r="T32">
            <v>427772</v>
          </cell>
          <cell r="V32">
            <v>60.13</v>
          </cell>
          <cell r="W32">
            <v>8</v>
          </cell>
          <cell r="X32">
            <v>117024</v>
          </cell>
          <cell r="Z32">
            <v>965</v>
          </cell>
          <cell r="AB32">
            <v>2606</v>
          </cell>
          <cell r="AJ32">
            <v>8341</v>
          </cell>
          <cell r="BO32">
            <v>21378</v>
          </cell>
          <cell r="CG32">
            <v>24718</v>
          </cell>
          <cell r="CJ32">
            <v>33042</v>
          </cell>
          <cell r="CM32">
            <v>7053</v>
          </cell>
          <cell r="CP32">
            <v>82295</v>
          </cell>
          <cell r="CS32">
            <v>4497</v>
          </cell>
          <cell r="CV32">
            <v>5407</v>
          </cell>
          <cell r="CY32">
            <v>2503</v>
          </cell>
          <cell r="DB32">
            <v>1690</v>
          </cell>
          <cell r="DE32">
            <v>3679</v>
          </cell>
          <cell r="DH32">
            <v>3541</v>
          </cell>
          <cell r="DK32">
            <v>3955</v>
          </cell>
          <cell r="DN32">
            <v>3250</v>
          </cell>
          <cell r="DQ32">
            <v>112173</v>
          </cell>
          <cell r="DS32">
            <v>52938</v>
          </cell>
          <cell r="DU32">
            <v>15111</v>
          </cell>
          <cell r="DW32">
            <v>22622</v>
          </cell>
          <cell r="EA32">
            <v>0.77</v>
          </cell>
        </row>
        <row r="33">
          <cell r="B33">
            <v>9838014</v>
          </cell>
          <cell r="D33">
            <v>9437590</v>
          </cell>
          <cell r="G33">
            <v>1264</v>
          </cell>
          <cell r="P33">
            <v>2334027</v>
          </cell>
          <cell r="R33">
            <v>2071438</v>
          </cell>
          <cell r="T33">
            <v>427875</v>
          </cell>
          <cell r="V33">
            <v>67.77</v>
          </cell>
          <cell r="W33">
            <v>8</v>
          </cell>
          <cell r="X33">
            <v>117307</v>
          </cell>
          <cell r="Z33">
            <v>966</v>
          </cell>
          <cell r="AB33">
            <v>2607</v>
          </cell>
          <cell r="AJ33">
            <v>8343</v>
          </cell>
          <cell r="BO33">
            <v>21407</v>
          </cell>
          <cell r="CG33">
            <v>24757</v>
          </cell>
          <cell r="CJ33">
            <v>33050</v>
          </cell>
          <cell r="CM33">
            <v>7073</v>
          </cell>
          <cell r="CP33">
            <v>82301</v>
          </cell>
          <cell r="CS33">
            <v>4506</v>
          </cell>
          <cell r="CV33">
            <v>5415</v>
          </cell>
          <cell r="CY33">
            <v>2506</v>
          </cell>
          <cell r="DB33">
            <v>1691</v>
          </cell>
          <cell r="DE33">
            <v>3688</v>
          </cell>
          <cell r="DH33">
            <v>3550</v>
          </cell>
          <cell r="DK33">
            <v>3964</v>
          </cell>
          <cell r="DN33">
            <v>3258</v>
          </cell>
          <cell r="DQ33">
            <v>114104</v>
          </cell>
          <cell r="DS33">
            <v>53636</v>
          </cell>
          <cell r="DU33">
            <v>15139</v>
          </cell>
          <cell r="DW33">
            <v>22854</v>
          </cell>
          <cell r="EA33">
            <v>0.76</v>
          </cell>
        </row>
        <row r="34">
          <cell r="B34">
            <v>0</v>
          </cell>
          <cell r="D34">
            <v>0</v>
          </cell>
          <cell r="G34">
            <v>0</v>
          </cell>
          <cell r="L34">
            <v>0</v>
          </cell>
          <cell r="O34">
            <v>0</v>
          </cell>
          <cell r="R34">
            <v>0</v>
          </cell>
          <cell r="AJ34">
            <v>0</v>
          </cell>
          <cell r="BO34">
            <v>0</v>
          </cell>
          <cell r="CG34">
            <v>0</v>
          </cell>
          <cell r="CM34">
            <v>0</v>
          </cell>
          <cell r="CS34">
            <v>0</v>
          </cell>
          <cell r="DQ34">
            <v>0</v>
          </cell>
          <cell r="EA34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zoomScaleNormal="100" workbookViewId="0">
      <pane xSplit="4" ySplit="13" topLeftCell="E14" activePane="bottomRight" state="frozen"/>
      <selection pane="topRight" activeCell="E1" sqref="E1"/>
      <selection pane="bottomLeft" activeCell="A14" sqref="A14"/>
      <selection pane="bottomRight" activeCell="L28" sqref="L28"/>
    </sheetView>
  </sheetViews>
  <sheetFormatPr defaultColWidth="11.5703125" defaultRowHeight="12.75" x14ac:dyDescent="0.2"/>
  <cols>
    <col min="1" max="1" width="22" customWidth="1"/>
    <col min="2" max="3" width="11.5703125" style="7"/>
    <col min="4" max="4" width="13.42578125" style="7" customWidth="1"/>
    <col min="5" max="6" width="12.5703125" style="7" customWidth="1"/>
    <col min="7" max="13" width="11.5703125" style="7"/>
    <col min="14" max="14" width="15.140625" style="7" customWidth="1"/>
    <col min="15" max="15" width="15.85546875" style="7" customWidth="1"/>
    <col min="16" max="18" width="11.5703125" style="7" customWidth="1"/>
    <col min="19" max="19" width="11.5703125" style="7" hidden="1" customWidth="1"/>
    <col min="20" max="20" width="12.28515625" style="7" customWidth="1"/>
    <col min="21" max="21" width="14.42578125" style="7" customWidth="1"/>
  </cols>
  <sheetData>
    <row r="1" spans="1:21" s="1" customFormat="1" ht="53.25" customHeight="1" x14ac:dyDescent="0.2">
      <c r="A1" s="3" t="s">
        <v>0</v>
      </c>
      <c r="B1" s="10" t="s">
        <v>1</v>
      </c>
      <c r="C1" s="10" t="s">
        <v>2</v>
      </c>
      <c r="D1" s="10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7"/>
      <c r="M1" s="15"/>
      <c r="N1" s="15" t="s">
        <v>11</v>
      </c>
      <c r="O1" s="15" t="s">
        <v>12</v>
      </c>
      <c r="P1" s="15" t="s">
        <v>13</v>
      </c>
      <c r="Q1" s="15" t="s">
        <v>14</v>
      </c>
      <c r="R1" s="15" t="s">
        <v>15</v>
      </c>
      <c r="S1" s="6" t="s">
        <v>16</v>
      </c>
      <c r="T1" s="6" t="s">
        <v>17</v>
      </c>
      <c r="U1" s="6" t="s">
        <v>18</v>
      </c>
    </row>
    <row r="2" spans="1:21" x14ac:dyDescent="0.2">
      <c r="A2" s="2" t="s">
        <v>19</v>
      </c>
      <c r="B2" s="7">
        <v>1</v>
      </c>
      <c r="C2" s="7">
        <v>3</v>
      </c>
      <c r="D2" s="7">
        <v>2022</v>
      </c>
      <c r="E2" s="8">
        <f>HOTEL!E4</f>
        <v>24675</v>
      </c>
      <c r="F2" s="16">
        <v>6.25</v>
      </c>
      <c r="G2" s="8">
        <f>HOTEL!CV4</f>
        <v>41073</v>
      </c>
      <c r="H2" s="16">
        <v>67.75</v>
      </c>
      <c r="I2" s="8">
        <f>HOTEL!Z4+HOTEL!AF4</f>
        <v>433</v>
      </c>
      <c r="J2" s="16">
        <f>P2</f>
        <v>21.200923787528868</v>
      </c>
      <c r="K2" s="7">
        <f>HOTEL!EP4</f>
        <v>0.63739999999999997</v>
      </c>
      <c r="L2" s="18"/>
      <c r="N2" s="7">
        <f>HOTEL!AD4</f>
        <v>0</v>
      </c>
      <c r="O2" s="7">
        <f t="shared" ref="O2:O5" si="0">N2*4000</f>
        <v>0</v>
      </c>
      <c r="P2" s="8">
        <f>IFERROR(((((HOTEL!Z4*34))+(N2*2500))/(I2+N2*40)),0)</f>
        <v>21.200923787528868</v>
      </c>
      <c r="Q2" s="7">
        <v>6.21</v>
      </c>
      <c r="R2" s="16">
        <v>70.349999999999994</v>
      </c>
      <c r="S2" s="7">
        <v>33.880000000000003</v>
      </c>
      <c r="T2" s="8">
        <f>G2*H2</f>
        <v>2782695.75</v>
      </c>
      <c r="U2" s="8">
        <f>I2*P2</f>
        <v>9180</v>
      </c>
    </row>
    <row r="3" spans="1:21" x14ac:dyDescent="0.2">
      <c r="A3" s="2" t="s">
        <v>19</v>
      </c>
      <c r="B3" s="7">
        <f>B2+1</f>
        <v>2</v>
      </c>
      <c r="C3" s="7">
        <v>3</v>
      </c>
      <c r="D3" s="7">
        <v>2022</v>
      </c>
      <c r="E3" s="8">
        <f>HOTEL!E5</f>
        <v>26805</v>
      </c>
      <c r="F3" s="16">
        <v>6.25</v>
      </c>
      <c r="G3" s="8">
        <f>HOTEL!CV5</f>
        <v>41110</v>
      </c>
      <c r="H3" s="16">
        <v>67.75</v>
      </c>
      <c r="I3" s="8">
        <f>HOTEL!Z5+HOTEL!AF5</f>
        <v>448</v>
      </c>
      <c r="J3" s="16">
        <f t="shared" ref="J3:J29" si="1">P3</f>
        <v>34</v>
      </c>
      <c r="K3" s="7">
        <f>HOTEL!EP5</f>
        <v>0.52749999999999997</v>
      </c>
      <c r="L3" s="18"/>
      <c r="N3" s="7">
        <f>HOTEL!AD5</f>
        <v>0</v>
      </c>
      <c r="O3" s="7">
        <f t="shared" si="0"/>
        <v>0</v>
      </c>
      <c r="P3" s="8">
        <f>IFERROR(((((HOTEL!Z5*34))+(N3*2500))/(I3+N3*40)),0)</f>
        <v>34</v>
      </c>
      <c r="Q3" s="7">
        <v>6.21</v>
      </c>
      <c r="R3" s="16">
        <v>70.349999999999994</v>
      </c>
      <c r="S3" s="7">
        <v>33.880000000000003</v>
      </c>
      <c r="T3" s="8">
        <f t="shared" ref="T3:T19" si="2">G3*H3</f>
        <v>2785202.5</v>
      </c>
      <c r="U3" s="8">
        <f t="shared" ref="U3:U29" si="3">I3*P3</f>
        <v>15232</v>
      </c>
    </row>
    <row r="4" spans="1:21" x14ac:dyDescent="0.2">
      <c r="A4" s="2" t="s">
        <v>19</v>
      </c>
      <c r="B4" s="7">
        <f t="shared" ref="B4:B32" si="4">B3+1</f>
        <v>3</v>
      </c>
      <c r="C4" s="7">
        <v>3</v>
      </c>
      <c r="D4" s="7">
        <v>2022</v>
      </c>
      <c r="E4" s="8">
        <f>HOTEL!E6</f>
        <v>26096</v>
      </c>
      <c r="F4" s="16">
        <v>6.25</v>
      </c>
      <c r="G4" s="8">
        <f>HOTEL!CV6</f>
        <v>41151</v>
      </c>
      <c r="H4" s="16">
        <v>67.75</v>
      </c>
      <c r="I4" s="8">
        <f>HOTEL!Z6+HOTEL!AF6</f>
        <v>448</v>
      </c>
      <c r="J4" s="16">
        <f t="shared" si="1"/>
        <v>34</v>
      </c>
      <c r="K4" s="7">
        <f>HOTEL!EP6</f>
        <v>0.51649999999999996</v>
      </c>
      <c r="L4" s="18"/>
      <c r="N4" s="7">
        <f>HOTEL!AD6</f>
        <v>0</v>
      </c>
      <c r="O4" s="7">
        <f t="shared" si="0"/>
        <v>0</v>
      </c>
      <c r="P4" s="8">
        <f>IFERROR(((((HOTEL!Z6*34))+(N4*2500))/(I4+N4*40)),0)</f>
        <v>34</v>
      </c>
      <c r="Q4" s="7">
        <v>6.21</v>
      </c>
      <c r="R4" s="16">
        <v>70.349999999999994</v>
      </c>
      <c r="S4" s="7">
        <v>33.880000000000003</v>
      </c>
      <c r="T4" s="8">
        <f t="shared" si="2"/>
        <v>2787980.25</v>
      </c>
      <c r="U4" s="8">
        <f t="shared" si="3"/>
        <v>15232</v>
      </c>
    </row>
    <row r="5" spans="1:21" x14ac:dyDescent="0.2">
      <c r="A5" s="2" t="s">
        <v>19</v>
      </c>
      <c r="B5" s="7">
        <f t="shared" si="4"/>
        <v>4</v>
      </c>
      <c r="C5" s="7">
        <v>3</v>
      </c>
      <c r="D5" s="7">
        <v>2022</v>
      </c>
      <c r="E5" s="8">
        <f>HOTEL!E7</f>
        <v>26123</v>
      </c>
      <c r="F5" s="16">
        <v>6.25</v>
      </c>
      <c r="G5" s="8">
        <f>HOTEL!CV7</f>
        <v>41190</v>
      </c>
      <c r="H5" s="16">
        <v>67.75</v>
      </c>
      <c r="I5" s="8">
        <f>HOTEL!Z7+HOTEL!AF7</f>
        <v>126</v>
      </c>
      <c r="J5" s="16">
        <f t="shared" si="1"/>
        <v>14.031746031746032</v>
      </c>
      <c r="K5" s="7">
        <f>HOTEL!EP7</f>
        <v>0.47249999999999998</v>
      </c>
      <c r="L5" s="18"/>
      <c r="N5" s="7">
        <f>HOTEL!AD7</f>
        <v>0</v>
      </c>
      <c r="O5" s="7">
        <f t="shared" si="0"/>
        <v>0</v>
      </c>
      <c r="P5" s="8">
        <f>IFERROR(((((HOTEL!Z7*34))+(N5*2500))/(I5+N5*40)),0)</f>
        <v>14.031746031746032</v>
      </c>
      <c r="Q5" s="7">
        <v>6.21</v>
      </c>
      <c r="R5" s="16">
        <v>70.349999999999994</v>
      </c>
      <c r="S5" s="7">
        <v>33.880000000000003</v>
      </c>
      <c r="T5" s="8">
        <f t="shared" si="2"/>
        <v>2790622.5</v>
      </c>
      <c r="U5" s="8">
        <f t="shared" si="3"/>
        <v>1768</v>
      </c>
    </row>
    <row r="6" spans="1:21" x14ac:dyDescent="0.2">
      <c r="A6" s="2" t="s">
        <v>19</v>
      </c>
      <c r="B6" s="7">
        <f t="shared" si="4"/>
        <v>5</v>
      </c>
      <c r="C6" s="7">
        <v>3</v>
      </c>
      <c r="D6" s="7">
        <v>2022</v>
      </c>
      <c r="E6" s="8">
        <f>HOTEL!E8</f>
        <v>26469</v>
      </c>
      <c r="F6" s="16">
        <v>6.25</v>
      </c>
      <c r="G6" s="8">
        <f>HOTEL!CV8</f>
        <v>41232</v>
      </c>
      <c r="H6" s="16">
        <v>67.75</v>
      </c>
      <c r="I6" s="8">
        <f>HOTEL!Z8+HOTEL!AF8</f>
        <v>359</v>
      </c>
      <c r="J6" s="16">
        <f t="shared" si="1"/>
        <v>26.044568245125348</v>
      </c>
      <c r="K6" s="7">
        <f>HOTEL!EP8</f>
        <v>0.48349999999999999</v>
      </c>
      <c r="L6" s="18"/>
      <c r="N6" s="7">
        <f>HOTEL!AD8</f>
        <v>0</v>
      </c>
      <c r="O6" s="7">
        <f>N6*4000</f>
        <v>0</v>
      </c>
      <c r="P6" s="8">
        <f>IFERROR(((((HOTEL!Z8*34))+(N6*2500))/(I6+N6*40)),0)</f>
        <v>26.044568245125348</v>
      </c>
      <c r="Q6" s="7">
        <v>6.21</v>
      </c>
      <c r="R6" s="16">
        <v>70.349999999999994</v>
      </c>
      <c r="S6" s="7">
        <v>33.880000000000003</v>
      </c>
      <c r="T6" s="8">
        <f t="shared" si="2"/>
        <v>2793468</v>
      </c>
      <c r="U6" s="8">
        <f t="shared" si="3"/>
        <v>9350</v>
      </c>
    </row>
    <row r="7" spans="1:21" x14ac:dyDescent="0.2">
      <c r="A7" s="2" t="s">
        <v>19</v>
      </c>
      <c r="B7" s="7">
        <f t="shared" si="4"/>
        <v>6</v>
      </c>
      <c r="C7" s="7">
        <v>3</v>
      </c>
      <c r="D7" s="7">
        <v>2022</v>
      </c>
      <c r="E7" s="8">
        <f>HOTEL!E9</f>
        <v>23858</v>
      </c>
      <c r="F7" s="16">
        <v>6.25</v>
      </c>
      <c r="G7" s="8">
        <f>HOTEL!CV9</f>
        <v>41258</v>
      </c>
      <c r="H7" s="16">
        <v>67.75</v>
      </c>
      <c r="I7" s="8">
        <f>HOTEL!Z9+HOTEL!AF9</f>
        <v>306</v>
      </c>
      <c r="J7" s="16">
        <f t="shared" si="1"/>
        <v>34</v>
      </c>
      <c r="K7" s="7">
        <f>HOTEL!EP9</f>
        <v>0.42859999999999998</v>
      </c>
      <c r="L7" s="18"/>
      <c r="N7" s="7">
        <f>HOTEL!AD9</f>
        <v>0</v>
      </c>
      <c r="O7" s="7">
        <f t="shared" ref="O7:O29" si="5">N7*4000</f>
        <v>0</v>
      </c>
      <c r="P7" s="8">
        <f>IFERROR(((((HOTEL!Z9*34))+(N7*2500))/(I7+N7*40)),0)</f>
        <v>34</v>
      </c>
      <c r="Q7" s="7">
        <v>6.21</v>
      </c>
      <c r="R7" s="16">
        <v>70.349999999999994</v>
      </c>
      <c r="S7" s="7">
        <v>33.880000000000003</v>
      </c>
      <c r="T7" s="8">
        <f t="shared" si="2"/>
        <v>2795229.5</v>
      </c>
      <c r="U7" s="8">
        <f t="shared" si="3"/>
        <v>10404</v>
      </c>
    </row>
    <row r="8" spans="1:21" x14ac:dyDescent="0.2">
      <c r="A8" s="2" t="s">
        <v>19</v>
      </c>
      <c r="B8" s="7">
        <f t="shared" si="4"/>
        <v>7</v>
      </c>
      <c r="C8" s="7">
        <v>3</v>
      </c>
      <c r="D8" s="7">
        <v>2022</v>
      </c>
      <c r="E8" s="8">
        <f>HOTEL!E10</f>
        <v>25036</v>
      </c>
      <c r="F8" s="16">
        <v>6.25</v>
      </c>
      <c r="G8" s="8">
        <f>HOTEL!CV10</f>
        <v>41297</v>
      </c>
      <c r="H8" s="16">
        <v>67.75</v>
      </c>
      <c r="I8" s="8">
        <f>HOTEL!Z10+HOTEL!AF10</f>
        <v>328</v>
      </c>
      <c r="J8" s="16">
        <f t="shared" si="1"/>
        <v>34</v>
      </c>
      <c r="K8" s="7">
        <f>HOTEL!EP10</f>
        <v>0.48349999999999999</v>
      </c>
      <c r="L8" s="18"/>
      <c r="N8" s="7">
        <f>HOTEL!AD10</f>
        <v>0</v>
      </c>
      <c r="O8" s="7">
        <f t="shared" si="5"/>
        <v>0</v>
      </c>
      <c r="P8" s="8">
        <f>IFERROR(((((HOTEL!Z10*34))+(N8*2500))/(I8+N8*40)),0)</f>
        <v>34</v>
      </c>
      <c r="Q8" s="7">
        <v>6.21</v>
      </c>
      <c r="R8" s="16">
        <v>70.349999999999994</v>
      </c>
      <c r="S8" s="7">
        <v>33.880000000000003</v>
      </c>
      <c r="T8" s="8">
        <f t="shared" si="2"/>
        <v>2797871.75</v>
      </c>
      <c r="U8" s="8">
        <f t="shared" si="3"/>
        <v>11152</v>
      </c>
    </row>
    <row r="9" spans="1:21" x14ac:dyDescent="0.2">
      <c r="A9" s="2" t="s">
        <v>19</v>
      </c>
      <c r="B9" s="7">
        <f t="shared" si="4"/>
        <v>8</v>
      </c>
      <c r="C9" s="7">
        <v>3</v>
      </c>
      <c r="D9" s="7">
        <v>2022</v>
      </c>
      <c r="E9" s="8">
        <f>HOTEL!E11</f>
        <v>22122</v>
      </c>
      <c r="F9" s="16">
        <v>6.25</v>
      </c>
      <c r="G9" s="8">
        <f>HOTEL!CV11</f>
        <v>41334</v>
      </c>
      <c r="H9" s="16">
        <v>67.75</v>
      </c>
      <c r="I9" s="8">
        <f>HOTEL!Z11+HOTEL!AF11</f>
        <v>372</v>
      </c>
      <c r="J9" s="16">
        <f t="shared" si="1"/>
        <v>20.016129032258064</v>
      </c>
      <c r="K9" s="7">
        <f>HOTEL!EP11</f>
        <v>0.46150000000000002</v>
      </c>
      <c r="L9" s="18"/>
      <c r="N9" s="7">
        <f>HOTEL!AD11</f>
        <v>0</v>
      </c>
      <c r="O9" s="7">
        <f t="shared" si="5"/>
        <v>0</v>
      </c>
      <c r="P9" s="8">
        <f>IFERROR(((((HOTEL!Z11*34))+(N9*2500))/(I9+N9*40)),0)</f>
        <v>20.016129032258064</v>
      </c>
      <c r="Q9" s="7">
        <v>6.21</v>
      </c>
      <c r="R9" s="16">
        <v>70.349999999999994</v>
      </c>
      <c r="S9" s="7">
        <v>33.880000000000003</v>
      </c>
      <c r="T9" s="8">
        <f>G9*H9</f>
        <v>2800378.5</v>
      </c>
      <c r="U9" s="8">
        <f t="shared" si="3"/>
        <v>7446</v>
      </c>
    </row>
    <row r="10" spans="1:21" x14ac:dyDescent="0.2">
      <c r="A10" s="2" t="s">
        <v>19</v>
      </c>
      <c r="B10" s="7">
        <f t="shared" si="4"/>
        <v>9</v>
      </c>
      <c r="C10" s="7">
        <v>3</v>
      </c>
      <c r="D10" s="7">
        <v>2022</v>
      </c>
      <c r="E10" s="8">
        <f>HOTEL!E12</f>
        <v>23254</v>
      </c>
      <c r="F10" s="16">
        <v>6.25</v>
      </c>
      <c r="G10" s="8">
        <f>HOTEL!CV12</f>
        <v>41375.699999999997</v>
      </c>
      <c r="H10" s="16">
        <v>67.75</v>
      </c>
      <c r="I10" s="8">
        <f>HOTEL!Z12+HOTEL!AF12</f>
        <v>302</v>
      </c>
      <c r="J10" s="16">
        <f t="shared" si="1"/>
        <v>25.894039735099337</v>
      </c>
      <c r="K10" s="7">
        <f>HOTEL!EP12</f>
        <v>0.54949999999999999</v>
      </c>
      <c r="L10" s="18"/>
      <c r="N10" s="7">
        <f>HOTEL!AD12</f>
        <v>0</v>
      </c>
      <c r="O10" s="7">
        <f t="shared" si="5"/>
        <v>0</v>
      </c>
      <c r="P10" s="8">
        <f>IFERROR(((((HOTEL!Z12*34))+(N10*2500))/(I10+N10*40)),0)</f>
        <v>25.894039735099337</v>
      </c>
      <c r="Q10" s="7">
        <v>6.21</v>
      </c>
      <c r="R10" s="16">
        <v>70.349999999999994</v>
      </c>
      <c r="S10" s="7">
        <v>33.93</v>
      </c>
      <c r="T10" s="8">
        <f t="shared" si="2"/>
        <v>2803203.6749999998</v>
      </c>
      <c r="U10" s="8">
        <f t="shared" si="3"/>
        <v>7820</v>
      </c>
    </row>
    <row r="11" spans="1:21" x14ac:dyDescent="0.2">
      <c r="A11" s="2" t="s">
        <v>19</v>
      </c>
      <c r="B11" s="7">
        <f t="shared" si="4"/>
        <v>10</v>
      </c>
      <c r="C11" s="7">
        <v>3</v>
      </c>
      <c r="D11" s="7">
        <v>2022</v>
      </c>
      <c r="E11" s="8">
        <f>HOTEL!E13</f>
        <v>24237</v>
      </c>
      <c r="F11" s="16">
        <v>6.25</v>
      </c>
      <c r="G11" s="8">
        <f>HOTEL!CV13</f>
        <v>41403</v>
      </c>
      <c r="H11" s="16">
        <v>67.75</v>
      </c>
      <c r="I11" s="8">
        <f>HOTEL!Z13+HOTEL!AF13</f>
        <v>238</v>
      </c>
      <c r="J11" s="16">
        <f t="shared" si="1"/>
        <v>11</v>
      </c>
      <c r="K11" s="7">
        <f>HOTEL!EP13</f>
        <v>0.50549999999999995</v>
      </c>
      <c r="L11" s="18"/>
      <c r="N11" s="7">
        <f>HOTEL!AD13</f>
        <v>0</v>
      </c>
      <c r="O11" s="7">
        <f t="shared" si="5"/>
        <v>0</v>
      </c>
      <c r="P11" s="8">
        <f>IFERROR(((((HOTEL!Z13*34))+(N11*2500))/(I11+N11*40)),0)</f>
        <v>11</v>
      </c>
      <c r="Q11" s="7">
        <v>6.21</v>
      </c>
      <c r="R11" s="16">
        <v>70.349999999999994</v>
      </c>
      <c r="S11" s="7">
        <v>33.93</v>
      </c>
      <c r="T11" s="8">
        <f>G11*H11</f>
        <v>2805053.25</v>
      </c>
      <c r="U11" s="8">
        <f t="shared" si="3"/>
        <v>2618</v>
      </c>
    </row>
    <row r="12" spans="1:21" x14ac:dyDescent="0.2">
      <c r="A12" s="2" t="s">
        <v>19</v>
      </c>
      <c r="B12" s="7">
        <f t="shared" si="4"/>
        <v>11</v>
      </c>
      <c r="C12" s="7">
        <v>3</v>
      </c>
      <c r="D12" s="7">
        <v>2022</v>
      </c>
      <c r="E12" s="8">
        <f>HOTEL!E14</f>
        <v>24488</v>
      </c>
      <c r="F12" s="16">
        <v>6.25</v>
      </c>
      <c r="G12" s="8">
        <f>HOTEL!CV14</f>
        <v>41441</v>
      </c>
      <c r="H12" s="16">
        <v>67.75</v>
      </c>
      <c r="I12" s="8">
        <f>HOTEL!Z14+HOTEL!AF14</f>
        <v>315</v>
      </c>
      <c r="J12" s="16">
        <f t="shared" si="1"/>
        <v>11.441269841269841</v>
      </c>
      <c r="K12" s="7">
        <f>HOTEL!EP14</f>
        <v>0.42859999999999998</v>
      </c>
      <c r="L12" s="18"/>
      <c r="N12" s="7">
        <f>HOTEL!AD14</f>
        <v>0</v>
      </c>
      <c r="O12" s="7">
        <f t="shared" si="5"/>
        <v>0</v>
      </c>
      <c r="P12" s="8">
        <f>IFERROR(((((HOTEL!Z14*34))+(N12*2500))/(I12+N12*40)),0)</f>
        <v>11.441269841269841</v>
      </c>
      <c r="Q12" s="7">
        <v>6.21</v>
      </c>
      <c r="R12" s="16">
        <v>70.349999999999994</v>
      </c>
      <c r="S12" s="7">
        <v>33.93</v>
      </c>
      <c r="T12" s="8">
        <f>G12*H12</f>
        <v>2807627.75</v>
      </c>
      <c r="U12" s="8">
        <f t="shared" si="3"/>
        <v>3604</v>
      </c>
    </row>
    <row r="13" spans="1:21" x14ac:dyDescent="0.2">
      <c r="A13" s="2" t="s">
        <v>19</v>
      </c>
      <c r="B13" s="7">
        <f t="shared" si="4"/>
        <v>12</v>
      </c>
      <c r="C13" s="7">
        <v>3</v>
      </c>
      <c r="D13" s="7">
        <v>2022</v>
      </c>
      <c r="E13" s="8">
        <f>HOTEL!E15</f>
        <v>25144</v>
      </c>
      <c r="F13" s="16">
        <v>6.25</v>
      </c>
      <c r="G13" s="8">
        <f>HOTEL!CV15</f>
        <v>41481</v>
      </c>
      <c r="H13" s="16">
        <v>67.75</v>
      </c>
      <c r="I13" s="8">
        <f>HOTEL!Z15+HOTEL!AF15</f>
        <v>778</v>
      </c>
      <c r="J13" s="16">
        <f t="shared" si="1"/>
        <v>16.213367609254497</v>
      </c>
      <c r="K13" s="7">
        <f>HOTEL!EP15</f>
        <v>0.47249999999999998</v>
      </c>
      <c r="L13" s="18"/>
      <c r="N13" s="7">
        <f>HOTEL!AD15</f>
        <v>0</v>
      </c>
      <c r="O13" s="7">
        <f t="shared" si="5"/>
        <v>0</v>
      </c>
      <c r="P13" s="8">
        <f>IFERROR(((((HOTEL!Z15*34))+(N13*2500))/(I13+N13*40)),0)</f>
        <v>16.213367609254497</v>
      </c>
      <c r="Q13" s="7">
        <v>6.21</v>
      </c>
      <c r="R13" s="16">
        <v>70.349999999999994</v>
      </c>
      <c r="S13" s="7">
        <v>33.93</v>
      </c>
      <c r="T13" s="8">
        <f t="shared" si="2"/>
        <v>2810337.75</v>
      </c>
      <c r="U13" s="8">
        <f t="shared" si="3"/>
        <v>12613.999999999998</v>
      </c>
    </row>
    <row r="14" spans="1:21" x14ac:dyDescent="0.2">
      <c r="A14" s="2" t="s">
        <v>19</v>
      </c>
      <c r="B14" s="7">
        <f t="shared" si="4"/>
        <v>13</v>
      </c>
      <c r="C14" s="7">
        <v>3</v>
      </c>
      <c r="D14" s="7">
        <v>2022</v>
      </c>
      <c r="E14" s="8">
        <f>HOTEL!E16</f>
        <v>23469</v>
      </c>
      <c r="F14" s="16">
        <v>6.25</v>
      </c>
      <c r="G14" s="8">
        <f>HOTEL!CV16</f>
        <v>41510</v>
      </c>
      <c r="H14" s="16">
        <v>67.75</v>
      </c>
      <c r="I14" s="8">
        <f>HOTEL!Z16+HOTEL!AF16</f>
        <v>223</v>
      </c>
      <c r="J14" s="16">
        <f t="shared" si="1"/>
        <v>24.242152466367713</v>
      </c>
      <c r="K14" s="7">
        <f>HOTEL!EP16</f>
        <v>0.50549999999999995</v>
      </c>
      <c r="L14" s="18"/>
      <c r="N14" s="7">
        <f>HOTEL!AD16</f>
        <v>0</v>
      </c>
      <c r="O14" s="7">
        <f t="shared" si="5"/>
        <v>0</v>
      </c>
      <c r="P14" s="8">
        <f>IFERROR(((((HOTEL!Z16*34))+(N14*2500))/(I14+N14*40)),0)</f>
        <v>24.242152466367713</v>
      </c>
      <c r="Q14" s="7">
        <v>6.21</v>
      </c>
      <c r="R14" s="16">
        <v>70.349999999999994</v>
      </c>
      <c r="S14" s="7">
        <v>33.93</v>
      </c>
      <c r="T14" s="8">
        <f t="shared" si="2"/>
        <v>2812302.5</v>
      </c>
      <c r="U14" s="8">
        <f t="shared" si="3"/>
        <v>5406</v>
      </c>
    </row>
    <row r="15" spans="1:21" x14ac:dyDescent="0.2">
      <c r="A15" s="2" t="s">
        <v>19</v>
      </c>
      <c r="B15" s="7">
        <f t="shared" si="4"/>
        <v>14</v>
      </c>
      <c r="C15" s="7">
        <v>3</v>
      </c>
      <c r="D15" s="7">
        <v>2022</v>
      </c>
      <c r="E15" s="8">
        <f>HOTEL!E17</f>
        <v>25062</v>
      </c>
      <c r="F15" s="16">
        <v>6.25</v>
      </c>
      <c r="G15" s="8">
        <f>HOTEL!CV17</f>
        <v>41553</v>
      </c>
      <c r="H15" s="16">
        <v>67.75</v>
      </c>
      <c r="I15" s="8">
        <f>HOTEL!Z17+HOTEL!AF17</f>
        <v>413</v>
      </c>
      <c r="J15" s="16">
        <f t="shared" si="1"/>
        <v>16.464891041162229</v>
      </c>
      <c r="K15" s="7">
        <f>HOTEL!EP17</f>
        <v>0.50549999999999995</v>
      </c>
      <c r="L15" s="18"/>
      <c r="N15" s="7">
        <f>HOTEL!AD17</f>
        <v>0</v>
      </c>
      <c r="O15" s="7">
        <f t="shared" si="5"/>
        <v>0</v>
      </c>
      <c r="P15" s="8">
        <f>IFERROR(((((HOTEL!Z17*34))+(N15*2500))/(I15+N15*40)),0)</f>
        <v>16.464891041162229</v>
      </c>
      <c r="Q15" s="7">
        <v>6.21</v>
      </c>
      <c r="R15" s="16">
        <v>70.349999999999994</v>
      </c>
      <c r="S15" s="7">
        <v>33.93</v>
      </c>
      <c r="T15" s="8">
        <f t="shared" si="2"/>
        <v>2815215.75</v>
      </c>
      <c r="U15" s="8">
        <f t="shared" si="3"/>
        <v>6800.0000000000009</v>
      </c>
    </row>
    <row r="16" spans="1:21" x14ac:dyDescent="0.2">
      <c r="A16" s="2" t="s">
        <v>19</v>
      </c>
      <c r="B16" s="7">
        <f t="shared" si="4"/>
        <v>15</v>
      </c>
      <c r="C16" s="7">
        <v>3</v>
      </c>
      <c r="D16" s="7">
        <v>2022</v>
      </c>
      <c r="E16" s="8">
        <f>HOTEL!E18</f>
        <v>24628</v>
      </c>
      <c r="F16" s="16">
        <v>6.25</v>
      </c>
      <c r="G16" s="8">
        <f>HOTEL!CV18</f>
        <v>41588</v>
      </c>
      <c r="H16" s="16">
        <v>67.75</v>
      </c>
      <c r="I16" s="8">
        <f>HOTEL!Z18+HOTEL!AF18</f>
        <v>377</v>
      </c>
      <c r="J16" s="16">
        <f t="shared" si="1"/>
        <v>9.8302387267904514</v>
      </c>
      <c r="K16" s="7">
        <f>HOTEL!EP18</f>
        <v>0.50549999999999995</v>
      </c>
      <c r="L16" s="18"/>
      <c r="N16" s="7">
        <f>HOTEL!AD18</f>
        <v>0</v>
      </c>
      <c r="O16" s="7">
        <f t="shared" si="5"/>
        <v>0</v>
      </c>
      <c r="P16" s="8">
        <f>IFERROR(((((HOTEL!Z18*34))+(N16*2500))/(I16+N16*40)),0)</f>
        <v>9.8302387267904514</v>
      </c>
      <c r="Q16" s="7">
        <v>6.21</v>
      </c>
      <c r="R16" s="16">
        <v>70.349999999999994</v>
      </c>
      <c r="S16" s="7">
        <v>33.93</v>
      </c>
      <c r="T16" s="8">
        <f t="shared" si="2"/>
        <v>2817587</v>
      </c>
      <c r="U16" s="8">
        <f t="shared" si="3"/>
        <v>3706</v>
      </c>
    </row>
    <row r="17" spans="1:21" x14ac:dyDescent="0.2">
      <c r="A17" s="2" t="s">
        <v>19</v>
      </c>
      <c r="B17" s="7">
        <f t="shared" si="4"/>
        <v>16</v>
      </c>
      <c r="C17" s="7">
        <v>3</v>
      </c>
      <c r="D17" s="7">
        <v>2022</v>
      </c>
      <c r="E17" s="8">
        <f>HOTEL!E19</f>
        <v>30606</v>
      </c>
      <c r="F17" s="16">
        <v>6.25</v>
      </c>
      <c r="G17" s="8">
        <f>HOTEL!CV19</f>
        <v>41637</v>
      </c>
      <c r="H17" s="16">
        <v>67.75</v>
      </c>
      <c r="I17" s="8">
        <f>HOTEL!Z19+HOTEL!AF19</f>
        <v>482</v>
      </c>
      <c r="J17" s="16">
        <f t="shared" si="1"/>
        <v>15.448132780082988</v>
      </c>
      <c r="K17" s="7">
        <f>HOTEL!EP19</f>
        <v>0.47249999999999998</v>
      </c>
      <c r="L17" s="18"/>
      <c r="N17" s="7">
        <f>HOTEL!AD19</f>
        <v>0</v>
      </c>
      <c r="O17" s="7">
        <f t="shared" si="5"/>
        <v>0</v>
      </c>
      <c r="P17" s="8">
        <f>IFERROR(((((HOTEL!Z19*34))+(N17*2500))/(I17+N17*40)),0)</f>
        <v>15.448132780082988</v>
      </c>
      <c r="Q17" s="7">
        <v>6.21</v>
      </c>
      <c r="R17" s="16">
        <v>70.349999999999994</v>
      </c>
      <c r="S17" s="7">
        <v>33.93</v>
      </c>
      <c r="T17" s="8">
        <f t="shared" si="2"/>
        <v>2820906.75</v>
      </c>
      <c r="U17" s="8">
        <f t="shared" si="3"/>
        <v>7446</v>
      </c>
    </row>
    <row r="18" spans="1:21" x14ac:dyDescent="0.2">
      <c r="A18" s="2" t="s">
        <v>19</v>
      </c>
      <c r="B18" s="7">
        <f t="shared" si="4"/>
        <v>17</v>
      </c>
      <c r="C18" s="7">
        <v>3</v>
      </c>
      <c r="D18" s="7">
        <v>2022</v>
      </c>
      <c r="E18" s="8">
        <f>HOTEL!E20</f>
        <v>19776</v>
      </c>
      <c r="F18" s="16">
        <v>6.25</v>
      </c>
      <c r="G18" s="8">
        <f>HOTEL!CV20</f>
        <v>41676</v>
      </c>
      <c r="H18" s="16">
        <v>67.75</v>
      </c>
      <c r="I18" s="8">
        <f>HOTEL!Z20+HOTEL!AF20</f>
        <v>487</v>
      </c>
      <c r="J18" s="16">
        <f t="shared" si="1"/>
        <v>31.975359342915812</v>
      </c>
      <c r="K18" s="7">
        <f>HOTEL!EP20</f>
        <v>0.46150000000000002</v>
      </c>
      <c r="L18" s="18"/>
      <c r="N18" s="7">
        <f>HOTEL!AD20</f>
        <v>0</v>
      </c>
      <c r="O18" s="7">
        <f t="shared" si="5"/>
        <v>0</v>
      </c>
      <c r="P18" s="8">
        <f>IFERROR(((((HOTEL!Z20*34))+(N18*2500))/(I18+N18*40)),0)</f>
        <v>31.975359342915812</v>
      </c>
      <c r="Q18" s="7">
        <v>6.21</v>
      </c>
      <c r="R18" s="16">
        <v>70.349999999999994</v>
      </c>
      <c r="S18" s="7">
        <v>33.93</v>
      </c>
      <c r="T18" s="8">
        <f t="shared" si="2"/>
        <v>2823549</v>
      </c>
      <c r="U18" s="8">
        <f t="shared" si="3"/>
        <v>15572</v>
      </c>
    </row>
    <row r="19" spans="1:21" x14ac:dyDescent="0.2">
      <c r="A19" s="2" t="s">
        <v>19</v>
      </c>
      <c r="B19" s="7">
        <f t="shared" si="4"/>
        <v>18</v>
      </c>
      <c r="C19" s="7">
        <v>3</v>
      </c>
      <c r="D19" s="7">
        <v>2022</v>
      </c>
      <c r="E19" s="8">
        <f>HOTEL!E21</f>
        <v>25518</v>
      </c>
      <c r="F19" s="16">
        <v>6.25</v>
      </c>
      <c r="G19" s="8">
        <f>HOTEL!CV21</f>
        <v>41709</v>
      </c>
      <c r="H19" s="16">
        <v>67.75</v>
      </c>
      <c r="I19" s="8">
        <f>HOTEL!Z21+HOTEL!AF21</f>
        <v>384</v>
      </c>
      <c r="J19" s="16">
        <f t="shared" si="1"/>
        <v>22.932291666666668</v>
      </c>
      <c r="K19" s="7">
        <f>HOTEL!EP21</f>
        <v>0.47249999999999998</v>
      </c>
      <c r="L19" s="18"/>
      <c r="N19" s="7">
        <f>HOTEL!AD21</f>
        <v>0</v>
      </c>
      <c r="O19" s="7">
        <f t="shared" si="5"/>
        <v>0</v>
      </c>
      <c r="P19" s="8">
        <f>IFERROR(((((HOTEL!Z21*34))+(N19*2500))/(I19+N19*40)),0)</f>
        <v>22.932291666666668</v>
      </c>
      <c r="Q19" s="7">
        <v>6.21</v>
      </c>
      <c r="R19" s="16">
        <v>70.349999999999994</v>
      </c>
      <c r="S19" s="7">
        <v>33.93</v>
      </c>
      <c r="T19" s="8">
        <f t="shared" si="2"/>
        <v>2825784.75</v>
      </c>
      <c r="U19" s="8">
        <f t="shared" si="3"/>
        <v>8806</v>
      </c>
    </row>
    <row r="20" spans="1:21" x14ac:dyDescent="0.2">
      <c r="A20" s="2" t="s">
        <v>19</v>
      </c>
      <c r="B20" s="7">
        <f t="shared" si="4"/>
        <v>19</v>
      </c>
      <c r="C20" s="7">
        <v>3</v>
      </c>
      <c r="D20" s="7">
        <v>2022</v>
      </c>
      <c r="E20" s="8">
        <f>HOTEL!E22</f>
        <v>25314</v>
      </c>
      <c r="F20" s="16">
        <v>6.25</v>
      </c>
      <c r="G20" s="8">
        <f>HOTEL!CV22</f>
        <v>41748</v>
      </c>
      <c r="H20" s="16">
        <v>67.75</v>
      </c>
      <c r="I20" s="8">
        <f>HOTEL!Z22+HOTEL!AF22</f>
        <v>384</v>
      </c>
      <c r="J20" s="16">
        <f t="shared" si="1"/>
        <v>44.914351851851855</v>
      </c>
      <c r="K20" s="7">
        <f>HOTEL!EP22</f>
        <v>0.50549999999999995</v>
      </c>
      <c r="L20" s="18"/>
      <c r="N20" s="7">
        <f>HOTEL!AD22</f>
        <v>12</v>
      </c>
      <c r="O20" s="7">
        <f t="shared" si="5"/>
        <v>48000</v>
      </c>
      <c r="P20" s="8">
        <f>IFERROR(((((HOTEL!Z22*34))+(N20*2500))/(I20+N20*40)),0)</f>
        <v>44.914351851851855</v>
      </c>
      <c r="Q20" s="7">
        <v>6.21</v>
      </c>
      <c r="R20" s="16">
        <v>70.349999999999994</v>
      </c>
      <c r="S20" s="7">
        <v>33.93</v>
      </c>
      <c r="T20" s="8">
        <f>G20*H20</f>
        <v>2828427</v>
      </c>
      <c r="U20" s="8">
        <f t="shared" si="3"/>
        <v>17247.111111111113</v>
      </c>
    </row>
    <row r="21" spans="1:21" x14ac:dyDescent="0.2">
      <c r="A21" s="2" t="s">
        <v>19</v>
      </c>
      <c r="B21" s="7">
        <f t="shared" si="4"/>
        <v>20</v>
      </c>
      <c r="C21" s="7">
        <v>3</v>
      </c>
      <c r="D21" s="7">
        <v>2022</v>
      </c>
      <c r="E21" s="8">
        <f>HOTEL!E23</f>
        <v>23234</v>
      </c>
      <c r="F21" s="16">
        <v>6.25</v>
      </c>
      <c r="G21" s="8">
        <f>HOTEL!CV23</f>
        <v>41788</v>
      </c>
      <c r="H21" s="16">
        <v>67.75</v>
      </c>
      <c r="I21" s="8">
        <f>HOTEL!Z23+HOTEL!AF23</f>
        <v>543</v>
      </c>
      <c r="J21" s="16">
        <f t="shared" si="1"/>
        <v>18.784530386740332</v>
      </c>
      <c r="K21" s="7">
        <f>HOTEL!EP23</f>
        <v>0.51649999999999996</v>
      </c>
      <c r="L21" s="18"/>
      <c r="N21" s="7">
        <f>HOTEL!AD23</f>
        <v>0</v>
      </c>
      <c r="O21" s="7">
        <f t="shared" si="5"/>
        <v>0</v>
      </c>
      <c r="P21" s="8">
        <f>IFERROR(((((HOTEL!Z23*34))+(N21*2500))/(I21+N21*40)),0)</f>
        <v>18.784530386740332</v>
      </c>
      <c r="Q21" s="7">
        <v>6.21</v>
      </c>
      <c r="R21" s="16">
        <v>70.349999999999994</v>
      </c>
      <c r="S21" s="7">
        <v>33.93</v>
      </c>
      <c r="T21" s="8">
        <f>G21*H21</f>
        <v>2831137</v>
      </c>
      <c r="U21" s="8">
        <f t="shared" si="3"/>
        <v>10200</v>
      </c>
    </row>
    <row r="22" spans="1:21" x14ac:dyDescent="0.2">
      <c r="A22" s="2" t="s">
        <v>19</v>
      </c>
      <c r="B22" s="7">
        <f t="shared" si="4"/>
        <v>21</v>
      </c>
      <c r="C22" s="7">
        <v>3</v>
      </c>
      <c r="D22" s="7">
        <v>2022</v>
      </c>
      <c r="E22" s="8">
        <f>HOTEL!E24</f>
        <v>24614</v>
      </c>
      <c r="F22" s="16">
        <v>6.25</v>
      </c>
      <c r="G22" s="8">
        <f>HOTEL!CV24</f>
        <v>41814</v>
      </c>
      <c r="H22" s="16">
        <v>67.75</v>
      </c>
      <c r="I22" s="8">
        <f>HOTEL!Z24+HOTEL!AF24</f>
        <v>201</v>
      </c>
      <c r="J22" s="16">
        <f t="shared" si="1"/>
        <v>34</v>
      </c>
      <c r="K22" s="7">
        <f>HOTEL!EP24</f>
        <v>0.54949999999999999</v>
      </c>
      <c r="L22" s="18"/>
      <c r="N22" s="7">
        <f>HOTEL!AD24</f>
        <v>0</v>
      </c>
      <c r="O22" s="7">
        <f t="shared" si="5"/>
        <v>0</v>
      </c>
      <c r="P22" s="8">
        <f>IFERROR(((((HOTEL!Z24*34))+(N22*2500))/(I22+N22*40)),0)</f>
        <v>34</v>
      </c>
      <c r="Q22" s="7">
        <v>6.21</v>
      </c>
      <c r="R22" s="16">
        <v>70.349999999999994</v>
      </c>
      <c r="S22" s="7">
        <v>33.93</v>
      </c>
      <c r="T22" s="8">
        <f t="shared" ref="T22:T29" si="6">G22*H22</f>
        <v>2832898.5</v>
      </c>
      <c r="U22" s="8">
        <f t="shared" si="3"/>
        <v>6834</v>
      </c>
    </row>
    <row r="23" spans="1:21" x14ac:dyDescent="0.2">
      <c r="A23" s="2" t="s">
        <v>19</v>
      </c>
      <c r="B23" s="7">
        <f t="shared" si="4"/>
        <v>22</v>
      </c>
      <c r="C23" s="7">
        <v>3</v>
      </c>
      <c r="D23" s="7">
        <v>2022</v>
      </c>
      <c r="E23" s="8">
        <f>HOTEL!E25</f>
        <v>23880</v>
      </c>
      <c r="F23" s="16">
        <v>6.25</v>
      </c>
      <c r="G23" s="8">
        <f>HOTEL!CV25</f>
        <v>41855</v>
      </c>
      <c r="H23" s="16">
        <v>67.75</v>
      </c>
      <c r="I23" s="8">
        <f>HOTEL!Z25+HOTEL!AF25</f>
        <v>290</v>
      </c>
      <c r="J23" s="16">
        <f t="shared" si="1"/>
        <v>11.606896551724137</v>
      </c>
      <c r="K23" s="7">
        <f>HOTEL!EP25</f>
        <v>0.53849999999999998</v>
      </c>
      <c r="L23" s="18"/>
      <c r="N23" s="7">
        <f>HOTEL!AD25</f>
        <v>0</v>
      </c>
      <c r="O23" s="7">
        <f t="shared" si="5"/>
        <v>0</v>
      </c>
      <c r="P23" s="8">
        <f>IFERROR(((((HOTEL!Z25*34))+(N23*2500))/(I23+N23*40)),0)</f>
        <v>11.606896551724137</v>
      </c>
      <c r="Q23" s="7">
        <v>6.21</v>
      </c>
      <c r="R23" s="16">
        <v>70.349999999999994</v>
      </c>
      <c r="S23" s="7">
        <v>33.93</v>
      </c>
      <c r="T23" s="8">
        <f t="shared" si="6"/>
        <v>2835676.25</v>
      </c>
      <c r="U23" s="8">
        <f t="shared" si="3"/>
        <v>3366</v>
      </c>
    </row>
    <row r="24" spans="1:21" x14ac:dyDescent="0.2">
      <c r="A24" s="2" t="s">
        <v>19</v>
      </c>
      <c r="B24" s="7">
        <f t="shared" si="4"/>
        <v>23</v>
      </c>
      <c r="C24" s="7">
        <v>3</v>
      </c>
      <c r="D24" s="7">
        <v>2022</v>
      </c>
      <c r="E24" s="8">
        <f>HOTEL!E26</f>
        <v>25379</v>
      </c>
      <c r="F24" s="16">
        <v>6.25</v>
      </c>
      <c r="G24" s="8">
        <f>HOTEL!CV26</f>
        <v>41899</v>
      </c>
      <c r="H24" s="16">
        <v>67.75</v>
      </c>
      <c r="I24" s="8">
        <f>HOTEL!Z26+HOTEL!AF26</f>
        <v>551</v>
      </c>
      <c r="J24" s="16">
        <f t="shared" si="1"/>
        <v>16.04355716878403</v>
      </c>
      <c r="K24" s="7">
        <f>HOTEL!EP26</f>
        <v>0.53849999999999998</v>
      </c>
      <c r="L24" s="18"/>
      <c r="N24" s="7">
        <f>HOTEL!AD26</f>
        <v>0</v>
      </c>
      <c r="O24" s="7">
        <f t="shared" si="5"/>
        <v>0</v>
      </c>
      <c r="P24" s="8">
        <f>IFERROR(((((HOTEL!Z26*34))+(N24*2500))/(I24+N24*40)),0)</f>
        <v>16.04355716878403</v>
      </c>
      <c r="Q24" s="7">
        <v>6.21</v>
      </c>
      <c r="R24" s="16">
        <v>70.349999999999994</v>
      </c>
      <c r="S24" s="7">
        <v>33.93</v>
      </c>
      <c r="T24" s="8">
        <f t="shared" si="6"/>
        <v>2838657.25</v>
      </c>
      <c r="U24" s="8">
        <f t="shared" si="3"/>
        <v>8840</v>
      </c>
    </row>
    <row r="25" spans="1:21" x14ac:dyDescent="0.2">
      <c r="A25" s="2" t="s">
        <v>19</v>
      </c>
      <c r="B25" s="7">
        <f t="shared" si="4"/>
        <v>24</v>
      </c>
      <c r="C25" s="7">
        <v>3</v>
      </c>
      <c r="D25" s="7">
        <v>2022</v>
      </c>
      <c r="E25" s="8">
        <f>HOTEL!E27</f>
        <v>25096</v>
      </c>
      <c r="F25" s="16">
        <v>6.25</v>
      </c>
      <c r="G25" s="8">
        <f>HOTEL!CV27</f>
        <v>41941</v>
      </c>
      <c r="H25" s="16">
        <v>67.75</v>
      </c>
      <c r="I25" s="8">
        <f>HOTEL!Z27+HOTEL!AF27</f>
        <v>392</v>
      </c>
      <c r="J25" s="16">
        <f t="shared" si="1"/>
        <v>34</v>
      </c>
      <c r="K25" s="7">
        <f>HOTEL!EP27</f>
        <v>0.58240000000000003</v>
      </c>
      <c r="L25" s="18"/>
      <c r="N25" s="7">
        <f>HOTEL!AD27</f>
        <v>0</v>
      </c>
      <c r="O25" s="7">
        <f t="shared" si="5"/>
        <v>0</v>
      </c>
      <c r="P25" s="8">
        <f>IFERROR(((((HOTEL!Z27*34))+(N25*2500))/(I25+N25*40)),0)</f>
        <v>34</v>
      </c>
      <c r="Q25" s="7">
        <v>6.21</v>
      </c>
      <c r="R25" s="16">
        <v>70.349999999999994</v>
      </c>
      <c r="S25" s="7">
        <v>33.93</v>
      </c>
      <c r="T25" s="8">
        <f t="shared" si="6"/>
        <v>2841502.75</v>
      </c>
      <c r="U25" s="8">
        <f t="shared" si="3"/>
        <v>13328</v>
      </c>
    </row>
    <row r="26" spans="1:21" x14ac:dyDescent="0.2">
      <c r="A26" s="2" t="s">
        <v>19</v>
      </c>
      <c r="B26" s="7">
        <f>B25+1</f>
        <v>25</v>
      </c>
      <c r="C26" s="7">
        <v>3</v>
      </c>
      <c r="D26" s="7">
        <v>2022</v>
      </c>
      <c r="E26" s="8">
        <f>HOTEL!E28</f>
        <v>25443</v>
      </c>
      <c r="F26" s="16">
        <v>6.25</v>
      </c>
      <c r="G26" s="8">
        <f>HOTEL!CV28</f>
        <v>41982</v>
      </c>
      <c r="H26" s="16">
        <v>67.75</v>
      </c>
      <c r="I26" s="8">
        <f>HOTEL!Z28+HOTEL!AF28</f>
        <v>204</v>
      </c>
      <c r="J26" s="16">
        <f t="shared" si="1"/>
        <v>34</v>
      </c>
      <c r="K26" s="7">
        <f>HOTEL!EP28</f>
        <v>0.62639999999999996</v>
      </c>
      <c r="L26" s="18"/>
      <c r="N26" s="7">
        <f>HOTEL!AD28</f>
        <v>0</v>
      </c>
      <c r="O26" s="7">
        <f t="shared" si="5"/>
        <v>0</v>
      </c>
      <c r="P26" s="8">
        <f>IFERROR(((((HOTEL!Z28*34))+(N26*2500))/(I26+N26*40)),0)</f>
        <v>34</v>
      </c>
      <c r="Q26" s="7">
        <v>6.21</v>
      </c>
      <c r="R26" s="16">
        <v>70.349999999999994</v>
      </c>
      <c r="S26" s="7">
        <v>33.93</v>
      </c>
      <c r="T26" s="8">
        <f t="shared" si="6"/>
        <v>2844280.5</v>
      </c>
      <c r="U26" s="8">
        <f t="shared" si="3"/>
        <v>6936</v>
      </c>
    </row>
    <row r="27" spans="1:21" x14ac:dyDescent="0.2">
      <c r="A27" s="2" t="s">
        <v>19</v>
      </c>
      <c r="B27" s="7">
        <f t="shared" si="4"/>
        <v>26</v>
      </c>
      <c r="C27" s="7">
        <v>3</v>
      </c>
      <c r="D27" s="7">
        <v>2022</v>
      </c>
      <c r="E27" s="8">
        <f>HOTEL!E29</f>
        <v>27303</v>
      </c>
      <c r="F27" s="16">
        <v>6.25</v>
      </c>
      <c r="G27" s="8">
        <f>HOTEL!CV29</f>
        <v>42024</v>
      </c>
      <c r="H27" s="16">
        <v>67.75</v>
      </c>
      <c r="I27" s="8">
        <f>HOTEL!Z29+HOTEL!AF29</f>
        <v>272</v>
      </c>
      <c r="J27" s="16">
        <f t="shared" si="1"/>
        <v>21.75</v>
      </c>
      <c r="K27" s="7">
        <f>HOTEL!EP29</f>
        <v>0.47249999999999998</v>
      </c>
      <c r="L27" s="18"/>
      <c r="N27" s="7">
        <f>HOTEL!AD29</f>
        <v>0</v>
      </c>
      <c r="O27" s="7">
        <f t="shared" si="5"/>
        <v>0</v>
      </c>
      <c r="P27" s="8">
        <f>IFERROR(((((HOTEL!Z29*34))+(N27*2500))/(I27+N27*40)),0)</f>
        <v>21.75</v>
      </c>
      <c r="Q27" s="7">
        <v>6.21</v>
      </c>
      <c r="R27" s="16">
        <v>70.349999999999994</v>
      </c>
      <c r="S27" s="7">
        <v>33.93</v>
      </c>
      <c r="T27" s="8">
        <f t="shared" si="6"/>
        <v>2847126</v>
      </c>
      <c r="U27" s="8">
        <f t="shared" si="3"/>
        <v>5916</v>
      </c>
    </row>
    <row r="28" spans="1:21" x14ac:dyDescent="0.2">
      <c r="A28" s="2" t="s">
        <v>19</v>
      </c>
      <c r="B28" s="7">
        <f t="shared" si="4"/>
        <v>27</v>
      </c>
      <c r="C28" s="7">
        <v>3</v>
      </c>
      <c r="D28" s="7">
        <v>2022</v>
      </c>
      <c r="E28" s="8">
        <f>HOTEL!E30</f>
        <v>25589</v>
      </c>
      <c r="F28" s="16">
        <v>6.25</v>
      </c>
      <c r="G28" s="8">
        <f>HOTEL!CV30</f>
        <v>42068</v>
      </c>
      <c r="H28" s="16">
        <v>67.75</v>
      </c>
      <c r="I28" s="8">
        <f>HOTEL!Z30+HOTEL!AF30</f>
        <v>391</v>
      </c>
      <c r="J28" s="16">
        <f t="shared" si="1"/>
        <v>33.913043478260867</v>
      </c>
      <c r="K28" s="7">
        <f>HOTEL!EP30</f>
        <v>0.47249999999999998</v>
      </c>
      <c r="L28" s="18"/>
      <c r="N28" s="7">
        <f>HOTEL!AD30</f>
        <v>0</v>
      </c>
      <c r="O28" s="7">
        <f t="shared" si="5"/>
        <v>0</v>
      </c>
      <c r="P28" s="8">
        <f>IFERROR(((((HOTEL!Z30*34))+(N28*2500))/(I28+N28*40)),0)</f>
        <v>33.913043478260867</v>
      </c>
      <c r="Q28" s="7">
        <v>6.21</v>
      </c>
      <c r="R28" s="16">
        <v>70.349999999999994</v>
      </c>
      <c r="S28" s="7">
        <v>33.93</v>
      </c>
      <c r="T28" s="8">
        <f t="shared" si="6"/>
        <v>2850107</v>
      </c>
      <c r="U28" s="8">
        <f t="shared" si="3"/>
        <v>13260</v>
      </c>
    </row>
    <row r="29" spans="1:21" x14ac:dyDescent="0.2">
      <c r="A29" s="2" t="s">
        <v>19</v>
      </c>
      <c r="B29" s="7">
        <f t="shared" si="4"/>
        <v>28</v>
      </c>
      <c r="C29" s="7">
        <v>3</v>
      </c>
      <c r="D29" s="7">
        <v>2022</v>
      </c>
      <c r="E29" s="8">
        <f>HOTEL!E31</f>
        <v>25294</v>
      </c>
      <c r="F29" s="16">
        <v>6.25</v>
      </c>
      <c r="G29" s="8">
        <f>HOTEL!CV31</f>
        <v>42094</v>
      </c>
      <c r="H29" s="16">
        <v>67.75</v>
      </c>
      <c r="I29" s="8">
        <f>HOTEL!Z31+HOTEL!AF31</f>
        <v>369</v>
      </c>
      <c r="J29" s="16">
        <f t="shared" si="1"/>
        <v>14.189701897018971</v>
      </c>
      <c r="K29" s="7">
        <f>HOTEL!EP31</f>
        <v>0.46150000000000002</v>
      </c>
      <c r="L29" s="18"/>
      <c r="N29" s="7">
        <f>HOTEL!AD31</f>
        <v>0</v>
      </c>
      <c r="O29" s="7">
        <f t="shared" si="5"/>
        <v>0</v>
      </c>
      <c r="P29" s="8">
        <f>IFERROR(((((HOTEL!Z31*34))+(N29*2500))/(I29+N29*40)),0)</f>
        <v>14.189701897018971</v>
      </c>
      <c r="Q29" s="7">
        <v>6.21</v>
      </c>
      <c r="R29" s="16">
        <v>70.349999999999994</v>
      </c>
      <c r="S29" s="7">
        <v>33.93</v>
      </c>
      <c r="T29" s="8">
        <f t="shared" si="6"/>
        <v>2851868.5</v>
      </c>
      <c r="U29" s="8">
        <f t="shared" si="3"/>
        <v>5236</v>
      </c>
    </row>
    <row r="30" spans="1:21" x14ac:dyDescent="0.2">
      <c r="A30" s="2" t="s">
        <v>19</v>
      </c>
      <c r="B30" s="7">
        <f t="shared" si="4"/>
        <v>29</v>
      </c>
      <c r="C30" s="7">
        <v>3</v>
      </c>
      <c r="D30" s="7">
        <v>2022</v>
      </c>
      <c r="E30" s="8">
        <f>HOTEL!E32</f>
        <v>25546</v>
      </c>
      <c r="F30" s="16">
        <v>7.25</v>
      </c>
      <c r="G30" s="8">
        <f>HOTEL!CV32</f>
        <v>42131</v>
      </c>
      <c r="H30" s="16">
        <v>68.75</v>
      </c>
      <c r="I30" s="8">
        <f>HOTEL!Z32+HOTEL!AF32</f>
        <v>373</v>
      </c>
      <c r="J30" s="16">
        <f t="shared" ref="J30:J32" si="7">P30</f>
        <v>34</v>
      </c>
      <c r="K30" s="7">
        <f>HOTEL!EP32</f>
        <v>0.45050000000000001</v>
      </c>
      <c r="L30" s="18"/>
      <c r="N30" s="7">
        <f>HOTEL!AD32</f>
        <v>0</v>
      </c>
      <c r="O30" s="7">
        <f t="shared" ref="O30:O32" si="8">N30*4000</f>
        <v>0</v>
      </c>
      <c r="P30" s="8">
        <f>IFERROR(((((HOTEL!Z32*34))+(N30*2500))/(I30+N30*40)),0)</f>
        <v>34</v>
      </c>
      <c r="Q30" s="7">
        <v>7.21</v>
      </c>
      <c r="R30" s="16">
        <v>70.349999999999994</v>
      </c>
      <c r="S30" s="7">
        <v>34.93</v>
      </c>
      <c r="T30" s="8">
        <f t="shared" ref="T30:T32" si="9">G30*H30</f>
        <v>2896506.25</v>
      </c>
      <c r="U30" s="8">
        <f t="shared" ref="U30:U32" si="10">I30*P30</f>
        <v>12682</v>
      </c>
    </row>
    <row r="31" spans="1:21" x14ac:dyDescent="0.2">
      <c r="A31" s="2" t="s">
        <v>19</v>
      </c>
      <c r="B31" s="7">
        <f t="shared" si="4"/>
        <v>30</v>
      </c>
      <c r="C31" s="7">
        <v>3</v>
      </c>
      <c r="D31" s="7">
        <v>2022</v>
      </c>
      <c r="E31" s="8">
        <f>HOTEL!E33</f>
        <v>24481</v>
      </c>
      <c r="F31" s="16">
        <v>8.25</v>
      </c>
      <c r="G31" s="8">
        <f>HOTEL!CV33</f>
        <v>42173</v>
      </c>
      <c r="H31" s="16">
        <v>69.75</v>
      </c>
      <c r="I31" s="8">
        <f>HOTEL!Z33+HOTEL!AF33</f>
        <v>275</v>
      </c>
      <c r="J31" s="16">
        <f t="shared" si="7"/>
        <v>30.167272727272728</v>
      </c>
      <c r="K31" s="7">
        <f>HOTEL!EP33</f>
        <v>0.42859999999999998</v>
      </c>
      <c r="L31" s="18"/>
      <c r="N31" s="7">
        <f>HOTEL!AD33</f>
        <v>0</v>
      </c>
      <c r="O31" s="7">
        <f t="shared" si="8"/>
        <v>0</v>
      </c>
      <c r="P31" s="8">
        <f>IFERROR(((((HOTEL!Z33*34))+(N31*2500))/(I31+N31*40)),0)</f>
        <v>30.167272727272728</v>
      </c>
      <c r="Q31" s="7">
        <v>8.2100000000000009</v>
      </c>
      <c r="R31" s="16">
        <v>70.349999999999994</v>
      </c>
      <c r="S31" s="7">
        <v>35.93</v>
      </c>
      <c r="T31" s="8">
        <f t="shared" si="9"/>
        <v>2941566.75</v>
      </c>
      <c r="U31" s="8">
        <f t="shared" si="10"/>
        <v>8296</v>
      </c>
    </row>
    <row r="32" spans="1:21" x14ac:dyDescent="0.2">
      <c r="A32" s="2" t="s">
        <v>19</v>
      </c>
      <c r="B32" s="7">
        <f t="shared" si="4"/>
        <v>31</v>
      </c>
      <c r="C32" s="7">
        <v>3</v>
      </c>
      <c r="D32" s="7">
        <v>2022</v>
      </c>
      <c r="E32" s="8">
        <f>HOTEL!E34</f>
        <v>22834</v>
      </c>
      <c r="F32" s="16">
        <v>9.25</v>
      </c>
      <c r="G32" s="8">
        <f>HOTEL!CV34</f>
        <v>42207</v>
      </c>
      <c r="H32" s="16">
        <v>70.75</v>
      </c>
      <c r="I32" s="8">
        <f>HOTEL!Z34+HOTEL!AF34</f>
        <v>654</v>
      </c>
      <c r="J32" s="16">
        <f t="shared" si="7"/>
        <v>14.712538226299694</v>
      </c>
      <c r="K32" s="7">
        <f>HOTEL!EP34</f>
        <v>0.35160000000000002</v>
      </c>
      <c r="L32" s="18"/>
      <c r="N32" s="7">
        <f>HOTEL!AD34</f>
        <v>0</v>
      </c>
      <c r="O32" s="7">
        <f t="shared" si="8"/>
        <v>0</v>
      </c>
      <c r="P32" s="8">
        <f>IFERROR(((((HOTEL!Z34*34))+(N32*2500))/(I32+N32*40)),0)</f>
        <v>14.712538226299694</v>
      </c>
      <c r="Q32" s="7">
        <v>9.2100000000000009</v>
      </c>
      <c r="R32" s="16">
        <v>70.349999999999994</v>
      </c>
      <c r="S32" s="7">
        <v>36.93</v>
      </c>
      <c r="T32" s="8">
        <f t="shared" si="9"/>
        <v>2986145.25</v>
      </c>
      <c r="U32" s="8">
        <f t="shared" si="10"/>
        <v>9622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2"/>
  <sheetViews>
    <sheetView workbookViewId="0">
      <selection activeCell="D17" sqref="D17"/>
    </sheetView>
  </sheetViews>
  <sheetFormatPr defaultRowHeight="12.75" x14ac:dyDescent="0.2"/>
  <cols>
    <col min="1" max="1" width="22" customWidth="1"/>
    <col min="2" max="3" width="11.5703125" style="7" customWidth="1"/>
    <col min="4" max="4" width="13.42578125" style="7" customWidth="1"/>
    <col min="5" max="5" width="11.7109375" style="7" bestFit="1" customWidth="1"/>
    <col min="6" max="6" width="13.7109375" style="7" bestFit="1" customWidth="1"/>
    <col min="7" max="11" width="13.7109375" style="7" customWidth="1"/>
    <col min="12" max="20" width="9.28515625" style="7" customWidth="1"/>
    <col min="21" max="21" width="12.42578125" style="7" bestFit="1" customWidth="1"/>
    <col min="22" max="38" width="9.28515625" style="7" customWidth="1"/>
  </cols>
  <sheetData>
    <row r="1" spans="1:38" s="1" customFormat="1" ht="38.25" x14ac:dyDescent="0.2">
      <c r="A1" s="4" t="s">
        <v>0</v>
      </c>
      <c r="B1" s="5" t="s">
        <v>1</v>
      </c>
      <c r="C1" s="10" t="s">
        <v>2</v>
      </c>
      <c r="D1" s="5" t="s">
        <v>3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5" t="s">
        <v>28</v>
      </c>
      <c r="N1" s="5" t="s">
        <v>29</v>
      </c>
      <c r="O1" s="5" t="s">
        <v>30</v>
      </c>
      <c r="P1" s="5" t="s">
        <v>31</v>
      </c>
      <c r="Q1" s="5" t="s">
        <v>32</v>
      </c>
      <c r="R1" s="5" t="s">
        <v>33</v>
      </c>
      <c r="S1" s="5" t="s">
        <v>34</v>
      </c>
      <c r="T1" s="5" t="s">
        <v>35</v>
      </c>
      <c r="U1" s="5" t="s">
        <v>36</v>
      </c>
      <c r="V1" s="5" t="s">
        <v>37</v>
      </c>
      <c r="W1" s="5" t="s">
        <v>38</v>
      </c>
      <c r="X1" s="5" t="s">
        <v>39</v>
      </c>
      <c r="Y1" s="5" t="s">
        <v>40</v>
      </c>
      <c r="Z1" s="5" t="s">
        <v>41</v>
      </c>
      <c r="AA1" s="5" t="s">
        <v>42</v>
      </c>
      <c r="AB1" s="5" t="s">
        <v>43</v>
      </c>
      <c r="AC1" s="5" t="s">
        <v>44</v>
      </c>
      <c r="AD1" s="5" t="s">
        <v>45</v>
      </c>
      <c r="AE1" s="5" t="s">
        <v>46</v>
      </c>
      <c r="AF1" s="5" t="s">
        <v>47</v>
      </c>
      <c r="AG1" s="5" t="s">
        <v>48</v>
      </c>
      <c r="AH1" s="5" t="s">
        <v>49</v>
      </c>
      <c r="AI1" s="5" t="s">
        <v>50</v>
      </c>
      <c r="AJ1" s="5" t="s">
        <v>51</v>
      </c>
      <c r="AK1" s="5" t="s">
        <v>10</v>
      </c>
      <c r="AL1" s="6"/>
    </row>
    <row r="2" spans="1:38" ht="15" x14ac:dyDescent="0.25">
      <c r="A2" s="2" t="s">
        <v>19</v>
      </c>
      <c r="B2" s="7">
        <f>TOTAL!B2</f>
        <v>1</v>
      </c>
      <c r="C2" s="87">
        <f>TOTAL!C2</f>
        <v>3</v>
      </c>
      <c r="D2" s="7">
        <v>2021</v>
      </c>
      <c r="E2" s="7">
        <f>TOTAL!E2</f>
        <v>24675</v>
      </c>
      <c r="F2" s="7">
        <f>HOTEL!V4</f>
        <v>873</v>
      </c>
      <c r="G2" s="7">
        <f>HOTEL!X4</f>
        <v>417</v>
      </c>
      <c r="H2" s="8">
        <f>HOTEL!EI4</f>
        <v>0</v>
      </c>
      <c r="I2" s="8">
        <f>HOTEL!EK4</f>
        <v>0</v>
      </c>
      <c r="J2" s="8">
        <f>HOTEL!EM4</f>
        <v>0</v>
      </c>
      <c r="K2" s="8">
        <f>HOTEL!EO4</f>
        <v>0</v>
      </c>
      <c r="L2" s="7">
        <f t="shared" ref="L2:L7" si="0">N2+W2+X2</f>
        <v>77</v>
      </c>
      <c r="M2" s="7">
        <f>HOTEL!AL4</f>
        <v>0</v>
      </c>
      <c r="N2" s="7">
        <f>HOTEL!AT4</f>
        <v>1</v>
      </c>
      <c r="O2" s="7">
        <f>HOTEL!AX4</f>
        <v>3</v>
      </c>
      <c r="P2" s="7">
        <f>HOTEL!AZ4</f>
        <v>3</v>
      </c>
      <c r="Q2" s="7">
        <f>HOTEL!BB4</f>
        <v>12</v>
      </c>
      <c r="R2" s="7">
        <f>HOTEL!BD4</f>
        <v>5</v>
      </c>
      <c r="S2" s="7">
        <f>HOTEL!BF4</f>
        <v>7</v>
      </c>
      <c r="T2" s="7">
        <f>HOTEL!BH4</f>
        <v>2</v>
      </c>
      <c r="U2" s="7">
        <f>HOTEL!BJ4</f>
        <v>1</v>
      </c>
      <c r="V2" s="7">
        <f>HOTEL!BL4</f>
        <v>5</v>
      </c>
      <c r="W2" s="7">
        <f>HOTEL!BX4</f>
        <v>15</v>
      </c>
      <c r="X2" s="7">
        <f>HOTEL!CE4</f>
        <v>61</v>
      </c>
      <c r="Y2" s="7">
        <f>HOTEL!CZ4</f>
        <v>6</v>
      </c>
      <c r="Z2" s="7" t="e">
        <f>HOTEL!DC3</f>
        <v>#VALUE!</v>
      </c>
      <c r="AA2" s="7">
        <f>HOTEL!DF4</f>
        <v>181</v>
      </c>
      <c r="AB2" s="8">
        <f>HOTEL!DI4</f>
        <v>25</v>
      </c>
      <c r="AC2" s="7">
        <f>HOTEL!DL4</f>
        <v>9</v>
      </c>
      <c r="AD2" s="8">
        <f>HOTEL!DO4</f>
        <v>4</v>
      </c>
      <c r="AE2" s="7">
        <f>HOTEL!DR4</f>
        <v>1</v>
      </c>
      <c r="AF2" s="7">
        <f>HOTEL!DU4</f>
        <v>7</v>
      </c>
      <c r="AG2" s="7">
        <f>HOTEL!DX4</f>
        <v>7</v>
      </c>
      <c r="AH2" s="7">
        <f>HOTEL!EA4</f>
        <v>6</v>
      </c>
      <c r="AI2" s="7">
        <f>HOTEL!ED4</f>
        <v>9</v>
      </c>
      <c r="AJ2" s="7">
        <f>HOTEL!EG4</f>
        <v>0</v>
      </c>
      <c r="AK2" s="7">
        <f>TOTAL!K2</f>
        <v>0.63739999999999997</v>
      </c>
    </row>
    <row r="3" spans="1:38" ht="15" x14ac:dyDescent="0.25">
      <c r="A3" s="2" t="s">
        <v>19</v>
      </c>
      <c r="B3" s="7">
        <f>TOTAL!B3</f>
        <v>2</v>
      </c>
      <c r="C3" s="87">
        <f>TOTAL!C3</f>
        <v>3</v>
      </c>
      <c r="D3" s="7">
        <v>2021</v>
      </c>
      <c r="E3" s="7">
        <f>TOTAL!E3</f>
        <v>26805</v>
      </c>
      <c r="F3" s="7">
        <f>HOTEL!V5</f>
        <v>1546</v>
      </c>
      <c r="G3" s="7">
        <f>HOTEL!X5</f>
        <v>415</v>
      </c>
      <c r="H3" s="8">
        <f>HOTEL!EI5</f>
        <v>0</v>
      </c>
      <c r="I3" s="8">
        <f>HOTEL!EK5</f>
        <v>0</v>
      </c>
      <c r="J3" s="8">
        <f>HOTEL!EM5</f>
        <v>0</v>
      </c>
      <c r="K3" s="8">
        <f>HOTEL!EO5</f>
        <v>0</v>
      </c>
      <c r="L3" s="7">
        <f t="shared" si="0"/>
        <v>74</v>
      </c>
      <c r="M3" s="7">
        <f>HOTEL!AL5</f>
        <v>4</v>
      </c>
      <c r="N3" s="7">
        <f>HOTEL!AT5</f>
        <v>0</v>
      </c>
      <c r="O3" s="7">
        <f>HOTEL!AX5</f>
        <v>2</v>
      </c>
      <c r="P3" s="7">
        <f>HOTEL!AZ5</f>
        <v>2</v>
      </c>
      <c r="Q3" s="7">
        <f>HOTEL!BB5</f>
        <v>12</v>
      </c>
      <c r="R3" s="7">
        <f>HOTEL!BD5</f>
        <v>6</v>
      </c>
      <c r="S3" s="7">
        <f>HOTEL!BF5</f>
        <v>2</v>
      </c>
      <c r="T3" s="7">
        <f>HOTEL!BH5</f>
        <v>3</v>
      </c>
      <c r="U3" s="7">
        <f>HOTEL!BJ5</f>
        <v>1</v>
      </c>
      <c r="V3" s="7">
        <f>HOTEL!BL5</f>
        <v>6</v>
      </c>
      <c r="W3" s="7">
        <f>HOTEL!BX5</f>
        <v>15</v>
      </c>
      <c r="X3" s="7">
        <f>HOTEL!CE5</f>
        <v>59</v>
      </c>
      <c r="Y3" s="7">
        <f>HOTEL!CZ5</f>
        <v>6</v>
      </c>
      <c r="Z3" s="7">
        <f>HOTEL!DC4</f>
        <v>17</v>
      </c>
      <c r="AA3" s="7">
        <f>HOTEL!DF5</f>
        <v>76</v>
      </c>
      <c r="AB3" s="8">
        <f>HOTEL!DI5</f>
        <v>23</v>
      </c>
      <c r="AC3" s="7">
        <f>HOTEL!DL5</f>
        <v>8</v>
      </c>
      <c r="AD3" s="8">
        <f>HOTEL!DO5</f>
        <v>3</v>
      </c>
      <c r="AE3" s="7">
        <f>HOTEL!DR5</f>
        <v>2</v>
      </c>
      <c r="AF3" s="7">
        <f>HOTEL!DU5</f>
        <v>9</v>
      </c>
      <c r="AG3" s="7">
        <f>HOTEL!DX5</f>
        <v>8</v>
      </c>
      <c r="AH3" s="7">
        <f>HOTEL!EA5</f>
        <v>8</v>
      </c>
      <c r="AI3" s="7">
        <f>HOTEL!ED5</f>
        <v>11</v>
      </c>
      <c r="AJ3" s="7">
        <f>HOTEL!EG5</f>
        <v>0</v>
      </c>
      <c r="AK3" s="7">
        <f>TOTAL!K3</f>
        <v>0.52749999999999997</v>
      </c>
    </row>
    <row r="4" spans="1:38" ht="15" x14ac:dyDescent="0.25">
      <c r="A4" s="2" t="s">
        <v>19</v>
      </c>
      <c r="B4" s="7">
        <f>TOTAL!B4</f>
        <v>3</v>
      </c>
      <c r="C4" s="87">
        <f>TOTAL!C4</f>
        <v>3</v>
      </c>
      <c r="D4" s="7">
        <v>2021</v>
      </c>
      <c r="E4" s="7">
        <f>TOTAL!E4</f>
        <v>26096</v>
      </c>
      <c r="F4" s="7">
        <f>HOTEL!V6</f>
        <v>1544</v>
      </c>
      <c r="G4" s="7">
        <f>HOTEL!X6</f>
        <v>435</v>
      </c>
      <c r="H4" s="8">
        <f>HOTEL!EI6</f>
        <v>0</v>
      </c>
      <c r="I4" s="8">
        <f>HOTEL!EK6</f>
        <v>0</v>
      </c>
      <c r="J4" s="8">
        <f>HOTEL!EM6</f>
        <v>0</v>
      </c>
      <c r="K4" s="8">
        <f>HOTEL!EO6</f>
        <v>0</v>
      </c>
      <c r="L4" s="7">
        <f t="shared" si="0"/>
        <v>61</v>
      </c>
      <c r="M4" s="7">
        <f>HOTEL!AL6</f>
        <v>0</v>
      </c>
      <c r="N4" s="7">
        <f>HOTEL!AT6</f>
        <v>0</v>
      </c>
      <c r="O4" s="7">
        <f>HOTEL!AX6</f>
        <v>3</v>
      </c>
      <c r="P4" s="7">
        <f>HOTEL!AZ6</f>
        <v>2</v>
      </c>
      <c r="Q4" s="7">
        <f>HOTEL!BB6</f>
        <v>13</v>
      </c>
      <c r="R4" s="7">
        <f>HOTEL!BD6</f>
        <v>4</v>
      </c>
      <c r="S4" s="7">
        <f>HOTEL!BF6</f>
        <v>2</v>
      </c>
      <c r="T4" s="7">
        <f>HOTEL!BH6</f>
        <v>3</v>
      </c>
      <c r="U4" s="7">
        <f>HOTEL!BJ6</f>
        <v>1</v>
      </c>
      <c r="V4" s="7">
        <f>HOTEL!BL6</f>
        <v>6</v>
      </c>
      <c r="W4" s="7">
        <f>HOTEL!BX6</f>
        <v>7</v>
      </c>
      <c r="X4" s="7">
        <f>HOTEL!CE6</f>
        <v>54</v>
      </c>
      <c r="Y4" s="7">
        <f>HOTEL!CZ6</f>
        <v>0</v>
      </c>
      <c r="Z4" s="7">
        <f>HOTEL!DC5</f>
        <v>17</v>
      </c>
      <c r="AA4" s="7">
        <f>HOTEL!DF6</f>
        <v>66</v>
      </c>
      <c r="AB4" s="8">
        <f>HOTEL!DI6</f>
        <v>19</v>
      </c>
      <c r="AC4" s="7">
        <f>HOTEL!DL6</f>
        <v>9</v>
      </c>
      <c r="AD4" s="8">
        <f>HOTEL!DO6</f>
        <v>3</v>
      </c>
      <c r="AE4" s="7">
        <f>HOTEL!DR6</f>
        <v>2</v>
      </c>
      <c r="AF4" s="7">
        <f>HOTEL!DU6</f>
        <v>10</v>
      </c>
      <c r="AG4" s="7">
        <f>HOTEL!DX6</f>
        <v>10</v>
      </c>
      <c r="AH4" s="7">
        <f>HOTEL!EA6</f>
        <v>8</v>
      </c>
      <c r="AI4" s="7">
        <f>HOTEL!ED6</f>
        <v>11</v>
      </c>
      <c r="AJ4" s="7">
        <f>HOTEL!EG6</f>
        <v>0</v>
      </c>
      <c r="AK4" s="7">
        <f>TOTAL!K4</f>
        <v>0.51649999999999996</v>
      </c>
    </row>
    <row r="5" spans="1:38" ht="15" x14ac:dyDescent="0.25">
      <c r="A5" s="2" t="s">
        <v>19</v>
      </c>
      <c r="B5" s="7">
        <f>TOTAL!B5</f>
        <v>4</v>
      </c>
      <c r="C5" s="87">
        <f>TOTAL!C5</f>
        <v>3</v>
      </c>
      <c r="D5" s="7">
        <v>2021</v>
      </c>
      <c r="E5" s="7">
        <f>TOTAL!E5</f>
        <v>26123</v>
      </c>
      <c r="F5" s="7">
        <f>HOTEL!V7</f>
        <v>1372</v>
      </c>
      <c r="G5" s="7">
        <f>HOTEL!X7</f>
        <v>416</v>
      </c>
      <c r="H5" s="8">
        <f>HOTEL!EI7</f>
        <v>0</v>
      </c>
      <c r="I5" s="8">
        <f>HOTEL!EK7</f>
        <v>0</v>
      </c>
      <c r="J5" s="8">
        <f>HOTEL!EM7</f>
        <v>0</v>
      </c>
      <c r="K5" s="8">
        <f>HOTEL!EO7</f>
        <v>0</v>
      </c>
      <c r="L5" s="7">
        <f t="shared" si="0"/>
        <v>49</v>
      </c>
      <c r="M5" s="7">
        <f>HOTEL!AL7</f>
        <v>3</v>
      </c>
      <c r="N5" s="7">
        <f>HOTEL!AT7</f>
        <v>0</v>
      </c>
      <c r="O5" s="7">
        <f>HOTEL!AX7</f>
        <v>1</v>
      </c>
      <c r="P5" s="7">
        <f>HOTEL!AZ7</f>
        <v>2</v>
      </c>
      <c r="Q5" s="7">
        <f>HOTEL!BB7</f>
        <v>10</v>
      </c>
      <c r="R5" s="7">
        <f>HOTEL!BD7</f>
        <v>5</v>
      </c>
      <c r="S5" s="7">
        <f>HOTEL!BF7</f>
        <v>2</v>
      </c>
      <c r="T5" s="7">
        <f>HOTEL!BH7</f>
        <v>3</v>
      </c>
      <c r="U5" s="7">
        <f>HOTEL!BJ7</f>
        <v>0</v>
      </c>
      <c r="V5" s="7">
        <f>HOTEL!BL7</f>
        <v>5</v>
      </c>
      <c r="W5" s="7">
        <f>HOTEL!BX7</f>
        <v>1</v>
      </c>
      <c r="X5" s="7">
        <f>HOTEL!CE7</f>
        <v>48</v>
      </c>
      <c r="Y5" s="7">
        <f>HOTEL!CZ7</f>
        <v>7</v>
      </c>
      <c r="Z5" s="7">
        <f>HOTEL!DC6</f>
        <v>17</v>
      </c>
      <c r="AA5" s="7">
        <f>HOTEL!DF7</f>
        <v>70</v>
      </c>
      <c r="AB5" s="8">
        <f>HOTEL!DI7</f>
        <v>24</v>
      </c>
      <c r="AC5" s="7">
        <f>HOTEL!DL7</f>
        <v>9</v>
      </c>
      <c r="AD5" s="8">
        <f>HOTEL!DO7</f>
        <v>4</v>
      </c>
      <c r="AE5" s="7">
        <f>HOTEL!DR7</f>
        <v>0</v>
      </c>
      <c r="AF5" s="7">
        <f>HOTEL!DU7</f>
        <v>7</v>
      </c>
      <c r="AG5" s="7">
        <f>HOTEL!DX7</f>
        <v>7</v>
      </c>
      <c r="AH5" s="7">
        <f>HOTEL!EA7</f>
        <v>9</v>
      </c>
      <c r="AI5" s="7">
        <f>HOTEL!ED7</f>
        <v>13</v>
      </c>
      <c r="AJ5" s="7">
        <f>HOTEL!EG7</f>
        <v>0</v>
      </c>
      <c r="AK5" s="7">
        <f>TOTAL!K5</f>
        <v>0.47249999999999998</v>
      </c>
    </row>
    <row r="6" spans="1:38" ht="15" x14ac:dyDescent="0.25">
      <c r="A6" s="2" t="s">
        <v>19</v>
      </c>
      <c r="B6" s="7">
        <f>TOTAL!B6</f>
        <v>5</v>
      </c>
      <c r="C6" s="87">
        <f>TOTAL!C6</f>
        <v>3</v>
      </c>
      <c r="D6" s="7">
        <v>2021</v>
      </c>
      <c r="E6" s="7">
        <f>TOTAL!E6</f>
        <v>26469</v>
      </c>
      <c r="F6" s="7">
        <f>HOTEL!V8</f>
        <v>1117</v>
      </c>
      <c r="G6" s="7">
        <f>HOTEL!X8</f>
        <v>453</v>
      </c>
      <c r="H6" s="8">
        <f>HOTEL!EI8</f>
        <v>0</v>
      </c>
      <c r="I6" s="8">
        <f>HOTEL!EK8</f>
        <v>0</v>
      </c>
      <c r="J6" s="8">
        <f>HOTEL!EM8</f>
        <v>0</v>
      </c>
      <c r="K6" s="8">
        <f>HOTEL!EO8</f>
        <v>0</v>
      </c>
      <c r="L6" s="7">
        <f t="shared" si="0"/>
        <v>55</v>
      </c>
      <c r="M6" s="7">
        <f>HOTEL!AL8</f>
        <v>1</v>
      </c>
      <c r="N6" s="7">
        <f>HOTEL!AT8</f>
        <v>1</v>
      </c>
      <c r="O6" s="7">
        <f>HOTEL!AX8</f>
        <v>0</v>
      </c>
      <c r="P6" s="7">
        <f>HOTEL!AZ8</f>
        <v>3</v>
      </c>
      <c r="Q6" s="7">
        <f>HOTEL!BB8</f>
        <v>12</v>
      </c>
      <c r="R6" s="7">
        <f>HOTEL!BD8</f>
        <v>4</v>
      </c>
      <c r="S6" s="7">
        <f>HOTEL!BF8</f>
        <v>2</v>
      </c>
      <c r="T6" s="7">
        <f>HOTEL!BH8</f>
        <v>2</v>
      </c>
      <c r="U6" s="7">
        <f>HOTEL!BJ8</f>
        <v>1</v>
      </c>
      <c r="V6" s="7">
        <f>HOTEL!BL8</f>
        <v>3</v>
      </c>
      <c r="W6" s="7">
        <f>HOTEL!BX8</f>
        <v>3</v>
      </c>
      <c r="X6" s="7">
        <f>HOTEL!CE8</f>
        <v>51</v>
      </c>
      <c r="Y6" s="7">
        <f>HOTEL!CZ8</f>
        <v>4</v>
      </c>
      <c r="Z6" s="7">
        <f>HOTEL!DC7</f>
        <v>17</v>
      </c>
      <c r="AA6" s="7">
        <f>HOTEL!DF8</f>
        <v>68</v>
      </c>
      <c r="AB6" s="8">
        <f>HOTEL!DI8</f>
        <v>21</v>
      </c>
      <c r="AC6" s="7">
        <f>HOTEL!DL8</f>
        <v>8</v>
      </c>
      <c r="AD6" s="8">
        <f>HOTEL!DO8</f>
        <v>3</v>
      </c>
      <c r="AE6" s="7">
        <f>HOTEL!DR8</f>
        <v>2</v>
      </c>
      <c r="AF6" s="7">
        <f>HOTEL!DU8</f>
        <v>8</v>
      </c>
      <c r="AG6" s="7">
        <f>HOTEL!DX8</f>
        <v>7</v>
      </c>
      <c r="AH6" s="7">
        <f>HOTEL!EA8</f>
        <v>8</v>
      </c>
      <c r="AI6" s="7">
        <f>HOTEL!ED8</f>
        <v>10</v>
      </c>
      <c r="AJ6" s="7">
        <f>HOTEL!EG8</f>
        <v>0</v>
      </c>
      <c r="AK6" s="7">
        <f>TOTAL!K6</f>
        <v>0.48349999999999999</v>
      </c>
    </row>
    <row r="7" spans="1:38" ht="15" x14ac:dyDescent="0.25">
      <c r="A7" s="2" t="s">
        <v>19</v>
      </c>
      <c r="B7" s="7">
        <f>TOTAL!B7</f>
        <v>6</v>
      </c>
      <c r="C7" s="87">
        <f>TOTAL!C7</f>
        <v>3</v>
      </c>
      <c r="D7" s="7">
        <v>2021</v>
      </c>
      <c r="E7" s="7">
        <f>TOTAL!E7</f>
        <v>23858</v>
      </c>
      <c r="F7" s="7">
        <f>HOTEL!V9</f>
        <v>1028</v>
      </c>
      <c r="G7" s="7">
        <f>HOTEL!X9</f>
        <v>409</v>
      </c>
      <c r="H7" s="8">
        <f>HOTEL!EI9</f>
        <v>0</v>
      </c>
      <c r="I7" s="8">
        <f>HOTEL!EK9</f>
        <v>0</v>
      </c>
      <c r="J7" s="8">
        <f>HOTEL!EM9</f>
        <v>0</v>
      </c>
      <c r="K7" s="8">
        <f>HOTEL!EO9</f>
        <v>0</v>
      </c>
      <c r="L7" s="7">
        <f t="shared" si="0"/>
        <v>57</v>
      </c>
      <c r="M7" s="7">
        <f>HOTEL!AL9</f>
        <v>1</v>
      </c>
      <c r="N7" s="7">
        <f>HOTEL!AT9</f>
        <v>0</v>
      </c>
      <c r="O7" s="7">
        <f>HOTEL!AX9</f>
        <v>1</v>
      </c>
      <c r="P7" s="7">
        <f>HOTEL!AZ9</f>
        <v>3</v>
      </c>
      <c r="Q7" s="7">
        <f>HOTEL!BB9</f>
        <v>13</v>
      </c>
      <c r="R7" s="7">
        <f>HOTEL!BD9</f>
        <v>5</v>
      </c>
      <c r="S7" s="7">
        <f>HOTEL!BF9</f>
        <v>2</v>
      </c>
      <c r="T7" s="7">
        <f>HOTEL!BH9</f>
        <v>3</v>
      </c>
      <c r="U7" s="7">
        <f>HOTEL!BJ9</f>
        <v>0</v>
      </c>
      <c r="V7" s="7">
        <f>HOTEL!BL9</f>
        <v>4</v>
      </c>
      <c r="W7" s="7">
        <f>HOTEL!BX9</f>
        <v>2</v>
      </c>
      <c r="X7" s="7">
        <f>HOTEL!CE9</f>
        <v>55</v>
      </c>
      <c r="Y7" s="7">
        <f>HOTEL!CZ9</f>
        <v>7</v>
      </c>
      <c r="Z7" s="7">
        <f>HOTEL!DC8</f>
        <v>17</v>
      </c>
      <c r="AA7" s="7">
        <f>HOTEL!DF9</f>
        <v>63</v>
      </c>
      <c r="AB7" s="8">
        <f>HOTEL!DI9</f>
        <v>24</v>
      </c>
      <c r="AC7" s="7">
        <f>HOTEL!DL9</f>
        <v>10</v>
      </c>
      <c r="AD7" s="8">
        <f>HOTEL!DO9</f>
        <v>4</v>
      </c>
      <c r="AE7" s="7">
        <f>HOTEL!DR9</f>
        <v>1</v>
      </c>
      <c r="AF7" s="7">
        <f>HOTEL!DU9</f>
        <v>10</v>
      </c>
      <c r="AG7" s="7">
        <f>HOTEL!DX9</f>
        <v>10</v>
      </c>
      <c r="AH7" s="7">
        <f>HOTEL!EA9</f>
        <v>10</v>
      </c>
      <c r="AI7" s="7">
        <f>HOTEL!ED9</f>
        <v>13</v>
      </c>
      <c r="AJ7" s="7">
        <f>HOTEL!EG9</f>
        <v>0</v>
      </c>
      <c r="AK7" s="7">
        <f>TOTAL!K7</f>
        <v>0.42859999999999998</v>
      </c>
    </row>
    <row r="8" spans="1:38" ht="15" x14ac:dyDescent="0.25">
      <c r="A8" s="2" t="s">
        <v>19</v>
      </c>
      <c r="B8" s="7">
        <f>TOTAL!B8</f>
        <v>7</v>
      </c>
      <c r="C8" s="87">
        <f>TOTAL!C8</f>
        <v>3</v>
      </c>
      <c r="D8" s="7">
        <v>2021</v>
      </c>
      <c r="E8" s="7">
        <f>TOTAL!E8</f>
        <v>25036</v>
      </c>
      <c r="F8" s="7">
        <f>HOTEL!V10</f>
        <v>688</v>
      </c>
      <c r="G8" s="7">
        <f>HOTEL!X10</f>
        <v>411</v>
      </c>
      <c r="H8" s="8">
        <f>HOTEL!EI10</f>
        <v>0</v>
      </c>
      <c r="I8" s="8">
        <f>HOTEL!EK10</f>
        <v>0</v>
      </c>
      <c r="J8" s="8">
        <f>HOTEL!EM10</f>
        <v>0</v>
      </c>
      <c r="K8" s="8">
        <f>HOTEL!EO10</f>
        <v>0</v>
      </c>
      <c r="L8" s="7">
        <f>N8+W8+X8</f>
        <v>54</v>
      </c>
      <c r="M8" s="7">
        <f>HOTEL!AL10</f>
        <v>9</v>
      </c>
      <c r="N8" s="7">
        <f>HOTEL!AT10</f>
        <v>1</v>
      </c>
      <c r="O8" s="7">
        <f>HOTEL!AX10</f>
        <v>1</v>
      </c>
      <c r="P8" s="7">
        <f>HOTEL!AZ10</f>
        <v>1</v>
      </c>
      <c r="Q8" s="7">
        <f>HOTEL!BB10</f>
        <v>14</v>
      </c>
      <c r="R8" s="7">
        <f>HOTEL!BD10</f>
        <v>4</v>
      </c>
      <c r="S8" s="7">
        <f>HOTEL!BF10</f>
        <v>1</v>
      </c>
      <c r="T8" s="7">
        <f>HOTEL!BH10</f>
        <v>2</v>
      </c>
      <c r="U8" s="7">
        <f>HOTEL!BJ10</f>
        <v>1</v>
      </c>
      <c r="V8" s="7">
        <f>HOTEL!BL10</f>
        <v>4</v>
      </c>
      <c r="W8" s="7">
        <f>HOTEL!BX10</f>
        <v>5</v>
      </c>
      <c r="X8" s="7">
        <f>HOTEL!CE10</f>
        <v>48</v>
      </c>
      <c r="Y8" s="7">
        <f>HOTEL!CZ10</f>
        <v>5</v>
      </c>
      <c r="Z8" s="7">
        <f>HOTEL!DC9</f>
        <v>19</v>
      </c>
      <c r="AA8" s="7">
        <f>HOTEL!DF10</f>
        <v>74</v>
      </c>
      <c r="AB8" s="8">
        <f>HOTEL!DI10</f>
        <v>21</v>
      </c>
      <c r="AC8" s="7">
        <f>HOTEL!DL10</f>
        <v>8</v>
      </c>
      <c r="AD8" s="8">
        <f>HOTEL!DO10</f>
        <v>3</v>
      </c>
      <c r="AE8" s="7">
        <f>HOTEL!DR10</f>
        <v>2</v>
      </c>
      <c r="AF8" s="7">
        <f>HOTEL!DU10</f>
        <v>8</v>
      </c>
      <c r="AG8" s="7">
        <f>HOTEL!DX10</f>
        <v>7</v>
      </c>
      <c r="AH8" s="7">
        <f>HOTEL!EA10</f>
        <v>8</v>
      </c>
      <c r="AI8" s="7">
        <f>HOTEL!ED10</f>
        <v>11</v>
      </c>
      <c r="AJ8" s="7">
        <f>HOTEL!EG10</f>
        <v>0</v>
      </c>
      <c r="AK8" s="7">
        <f>TOTAL!K8</f>
        <v>0.48349999999999999</v>
      </c>
    </row>
    <row r="9" spans="1:38" ht="15" x14ac:dyDescent="0.25">
      <c r="A9" s="2" t="s">
        <v>19</v>
      </c>
      <c r="B9" s="7">
        <f>TOTAL!B9</f>
        <v>8</v>
      </c>
      <c r="C9" s="87">
        <f>TOTAL!C9</f>
        <v>3</v>
      </c>
      <c r="D9" s="7">
        <v>2021</v>
      </c>
      <c r="E9" s="7">
        <f>TOTAL!E9</f>
        <v>22122</v>
      </c>
      <c r="F9" s="7">
        <f>HOTEL!V11</f>
        <v>680</v>
      </c>
      <c r="G9" s="7">
        <f>HOTEL!X11</f>
        <v>388</v>
      </c>
      <c r="H9" s="8">
        <f>HOTEL!EI11</f>
        <v>0</v>
      </c>
      <c r="I9" s="8">
        <f>HOTEL!EK11</f>
        <v>0</v>
      </c>
      <c r="J9" s="8">
        <f>HOTEL!EM11</f>
        <v>0</v>
      </c>
      <c r="K9" s="8">
        <f>HOTEL!EO11</f>
        <v>0</v>
      </c>
      <c r="L9" s="7">
        <f>N9+W9+X9</f>
        <v>47</v>
      </c>
      <c r="M9" s="7">
        <f>HOTEL!AL11</f>
        <v>0</v>
      </c>
      <c r="N9" s="7">
        <f>HOTEL!AT11</f>
        <v>1</v>
      </c>
      <c r="O9" s="7">
        <f>HOTEL!AX11</f>
        <v>1</v>
      </c>
      <c r="P9" s="7">
        <f>HOTEL!AZ11</f>
        <v>1</v>
      </c>
      <c r="Q9" s="7">
        <f>HOTEL!BB11</f>
        <v>12</v>
      </c>
      <c r="R9" s="7">
        <f>HOTEL!BD11</f>
        <v>5</v>
      </c>
      <c r="S9" s="7">
        <f>HOTEL!BF11</f>
        <v>2</v>
      </c>
      <c r="T9" s="7">
        <f>HOTEL!BH11</f>
        <v>2</v>
      </c>
      <c r="U9" s="7">
        <f>HOTEL!BJ11</f>
        <v>0</v>
      </c>
      <c r="V9" s="7">
        <f>HOTEL!BL11</f>
        <v>5</v>
      </c>
      <c r="W9" s="7" t="str">
        <f>HOTEL!BX11</f>
        <v>0</v>
      </c>
      <c r="X9" s="7">
        <f>HOTEL!CE11</f>
        <v>46</v>
      </c>
      <c r="Y9" s="7">
        <f>HOTEL!CZ11</f>
        <v>0</v>
      </c>
      <c r="Z9" s="7">
        <f>HOTEL!DC10</f>
        <v>18</v>
      </c>
      <c r="AA9" s="7">
        <f>HOTEL!DF11</f>
        <v>59</v>
      </c>
      <c r="AB9" s="8">
        <f>HOTEL!DI11</f>
        <v>22</v>
      </c>
      <c r="AC9" s="7">
        <f>HOTEL!DL11</f>
        <v>11</v>
      </c>
      <c r="AD9" s="8">
        <f>HOTEL!DO11</f>
        <v>7</v>
      </c>
      <c r="AE9" s="7">
        <f>HOTEL!DR11</f>
        <v>1</v>
      </c>
      <c r="AF9" s="7">
        <f>HOTEL!DU11</f>
        <v>9</v>
      </c>
      <c r="AG9" s="7">
        <f>HOTEL!DX11</f>
        <v>10</v>
      </c>
      <c r="AH9" s="7">
        <f>HOTEL!EA11</f>
        <v>9</v>
      </c>
      <c r="AI9" s="7">
        <f>HOTEL!ED11</f>
        <v>11</v>
      </c>
      <c r="AJ9" s="7">
        <f>HOTEL!EG11</f>
        <v>0</v>
      </c>
      <c r="AK9" s="7">
        <f>TOTAL!K9</f>
        <v>0.46150000000000002</v>
      </c>
    </row>
    <row r="10" spans="1:38" ht="15" x14ac:dyDescent="0.25">
      <c r="A10" s="2" t="s">
        <v>19</v>
      </c>
      <c r="B10" s="7">
        <f>TOTAL!B10</f>
        <v>9</v>
      </c>
      <c r="C10" s="87">
        <f>TOTAL!C10</f>
        <v>3</v>
      </c>
      <c r="D10" s="7">
        <v>2021</v>
      </c>
      <c r="E10" s="7">
        <f>TOTAL!E10</f>
        <v>23254</v>
      </c>
      <c r="F10" s="7">
        <f>HOTEL!V12</f>
        <v>2081</v>
      </c>
      <c r="G10" s="7">
        <f>HOTEL!X12</f>
        <v>427</v>
      </c>
      <c r="H10" s="8">
        <f>HOTEL!EI12</f>
        <v>0</v>
      </c>
      <c r="I10" s="8">
        <f>HOTEL!EK12</f>
        <v>0</v>
      </c>
      <c r="J10" s="8">
        <f>HOTEL!EM12</f>
        <v>0</v>
      </c>
      <c r="K10" s="8">
        <f>HOTEL!EO12</f>
        <v>0</v>
      </c>
      <c r="L10" s="7">
        <f>N10+W10+X10</f>
        <v>44</v>
      </c>
      <c r="M10" s="7">
        <f>HOTEL!AL12</f>
        <v>0</v>
      </c>
      <c r="N10" s="7">
        <f>HOTEL!AT12</f>
        <v>0</v>
      </c>
      <c r="O10" s="7">
        <f>HOTEL!AX12</f>
        <v>1</v>
      </c>
      <c r="P10" s="7">
        <f>HOTEL!AZ12</f>
        <v>0</v>
      </c>
      <c r="Q10" s="7">
        <f>HOTEL!BB12</f>
        <v>12</v>
      </c>
      <c r="R10" s="7">
        <f>HOTEL!BD12</f>
        <v>5</v>
      </c>
      <c r="S10" s="7">
        <f>HOTEL!BF12</f>
        <v>1</v>
      </c>
      <c r="T10" s="7">
        <f>HOTEL!BH12</f>
        <v>2</v>
      </c>
      <c r="U10" s="7">
        <f>HOTEL!BJ12</f>
        <v>1</v>
      </c>
      <c r="V10" s="7">
        <f>HOTEL!BL12</f>
        <v>5</v>
      </c>
      <c r="W10" s="7">
        <f>HOTEL!BX12</f>
        <v>0</v>
      </c>
      <c r="X10" s="7">
        <f>HOTEL!CE12</f>
        <v>44</v>
      </c>
      <c r="Y10" s="7">
        <f>HOTEL!CZ12</f>
        <v>6</v>
      </c>
      <c r="Z10" s="7">
        <f>HOTEL!DC11</f>
        <v>8</v>
      </c>
      <c r="AA10" s="7">
        <f>HOTEL!DF12</f>
        <v>16</v>
      </c>
      <c r="AB10" s="8">
        <f>HOTEL!DI12</f>
        <v>20</v>
      </c>
      <c r="AC10" s="7">
        <f>HOTEL!DL12</f>
        <v>12</v>
      </c>
      <c r="AD10" s="8">
        <f>HOTEL!DO12</f>
        <v>10</v>
      </c>
      <c r="AE10" s="7">
        <f>HOTEL!DR12</f>
        <v>1</v>
      </c>
      <c r="AF10" s="7">
        <f>HOTEL!DU12</f>
        <v>8</v>
      </c>
      <c r="AG10" s="7">
        <f>HOTEL!DX12</f>
        <v>7</v>
      </c>
      <c r="AH10" s="7">
        <f>HOTEL!EA12</f>
        <v>9</v>
      </c>
      <c r="AI10" s="7">
        <f>HOTEL!ED12</f>
        <v>12</v>
      </c>
      <c r="AJ10" s="7">
        <f>HOTEL!EG12</f>
        <v>0</v>
      </c>
      <c r="AK10" s="7">
        <f>TOTAL!K10</f>
        <v>0.54949999999999999</v>
      </c>
    </row>
    <row r="11" spans="1:38" ht="15" x14ac:dyDescent="0.25">
      <c r="A11" s="2" t="s">
        <v>19</v>
      </c>
      <c r="B11" s="7">
        <f>TOTAL!B11</f>
        <v>10</v>
      </c>
      <c r="C11" s="87">
        <f>TOTAL!C11</f>
        <v>3</v>
      </c>
      <c r="D11" s="7">
        <v>2021</v>
      </c>
      <c r="E11" s="7">
        <f>TOTAL!E11</f>
        <v>24237</v>
      </c>
      <c r="F11" s="7">
        <f>HOTEL!V13</f>
        <v>1440</v>
      </c>
      <c r="G11" s="7">
        <f>HOTEL!X13</f>
        <v>428</v>
      </c>
      <c r="H11" s="8">
        <f>HOTEL!EI13</f>
        <v>0</v>
      </c>
      <c r="I11" s="8">
        <f>HOTEL!EK13</f>
        <v>0</v>
      </c>
      <c r="J11" s="8">
        <f>HOTEL!EM13</f>
        <v>0</v>
      </c>
      <c r="K11" s="8">
        <f>HOTEL!EO13</f>
        <v>0</v>
      </c>
      <c r="L11" s="7">
        <f t="shared" ref="L11:L31" si="1">N11+W11+X11</f>
        <v>81</v>
      </c>
      <c r="M11" s="7">
        <f>HOTEL!AL13</f>
        <v>4</v>
      </c>
      <c r="N11" s="7">
        <f>HOTEL!AT13</f>
        <v>1</v>
      </c>
      <c r="O11" s="7">
        <f>HOTEL!AX13</f>
        <v>0</v>
      </c>
      <c r="P11" s="7">
        <f>HOTEL!AZ13</f>
        <v>1</v>
      </c>
      <c r="Q11" s="7">
        <f>HOTEL!BB13</f>
        <v>14</v>
      </c>
      <c r="R11" s="7">
        <f>HOTEL!BD13</f>
        <v>5</v>
      </c>
      <c r="S11" s="7">
        <f>HOTEL!BF13</f>
        <v>2</v>
      </c>
      <c r="T11" s="7">
        <f>HOTEL!BH13</f>
        <v>1</v>
      </c>
      <c r="U11" s="7">
        <f>HOTEL!BJ13</f>
        <v>34</v>
      </c>
      <c r="V11" s="7">
        <f>HOTEL!BL13</f>
        <v>5</v>
      </c>
      <c r="W11" s="7">
        <f>HOTEL!BX13</f>
        <v>0</v>
      </c>
      <c r="X11" s="7">
        <f>HOTEL!CE13</f>
        <v>80</v>
      </c>
      <c r="Y11" s="7">
        <f>HOTEL!CZ13</f>
        <v>5</v>
      </c>
      <c r="Z11" s="7">
        <f>HOTEL!DC12</f>
        <v>12.559999999999491</v>
      </c>
      <c r="AA11" s="7">
        <f>HOTEL!DF13</f>
        <v>141</v>
      </c>
      <c r="AB11" s="8">
        <f>HOTEL!DI13</f>
        <v>21</v>
      </c>
      <c r="AC11" s="7">
        <f>HOTEL!DL13</f>
        <v>8</v>
      </c>
      <c r="AD11" s="8">
        <f>HOTEL!DO13</f>
        <v>7</v>
      </c>
      <c r="AE11" s="7">
        <f>HOTEL!DR13</f>
        <v>2</v>
      </c>
      <c r="AF11" s="7">
        <f>HOTEL!DU13</f>
        <v>10</v>
      </c>
      <c r="AG11" s="7">
        <f>HOTEL!DX13</f>
        <v>9</v>
      </c>
      <c r="AH11" s="7">
        <f>HOTEL!EA13</f>
        <v>8</v>
      </c>
      <c r="AI11" s="7">
        <f>HOTEL!ED13</f>
        <v>22</v>
      </c>
      <c r="AJ11" s="7">
        <f>HOTEL!EG13</f>
        <v>0</v>
      </c>
      <c r="AK11" s="7">
        <f>TOTAL!K11</f>
        <v>0.50549999999999995</v>
      </c>
    </row>
    <row r="12" spans="1:38" ht="15" x14ac:dyDescent="0.25">
      <c r="A12" s="2" t="s">
        <v>19</v>
      </c>
      <c r="B12" s="7">
        <f>TOTAL!B12</f>
        <v>11</v>
      </c>
      <c r="C12" s="87">
        <f>TOTAL!C12</f>
        <v>3</v>
      </c>
      <c r="D12" s="7">
        <v>2021</v>
      </c>
      <c r="E12" s="7">
        <f>TOTAL!E12</f>
        <v>24488</v>
      </c>
      <c r="F12" s="7">
        <f>HOTEL!V14</f>
        <v>2504</v>
      </c>
      <c r="G12" s="7">
        <f>HOTEL!X14</f>
        <v>374</v>
      </c>
      <c r="H12" s="8">
        <f>HOTEL!EI14</f>
        <v>0</v>
      </c>
      <c r="I12" s="8">
        <f>HOTEL!EK14</f>
        <v>0</v>
      </c>
      <c r="J12" s="8">
        <f>HOTEL!EM14</f>
        <v>0</v>
      </c>
      <c r="K12" s="8">
        <f>HOTEL!EO14</f>
        <v>0</v>
      </c>
      <c r="L12" s="7">
        <f t="shared" si="1"/>
        <v>87</v>
      </c>
      <c r="M12" s="7">
        <f>HOTEL!AL14</f>
        <v>2</v>
      </c>
      <c r="N12" s="7">
        <f>HOTEL!AT14</f>
        <v>1</v>
      </c>
      <c r="O12" s="7">
        <f>HOTEL!AX14</f>
        <v>1</v>
      </c>
      <c r="P12" s="7">
        <f>HOTEL!AZ14</f>
        <v>0</v>
      </c>
      <c r="Q12" s="7">
        <f>HOTEL!BB14</f>
        <v>12</v>
      </c>
      <c r="R12" s="7">
        <f>HOTEL!BD14</f>
        <v>5</v>
      </c>
      <c r="S12" s="7">
        <f>HOTEL!BF14</f>
        <v>1</v>
      </c>
      <c r="T12" s="7">
        <f>HOTEL!BH14</f>
        <v>2</v>
      </c>
      <c r="U12" s="7">
        <f>HOTEL!BJ14</f>
        <v>37</v>
      </c>
      <c r="V12" s="7">
        <f>HOTEL!BL14</f>
        <v>6</v>
      </c>
      <c r="W12" s="7">
        <f>HOTEL!BX14</f>
        <v>2</v>
      </c>
      <c r="X12" s="7">
        <f>HOTEL!CE14</f>
        <v>84</v>
      </c>
      <c r="Y12" s="7">
        <f>HOTEL!CZ14</f>
        <v>0</v>
      </c>
      <c r="Z12" s="7">
        <f>HOTEL!DC13</f>
        <v>18.440000000000509</v>
      </c>
      <c r="AA12" s="7">
        <f>HOTEL!DF14</f>
        <v>50</v>
      </c>
      <c r="AB12" s="8">
        <f>HOTEL!DI14</f>
        <v>23</v>
      </c>
      <c r="AC12" s="7">
        <f>HOTEL!DL14</f>
        <v>10</v>
      </c>
      <c r="AD12" s="8">
        <f>HOTEL!DO14</f>
        <v>9</v>
      </c>
      <c r="AE12" s="7">
        <f>HOTEL!DR14</f>
        <v>2</v>
      </c>
      <c r="AF12" s="7">
        <f>HOTEL!DU14</f>
        <v>8</v>
      </c>
      <c r="AG12" s="7">
        <f>HOTEL!DX14</f>
        <v>6</v>
      </c>
      <c r="AH12" s="7">
        <f>HOTEL!EA14</f>
        <v>8</v>
      </c>
      <c r="AI12" s="7">
        <f>HOTEL!ED14</f>
        <v>25</v>
      </c>
      <c r="AJ12" s="7">
        <f>HOTEL!EG14</f>
        <v>0</v>
      </c>
      <c r="AK12" s="7">
        <f>TOTAL!K12</f>
        <v>0.42859999999999998</v>
      </c>
    </row>
    <row r="13" spans="1:38" ht="15" x14ac:dyDescent="0.25">
      <c r="A13" s="2" t="s">
        <v>19</v>
      </c>
      <c r="B13" s="7">
        <f>TOTAL!B13</f>
        <v>12</v>
      </c>
      <c r="C13" s="87">
        <f>TOTAL!C13</f>
        <v>3</v>
      </c>
      <c r="D13" s="7">
        <v>2021</v>
      </c>
      <c r="E13" s="7">
        <f>TOTAL!E13</f>
        <v>25144</v>
      </c>
      <c r="F13" s="7">
        <f>HOTEL!V15</f>
        <v>1978</v>
      </c>
      <c r="G13" s="7">
        <f>HOTEL!X15</f>
        <v>428</v>
      </c>
      <c r="H13" s="8">
        <f>HOTEL!EI15</f>
        <v>0</v>
      </c>
      <c r="I13" s="8">
        <f>HOTEL!EK15</f>
        <v>0</v>
      </c>
      <c r="J13" s="8">
        <f>HOTEL!EM15</f>
        <v>0</v>
      </c>
      <c r="K13" s="8">
        <f>HOTEL!EO15</f>
        <v>0</v>
      </c>
      <c r="L13" s="7">
        <f t="shared" si="1"/>
        <v>44</v>
      </c>
      <c r="M13" s="7">
        <f>HOTEL!AL15</f>
        <v>0</v>
      </c>
      <c r="N13" s="7">
        <f>HOTEL!AT15</f>
        <v>1</v>
      </c>
      <c r="O13" s="7">
        <f>HOTEL!AX15</f>
        <v>1</v>
      </c>
      <c r="P13" s="7">
        <f>HOTEL!AZ15</f>
        <v>0</v>
      </c>
      <c r="Q13" s="7">
        <f>HOTEL!BB15</f>
        <v>12</v>
      </c>
      <c r="R13" s="7">
        <f>HOTEL!BD15</f>
        <v>4</v>
      </c>
      <c r="S13" s="7">
        <f>HOTEL!BF15</f>
        <v>3</v>
      </c>
      <c r="T13" s="7">
        <f>HOTEL!BH15</f>
        <v>2</v>
      </c>
      <c r="U13" s="7">
        <f>HOTEL!BJ15</f>
        <v>1</v>
      </c>
      <c r="V13" s="7">
        <f>HOTEL!BL15</f>
        <v>4</v>
      </c>
      <c r="W13" s="7">
        <f>HOTEL!BX15</f>
        <v>0</v>
      </c>
      <c r="X13" s="7">
        <f>HOTEL!CE15</f>
        <v>43</v>
      </c>
      <c r="Y13" s="7">
        <f>HOTEL!CZ15</f>
        <v>6</v>
      </c>
      <c r="Z13" s="7">
        <f>HOTEL!DC14</f>
        <v>19</v>
      </c>
      <c r="AA13" s="7">
        <f>HOTEL!DF15</f>
        <v>71</v>
      </c>
      <c r="AB13" s="8">
        <f>HOTEL!DI15</f>
        <v>21</v>
      </c>
      <c r="AC13" s="7">
        <f>HOTEL!DL15</f>
        <v>10</v>
      </c>
      <c r="AD13" s="8">
        <f>HOTEL!DO15</f>
        <v>8</v>
      </c>
      <c r="AE13" s="7">
        <f>HOTEL!DR15</f>
        <v>1</v>
      </c>
      <c r="AF13" s="7">
        <f>HOTEL!DU15</f>
        <v>9</v>
      </c>
      <c r="AG13" s="7">
        <f>HOTEL!DX15</f>
        <v>9</v>
      </c>
      <c r="AH13" s="7">
        <f>HOTEL!EA15</f>
        <v>9</v>
      </c>
      <c r="AI13" s="7">
        <f>HOTEL!ED15</f>
        <v>11</v>
      </c>
      <c r="AJ13" s="7">
        <f>HOTEL!EG15</f>
        <v>0</v>
      </c>
      <c r="AK13" s="7">
        <f>TOTAL!K13</f>
        <v>0.47249999999999998</v>
      </c>
    </row>
    <row r="14" spans="1:38" ht="15" x14ac:dyDescent="0.25">
      <c r="A14" s="2" t="s">
        <v>19</v>
      </c>
      <c r="B14" s="7">
        <f>TOTAL!B14</f>
        <v>13</v>
      </c>
      <c r="C14" s="87">
        <f>TOTAL!C14</f>
        <v>3</v>
      </c>
      <c r="D14" s="7">
        <v>2021</v>
      </c>
      <c r="E14" s="7">
        <f>TOTAL!E14</f>
        <v>23469</v>
      </c>
      <c r="F14" s="7">
        <f>HOTEL!V16</f>
        <v>1728</v>
      </c>
      <c r="G14" s="7">
        <f>HOTEL!X16</f>
        <v>432</v>
      </c>
      <c r="H14" s="8">
        <f>HOTEL!EI16</f>
        <v>0</v>
      </c>
      <c r="I14" s="8">
        <f>HOTEL!EK16</f>
        <v>0</v>
      </c>
      <c r="J14" s="8">
        <f>HOTEL!EM16</f>
        <v>0</v>
      </c>
      <c r="K14" s="8">
        <f>HOTEL!EO16</f>
        <v>0</v>
      </c>
      <c r="L14" s="7">
        <f t="shared" si="1"/>
        <v>43</v>
      </c>
      <c r="M14" s="7">
        <f>HOTEL!AL16</f>
        <v>9</v>
      </c>
      <c r="N14" s="7">
        <f>HOTEL!AT16</f>
        <v>1</v>
      </c>
      <c r="O14" s="7">
        <f>HOTEL!AX16</f>
        <v>1</v>
      </c>
      <c r="P14" s="7">
        <f>HOTEL!AZ16</f>
        <v>1</v>
      </c>
      <c r="Q14" s="7">
        <f>HOTEL!BB16</f>
        <v>13</v>
      </c>
      <c r="R14" s="7">
        <f>HOTEL!BD16</f>
        <v>3</v>
      </c>
      <c r="S14" s="7">
        <f>HOTEL!BF16</f>
        <v>1</v>
      </c>
      <c r="T14" s="7">
        <f>HOTEL!BH16</f>
        <v>2</v>
      </c>
      <c r="U14" s="7">
        <f>HOTEL!BJ16</f>
        <v>0</v>
      </c>
      <c r="V14" s="7">
        <f>HOTEL!BL16</f>
        <v>5</v>
      </c>
      <c r="W14" s="7">
        <f>HOTEL!BX16</f>
        <v>0</v>
      </c>
      <c r="X14" s="7">
        <f>HOTEL!CE16</f>
        <v>42</v>
      </c>
      <c r="Y14" s="7">
        <f>HOTEL!CZ16</f>
        <v>5</v>
      </c>
      <c r="Z14" s="7">
        <f>HOTEL!DC15</f>
        <v>9</v>
      </c>
      <c r="AA14" s="7">
        <f>HOTEL!DF16</f>
        <v>72</v>
      </c>
      <c r="AB14" s="8">
        <f>HOTEL!DI16</f>
        <v>21</v>
      </c>
      <c r="AC14" s="7">
        <f>HOTEL!DL16</f>
        <v>9</v>
      </c>
      <c r="AD14" s="8">
        <f>HOTEL!DO16</f>
        <v>8</v>
      </c>
      <c r="AE14" s="7">
        <f>HOTEL!DR16</f>
        <v>1</v>
      </c>
      <c r="AF14" s="7">
        <f>HOTEL!DU16</f>
        <v>8</v>
      </c>
      <c r="AG14" s="7">
        <f>HOTEL!DX16</f>
        <v>8</v>
      </c>
      <c r="AH14" s="7">
        <f>HOTEL!EA16</f>
        <v>8</v>
      </c>
      <c r="AI14" s="7">
        <f>HOTEL!ED16</f>
        <v>11</v>
      </c>
      <c r="AJ14" s="7">
        <f>HOTEL!EG16</f>
        <v>0</v>
      </c>
      <c r="AK14" s="7">
        <f>TOTAL!K14</f>
        <v>0.50549999999999995</v>
      </c>
    </row>
    <row r="15" spans="1:38" ht="15" x14ac:dyDescent="0.25">
      <c r="A15" s="2" t="s">
        <v>19</v>
      </c>
      <c r="B15" s="7">
        <f>TOTAL!B15</f>
        <v>14</v>
      </c>
      <c r="C15" s="87">
        <f>TOTAL!C15</f>
        <v>3</v>
      </c>
      <c r="D15" s="7">
        <v>2021</v>
      </c>
      <c r="E15" s="8">
        <f>TOTAL!E15</f>
        <v>25062</v>
      </c>
      <c r="F15" s="7">
        <f>HOTEL!V17</f>
        <v>1745</v>
      </c>
      <c r="G15" s="7">
        <f>HOTEL!X17</f>
        <v>421</v>
      </c>
      <c r="H15" s="8">
        <f>HOTEL!EI17</f>
        <v>0</v>
      </c>
      <c r="I15" s="8">
        <f>HOTEL!EK17</f>
        <v>0</v>
      </c>
      <c r="J15" s="8">
        <f>HOTEL!EM17</f>
        <v>0</v>
      </c>
      <c r="K15" s="8">
        <f>HOTEL!EO17</f>
        <v>0</v>
      </c>
      <c r="L15" s="7">
        <f t="shared" si="1"/>
        <v>48</v>
      </c>
      <c r="M15" s="7">
        <f>HOTEL!AL17</f>
        <v>9</v>
      </c>
      <c r="N15" s="7">
        <f>HOTEL!AT17</f>
        <v>1</v>
      </c>
      <c r="O15" s="7">
        <f>HOTEL!AX17</f>
        <v>1</v>
      </c>
      <c r="P15" s="7">
        <f>HOTEL!AZ17</f>
        <v>0</v>
      </c>
      <c r="Q15" s="7">
        <f>HOTEL!BB17</f>
        <v>12</v>
      </c>
      <c r="R15" s="7">
        <f>HOTEL!BD17</f>
        <v>5</v>
      </c>
      <c r="S15" s="7">
        <f>HOTEL!BF17</f>
        <v>2</v>
      </c>
      <c r="T15" s="7">
        <f>HOTEL!BH17</f>
        <v>1</v>
      </c>
      <c r="U15" s="7">
        <f>HOTEL!BJ17</f>
        <v>0</v>
      </c>
      <c r="V15" s="7">
        <f>HOTEL!BL17</f>
        <v>6</v>
      </c>
      <c r="W15" s="7">
        <f>HOTEL!BX17</f>
        <v>21</v>
      </c>
      <c r="X15" s="7">
        <f>HOTEL!CE17</f>
        <v>26</v>
      </c>
      <c r="Y15" s="7">
        <f>HOTEL!CZ17</f>
        <v>5</v>
      </c>
      <c r="Z15" s="7">
        <f>HOTEL!DC16</f>
        <v>16</v>
      </c>
      <c r="AA15" s="7">
        <f>HOTEL!DF17</f>
        <v>80</v>
      </c>
      <c r="AB15" s="8">
        <f>HOTEL!DI17</f>
        <v>21</v>
      </c>
      <c r="AC15" s="7">
        <f>HOTEL!DL17</f>
        <v>10</v>
      </c>
      <c r="AD15" s="8">
        <f>HOTEL!DO17</f>
        <v>8</v>
      </c>
      <c r="AE15" s="7">
        <f>HOTEL!DR17</f>
        <v>2</v>
      </c>
      <c r="AF15" s="7">
        <f>HOTEL!DU17</f>
        <v>9</v>
      </c>
      <c r="AG15" s="7">
        <f>HOTEL!DX17</f>
        <v>6</v>
      </c>
      <c r="AH15" s="7">
        <f>HOTEL!EA17</f>
        <v>8</v>
      </c>
      <c r="AI15" s="7">
        <f>HOTEL!ED17</f>
        <v>10</v>
      </c>
      <c r="AJ15" s="7">
        <f>HOTEL!EG17</f>
        <v>0</v>
      </c>
      <c r="AK15" s="7">
        <f>TOTAL!K15</f>
        <v>0.50549999999999995</v>
      </c>
    </row>
    <row r="16" spans="1:38" ht="15" x14ac:dyDescent="0.25">
      <c r="A16" s="2" t="s">
        <v>19</v>
      </c>
      <c r="B16" s="7">
        <f>TOTAL!B16</f>
        <v>15</v>
      </c>
      <c r="C16" s="87">
        <f>TOTAL!C16</f>
        <v>3</v>
      </c>
      <c r="D16" s="7">
        <v>2021</v>
      </c>
      <c r="E16" s="7">
        <f>TOTAL!E16</f>
        <v>24628</v>
      </c>
      <c r="F16" s="7">
        <f>HOTEL!V18</f>
        <v>2119</v>
      </c>
      <c r="G16" s="7">
        <f>HOTEL!X18</f>
        <v>427</v>
      </c>
      <c r="H16" s="8">
        <f>HOTEL!EI18</f>
        <v>0</v>
      </c>
      <c r="I16" s="8">
        <f>HOTEL!EK18</f>
        <v>0</v>
      </c>
      <c r="J16" s="8">
        <f>HOTEL!EM18</f>
        <v>0</v>
      </c>
      <c r="K16" s="8">
        <f>HOTEL!EO18</f>
        <v>0</v>
      </c>
      <c r="L16" s="7">
        <f t="shared" si="1"/>
        <v>75</v>
      </c>
      <c r="M16" s="7">
        <f>HOTEL!AL18</f>
        <v>0</v>
      </c>
      <c r="N16" s="7">
        <f>HOTEL!AT18</f>
        <v>0</v>
      </c>
      <c r="O16" s="7">
        <f>HOTEL!AX18</f>
        <v>1</v>
      </c>
      <c r="P16" s="7">
        <f>HOTEL!AZ18</f>
        <v>0</v>
      </c>
      <c r="Q16" s="7">
        <f>HOTEL!BB18</f>
        <v>15</v>
      </c>
      <c r="R16" s="7">
        <f>HOTEL!BD18</f>
        <v>4</v>
      </c>
      <c r="S16" s="7">
        <f>HOTEL!BF18</f>
        <v>2</v>
      </c>
      <c r="T16" s="7">
        <f>HOTEL!BH18</f>
        <v>1</v>
      </c>
      <c r="U16" s="7">
        <f>HOTEL!BJ18</f>
        <v>1</v>
      </c>
      <c r="V16" s="7">
        <f>HOTEL!BL18</f>
        <v>5</v>
      </c>
      <c r="W16" s="7">
        <f>HOTEL!BX18</f>
        <v>26</v>
      </c>
      <c r="X16" s="7">
        <f>HOTEL!CE18</f>
        <v>49</v>
      </c>
      <c r="Y16" s="7">
        <f>HOTEL!CZ18</f>
        <v>6</v>
      </c>
      <c r="Z16" s="7">
        <f>HOTEL!DC17</f>
        <v>10</v>
      </c>
      <c r="AA16" s="7">
        <f>HOTEL!DF18</f>
        <v>61</v>
      </c>
      <c r="AB16" s="8">
        <f>HOTEL!DI18</f>
        <v>22</v>
      </c>
      <c r="AC16" s="7">
        <f>HOTEL!DL18</f>
        <v>10</v>
      </c>
      <c r="AD16" s="8">
        <f>HOTEL!DO18</f>
        <v>8</v>
      </c>
      <c r="AE16" s="7">
        <f>HOTEL!DR18</f>
        <v>1</v>
      </c>
      <c r="AF16" s="7">
        <f>HOTEL!DU18</f>
        <v>9</v>
      </c>
      <c r="AG16" s="7">
        <f>HOTEL!DX18</f>
        <v>9</v>
      </c>
      <c r="AH16" s="7">
        <f>HOTEL!EA18</f>
        <v>8</v>
      </c>
      <c r="AI16" s="7">
        <f>HOTEL!ED18</f>
        <v>11</v>
      </c>
      <c r="AJ16" s="7">
        <f>HOTEL!EG18</f>
        <v>0</v>
      </c>
      <c r="AK16" s="7">
        <f>TOTAL!K16</f>
        <v>0.50549999999999995</v>
      </c>
    </row>
    <row r="17" spans="1:37" ht="15" x14ac:dyDescent="0.25">
      <c r="A17" s="2" t="s">
        <v>19</v>
      </c>
      <c r="B17" s="7">
        <f>TOTAL!B17</f>
        <v>16</v>
      </c>
      <c r="C17" s="87">
        <f>TOTAL!C17</f>
        <v>3</v>
      </c>
      <c r="D17" s="7">
        <v>2021</v>
      </c>
      <c r="E17" s="7">
        <f>TOTAL!E17</f>
        <v>30606</v>
      </c>
      <c r="F17" s="7">
        <f>HOTEL!V19</f>
        <v>3147</v>
      </c>
      <c r="G17" s="7">
        <f>HOTEL!X19</f>
        <v>432</v>
      </c>
      <c r="H17" s="8">
        <f>HOTEL!EI19</f>
        <v>0</v>
      </c>
      <c r="I17" s="8">
        <f>HOTEL!EK19</f>
        <v>0</v>
      </c>
      <c r="J17" s="8">
        <f>HOTEL!EM19</f>
        <v>0</v>
      </c>
      <c r="K17" s="8">
        <f>HOTEL!EO19</f>
        <v>0</v>
      </c>
      <c r="L17" s="7">
        <f t="shared" si="1"/>
        <v>71</v>
      </c>
      <c r="M17" s="7">
        <f>HOTEL!AL19</f>
        <v>0</v>
      </c>
      <c r="N17" s="7">
        <f>HOTEL!AT19</f>
        <v>0</v>
      </c>
      <c r="O17" s="7">
        <f>HOTEL!AX19</f>
        <v>1</v>
      </c>
      <c r="P17" s="7">
        <f>HOTEL!AZ19</f>
        <v>1</v>
      </c>
      <c r="Q17" s="7">
        <f>HOTEL!BB19</f>
        <v>14</v>
      </c>
      <c r="R17" s="7">
        <f>HOTEL!BD19</f>
        <v>3</v>
      </c>
      <c r="S17" s="7">
        <f>HOTEL!BF19</f>
        <v>1</v>
      </c>
      <c r="T17" s="7">
        <f>HOTEL!BH19</f>
        <v>2</v>
      </c>
      <c r="U17" s="7">
        <f>HOTEL!BJ19</f>
        <v>0</v>
      </c>
      <c r="V17" s="7">
        <f>HOTEL!BL19</f>
        <v>6</v>
      </c>
      <c r="W17" s="7">
        <f>HOTEL!BX19</f>
        <v>25</v>
      </c>
      <c r="X17" s="7">
        <f>HOTEL!CE19</f>
        <v>46</v>
      </c>
      <c r="Y17" s="7">
        <f>HOTEL!CZ19</f>
        <v>0</v>
      </c>
      <c r="Z17" s="7">
        <f>HOTEL!DC18</f>
        <v>20</v>
      </c>
      <c r="AA17" s="7">
        <f>HOTEL!DF19</f>
        <v>58</v>
      </c>
      <c r="AB17" s="8">
        <f>HOTEL!DI19</f>
        <v>23</v>
      </c>
      <c r="AC17" s="7">
        <f>HOTEL!DL19</f>
        <v>10</v>
      </c>
      <c r="AD17" s="8">
        <f>HOTEL!DO19</f>
        <v>8</v>
      </c>
      <c r="AE17" s="7">
        <f>HOTEL!DR19</f>
        <v>1</v>
      </c>
      <c r="AF17" s="7">
        <f>HOTEL!DU19</f>
        <v>9</v>
      </c>
      <c r="AG17" s="7">
        <f>HOTEL!DX19</f>
        <v>8</v>
      </c>
      <c r="AH17" s="7">
        <f>HOTEL!EA19</f>
        <v>8</v>
      </c>
      <c r="AI17" s="7">
        <f>HOTEL!ED19</f>
        <v>11</v>
      </c>
      <c r="AJ17" s="7">
        <f>HOTEL!EG19</f>
        <v>0</v>
      </c>
      <c r="AK17" s="7">
        <f>TOTAL!K17</f>
        <v>0.47249999999999998</v>
      </c>
    </row>
    <row r="18" spans="1:37" ht="15" x14ac:dyDescent="0.25">
      <c r="A18" s="2" t="s">
        <v>19</v>
      </c>
      <c r="B18" s="7">
        <f>TOTAL!B18</f>
        <v>17</v>
      </c>
      <c r="C18" s="87">
        <f>TOTAL!C18</f>
        <v>3</v>
      </c>
      <c r="D18" s="7">
        <v>2021</v>
      </c>
      <c r="E18" s="7">
        <f>TOTAL!E18</f>
        <v>19776</v>
      </c>
      <c r="F18" s="7">
        <f>HOTEL!V20</f>
        <v>1777</v>
      </c>
      <c r="G18" s="7">
        <f>HOTEL!X20</f>
        <v>438</v>
      </c>
      <c r="H18" s="8">
        <f>HOTEL!EI20</f>
        <v>0</v>
      </c>
      <c r="I18" s="8">
        <f>HOTEL!EK20</f>
        <v>0</v>
      </c>
      <c r="J18" s="8">
        <f>HOTEL!EM20</f>
        <v>0</v>
      </c>
      <c r="K18" s="8">
        <f>HOTEL!EO20</f>
        <v>0</v>
      </c>
      <c r="L18" s="7">
        <f t="shared" si="1"/>
        <v>79</v>
      </c>
      <c r="M18" s="7">
        <f>HOTEL!AL20</f>
        <v>0</v>
      </c>
      <c r="N18" s="7">
        <f>HOTEL!AT20</f>
        <v>1</v>
      </c>
      <c r="O18" s="7">
        <f>HOTEL!AX20</f>
        <v>1</v>
      </c>
      <c r="P18" s="7">
        <f>HOTEL!AZ20</f>
        <v>1</v>
      </c>
      <c r="Q18" s="7">
        <f>HOTEL!BB20</f>
        <v>30</v>
      </c>
      <c r="R18" s="7">
        <f>HOTEL!BD20</f>
        <v>2</v>
      </c>
      <c r="S18" s="7">
        <f>HOTEL!BF20</f>
        <v>2</v>
      </c>
      <c r="T18" s="7">
        <f>HOTEL!BH20</f>
        <v>2</v>
      </c>
      <c r="U18" s="7">
        <f>HOTEL!BJ20</f>
        <v>0</v>
      </c>
      <c r="V18" s="7">
        <f>HOTEL!BL20</f>
        <v>7</v>
      </c>
      <c r="W18" s="7">
        <f>HOTEL!BX20</f>
        <v>19</v>
      </c>
      <c r="X18" s="7">
        <f>HOTEL!CE20</f>
        <v>59</v>
      </c>
      <c r="Y18" s="7">
        <f>HOTEL!CZ20</f>
        <v>7</v>
      </c>
      <c r="Z18" s="7">
        <f>HOTEL!DC19</f>
        <v>18</v>
      </c>
      <c r="AA18" s="7">
        <f>HOTEL!DF20</f>
        <v>70</v>
      </c>
      <c r="AB18" s="8">
        <f>HOTEL!DI20</f>
        <v>19</v>
      </c>
      <c r="AC18" s="7">
        <f>HOTEL!DL20</f>
        <v>11</v>
      </c>
      <c r="AD18" s="8">
        <f>HOTEL!DO20</f>
        <v>9</v>
      </c>
      <c r="AE18" s="7">
        <f>HOTEL!DR20</f>
        <v>2</v>
      </c>
      <c r="AF18" s="7">
        <f>HOTEL!DU20</f>
        <v>9</v>
      </c>
      <c r="AG18" s="7">
        <f>HOTEL!DX20</f>
        <v>8</v>
      </c>
      <c r="AH18" s="7">
        <f>HOTEL!EA20</f>
        <v>9</v>
      </c>
      <c r="AI18" s="7">
        <f>HOTEL!ED20</f>
        <v>11</v>
      </c>
      <c r="AJ18" s="7">
        <f>HOTEL!EG20</f>
        <v>0</v>
      </c>
      <c r="AK18" s="7">
        <f>TOTAL!K18</f>
        <v>0.46150000000000002</v>
      </c>
    </row>
    <row r="19" spans="1:37" ht="15" x14ac:dyDescent="0.25">
      <c r="A19" s="2" t="s">
        <v>19</v>
      </c>
      <c r="B19" s="7">
        <f>TOTAL!B19</f>
        <v>18</v>
      </c>
      <c r="C19" s="87">
        <f>TOTAL!C19</f>
        <v>3</v>
      </c>
      <c r="D19" s="7">
        <v>2021</v>
      </c>
      <c r="E19" s="7">
        <f>TOTAL!E19</f>
        <v>25518</v>
      </c>
      <c r="F19" s="7">
        <f>HOTEL!V21</f>
        <v>1904</v>
      </c>
      <c r="G19" s="7">
        <f>HOTEL!X21</f>
        <v>402</v>
      </c>
      <c r="H19" s="8">
        <f>HOTEL!EI21</f>
        <v>0</v>
      </c>
      <c r="I19" s="8">
        <f>HOTEL!EK21</f>
        <v>0</v>
      </c>
      <c r="J19" s="8">
        <f>HOTEL!EM21</f>
        <v>0</v>
      </c>
      <c r="K19" s="8">
        <f>HOTEL!EO21</f>
        <v>0</v>
      </c>
      <c r="L19" s="7">
        <f t="shared" si="1"/>
        <v>72</v>
      </c>
      <c r="M19" s="7">
        <f>HOTEL!AL21</f>
        <v>3</v>
      </c>
      <c r="N19" s="7">
        <f>HOTEL!AT21</f>
        <v>0</v>
      </c>
      <c r="O19" s="7">
        <f>HOTEL!AX21</f>
        <v>1</v>
      </c>
      <c r="P19" s="7" t="str">
        <f>HOTEL!AZ21</f>
        <v>0</v>
      </c>
      <c r="Q19" s="7">
        <f>HOTEL!BB21</f>
        <v>16</v>
      </c>
      <c r="R19" s="7">
        <f>HOTEL!BD21</f>
        <v>3</v>
      </c>
      <c r="S19" s="7">
        <f>HOTEL!BF21</f>
        <v>2</v>
      </c>
      <c r="T19" s="7">
        <f>HOTEL!BH21</f>
        <v>3</v>
      </c>
      <c r="U19" s="7">
        <f>HOTEL!BJ21</f>
        <v>1</v>
      </c>
      <c r="V19" s="7">
        <f>HOTEL!BL21</f>
        <v>6</v>
      </c>
      <c r="W19" s="7">
        <f>HOTEL!BX21</f>
        <v>15</v>
      </c>
      <c r="X19" s="7">
        <f>HOTEL!CE21</f>
        <v>57</v>
      </c>
      <c r="Y19" s="7">
        <f>HOTEL!CZ21</f>
        <v>5</v>
      </c>
      <c r="Z19" s="7">
        <f>HOTEL!DC20</f>
        <v>12</v>
      </c>
      <c r="AA19" s="7">
        <f>HOTEL!DF21</f>
        <v>72</v>
      </c>
      <c r="AB19" s="8">
        <f>HOTEL!DI21</f>
        <v>21</v>
      </c>
      <c r="AC19" s="7">
        <f>HOTEL!DL21</f>
        <v>10</v>
      </c>
      <c r="AD19" s="8">
        <f>HOTEL!DO21</f>
        <v>9</v>
      </c>
      <c r="AE19" s="7">
        <f>HOTEL!DR21</f>
        <v>2</v>
      </c>
      <c r="AF19" s="7">
        <f>HOTEL!DU21</f>
        <v>9</v>
      </c>
      <c r="AG19" s="7">
        <f>HOTEL!DX21</f>
        <v>13</v>
      </c>
      <c r="AH19" s="7">
        <f>HOTEL!EA21</f>
        <v>9</v>
      </c>
      <c r="AI19" s="7">
        <f>HOTEL!ED21</f>
        <v>10</v>
      </c>
      <c r="AJ19" s="7">
        <f>HOTEL!EG21</f>
        <v>0</v>
      </c>
      <c r="AK19" s="7">
        <f>TOTAL!K19</f>
        <v>0.47249999999999998</v>
      </c>
    </row>
    <row r="20" spans="1:37" ht="15" x14ac:dyDescent="0.25">
      <c r="A20" s="2" t="s">
        <v>19</v>
      </c>
      <c r="B20" s="7">
        <f>TOTAL!B20</f>
        <v>19</v>
      </c>
      <c r="C20" s="87">
        <f>TOTAL!C20</f>
        <v>3</v>
      </c>
      <c r="D20" s="7">
        <v>2021</v>
      </c>
      <c r="E20" s="7">
        <f>TOTAL!E20</f>
        <v>25314</v>
      </c>
      <c r="F20" s="7">
        <f>HOTEL!V22</f>
        <v>1427</v>
      </c>
      <c r="G20" s="7">
        <f>HOTEL!X22</f>
        <v>404</v>
      </c>
      <c r="H20" s="8">
        <f>HOTEL!EI22</f>
        <v>0</v>
      </c>
      <c r="I20" s="8">
        <f>HOTEL!EK22</f>
        <v>0</v>
      </c>
      <c r="J20" s="8">
        <f>HOTEL!EM22</f>
        <v>0</v>
      </c>
      <c r="K20" s="8">
        <f>HOTEL!EO22</f>
        <v>0</v>
      </c>
      <c r="L20" s="7">
        <f t="shared" si="1"/>
        <v>89</v>
      </c>
      <c r="M20" s="7">
        <f>HOTEL!AL22</f>
        <v>0</v>
      </c>
      <c r="N20" s="7">
        <f>HOTEL!AT22</f>
        <v>1</v>
      </c>
      <c r="O20" s="7">
        <f>HOTEL!AX22</f>
        <v>1</v>
      </c>
      <c r="P20" s="7">
        <f>HOTEL!AZ22</f>
        <v>1</v>
      </c>
      <c r="Q20" s="7">
        <f>HOTEL!BB22</f>
        <v>5</v>
      </c>
      <c r="R20" s="7">
        <f>HOTEL!BD22</f>
        <v>2</v>
      </c>
      <c r="S20" s="7">
        <f>HOTEL!BF22</f>
        <v>2</v>
      </c>
      <c r="T20" s="7">
        <f>HOTEL!BH22</f>
        <v>1</v>
      </c>
      <c r="U20" s="7">
        <f>HOTEL!BJ22</f>
        <v>0</v>
      </c>
      <c r="V20" s="7">
        <f>HOTEL!BL22</f>
        <v>11</v>
      </c>
      <c r="W20" s="7">
        <f>HOTEL!BX22</f>
        <v>23</v>
      </c>
      <c r="X20" s="7">
        <f>HOTEL!CE22</f>
        <v>65</v>
      </c>
      <c r="Y20" s="7">
        <f>HOTEL!CZ22</f>
        <v>0</v>
      </c>
      <c r="Z20" s="7">
        <f>HOTEL!DC21</f>
        <v>16</v>
      </c>
      <c r="AA20" s="7">
        <f>HOTEL!DF22</f>
        <v>97</v>
      </c>
      <c r="AB20" s="8">
        <f>HOTEL!DI22</f>
        <v>28</v>
      </c>
      <c r="AC20" s="7">
        <f>HOTEL!DL22</f>
        <v>10</v>
      </c>
      <c r="AD20" s="8">
        <f>HOTEL!DO22</f>
        <v>9</v>
      </c>
      <c r="AE20" s="7">
        <f>HOTEL!DR22</f>
        <v>1</v>
      </c>
      <c r="AF20" s="7">
        <f>HOTEL!DU22</f>
        <v>11</v>
      </c>
      <c r="AG20" s="7">
        <f>HOTEL!DX22</f>
        <v>14</v>
      </c>
      <c r="AH20" s="7">
        <f>HOTEL!EA22</f>
        <v>9</v>
      </c>
      <c r="AI20" s="7">
        <f>HOTEL!ED22</f>
        <v>11</v>
      </c>
      <c r="AJ20" s="7">
        <f>HOTEL!EG22</f>
        <v>0</v>
      </c>
      <c r="AK20" s="7">
        <f>TOTAL!K20</f>
        <v>0.50549999999999995</v>
      </c>
    </row>
    <row r="21" spans="1:37" ht="15" x14ac:dyDescent="0.25">
      <c r="A21" s="2" t="s">
        <v>19</v>
      </c>
      <c r="B21" s="7">
        <f>TOTAL!B21</f>
        <v>20</v>
      </c>
      <c r="C21" s="87">
        <f>TOTAL!C21</f>
        <v>3</v>
      </c>
      <c r="D21" s="7">
        <v>2021</v>
      </c>
      <c r="E21" s="7">
        <f>TOTAL!E21</f>
        <v>23234</v>
      </c>
      <c r="F21" s="7">
        <f>HOTEL!V23</f>
        <v>934</v>
      </c>
      <c r="G21" s="7">
        <f>HOTEL!X23</f>
        <v>415</v>
      </c>
      <c r="H21" s="8">
        <f>HOTEL!EI23</f>
        <v>0</v>
      </c>
      <c r="I21" s="8">
        <f>HOTEL!EK23</f>
        <v>0</v>
      </c>
      <c r="J21" s="8">
        <f>HOTEL!EM23</f>
        <v>0</v>
      </c>
      <c r="K21" s="8">
        <f>HOTEL!EO23</f>
        <v>0</v>
      </c>
      <c r="L21" s="7">
        <f t="shared" si="1"/>
        <v>87</v>
      </c>
      <c r="M21" s="7">
        <f>HOTEL!AL23</f>
        <v>2</v>
      </c>
      <c r="N21" s="7">
        <f>HOTEL!AT23</f>
        <v>1</v>
      </c>
      <c r="O21" s="7">
        <f>HOTEL!AX23</f>
        <v>0</v>
      </c>
      <c r="P21" s="7">
        <f>HOTEL!AZ23</f>
        <v>0</v>
      </c>
      <c r="Q21" s="7">
        <f>HOTEL!BB23</f>
        <v>23</v>
      </c>
      <c r="R21" s="7">
        <f>HOTEL!BD23</f>
        <v>6</v>
      </c>
      <c r="S21" s="7">
        <f>HOTEL!BF23</f>
        <v>2</v>
      </c>
      <c r="T21" s="7">
        <f>HOTEL!BH23</f>
        <v>2</v>
      </c>
      <c r="U21" s="7">
        <f>HOTEL!BJ23</f>
        <v>1</v>
      </c>
      <c r="V21" s="7">
        <f>HOTEL!BL23</f>
        <v>9</v>
      </c>
      <c r="W21" s="7">
        <f>HOTEL!BX23</f>
        <v>18</v>
      </c>
      <c r="X21" s="7">
        <f>HOTEL!CE23</f>
        <v>68</v>
      </c>
      <c r="Y21" s="7">
        <f>HOTEL!CZ23</f>
        <v>6</v>
      </c>
      <c r="Z21" s="7">
        <f>HOTEL!DC22</f>
        <v>17</v>
      </c>
      <c r="AA21" s="7">
        <f>HOTEL!DF23</f>
        <v>72</v>
      </c>
      <c r="AB21" s="8">
        <f>HOTEL!DI23</f>
        <v>27</v>
      </c>
      <c r="AC21" s="7">
        <f>HOTEL!DL23</f>
        <v>10</v>
      </c>
      <c r="AD21" s="8">
        <f>HOTEL!DO23</f>
        <v>8</v>
      </c>
      <c r="AE21" s="7">
        <f>HOTEL!DR23</f>
        <v>1</v>
      </c>
      <c r="AF21" s="7">
        <f>HOTEL!DU23</f>
        <v>8</v>
      </c>
      <c r="AG21" s="7">
        <f>HOTEL!DX23</f>
        <v>11</v>
      </c>
      <c r="AH21" s="7">
        <f>HOTEL!EA23</f>
        <v>9</v>
      </c>
      <c r="AI21" s="7">
        <f>HOTEL!ED23</f>
        <v>11</v>
      </c>
      <c r="AJ21" s="7">
        <f>HOTEL!EG23</f>
        <v>0</v>
      </c>
      <c r="AK21" s="7">
        <f>TOTAL!K21</f>
        <v>0.51649999999999996</v>
      </c>
    </row>
    <row r="22" spans="1:37" ht="15" x14ac:dyDescent="0.25">
      <c r="A22" s="2" t="s">
        <v>19</v>
      </c>
      <c r="B22" s="7">
        <f>TOTAL!B22</f>
        <v>21</v>
      </c>
      <c r="C22" s="87">
        <f>TOTAL!C22</f>
        <v>3</v>
      </c>
      <c r="D22" s="7">
        <v>2021</v>
      </c>
      <c r="E22" s="7">
        <f>TOTAL!E22</f>
        <v>24614</v>
      </c>
      <c r="F22" s="7">
        <f>HOTEL!V24</f>
        <v>1517</v>
      </c>
      <c r="G22" s="7">
        <f>HOTEL!X24</f>
        <v>422</v>
      </c>
      <c r="H22" s="8">
        <f>HOTEL!EI24</f>
        <v>0</v>
      </c>
      <c r="I22" s="8">
        <f>HOTEL!EK24</f>
        <v>0</v>
      </c>
      <c r="J22" s="8">
        <f>HOTEL!EM24</f>
        <v>0</v>
      </c>
      <c r="K22" s="8">
        <f>HOTEL!EO24</f>
        <v>0</v>
      </c>
      <c r="L22" s="7">
        <f t="shared" si="1"/>
        <v>73</v>
      </c>
      <c r="M22" s="7">
        <f>HOTEL!AL24</f>
        <v>0</v>
      </c>
      <c r="N22" s="7">
        <f>HOTEL!AT24</f>
        <v>0</v>
      </c>
      <c r="O22" s="7">
        <f>HOTEL!AX24</f>
        <v>0</v>
      </c>
      <c r="P22" s="7">
        <f>HOTEL!AZ24</f>
        <v>1</v>
      </c>
      <c r="Q22" s="7">
        <f>HOTEL!BB24</f>
        <v>13</v>
      </c>
      <c r="R22" s="7">
        <f>HOTEL!BD24</f>
        <v>3</v>
      </c>
      <c r="S22" s="7">
        <f>HOTEL!BF24</f>
        <v>2</v>
      </c>
      <c r="T22" s="7">
        <f>HOTEL!BH24</f>
        <v>1</v>
      </c>
      <c r="U22" s="7">
        <f>HOTEL!BJ24</f>
        <v>0</v>
      </c>
      <c r="V22" s="7">
        <f>HOTEL!BL24</f>
        <v>7</v>
      </c>
      <c r="W22" s="7">
        <f>HOTEL!BX24</f>
        <v>18</v>
      </c>
      <c r="X22" s="7">
        <f>HOTEL!CE24</f>
        <v>55</v>
      </c>
      <c r="Y22" s="7">
        <f>HOTEL!CZ24</f>
        <v>6</v>
      </c>
      <c r="Z22" s="7">
        <f>HOTEL!DC23</f>
        <v>13</v>
      </c>
      <c r="AA22" s="7">
        <f>HOTEL!DF24</f>
        <v>60</v>
      </c>
      <c r="AB22" s="8">
        <f>HOTEL!DI24</f>
        <v>23</v>
      </c>
      <c r="AC22" s="7">
        <f>HOTEL!DL24</f>
        <v>10</v>
      </c>
      <c r="AD22" s="8">
        <f>HOTEL!DO24</f>
        <v>8</v>
      </c>
      <c r="AE22" s="7">
        <f>HOTEL!DR24</f>
        <v>2</v>
      </c>
      <c r="AF22" s="7">
        <f>HOTEL!DU24</f>
        <v>9</v>
      </c>
      <c r="AG22" s="7">
        <f>HOTEL!DX24</f>
        <v>12</v>
      </c>
      <c r="AH22" s="7">
        <f>HOTEL!EA24</f>
        <v>9</v>
      </c>
      <c r="AI22" s="7">
        <f>HOTEL!ED24</f>
        <v>11</v>
      </c>
      <c r="AJ22" s="7">
        <f>HOTEL!EG24</f>
        <v>0</v>
      </c>
      <c r="AK22" s="7">
        <f>TOTAL!K22</f>
        <v>0.54949999999999999</v>
      </c>
    </row>
    <row r="23" spans="1:37" ht="15" x14ac:dyDescent="0.25">
      <c r="A23" s="2" t="s">
        <v>19</v>
      </c>
      <c r="B23" s="7">
        <f>TOTAL!B23</f>
        <v>22</v>
      </c>
      <c r="C23" s="87">
        <f>TOTAL!C23</f>
        <v>3</v>
      </c>
      <c r="D23" s="7">
        <v>2021</v>
      </c>
      <c r="E23" s="7">
        <f>TOTAL!E23</f>
        <v>23880</v>
      </c>
      <c r="F23" s="7">
        <f>HOTEL!V25</f>
        <v>2183</v>
      </c>
      <c r="G23" s="7">
        <f>HOTEL!X25</f>
        <v>417</v>
      </c>
      <c r="H23" s="8">
        <f>HOTEL!EI25</f>
        <v>0</v>
      </c>
      <c r="I23" s="8">
        <f>HOTEL!EK25</f>
        <v>0</v>
      </c>
      <c r="J23" s="8">
        <f>HOTEL!EM25</f>
        <v>0</v>
      </c>
      <c r="K23" s="8">
        <f>HOTEL!EO25</f>
        <v>0</v>
      </c>
      <c r="L23" s="7">
        <f t="shared" si="1"/>
        <v>70</v>
      </c>
      <c r="M23" s="7">
        <f>HOTEL!AL25</f>
        <v>0</v>
      </c>
      <c r="N23" s="7">
        <f>HOTEL!AT25</f>
        <v>1</v>
      </c>
      <c r="O23" s="7">
        <f>HOTEL!AX25</f>
        <v>1</v>
      </c>
      <c r="P23" s="7">
        <f>HOTEL!AZ25</f>
        <v>1</v>
      </c>
      <c r="Q23" s="7">
        <f>HOTEL!BB25</f>
        <v>13</v>
      </c>
      <c r="R23" s="7">
        <f>HOTEL!BD25</f>
        <v>5</v>
      </c>
      <c r="S23" s="7">
        <f>HOTEL!BF25</f>
        <v>2</v>
      </c>
      <c r="T23" s="7">
        <f>HOTEL!BH25</f>
        <v>1</v>
      </c>
      <c r="U23" s="7">
        <f>HOTEL!BJ25</f>
        <v>1</v>
      </c>
      <c r="V23" s="7">
        <f>HOTEL!BL25</f>
        <v>6</v>
      </c>
      <c r="W23" s="7">
        <f>HOTEL!BX25</f>
        <v>36</v>
      </c>
      <c r="X23" s="7">
        <f>HOTEL!CE25</f>
        <v>33</v>
      </c>
      <c r="Y23" s="7">
        <f>HOTEL!CZ25</f>
        <v>6</v>
      </c>
      <c r="Z23" s="7">
        <f>HOTEL!DC24</f>
        <v>18</v>
      </c>
      <c r="AA23" s="7" t="str">
        <f>HOTEL!DF25</f>
        <v>0</v>
      </c>
      <c r="AB23" s="8">
        <f>HOTEL!DI25</f>
        <v>17</v>
      </c>
      <c r="AC23" s="7">
        <f>HOTEL!DL25</f>
        <v>10</v>
      </c>
      <c r="AD23" s="8">
        <f>HOTEL!DO25</f>
        <v>8</v>
      </c>
      <c r="AE23" s="7">
        <f>HOTEL!DR25</f>
        <v>1</v>
      </c>
      <c r="AF23" s="7">
        <f>HOTEL!DU25</f>
        <v>10</v>
      </c>
      <c r="AG23" s="7">
        <f>HOTEL!DX25</f>
        <v>14</v>
      </c>
      <c r="AH23" s="7">
        <f>HOTEL!EA25</f>
        <v>9</v>
      </c>
      <c r="AI23" s="7">
        <f>HOTEL!ED25</f>
        <v>12</v>
      </c>
      <c r="AJ23" s="7">
        <f>HOTEL!EG25</f>
        <v>0</v>
      </c>
      <c r="AK23" s="7">
        <f>TOTAL!K23</f>
        <v>0.53849999999999998</v>
      </c>
    </row>
    <row r="24" spans="1:37" ht="15" x14ac:dyDescent="0.25">
      <c r="A24" s="2" t="s">
        <v>19</v>
      </c>
      <c r="B24" s="7">
        <f>TOTAL!B24</f>
        <v>23</v>
      </c>
      <c r="C24" s="87">
        <f>TOTAL!C24</f>
        <v>3</v>
      </c>
      <c r="D24" s="7">
        <v>2021</v>
      </c>
      <c r="E24" s="7">
        <f>TOTAL!E24</f>
        <v>25379</v>
      </c>
      <c r="F24" s="7">
        <f>HOTEL!V26</f>
        <v>2713</v>
      </c>
      <c r="G24" s="7">
        <f>HOTEL!X26</f>
        <v>415</v>
      </c>
      <c r="H24" s="8">
        <f>HOTEL!EI26</f>
        <v>0</v>
      </c>
      <c r="I24" s="8">
        <f>HOTEL!EK26</f>
        <v>0</v>
      </c>
      <c r="J24" s="8">
        <f>HOTEL!EM26</f>
        <v>0</v>
      </c>
      <c r="K24" s="8">
        <f>HOTEL!EO26</f>
        <v>0</v>
      </c>
      <c r="L24" s="7">
        <f t="shared" si="1"/>
        <v>39</v>
      </c>
      <c r="M24" s="7">
        <f>HOTEL!AL26</f>
        <v>0</v>
      </c>
      <c r="N24" s="7">
        <f>HOTEL!AT26</f>
        <v>0</v>
      </c>
      <c r="O24" s="7">
        <f>HOTEL!AX26</f>
        <v>1</v>
      </c>
      <c r="P24" s="7">
        <f>HOTEL!AZ26</f>
        <v>0</v>
      </c>
      <c r="Q24" s="7">
        <f>HOTEL!BB26</f>
        <v>15</v>
      </c>
      <c r="R24" s="7">
        <f>HOTEL!BD26</f>
        <v>5</v>
      </c>
      <c r="S24" s="7">
        <f>HOTEL!BF26</f>
        <v>2</v>
      </c>
      <c r="T24" s="7">
        <f>HOTEL!BH26</f>
        <v>0</v>
      </c>
      <c r="U24" s="7">
        <f>HOTEL!BJ26</f>
        <v>1</v>
      </c>
      <c r="V24" s="7">
        <f>HOTEL!BL26</f>
        <v>8</v>
      </c>
      <c r="W24" s="7">
        <f>HOTEL!BX26</f>
        <v>10</v>
      </c>
      <c r="X24" s="7">
        <f>HOTEL!CE26</f>
        <v>29</v>
      </c>
      <c r="Y24" s="7">
        <f>HOTEL!CZ26</f>
        <v>5</v>
      </c>
      <c r="Z24" s="7">
        <f>HOTEL!DC25</f>
        <v>11</v>
      </c>
      <c r="AA24" s="7">
        <f>HOTEL!DF26</f>
        <v>163</v>
      </c>
      <c r="AB24" s="8">
        <f>HOTEL!DI26</f>
        <v>22</v>
      </c>
      <c r="AC24" s="7">
        <f>HOTEL!DL26</f>
        <v>10</v>
      </c>
      <c r="AD24" s="8">
        <f>HOTEL!DO26</f>
        <v>8</v>
      </c>
      <c r="AE24" s="7">
        <f>HOTEL!DR26</f>
        <v>2</v>
      </c>
      <c r="AF24" s="7">
        <f>HOTEL!DU26</f>
        <v>9</v>
      </c>
      <c r="AG24" s="7">
        <f>HOTEL!DX26</f>
        <v>13</v>
      </c>
      <c r="AH24" s="7">
        <f>HOTEL!EA26</f>
        <v>9</v>
      </c>
      <c r="AI24" s="7">
        <f>HOTEL!ED26</f>
        <v>43</v>
      </c>
      <c r="AJ24" s="7">
        <f>HOTEL!EG26</f>
        <v>0</v>
      </c>
      <c r="AK24" s="7">
        <f>TOTAL!K24</f>
        <v>0.53849999999999998</v>
      </c>
    </row>
    <row r="25" spans="1:37" ht="15" x14ac:dyDescent="0.25">
      <c r="A25" s="2" t="s">
        <v>19</v>
      </c>
      <c r="B25" s="7">
        <f>TOTAL!B25</f>
        <v>24</v>
      </c>
      <c r="C25" s="87">
        <f>TOTAL!C25</f>
        <v>3</v>
      </c>
      <c r="D25" s="7">
        <v>2021</v>
      </c>
      <c r="E25" s="7">
        <f>TOTAL!E25</f>
        <v>25096</v>
      </c>
      <c r="F25" s="7">
        <f>HOTEL!V27</f>
        <v>2384</v>
      </c>
      <c r="G25" s="7">
        <f>HOTEL!X27</f>
        <v>415</v>
      </c>
      <c r="H25" s="8">
        <f>HOTEL!EI27</f>
        <v>0</v>
      </c>
      <c r="I25" s="8">
        <f>HOTEL!EK27</f>
        <v>0</v>
      </c>
      <c r="J25" s="8">
        <f>HOTEL!EM27</f>
        <v>0</v>
      </c>
      <c r="K25" s="8">
        <f>HOTEL!EO27</f>
        <v>0</v>
      </c>
      <c r="L25" s="7">
        <f t="shared" si="1"/>
        <v>62</v>
      </c>
      <c r="M25" s="7">
        <f>HOTEL!AL27</f>
        <v>2</v>
      </c>
      <c r="N25" s="7">
        <f>HOTEL!AT27</f>
        <v>1</v>
      </c>
      <c r="O25" s="7">
        <f>HOTEL!AX27</f>
        <v>0</v>
      </c>
      <c r="P25" s="7">
        <f>HOTEL!AZ27</f>
        <v>0</v>
      </c>
      <c r="Q25" s="7">
        <f>HOTEL!BB27</f>
        <v>14</v>
      </c>
      <c r="R25" s="7">
        <f>HOTEL!BD27</f>
        <v>4</v>
      </c>
      <c r="S25" s="7">
        <f>HOTEL!BF27</f>
        <v>2</v>
      </c>
      <c r="T25" s="7">
        <f>HOTEL!BH27</f>
        <v>2</v>
      </c>
      <c r="U25" s="7">
        <f>HOTEL!BJ27</f>
        <v>1</v>
      </c>
      <c r="V25" s="7">
        <f>HOTEL!BL27</f>
        <v>6</v>
      </c>
      <c r="W25" s="7">
        <f>HOTEL!BX27</f>
        <v>21</v>
      </c>
      <c r="X25" s="7">
        <f>HOTEL!CE27</f>
        <v>40</v>
      </c>
      <c r="Y25" s="7">
        <f>HOTEL!CZ27</f>
        <v>0</v>
      </c>
      <c r="Z25" s="7">
        <f>HOTEL!DC26</f>
        <v>18</v>
      </c>
      <c r="AA25" s="7">
        <f>HOTEL!DF27</f>
        <v>58</v>
      </c>
      <c r="AB25" s="8">
        <f>HOTEL!DI27</f>
        <v>22</v>
      </c>
      <c r="AC25" s="7">
        <f>HOTEL!DL27</f>
        <v>10</v>
      </c>
      <c r="AD25" s="8">
        <f>HOTEL!DO27</f>
        <v>8</v>
      </c>
      <c r="AE25" s="7">
        <f>HOTEL!DR27</f>
        <v>1</v>
      </c>
      <c r="AF25" s="7">
        <f>HOTEL!DU27</f>
        <v>10</v>
      </c>
      <c r="AG25" s="7">
        <f>HOTEL!DX27</f>
        <v>13</v>
      </c>
      <c r="AH25" s="7">
        <f>HOTEL!EA27</f>
        <v>8</v>
      </c>
      <c r="AI25" s="7" t="str">
        <f>HOTEL!ED27</f>
        <v>0</v>
      </c>
      <c r="AJ25" s="7">
        <f>HOTEL!EG27</f>
        <v>0</v>
      </c>
      <c r="AK25" s="7">
        <f>TOTAL!K25</f>
        <v>0.58240000000000003</v>
      </c>
    </row>
    <row r="26" spans="1:37" ht="15" x14ac:dyDescent="0.25">
      <c r="A26" s="2" t="s">
        <v>19</v>
      </c>
      <c r="B26" s="7">
        <f>TOTAL!B26</f>
        <v>25</v>
      </c>
      <c r="C26" s="87">
        <f>TOTAL!C26</f>
        <v>3</v>
      </c>
      <c r="D26" s="7">
        <v>2021</v>
      </c>
      <c r="E26" s="7">
        <f>TOTAL!E26</f>
        <v>25443</v>
      </c>
      <c r="F26" s="7">
        <f>HOTEL!V28</f>
        <v>2263</v>
      </c>
      <c r="G26" s="7">
        <f>HOTEL!X28</f>
        <v>394</v>
      </c>
      <c r="H26" s="8">
        <f>HOTEL!EI28</f>
        <v>0</v>
      </c>
      <c r="I26" s="8">
        <f>HOTEL!EK28</f>
        <v>0</v>
      </c>
      <c r="J26" s="8">
        <f>HOTEL!EM28</f>
        <v>0</v>
      </c>
      <c r="K26" s="8">
        <f>HOTEL!EO28</f>
        <v>0</v>
      </c>
      <c r="L26" s="7">
        <f t="shared" si="1"/>
        <v>41</v>
      </c>
      <c r="M26" s="7">
        <f>HOTEL!AL28</f>
        <v>2</v>
      </c>
      <c r="N26" s="7">
        <f>HOTEL!AT28</f>
        <v>3</v>
      </c>
      <c r="O26" s="7">
        <f>HOTEL!AX28</f>
        <v>2</v>
      </c>
      <c r="P26" s="7">
        <f>HOTEL!AZ28</f>
        <v>0</v>
      </c>
      <c r="Q26" s="7">
        <f>HOTEL!BB28</f>
        <v>14</v>
      </c>
      <c r="R26" s="7">
        <f>HOTEL!BD28</f>
        <v>2</v>
      </c>
      <c r="S26" s="7">
        <f>HOTEL!BF28</f>
        <v>2</v>
      </c>
      <c r="T26" s="7">
        <f>HOTEL!BH28</f>
        <v>1</v>
      </c>
      <c r="U26" s="7">
        <f>HOTEL!BJ28</f>
        <v>2</v>
      </c>
      <c r="V26" s="7">
        <f>HOTEL!BL28</f>
        <v>6</v>
      </c>
      <c r="W26" s="7">
        <f>HOTEL!BX28</f>
        <v>9</v>
      </c>
      <c r="X26" s="7">
        <f>HOTEL!CE28</f>
        <v>29</v>
      </c>
      <c r="Y26" s="7">
        <f>HOTEL!CZ28</f>
        <v>5</v>
      </c>
      <c r="Z26" s="7">
        <f>HOTEL!DC27</f>
        <v>15</v>
      </c>
      <c r="AA26" s="7">
        <f>HOTEL!DF28</f>
        <v>52</v>
      </c>
      <c r="AB26" s="8">
        <f>HOTEL!DI28</f>
        <v>22</v>
      </c>
      <c r="AC26" s="7">
        <f>HOTEL!DL28</f>
        <v>10</v>
      </c>
      <c r="AD26" s="8">
        <f>HOTEL!DO28</f>
        <v>7</v>
      </c>
      <c r="AE26" s="7">
        <f>HOTEL!DR28</f>
        <v>1</v>
      </c>
      <c r="AF26" s="7">
        <f>HOTEL!DU28</f>
        <v>8</v>
      </c>
      <c r="AG26" s="7">
        <f>HOTEL!DX28</f>
        <v>13</v>
      </c>
      <c r="AH26" s="7">
        <f>HOTEL!EA28</f>
        <v>9</v>
      </c>
      <c r="AI26" s="7">
        <f>HOTEL!ED28</f>
        <v>11</v>
      </c>
      <c r="AJ26" s="7">
        <f>HOTEL!EG28</f>
        <v>0</v>
      </c>
      <c r="AK26" s="7">
        <f>TOTAL!K26</f>
        <v>0.62639999999999996</v>
      </c>
    </row>
    <row r="27" spans="1:37" ht="15" x14ac:dyDescent="0.25">
      <c r="A27" s="2" t="s">
        <v>19</v>
      </c>
      <c r="B27" s="7">
        <f>TOTAL!B27</f>
        <v>26</v>
      </c>
      <c r="C27" s="87">
        <f>TOTAL!C27</f>
        <v>3</v>
      </c>
      <c r="D27" s="7">
        <v>2021</v>
      </c>
      <c r="E27" s="7">
        <f>TOTAL!E27</f>
        <v>27303</v>
      </c>
      <c r="F27" s="7">
        <f>HOTEL!V29</f>
        <v>1444</v>
      </c>
      <c r="G27" s="7">
        <f>HOTEL!X29</f>
        <v>450</v>
      </c>
      <c r="H27" s="8">
        <f>HOTEL!EI29</f>
        <v>0</v>
      </c>
      <c r="I27" s="8">
        <f>HOTEL!EK29</f>
        <v>0</v>
      </c>
      <c r="J27" s="8">
        <f>HOTEL!EM29</f>
        <v>0</v>
      </c>
      <c r="K27" s="8">
        <f>HOTEL!EO29</f>
        <v>0</v>
      </c>
      <c r="L27" s="7">
        <f>N27+W27+X27</f>
        <v>80</v>
      </c>
      <c r="M27" s="7">
        <f>HOTEL!AL29</f>
        <v>4</v>
      </c>
      <c r="N27" s="7">
        <f>HOTEL!AT29</f>
        <v>2</v>
      </c>
      <c r="O27" s="7">
        <f>HOTEL!AX29</f>
        <v>1</v>
      </c>
      <c r="P27" s="7">
        <f>HOTEL!AZ29</f>
        <v>2</v>
      </c>
      <c r="Q27" s="7">
        <f>HOTEL!BB29</f>
        <v>14</v>
      </c>
      <c r="R27" s="7">
        <f>HOTEL!BD29</f>
        <v>4</v>
      </c>
      <c r="S27" s="7">
        <f>HOTEL!BF29</f>
        <v>3</v>
      </c>
      <c r="T27" s="7">
        <f>HOTEL!BH29</f>
        <v>3</v>
      </c>
      <c r="U27" s="7">
        <f>HOTEL!BJ29</f>
        <v>0</v>
      </c>
      <c r="V27" s="7">
        <f>HOTEL!BL29</f>
        <v>8</v>
      </c>
      <c r="W27" s="7">
        <f>HOTEL!BX29</f>
        <v>27</v>
      </c>
      <c r="X27" s="7">
        <f>HOTEL!CE29</f>
        <v>51</v>
      </c>
      <c r="Y27" s="7">
        <f>HOTEL!CZ29</f>
        <v>6</v>
      </c>
      <c r="Z27" s="7">
        <f>HOTEL!DC28</f>
        <v>18</v>
      </c>
      <c r="AA27" s="7">
        <f>HOTEL!DF29</f>
        <v>77</v>
      </c>
      <c r="AB27" s="8">
        <f>HOTEL!DI29</f>
        <v>23</v>
      </c>
      <c r="AC27" s="7">
        <f>HOTEL!DL29</f>
        <v>11</v>
      </c>
      <c r="AD27" s="8">
        <f>HOTEL!DO29</f>
        <v>10</v>
      </c>
      <c r="AE27" s="7">
        <f>HOTEL!DR29</f>
        <v>2</v>
      </c>
      <c r="AF27" s="7">
        <f>HOTEL!DU29</f>
        <v>9</v>
      </c>
      <c r="AG27" s="7">
        <f>HOTEL!DX29</f>
        <v>14</v>
      </c>
      <c r="AH27" s="7">
        <f>HOTEL!EA29</f>
        <v>9</v>
      </c>
      <c r="AI27" s="7">
        <f>HOTEL!ED29</f>
        <v>11</v>
      </c>
      <c r="AJ27" s="7">
        <f>HOTEL!EG29</f>
        <v>0</v>
      </c>
      <c r="AK27" s="7">
        <f>TOTAL!K27</f>
        <v>0.47249999999999998</v>
      </c>
    </row>
    <row r="28" spans="1:37" ht="15" x14ac:dyDescent="0.25">
      <c r="A28" s="2" t="s">
        <v>19</v>
      </c>
      <c r="B28" s="7">
        <f>TOTAL!B28</f>
        <v>27</v>
      </c>
      <c r="C28" s="87">
        <f>TOTAL!C28</f>
        <v>3</v>
      </c>
      <c r="D28" s="7">
        <v>2021</v>
      </c>
      <c r="E28" s="7">
        <f>TOTAL!E28</f>
        <v>25589</v>
      </c>
      <c r="F28" s="7">
        <f>HOTEL!V30</f>
        <v>903</v>
      </c>
      <c r="G28" s="7">
        <f>HOTEL!X30</f>
        <v>400</v>
      </c>
      <c r="H28" s="8">
        <f>HOTEL!EI30</f>
        <v>0</v>
      </c>
      <c r="I28" s="8">
        <f>HOTEL!EK30</f>
        <v>0</v>
      </c>
      <c r="J28" s="8">
        <f>HOTEL!EM30</f>
        <v>0</v>
      </c>
      <c r="K28" s="8">
        <f>HOTEL!EO30</f>
        <v>0</v>
      </c>
      <c r="L28" s="7">
        <f t="shared" si="1"/>
        <v>62</v>
      </c>
      <c r="M28" s="7">
        <f>HOTEL!AL30</f>
        <v>0</v>
      </c>
      <c r="N28" s="7">
        <f>HOTEL!AT30</f>
        <v>0</v>
      </c>
      <c r="O28" s="7">
        <f>HOTEL!AX30</f>
        <v>2</v>
      </c>
      <c r="P28" s="7">
        <f>HOTEL!AZ30</f>
        <v>1</v>
      </c>
      <c r="Q28" s="7">
        <f>HOTEL!BB30</f>
        <v>13</v>
      </c>
      <c r="R28" s="7">
        <f>HOTEL!BD30</f>
        <v>4</v>
      </c>
      <c r="S28" s="7">
        <f>HOTEL!BF30</f>
        <v>2</v>
      </c>
      <c r="T28" s="7">
        <f>HOTEL!BH30</f>
        <v>2</v>
      </c>
      <c r="U28" s="7">
        <f>HOTEL!BJ30</f>
        <v>0</v>
      </c>
      <c r="V28" s="7">
        <f>HOTEL!BL30</f>
        <v>7</v>
      </c>
      <c r="W28" s="7">
        <f>HOTEL!BX30</f>
        <v>17</v>
      </c>
      <c r="X28" s="7">
        <f>HOTEL!CE30</f>
        <v>45</v>
      </c>
      <c r="Y28" s="7">
        <f>HOTEL!CZ30</f>
        <v>5</v>
      </c>
      <c r="Z28" s="7">
        <f>HOTEL!DC29</f>
        <v>17</v>
      </c>
      <c r="AA28" s="7">
        <f>HOTEL!DF30</f>
        <v>72</v>
      </c>
      <c r="AB28" s="8">
        <f>HOTEL!DI30</f>
        <v>24</v>
      </c>
      <c r="AC28" s="7">
        <f>HOTEL!DL30</f>
        <v>10</v>
      </c>
      <c r="AD28" s="8">
        <f>HOTEL!DO30</f>
        <v>8</v>
      </c>
      <c r="AE28" s="7">
        <f>HOTEL!DR30</f>
        <v>1</v>
      </c>
      <c r="AF28" s="7">
        <f>HOTEL!DU30</f>
        <v>9</v>
      </c>
      <c r="AG28" s="7">
        <f>HOTEL!DX30</f>
        <v>13</v>
      </c>
      <c r="AH28" s="7">
        <f>HOTEL!EA30</f>
        <v>9</v>
      </c>
      <c r="AI28" s="7">
        <f>HOTEL!ED30</f>
        <v>11</v>
      </c>
      <c r="AJ28" s="7">
        <f>HOTEL!EG30</f>
        <v>0</v>
      </c>
      <c r="AK28" s="7">
        <f>TOTAL!K28</f>
        <v>0.47249999999999998</v>
      </c>
    </row>
    <row r="29" spans="1:37" ht="15" x14ac:dyDescent="0.25">
      <c r="A29" s="2" t="s">
        <v>19</v>
      </c>
      <c r="B29" s="7">
        <f>TOTAL!B29</f>
        <v>28</v>
      </c>
      <c r="C29" s="87">
        <f>TOTAL!C29</f>
        <v>3</v>
      </c>
      <c r="D29" s="7">
        <v>2021</v>
      </c>
      <c r="E29" s="7">
        <f>TOTAL!E29</f>
        <v>25294</v>
      </c>
      <c r="F29" s="7">
        <f>HOTEL!V31</f>
        <v>1994</v>
      </c>
      <c r="G29" s="7">
        <f>HOTEL!X31</f>
        <v>421</v>
      </c>
      <c r="H29" s="8">
        <f>HOTEL!EI31</f>
        <v>0</v>
      </c>
      <c r="I29" s="8">
        <f>HOTEL!EK31</f>
        <v>0</v>
      </c>
      <c r="J29" s="8">
        <f>HOTEL!EM31</f>
        <v>0</v>
      </c>
      <c r="K29" s="8">
        <f>HOTEL!EO31</f>
        <v>0</v>
      </c>
      <c r="L29" s="7">
        <f t="shared" si="1"/>
        <v>61</v>
      </c>
      <c r="M29" s="7">
        <f>HOTEL!AL31</f>
        <v>12</v>
      </c>
      <c r="N29" s="7">
        <f>HOTEL!AT31</f>
        <v>2</v>
      </c>
      <c r="O29" s="7">
        <f>HOTEL!AX31</f>
        <v>1</v>
      </c>
      <c r="P29" s="7">
        <f>HOTEL!AZ31</f>
        <v>0</v>
      </c>
      <c r="Q29" s="7">
        <f>HOTEL!BB31</f>
        <v>12</v>
      </c>
      <c r="R29" s="7">
        <f>HOTEL!BD31</f>
        <v>3</v>
      </c>
      <c r="S29" s="7">
        <f>HOTEL!BF31</f>
        <v>2</v>
      </c>
      <c r="T29" s="7">
        <f>HOTEL!BH31</f>
        <v>2</v>
      </c>
      <c r="U29" s="7">
        <f>HOTEL!BJ31</f>
        <v>1</v>
      </c>
      <c r="V29" s="7">
        <f>HOTEL!BL31</f>
        <v>4</v>
      </c>
      <c r="W29" s="7">
        <f>HOTEL!BX31</f>
        <v>32</v>
      </c>
      <c r="X29" s="7">
        <f>HOTEL!CE31</f>
        <v>27</v>
      </c>
      <c r="Y29" s="7">
        <f>HOTEL!CZ31</f>
        <v>6</v>
      </c>
      <c r="Z29" s="7">
        <f>HOTEL!DC30</f>
        <v>18</v>
      </c>
      <c r="AA29" s="7">
        <f>HOTEL!DF31</f>
        <v>59</v>
      </c>
      <c r="AB29" s="8">
        <f>HOTEL!DI31</f>
        <v>22</v>
      </c>
      <c r="AC29" s="7">
        <f>HOTEL!DL31</f>
        <v>10</v>
      </c>
      <c r="AD29" s="8">
        <f>HOTEL!DO31</f>
        <v>8</v>
      </c>
      <c r="AE29" s="7">
        <f>HOTEL!DR31</f>
        <v>2</v>
      </c>
      <c r="AF29" s="7">
        <f>HOTEL!DU31</f>
        <v>8</v>
      </c>
      <c r="AG29" s="7">
        <f>HOTEL!DX31</f>
        <v>13</v>
      </c>
      <c r="AH29" s="7">
        <f>HOTEL!EA31</f>
        <v>8</v>
      </c>
      <c r="AI29" s="7">
        <f>HOTEL!ED31</f>
        <v>11</v>
      </c>
      <c r="AJ29" s="7">
        <f>HOTEL!EG31</f>
        <v>0</v>
      </c>
      <c r="AK29" s="7">
        <f>TOTAL!K29</f>
        <v>0.46150000000000002</v>
      </c>
    </row>
    <row r="30" spans="1:37" ht="15" x14ac:dyDescent="0.25">
      <c r="A30" s="2" t="s">
        <v>19</v>
      </c>
      <c r="B30" s="7">
        <f>TOTAL!B30</f>
        <v>29</v>
      </c>
      <c r="C30" s="87">
        <f>TOTAL!C30</f>
        <v>3</v>
      </c>
      <c r="D30" s="7">
        <v>2021</v>
      </c>
      <c r="E30" s="7">
        <f>TOTAL!E30</f>
        <v>25546</v>
      </c>
      <c r="F30" s="7">
        <f>HOTEL!V32</f>
        <v>2792</v>
      </c>
      <c r="G30" s="7">
        <f>HOTEL!X32</f>
        <v>401</v>
      </c>
      <c r="H30" s="8">
        <f>HOTEL!EI32</f>
        <v>0</v>
      </c>
      <c r="I30" s="8">
        <f>HOTEL!EK32</f>
        <v>0</v>
      </c>
      <c r="J30" s="8">
        <f>HOTEL!EM32</f>
        <v>0</v>
      </c>
      <c r="K30" s="8">
        <f>HOTEL!EO32</f>
        <v>0</v>
      </c>
      <c r="L30" s="7">
        <f>N30+W30+X30</f>
        <v>60</v>
      </c>
      <c r="M30" s="7">
        <f>HOTEL!AL32</f>
        <v>6</v>
      </c>
      <c r="N30" s="7">
        <f>HOTEL!AT32</f>
        <v>2</v>
      </c>
      <c r="O30" s="7">
        <f>HOTEL!AX32</f>
        <v>2</v>
      </c>
      <c r="P30" s="7">
        <f>HOTEL!AZ32</f>
        <v>2</v>
      </c>
      <c r="Q30" s="7">
        <f>HOTEL!BB32</f>
        <v>10</v>
      </c>
      <c r="R30" s="7">
        <f>HOTEL!BD32</f>
        <v>4</v>
      </c>
      <c r="S30" s="7">
        <f>HOTEL!BF32</f>
        <v>2</v>
      </c>
      <c r="T30" s="7">
        <f>HOTEL!BH32</f>
        <v>1</v>
      </c>
      <c r="U30" s="7">
        <f>HOTEL!BJ32</f>
        <v>1</v>
      </c>
      <c r="V30" s="7">
        <f>HOTEL!BL32</f>
        <v>6</v>
      </c>
      <c r="W30" s="7">
        <f>HOTEL!BX32</f>
        <v>30</v>
      </c>
      <c r="X30" s="7">
        <f>HOTEL!CE32</f>
        <v>28</v>
      </c>
      <c r="Y30" s="7">
        <f>HOTEL!CZ32</f>
        <v>0</v>
      </c>
      <c r="Z30" s="7">
        <f>HOTEL!DC31</f>
        <v>17</v>
      </c>
      <c r="AA30" s="7">
        <f>HOTEL!DF32</f>
        <v>57</v>
      </c>
      <c r="AB30" s="8">
        <f>HOTEL!DI32</f>
        <v>24</v>
      </c>
      <c r="AC30" s="7">
        <f>HOTEL!DL32</f>
        <v>10</v>
      </c>
      <c r="AD30" s="8">
        <f>HOTEL!DO32</f>
        <v>8.8999999999996362</v>
      </c>
      <c r="AE30" s="7">
        <f>HOTEL!DR32</f>
        <v>1</v>
      </c>
      <c r="AF30" s="7">
        <f>HOTEL!DU32</f>
        <v>9</v>
      </c>
      <c r="AG30" s="7">
        <f>HOTEL!DX32</f>
        <v>13</v>
      </c>
      <c r="AH30" s="7">
        <f>HOTEL!EA32</f>
        <v>9</v>
      </c>
      <c r="AI30" s="7">
        <f>HOTEL!ED32</f>
        <v>9</v>
      </c>
      <c r="AJ30" s="7">
        <f>HOTEL!EG32</f>
        <v>0</v>
      </c>
      <c r="AK30" s="7">
        <f>TOTAL!K30</f>
        <v>0.45050000000000001</v>
      </c>
    </row>
    <row r="31" spans="1:37" ht="15" x14ac:dyDescent="0.25">
      <c r="A31" s="2" t="s">
        <v>19</v>
      </c>
      <c r="B31" s="7">
        <f>TOTAL!B31</f>
        <v>30</v>
      </c>
      <c r="C31" s="87">
        <f>TOTAL!C31</f>
        <v>3</v>
      </c>
      <c r="D31" s="7">
        <v>2021</v>
      </c>
      <c r="E31" s="7">
        <f>TOTAL!E31</f>
        <v>24481</v>
      </c>
      <c r="F31" s="7">
        <f>HOTEL!V33</f>
        <v>1892</v>
      </c>
      <c r="G31" s="7">
        <f>HOTEL!X33</f>
        <v>420</v>
      </c>
      <c r="H31" s="8">
        <f>HOTEL!EI33</f>
        <v>0</v>
      </c>
      <c r="I31" s="8">
        <f>HOTEL!EK33</f>
        <v>0</v>
      </c>
      <c r="J31" s="8">
        <f>HOTEL!EM33</f>
        <v>0</v>
      </c>
      <c r="K31" s="8">
        <f>HOTEL!EO33</f>
        <v>0</v>
      </c>
      <c r="L31" s="7">
        <f t="shared" si="1"/>
        <v>54</v>
      </c>
      <c r="M31" s="7">
        <f>HOTEL!AL33</f>
        <v>12</v>
      </c>
      <c r="N31" s="7">
        <f>HOTEL!AT33</f>
        <v>3</v>
      </c>
      <c r="O31" s="7">
        <f>HOTEL!AX33</f>
        <v>2</v>
      </c>
      <c r="P31" s="7">
        <f>HOTEL!AZ33</f>
        <v>2</v>
      </c>
      <c r="Q31" s="7">
        <f>HOTEL!BB33</f>
        <v>2</v>
      </c>
      <c r="R31" s="7">
        <f>HOTEL!BD33</f>
        <v>4</v>
      </c>
      <c r="S31" s="7">
        <f>HOTEL!BF33</f>
        <v>2</v>
      </c>
      <c r="T31" s="7">
        <f>HOTEL!BH33</f>
        <v>2</v>
      </c>
      <c r="U31" s="7">
        <f>HOTEL!BJ33</f>
        <v>1</v>
      </c>
      <c r="V31" s="7">
        <f>HOTEL!BL33</f>
        <v>6</v>
      </c>
      <c r="W31" s="7">
        <f>HOTEL!BX33</f>
        <v>31</v>
      </c>
      <c r="X31" s="7">
        <f>HOTEL!CE33</f>
        <v>20</v>
      </c>
      <c r="Y31" s="7">
        <f>HOTEL!CZ33</f>
        <v>6</v>
      </c>
      <c r="Z31" s="7">
        <f>HOTEL!DC32</f>
        <v>18</v>
      </c>
      <c r="AA31" s="7">
        <f>HOTEL!DF33</f>
        <v>57</v>
      </c>
      <c r="AB31" s="8">
        <f>HOTEL!DI33</f>
        <v>25</v>
      </c>
      <c r="AC31" s="7">
        <f>HOTEL!DL33</f>
        <v>11</v>
      </c>
      <c r="AD31" s="8">
        <f>HOTEL!DO33</f>
        <v>8.1000000000003638</v>
      </c>
      <c r="AE31" s="7">
        <f>HOTEL!DR33</f>
        <v>1</v>
      </c>
      <c r="AF31" s="7">
        <f>HOTEL!DU33</f>
        <v>10</v>
      </c>
      <c r="AG31" s="7">
        <f>HOTEL!DX33</f>
        <v>14</v>
      </c>
      <c r="AH31" s="7">
        <f>HOTEL!EA33</f>
        <v>9</v>
      </c>
      <c r="AI31" s="7">
        <f>HOTEL!ED33</f>
        <v>11</v>
      </c>
      <c r="AJ31" s="7">
        <f>HOTEL!EG33</f>
        <v>0</v>
      </c>
      <c r="AK31" s="7">
        <f>TOTAL!K31</f>
        <v>0.42859999999999998</v>
      </c>
    </row>
    <row r="32" spans="1:37" ht="15" x14ac:dyDescent="0.25">
      <c r="A32" s="2" t="s">
        <v>19</v>
      </c>
      <c r="B32" s="7">
        <f>TOTAL!B32</f>
        <v>31</v>
      </c>
      <c r="C32" s="87">
        <f>TOTAL!C32</f>
        <v>3</v>
      </c>
      <c r="D32" s="7">
        <v>2021</v>
      </c>
      <c r="E32" s="7">
        <f>TOTAL!E32</f>
        <v>22834</v>
      </c>
      <c r="F32" s="7">
        <f>HOTEL!V34</f>
        <v>833</v>
      </c>
      <c r="G32" s="7">
        <f>HOTEL!X34</f>
        <v>439</v>
      </c>
      <c r="H32" s="8">
        <f>HOTEL!EI34</f>
        <v>0</v>
      </c>
      <c r="I32" s="8">
        <f>HOTEL!EK34</f>
        <v>0</v>
      </c>
      <c r="J32" s="8">
        <f>HOTEL!EM34</f>
        <v>0</v>
      </c>
      <c r="K32" s="8">
        <f>HOTEL!EO34</f>
        <v>0</v>
      </c>
      <c r="L32" s="7">
        <f t="shared" ref="L32" si="2">N32+W32+X32</f>
        <v>79</v>
      </c>
      <c r="M32" s="7">
        <f>HOTEL!AL34</f>
        <v>0</v>
      </c>
      <c r="N32" s="7">
        <f>HOTEL!AT34</f>
        <v>3</v>
      </c>
      <c r="O32" s="7">
        <f>HOTEL!AX34</f>
        <v>2</v>
      </c>
      <c r="P32" s="7">
        <f>HOTEL!AZ34</f>
        <v>1</v>
      </c>
      <c r="Q32" s="7">
        <f>HOTEL!BB34</f>
        <v>25</v>
      </c>
      <c r="R32" s="7">
        <f>HOTEL!BD34</f>
        <v>4</v>
      </c>
      <c r="S32" s="7">
        <f>HOTEL!BF34</f>
        <v>2</v>
      </c>
      <c r="T32" s="7">
        <f>HOTEL!BH34</f>
        <v>2</v>
      </c>
      <c r="U32" s="7">
        <f>HOTEL!BJ34</f>
        <v>0</v>
      </c>
      <c r="V32" s="7">
        <f>HOTEL!BL34</f>
        <v>5</v>
      </c>
      <c r="W32" s="7">
        <f>HOTEL!BX34</f>
        <v>33</v>
      </c>
      <c r="X32" s="7">
        <f>HOTEL!CE34</f>
        <v>43</v>
      </c>
      <c r="Y32" s="7">
        <f>HOTEL!CZ34</f>
        <v>6</v>
      </c>
      <c r="Z32" s="7">
        <f>HOTEL!DC33</f>
        <v>12</v>
      </c>
      <c r="AA32" s="7">
        <f>HOTEL!DF34</f>
        <v>80</v>
      </c>
      <c r="AB32" s="8">
        <f>HOTEL!DI34</f>
        <v>26</v>
      </c>
      <c r="AC32" s="7">
        <f>HOTEL!DL34</f>
        <v>10</v>
      </c>
      <c r="AD32" s="8">
        <f>HOTEL!DO34</f>
        <v>9</v>
      </c>
      <c r="AE32" s="7">
        <f>HOTEL!DR34</f>
        <v>2</v>
      </c>
      <c r="AF32" s="7">
        <f>HOTEL!DU34</f>
        <v>8</v>
      </c>
      <c r="AG32" s="7">
        <f>HOTEL!DX34</f>
        <v>14</v>
      </c>
      <c r="AH32" s="7">
        <f>HOTEL!EA34</f>
        <v>8</v>
      </c>
      <c r="AI32" s="7">
        <f>HOTEL!ED34</f>
        <v>12</v>
      </c>
      <c r="AJ32" s="7">
        <f>HOTEL!EG34</f>
        <v>0</v>
      </c>
      <c r="AK32" s="7">
        <f>TOTAL!K32</f>
        <v>0.35160000000000002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FA52"/>
  <sheetViews>
    <sheetView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G7" sqref="G7"/>
    </sheetView>
  </sheetViews>
  <sheetFormatPr defaultRowHeight="12.75" x14ac:dyDescent="0.2"/>
  <cols>
    <col min="1" max="1" width="8.85546875" style="7" customWidth="1"/>
    <col min="2" max="2" width="11" style="20" customWidth="1"/>
    <col min="3" max="3" width="10.5703125" style="11" bestFit="1" customWidth="1"/>
    <col min="4" max="4" width="11.140625" style="7" bestFit="1" customWidth="1"/>
    <col min="5" max="5" width="11" style="11" bestFit="1" customWidth="1"/>
    <col min="6" max="6" width="8.85546875" style="7" customWidth="1"/>
    <col min="7" max="7" width="9.42578125" style="7" bestFit="1" customWidth="1"/>
    <col min="8" max="8" width="9.42578125" style="7" customWidth="1"/>
    <col min="9" max="9" width="8.85546875" style="7" customWidth="1"/>
    <col min="10" max="10" width="8.85546875" style="12" customWidth="1"/>
    <col min="11" max="11" width="8.85546875" style="7" customWidth="1"/>
    <col min="12" max="12" width="8.85546875" style="12" customWidth="1"/>
    <col min="13" max="13" width="8.85546875" style="7" customWidth="1"/>
    <col min="14" max="14" width="8.85546875" style="12" customWidth="1"/>
    <col min="15" max="15" width="8.85546875" style="7" customWidth="1"/>
    <col min="16" max="20" width="8.85546875" style="12" customWidth="1"/>
    <col min="21" max="21" width="11.7109375" style="7" customWidth="1"/>
    <col min="22" max="22" width="9.85546875" style="12" bestFit="1" customWidth="1"/>
    <col min="23" max="23" width="15" style="7" customWidth="1"/>
    <col min="24" max="24" width="13.28515625" style="12" customWidth="1"/>
    <col min="25" max="25" width="8.85546875" style="7" customWidth="1"/>
    <col min="26" max="27" width="8.85546875" style="12" customWidth="1"/>
    <col min="28" max="30" width="8.85546875" style="7" customWidth="1"/>
    <col min="31" max="31" width="12" style="7" bestFit="1" customWidth="1"/>
    <col min="32" max="32" width="8.85546875" style="12" customWidth="1"/>
    <col min="33" max="33" width="8.85546875" style="7" customWidth="1"/>
    <col min="34" max="34" width="8.85546875" style="12" bestFit="1" customWidth="1"/>
    <col min="35" max="35" width="8.85546875" style="7" customWidth="1"/>
    <col min="36" max="36" width="8.85546875" style="12" bestFit="1" customWidth="1"/>
    <col min="37" max="37" width="13.7109375" style="7" bestFit="1" customWidth="1"/>
    <col min="38" max="38" width="8.85546875" style="12" customWidth="1"/>
    <col min="39" max="44" width="9.140625" style="7" customWidth="1"/>
    <col min="45" max="45" width="8.85546875" style="7" customWidth="1"/>
    <col min="46" max="46" width="9.7109375" style="12" bestFit="1" customWidth="1"/>
    <col min="47" max="47" width="8.85546875" style="7" customWidth="1"/>
    <col min="48" max="48" width="9.7109375" style="12" bestFit="1" customWidth="1"/>
    <col min="49" max="49" width="8.85546875" style="7" customWidth="1"/>
    <col min="50" max="50" width="8.85546875" style="12" customWidth="1"/>
    <col min="51" max="51" width="8.85546875" style="7" customWidth="1"/>
    <col min="52" max="52" width="8.85546875" style="12" customWidth="1"/>
    <col min="53" max="53" width="8.85546875" style="7" customWidth="1"/>
    <col min="54" max="54" width="8.85546875" style="12" customWidth="1"/>
    <col min="55" max="55" width="8.85546875" style="7" customWidth="1"/>
    <col min="56" max="56" width="8.85546875" style="12" customWidth="1"/>
    <col min="57" max="57" width="8.85546875" style="7" customWidth="1"/>
    <col min="58" max="58" width="8.85546875" style="12" customWidth="1"/>
    <col min="59" max="59" width="8.85546875" style="7" customWidth="1"/>
    <col min="60" max="60" width="8.85546875" style="12" customWidth="1"/>
    <col min="61" max="61" width="8.85546875" style="7" customWidth="1"/>
    <col min="62" max="62" width="8.85546875" style="12" customWidth="1"/>
    <col min="63" max="63" width="8.85546875" style="7" customWidth="1"/>
    <col min="64" max="64" width="8.85546875" style="12" customWidth="1"/>
    <col min="65" max="65" width="12.85546875" style="7" bestFit="1" customWidth="1"/>
    <col min="66" max="66" width="8.5703125" style="12" bestFit="1" customWidth="1"/>
    <col min="67" max="67" width="13.140625" style="7" bestFit="1" customWidth="1"/>
    <col min="68" max="68" width="8.42578125" style="12" bestFit="1" customWidth="1"/>
    <col min="69" max="69" width="15.42578125" style="7" customWidth="1"/>
    <col min="70" max="70" width="8.85546875" style="12" customWidth="1"/>
    <col min="71" max="71" width="17.28515625" style="7" bestFit="1" customWidth="1"/>
    <col min="72" max="72" width="8.85546875" style="12" customWidth="1"/>
    <col min="73" max="73" width="14.85546875" style="7" bestFit="1" customWidth="1"/>
    <col min="74" max="74" width="10.7109375" style="7" bestFit="1" customWidth="1"/>
    <col min="75" max="75" width="9.28515625" style="7" bestFit="1" customWidth="1"/>
    <col min="76" max="76" width="9.7109375" style="7" bestFit="1" customWidth="1"/>
    <col min="77" max="77" width="9.28515625" style="7" bestFit="1" customWidth="1"/>
    <col min="78" max="78" width="9.7109375" style="7" bestFit="1" customWidth="1"/>
    <col min="79" max="79" width="8.85546875" style="7" customWidth="1"/>
    <col min="80" max="80" width="9.7109375" style="7" bestFit="1" customWidth="1"/>
    <col min="81" max="81" width="8.85546875" style="7" customWidth="1"/>
    <col min="82" max="83" width="9.7109375" style="7" bestFit="1" customWidth="1"/>
    <col min="84" max="84" width="8.85546875" style="7" customWidth="1"/>
    <col min="85" max="85" width="9.7109375" style="7" bestFit="1" customWidth="1"/>
    <col min="86" max="86" width="10.28515625" style="7" customWidth="1"/>
    <col min="87" max="87" width="10.5703125" style="7" bestFit="1" customWidth="1"/>
    <col min="88" max="88" width="6" style="7" customWidth="1"/>
    <col min="89" max="89" width="9.42578125" style="7" customWidth="1"/>
    <col min="90" max="90" width="10" style="7" bestFit="1" customWidth="1"/>
    <col min="91" max="91" width="9.28515625" style="7" bestFit="1" customWidth="1"/>
    <col min="92" max="92" width="10.5703125" style="7" bestFit="1" customWidth="1"/>
    <col min="93" max="98" width="8.85546875" style="7" customWidth="1"/>
    <col min="99" max="99" width="10.5703125" style="7" bestFit="1" customWidth="1"/>
    <col min="100" max="100" width="10.140625" style="7" bestFit="1" customWidth="1"/>
    <col min="101" max="101" width="10.5703125" style="7" bestFit="1" customWidth="1"/>
    <col min="102" max="102" width="12.140625" style="7" bestFit="1" customWidth="1"/>
    <col min="103" max="103" width="8.85546875" style="7" customWidth="1"/>
    <col min="104" max="104" width="10.7109375" style="7" bestFit="1" customWidth="1"/>
    <col min="105" max="105" width="11.5703125" style="7" bestFit="1" customWidth="1"/>
    <col min="106" max="106" width="8.7109375" style="7" customWidth="1"/>
    <col min="107" max="107" width="14.5703125" style="7" bestFit="1" customWidth="1"/>
    <col min="108" max="108" width="8.7109375" style="7" bestFit="1" customWidth="1"/>
    <col min="109" max="109" width="8.85546875" style="7" customWidth="1"/>
    <col min="110" max="110" width="11.7109375" style="7" bestFit="1" customWidth="1"/>
    <col min="111" max="112" width="8.85546875" style="7" customWidth="1"/>
    <col min="113" max="113" width="9.7109375" style="7" bestFit="1" customWidth="1"/>
    <col min="114" max="137" width="8.85546875" style="7" customWidth="1"/>
    <col min="138" max="141" width="8.7109375" style="7" customWidth="1"/>
    <col min="142" max="145" width="8.85546875" style="7" customWidth="1"/>
    <col min="146" max="146" width="12" style="7" customWidth="1"/>
    <col min="147" max="148" width="9.140625" style="7"/>
    <col min="149" max="149" width="12" style="7" customWidth="1"/>
    <col min="150" max="16384" width="9.140625" style="7"/>
  </cols>
  <sheetData>
    <row r="1" spans="1:154" s="25" customFormat="1" ht="39.75" customHeight="1" thickBot="1" x14ac:dyDescent="0.3">
      <c r="B1" s="149" t="s">
        <v>52</v>
      </c>
      <c r="C1" s="150"/>
      <c r="D1" s="150"/>
      <c r="E1" s="150"/>
      <c r="F1" s="150"/>
      <c r="G1" s="150"/>
      <c r="H1" s="150"/>
      <c r="I1" s="151" t="s">
        <v>53</v>
      </c>
      <c r="J1" s="151"/>
      <c r="K1" s="151"/>
      <c r="L1" s="151"/>
      <c r="M1" s="151" t="s">
        <v>54</v>
      </c>
      <c r="N1" s="151"/>
      <c r="O1" s="151"/>
      <c r="P1" s="151"/>
      <c r="Q1" s="31" t="s">
        <v>55</v>
      </c>
      <c r="R1" s="31" t="s">
        <v>56</v>
      </c>
      <c r="S1" s="31" t="s">
        <v>57</v>
      </c>
      <c r="T1" s="31" t="s">
        <v>56</v>
      </c>
      <c r="U1" s="26" t="s">
        <v>58</v>
      </c>
      <c r="V1" s="107" t="s">
        <v>56</v>
      </c>
      <c r="W1" s="27" t="s">
        <v>22</v>
      </c>
      <c r="X1" s="28" t="s">
        <v>56</v>
      </c>
      <c r="Y1" s="149" t="s">
        <v>59</v>
      </c>
      <c r="Z1" s="152"/>
      <c r="AA1" s="31"/>
      <c r="AB1" s="29" t="s">
        <v>60</v>
      </c>
      <c r="AC1" s="29" t="s">
        <v>61</v>
      </c>
      <c r="AD1" s="29" t="s">
        <v>62</v>
      </c>
      <c r="AE1" s="29"/>
      <c r="AF1" s="29"/>
      <c r="AG1" s="30"/>
      <c r="AH1" s="30"/>
      <c r="AI1" s="153" t="s">
        <v>63</v>
      </c>
      <c r="AJ1" s="153"/>
      <c r="AK1" s="108" t="s">
        <v>64</v>
      </c>
      <c r="AL1" s="108"/>
      <c r="AM1" s="29" t="s">
        <v>65</v>
      </c>
      <c r="AN1" s="108" t="s">
        <v>56</v>
      </c>
      <c r="AO1" s="108"/>
      <c r="AP1" s="108" t="s">
        <v>56</v>
      </c>
      <c r="AQ1" s="154" t="s">
        <v>66</v>
      </c>
      <c r="AR1" s="155"/>
      <c r="AS1" s="154" t="s">
        <v>67</v>
      </c>
      <c r="AT1" s="155"/>
      <c r="AU1" s="154" t="s">
        <v>68</v>
      </c>
      <c r="AV1" s="155"/>
      <c r="AW1" s="149" t="s">
        <v>69</v>
      </c>
      <c r="AX1" s="152"/>
      <c r="AY1" s="149" t="s">
        <v>70</v>
      </c>
      <c r="AZ1" s="152"/>
      <c r="BA1" s="149" t="s">
        <v>71</v>
      </c>
      <c r="BB1" s="152"/>
      <c r="BC1" s="149" t="s">
        <v>72</v>
      </c>
      <c r="BD1" s="152"/>
      <c r="BE1" s="149" t="s">
        <v>73</v>
      </c>
      <c r="BF1" s="152"/>
      <c r="BG1" s="149" t="s">
        <v>74</v>
      </c>
      <c r="BH1" s="152"/>
      <c r="BI1" s="149" t="s">
        <v>75</v>
      </c>
      <c r="BJ1" s="152"/>
      <c r="BK1" s="149"/>
      <c r="BL1" s="152"/>
      <c r="BM1" s="31"/>
      <c r="BN1" s="31"/>
      <c r="BO1" s="31"/>
      <c r="BP1" s="31"/>
      <c r="BQ1" s="31"/>
      <c r="BR1" s="31"/>
      <c r="BS1" s="108"/>
      <c r="BT1" s="108"/>
      <c r="BU1" s="108" t="s">
        <v>76</v>
      </c>
      <c r="BV1" s="108"/>
      <c r="BW1" s="154" t="s">
        <v>77</v>
      </c>
      <c r="BX1" s="155"/>
      <c r="BY1" s="154" t="s">
        <v>78</v>
      </c>
      <c r="BZ1" s="155"/>
      <c r="CA1" s="149" t="s">
        <v>79</v>
      </c>
      <c r="CB1" s="152"/>
      <c r="CC1" s="154"/>
      <c r="CD1" s="155"/>
      <c r="CE1" s="30"/>
      <c r="CF1" s="30" t="s">
        <v>80</v>
      </c>
      <c r="CG1" s="30"/>
      <c r="CH1" s="32"/>
      <c r="CI1" s="33"/>
      <c r="CJ1" s="33" t="s">
        <v>81</v>
      </c>
      <c r="CK1" s="33"/>
      <c r="CL1" s="34"/>
      <c r="CM1" s="35"/>
      <c r="DE1" s="25" t="s">
        <v>82</v>
      </c>
      <c r="DG1" s="145"/>
      <c r="DH1" s="146" t="s">
        <v>83</v>
      </c>
      <c r="DI1" s="147"/>
      <c r="DJ1" s="149"/>
      <c r="DK1" s="150" t="s">
        <v>69</v>
      </c>
      <c r="DL1" s="152"/>
      <c r="DM1" s="145"/>
      <c r="DN1" s="146" t="s">
        <v>70</v>
      </c>
      <c r="DO1" s="147"/>
      <c r="DP1" s="145"/>
      <c r="DQ1" s="146" t="s">
        <v>71</v>
      </c>
      <c r="DR1" s="147"/>
      <c r="DS1" s="145"/>
      <c r="DT1" s="146" t="s">
        <v>72</v>
      </c>
      <c r="DU1" s="147"/>
      <c r="DV1" s="145"/>
      <c r="DW1" s="146" t="s">
        <v>73</v>
      </c>
      <c r="DX1" s="147"/>
      <c r="DY1" s="145"/>
      <c r="DZ1" s="146" t="s">
        <v>74</v>
      </c>
      <c r="EA1" s="147"/>
      <c r="EB1" s="145"/>
      <c r="EC1" s="146" t="s">
        <v>75</v>
      </c>
      <c r="ED1" s="147"/>
      <c r="EE1" s="145"/>
      <c r="EF1" s="146"/>
      <c r="EG1" s="147"/>
      <c r="EH1" s="36"/>
      <c r="EI1" s="36"/>
      <c r="EJ1" s="36"/>
      <c r="EK1" s="36"/>
      <c r="EQ1" s="25" t="s">
        <v>84</v>
      </c>
      <c r="ES1" s="148"/>
      <c r="ET1" s="148" t="s">
        <v>85</v>
      </c>
      <c r="EU1" s="148"/>
    </row>
    <row r="2" spans="1:154" customFormat="1" ht="26.25" thickBot="1" x14ac:dyDescent="0.3">
      <c r="A2" s="37" t="s">
        <v>86</v>
      </c>
      <c r="B2" s="38" t="s">
        <v>87</v>
      </c>
      <c r="C2" s="39" t="s">
        <v>56</v>
      </c>
      <c r="D2" s="40" t="s">
        <v>88</v>
      </c>
      <c r="E2" s="41" t="s">
        <v>56</v>
      </c>
      <c r="F2" s="40" t="s">
        <v>89</v>
      </c>
      <c r="G2" s="42" t="s">
        <v>90</v>
      </c>
      <c r="H2" s="43" t="s">
        <v>91</v>
      </c>
      <c r="I2" t="s">
        <v>88</v>
      </c>
      <c r="J2" s="110" t="s">
        <v>56</v>
      </c>
      <c r="K2" s="44" t="s">
        <v>92</v>
      </c>
      <c r="L2" s="39" t="s">
        <v>56</v>
      </c>
      <c r="M2" s="45" t="s">
        <v>88</v>
      </c>
      <c r="N2" s="39" t="s">
        <v>56</v>
      </c>
      <c r="O2" s="40" t="s">
        <v>92</v>
      </c>
      <c r="P2" s="39" t="s">
        <v>56</v>
      </c>
      <c r="Q2" s="40" t="s">
        <v>88</v>
      </c>
      <c r="R2" s="39" t="s">
        <v>56</v>
      </c>
      <c r="S2" s="40" t="s">
        <v>88</v>
      </c>
      <c r="T2" s="39" t="s">
        <v>56</v>
      </c>
      <c r="U2" s="40" t="s">
        <v>88</v>
      </c>
      <c r="V2" s="39" t="s">
        <v>56</v>
      </c>
      <c r="W2" s="46" t="s">
        <v>88</v>
      </c>
      <c r="X2" s="111" t="s">
        <v>56</v>
      </c>
      <c r="Y2" s="40" t="s">
        <v>93</v>
      </c>
      <c r="Z2" s="47" t="s">
        <v>56</v>
      </c>
      <c r="AA2" s="31"/>
      <c r="AB2" s="48"/>
      <c r="AC2" s="48"/>
      <c r="AD2" s="48"/>
      <c r="AE2" s="48" t="s">
        <v>94</v>
      </c>
      <c r="AF2" s="48" t="s">
        <v>95</v>
      </c>
      <c r="AG2" s="49" t="s">
        <v>96</v>
      </c>
      <c r="AH2" s="49"/>
      <c r="AI2" s="48" t="s">
        <v>97</v>
      </c>
      <c r="AJ2" s="48" t="s">
        <v>56</v>
      </c>
      <c r="AK2" s="48"/>
      <c r="AL2" s="48" t="s">
        <v>56</v>
      </c>
      <c r="AM2" s="48"/>
      <c r="AN2" s="48"/>
      <c r="AO2" s="40"/>
      <c r="AP2" s="40"/>
      <c r="AQ2" s="40" t="s">
        <v>98</v>
      </c>
      <c r="AR2" s="40" t="s">
        <v>99</v>
      </c>
      <c r="AS2" s="40"/>
      <c r="AT2" s="40"/>
      <c r="AU2" s="40" t="s">
        <v>100</v>
      </c>
      <c r="AV2" s="40" t="s">
        <v>95</v>
      </c>
      <c r="AW2" s="40" t="s">
        <v>69</v>
      </c>
      <c r="AX2" s="40" t="s">
        <v>95</v>
      </c>
      <c r="AY2" s="40" t="s">
        <v>70</v>
      </c>
      <c r="AZ2" s="40" t="s">
        <v>95</v>
      </c>
      <c r="BA2" s="40" t="s">
        <v>71</v>
      </c>
      <c r="BB2" s="40" t="s">
        <v>99</v>
      </c>
      <c r="BC2" s="40" t="s">
        <v>72</v>
      </c>
      <c r="BD2" s="40" t="s">
        <v>99</v>
      </c>
      <c r="BE2" s="40" t="s">
        <v>73</v>
      </c>
      <c r="BF2" s="40" t="s">
        <v>99</v>
      </c>
      <c r="BG2" s="40" t="s">
        <v>74</v>
      </c>
      <c r="BH2" s="40" t="s">
        <v>99</v>
      </c>
      <c r="BI2" s="40" t="s">
        <v>75</v>
      </c>
      <c r="BJ2" s="40" t="s">
        <v>95</v>
      </c>
      <c r="BK2" s="40" t="s">
        <v>101</v>
      </c>
      <c r="BL2" s="40" t="s">
        <v>95</v>
      </c>
      <c r="BM2" s="40" t="s">
        <v>102</v>
      </c>
      <c r="BN2" s="40" t="s">
        <v>95</v>
      </c>
      <c r="BO2" s="40" t="s">
        <v>103</v>
      </c>
      <c r="BP2" s="40" t="s">
        <v>95</v>
      </c>
      <c r="BQ2" s="40" t="s">
        <v>104</v>
      </c>
      <c r="BR2" s="40" t="s">
        <v>99</v>
      </c>
      <c r="BS2" s="48" t="s">
        <v>105</v>
      </c>
      <c r="BT2" s="48" t="s">
        <v>106</v>
      </c>
      <c r="BU2" s="48" t="s">
        <v>107</v>
      </c>
      <c r="BV2" s="48" t="s">
        <v>99</v>
      </c>
      <c r="BW2" s="40"/>
      <c r="BX2" s="40"/>
      <c r="BY2" s="40" t="s">
        <v>108</v>
      </c>
      <c r="BZ2" s="40" t="s">
        <v>99</v>
      </c>
      <c r="CA2" s="40"/>
      <c r="CB2" s="40"/>
      <c r="CC2" s="40" t="s">
        <v>108</v>
      </c>
      <c r="CD2" s="40" t="s">
        <v>109</v>
      </c>
      <c r="CE2" s="48" t="s">
        <v>110</v>
      </c>
      <c r="CF2" s="49" t="s">
        <v>111</v>
      </c>
      <c r="CG2" s="49" t="s">
        <v>112</v>
      </c>
      <c r="CH2" s="50" t="s">
        <v>113</v>
      </c>
      <c r="CI2" s="51" t="s">
        <v>56</v>
      </c>
      <c r="CJ2" s="51" t="s">
        <v>114</v>
      </c>
      <c r="CK2" s="51" t="s">
        <v>115</v>
      </c>
      <c r="CL2" s="40" t="s">
        <v>116</v>
      </c>
      <c r="CM2" s="40" t="s">
        <v>117</v>
      </c>
      <c r="CN2" s="48" t="s">
        <v>112</v>
      </c>
      <c r="CO2" s="48" t="s">
        <v>118</v>
      </c>
      <c r="CP2" s="48" t="s">
        <v>112</v>
      </c>
      <c r="CQ2" s="48" t="s">
        <v>119</v>
      </c>
      <c r="CR2" s="52" t="s">
        <v>112</v>
      </c>
      <c r="CS2" s="48" t="s">
        <v>120</v>
      </c>
      <c r="CT2" s="48" t="s">
        <v>99</v>
      </c>
      <c r="CU2" s="48" t="s">
        <v>121</v>
      </c>
      <c r="CV2" s="53" t="s">
        <v>122</v>
      </c>
      <c r="CW2" s="53" t="s">
        <v>123</v>
      </c>
      <c r="CX2" s="53" t="s">
        <v>124</v>
      </c>
      <c r="CY2" s="53" t="s">
        <v>125</v>
      </c>
      <c r="CZ2" s="53" t="s">
        <v>123</v>
      </c>
      <c r="DA2" s="53" t="s">
        <v>124</v>
      </c>
      <c r="DB2" s="53" t="s">
        <v>126</v>
      </c>
      <c r="DC2" s="53" t="s">
        <v>123</v>
      </c>
      <c r="DD2" s="53" t="s">
        <v>124</v>
      </c>
      <c r="DE2" s="53"/>
      <c r="DF2" s="53" t="s">
        <v>123</v>
      </c>
      <c r="DG2" s="40" t="s">
        <v>124</v>
      </c>
      <c r="DH2" s="53"/>
      <c r="DI2" s="53" t="s">
        <v>123</v>
      </c>
      <c r="DJ2" s="40" t="s">
        <v>124</v>
      </c>
      <c r="DK2" s="53"/>
      <c r="DL2" s="53" t="s">
        <v>123</v>
      </c>
      <c r="DM2" s="40" t="s">
        <v>124</v>
      </c>
      <c r="DN2" s="53"/>
      <c r="DO2" s="53" t="s">
        <v>123</v>
      </c>
      <c r="DP2" s="40" t="s">
        <v>124</v>
      </c>
      <c r="DQ2" s="53"/>
      <c r="DR2" s="53" t="s">
        <v>123</v>
      </c>
      <c r="DS2" s="40" t="s">
        <v>124</v>
      </c>
      <c r="DT2" s="53"/>
      <c r="DU2" s="53" t="s">
        <v>123</v>
      </c>
      <c r="DV2" s="40" t="s">
        <v>124</v>
      </c>
      <c r="DW2" s="53"/>
      <c r="DX2" s="53" t="s">
        <v>123</v>
      </c>
      <c r="DY2" s="40" t="s">
        <v>124</v>
      </c>
      <c r="DZ2" s="53"/>
      <c r="EA2" s="53" t="s">
        <v>123</v>
      </c>
      <c r="EB2" s="40" t="s">
        <v>124</v>
      </c>
      <c r="EC2" s="53"/>
      <c r="ED2" s="53" t="s">
        <v>123</v>
      </c>
      <c r="EE2" s="40" t="s">
        <v>124</v>
      </c>
      <c r="EF2" s="53">
        <v>145</v>
      </c>
      <c r="EG2" s="53" t="s">
        <v>56</v>
      </c>
      <c r="EH2" s="54">
        <v>146</v>
      </c>
      <c r="EI2" s="22" t="s">
        <v>56</v>
      </c>
      <c r="EJ2" s="54" t="s">
        <v>127</v>
      </c>
      <c r="EK2" s="55" t="s">
        <v>56</v>
      </c>
      <c r="EL2" s="55" t="s">
        <v>128</v>
      </c>
      <c r="EM2" s="55" t="s">
        <v>56</v>
      </c>
      <c r="EN2" s="55" t="s">
        <v>129</v>
      </c>
      <c r="EO2" s="55" t="s">
        <v>130</v>
      </c>
      <c r="EP2" s="9" t="s">
        <v>131</v>
      </c>
      <c r="EQ2" s="9" t="s">
        <v>132</v>
      </c>
      <c r="ER2" s="56" t="s">
        <v>133</v>
      </c>
      <c r="ES2" s="55" t="s">
        <v>134</v>
      </c>
      <c r="ET2" s="112">
        <v>0.75</v>
      </c>
      <c r="EU2" s="113">
        <v>0</v>
      </c>
      <c r="EV2" s="114">
        <v>0.25</v>
      </c>
    </row>
    <row r="3" spans="1:154" s="20" customFormat="1" ht="15.75" thickBot="1" x14ac:dyDescent="0.3">
      <c r="A3" s="57">
        <v>44620</v>
      </c>
      <c r="B3" s="58">
        <v>1325697</v>
      </c>
      <c r="C3" s="59" t="e">
        <v>#VALUE!</v>
      </c>
      <c r="D3" s="58">
        <v>385494</v>
      </c>
      <c r="E3" s="59" t="e">
        <v>#VALUE!</v>
      </c>
      <c r="F3" s="90" t="e">
        <v>#VALUE!</v>
      </c>
      <c r="G3" s="60">
        <v>1290</v>
      </c>
      <c r="H3" s="60">
        <v>1364</v>
      </c>
      <c r="I3" s="93">
        <v>291720</v>
      </c>
      <c r="J3" s="62" t="e">
        <v>#VALUE!</v>
      </c>
      <c r="K3" s="63">
        <v>801</v>
      </c>
      <c r="L3" s="59">
        <v>0</v>
      </c>
      <c r="M3" s="64">
        <v>644665</v>
      </c>
      <c r="N3" s="59">
        <v>0</v>
      </c>
      <c r="O3" s="64">
        <v>1032</v>
      </c>
      <c r="P3" s="62" t="e">
        <v>#VALUE!</v>
      </c>
      <c r="Q3" s="109">
        <v>1796900</v>
      </c>
      <c r="R3" s="109" t="e">
        <v>#VALUE!</v>
      </c>
      <c r="S3" s="109">
        <v>1817800</v>
      </c>
      <c r="T3" s="109" t="e">
        <v>#VALUE!</v>
      </c>
      <c r="U3" s="58">
        <v>2778583</v>
      </c>
      <c r="V3" s="62" t="e">
        <v>#VALUE!</v>
      </c>
      <c r="W3" s="64">
        <v>2263002</v>
      </c>
      <c r="X3" s="62" t="e">
        <v>#VALUE!</v>
      </c>
      <c r="Y3" s="58">
        <v>278199</v>
      </c>
      <c r="Z3" s="62" t="e">
        <v>#VALUE!</v>
      </c>
      <c r="AA3" s="31"/>
      <c r="AB3" s="115">
        <v>0.83333333333333337</v>
      </c>
      <c r="AC3" s="116">
        <v>333.33333333333337</v>
      </c>
      <c r="AD3" s="48"/>
      <c r="AE3" s="117">
        <v>175586</v>
      </c>
      <c r="AF3" s="64" t="e">
        <v>#VALUE!</v>
      </c>
      <c r="AG3" s="104">
        <v>481040</v>
      </c>
      <c r="AH3" s="58" t="e">
        <v>#VALUE!</v>
      </c>
      <c r="AI3" s="73">
        <v>1179</v>
      </c>
      <c r="AJ3" s="58" t="e">
        <v>#VALUE!</v>
      </c>
      <c r="AK3" s="67">
        <v>5444</v>
      </c>
      <c r="AL3" s="64">
        <v>5444</v>
      </c>
      <c r="AM3" s="68"/>
      <c r="AN3" s="64">
        <v>0</v>
      </c>
      <c r="AO3" s="69"/>
      <c r="AP3" s="20">
        <v>0</v>
      </c>
      <c r="AQ3" s="69">
        <v>615570</v>
      </c>
      <c r="AR3" s="20" t="e">
        <v>#VALUE!</v>
      </c>
      <c r="AS3" s="69">
        <v>1560</v>
      </c>
      <c r="AT3" s="20">
        <v>1560</v>
      </c>
      <c r="AU3" s="20">
        <v>55781</v>
      </c>
      <c r="AV3" s="58" t="e">
        <v>#VALUE!</v>
      </c>
      <c r="AW3" s="62">
        <v>9217</v>
      </c>
      <c r="AX3" s="91" t="e">
        <v>#VALUE!</v>
      </c>
      <c r="AY3" s="59">
        <v>10917</v>
      </c>
      <c r="AZ3" s="58" t="e">
        <v>#VALUE!</v>
      </c>
      <c r="BA3" s="73">
        <v>17827</v>
      </c>
      <c r="BB3" s="58" t="e">
        <v>#VALUE!</v>
      </c>
      <c r="BC3" s="59">
        <v>20253</v>
      </c>
      <c r="BD3" s="64" t="e">
        <v>#VALUE!</v>
      </c>
      <c r="BE3" s="59">
        <v>20990</v>
      </c>
      <c r="BF3" s="93" t="e">
        <v>#VALUE!</v>
      </c>
      <c r="BG3" s="59">
        <v>14279</v>
      </c>
      <c r="BH3" s="64" t="e">
        <v>#VALUE!</v>
      </c>
      <c r="BI3" s="62">
        <v>6519</v>
      </c>
      <c r="BJ3" s="58" t="e">
        <v>#VALUE!</v>
      </c>
      <c r="BK3" s="67">
        <v>27423</v>
      </c>
      <c r="BL3" s="58" t="e">
        <v>#VALUE!</v>
      </c>
      <c r="BM3" s="59">
        <v>5125</v>
      </c>
      <c r="BN3" s="58" t="e">
        <v>#VALUE!</v>
      </c>
      <c r="BO3" s="59">
        <v>23176</v>
      </c>
      <c r="BP3" s="58" t="e">
        <v>#VALUE!</v>
      </c>
      <c r="BQ3" s="59">
        <v>3636</v>
      </c>
      <c r="BR3" s="93" t="e">
        <v>#VALUE!</v>
      </c>
      <c r="BS3" s="59" t="e">
        <v>#VALUE!</v>
      </c>
      <c r="BT3" t="e">
        <v>#VALUE!</v>
      </c>
      <c r="BU3" s="59">
        <v>632180</v>
      </c>
      <c r="BV3" s="64"/>
      <c r="BW3" s="59">
        <v>3774</v>
      </c>
      <c r="BX3" s="67"/>
      <c r="BY3" s="67">
        <v>829370</v>
      </c>
      <c r="BZ3" s="58" t="e">
        <v>#VALUE!</v>
      </c>
      <c r="CA3" s="67"/>
      <c r="CB3" s="105">
        <v>0</v>
      </c>
      <c r="CC3" s="59" t="e">
        <v>#VALUE!</v>
      </c>
      <c r="CD3" s="58" t="e">
        <v>#VALUE!</v>
      </c>
      <c r="CE3" s="67" t="e">
        <v>#VALUE!</v>
      </c>
      <c r="CF3" s="106">
        <v>155</v>
      </c>
      <c r="CG3" s="118">
        <v>20161.856671558693</v>
      </c>
      <c r="CH3" s="77"/>
      <c r="CI3" s="118" t="e">
        <v>#VALUE!</v>
      </c>
      <c r="CJ3" s="78">
        <v>234986</v>
      </c>
      <c r="CK3" s="58" t="e">
        <v>#VALUE!</v>
      </c>
      <c r="CL3" s="119" t="e">
        <v>#VALUE!</v>
      </c>
      <c r="CM3" s="92">
        <v>76</v>
      </c>
      <c r="CN3" s="120">
        <v>8189</v>
      </c>
      <c r="CO3" s="93">
        <v>80</v>
      </c>
      <c r="CP3" s="121">
        <v>8620</v>
      </c>
      <c r="CQ3" s="77">
        <v>80</v>
      </c>
      <c r="CR3" s="122">
        <v>8620</v>
      </c>
      <c r="CS3" s="81">
        <v>25429</v>
      </c>
      <c r="CT3" s="122" t="e">
        <v>#VALUE!</v>
      </c>
      <c r="CU3" s="77"/>
      <c r="CV3" s="93">
        <v>41036</v>
      </c>
      <c r="CW3" s="123" t="e">
        <v>#VALUE!</v>
      </c>
      <c r="CX3" s="124" t="e">
        <v>#VALUE!</v>
      </c>
      <c r="CY3" s="125">
        <v>35211</v>
      </c>
      <c r="CZ3" s="94" t="e">
        <v>#VALUE!</v>
      </c>
      <c r="DA3" s="58" t="e">
        <v>#VALUE!</v>
      </c>
      <c r="DB3" s="67">
        <v>12943</v>
      </c>
      <c r="DC3" s="77" t="e">
        <v>#VALUE!</v>
      </c>
      <c r="DD3" s="58" t="e">
        <v>#VALUE!</v>
      </c>
      <c r="DE3" s="67">
        <v>842322</v>
      </c>
      <c r="DF3" s="77">
        <v>842322</v>
      </c>
      <c r="DG3" s="94">
        <v>4809658.62</v>
      </c>
      <c r="DH3" s="67">
        <v>8355</v>
      </c>
      <c r="DI3" s="77">
        <v>8355</v>
      </c>
      <c r="DJ3" s="58">
        <v>47707.05</v>
      </c>
      <c r="DK3" s="67">
        <v>8965</v>
      </c>
      <c r="DL3" s="77">
        <v>8965</v>
      </c>
      <c r="DM3" s="64">
        <v>51190.15</v>
      </c>
      <c r="DN3" s="67">
        <v>5354</v>
      </c>
      <c r="DO3" s="77">
        <v>5354</v>
      </c>
      <c r="DP3" s="58">
        <v>30571.34</v>
      </c>
      <c r="DQ3" s="67">
        <v>2088</v>
      </c>
      <c r="DR3" s="67">
        <v>2088</v>
      </c>
      <c r="DS3" s="58">
        <v>11922.48</v>
      </c>
      <c r="DT3" s="67">
        <v>6354</v>
      </c>
      <c r="DU3" s="67">
        <v>6354</v>
      </c>
      <c r="DV3" s="58">
        <v>36281.339999999997</v>
      </c>
      <c r="DW3" s="67">
        <v>5851</v>
      </c>
      <c r="DX3" s="67">
        <v>5851</v>
      </c>
      <c r="DY3" s="58">
        <v>33409.21</v>
      </c>
      <c r="DZ3" s="67">
        <v>6596</v>
      </c>
      <c r="EA3" s="67">
        <v>6596</v>
      </c>
      <c r="EB3" s="58">
        <v>37663.159999999996</v>
      </c>
      <c r="EC3" s="67">
        <v>6480</v>
      </c>
      <c r="ED3" s="67">
        <v>6480</v>
      </c>
      <c r="EE3" s="58">
        <v>37000.800000000003</v>
      </c>
      <c r="EF3" s="67"/>
      <c r="EG3" s="67">
        <v>-145</v>
      </c>
      <c r="EH3" s="58"/>
      <c r="EI3" s="67">
        <v>-146</v>
      </c>
      <c r="EJ3" s="77"/>
      <c r="EK3" s="92" t="e">
        <v>#VALUE!</v>
      </c>
      <c r="EL3" s="95"/>
      <c r="EM3" s="92" t="e">
        <v>#VALUE!</v>
      </c>
      <c r="EN3" s="95"/>
      <c r="EO3" s="58"/>
      <c r="EP3" s="126">
        <v>0.61539999999999995</v>
      </c>
      <c r="EQ3" s="58"/>
      <c r="ER3" s="95"/>
      <c r="ES3" s="58"/>
      <c r="ET3" s="58"/>
      <c r="EU3" s="127"/>
      <c r="EV3" s="58"/>
      <c r="EW3" s="58"/>
      <c r="EX3" s="58"/>
    </row>
    <row r="4" spans="1:154" ht="15.75" thickBot="1" x14ac:dyDescent="0.25">
      <c r="A4" s="57">
        <v>44621</v>
      </c>
      <c r="B4" s="65">
        <v>1351582</v>
      </c>
      <c r="C4" s="59">
        <v>25885</v>
      </c>
      <c r="D4" s="60">
        <v>410169</v>
      </c>
      <c r="E4" s="59">
        <v>24675</v>
      </c>
      <c r="F4" s="90">
        <v>0.95325478076105852</v>
      </c>
      <c r="G4" s="60">
        <v>1282</v>
      </c>
      <c r="H4" s="60">
        <v>1364</v>
      </c>
      <c r="I4" s="93">
        <v>291720</v>
      </c>
      <c r="J4" s="62">
        <v>0</v>
      </c>
      <c r="K4" s="63">
        <v>801</v>
      </c>
      <c r="L4" s="62">
        <v>0</v>
      </c>
      <c r="M4" s="64">
        <v>644665</v>
      </c>
      <c r="N4" s="62">
        <v>0</v>
      </c>
      <c r="O4" s="64">
        <v>1032</v>
      </c>
      <c r="P4" s="62">
        <v>0</v>
      </c>
      <c r="Q4" s="64">
        <v>1807500</v>
      </c>
      <c r="R4" s="62">
        <v>10600</v>
      </c>
      <c r="S4" s="64">
        <v>1829500</v>
      </c>
      <c r="T4" s="62">
        <v>11700</v>
      </c>
      <c r="U4" s="64">
        <v>2779456</v>
      </c>
      <c r="V4" s="62">
        <v>873</v>
      </c>
      <c r="W4" s="64">
        <v>2263419</v>
      </c>
      <c r="X4" s="62">
        <v>417</v>
      </c>
      <c r="Y4" s="64">
        <v>278469</v>
      </c>
      <c r="Z4" s="62">
        <v>270</v>
      </c>
      <c r="AA4" s="133"/>
      <c r="AB4" s="134">
        <v>0.88888888888888884</v>
      </c>
      <c r="AC4" s="66">
        <v>355.55555555555554</v>
      </c>
      <c r="AD4" s="63"/>
      <c r="AE4" s="64">
        <v>175749</v>
      </c>
      <c r="AF4" s="62">
        <v>163</v>
      </c>
      <c r="AG4" s="58">
        <v>481360</v>
      </c>
      <c r="AH4" s="67">
        <v>320</v>
      </c>
      <c r="AI4" s="64">
        <v>1179</v>
      </c>
      <c r="AJ4" s="68">
        <v>0</v>
      </c>
      <c r="AK4" s="64">
        <v>5444</v>
      </c>
      <c r="AL4" s="68">
        <v>0</v>
      </c>
      <c r="AM4" s="22"/>
      <c r="AN4" s="68">
        <v>0</v>
      </c>
      <c r="AO4" s="22"/>
      <c r="AP4" s="68">
        <v>0</v>
      </c>
      <c r="AQ4" s="64">
        <v>615740</v>
      </c>
      <c r="AR4" s="62">
        <v>170</v>
      </c>
      <c r="AS4" s="74">
        <v>1561</v>
      </c>
      <c r="AT4" s="62">
        <v>1</v>
      </c>
      <c r="AU4" s="72">
        <v>55804</v>
      </c>
      <c r="AV4" s="62">
        <v>23</v>
      </c>
      <c r="AW4" s="63">
        <v>9220</v>
      </c>
      <c r="AX4" s="62">
        <v>3</v>
      </c>
      <c r="AY4" s="64">
        <v>10920</v>
      </c>
      <c r="AZ4" s="62">
        <v>3</v>
      </c>
      <c r="BA4" s="64">
        <v>17839</v>
      </c>
      <c r="BB4" s="62">
        <v>12</v>
      </c>
      <c r="BC4" s="64">
        <v>20258</v>
      </c>
      <c r="BD4" s="62">
        <v>5</v>
      </c>
      <c r="BE4" s="58">
        <v>20997</v>
      </c>
      <c r="BF4" s="67">
        <v>7</v>
      </c>
      <c r="BG4" s="64">
        <v>14281</v>
      </c>
      <c r="BH4" s="67">
        <v>2</v>
      </c>
      <c r="BI4" s="64">
        <v>6520</v>
      </c>
      <c r="BJ4" s="67">
        <v>1</v>
      </c>
      <c r="BK4" s="64">
        <v>27428</v>
      </c>
      <c r="BL4" s="67">
        <v>5</v>
      </c>
      <c r="BM4" s="64">
        <v>5130</v>
      </c>
      <c r="BN4" s="67">
        <v>5</v>
      </c>
      <c r="BO4" s="64">
        <v>23226</v>
      </c>
      <c r="BP4" s="67">
        <v>50</v>
      </c>
      <c r="BQ4" s="64">
        <v>3636</v>
      </c>
      <c r="BR4" s="67">
        <v>0</v>
      </c>
      <c r="BS4" s="67">
        <v>21</v>
      </c>
      <c r="BT4" s="67">
        <v>149</v>
      </c>
      <c r="BU4" s="64">
        <v>632350</v>
      </c>
      <c r="BV4" s="67">
        <v>170</v>
      </c>
      <c r="BW4" s="64">
        <v>3789</v>
      </c>
      <c r="BX4" s="67">
        <v>15</v>
      </c>
      <c r="BY4" s="64">
        <v>829620</v>
      </c>
      <c r="BZ4" s="67">
        <v>250</v>
      </c>
      <c r="CA4" s="58">
        <v>18135</v>
      </c>
      <c r="CB4" s="67">
        <v>18135</v>
      </c>
      <c r="CC4" s="77">
        <v>80</v>
      </c>
      <c r="CD4" s="67">
        <v>420</v>
      </c>
      <c r="CE4" s="78">
        <v>61</v>
      </c>
      <c r="CF4" s="58">
        <v>155</v>
      </c>
      <c r="CG4" s="135">
        <v>20161.856671558693</v>
      </c>
      <c r="CH4" s="79"/>
      <c r="CI4" s="136">
        <v>0</v>
      </c>
      <c r="CJ4" s="61">
        <v>235179</v>
      </c>
      <c r="CK4" s="67">
        <v>193</v>
      </c>
      <c r="CL4" s="77">
        <v>1102.03</v>
      </c>
      <c r="CM4" s="70">
        <v>72</v>
      </c>
      <c r="CN4" s="81">
        <v>7758</v>
      </c>
      <c r="CO4" s="61">
        <v>76</v>
      </c>
      <c r="CP4" s="137">
        <v>8189</v>
      </c>
      <c r="CQ4" s="70">
        <v>75</v>
      </c>
      <c r="CR4" s="138">
        <v>8081.25</v>
      </c>
      <c r="CS4" s="139">
        <v>24028.25</v>
      </c>
      <c r="CT4" s="82">
        <v>1400.75</v>
      </c>
      <c r="CU4" s="64"/>
      <c r="CV4" s="61">
        <v>41073</v>
      </c>
      <c r="CW4" s="67">
        <v>37</v>
      </c>
      <c r="CX4" s="77">
        <v>211.27</v>
      </c>
      <c r="CY4" s="93">
        <v>35217</v>
      </c>
      <c r="CZ4" s="67">
        <v>6</v>
      </c>
      <c r="DA4" s="77">
        <v>34.26</v>
      </c>
      <c r="DB4" s="61">
        <v>12960</v>
      </c>
      <c r="DC4" s="67">
        <v>17</v>
      </c>
      <c r="DD4" s="77">
        <v>97.07</v>
      </c>
      <c r="DE4" s="61">
        <v>842503</v>
      </c>
      <c r="DF4" s="67">
        <v>181</v>
      </c>
      <c r="DG4" s="77">
        <v>1033.51</v>
      </c>
      <c r="DH4" s="64">
        <v>8380</v>
      </c>
      <c r="DI4" s="67">
        <v>25</v>
      </c>
      <c r="DJ4" s="77">
        <v>142.75</v>
      </c>
      <c r="DK4" s="61">
        <v>8974</v>
      </c>
      <c r="DL4" s="67">
        <v>9</v>
      </c>
      <c r="DM4" s="77">
        <v>51.39</v>
      </c>
      <c r="DN4" s="61">
        <v>5358</v>
      </c>
      <c r="DO4" s="67">
        <v>4</v>
      </c>
      <c r="DP4" s="77">
        <v>22.84</v>
      </c>
      <c r="DQ4" s="61">
        <v>2089</v>
      </c>
      <c r="DR4" s="67">
        <v>1</v>
      </c>
      <c r="DS4" s="77">
        <v>5.71</v>
      </c>
      <c r="DT4" s="61">
        <v>6361</v>
      </c>
      <c r="DU4" s="67">
        <v>7</v>
      </c>
      <c r="DV4" s="77">
        <v>39.97</v>
      </c>
      <c r="DW4" s="61">
        <v>5858</v>
      </c>
      <c r="DX4" s="67">
        <v>7</v>
      </c>
      <c r="DY4" s="77">
        <v>39.97</v>
      </c>
      <c r="DZ4" s="61">
        <v>6602</v>
      </c>
      <c r="EA4" s="67">
        <v>6</v>
      </c>
      <c r="EB4" s="77">
        <v>34.26</v>
      </c>
      <c r="EC4" s="61">
        <v>6489</v>
      </c>
      <c r="ED4" s="67">
        <v>9</v>
      </c>
      <c r="EE4" s="77">
        <v>51.39</v>
      </c>
      <c r="EF4" s="79"/>
      <c r="EG4" s="77">
        <v>0</v>
      </c>
      <c r="EH4" s="79"/>
      <c r="EI4" s="77">
        <v>0</v>
      </c>
      <c r="EJ4" s="84"/>
      <c r="EK4" s="77">
        <v>0</v>
      </c>
      <c r="EL4" s="58"/>
      <c r="EM4" s="77">
        <v>0</v>
      </c>
      <c r="EN4" s="84"/>
      <c r="EO4" s="85"/>
      <c r="EP4" s="140">
        <v>0.63739999999999997</v>
      </c>
      <c r="EQ4" s="96"/>
      <c r="ER4" s="97"/>
      <c r="ES4" s="98"/>
      <c r="ET4" s="99"/>
      <c r="EU4" s="99"/>
      <c r="EV4" s="99"/>
    </row>
    <row r="5" spans="1:154" ht="15.75" thickBot="1" x14ac:dyDescent="0.25">
      <c r="A5" s="57">
        <v>44622</v>
      </c>
      <c r="B5" s="65">
        <v>1379747</v>
      </c>
      <c r="C5" s="59">
        <v>28165</v>
      </c>
      <c r="D5" s="60">
        <v>436974</v>
      </c>
      <c r="E5" s="59">
        <v>26805</v>
      </c>
      <c r="F5" s="90">
        <v>0.95171311911947454</v>
      </c>
      <c r="G5" s="60">
        <v>1310</v>
      </c>
      <c r="H5" s="60">
        <v>1364</v>
      </c>
      <c r="I5" s="93">
        <v>291720</v>
      </c>
      <c r="J5" s="62">
        <v>0</v>
      </c>
      <c r="K5" s="63">
        <v>801</v>
      </c>
      <c r="L5" s="62">
        <v>0</v>
      </c>
      <c r="M5" s="64">
        <v>644665</v>
      </c>
      <c r="N5" s="62">
        <v>0</v>
      </c>
      <c r="O5" s="64">
        <v>1032</v>
      </c>
      <c r="P5" s="62">
        <v>0</v>
      </c>
      <c r="Q5" s="64">
        <v>1818800</v>
      </c>
      <c r="R5" s="62">
        <v>11300</v>
      </c>
      <c r="S5" s="64">
        <v>1842500</v>
      </c>
      <c r="T5" s="62">
        <v>13000</v>
      </c>
      <c r="U5" s="64">
        <v>2781002</v>
      </c>
      <c r="V5" s="62">
        <v>1546</v>
      </c>
      <c r="W5" s="64">
        <v>2263834</v>
      </c>
      <c r="X5" s="62">
        <v>415</v>
      </c>
      <c r="Y5" s="60">
        <v>278917</v>
      </c>
      <c r="Z5" s="62">
        <v>448</v>
      </c>
      <c r="AA5" s="133"/>
      <c r="AB5" s="134">
        <v>1</v>
      </c>
      <c r="AC5" s="66">
        <v>400</v>
      </c>
      <c r="AD5" s="63"/>
      <c r="AE5" s="64">
        <v>175749</v>
      </c>
      <c r="AF5" s="62">
        <v>0</v>
      </c>
      <c r="AG5" s="64">
        <v>481820</v>
      </c>
      <c r="AH5" s="67">
        <v>460</v>
      </c>
      <c r="AI5" s="70">
        <v>1179</v>
      </c>
      <c r="AJ5" s="68">
        <v>0</v>
      </c>
      <c r="AK5" s="64">
        <v>5448</v>
      </c>
      <c r="AL5" s="68">
        <v>4</v>
      </c>
      <c r="AM5" s="22"/>
      <c r="AN5" s="68">
        <v>0</v>
      </c>
      <c r="AO5" s="22"/>
      <c r="AP5" s="68">
        <v>0</v>
      </c>
      <c r="AQ5" s="64">
        <v>615910</v>
      </c>
      <c r="AR5" s="62">
        <v>170</v>
      </c>
      <c r="AS5" s="74">
        <v>1561</v>
      </c>
      <c r="AT5" s="62">
        <v>0</v>
      </c>
      <c r="AU5" s="72">
        <v>55830</v>
      </c>
      <c r="AV5" s="62">
        <v>26</v>
      </c>
      <c r="AW5" s="63">
        <v>9222</v>
      </c>
      <c r="AX5" s="62">
        <v>2</v>
      </c>
      <c r="AY5" s="64">
        <v>10922</v>
      </c>
      <c r="AZ5" s="62">
        <v>2</v>
      </c>
      <c r="BA5" s="64">
        <v>17851</v>
      </c>
      <c r="BB5" s="62">
        <v>12</v>
      </c>
      <c r="BC5" s="64">
        <v>20264</v>
      </c>
      <c r="BD5" s="62">
        <v>6</v>
      </c>
      <c r="BE5" s="58">
        <v>20999</v>
      </c>
      <c r="BF5" s="67">
        <v>2</v>
      </c>
      <c r="BG5" s="64">
        <v>14284</v>
      </c>
      <c r="BH5" s="67">
        <v>3</v>
      </c>
      <c r="BI5" s="64">
        <v>6521</v>
      </c>
      <c r="BJ5" s="67">
        <v>1</v>
      </c>
      <c r="BK5" s="64">
        <v>27434</v>
      </c>
      <c r="BL5" s="67">
        <v>6</v>
      </c>
      <c r="BM5" s="64">
        <v>5135</v>
      </c>
      <c r="BN5" s="67">
        <v>5</v>
      </c>
      <c r="BO5" s="64">
        <v>23294</v>
      </c>
      <c r="BP5" s="67">
        <v>68</v>
      </c>
      <c r="BQ5" s="64">
        <v>3641</v>
      </c>
      <c r="BR5" s="67">
        <v>5</v>
      </c>
      <c r="BS5" s="67">
        <v>17</v>
      </c>
      <c r="BT5" s="67">
        <v>153</v>
      </c>
      <c r="BU5" s="64">
        <v>632530</v>
      </c>
      <c r="BV5" s="67">
        <v>180</v>
      </c>
      <c r="BW5" s="64">
        <v>3804</v>
      </c>
      <c r="BX5" s="67">
        <v>15</v>
      </c>
      <c r="BY5" s="64">
        <v>829940</v>
      </c>
      <c r="BZ5" s="67">
        <v>320</v>
      </c>
      <c r="CA5" s="64">
        <v>18210</v>
      </c>
      <c r="CB5" s="67">
        <v>75</v>
      </c>
      <c r="CC5" s="77">
        <v>150</v>
      </c>
      <c r="CD5" s="67">
        <v>500</v>
      </c>
      <c r="CE5" s="78">
        <v>59</v>
      </c>
      <c r="CF5" s="58">
        <v>155</v>
      </c>
      <c r="CG5" s="135">
        <v>20161.856671558693</v>
      </c>
      <c r="CH5" s="79"/>
      <c r="CI5" s="136">
        <v>0</v>
      </c>
      <c r="CJ5" s="61">
        <v>235363</v>
      </c>
      <c r="CK5" s="67">
        <v>184</v>
      </c>
      <c r="CL5" s="77">
        <v>1050.6400000000001</v>
      </c>
      <c r="CM5" s="70">
        <v>70</v>
      </c>
      <c r="CN5" s="81">
        <v>7542.5</v>
      </c>
      <c r="CO5" s="61">
        <v>73</v>
      </c>
      <c r="CP5" s="137">
        <v>7865.75</v>
      </c>
      <c r="CQ5" s="70">
        <v>71</v>
      </c>
      <c r="CR5" s="138">
        <v>7650.25</v>
      </c>
      <c r="CS5" s="139">
        <v>23058.5</v>
      </c>
      <c r="CT5" s="82">
        <v>969.75</v>
      </c>
      <c r="CU5" s="64">
        <v>6314</v>
      </c>
      <c r="CV5" s="61">
        <v>41110</v>
      </c>
      <c r="CW5" s="67">
        <v>37</v>
      </c>
      <c r="CX5" s="77">
        <v>211.27</v>
      </c>
      <c r="CY5" s="93">
        <v>35223</v>
      </c>
      <c r="CZ5" s="67">
        <v>6</v>
      </c>
      <c r="DA5" s="77">
        <v>34.26</v>
      </c>
      <c r="DB5" s="61">
        <v>12977</v>
      </c>
      <c r="DC5" s="67">
        <v>17</v>
      </c>
      <c r="DD5" s="77">
        <v>97.07</v>
      </c>
      <c r="DE5" s="61">
        <v>842579</v>
      </c>
      <c r="DF5" s="67">
        <v>76</v>
      </c>
      <c r="DG5" s="77">
        <v>433.96</v>
      </c>
      <c r="DH5" s="64">
        <v>8403</v>
      </c>
      <c r="DI5" s="67">
        <v>23</v>
      </c>
      <c r="DJ5" s="77">
        <v>131.33000000000001</v>
      </c>
      <c r="DK5" s="61">
        <v>8982</v>
      </c>
      <c r="DL5" s="67">
        <v>8</v>
      </c>
      <c r="DM5" s="77">
        <v>45.68</v>
      </c>
      <c r="DN5" s="61">
        <v>5361</v>
      </c>
      <c r="DO5" s="67">
        <v>3</v>
      </c>
      <c r="DP5" s="77">
        <v>17.13</v>
      </c>
      <c r="DQ5" s="61">
        <v>2091</v>
      </c>
      <c r="DR5" s="67">
        <v>2</v>
      </c>
      <c r="DS5" s="77">
        <v>11.42</v>
      </c>
      <c r="DT5" s="61">
        <v>6370</v>
      </c>
      <c r="DU5" s="67">
        <v>9</v>
      </c>
      <c r="DV5" s="77">
        <v>51.39</v>
      </c>
      <c r="DW5" s="61">
        <v>5866</v>
      </c>
      <c r="DX5" s="67">
        <v>8</v>
      </c>
      <c r="DY5" s="77">
        <v>45.68</v>
      </c>
      <c r="DZ5" s="61">
        <v>6610</v>
      </c>
      <c r="EA5" s="67">
        <v>8</v>
      </c>
      <c r="EB5" s="77">
        <v>45.68</v>
      </c>
      <c r="EC5" s="61">
        <v>6500</v>
      </c>
      <c r="ED5" s="67">
        <v>11</v>
      </c>
      <c r="EE5" s="77">
        <v>62.81</v>
      </c>
      <c r="EF5" s="79"/>
      <c r="EG5" s="77">
        <v>0</v>
      </c>
      <c r="EH5" s="79"/>
      <c r="EI5" s="77">
        <v>0</v>
      </c>
      <c r="EJ5" s="84"/>
      <c r="EK5" s="77">
        <v>0</v>
      </c>
      <c r="EL5" s="58"/>
      <c r="EM5" s="77">
        <v>0</v>
      </c>
      <c r="EN5" s="84"/>
      <c r="EO5" s="85"/>
      <c r="EP5" s="140">
        <v>0.52749999999999997</v>
      </c>
      <c r="EQ5" s="96"/>
      <c r="ER5" s="97"/>
      <c r="ES5" s="98"/>
      <c r="ET5" s="99"/>
      <c r="EU5" s="99"/>
      <c r="EV5" s="99"/>
    </row>
    <row r="6" spans="1:154" s="20" customFormat="1" ht="15.75" thickBot="1" x14ac:dyDescent="0.25">
      <c r="A6" s="57">
        <v>44623</v>
      </c>
      <c r="B6" s="60">
        <v>1407027</v>
      </c>
      <c r="C6" s="59">
        <v>27280</v>
      </c>
      <c r="D6" s="60">
        <v>463070</v>
      </c>
      <c r="E6" s="59">
        <v>26096</v>
      </c>
      <c r="F6" s="90">
        <v>0.95659824046920816</v>
      </c>
      <c r="G6" s="60">
        <v>1318</v>
      </c>
      <c r="H6" s="60">
        <v>1364</v>
      </c>
      <c r="I6" s="93">
        <v>291720</v>
      </c>
      <c r="J6" s="62">
        <v>0</v>
      </c>
      <c r="K6" s="63">
        <v>801</v>
      </c>
      <c r="L6" s="62">
        <v>0</v>
      </c>
      <c r="M6" s="64">
        <v>644665</v>
      </c>
      <c r="N6" s="62">
        <v>0</v>
      </c>
      <c r="O6" s="64">
        <v>1032</v>
      </c>
      <c r="P6" s="62">
        <v>0</v>
      </c>
      <c r="Q6" s="64">
        <v>1829700</v>
      </c>
      <c r="R6" s="62">
        <v>10900</v>
      </c>
      <c r="S6" s="64">
        <v>1855300</v>
      </c>
      <c r="T6" s="62">
        <v>12800</v>
      </c>
      <c r="U6" s="64">
        <v>2782546</v>
      </c>
      <c r="V6" s="62">
        <v>1544</v>
      </c>
      <c r="W6" s="64">
        <v>2264269</v>
      </c>
      <c r="X6" s="62">
        <v>435</v>
      </c>
      <c r="Y6" s="64">
        <v>279365</v>
      </c>
      <c r="Z6" s="62">
        <v>448</v>
      </c>
      <c r="AA6" s="141"/>
      <c r="AB6" s="134">
        <v>0.77777777777777779</v>
      </c>
      <c r="AC6" s="66">
        <v>311.11111111111114</v>
      </c>
      <c r="AD6" s="63"/>
      <c r="AE6" s="64">
        <v>175749</v>
      </c>
      <c r="AF6" s="59">
        <v>0</v>
      </c>
      <c r="AG6" s="71">
        <v>482180</v>
      </c>
      <c r="AH6" s="67">
        <v>360</v>
      </c>
      <c r="AI6" s="72">
        <v>1179</v>
      </c>
      <c r="AJ6" s="68">
        <v>0</v>
      </c>
      <c r="AK6" s="64">
        <v>5448</v>
      </c>
      <c r="AL6" s="68">
        <v>0</v>
      </c>
      <c r="AM6" s="22">
        <v>13055</v>
      </c>
      <c r="AN6" s="68">
        <v>13055</v>
      </c>
      <c r="AO6" s="22"/>
      <c r="AP6" s="68">
        <v>0</v>
      </c>
      <c r="AQ6" s="60">
        <v>616050</v>
      </c>
      <c r="AR6" s="62">
        <v>140</v>
      </c>
      <c r="AS6" s="91">
        <v>1561</v>
      </c>
      <c r="AT6" s="62">
        <v>0</v>
      </c>
      <c r="AU6" s="70">
        <v>55850</v>
      </c>
      <c r="AV6" s="62">
        <v>20</v>
      </c>
      <c r="AW6" s="61">
        <v>9225</v>
      </c>
      <c r="AX6" s="62">
        <v>3</v>
      </c>
      <c r="AY6" s="60">
        <v>10924</v>
      </c>
      <c r="AZ6" s="62">
        <v>2</v>
      </c>
      <c r="BA6" s="60">
        <v>17864</v>
      </c>
      <c r="BB6" s="62">
        <v>13</v>
      </c>
      <c r="BC6" s="64">
        <v>20268</v>
      </c>
      <c r="BD6" s="62">
        <v>4</v>
      </c>
      <c r="BE6" s="58">
        <v>21001</v>
      </c>
      <c r="BF6" s="67">
        <v>2</v>
      </c>
      <c r="BG6" s="64">
        <v>14287</v>
      </c>
      <c r="BH6" s="67">
        <v>3</v>
      </c>
      <c r="BI6" s="64">
        <v>6522</v>
      </c>
      <c r="BJ6" s="67">
        <v>1</v>
      </c>
      <c r="BK6" s="64">
        <v>27440</v>
      </c>
      <c r="BL6" s="67">
        <v>6</v>
      </c>
      <c r="BM6" s="64">
        <v>5141</v>
      </c>
      <c r="BN6" s="67">
        <v>6</v>
      </c>
      <c r="BO6" s="64">
        <v>23375</v>
      </c>
      <c r="BP6" s="67">
        <v>81</v>
      </c>
      <c r="BQ6" s="64">
        <v>3641</v>
      </c>
      <c r="BR6" s="67">
        <v>0</v>
      </c>
      <c r="BS6" s="67">
        <v>18</v>
      </c>
      <c r="BT6" s="67">
        <v>122</v>
      </c>
      <c r="BU6" s="64">
        <v>632670</v>
      </c>
      <c r="BV6" s="67">
        <v>140</v>
      </c>
      <c r="BW6" s="64">
        <v>3811</v>
      </c>
      <c r="BX6" s="67">
        <v>7</v>
      </c>
      <c r="BY6" s="64">
        <v>830100</v>
      </c>
      <c r="BZ6" s="67">
        <v>160</v>
      </c>
      <c r="CA6" s="64">
        <v>18270</v>
      </c>
      <c r="CB6" s="67">
        <v>60</v>
      </c>
      <c r="CC6" s="77">
        <v>20</v>
      </c>
      <c r="CD6" s="67">
        <v>300</v>
      </c>
      <c r="CE6" s="78">
        <v>54</v>
      </c>
      <c r="CF6" s="58">
        <v>155</v>
      </c>
      <c r="CG6" s="135">
        <v>20161.856671558693</v>
      </c>
      <c r="CH6" s="80"/>
      <c r="CI6" s="136">
        <v>0</v>
      </c>
      <c r="CJ6" s="60">
        <v>235530</v>
      </c>
      <c r="CK6" s="67">
        <v>167</v>
      </c>
      <c r="CL6" s="77">
        <v>953.57</v>
      </c>
      <c r="CM6" s="70">
        <v>86</v>
      </c>
      <c r="CN6" s="81">
        <v>9266.5</v>
      </c>
      <c r="CO6" s="61">
        <v>86</v>
      </c>
      <c r="CP6" s="137">
        <v>9266.5</v>
      </c>
      <c r="CQ6" s="70">
        <v>86</v>
      </c>
      <c r="CR6" s="138">
        <v>9266.5</v>
      </c>
      <c r="CS6" s="139">
        <v>27799.5</v>
      </c>
      <c r="CT6" s="82">
        <v>1573</v>
      </c>
      <c r="CU6" s="64"/>
      <c r="CV6" s="60">
        <v>41151</v>
      </c>
      <c r="CW6" s="67">
        <v>41</v>
      </c>
      <c r="CX6" s="77">
        <v>234.10999999999999</v>
      </c>
      <c r="CY6" s="60">
        <v>35223</v>
      </c>
      <c r="CZ6" s="67">
        <v>0</v>
      </c>
      <c r="DA6" s="77">
        <v>0</v>
      </c>
      <c r="DB6" s="60">
        <v>12994</v>
      </c>
      <c r="DC6" s="67">
        <v>17</v>
      </c>
      <c r="DD6" s="77">
        <v>97.07</v>
      </c>
      <c r="DE6" s="60">
        <v>842645</v>
      </c>
      <c r="DF6" s="67">
        <v>66</v>
      </c>
      <c r="DG6" s="77">
        <v>376.86</v>
      </c>
      <c r="DH6" s="64">
        <v>8422</v>
      </c>
      <c r="DI6" s="67">
        <v>19</v>
      </c>
      <c r="DJ6" s="77">
        <v>108.49</v>
      </c>
      <c r="DK6" s="60">
        <v>8991</v>
      </c>
      <c r="DL6" s="67">
        <v>9</v>
      </c>
      <c r="DM6" s="77">
        <v>51.39</v>
      </c>
      <c r="DN6" s="60">
        <v>5364</v>
      </c>
      <c r="DO6" s="67">
        <v>3</v>
      </c>
      <c r="DP6" s="77">
        <v>17.13</v>
      </c>
      <c r="DQ6" s="60">
        <v>2093</v>
      </c>
      <c r="DR6" s="67">
        <v>2</v>
      </c>
      <c r="DS6" s="77">
        <v>11.42</v>
      </c>
      <c r="DT6" s="60">
        <v>6380</v>
      </c>
      <c r="DU6" s="67">
        <v>10</v>
      </c>
      <c r="DV6" s="77">
        <v>57.1</v>
      </c>
      <c r="DW6" s="60">
        <v>5876</v>
      </c>
      <c r="DX6" s="67">
        <v>10</v>
      </c>
      <c r="DY6" s="77">
        <v>57.1</v>
      </c>
      <c r="DZ6" s="60">
        <v>6618</v>
      </c>
      <c r="EA6" s="67">
        <v>8</v>
      </c>
      <c r="EB6" s="77">
        <v>45.68</v>
      </c>
      <c r="EC6" s="60">
        <v>6511</v>
      </c>
      <c r="ED6" s="67">
        <v>11</v>
      </c>
      <c r="EE6" s="77">
        <v>62.81</v>
      </c>
      <c r="EF6" s="79"/>
      <c r="EG6" s="77">
        <v>0</v>
      </c>
      <c r="EH6" s="79"/>
      <c r="EI6" s="77">
        <v>0</v>
      </c>
      <c r="EJ6" s="84"/>
      <c r="EK6" s="77">
        <v>0</v>
      </c>
      <c r="EL6" s="58"/>
      <c r="EM6" s="77">
        <v>0</v>
      </c>
      <c r="EN6" s="84"/>
      <c r="EO6" s="85"/>
      <c r="EP6" s="140">
        <v>0.51649999999999996</v>
      </c>
      <c r="EQ6" s="96"/>
      <c r="ER6" s="97"/>
      <c r="ES6" s="98"/>
      <c r="ET6" s="99"/>
      <c r="EU6" s="99"/>
      <c r="EV6" s="99"/>
    </row>
    <row r="7" spans="1:154" s="20" customFormat="1" ht="15.75" thickBot="1" x14ac:dyDescent="0.25">
      <c r="A7" s="57">
        <v>44624</v>
      </c>
      <c r="B7" s="64">
        <v>1434262</v>
      </c>
      <c r="C7" s="59">
        <v>27235</v>
      </c>
      <c r="D7" s="60">
        <v>489193</v>
      </c>
      <c r="E7" s="59">
        <v>26123</v>
      </c>
      <c r="F7" s="90">
        <v>0.95917018542316868</v>
      </c>
      <c r="G7" s="60">
        <v>1318</v>
      </c>
      <c r="H7" s="60">
        <v>1364</v>
      </c>
      <c r="I7" s="93">
        <v>291720</v>
      </c>
      <c r="J7" s="62">
        <v>0</v>
      </c>
      <c r="K7" s="63">
        <v>801</v>
      </c>
      <c r="L7" s="62">
        <v>0</v>
      </c>
      <c r="M7" s="64">
        <v>644665</v>
      </c>
      <c r="N7" s="62">
        <v>0</v>
      </c>
      <c r="O7" s="64">
        <v>1032</v>
      </c>
      <c r="P7" s="62">
        <v>0</v>
      </c>
      <c r="Q7" s="64">
        <v>1840700</v>
      </c>
      <c r="R7" s="62">
        <v>11000</v>
      </c>
      <c r="S7" s="64">
        <v>1868100</v>
      </c>
      <c r="T7" s="62">
        <v>12800</v>
      </c>
      <c r="U7" s="64">
        <v>2783918</v>
      </c>
      <c r="V7" s="62">
        <v>1372</v>
      </c>
      <c r="W7" s="64">
        <v>2264685</v>
      </c>
      <c r="X7" s="62">
        <v>416</v>
      </c>
      <c r="Y7" s="64">
        <v>279417</v>
      </c>
      <c r="Z7" s="62">
        <v>52</v>
      </c>
      <c r="AA7" s="141"/>
      <c r="AB7" s="134">
        <v>0.94444444444444442</v>
      </c>
      <c r="AC7" s="66">
        <v>377.77777777777777</v>
      </c>
      <c r="AD7" s="63"/>
      <c r="AE7" s="64">
        <v>175823</v>
      </c>
      <c r="AF7" s="59">
        <v>74</v>
      </c>
      <c r="AG7" s="71">
        <v>482530</v>
      </c>
      <c r="AH7" s="67">
        <v>350</v>
      </c>
      <c r="AI7" s="64">
        <v>1179</v>
      </c>
      <c r="AJ7" s="68">
        <v>0</v>
      </c>
      <c r="AK7" s="60">
        <v>5451</v>
      </c>
      <c r="AL7" s="68">
        <v>3</v>
      </c>
      <c r="AM7" s="19">
        <v>13377</v>
      </c>
      <c r="AN7" s="68">
        <v>322</v>
      </c>
      <c r="AO7" s="19"/>
      <c r="AP7" s="68">
        <v>0</v>
      </c>
      <c r="AQ7" s="60">
        <v>616190</v>
      </c>
      <c r="AR7" s="62">
        <v>140</v>
      </c>
      <c r="AS7" s="74">
        <v>1561</v>
      </c>
      <c r="AT7" s="62">
        <v>0</v>
      </c>
      <c r="AU7" s="70">
        <v>55870</v>
      </c>
      <c r="AV7" s="62">
        <v>20</v>
      </c>
      <c r="AW7" s="60">
        <v>9226</v>
      </c>
      <c r="AX7" s="62">
        <v>1</v>
      </c>
      <c r="AY7" s="64">
        <v>10926</v>
      </c>
      <c r="AZ7" s="62">
        <v>2</v>
      </c>
      <c r="BA7" s="60">
        <v>17874</v>
      </c>
      <c r="BB7" s="62">
        <v>10</v>
      </c>
      <c r="BC7" s="64">
        <v>20273</v>
      </c>
      <c r="BD7" s="62">
        <v>5</v>
      </c>
      <c r="BE7" s="58">
        <v>21003</v>
      </c>
      <c r="BF7" s="67">
        <v>2</v>
      </c>
      <c r="BG7" s="64">
        <v>14290</v>
      </c>
      <c r="BH7" s="67">
        <v>3</v>
      </c>
      <c r="BI7" s="64">
        <v>6522</v>
      </c>
      <c r="BJ7" s="67">
        <v>0</v>
      </c>
      <c r="BK7" s="64">
        <v>27445</v>
      </c>
      <c r="BL7" s="67">
        <v>5</v>
      </c>
      <c r="BM7" s="64">
        <v>5146</v>
      </c>
      <c r="BN7" s="67">
        <v>5</v>
      </c>
      <c r="BO7" s="64">
        <v>23427</v>
      </c>
      <c r="BP7" s="67">
        <v>52</v>
      </c>
      <c r="BQ7" s="64">
        <v>3641</v>
      </c>
      <c r="BR7" s="67">
        <v>0</v>
      </c>
      <c r="BS7" s="67">
        <v>15</v>
      </c>
      <c r="BT7" s="67">
        <v>125</v>
      </c>
      <c r="BU7" s="64">
        <v>632800</v>
      </c>
      <c r="BV7" s="67">
        <v>130</v>
      </c>
      <c r="BW7" s="64">
        <v>3812</v>
      </c>
      <c r="BX7" s="67">
        <v>1</v>
      </c>
      <c r="BY7" s="64">
        <v>830310</v>
      </c>
      <c r="BZ7" s="67">
        <v>210</v>
      </c>
      <c r="CA7" s="64">
        <v>18325</v>
      </c>
      <c r="CB7" s="67">
        <v>55</v>
      </c>
      <c r="CC7" s="77">
        <v>70</v>
      </c>
      <c r="CD7" s="67">
        <v>340</v>
      </c>
      <c r="CE7" s="78">
        <v>48</v>
      </c>
      <c r="CF7" s="58">
        <v>155</v>
      </c>
      <c r="CG7" s="135">
        <v>20161.856671558693</v>
      </c>
      <c r="CH7" s="64"/>
      <c r="CI7" s="136">
        <v>0</v>
      </c>
      <c r="CJ7" s="60">
        <v>235711</v>
      </c>
      <c r="CK7" s="67">
        <v>181</v>
      </c>
      <c r="CL7" s="77">
        <v>1033.51</v>
      </c>
      <c r="CM7" s="60">
        <v>83</v>
      </c>
      <c r="CN7" s="81">
        <v>8943.25</v>
      </c>
      <c r="CO7" s="60">
        <v>84</v>
      </c>
      <c r="CP7" s="137">
        <v>9051</v>
      </c>
      <c r="CQ7" s="64">
        <v>84</v>
      </c>
      <c r="CR7" s="138">
        <v>9051</v>
      </c>
      <c r="CS7" s="139">
        <v>27045.25</v>
      </c>
      <c r="CT7" s="82">
        <v>754.25</v>
      </c>
      <c r="CU7" s="64"/>
      <c r="CV7" s="60">
        <v>41190</v>
      </c>
      <c r="CW7" s="67">
        <v>39</v>
      </c>
      <c r="CX7" s="77">
        <v>222.69</v>
      </c>
      <c r="CY7" s="60">
        <v>35230</v>
      </c>
      <c r="CZ7" s="67">
        <v>7</v>
      </c>
      <c r="DA7" s="77">
        <v>39.97</v>
      </c>
      <c r="DB7" s="60">
        <v>13011</v>
      </c>
      <c r="DC7" s="67">
        <v>17</v>
      </c>
      <c r="DD7" s="77">
        <v>97.07</v>
      </c>
      <c r="DE7" s="60">
        <v>842715</v>
      </c>
      <c r="DF7" s="67">
        <v>70</v>
      </c>
      <c r="DG7" s="77">
        <v>399.7</v>
      </c>
      <c r="DH7" s="64">
        <v>8446</v>
      </c>
      <c r="DI7" s="67">
        <v>24</v>
      </c>
      <c r="DJ7" s="77">
        <v>137.04</v>
      </c>
      <c r="DK7" s="60">
        <v>9000</v>
      </c>
      <c r="DL7" s="67">
        <v>9</v>
      </c>
      <c r="DM7" s="77">
        <v>51.39</v>
      </c>
      <c r="DN7" s="60">
        <v>5368</v>
      </c>
      <c r="DO7" s="67">
        <v>4</v>
      </c>
      <c r="DP7" s="77">
        <v>22.84</v>
      </c>
      <c r="DQ7" s="60">
        <v>2093</v>
      </c>
      <c r="DR7" s="67">
        <v>0</v>
      </c>
      <c r="DS7" s="77">
        <v>0</v>
      </c>
      <c r="DT7" s="60">
        <v>6387</v>
      </c>
      <c r="DU7" s="67">
        <v>7</v>
      </c>
      <c r="DV7" s="77">
        <v>39.97</v>
      </c>
      <c r="DW7" s="60">
        <v>5883</v>
      </c>
      <c r="DX7" s="67">
        <v>7</v>
      </c>
      <c r="DY7" s="77">
        <v>39.97</v>
      </c>
      <c r="DZ7" s="60">
        <v>6627</v>
      </c>
      <c r="EA7" s="67">
        <v>9</v>
      </c>
      <c r="EB7" s="77">
        <v>51.39</v>
      </c>
      <c r="EC7" s="60">
        <v>6524</v>
      </c>
      <c r="ED7" s="67">
        <v>13</v>
      </c>
      <c r="EE7" s="77">
        <v>74.23</v>
      </c>
      <c r="EF7" s="79"/>
      <c r="EG7" s="77">
        <v>0</v>
      </c>
      <c r="EH7" s="79"/>
      <c r="EI7" s="77">
        <v>0</v>
      </c>
      <c r="EJ7" s="84"/>
      <c r="EK7" s="77">
        <v>0</v>
      </c>
      <c r="EL7" s="84"/>
      <c r="EM7" s="77">
        <v>0</v>
      </c>
      <c r="EN7" s="84"/>
      <c r="EO7" s="85"/>
      <c r="EP7" s="140">
        <v>0.47249999999999998</v>
      </c>
      <c r="EQ7" s="86"/>
      <c r="ER7" s="84"/>
      <c r="ES7" s="85"/>
      <c r="ET7" s="88"/>
      <c r="EU7" s="88"/>
      <c r="EV7" s="88"/>
    </row>
    <row r="8" spans="1:154" s="20" customFormat="1" ht="15.75" thickBot="1" x14ac:dyDescent="0.25">
      <c r="A8" s="57">
        <v>44625</v>
      </c>
      <c r="B8" s="64">
        <v>1462009</v>
      </c>
      <c r="C8" s="59">
        <v>27747</v>
      </c>
      <c r="D8" s="64">
        <v>515662</v>
      </c>
      <c r="E8" s="59">
        <v>26469</v>
      </c>
      <c r="F8" s="90">
        <v>0.95394096659098282</v>
      </c>
      <c r="G8" s="60">
        <v>1318</v>
      </c>
      <c r="H8" s="60">
        <v>1364</v>
      </c>
      <c r="I8" s="61">
        <v>291720</v>
      </c>
      <c r="J8" s="62">
        <v>0</v>
      </c>
      <c r="K8" s="63">
        <v>801</v>
      </c>
      <c r="L8" s="59">
        <v>0</v>
      </c>
      <c r="M8" s="64">
        <v>644665</v>
      </c>
      <c r="N8" s="62">
        <v>0</v>
      </c>
      <c r="O8" s="64">
        <v>1032</v>
      </c>
      <c r="P8" s="62">
        <v>0</v>
      </c>
      <c r="Q8" s="64">
        <v>1852000</v>
      </c>
      <c r="R8" s="62">
        <v>11300</v>
      </c>
      <c r="S8" s="64">
        <v>1880800</v>
      </c>
      <c r="T8" s="62">
        <v>12700</v>
      </c>
      <c r="U8" s="64">
        <v>2785035</v>
      </c>
      <c r="V8" s="62">
        <v>1117</v>
      </c>
      <c r="W8" s="64">
        <v>2265138</v>
      </c>
      <c r="X8" s="62">
        <v>453</v>
      </c>
      <c r="Y8" s="64">
        <v>279692</v>
      </c>
      <c r="Z8" s="62">
        <v>275</v>
      </c>
      <c r="AA8" s="141"/>
      <c r="AB8" s="134">
        <v>0.83333333333333337</v>
      </c>
      <c r="AC8" s="66">
        <v>333.33333333333337</v>
      </c>
      <c r="AD8" s="63"/>
      <c r="AE8" s="64">
        <v>175907</v>
      </c>
      <c r="AF8" s="59">
        <v>84</v>
      </c>
      <c r="AG8" s="71">
        <v>482870</v>
      </c>
      <c r="AH8" s="67">
        <v>340</v>
      </c>
      <c r="AI8" s="64">
        <v>1179</v>
      </c>
      <c r="AJ8" s="68">
        <v>0</v>
      </c>
      <c r="AK8" s="60">
        <v>5452</v>
      </c>
      <c r="AL8" s="68">
        <v>1</v>
      </c>
      <c r="AM8" s="19">
        <v>13655</v>
      </c>
      <c r="AN8" s="68">
        <v>278</v>
      </c>
      <c r="AO8" s="19"/>
      <c r="AP8" s="68">
        <v>0</v>
      </c>
      <c r="AQ8" s="60">
        <v>616330</v>
      </c>
      <c r="AR8" s="62">
        <v>140</v>
      </c>
      <c r="AS8" s="74">
        <v>1562</v>
      </c>
      <c r="AT8" s="62">
        <v>1</v>
      </c>
      <c r="AU8" s="64">
        <v>55894</v>
      </c>
      <c r="AV8" s="62">
        <v>24</v>
      </c>
      <c r="AW8" s="60">
        <v>9226</v>
      </c>
      <c r="AX8" s="62">
        <v>0</v>
      </c>
      <c r="AY8" s="64">
        <v>10929</v>
      </c>
      <c r="AZ8" s="62">
        <v>3</v>
      </c>
      <c r="BA8" s="60">
        <v>17886</v>
      </c>
      <c r="BB8" s="62">
        <v>12</v>
      </c>
      <c r="BC8" s="64">
        <v>20277</v>
      </c>
      <c r="BD8" s="62">
        <v>4</v>
      </c>
      <c r="BE8" s="58">
        <v>21005</v>
      </c>
      <c r="BF8" s="67">
        <v>2</v>
      </c>
      <c r="BG8" s="64">
        <v>14292</v>
      </c>
      <c r="BH8" s="67">
        <v>2</v>
      </c>
      <c r="BI8" s="64">
        <v>6523</v>
      </c>
      <c r="BJ8" s="67">
        <v>1</v>
      </c>
      <c r="BK8" s="64">
        <v>27448</v>
      </c>
      <c r="BL8" s="67">
        <v>3</v>
      </c>
      <c r="BM8" s="64">
        <v>5149</v>
      </c>
      <c r="BN8" s="67">
        <v>3</v>
      </c>
      <c r="BO8" s="64">
        <v>23489</v>
      </c>
      <c r="BP8" s="67">
        <v>62</v>
      </c>
      <c r="BQ8" s="64">
        <v>3641</v>
      </c>
      <c r="BR8" s="67">
        <v>0</v>
      </c>
      <c r="BS8" s="67">
        <v>16</v>
      </c>
      <c r="BT8" s="67">
        <v>124</v>
      </c>
      <c r="BU8" s="64">
        <v>632940</v>
      </c>
      <c r="BV8" s="67">
        <v>140</v>
      </c>
      <c r="BW8" s="64">
        <v>3815</v>
      </c>
      <c r="BX8" s="67">
        <v>3</v>
      </c>
      <c r="BY8" s="64">
        <v>830510</v>
      </c>
      <c r="BZ8" s="67">
        <v>200</v>
      </c>
      <c r="CA8" s="64">
        <v>18378</v>
      </c>
      <c r="CB8" s="67">
        <v>53</v>
      </c>
      <c r="CC8" s="77">
        <v>60</v>
      </c>
      <c r="CD8" s="67">
        <v>340</v>
      </c>
      <c r="CE8" s="78">
        <v>51</v>
      </c>
      <c r="CF8" s="58">
        <v>155</v>
      </c>
      <c r="CG8" s="135">
        <v>20161.856671558693</v>
      </c>
      <c r="CH8" s="64"/>
      <c r="CI8" s="136">
        <v>0</v>
      </c>
      <c r="CJ8" s="64">
        <v>235901</v>
      </c>
      <c r="CK8" s="67">
        <v>190</v>
      </c>
      <c r="CL8" s="77">
        <v>1084.9000000000001</v>
      </c>
      <c r="CM8" s="60">
        <v>79</v>
      </c>
      <c r="CN8" s="81">
        <v>8512.25</v>
      </c>
      <c r="CO8" s="64">
        <v>80</v>
      </c>
      <c r="CP8" s="137">
        <v>8620</v>
      </c>
      <c r="CQ8" s="64">
        <v>81</v>
      </c>
      <c r="CR8" s="138">
        <v>8727.75</v>
      </c>
      <c r="CS8" s="139">
        <v>25860</v>
      </c>
      <c r="CT8" s="82">
        <v>1185.25</v>
      </c>
      <c r="CU8" s="64"/>
      <c r="CV8" s="64">
        <v>41232</v>
      </c>
      <c r="CW8" s="67">
        <v>42</v>
      </c>
      <c r="CX8" s="77">
        <v>239.82</v>
      </c>
      <c r="CY8" s="64">
        <v>35234</v>
      </c>
      <c r="CZ8" s="67">
        <v>4</v>
      </c>
      <c r="DA8" s="77">
        <v>22.84</v>
      </c>
      <c r="DB8" s="64">
        <v>13028</v>
      </c>
      <c r="DC8" s="67">
        <v>17</v>
      </c>
      <c r="DD8" s="77">
        <v>97.07</v>
      </c>
      <c r="DE8" s="64">
        <v>842783</v>
      </c>
      <c r="DF8" s="67">
        <v>68</v>
      </c>
      <c r="DG8" s="77">
        <v>388.28</v>
      </c>
      <c r="DH8" s="64">
        <v>8467</v>
      </c>
      <c r="DI8" s="67">
        <v>21</v>
      </c>
      <c r="DJ8" s="77">
        <v>119.91</v>
      </c>
      <c r="DK8" s="64">
        <v>9008</v>
      </c>
      <c r="DL8" s="67">
        <v>8</v>
      </c>
      <c r="DM8" s="77">
        <v>45.68</v>
      </c>
      <c r="DN8" s="64">
        <v>5371</v>
      </c>
      <c r="DO8" s="67">
        <v>3</v>
      </c>
      <c r="DP8" s="77">
        <v>17.13</v>
      </c>
      <c r="DQ8" s="64">
        <v>2095</v>
      </c>
      <c r="DR8" s="67">
        <v>2</v>
      </c>
      <c r="DS8" s="77">
        <v>11.42</v>
      </c>
      <c r="DT8" s="64">
        <v>6395</v>
      </c>
      <c r="DU8" s="67">
        <v>8</v>
      </c>
      <c r="DV8" s="77">
        <v>45.68</v>
      </c>
      <c r="DW8" s="64">
        <v>5890</v>
      </c>
      <c r="DX8" s="67">
        <v>7</v>
      </c>
      <c r="DY8" s="77">
        <v>39.97</v>
      </c>
      <c r="DZ8" s="64">
        <v>6635</v>
      </c>
      <c r="EA8" s="67">
        <v>8</v>
      </c>
      <c r="EB8" s="77">
        <v>45.68</v>
      </c>
      <c r="EC8" s="64">
        <v>6534</v>
      </c>
      <c r="ED8" s="67">
        <v>10</v>
      </c>
      <c r="EE8" s="77">
        <v>57.1</v>
      </c>
      <c r="EF8" s="79"/>
      <c r="EG8" s="77">
        <v>0</v>
      </c>
      <c r="EH8" s="79"/>
      <c r="EI8" s="77">
        <v>0</v>
      </c>
      <c r="EJ8" s="84"/>
      <c r="EK8" s="77">
        <v>0</v>
      </c>
      <c r="EL8" s="84"/>
      <c r="EM8" s="77">
        <v>0</v>
      </c>
      <c r="EN8" s="84"/>
      <c r="EO8" s="85"/>
      <c r="EP8" s="140">
        <v>0.48349999999999999</v>
      </c>
      <c r="EQ8" s="86"/>
      <c r="ER8" s="84"/>
      <c r="ES8" s="85"/>
      <c r="ET8" s="88"/>
      <c r="EU8" s="88"/>
      <c r="EV8" s="88"/>
    </row>
    <row r="9" spans="1:154" s="20" customFormat="1" ht="15.75" thickBot="1" x14ac:dyDescent="0.25">
      <c r="A9" s="57">
        <v>44626</v>
      </c>
      <c r="B9" s="64">
        <v>1486998</v>
      </c>
      <c r="C9" s="59">
        <v>24989</v>
      </c>
      <c r="D9" s="60">
        <v>539520</v>
      </c>
      <c r="E9" s="59">
        <v>23858</v>
      </c>
      <c r="F9" s="90">
        <v>0.95474008563768054</v>
      </c>
      <c r="G9" s="60">
        <v>1318</v>
      </c>
      <c r="H9" s="60">
        <v>1364</v>
      </c>
      <c r="I9" s="61">
        <v>291720</v>
      </c>
      <c r="J9" s="62">
        <v>0</v>
      </c>
      <c r="K9" s="63">
        <v>801</v>
      </c>
      <c r="L9" s="59">
        <v>0</v>
      </c>
      <c r="M9" s="64">
        <v>644665</v>
      </c>
      <c r="N9" s="62">
        <v>0</v>
      </c>
      <c r="O9" s="64">
        <v>1032</v>
      </c>
      <c r="P9" s="62">
        <v>0</v>
      </c>
      <c r="Q9" s="64">
        <v>1862200</v>
      </c>
      <c r="R9" s="62">
        <v>10200</v>
      </c>
      <c r="S9" s="64">
        <v>1892500</v>
      </c>
      <c r="T9" s="62">
        <v>11700</v>
      </c>
      <c r="U9" s="64">
        <v>2786063</v>
      </c>
      <c r="V9" s="62">
        <v>1028</v>
      </c>
      <c r="W9" s="64">
        <v>2265547</v>
      </c>
      <c r="X9" s="62">
        <v>409</v>
      </c>
      <c r="Y9" s="64">
        <v>279998</v>
      </c>
      <c r="Z9" s="62">
        <v>306</v>
      </c>
      <c r="AA9" s="141"/>
      <c r="AB9" s="134">
        <v>0.80555555555555558</v>
      </c>
      <c r="AC9" s="66">
        <v>322.22222222222223</v>
      </c>
      <c r="AD9" s="63"/>
      <c r="AE9" s="64">
        <v>175907</v>
      </c>
      <c r="AF9" s="59">
        <v>0</v>
      </c>
      <c r="AG9" s="71">
        <v>483260</v>
      </c>
      <c r="AH9" s="67">
        <v>390</v>
      </c>
      <c r="AI9" s="64">
        <v>1179</v>
      </c>
      <c r="AJ9" s="68">
        <v>0</v>
      </c>
      <c r="AK9" s="60">
        <v>5453</v>
      </c>
      <c r="AL9" s="68">
        <v>1</v>
      </c>
      <c r="AM9" s="19">
        <v>13981</v>
      </c>
      <c r="AN9" s="68">
        <v>326</v>
      </c>
      <c r="AO9" s="19"/>
      <c r="AP9" s="68">
        <v>0</v>
      </c>
      <c r="AQ9" s="60">
        <v>616480</v>
      </c>
      <c r="AR9" s="62">
        <v>150</v>
      </c>
      <c r="AS9" s="74">
        <v>1562</v>
      </c>
      <c r="AT9" s="62">
        <v>0</v>
      </c>
      <c r="AU9" s="60">
        <v>55916</v>
      </c>
      <c r="AV9" s="62">
        <v>22</v>
      </c>
      <c r="AW9" s="60">
        <v>9227</v>
      </c>
      <c r="AX9" s="62">
        <v>1</v>
      </c>
      <c r="AY9" s="64">
        <v>10932</v>
      </c>
      <c r="AZ9" s="62">
        <v>3</v>
      </c>
      <c r="BA9" s="60">
        <v>17899</v>
      </c>
      <c r="BB9" s="62">
        <v>13</v>
      </c>
      <c r="BC9" s="64">
        <v>20282</v>
      </c>
      <c r="BD9" s="62">
        <v>5</v>
      </c>
      <c r="BE9" s="58">
        <v>21007</v>
      </c>
      <c r="BF9" s="67">
        <v>2</v>
      </c>
      <c r="BG9" s="64">
        <v>14295</v>
      </c>
      <c r="BH9" s="67">
        <v>3</v>
      </c>
      <c r="BI9" s="64">
        <v>6523</v>
      </c>
      <c r="BJ9" s="67">
        <v>0</v>
      </c>
      <c r="BK9" s="64">
        <v>27452</v>
      </c>
      <c r="BL9" s="67">
        <v>4</v>
      </c>
      <c r="BM9" s="64">
        <v>5155</v>
      </c>
      <c r="BN9" s="67">
        <v>6</v>
      </c>
      <c r="BO9" s="64">
        <v>23561</v>
      </c>
      <c r="BP9" s="67">
        <v>72</v>
      </c>
      <c r="BQ9" s="64">
        <v>3641</v>
      </c>
      <c r="BR9" s="67">
        <v>0</v>
      </c>
      <c r="BS9" s="67">
        <v>18</v>
      </c>
      <c r="BT9" s="67">
        <v>132</v>
      </c>
      <c r="BU9" s="64">
        <v>633070</v>
      </c>
      <c r="BV9" s="67">
        <v>130</v>
      </c>
      <c r="BW9" s="64">
        <v>3817</v>
      </c>
      <c r="BX9" s="67">
        <v>2</v>
      </c>
      <c r="BY9" s="64">
        <v>830750</v>
      </c>
      <c r="BZ9" s="67">
        <v>240</v>
      </c>
      <c r="CA9" s="64">
        <v>18445</v>
      </c>
      <c r="CB9" s="67">
        <v>67</v>
      </c>
      <c r="CC9" s="77">
        <v>90</v>
      </c>
      <c r="CD9" s="67">
        <v>370</v>
      </c>
      <c r="CE9" s="78">
        <v>55</v>
      </c>
      <c r="CF9" s="58">
        <v>155</v>
      </c>
      <c r="CG9" s="135">
        <v>20161.856671558693</v>
      </c>
      <c r="CH9" s="64"/>
      <c r="CI9" s="136">
        <v>0</v>
      </c>
      <c r="CJ9" s="64">
        <v>236067</v>
      </c>
      <c r="CK9" s="67">
        <v>166</v>
      </c>
      <c r="CL9" s="77">
        <v>947.86</v>
      </c>
      <c r="CM9" s="64">
        <v>76</v>
      </c>
      <c r="CN9" s="81">
        <v>8189</v>
      </c>
      <c r="CO9" s="64">
        <v>78</v>
      </c>
      <c r="CP9" s="137">
        <v>8404.5</v>
      </c>
      <c r="CQ9" s="64">
        <v>79</v>
      </c>
      <c r="CR9" s="138">
        <v>8512.25</v>
      </c>
      <c r="CS9" s="139">
        <v>25105.75</v>
      </c>
      <c r="CT9" s="82">
        <v>754.25</v>
      </c>
      <c r="CU9" s="64"/>
      <c r="CV9" s="64">
        <v>41258</v>
      </c>
      <c r="CW9" s="67">
        <v>26</v>
      </c>
      <c r="CX9" s="77">
        <v>148.46</v>
      </c>
      <c r="CY9" s="64">
        <v>35241</v>
      </c>
      <c r="CZ9" s="67">
        <v>7</v>
      </c>
      <c r="DA9" s="77">
        <v>39.97</v>
      </c>
      <c r="DB9" s="64">
        <v>13047</v>
      </c>
      <c r="DC9" s="67">
        <v>19</v>
      </c>
      <c r="DD9" s="77">
        <v>108.49</v>
      </c>
      <c r="DE9" s="64">
        <v>842846</v>
      </c>
      <c r="DF9" s="67">
        <v>63</v>
      </c>
      <c r="DG9" s="77">
        <v>359.73</v>
      </c>
      <c r="DH9" s="64">
        <v>8491</v>
      </c>
      <c r="DI9" s="67">
        <v>24</v>
      </c>
      <c r="DJ9" s="77">
        <v>137.04</v>
      </c>
      <c r="DK9" s="64">
        <v>9018</v>
      </c>
      <c r="DL9" s="67">
        <v>10</v>
      </c>
      <c r="DM9" s="77">
        <v>57.1</v>
      </c>
      <c r="DN9" s="64">
        <v>5375</v>
      </c>
      <c r="DO9" s="67">
        <v>4</v>
      </c>
      <c r="DP9" s="77">
        <v>22.84</v>
      </c>
      <c r="DQ9" s="64">
        <v>2096</v>
      </c>
      <c r="DR9" s="67">
        <v>1</v>
      </c>
      <c r="DS9" s="77">
        <v>5.71</v>
      </c>
      <c r="DT9" s="64">
        <v>6405</v>
      </c>
      <c r="DU9" s="67">
        <v>10</v>
      </c>
      <c r="DV9" s="77">
        <v>57.1</v>
      </c>
      <c r="DW9" s="64">
        <v>5900</v>
      </c>
      <c r="DX9" s="67">
        <v>10</v>
      </c>
      <c r="DY9" s="77">
        <v>57.1</v>
      </c>
      <c r="DZ9" s="64">
        <v>6645</v>
      </c>
      <c r="EA9" s="67">
        <v>10</v>
      </c>
      <c r="EB9" s="77">
        <v>57.1</v>
      </c>
      <c r="EC9" s="64">
        <v>6547</v>
      </c>
      <c r="ED9" s="67">
        <v>13</v>
      </c>
      <c r="EE9" s="77">
        <v>74.23</v>
      </c>
      <c r="EF9" s="79"/>
      <c r="EG9" s="77">
        <v>0</v>
      </c>
      <c r="EH9" s="79"/>
      <c r="EI9" s="77">
        <v>0</v>
      </c>
      <c r="EJ9" s="84"/>
      <c r="EK9" s="77">
        <v>0</v>
      </c>
      <c r="EL9" s="84"/>
      <c r="EM9" s="77">
        <v>0</v>
      </c>
      <c r="EN9" s="84"/>
      <c r="EO9" s="85"/>
      <c r="EP9" s="140">
        <v>0.42859999999999998</v>
      </c>
      <c r="EQ9" s="86"/>
      <c r="ER9" s="84"/>
      <c r="ES9" s="85"/>
      <c r="ET9" s="88"/>
      <c r="EU9" s="88"/>
      <c r="EV9" s="88"/>
    </row>
    <row r="10" spans="1:154" s="20" customFormat="1" ht="15.75" thickBot="1" x14ac:dyDescent="0.25">
      <c r="A10" s="57">
        <v>44627</v>
      </c>
      <c r="B10" s="64">
        <v>1513112</v>
      </c>
      <c r="C10" s="59">
        <v>26114</v>
      </c>
      <c r="D10" s="64">
        <v>564556</v>
      </c>
      <c r="E10" s="59">
        <v>25036</v>
      </c>
      <c r="F10" s="90">
        <v>0.95871946082561077</v>
      </c>
      <c r="G10" s="60">
        <v>1318</v>
      </c>
      <c r="H10" s="60">
        <v>1364</v>
      </c>
      <c r="I10" s="61">
        <v>291720</v>
      </c>
      <c r="J10" s="62">
        <v>0</v>
      </c>
      <c r="K10" s="63">
        <v>801</v>
      </c>
      <c r="L10" s="59">
        <v>0</v>
      </c>
      <c r="M10" s="64">
        <v>644665</v>
      </c>
      <c r="N10" s="62">
        <v>0</v>
      </c>
      <c r="O10" s="64">
        <v>1032</v>
      </c>
      <c r="P10" s="62">
        <v>0</v>
      </c>
      <c r="Q10" s="64">
        <v>1872800</v>
      </c>
      <c r="R10" s="62">
        <v>10600</v>
      </c>
      <c r="S10" s="64">
        <v>1904400</v>
      </c>
      <c r="T10" s="62">
        <v>11900</v>
      </c>
      <c r="U10" s="64">
        <v>2786751</v>
      </c>
      <c r="V10" s="62">
        <v>688</v>
      </c>
      <c r="W10" s="64">
        <v>2265958</v>
      </c>
      <c r="X10" s="62">
        <v>411</v>
      </c>
      <c r="Y10" s="64">
        <v>280326</v>
      </c>
      <c r="Z10" s="62">
        <v>328</v>
      </c>
      <c r="AA10" s="141"/>
      <c r="AB10" s="134">
        <v>0.72222222222222221</v>
      </c>
      <c r="AC10" s="66">
        <v>288.88888888888886</v>
      </c>
      <c r="AD10" s="63"/>
      <c r="AE10" s="64">
        <v>175907</v>
      </c>
      <c r="AF10" s="59">
        <v>0</v>
      </c>
      <c r="AG10" s="71">
        <v>483660</v>
      </c>
      <c r="AH10" s="67">
        <v>400</v>
      </c>
      <c r="AI10" s="64">
        <v>1179</v>
      </c>
      <c r="AJ10" s="68">
        <v>0</v>
      </c>
      <c r="AK10" s="60">
        <v>5462</v>
      </c>
      <c r="AL10" s="68">
        <v>9</v>
      </c>
      <c r="AM10" s="19">
        <v>14352</v>
      </c>
      <c r="AN10" s="68">
        <v>371</v>
      </c>
      <c r="AO10" s="19"/>
      <c r="AP10" s="68">
        <v>0</v>
      </c>
      <c r="AQ10" s="60">
        <v>616640</v>
      </c>
      <c r="AR10" s="62">
        <v>160</v>
      </c>
      <c r="AS10" s="74">
        <v>1563</v>
      </c>
      <c r="AT10" s="62">
        <v>1</v>
      </c>
      <c r="AU10" s="60">
        <v>55936</v>
      </c>
      <c r="AV10" s="62">
        <v>20</v>
      </c>
      <c r="AW10" s="60">
        <v>9228</v>
      </c>
      <c r="AX10" s="62">
        <v>1</v>
      </c>
      <c r="AY10" s="64">
        <v>10933</v>
      </c>
      <c r="AZ10" s="62">
        <v>1</v>
      </c>
      <c r="BA10" s="60">
        <v>17913</v>
      </c>
      <c r="BB10" s="62">
        <v>14</v>
      </c>
      <c r="BC10" s="64">
        <v>20286</v>
      </c>
      <c r="BD10" s="62">
        <v>4</v>
      </c>
      <c r="BE10" s="58">
        <v>21008</v>
      </c>
      <c r="BF10" s="67">
        <v>1</v>
      </c>
      <c r="BG10" s="64">
        <v>14297</v>
      </c>
      <c r="BH10" s="67">
        <v>2</v>
      </c>
      <c r="BI10" s="64">
        <v>6524</v>
      </c>
      <c r="BJ10" s="67">
        <v>1</v>
      </c>
      <c r="BK10" s="64">
        <v>27456</v>
      </c>
      <c r="BL10" s="67">
        <v>4</v>
      </c>
      <c r="BM10" s="64">
        <v>5159</v>
      </c>
      <c r="BN10" s="67">
        <v>4</v>
      </c>
      <c r="BO10" s="64">
        <v>23631</v>
      </c>
      <c r="BP10" s="67">
        <v>70</v>
      </c>
      <c r="BQ10" s="64">
        <v>3641</v>
      </c>
      <c r="BR10" s="67">
        <v>0</v>
      </c>
      <c r="BS10" s="67">
        <v>17</v>
      </c>
      <c r="BT10" s="67">
        <v>143</v>
      </c>
      <c r="BU10" s="64">
        <v>633230</v>
      </c>
      <c r="BV10" s="67">
        <v>160</v>
      </c>
      <c r="BW10" s="64">
        <v>3822</v>
      </c>
      <c r="BX10" s="67">
        <v>5</v>
      </c>
      <c r="BY10" s="64">
        <v>830990</v>
      </c>
      <c r="BZ10" s="67">
        <v>240</v>
      </c>
      <c r="CA10" s="64">
        <v>18523</v>
      </c>
      <c r="CB10" s="67">
        <v>78</v>
      </c>
      <c r="CC10" s="77">
        <v>80</v>
      </c>
      <c r="CD10" s="67">
        <v>400</v>
      </c>
      <c r="CE10" s="78">
        <v>48</v>
      </c>
      <c r="CF10" s="58">
        <v>155</v>
      </c>
      <c r="CG10" s="135">
        <v>20161.856671558693</v>
      </c>
      <c r="CH10" s="64"/>
      <c r="CI10" s="136">
        <v>0</v>
      </c>
      <c r="CJ10" s="64">
        <v>236272</v>
      </c>
      <c r="CK10" s="67">
        <v>205</v>
      </c>
      <c r="CL10" s="77">
        <v>1170.55</v>
      </c>
      <c r="CM10" s="64">
        <v>72</v>
      </c>
      <c r="CN10" s="81">
        <v>7758</v>
      </c>
      <c r="CO10" s="64">
        <v>74</v>
      </c>
      <c r="CP10" s="137">
        <v>7973.5</v>
      </c>
      <c r="CQ10" s="64">
        <v>72</v>
      </c>
      <c r="CR10" s="138">
        <v>7758</v>
      </c>
      <c r="CS10" s="139">
        <v>23489.5</v>
      </c>
      <c r="CT10" s="82">
        <v>1616.25</v>
      </c>
      <c r="CU10" s="64"/>
      <c r="CV10" s="64">
        <v>41297</v>
      </c>
      <c r="CW10" s="67">
        <v>39</v>
      </c>
      <c r="CX10" s="77">
        <v>222.69</v>
      </c>
      <c r="CY10" s="64">
        <v>35246</v>
      </c>
      <c r="CZ10" s="67">
        <v>5</v>
      </c>
      <c r="DA10" s="77">
        <v>28.55</v>
      </c>
      <c r="DB10" s="64">
        <v>13065</v>
      </c>
      <c r="DC10" s="67">
        <v>18</v>
      </c>
      <c r="DD10" s="77">
        <v>102.78</v>
      </c>
      <c r="DE10" s="64">
        <v>842920</v>
      </c>
      <c r="DF10" s="67">
        <v>74</v>
      </c>
      <c r="DG10" s="77">
        <v>422.54</v>
      </c>
      <c r="DH10" s="64">
        <v>8512</v>
      </c>
      <c r="DI10" s="67">
        <v>21</v>
      </c>
      <c r="DJ10" s="77">
        <v>119.91</v>
      </c>
      <c r="DK10" s="64">
        <v>9026</v>
      </c>
      <c r="DL10" s="67">
        <v>8</v>
      </c>
      <c r="DM10" s="77">
        <v>45.68</v>
      </c>
      <c r="DN10" s="64">
        <v>5378</v>
      </c>
      <c r="DO10" s="67">
        <v>3</v>
      </c>
      <c r="DP10" s="77">
        <v>17.13</v>
      </c>
      <c r="DQ10" s="64">
        <v>2098</v>
      </c>
      <c r="DR10" s="67">
        <v>2</v>
      </c>
      <c r="DS10" s="77">
        <v>11.42</v>
      </c>
      <c r="DT10" s="64">
        <v>6413</v>
      </c>
      <c r="DU10" s="67">
        <v>8</v>
      </c>
      <c r="DV10" s="77">
        <v>45.68</v>
      </c>
      <c r="DW10" s="64">
        <v>5907</v>
      </c>
      <c r="DX10" s="67">
        <v>7</v>
      </c>
      <c r="DY10" s="77">
        <v>39.97</v>
      </c>
      <c r="DZ10" s="64">
        <v>6653</v>
      </c>
      <c r="EA10" s="67">
        <v>8</v>
      </c>
      <c r="EB10" s="77">
        <v>45.68</v>
      </c>
      <c r="EC10" s="64">
        <v>6558</v>
      </c>
      <c r="ED10" s="67">
        <v>11</v>
      </c>
      <c r="EE10" s="77">
        <v>62.81</v>
      </c>
      <c r="EF10" s="79"/>
      <c r="EG10" s="77">
        <v>0</v>
      </c>
      <c r="EH10" s="79"/>
      <c r="EI10" s="77">
        <v>0</v>
      </c>
      <c r="EJ10" s="84"/>
      <c r="EK10" s="77">
        <v>0</v>
      </c>
      <c r="EL10" s="84"/>
      <c r="EM10" s="77">
        <v>0</v>
      </c>
      <c r="EN10" s="84"/>
      <c r="EO10" s="85"/>
      <c r="EP10" s="140">
        <v>0.48349999999999999</v>
      </c>
      <c r="EQ10" s="86"/>
      <c r="ER10" s="84"/>
      <c r="ES10" s="85"/>
      <c r="ET10" s="88"/>
      <c r="EU10" s="88"/>
      <c r="EV10" s="88"/>
    </row>
    <row r="11" spans="1:154" s="20" customFormat="1" ht="15.75" thickBot="1" x14ac:dyDescent="0.25">
      <c r="A11" s="57">
        <v>44628</v>
      </c>
      <c r="B11" s="64">
        <v>1536416</v>
      </c>
      <c r="C11" s="59">
        <v>23304</v>
      </c>
      <c r="D11" s="64">
        <v>586678</v>
      </c>
      <c r="E11" s="59">
        <v>22122</v>
      </c>
      <c r="F11" s="90">
        <v>0.94927909371781671</v>
      </c>
      <c r="G11" s="60">
        <v>1318</v>
      </c>
      <c r="H11" s="60">
        <v>1364</v>
      </c>
      <c r="I11" s="61">
        <v>291720</v>
      </c>
      <c r="J11" s="62">
        <v>0</v>
      </c>
      <c r="K11" s="63">
        <v>801</v>
      </c>
      <c r="L11" s="59">
        <v>0</v>
      </c>
      <c r="M11" s="64">
        <v>644665</v>
      </c>
      <c r="N11" s="62">
        <v>0</v>
      </c>
      <c r="O11" s="64">
        <v>1032</v>
      </c>
      <c r="P11" s="62">
        <v>0</v>
      </c>
      <c r="Q11" s="64">
        <v>1882600</v>
      </c>
      <c r="R11" s="62">
        <v>9800</v>
      </c>
      <c r="S11" s="64">
        <v>1914600</v>
      </c>
      <c r="T11" s="62">
        <v>10200</v>
      </c>
      <c r="U11" s="64">
        <v>2787431</v>
      </c>
      <c r="V11" s="62">
        <v>680</v>
      </c>
      <c r="W11" s="64">
        <v>2266346</v>
      </c>
      <c r="X11" s="62">
        <v>388</v>
      </c>
      <c r="Y11" s="64">
        <v>280545</v>
      </c>
      <c r="Z11" s="62">
        <v>219</v>
      </c>
      <c r="AA11" s="141"/>
      <c r="AB11" s="134">
        <v>0.88888888888888884</v>
      </c>
      <c r="AC11" s="66">
        <v>355.55555555555554</v>
      </c>
      <c r="AD11" s="63"/>
      <c r="AE11" s="64">
        <v>176060</v>
      </c>
      <c r="AF11" s="59">
        <v>153</v>
      </c>
      <c r="AG11" s="71">
        <v>484000</v>
      </c>
      <c r="AH11" s="67">
        <v>340</v>
      </c>
      <c r="AI11" s="64">
        <v>1179</v>
      </c>
      <c r="AJ11" s="68">
        <v>0</v>
      </c>
      <c r="AK11" s="60">
        <v>5462</v>
      </c>
      <c r="AL11" s="68">
        <v>0</v>
      </c>
      <c r="AM11" s="19">
        <v>14567</v>
      </c>
      <c r="AN11" s="68">
        <v>215</v>
      </c>
      <c r="AO11" s="19"/>
      <c r="AP11" s="68">
        <v>0</v>
      </c>
      <c r="AQ11" s="60">
        <v>616770</v>
      </c>
      <c r="AR11" s="62">
        <v>130</v>
      </c>
      <c r="AS11" s="74">
        <v>1564</v>
      </c>
      <c r="AT11" s="62">
        <v>1</v>
      </c>
      <c r="AU11" s="60">
        <v>55955</v>
      </c>
      <c r="AV11" s="62">
        <v>19</v>
      </c>
      <c r="AW11" s="60">
        <v>9229</v>
      </c>
      <c r="AX11" s="62">
        <v>1</v>
      </c>
      <c r="AY11" s="64">
        <v>10934</v>
      </c>
      <c r="AZ11" s="62">
        <v>1</v>
      </c>
      <c r="BA11" s="60">
        <v>17925</v>
      </c>
      <c r="BB11" s="62">
        <v>12</v>
      </c>
      <c r="BC11" s="64">
        <v>20291</v>
      </c>
      <c r="BD11" s="62">
        <v>5</v>
      </c>
      <c r="BE11" s="58">
        <v>21010</v>
      </c>
      <c r="BF11" s="67">
        <v>2</v>
      </c>
      <c r="BG11" s="64">
        <v>14299</v>
      </c>
      <c r="BH11" s="67">
        <v>2</v>
      </c>
      <c r="BI11" s="64">
        <v>6524</v>
      </c>
      <c r="BJ11" s="67">
        <v>0</v>
      </c>
      <c r="BK11" s="64">
        <v>27461</v>
      </c>
      <c r="BL11" s="67">
        <v>5</v>
      </c>
      <c r="BM11" s="64">
        <v>5163</v>
      </c>
      <c r="BN11" s="67">
        <v>4</v>
      </c>
      <c r="BO11" s="64">
        <v>23703</v>
      </c>
      <c r="BP11" s="67">
        <v>72</v>
      </c>
      <c r="BQ11" s="64">
        <v>3641</v>
      </c>
      <c r="BR11" s="67">
        <v>0</v>
      </c>
      <c r="BS11" s="67">
        <v>16</v>
      </c>
      <c r="BT11" s="67">
        <v>114</v>
      </c>
      <c r="BU11" s="64">
        <v>633350</v>
      </c>
      <c r="BV11" s="67">
        <v>120</v>
      </c>
      <c r="BW11" s="64">
        <v>3821</v>
      </c>
      <c r="BX11" s="67" t="s">
        <v>135</v>
      </c>
      <c r="BY11" s="64">
        <v>831200</v>
      </c>
      <c r="BZ11" s="67">
        <v>210</v>
      </c>
      <c r="CA11" s="64">
        <v>18584</v>
      </c>
      <c r="CB11" s="67">
        <v>61</v>
      </c>
      <c r="CC11" s="77">
        <v>80</v>
      </c>
      <c r="CD11" s="67">
        <v>330</v>
      </c>
      <c r="CE11" s="78">
        <v>46</v>
      </c>
      <c r="CF11" s="58">
        <v>155</v>
      </c>
      <c r="CG11" s="135">
        <v>20161.856671558693</v>
      </c>
      <c r="CH11" s="64"/>
      <c r="CI11" s="136">
        <v>0</v>
      </c>
      <c r="CJ11" s="64">
        <v>236439</v>
      </c>
      <c r="CK11" s="67">
        <v>167</v>
      </c>
      <c r="CL11" s="77">
        <v>953.57</v>
      </c>
      <c r="CM11" s="64">
        <v>69</v>
      </c>
      <c r="CN11" s="81">
        <v>7434.75</v>
      </c>
      <c r="CO11" s="64">
        <v>71</v>
      </c>
      <c r="CP11" s="137">
        <v>7650.25</v>
      </c>
      <c r="CQ11" s="64">
        <v>69</v>
      </c>
      <c r="CR11" s="138">
        <v>7434.75</v>
      </c>
      <c r="CS11" s="139">
        <v>22519.75</v>
      </c>
      <c r="CT11" s="82">
        <v>969.75</v>
      </c>
      <c r="CU11" s="64"/>
      <c r="CV11" s="64">
        <v>41334</v>
      </c>
      <c r="CW11" s="67">
        <v>37</v>
      </c>
      <c r="CX11" s="77">
        <v>211.27</v>
      </c>
      <c r="CY11" s="64">
        <v>35246</v>
      </c>
      <c r="CZ11" s="67">
        <v>0</v>
      </c>
      <c r="DA11" s="77">
        <v>0</v>
      </c>
      <c r="DB11" s="64">
        <v>13073</v>
      </c>
      <c r="DC11" s="67">
        <v>8</v>
      </c>
      <c r="DD11" s="77">
        <v>45.68</v>
      </c>
      <c r="DE11" s="64">
        <v>842979</v>
      </c>
      <c r="DF11" s="67">
        <v>59</v>
      </c>
      <c r="DG11" s="77">
        <v>336.89</v>
      </c>
      <c r="DH11" s="64">
        <v>8534</v>
      </c>
      <c r="DI11" s="67">
        <v>22</v>
      </c>
      <c r="DJ11" s="77">
        <v>125.62</v>
      </c>
      <c r="DK11" s="64">
        <v>9037</v>
      </c>
      <c r="DL11" s="67">
        <v>11</v>
      </c>
      <c r="DM11" s="77">
        <v>62.81</v>
      </c>
      <c r="DN11" s="64">
        <v>5385</v>
      </c>
      <c r="DO11" s="67">
        <v>7</v>
      </c>
      <c r="DP11" s="77">
        <v>39.97</v>
      </c>
      <c r="DQ11" s="64">
        <v>2099</v>
      </c>
      <c r="DR11" s="67">
        <v>1</v>
      </c>
      <c r="DS11" s="77">
        <v>5.71</v>
      </c>
      <c r="DT11" s="64">
        <v>6422</v>
      </c>
      <c r="DU11" s="67">
        <v>9</v>
      </c>
      <c r="DV11" s="77">
        <v>51.39</v>
      </c>
      <c r="DW11" s="64">
        <v>5917</v>
      </c>
      <c r="DX11" s="67">
        <v>10</v>
      </c>
      <c r="DY11" s="77">
        <v>57.1</v>
      </c>
      <c r="DZ11" s="64">
        <v>6662</v>
      </c>
      <c r="EA11" s="67">
        <v>9</v>
      </c>
      <c r="EB11" s="77">
        <v>51.39</v>
      </c>
      <c r="EC11" s="64">
        <v>6569</v>
      </c>
      <c r="ED11" s="67">
        <v>11</v>
      </c>
      <c r="EE11" s="77">
        <v>62.81</v>
      </c>
      <c r="EF11" s="79"/>
      <c r="EG11" s="77">
        <v>0</v>
      </c>
      <c r="EH11" s="79"/>
      <c r="EI11" s="77">
        <v>0</v>
      </c>
      <c r="EJ11" s="84"/>
      <c r="EK11" s="77">
        <v>0</v>
      </c>
      <c r="EL11" s="84"/>
      <c r="EM11" s="77">
        <v>0</v>
      </c>
      <c r="EN11" s="84"/>
      <c r="EO11" s="85"/>
      <c r="EP11" s="140">
        <v>0.46150000000000002</v>
      </c>
      <c r="EQ11" s="86"/>
      <c r="ER11" s="84"/>
      <c r="ES11" s="85"/>
      <c r="ET11" s="88"/>
      <c r="EU11" s="88"/>
      <c r="EV11" s="88"/>
    </row>
    <row r="12" spans="1:154" s="20" customFormat="1" ht="15.75" thickBot="1" x14ac:dyDescent="0.25">
      <c r="A12" s="57">
        <v>44629</v>
      </c>
      <c r="B12" s="64">
        <v>1560726.4</v>
      </c>
      <c r="C12" s="59">
        <v>24310.399999999907</v>
      </c>
      <c r="D12" s="64">
        <v>609932</v>
      </c>
      <c r="E12" s="59">
        <v>23254</v>
      </c>
      <c r="F12" s="90">
        <v>0.95654534684744341</v>
      </c>
      <c r="G12" s="60">
        <v>1318</v>
      </c>
      <c r="H12" s="60">
        <v>1364</v>
      </c>
      <c r="I12" s="61">
        <v>291720</v>
      </c>
      <c r="J12" s="62">
        <v>0</v>
      </c>
      <c r="K12" s="63">
        <v>801</v>
      </c>
      <c r="L12" s="59">
        <v>0</v>
      </c>
      <c r="M12" s="64">
        <v>644665</v>
      </c>
      <c r="N12" s="62">
        <v>0</v>
      </c>
      <c r="O12" s="64">
        <v>1032</v>
      </c>
      <c r="P12" s="62">
        <v>0</v>
      </c>
      <c r="Q12" s="64">
        <v>1892900</v>
      </c>
      <c r="R12" s="62">
        <v>10300</v>
      </c>
      <c r="S12" s="64">
        <v>1925500</v>
      </c>
      <c r="T12" s="62">
        <v>10900</v>
      </c>
      <c r="U12" s="64">
        <v>2789512</v>
      </c>
      <c r="V12" s="62">
        <v>2081</v>
      </c>
      <c r="W12" s="64">
        <v>2266773</v>
      </c>
      <c r="X12" s="62">
        <v>427</v>
      </c>
      <c r="Y12" s="64">
        <v>280775</v>
      </c>
      <c r="Z12" s="62">
        <v>230</v>
      </c>
      <c r="AA12" s="141"/>
      <c r="AB12" s="134">
        <v>0.66666666666666663</v>
      </c>
      <c r="AC12" s="66">
        <v>266.66666666666663</v>
      </c>
      <c r="AD12" s="63"/>
      <c r="AE12" s="64">
        <v>176132</v>
      </c>
      <c r="AF12" s="59">
        <v>72</v>
      </c>
      <c r="AG12" s="71">
        <v>484370</v>
      </c>
      <c r="AH12" s="67">
        <v>370</v>
      </c>
      <c r="AI12" s="64">
        <v>1179</v>
      </c>
      <c r="AJ12" s="68">
        <v>0</v>
      </c>
      <c r="AK12" s="60">
        <v>5462</v>
      </c>
      <c r="AL12" s="68">
        <v>0</v>
      </c>
      <c r="AM12" s="19">
        <v>14782</v>
      </c>
      <c r="AN12" s="68">
        <v>215</v>
      </c>
      <c r="AO12" s="19"/>
      <c r="AP12" s="68">
        <v>0</v>
      </c>
      <c r="AQ12" s="60">
        <v>616900</v>
      </c>
      <c r="AR12" s="62">
        <v>130</v>
      </c>
      <c r="AS12" s="74">
        <v>1564</v>
      </c>
      <c r="AT12" s="62">
        <v>0</v>
      </c>
      <c r="AU12" s="60">
        <v>55973</v>
      </c>
      <c r="AV12" s="62">
        <v>18</v>
      </c>
      <c r="AW12" s="60">
        <v>9230</v>
      </c>
      <c r="AX12" s="62">
        <v>1</v>
      </c>
      <c r="AY12" s="64">
        <v>10934</v>
      </c>
      <c r="AZ12" s="62">
        <v>0</v>
      </c>
      <c r="BA12" s="60">
        <v>17937</v>
      </c>
      <c r="BB12" s="62">
        <v>12</v>
      </c>
      <c r="BC12" s="64">
        <v>20296</v>
      </c>
      <c r="BD12" s="62">
        <v>5</v>
      </c>
      <c r="BE12" s="58">
        <v>21011</v>
      </c>
      <c r="BF12" s="67">
        <v>1</v>
      </c>
      <c r="BG12" s="64">
        <v>14301</v>
      </c>
      <c r="BH12" s="67">
        <v>2</v>
      </c>
      <c r="BI12" s="64">
        <v>6525</v>
      </c>
      <c r="BJ12" s="67">
        <v>1</v>
      </c>
      <c r="BK12" s="64">
        <v>27466</v>
      </c>
      <c r="BL12" s="67">
        <v>5</v>
      </c>
      <c r="BM12" s="64">
        <v>5167</v>
      </c>
      <c r="BN12" s="67">
        <v>4</v>
      </c>
      <c r="BO12" s="64">
        <v>23763</v>
      </c>
      <c r="BP12" s="67">
        <v>60</v>
      </c>
      <c r="BQ12" s="64">
        <v>3641</v>
      </c>
      <c r="BR12" s="67">
        <v>0</v>
      </c>
      <c r="BS12" s="67">
        <v>15</v>
      </c>
      <c r="BT12" s="67">
        <v>115</v>
      </c>
      <c r="BU12" s="64">
        <v>633490</v>
      </c>
      <c r="BV12" s="67">
        <v>140</v>
      </c>
      <c r="BW12" s="64">
        <v>3821</v>
      </c>
      <c r="BX12" s="67">
        <v>0</v>
      </c>
      <c r="BY12" s="64">
        <v>831430</v>
      </c>
      <c r="BZ12" s="67">
        <v>230</v>
      </c>
      <c r="CA12" s="64">
        <v>18684</v>
      </c>
      <c r="CB12" s="67">
        <v>100</v>
      </c>
      <c r="CC12" s="77">
        <v>100</v>
      </c>
      <c r="CD12" s="67">
        <v>370</v>
      </c>
      <c r="CE12" s="78">
        <v>44</v>
      </c>
      <c r="CF12" s="58">
        <v>155</v>
      </c>
      <c r="CG12" s="135">
        <v>20161.856671558693</v>
      </c>
      <c r="CH12" s="64"/>
      <c r="CI12" s="136">
        <v>0</v>
      </c>
      <c r="CJ12" s="64">
        <v>236639.6</v>
      </c>
      <c r="CK12" s="67">
        <v>200.60000000000582</v>
      </c>
      <c r="CL12" s="77">
        <v>1145.4260000000331</v>
      </c>
      <c r="CM12" s="64">
        <v>65</v>
      </c>
      <c r="CN12" s="81">
        <v>7003.75</v>
      </c>
      <c r="CO12" s="64">
        <v>68</v>
      </c>
      <c r="CP12" s="137">
        <v>7327</v>
      </c>
      <c r="CQ12" s="64">
        <v>65</v>
      </c>
      <c r="CR12" s="138">
        <v>7003.75</v>
      </c>
      <c r="CS12" s="139">
        <v>21334.5</v>
      </c>
      <c r="CT12" s="82">
        <v>1185.25</v>
      </c>
      <c r="CU12" s="64"/>
      <c r="CV12" s="64">
        <v>41375.699999999997</v>
      </c>
      <c r="CW12" s="67">
        <v>41.69999999999709</v>
      </c>
      <c r="CX12" s="77">
        <v>238.10699999998337</v>
      </c>
      <c r="CY12" s="64">
        <v>35252</v>
      </c>
      <c r="CZ12" s="67">
        <v>6</v>
      </c>
      <c r="DA12" s="77">
        <v>34.26</v>
      </c>
      <c r="DB12" s="64">
        <v>13085.56</v>
      </c>
      <c r="DC12" s="67">
        <v>12.559999999999491</v>
      </c>
      <c r="DD12" s="77">
        <v>71.717599999997091</v>
      </c>
      <c r="DE12" s="64">
        <v>842995</v>
      </c>
      <c r="DF12" s="67">
        <v>16</v>
      </c>
      <c r="DG12" s="77">
        <v>91.36</v>
      </c>
      <c r="DH12" s="64">
        <v>8554</v>
      </c>
      <c r="DI12" s="67">
        <v>20</v>
      </c>
      <c r="DJ12" s="77">
        <v>114.2</v>
      </c>
      <c r="DK12" s="64">
        <v>9049</v>
      </c>
      <c r="DL12" s="67">
        <v>12</v>
      </c>
      <c r="DM12" s="77">
        <v>68.52</v>
      </c>
      <c r="DN12" s="64">
        <v>5395</v>
      </c>
      <c r="DO12" s="67">
        <v>10</v>
      </c>
      <c r="DP12" s="77">
        <v>57.1</v>
      </c>
      <c r="DQ12" s="64">
        <v>2100</v>
      </c>
      <c r="DR12" s="67">
        <v>1</v>
      </c>
      <c r="DS12" s="77">
        <v>5.71</v>
      </c>
      <c r="DT12" s="64">
        <v>6430</v>
      </c>
      <c r="DU12" s="67">
        <v>8</v>
      </c>
      <c r="DV12" s="77">
        <v>45.68</v>
      </c>
      <c r="DW12" s="64">
        <v>5924</v>
      </c>
      <c r="DX12" s="67">
        <v>7</v>
      </c>
      <c r="DY12" s="77">
        <v>39.97</v>
      </c>
      <c r="DZ12" s="64">
        <v>6671</v>
      </c>
      <c r="EA12" s="67">
        <v>9</v>
      </c>
      <c r="EB12" s="77">
        <v>51.39</v>
      </c>
      <c r="EC12" s="64">
        <v>6581</v>
      </c>
      <c r="ED12" s="67">
        <v>12</v>
      </c>
      <c r="EE12" s="77">
        <v>68.52</v>
      </c>
      <c r="EF12" s="79"/>
      <c r="EG12" s="77">
        <v>0</v>
      </c>
      <c r="EH12" s="79"/>
      <c r="EI12" s="77">
        <v>0</v>
      </c>
      <c r="EJ12" s="84"/>
      <c r="EK12" s="77">
        <v>0</v>
      </c>
      <c r="EL12" s="84"/>
      <c r="EM12" s="77">
        <v>0</v>
      </c>
      <c r="EN12" s="84"/>
      <c r="EO12" s="85"/>
      <c r="EP12" s="140">
        <v>0.54949999999999999</v>
      </c>
      <c r="EQ12" s="86"/>
      <c r="ER12" s="84"/>
      <c r="ES12" s="85"/>
      <c r="ET12" s="88"/>
      <c r="EU12" s="88"/>
      <c r="EV12" s="88"/>
    </row>
    <row r="13" spans="1:154" s="20" customFormat="1" ht="15.75" thickBot="1" x14ac:dyDescent="0.25">
      <c r="A13" s="57">
        <v>44630</v>
      </c>
      <c r="B13" s="64">
        <v>1586152</v>
      </c>
      <c r="C13" s="59">
        <v>25425.600000000093</v>
      </c>
      <c r="D13" s="64">
        <v>634169</v>
      </c>
      <c r="E13" s="59">
        <v>24237</v>
      </c>
      <c r="F13" s="90">
        <v>0.95325184066452362</v>
      </c>
      <c r="G13" s="60">
        <v>1318</v>
      </c>
      <c r="H13" s="60">
        <v>1364</v>
      </c>
      <c r="I13" s="61">
        <v>291720</v>
      </c>
      <c r="J13" s="62">
        <v>0</v>
      </c>
      <c r="K13" s="63">
        <v>801</v>
      </c>
      <c r="L13" s="59">
        <v>0</v>
      </c>
      <c r="M13" s="64">
        <v>644665</v>
      </c>
      <c r="N13" s="62">
        <v>0</v>
      </c>
      <c r="O13" s="64">
        <v>1032</v>
      </c>
      <c r="P13" s="62">
        <v>0</v>
      </c>
      <c r="Q13" s="64">
        <v>1903400</v>
      </c>
      <c r="R13" s="62">
        <v>10500</v>
      </c>
      <c r="S13" s="64">
        <v>1936900</v>
      </c>
      <c r="T13" s="62">
        <v>11400</v>
      </c>
      <c r="U13" s="64">
        <v>2790952</v>
      </c>
      <c r="V13" s="62">
        <v>1440</v>
      </c>
      <c r="W13" s="64">
        <v>2267201</v>
      </c>
      <c r="X13" s="62">
        <v>428</v>
      </c>
      <c r="Y13" s="64">
        <v>280852</v>
      </c>
      <c r="Z13" s="62">
        <v>77</v>
      </c>
      <c r="AA13" s="141"/>
      <c r="AB13" s="134">
        <v>0.55555555555555558</v>
      </c>
      <c r="AC13" s="66">
        <v>222.22222222222223</v>
      </c>
      <c r="AD13" s="63"/>
      <c r="AE13" s="64">
        <v>176293</v>
      </c>
      <c r="AF13" s="59">
        <v>161</v>
      </c>
      <c r="AG13" s="60">
        <v>484780</v>
      </c>
      <c r="AH13" s="67">
        <v>410</v>
      </c>
      <c r="AI13" s="64">
        <v>1179</v>
      </c>
      <c r="AJ13" s="68">
        <v>0</v>
      </c>
      <c r="AK13" s="60">
        <v>5466</v>
      </c>
      <c r="AL13" s="68">
        <v>4</v>
      </c>
      <c r="AM13" s="19">
        <v>14937</v>
      </c>
      <c r="AN13" s="68">
        <v>155</v>
      </c>
      <c r="AO13" s="19"/>
      <c r="AP13" s="68">
        <v>0</v>
      </c>
      <c r="AQ13" s="60">
        <v>617050</v>
      </c>
      <c r="AR13" s="62">
        <v>150</v>
      </c>
      <c r="AS13" s="74">
        <v>1565</v>
      </c>
      <c r="AT13" s="62">
        <v>1</v>
      </c>
      <c r="AU13" s="60">
        <v>55990</v>
      </c>
      <c r="AV13" s="62">
        <v>17</v>
      </c>
      <c r="AW13" s="60">
        <v>9230</v>
      </c>
      <c r="AX13" s="62">
        <v>0</v>
      </c>
      <c r="AY13" s="64">
        <v>10935</v>
      </c>
      <c r="AZ13" s="62">
        <v>1</v>
      </c>
      <c r="BA13" s="60">
        <v>17951</v>
      </c>
      <c r="BB13" s="62">
        <v>14</v>
      </c>
      <c r="BC13" s="64">
        <v>20301</v>
      </c>
      <c r="BD13" s="62">
        <v>5</v>
      </c>
      <c r="BE13" s="58">
        <v>21013</v>
      </c>
      <c r="BF13" s="67">
        <v>2</v>
      </c>
      <c r="BG13" s="64">
        <v>14302</v>
      </c>
      <c r="BH13" s="67">
        <v>1</v>
      </c>
      <c r="BI13" s="64">
        <v>6559</v>
      </c>
      <c r="BJ13" s="67">
        <v>34</v>
      </c>
      <c r="BK13" s="64">
        <v>27471</v>
      </c>
      <c r="BL13" s="67">
        <v>5</v>
      </c>
      <c r="BM13" s="64">
        <v>5173</v>
      </c>
      <c r="BN13" s="67">
        <v>6</v>
      </c>
      <c r="BO13" s="64">
        <v>23834</v>
      </c>
      <c r="BP13" s="67">
        <v>71</v>
      </c>
      <c r="BQ13" s="64">
        <v>3641</v>
      </c>
      <c r="BR13" s="67">
        <v>0</v>
      </c>
      <c r="BS13" s="67">
        <v>17</v>
      </c>
      <c r="BT13" s="67">
        <v>133</v>
      </c>
      <c r="BU13" s="64">
        <v>633630</v>
      </c>
      <c r="BV13" s="67">
        <v>140</v>
      </c>
      <c r="BW13" s="64">
        <v>3821</v>
      </c>
      <c r="BX13" s="67">
        <v>0</v>
      </c>
      <c r="BY13" s="64">
        <v>831680</v>
      </c>
      <c r="BZ13" s="67">
        <v>250</v>
      </c>
      <c r="CA13" s="64">
        <v>18783</v>
      </c>
      <c r="CB13" s="67">
        <v>99</v>
      </c>
      <c r="CC13" s="77">
        <v>100</v>
      </c>
      <c r="CD13" s="67">
        <v>390</v>
      </c>
      <c r="CE13" s="78">
        <v>80</v>
      </c>
      <c r="CF13" s="58">
        <v>155</v>
      </c>
      <c r="CG13" s="135">
        <v>20161.856671558693</v>
      </c>
      <c r="CH13" s="80"/>
      <c r="CI13" s="136">
        <v>0</v>
      </c>
      <c r="CJ13" s="64">
        <v>236821</v>
      </c>
      <c r="CK13" s="67">
        <v>181.39999999999418</v>
      </c>
      <c r="CL13" s="77">
        <v>1035.7939999999667</v>
      </c>
      <c r="CM13" s="64">
        <v>61</v>
      </c>
      <c r="CN13" s="81">
        <v>6572.75</v>
      </c>
      <c r="CO13" s="64">
        <v>65</v>
      </c>
      <c r="CP13" s="137">
        <v>7003.75</v>
      </c>
      <c r="CQ13" s="64">
        <v>61</v>
      </c>
      <c r="CR13" s="138">
        <v>6572.75</v>
      </c>
      <c r="CS13" s="139">
        <v>20149.25</v>
      </c>
      <c r="CT13" s="82">
        <v>1185.25</v>
      </c>
      <c r="CU13" s="64">
        <v>8457</v>
      </c>
      <c r="CV13" s="64">
        <v>41403</v>
      </c>
      <c r="CW13" s="67">
        <v>27.30000000000291</v>
      </c>
      <c r="CX13" s="77">
        <v>155.88300000001661</v>
      </c>
      <c r="CY13" s="64">
        <v>35257</v>
      </c>
      <c r="CZ13" s="67">
        <v>5</v>
      </c>
      <c r="DA13" s="77">
        <v>28.55</v>
      </c>
      <c r="DB13" s="64">
        <v>13104</v>
      </c>
      <c r="DC13" s="67">
        <v>18.440000000000509</v>
      </c>
      <c r="DD13" s="77">
        <v>105.29240000000291</v>
      </c>
      <c r="DE13" s="64">
        <v>843136</v>
      </c>
      <c r="DF13" s="67">
        <v>141</v>
      </c>
      <c r="DG13" s="77">
        <v>805.11</v>
      </c>
      <c r="DH13" s="64">
        <v>8575</v>
      </c>
      <c r="DI13" s="67">
        <v>21</v>
      </c>
      <c r="DJ13" s="77">
        <v>119.91</v>
      </c>
      <c r="DK13" s="64">
        <v>9057</v>
      </c>
      <c r="DL13" s="67">
        <v>8</v>
      </c>
      <c r="DM13" s="77">
        <v>45.68</v>
      </c>
      <c r="DN13" s="64">
        <v>5402</v>
      </c>
      <c r="DO13" s="67">
        <v>7</v>
      </c>
      <c r="DP13" s="77">
        <v>39.97</v>
      </c>
      <c r="DQ13" s="64">
        <v>2102</v>
      </c>
      <c r="DR13" s="67">
        <v>2</v>
      </c>
      <c r="DS13" s="77">
        <v>11.42</v>
      </c>
      <c r="DT13" s="64">
        <v>6440</v>
      </c>
      <c r="DU13" s="67">
        <v>10</v>
      </c>
      <c r="DV13" s="77">
        <v>57.1</v>
      </c>
      <c r="DW13" s="64">
        <v>5933</v>
      </c>
      <c r="DX13" s="67">
        <v>9</v>
      </c>
      <c r="DY13" s="77">
        <v>51.39</v>
      </c>
      <c r="DZ13" s="64">
        <v>6679</v>
      </c>
      <c r="EA13" s="67">
        <v>8</v>
      </c>
      <c r="EB13" s="77">
        <v>45.68</v>
      </c>
      <c r="EC13" s="64">
        <v>6603</v>
      </c>
      <c r="ED13" s="67">
        <v>22</v>
      </c>
      <c r="EE13" s="77">
        <v>125.62</v>
      </c>
      <c r="EF13" s="79"/>
      <c r="EG13" s="77">
        <v>0</v>
      </c>
      <c r="EH13" s="79"/>
      <c r="EI13" s="77">
        <v>0</v>
      </c>
      <c r="EJ13" s="84"/>
      <c r="EK13" s="77">
        <v>0</v>
      </c>
      <c r="EL13" s="84"/>
      <c r="EM13" s="77">
        <v>0</v>
      </c>
      <c r="EN13" s="84"/>
      <c r="EO13" s="85"/>
      <c r="EP13" s="140">
        <v>0.50549999999999995</v>
      </c>
      <c r="EQ13" s="86"/>
      <c r="ER13" s="84"/>
      <c r="ES13" s="85"/>
      <c r="ET13" s="88"/>
      <c r="EU13" s="88"/>
      <c r="EV13" s="88"/>
    </row>
    <row r="14" spans="1:154" s="20" customFormat="1" ht="15.75" thickBot="1" x14ac:dyDescent="0.25">
      <c r="A14" s="57">
        <v>44631</v>
      </c>
      <c r="B14" s="64">
        <v>1611737</v>
      </c>
      <c r="C14" s="59">
        <v>25585</v>
      </c>
      <c r="D14" s="64">
        <v>658657</v>
      </c>
      <c r="E14" s="59">
        <v>24488</v>
      </c>
      <c r="F14" s="90">
        <v>0.95712331444205589</v>
      </c>
      <c r="G14" s="60">
        <v>1318</v>
      </c>
      <c r="H14" s="60">
        <v>1364</v>
      </c>
      <c r="I14" s="61">
        <v>291720</v>
      </c>
      <c r="J14" s="62">
        <v>0</v>
      </c>
      <c r="K14" s="63">
        <v>801</v>
      </c>
      <c r="L14" s="59">
        <v>0</v>
      </c>
      <c r="M14" s="64">
        <v>644665</v>
      </c>
      <c r="N14" s="62">
        <v>0</v>
      </c>
      <c r="O14" s="64">
        <v>1032</v>
      </c>
      <c r="P14" s="62">
        <v>0</v>
      </c>
      <c r="Q14" s="64">
        <v>1913800</v>
      </c>
      <c r="R14" s="62">
        <v>10400</v>
      </c>
      <c r="S14" s="64">
        <v>1948700</v>
      </c>
      <c r="T14" s="62">
        <v>11800</v>
      </c>
      <c r="U14" s="64">
        <v>2793456</v>
      </c>
      <c r="V14" s="62">
        <v>2504</v>
      </c>
      <c r="W14" s="64">
        <v>2267575</v>
      </c>
      <c r="X14" s="62">
        <v>374</v>
      </c>
      <c r="Y14" s="64">
        <v>280958</v>
      </c>
      <c r="Z14" s="62">
        <v>106</v>
      </c>
      <c r="AA14" s="141"/>
      <c r="AB14" s="134">
        <v>0.5</v>
      </c>
      <c r="AC14" s="66">
        <v>200</v>
      </c>
      <c r="AD14" s="63"/>
      <c r="AE14" s="64">
        <v>176502</v>
      </c>
      <c r="AF14" s="59">
        <v>209</v>
      </c>
      <c r="AG14" s="60">
        <v>485210</v>
      </c>
      <c r="AH14" s="67">
        <v>430</v>
      </c>
      <c r="AI14" s="64">
        <v>1179</v>
      </c>
      <c r="AJ14" s="68">
        <v>0</v>
      </c>
      <c r="AK14" s="60">
        <v>5468</v>
      </c>
      <c r="AL14" s="68">
        <v>2</v>
      </c>
      <c r="AM14" s="19">
        <v>15038</v>
      </c>
      <c r="AN14" s="68">
        <v>101</v>
      </c>
      <c r="AO14" s="19"/>
      <c r="AP14" s="68">
        <v>0</v>
      </c>
      <c r="AQ14" s="60">
        <v>617210</v>
      </c>
      <c r="AR14" s="62">
        <v>160</v>
      </c>
      <c r="AS14" s="74">
        <v>1566</v>
      </c>
      <c r="AT14" s="62">
        <v>1</v>
      </c>
      <c r="AU14" s="60">
        <v>56011</v>
      </c>
      <c r="AV14" s="62">
        <v>21</v>
      </c>
      <c r="AW14" s="60">
        <v>9231</v>
      </c>
      <c r="AX14" s="62">
        <v>1</v>
      </c>
      <c r="AY14" s="64">
        <v>10935</v>
      </c>
      <c r="AZ14" s="62">
        <v>0</v>
      </c>
      <c r="BA14" s="60">
        <v>17963</v>
      </c>
      <c r="BB14" s="62">
        <v>12</v>
      </c>
      <c r="BC14" s="64">
        <v>20306</v>
      </c>
      <c r="BD14" s="62">
        <v>5</v>
      </c>
      <c r="BE14" s="58">
        <v>21014</v>
      </c>
      <c r="BF14" s="67">
        <v>1</v>
      </c>
      <c r="BG14" s="64">
        <v>14304</v>
      </c>
      <c r="BH14" s="67">
        <v>2</v>
      </c>
      <c r="BI14" s="64">
        <v>6596</v>
      </c>
      <c r="BJ14" s="67">
        <v>37</v>
      </c>
      <c r="BK14" s="64">
        <v>27477</v>
      </c>
      <c r="BL14" s="67">
        <v>6</v>
      </c>
      <c r="BM14" s="64">
        <v>5178</v>
      </c>
      <c r="BN14" s="67">
        <v>5</v>
      </c>
      <c r="BO14" s="64">
        <v>23897</v>
      </c>
      <c r="BP14" s="67">
        <v>63</v>
      </c>
      <c r="BQ14" s="64">
        <v>3641</v>
      </c>
      <c r="BR14" s="67">
        <v>0</v>
      </c>
      <c r="BS14" s="67">
        <v>15</v>
      </c>
      <c r="BT14" s="67">
        <v>145</v>
      </c>
      <c r="BU14" s="64">
        <v>633790</v>
      </c>
      <c r="BV14" s="67">
        <v>160</v>
      </c>
      <c r="BW14" s="64">
        <v>3823</v>
      </c>
      <c r="BX14" s="67">
        <v>2</v>
      </c>
      <c r="BY14" s="64">
        <v>831950</v>
      </c>
      <c r="BZ14" s="67">
        <v>270</v>
      </c>
      <c r="CA14" s="64">
        <v>18882</v>
      </c>
      <c r="CB14" s="67">
        <v>99</v>
      </c>
      <c r="CC14" s="77">
        <v>110</v>
      </c>
      <c r="CD14" s="67">
        <v>430</v>
      </c>
      <c r="CE14" s="78">
        <v>84</v>
      </c>
      <c r="CF14" s="58">
        <v>155</v>
      </c>
      <c r="CG14" s="135">
        <v>20161.856671558693</v>
      </c>
      <c r="CH14" s="64"/>
      <c r="CI14" s="136">
        <v>0</v>
      </c>
      <c r="CJ14" s="64">
        <v>236997</v>
      </c>
      <c r="CK14" s="67">
        <v>176</v>
      </c>
      <c r="CL14" s="77">
        <v>1004.96</v>
      </c>
      <c r="CM14" s="64">
        <v>84</v>
      </c>
      <c r="CN14" s="81">
        <v>9051</v>
      </c>
      <c r="CO14" s="64">
        <v>86</v>
      </c>
      <c r="CP14" s="137">
        <v>9266.5</v>
      </c>
      <c r="CQ14" s="64">
        <v>84</v>
      </c>
      <c r="CR14" s="138">
        <v>9051</v>
      </c>
      <c r="CS14" s="139">
        <v>27368.5</v>
      </c>
      <c r="CT14" s="82">
        <v>1237.75</v>
      </c>
      <c r="CU14" s="64"/>
      <c r="CV14" s="64">
        <v>41441</v>
      </c>
      <c r="CW14" s="67">
        <v>38</v>
      </c>
      <c r="CX14" s="77">
        <v>216.98</v>
      </c>
      <c r="CY14" s="64">
        <v>35257</v>
      </c>
      <c r="CZ14" s="67">
        <v>0</v>
      </c>
      <c r="DA14" s="77">
        <v>0</v>
      </c>
      <c r="DB14" s="64">
        <v>13123</v>
      </c>
      <c r="DC14" s="67">
        <v>19</v>
      </c>
      <c r="DD14" s="77">
        <v>108.49</v>
      </c>
      <c r="DE14" s="64">
        <v>843186</v>
      </c>
      <c r="DF14" s="67">
        <v>50</v>
      </c>
      <c r="DG14" s="77">
        <v>285.5</v>
      </c>
      <c r="DH14" s="64">
        <v>8598</v>
      </c>
      <c r="DI14" s="67">
        <v>23</v>
      </c>
      <c r="DJ14" s="77">
        <v>131.33000000000001</v>
      </c>
      <c r="DK14" s="64">
        <v>9067</v>
      </c>
      <c r="DL14" s="67">
        <v>10</v>
      </c>
      <c r="DM14" s="77">
        <v>57.1</v>
      </c>
      <c r="DN14" s="64">
        <v>5411</v>
      </c>
      <c r="DO14" s="67">
        <v>9</v>
      </c>
      <c r="DP14" s="77">
        <v>51.39</v>
      </c>
      <c r="DQ14" s="64">
        <v>2104</v>
      </c>
      <c r="DR14" s="67">
        <v>2</v>
      </c>
      <c r="DS14" s="77">
        <v>11.42</v>
      </c>
      <c r="DT14" s="64">
        <v>6448</v>
      </c>
      <c r="DU14" s="67">
        <v>8</v>
      </c>
      <c r="DV14" s="77">
        <v>45.68</v>
      </c>
      <c r="DW14" s="64">
        <v>5939</v>
      </c>
      <c r="DX14" s="67">
        <v>6</v>
      </c>
      <c r="DY14" s="77">
        <v>34.26</v>
      </c>
      <c r="DZ14" s="64">
        <v>6687</v>
      </c>
      <c r="EA14" s="67">
        <v>8</v>
      </c>
      <c r="EB14" s="77">
        <v>45.68</v>
      </c>
      <c r="EC14" s="64">
        <v>6628</v>
      </c>
      <c r="ED14" s="67">
        <v>25</v>
      </c>
      <c r="EE14" s="77">
        <v>142.75</v>
      </c>
      <c r="EF14" s="79"/>
      <c r="EG14" s="77">
        <v>0</v>
      </c>
      <c r="EH14" s="79"/>
      <c r="EI14" s="77">
        <v>0</v>
      </c>
      <c r="EJ14" s="84"/>
      <c r="EK14" s="77">
        <v>0</v>
      </c>
      <c r="EL14" s="84"/>
      <c r="EM14" s="77">
        <v>0</v>
      </c>
      <c r="EN14" s="84"/>
      <c r="EO14" s="85"/>
      <c r="EP14" s="140">
        <v>0.42859999999999998</v>
      </c>
      <c r="EQ14" s="86"/>
      <c r="ER14" s="84"/>
      <c r="ES14" s="85"/>
      <c r="ET14" s="88"/>
      <c r="EU14" s="88"/>
      <c r="EV14" s="88"/>
    </row>
    <row r="15" spans="1:154" s="20" customFormat="1" ht="15.75" thickBot="1" x14ac:dyDescent="0.25">
      <c r="A15" s="57">
        <v>44632</v>
      </c>
      <c r="B15" s="64">
        <v>1637987</v>
      </c>
      <c r="C15" s="59">
        <v>26250</v>
      </c>
      <c r="D15" s="64">
        <v>683801</v>
      </c>
      <c r="E15" s="59">
        <v>25144</v>
      </c>
      <c r="F15" s="90">
        <v>0.95786666666666664</v>
      </c>
      <c r="G15" s="60">
        <v>1318</v>
      </c>
      <c r="H15" s="60">
        <v>1364</v>
      </c>
      <c r="I15" s="61">
        <v>291720</v>
      </c>
      <c r="J15" s="62">
        <v>0</v>
      </c>
      <c r="K15" s="63">
        <v>801</v>
      </c>
      <c r="L15" s="59">
        <v>0</v>
      </c>
      <c r="M15" s="64">
        <v>644665</v>
      </c>
      <c r="N15" s="62">
        <v>0</v>
      </c>
      <c r="O15" s="64">
        <v>1032</v>
      </c>
      <c r="P15" s="62">
        <v>0</v>
      </c>
      <c r="Q15" s="64">
        <v>1924600</v>
      </c>
      <c r="R15" s="62">
        <v>10800</v>
      </c>
      <c r="S15" s="64">
        <v>1960700</v>
      </c>
      <c r="T15" s="62">
        <v>12000</v>
      </c>
      <c r="U15" s="64">
        <v>2795434</v>
      </c>
      <c r="V15" s="62">
        <v>1978</v>
      </c>
      <c r="W15" s="64">
        <v>2268003</v>
      </c>
      <c r="X15" s="62">
        <v>428</v>
      </c>
      <c r="Y15" s="64">
        <v>281329</v>
      </c>
      <c r="Z15" s="62">
        <v>371</v>
      </c>
      <c r="AA15" s="141"/>
      <c r="AB15" s="134">
        <v>0.97222222222222221</v>
      </c>
      <c r="AC15" s="66">
        <v>388.88888888888886</v>
      </c>
      <c r="AD15" s="63"/>
      <c r="AE15" s="64">
        <v>176909</v>
      </c>
      <c r="AF15" s="59">
        <v>407</v>
      </c>
      <c r="AG15" s="60">
        <v>485610</v>
      </c>
      <c r="AH15" s="67">
        <v>400</v>
      </c>
      <c r="AI15" s="64">
        <v>1179</v>
      </c>
      <c r="AJ15" s="68">
        <v>0</v>
      </c>
      <c r="AK15" s="64">
        <v>5468</v>
      </c>
      <c r="AL15" s="68">
        <v>0</v>
      </c>
      <c r="AM15" s="19">
        <v>15439</v>
      </c>
      <c r="AN15" s="68">
        <v>401</v>
      </c>
      <c r="AO15" s="19"/>
      <c r="AP15" s="68">
        <v>0</v>
      </c>
      <c r="AQ15" s="64">
        <v>617370</v>
      </c>
      <c r="AR15" s="62">
        <v>160</v>
      </c>
      <c r="AS15" s="74">
        <v>1567</v>
      </c>
      <c r="AT15" s="62">
        <v>1</v>
      </c>
      <c r="AU15" s="60">
        <v>56028</v>
      </c>
      <c r="AV15" s="62">
        <v>17</v>
      </c>
      <c r="AW15" s="60">
        <v>9232</v>
      </c>
      <c r="AX15" s="62">
        <v>1</v>
      </c>
      <c r="AY15" s="64">
        <v>10935</v>
      </c>
      <c r="AZ15" s="62">
        <v>0</v>
      </c>
      <c r="BA15" s="60">
        <v>17975</v>
      </c>
      <c r="BB15" s="62">
        <v>12</v>
      </c>
      <c r="BC15" s="64">
        <v>20310</v>
      </c>
      <c r="BD15" s="62">
        <v>4</v>
      </c>
      <c r="BE15" s="58">
        <v>21017</v>
      </c>
      <c r="BF15" s="67">
        <v>3</v>
      </c>
      <c r="BG15" s="64">
        <v>14306</v>
      </c>
      <c r="BH15" s="67">
        <v>2</v>
      </c>
      <c r="BI15" s="64">
        <v>6597</v>
      </c>
      <c r="BJ15" s="67">
        <v>1</v>
      </c>
      <c r="BK15" s="64">
        <v>27481</v>
      </c>
      <c r="BL15" s="67">
        <v>4</v>
      </c>
      <c r="BM15" s="64">
        <v>5181</v>
      </c>
      <c r="BN15" s="67">
        <v>3</v>
      </c>
      <c r="BO15" s="64">
        <v>23963</v>
      </c>
      <c r="BP15" s="67">
        <v>66</v>
      </c>
      <c r="BQ15" s="64">
        <v>3641</v>
      </c>
      <c r="BR15" s="67">
        <v>0</v>
      </c>
      <c r="BS15" s="67">
        <v>17</v>
      </c>
      <c r="BT15" s="67">
        <v>143</v>
      </c>
      <c r="BU15" s="64">
        <v>633940</v>
      </c>
      <c r="BV15" s="67">
        <v>150</v>
      </c>
      <c r="BW15" s="64">
        <v>3823</v>
      </c>
      <c r="BX15" s="67">
        <v>0</v>
      </c>
      <c r="BY15" s="64">
        <v>832200</v>
      </c>
      <c r="BZ15" s="67">
        <v>250</v>
      </c>
      <c r="CA15" s="64">
        <v>18960</v>
      </c>
      <c r="CB15" s="67">
        <v>78</v>
      </c>
      <c r="CC15" s="77">
        <v>90</v>
      </c>
      <c r="CD15" s="67">
        <v>400</v>
      </c>
      <c r="CE15" s="78">
        <v>43</v>
      </c>
      <c r="CF15" s="58">
        <v>155</v>
      </c>
      <c r="CG15" s="135">
        <v>20161.856671558693</v>
      </c>
      <c r="CH15" s="64"/>
      <c r="CI15" s="136">
        <v>0</v>
      </c>
      <c r="CJ15" s="64">
        <v>237179</v>
      </c>
      <c r="CK15" s="67">
        <v>182</v>
      </c>
      <c r="CL15" s="77">
        <v>1039.22</v>
      </c>
      <c r="CM15" s="64">
        <v>81</v>
      </c>
      <c r="CN15" s="81">
        <v>8727.75</v>
      </c>
      <c r="CO15" s="64">
        <v>84</v>
      </c>
      <c r="CP15" s="137">
        <v>9051</v>
      </c>
      <c r="CQ15" s="64">
        <v>81</v>
      </c>
      <c r="CR15" s="138">
        <v>8727.75</v>
      </c>
      <c r="CS15" s="139">
        <v>26506.5</v>
      </c>
      <c r="CT15" s="82">
        <v>862</v>
      </c>
      <c r="CU15" s="83"/>
      <c r="CV15" s="64">
        <v>41481</v>
      </c>
      <c r="CW15" s="67">
        <v>40</v>
      </c>
      <c r="CX15" s="77">
        <v>228.4</v>
      </c>
      <c r="CY15" s="64">
        <v>35263</v>
      </c>
      <c r="CZ15" s="67">
        <v>6</v>
      </c>
      <c r="DA15" s="77">
        <v>34.26</v>
      </c>
      <c r="DB15" s="64">
        <v>13132</v>
      </c>
      <c r="DC15" s="67">
        <v>9</v>
      </c>
      <c r="DD15" s="77">
        <v>51.39</v>
      </c>
      <c r="DE15" s="64">
        <v>843257</v>
      </c>
      <c r="DF15" s="67">
        <v>71</v>
      </c>
      <c r="DG15" s="77">
        <v>405.41</v>
      </c>
      <c r="DH15" s="64">
        <v>8619</v>
      </c>
      <c r="DI15" s="67">
        <v>21</v>
      </c>
      <c r="DJ15" s="77">
        <v>119.91</v>
      </c>
      <c r="DK15" s="64">
        <v>9077</v>
      </c>
      <c r="DL15" s="67">
        <v>10</v>
      </c>
      <c r="DM15" s="77">
        <v>57.1</v>
      </c>
      <c r="DN15" s="64">
        <v>5419</v>
      </c>
      <c r="DO15" s="67">
        <v>8</v>
      </c>
      <c r="DP15" s="77">
        <v>45.68</v>
      </c>
      <c r="DQ15" s="64">
        <v>2105</v>
      </c>
      <c r="DR15" s="67">
        <v>1</v>
      </c>
      <c r="DS15" s="77">
        <v>5.71</v>
      </c>
      <c r="DT15" s="64">
        <v>6457</v>
      </c>
      <c r="DU15" s="67">
        <v>9</v>
      </c>
      <c r="DV15" s="77">
        <v>51.39</v>
      </c>
      <c r="DW15" s="64">
        <v>5948</v>
      </c>
      <c r="DX15" s="67">
        <v>9</v>
      </c>
      <c r="DY15" s="77">
        <v>51.39</v>
      </c>
      <c r="DZ15" s="64">
        <v>6696</v>
      </c>
      <c r="EA15" s="67">
        <v>9</v>
      </c>
      <c r="EB15" s="77">
        <v>51.39</v>
      </c>
      <c r="EC15" s="64">
        <v>6639</v>
      </c>
      <c r="ED15" s="67">
        <v>11</v>
      </c>
      <c r="EE15" s="77">
        <v>62.81</v>
      </c>
      <c r="EF15" s="79"/>
      <c r="EG15" s="77">
        <v>0</v>
      </c>
      <c r="EH15" s="79"/>
      <c r="EI15" s="77">
        <v>0</v>
      </c>
      <c r="EJ15" s="84"/>
      <c r="EK15" s="77">
        <v>0</v>
      </c>
      <c r="EL15" s="84"/>
      <c r="EM15" s="77">
        <v>0</v>
      </c>
      <c r="EN15" s="84"/>
      <c r="EO15" s="85"/>
      <c r="EP15" s="140">
        <v>0.47249999999999998</v>
      </c>
      <c r="EQ15" s="86"/>
      <c r="ER15" s="84"/>
      <c r="ES15" s="85"/>
      <c r="ET15" s="88"/>
      <c r="EU15" s="88"/>
      <c r="EV15" s="88"/>
    </row>
    <row r="16" spans="1:154" s="20" customFormat="1" ht="15.75" thickBot="1" x14ac:dyDescent="0.25">
      <c r="A16" s="57">
        <v>44633</v>
      </c>
      <c r="B16" s="64">
        <v>1662736</v>
      </c>
      <c r="C16" s="59">
        <v>24749</v>
      </c>
      <c r="D16" s="64">
        <v>707270</v>
      </c>
      <c r="E16" s="59">
        <v>23469</v>
      </c>
      <c r="F16" s="90">
        <v>0.94828073861570161</v>
      </c>
      <c r="G16" s="60">
        <v>1318</v>
      </c>
      <c r="H16" s="60">
        <v>1364</v>
      </c>
      <c r="I16" s="61">
        <v>291720</v>
      </c>
      <c r="J16" s="62">
        <v>0</v>
      </c>
      <c r="K16" s="63">
        <v>801</v>
      </c>
      <c r="L16" s="59">
        <v>0</v>
      </c>
      <c r="M16" s="64">
        <v>644665</v>
      </c>
      <c r="N16" s="62">
        <v>0</v>
      </c>
      <c r="O16" s="64">
        <v>1032</v>
      </c>
      <c r="P16" s="62">
        <v>0</v>
      </c>
      <c r="Q16" s="64">
        <v>1934800</v>
      </c>
      <c r="R16" s="62">
        <v>10200</v>
      </c>
      <c r="S16" s="64">
        <v>1971800</v>
      </c>
      <c r="T16" s="62">
        <v>11100</v>
      </c>
      <c r="U16" s="64">
        <v>2797162</v>
      </c>
      <c r="V16" s="62">
        <v>1728</v>
      </c>
      <c r="W16" s="64">
        <v>2268435</v>
      </c>
      <c r="X16" s="62">
        <v>432</v>
      </c>
      <c r="Y16" s="64">
        <v>281488</v>
      </c>
      <c r="Z16" s="62">
        <v>159</v>
      </c>
      <c r="AA16" s="142"/>
      <c r="AB16" s="134">
        <v>0.77777777777777779</v>
      </c>
      <c r="AC16" s="66">
        <v>311.11111111111114</v>
      </c>
      <c r="AD16" s="63"/>
      <c r="AE16" s="64">
        <v>176973</v>
      </c>
      <c r="AF16" s="59">
        <v>64</v>
      </c>
      <c r="AG16" s="60">
        <v>485980</v>
      </c>
      <c r="AH16" s="67">
        <v>370</v>
      </c>
      <c r="AI16" s="64">
        <v>1179</v>
      </c>
      <c r="AJ16" s="68">
        <v>0</v>
      </c>
      <c r="AK16" s="64">
        <v>5477</v>
      </c>
      <c r="AL16" s="68">
        <v>9</v>
      </c>
      <c r="AM16" s="19">
        <v>15621</v>
      </c>
      <c r="AN16" s="68">
        <v>182</v>
      </c>
      <c r="AO16" s="19"/>
      <c r="AP16" s="68">
        <v>0</v>
      </c>
      <c r="AQ16" s="64">
        <v>617520</v>
      </c>
      <c r="AR16" s="62">
        <v>150</v>
      </c>
      <c r="AS16" s="75">
        <v>1568</v>
      </c>
      <c r="AT16" s="62">
        <v>1</v>
      </c>
      <c r="AU16" s="60">
        <v>56045</v>
      </c>
      <c r="AV16" s="62">
        <v>17</v>
      </c>
      <c r="AW16" s="60">
        <v>9233</v>
      </c>
      <c r="AX16" s="62">
        <v>1</v>
      </c>
      <c r="AY16" s="64">
        <v>10936</v>
      </c>
      <c r="AZ16" s="62">
        <v>1</v>
      </c>
      <c r="BA16" s="60">
        <v>17988</v>
      </c>
      <c r="BB16" s="62">
        <v>13</v>
      </c>
      <c r="BC16" s="64">
        <v>20313</v>
      </c>
      <c r="BD16" s="62">
        <v>3</v>
      </c>
      <c r="BE16" s="58">
        <v>21018</v>
      </c>
      <c r="BF16" s="67">
        <v>1</v>
      </c>
      <c r="BG16" s="64">
        <v>14308</v>
      </c>
      <c r="BH16" s="67">
        <v>2</v>
      </c>
      <c r="BI16" s="64">
        <v>6597</v>
      </c>
      <c r="BJ16" s="67">
        <v>0</v>
      </c>
      <c r="BK16" s="64">
        <v>27486</v>
      </c>
      <c r="BL16" s="67">
        <v>5</v>
      </c>
      <c r="BM16" s="64">
        <v>5185</v>
      </c>
      <c r="BN16" s="67">
        <v>4</v>
      </c>
      <c r="BO16" s="64">
        <v>24028</v>
      </c>
      <c r="BP16" s="67">
        <v>65</v>
      </c>
      <c r="BQ16" s="64">
        <v>3641</v>
      </c>
      <c r="BR16" s="67">
        <v>0</v>
      </c>
      <c r="BS16" s="67">
        <v>16</v>
      </c>
      <c r="BT16" s="67">
        <v>134</v>
      </c>
      <c r="BU16" s="64">
        <v>634070</v>
      </c>
      <c r="BV16" s="67">
        <v>130</v>
      </c>
      <c r="BW16" s="64">
        <v>3823</v>
      </c>
      <c r="BX16" s="67">
        <v>0</v>
      </c>
      <c r="BY16" s="64">
        <v>832430</v>
      </c>
      <c r="BZ16" s="67">
        <v>230</v>
      </c>
      <c r="CA16" s="64">
        <v>19037</v>
      </c>
      <c r="CB16" s="67">
        <v>77</v>
      </c>
      <c r="CC16" s="77">
        <v>80</v>
      </c>
      <c r="CD16" s="67">
        <v>360</v>
      </c>
      <c r="CE16" s="78">
        <v>42</v>
      </c>
      <c r="CF16" s="58">
        <v>155</v>
      </c>
      <c r="CG16" s="135">
        <v>20161.856671558693</v>
      </c>
      <c r="CH16" s="64"/>
      <c r="CI16" s="136">
        <v>0</v>
      </c>
      <c r="CJ16" s="64">
        <v>237365</v>
      </c>
      <c r="CK16" s="67">
        <v>186</v>
      </c>
      <c r="CL16" s="77">
        <v>1062.06</v>
      </c>
      <c r="CM16" s="64">
        <v>79</v>
      </c>
      <c r="CN16" s="81">
        <v>8512.25</v>
      </c>
      <c r="CO16" s="64">
        <v>80</v>
      </c>
      <c r="CP16" s="137">
        <v>8620</v>
      </c>
      <c r="CQ16" s="64">
        <v>80</v>
      </c>
      <c r="CR16" s="138">
        <v>8620</v>
      </c>
      <c r="CS16" s="139">
        <v>25752.25</v>
      </c>
      <c r="CT16" s="82">
        <v>754.25</v>
      </c>
      <c r="CU16" s="64"/>
      <c r="CV16" s="64">
        <v>41510</v>
      </c>
      <c r="CW16" s="67">
        <v>29</v>
      </c>
      <c r="CX16" s="77">
        <v>165.59</v>
      </c>
      <c r="CY16" s="64">
        <v>35268</v>
      </c>
      <c r="CZ16" s="67">
        <v>5</v>
      </c>
      <c r="DA16" s="77">
        <v>28.55</v>
      </c>
      <c r="DB16" s="64">
        <v>13148</v>
      </c>
      <c r="DC16" s="67">
        <v>16</v>
      </c>
      <c r="DD16" s="77">
        <v>91.36</v>
      </c>
      <c r="DE16" s="64">
        <v>843329</v>
      </c>
      <c r="DF16" s="67">
        <v>72</v>
      </c>
      <c r="DG16" s="77">
        <v>411.12</v>
      </c>
      <c r="DH16" s="64">
        <v>8640</v>
      </c>
      <c r="DI16" s="67">
        <v>21</v>
      </c>
      <c r="DJ16" s="77">
        <v>119.91</v>
      </c>
      <c r="DK16" s="64">
        <v>9086</v>
      </c>
      <c r="DL16" s="67">
        <v>9</v>
      </c>
      <c r="DM16" s="77">
        <v>51.39</v>
      </c>
      <c r="DN16" s="64">
        <v>5427</v>
      </c>
      <c r="DO16" s="67">
        <v>8</v>
      </c>
      <c r="DP16" s="77">
        <v>45.68</v>
      </c>
      <c r="DQ16" s="64">
        <v>2106</v>
      </c>
      <c r="DR16" s="67">
        <v>1</v>
      </c>
      <c r="DS16" s="77">
        <v>5.71</v>
      </c>
      <c r="DT16" s="64">
        <v>6465</v>
      </c>
      <c r="DU16" s="67">
        <v>8</v>
      </c>
      <c r="DV16" s="77">
        <v>45.68</v>
      </c>
      <c r="DW16" s="64">
        <v>5956</v>
      </c>
      <c r="DX16" s="67">
        <v>8</v>
      </c>
      <c r="DY16" s="77">
        <v>45.68</v>
      </c>
      <c r="DZ16" s="64">
        <v>6704</v>
      </c>
      <c r="EA16" s="67">
        <v>8</v>
      </c>
      <c r="EB16" s="77">
        <v>45.68</v>
      </c>
      <c r="EC16" s="64">
        <v>6650</v>
      </c>
      <c r="ED16" s="67">
        <v>11</v>
      </c>
      <c r="EE16" s="77">
        <v>62.81</v>
      </c>
      <c r="EF16" s="79"/>
      <c r="EG16" s="77">
        <v>0</v>
      </c>
      <c r="EH16" s="79"/>
      <c r="EI16" s="77">
        <v>0</v>
      </c>
      <c r="EJ16" s="84"/>
      <c r="EK16" s="77">
        <v>0</v>
      </c>
      <c r="EL16" s="84"/>
      <c r="EM16" s="77">
        <v>0</v>
      </c>
      <c r="EN16" s="84"/>
      <c r="EO16" s="85"/>
      <c r="EP16" s="140">
        <v>0.50549999999999995</v>
      </c>
      <c r="EQ16" s="86"/>
      <c r="ER16" s="84"/>
      <c r="ES16" s="85"/>
      <c r="ET16" s="88"/>
      <c r="EU16" s="88"/>
      <c r="EV16" s="88"/>
    </row>
    <row r="17" spans="1:157" s="24" customFormat="1" ht="15.75" thickBot="1" x14ac:dyDescent="0.25">
      <c r="A17" s="57">
        <v>44634</v>
      </c>
      <c r="B17" s="64">
        <v>1688910</v>
      </c>
      <c r="C17" s="59">
        <v>26174</v>
      </c>
      <c r="D17" s="64">
        <v>732332</v>
      </c>
      <c r="E17" s="59">
        <v>25062</v>
      </c>
      <c r="F17" s="90">
        <v>0.95751509131198898</v>
      </c>
      <c r="G17" s="60">
        <v>1318</v>
      </c>
      <c r="H17" s="60">
        <v>1364</v>
      </c>
      <c r="I17" s="61">
        <v>291720</v>
      </c>
      <c r="J17" s="62">
        <v>0</v>
      </c>
      <c r="K17" s="63">
        <v>801</v>
      </c>
      <c r="L17" s="59">
        <v>0</v>
      </c>
      <c r="M17" s="64">
        <v>644665</v>
      </c>
      <c r="N17" s="62">
        <v>0</v>
      </c>
      <c r="O17" s="64">
        <v>1032</v>
      </c>
      <c r="P17" s="62">
        <v>0</v>
      </c>
      <c r="Q17" s="64">
        <v>1945000</v>
      </c>
      <c r="R17" s="62">
        <v>10200</v>
      </c>
      <c r="S17" s="64">
        <v>1982900</v>
      </c>
      <c r="T17" s="62">
        <v>11100</v>
      </c>
      <c r="U17" s="64">
        <v>2798907</v>
      </c>
      <c r="V17" s="62">
        <v>1745</v>
      </c>
      <c r="W17" s="64">
        <v>2268856</v>
      </c>
      <c r="X17" s="62">
        <v>421</v>
      </c>
      <c r="Y17" s="64">
        <v>281688</v>
      </c>
      <c r="Z17" s="62">
        <v>200</v>
      </c>
      <c r="AA17" s="142"/>
      <c r="AB17" s="134">
        <v>0.61111111111111116</v>
      </c>
      <c r="AC17" s="66">
        <v>244.44444444444446</v>
      </c>
      <c r="AD17" s="63"/>
      <c r="AE17" s="64">
        <v>177186</v>
      </c>
      <c r="AF17" s="59">
        <v>213</v>
      </c>
      <c r="AG17" s="60">
        <v>486440</v>
      </c>
      <c r="AH17" s="67">
        <v>460</v>
      </c>
      <c r="AI17" s="64">
        <v>1179</v>
      </c>
      <c r="AJ17" s="68">
        <v>0</v>
      </c>
      <c r="AK17" s="64">
        <v>5486</v>
      </c>
      <c r="AL17" s="68">
        <v>9</v>
      </c>
      <c r="AM17" s="19">
        <v>15786</v>
      </c>
      <c r="AN17" s="68">
        <v>165</v>
      </c>
      <c r="AO17" s="19"/>
      <c r="AP17" s="68">
        <v>0</v>
      </c>
      <c r="AQ17" s="64">
        <v>617700</v>
      </c>
      <c r="AR17" s="62">
        <v>180</v>
      </c>
      <c r="AS17" s="75">
        <v>1569</v>
      </c>
      <c r="AT17" s="62">
        <v>1</v>
      </c>
      <c r="AU17" s="60">
        <v>56046</v>
      </c>
      <c r="AV17" s="62">
        <v>1</v>
      </c>
      <c r="AW17" s="60">
        <v>9234</v>
      </c>
      <c r="AX17" s="62">
        <v>1</v>
      </c>
      <c r="AY17" s="64">
        <v>10936</v>
      </c>
      <c r="AZ17" s="62">
        <v>0</v>
      </c>
      <c r="BA17" s="60">
        <v>18000</v>
      </c>
      <c r="BB17" s="62">
        <v>12</v>
      </c>
      <c r="BC17" s="64">
        <v>20318</v>
      </c>
      <c r="BD17" s="62">
        <v>5</v>
      </c>
      <c r="BE17" s="58">
        <v>21020</v>
      </c>
      <c r="BF17" s="67">
        <v>2</v>
      </c>
      <c r="BG17" s="64">
        <v>14309</v>
      </c>
      <c r="BH17" s="67">
        <v>1</v>
      </c>
      <c r="BI17" s="64">
        <v>6597</v>
      </c>
      <c r="BJ17" s="67">
        <v>0</v>
      </c>
      <c r="BK17" s="64">
        <v>27492</v>
      </c>
      <c r="BL17" s="67">
        <v>6</v>
      </c>
      <c r="BM17" s="64">
        <v>5189</v>
      </c>
      <c r="BN17" s="67">
        <v>4</v>
      </c>
      <c r="BO17" s="64">
        <v>24089</v>
      </c>
      <c r="BP17" s="67">
        <v>61</v>
      </c>
      <c r="BQ17" s="64">
        <v>3641</v>
      </c>
      <c r="BR17" s="67">
        <v>0</v>
      </c>
      <c r="BS17" s="67">
        <v>15</v>
      </c>
      <c r="BT17" s="67">
        <v>165</v>
      </c>
      <c r="BU17" s="64">
        <v>634250</v>
      </c>
      <c r="BV17" s="67">
        <v>180</v>
      </c>
      <c r="BW17" s="64">
        <v>3844</v>
      </c>
      <c r="BX17" s="67">
        <v>21</v>
      </c>
      <c r="BY17" s="64">
        <v>832710</v>
      </c>
      <c r="BZ17" s="67">
        <v>280</v>
      </c>
      <c r="CA17" s="64">
        <v>19103</v>
      </c>
      <c r="CB17" s="67">
        <v>66</v>
      </c>
      <c r="CC17" s="77">
        <v>100</v>
      </c>
      <c r="CD17" s="67">
        <v>460</v>
      </c>
      <c r="CE17" s="78">
        <v>26</v>
      </c>
      <c r="CF17" s="58">
        <v>155</v>
      </c>
      <c r="CG17" s="135">
        <v>20161.856671558693</v>
      </c>
      <c r="CH17" s="64"/>
      <c r="CI17" s="136">
        <v>0</v>
      </c>
      <c r="CJ17" s="64">
        <v>237574</v>
      </c>
      <c r="CK17" s="67">
        <v>209</v>
      </c>
      <c r="CL17" s="77">
        <v>1193.3900000000001</v>
      </c>
      <c r="CM17" s="64">
        <v>75</v>
      </c>
      <c r="CN17" s="81">
        <v>8081.25</v>
      </c>
      <c r="CO17" s="64">
        <v>75</v>
      </c>
      <c r="CP17" s="137">
        <v>8081.25</v>
      </c>
      <c r="CQ17" s="64">
        <v>75</v>
      </c>
      <c r="CR17" s="138">
        <v>8081.25</v>
      </c>
      <c r="CS17" s="139">
        <v>24243.75</v>
      </c>
      <c r="CT17" s="82">
        <v>1508.5</v>
      </c>
      <c r="CU17" s="64"/>
      <c r="CV17" s="64">
        <v>41553</v>
      </c>
      <c r="CW17" s="67">
        <v>43</v>
      </c>
      <c r="CX17" s="77">
        <v>245.53</v>
      </c>
      <c r="CY17" s="64">
        <v>35273</v>
      </c>
      <c r="CZ17" s="67">
        <v>5</v>
      </c>
      <c r="DA17" s="77">
        <v>28.55</v>
      </c>
      <c r="DB17" s="64">
        <v>13158</v>
      </c>
      <c r="DC17" s="67">
        <v>10</v>
      </c>
      <c r="DD17" s="77">
        <v>57.1</v>
      </c>
      <c r="DE17" s="64">
        <v>843409</v>
      </c>
      <c r="DF17" s="67">
        <v>80</v>
      </c>
      <c r="DG17" s="77">
        <v>456.8</v>
      </c>
      <c r="DH17" s="64">
        <v>8661</v>
      </c>
      <c r="DI17" s="67">
        <v>21</v>
      </c>
      <c r="DJ17" s="77">
        <v>119.91</v>
      </c>
      <c r="DK17" s="64">
        <v>9096</v>
      </c>
      <c r="DL17" s="67">
        <v>10</v>
      </c>
      <c r="DM17" s="77">
        <v>57.1</v>
      </c>
      <c r="DN17" s="64">
        <v>5435</v>
      </c>
      <c r="DO17" s="67">
        <v>8</v>
      </c>
      <c r="DP17" s="77">
        <v>45.68</v>
      </c>
      <c r="DQ17" s="64">
        <v>2108</v>
      </c>
      <c r="DR17" s="67">
        <v>2</v>
      </c>
      <c r="DS17" s="77">
        <v>11.42</v>
      </c>
      <c r="DT17" s="64">
        <v>6474</v>
      </c>
      <c r="DU17" s="67">
        <v>9</v>
      </c>
      <c r="DV17" s="77">
        <v>51.39</v>
      </c>
      <c r="DW17" s="64">
        <v>5962</v>
      </c>
      <c r="DX17" s="67">
        <v>6</v>
      </c>
      <c r="DY17" s="77">
        <v>34.26</v>
      </c>
      <c r="DZ17" s="64">
        <v>6712</v>
      </c>
      <c r="EA17" s="67">
        <v>8</v>
      </c>
      <c r="EB17" s="77">
        <v>45.68</v>
      </c>
      <c r="EC17" s="64">
        <v>6660</v>
      </c>
      <c r="ED17" s="67">
        <v>10</v>
      </c>
      <c r="EE17" s="77">
        <v>57.1</v>
      </c>
      <c r="EF17" s="79"/>
      <c r="EG17" s="77">
        <v>0</v>
      </c>
      <c r="EH17" s="79"/>
      <c r="EI17" s="77">
        <v>0</v>
      </c>
      <c r="EJ17" s="84"/>
      <c r="EK17" s="77">
        <v>0</v>
      </c>
      <c r="EL17" s="84"/>
      <c r="EM17" s="77">
        <v>0</v>
      </c>
      <c r="EN17" s="84"/>
      <c r="EO17" s="85"/>
      <c r="EP17" s="140">
        <v>0.50549999999999995</v>
      </c>
      <c r="EQ17" s="86"/>
      <c r="ER17" s="84"/>
      <c r="ES17" s="85"/>
      <c r="ET17" s="88"/>
      <c r="EU17" s="103"/>
      <c r="EV17" s="103"/>
    </row>
    <row r="18" spans="1:157" s="20" customFormat="1" ht="15.75" thickBot="1" x14ac:dyDescent="0.25">
      <c r="A18" s="57">
        <v>44635</v>
      </c>
      <c r="B18" s="64">
        <v>1714784</v>
      </c>
      <c r="C18" s="59">
        <v>25874</v>
      </c>
      <c r="D18" s="64">
        <v>756960</v>
      </c>
      <c r="E18" s="59">
        <v>24628</v>
      </c>
      <c r="F18" s="90">
        <v>0.95184354950915973</v>
      </c>
      <c r="G18" s="60">
        <v>1318</v>
      </c>
      <c r="H18" s="60">
        <v>1364</v>
      </c>
      <c r="I18" s="61">
        <v>291720</v>
      </c>
      <c r="J18" s="62">
        <v>0</v>
      </c>
      <c r="K18" s="63">
        <v>801</v>
      </c>
      <c r="L18" s="59">
        <v>0</v>
      </c>
      <c r="M18" s="64">
        <v>644665</v>
      </c>
      <c r="N18" s="62">
        <v>0</v>
      </c>
      <c r="O18" s="64">
        <v>1032</v>
      </c>
      <c r="P18" s="62">
        <v>0</v>
      </c>
      <c r="Q18" s="64">
        <v>1955800</v>
      </c>
      <c r="R18" s="62">
        <v>10800</v>
      </c>
      <c r="S18" s="64">
        <v>1995800</v>
      </c>
      <c r="T18" s="62">
        <v>12900</v>
      </c>
      <c r="U18" s="64">
        <v>2801026</v>
      </c>
      <c r="V18" s="62">
        <v>2119</v>
      </c>
      <c r="W18" s="64">
        <v>2269283</v>
      </c>
      <c r="X18" s="62">
        <v>427</v>
      </c>
      <c r="Y18" s="64">
        <v>281797</v>
      </c>
      <c r="Z18" s="62">
        <v>109</v>
      </c>
      <c r="AA18" s="142"/>
      <c r="AB18" s="134">
        <v>0.72222222222222221</v>
      </c>
      <c r="AC18" s="66">
        <v>288.88888888888886</v>
      </c>
      <c r="AD18" s="63"/>
      <c r="AE18" s="64">
        <v>177454</v>
      </c>
      <c r="AF18" s="59">
        <v>268</v>
      </c>
      <c r="AG18" s="60">
        <v>486890</v>
      </c>
      <c r="AH18" s="67">
        <v>450</v>
      </c>
      <c r="AI18" s="64">
        <v>1179</v>
      </c>
      <c r="AJ18" s="68">
        <v>0</v>
      </c>
      <c r="AK18" s="64">
        <v>5486</v>
      </c>
      <c r="AL18" s="68">
        <v>0</v>
      </c>
      <c r="AM18" s="19">
        <v>15936</v>
      </c>
      <c r="AN18" s="68">
        <v>150</v>
      </c>
      <c r="AO18" s="19"/>
      <c r="AP18" s="68">
        <v>0</v>
      </c>
      <c r="AQ18" s="64">
        <v>617860</v>
      </c>
      <c r="AR18" s="62">
        <v>160</v>
      </c>
      <c r="AS18" s="75">
        <v>1569</v>
      </c>
      <c r="AT18" s="62">
        <v>0</v>
      </c>
      <c r="AU18" s="60">
        <v>56066</v>
      </c>
      <c r="AV18" s="62">
        <v>20</v>
      </c>
      <c r="AW18" s="60">
        <v>9235</v>
      </c>
      <c r="AX18" s="62">
        <v>1</v>
      </c>
      <c r="AY18" s="64">
        <v>10936</v>
      </c>
      <c r="AZ18" s="62">
        <v>0</v>
      </c>
      <c r="BA18" s="60">
        <v>18015</v>
      </c>
      <c r="BB18" s="62">
        <v>15</v>
      </c>
      <c r="BC18" s="64">
        <v>20322</v>
      </c>
      <c r="BD18" s="62">
        <v>4</v>
      </c>
      <c r="BE18" s="58">
        <v>21022</v>
      </c>
      <c r="BF18" s="67">
        <v>2</v>
      </c>
      <c r="BG18" s="64">
        <v>14310</v>
      </c>
      <c r="BH18" s="67">
        <v>1</v>
      </c>
      <c r="BI18" s="64">
        <v>6598</v>
      </c>
      <c r="BJ18" s="67">
        <v>1</v>
      </c>
      <c r="BK18" s="64">
        <v>27497</v>
      </c>
      <c r="BL18" s="67">
        <v>5</v>
      </c>
      <c r="BM18" s="64">
        <v>5194</v>
      </c>
      <c r="BN18" s="67">
        <v>5</v>
      </c>
      <c r="BO18" s="64">
        <v>24156</v>
      </c>
      <c r="BP18" s="67">
        <v>67</v>
      </c>
      <c r="BQ18" s="64">
        <v>3641</v>
      </c>
      <c r="BR18" s="67">
        <v>0</v>
      </c>
      <c r="BS18" s="67">
        <v>18</v>
      </c>
      <c r="BT18" s="67">
        <v>142</v>
      </c>
      <c r="BU18" s="64">
        <v>634460</v>
      </c>
      <c r="BV18" s="67">
        <v>210</v>
      </c>
      <c r="BW18" s="64">
        <v>3870</v>
      </c>
      <c r="BX18" s="67">
        <v>26</v>
      </c>
      <c r="BY18" s="64">
        <v>832920</v>
      </c>
      <c r="BZ18" s="67">
        <v>210</v>
      </c>
      <c r="CA18" s="64">
        <v>19168</v>
      </c>
      <c r="CB18" s="67">
        <v>65</v>
      </c>
      <c r="CC18" s="77">
        <v>50</v>
      </c>
      <c r="CD18" s="67">
        <v>420</v>
      </c>
      <c r="CE18" s="78">
        <v>49</v>
      </c>
      <c r="CF18" s="58">
        <v>155</v>
      </c>
      <c r="CG18" s="135">
        <v>20161.856671558693</v>
      </c>
      <c r="CH18" s="64"/>
      <c r="CI18" s="136">
        <v>0</v>
      </c>
      <c r="CJ18" s="64">
        <v>237732</v>
      </c>
      <c r="CK18" s="67">
        <v>158</v>
      </c>
      <c r="CL18" s="77">
        <v>902.18</v>
      </c>
      <c r="CM18" s="64">
        <v>71</v>
      </c>
      <c r="CN18" s="81">
        <v>7650.25</v>
      </c>
      <c r="CO18" s="64">
        <v>73</v>
      </c>
      <c r="CP18" s="137">
        <v>7865.75</v>
      </c>
      <c r="CQ18" s="64">
        <v>74</v>
      </c>
      <c r="CR18" s="138">
        <v>7973.5</v>
      </c>
      <c r="CS18" s="139">
        <v>23489.5</v>
      </c>
      <c r="CT18" s="82">
        <v>754.25</v>
      </c>
      <c r="CU18" s="64"/>
      <c r="CV18" s="64">
        <v>41588</v>
      </c>
      <c r="CW18" s="67">
        <v>35</v>
      </c>
      <c r="CX18" s="77">
        <v>199.85</v>
      </c>
      <c r="CY18" s="64">
        <v>35279</v>
      </c>
      <c r="CZ18" s="67">
        <v>6</v>
      </c>
      <c r="DA18" s="77">
        <v>34.26</v>
      </c>
      <c r="DB18" s="64">
        <v>13178</v>
      </c>
      <c r="DC18" s="67">
        <v>20</v>
      </c>
      <c r="DD18" s="77">
        <v>114.2</v>
      </c>
      <c r="DE18" s="64">
        <v>843470</v>
      </c>
      <c r="DF18" s="67">
        <v>61</v>
      </c>
      <c r="DG18" s="77">
        <v>348.31</v>
      </c>
      <c r="DH18" s="64">
        <v>8683</v>
      </c>
      <c r="DI18" s="67">
        <v>22</v>
      </c>
      <c r="DJ18" s="77">
        <v>125.62</v>
      </c>
      <c r="DK18" s="64">
        <v>9106</v>
      </c>
      <c r="DL18" s="67">
        <v>10</v>
      </c>
      <c r="DM18" s="77">
        <v>57.1</v>
      </c>
      <c r="DN18" s="64">
        <v>5443</v>
      </c>
      <c r="DO18" s="67">
        <v>8</v>
      </c>
      <c r="DP18" s="77">
        <v>45.68</v>
      </c>
      <c r="DQ18" s="64">
        <v>2109</v>
      </c>
      <c r="DR18" s="67">
        <v>1</v>
      </c>
      <c r="DS18" s="77">
        <v>5.71</v>
      </c>
      <c r="DT18" s="64">
        <v>6483</v>
      </c>
      <c r="DU18" s="67">
        <v>9</v>
      </c>
      <c r="DV18" s="77">
        <v>51.39</v>
      </c>
      <c r="DW18" s="64">
        <v>5971</v>
      </c>
      <c r="DX18" s="67">
        <v>9</v>
      </c>
      <c r="DY18" s="77">
        <v>51.39</v>
      </c>
      <c r="DZ18" s="64">
        <v>6720</v>
      </c>
      <c r="EA18" s="67">
        <v>8</v>
      </c>
      <c r="EB18" s="77">
        <v>45.68</v>
      </c>
      <c r="EC18" s="64">
        <v>6671</v>
      </c>
      <c r="ED18" s="67">
        <v>11</v>
      </c>
      <c r="EE18" s="77">
        <v>62.81</v>
      </c>
      <c r="EF18" s="79"/>
      <c r="EG18" s="77">
        <v>0</v>
      </c>
      <c r="EH18" s="79"/>
      <c r="EI18" s="77">
        <v>0</v>
      </c>
      <c r="EJ18" s="84"/>
      <c r="EK18" s="77">
        <v>0</v>
      </c>
      <c r="EL18" s="84"/>
      <c r="EM18" s="77">
        <v>0</v>
      </c>
      <c r="EN18" s="84"/>
      <c r="EO18" s="85"/>
      <c r="EP18" s="140">
        <v>0.50549999999999995</v>
      </c>
      <c r="EQ18" s="100"/>
      <c r="ER18" s="101"/>
      <c r="ES18" s="102"/>
      <c r="ET18" s="103"/>
      <c r="EU18" s="88"/>
      <c r="EV18" s="88"/>
    </row>
    <row r="19" spans="1:157" s="20" customFormat="1" ht="15.75" thickBot="1" x14ac:dyDescent="0.25">
      <c r="A19" s="57">
        <v>44636</v>
      </c>
      <c r="B19" s="64">
        <v>1746856</v>
      </c>
      <c r="C19" s="59">
        <v>32072</v>
      </c>
      <c r="D19" s="64">
        <v>787566</v>
      </c>
      <c r="E19" s="59">
        <v>30606</v>
      </c>
      <c r="F19" s="90">
        <v>0.95429034671988022</v>
      </c>
      <c r="G19" s="60">
        <v>1318</v>
      </c>
      <c r="H19" s="60">
        <v>1364</v>
      </c>
      <c r="I19" s="61">
        <v>291720</v>
      </c>
      <c r="J19" s="62">
        <v>0</v>
      </c>
      <c r="K19" s="63">
        <v>801</v>
      </c>
      <c r="L19" s="59">
        <v>0</v>
      </c>
      <c r="M19" s="64">
        <v>644665</v>
      </c>
      <c r="N19" s="62">
        <v>0</v>
      </c>
      <c r="O19" s="64">
        <v>1032</v>
      </c>
      <c r="P19" s="62">
        <v>0</v>
      </c>
      <c r="Q19" s="64">
        <v>1968400</v>
      </c>
      <c r="R19" s="62">
        <v>12600</v>
      </c>
      <c r="S19" s="64">
        <v>2011200</v>
      </c>
      <c r="T19" s="62">
        <v>15400</v>
      </c>
      <c r="U19" s="64">
        <v>2804173</v>
      </c>
      <c r="V19" s="62">
        <v>3147</v>
      </c>
      <c r="W19" s="64">
        <v>2269715</v>
      </c>
      <c r="X19" s="62">
        <v>432</v>
      </c>
      <c r="Y19" s="64">
        <v>282016</v>
      </c>
      <c r="Z19" s="62">
        <v>219</v>
      </c>
      <c r="AA19" s="142"/>
      <c r="AB19" s="134">
        <v>0.66666666666666663</v>
      </c>
      <c r="AC19" s="66">
        <v>266.66666666666663</v>
      </c>
      <c r="AD19" s="63"/>
      <c r="AE19" s="64">
        <v>177717</v>
      </c>
      <c r="AF19" s="59">
        <v>263</v>
      </c>
      <c r="AG19" s="60">
        <v>487310</v>
      </c>
      <c r="AH19" s="67">
        <v>420</v>
      </c>
      <c r="AI19" s="64">
        <v>1179</v>
      </c>
      <c r="AJ19" s="68">
        <v>0</v>
      </c>
      <c r="AK19" s="64">
        <v>5486</v>
      </c>
      <c r="AL19" s="68">
        <v>0</v>
      </c>
      <c r="AM19" s="19">
        <v>16177</v>
      </c>
      <c r="AN19" s="68">
        <v>241</v>
      </c>
      <c r="AO19" s="19"/>
      <c r="AP19" s="68">
        <v>0</v>
      </c>
      <c r="AQ19" s="64">
        <v>617990</v>
      </c>
      <c r="AR19" s="62">
        <v>130</v>
      </c>
      <c r="AS19" s="75">
        <v>1569</v>
      </c>
      <c r="AT19" s="62">
        <v>0</v>
      </c>
      <c r="AU19" s="60">
        <v>56085</v>
      </c>
      <c r="AV19" s="62">
        <v>19</v>
      </c>
      <c r="AW19" s="60">
        <v>9236</v>
      </c>
      <c r="AX19" s="62">
        <v>1</v>
      </c>
      <c r="AY19" s="64">
        <v>10937</v>
      </c>
      <c r="AZ19" s="62">
        <v>1</v>
      </c>
      <c r="BA19" s="60">
        <v>18029</v>
      </c>
      <c r="BB19" s="62">
        <v>14</v>
      </c>
      <c r="BC19" s="64">
        <v>20325</v>
      </c>
      <c r="BD19" s="62">
        <v>3</v>
      </c>
      <c r="BE19" s="58">
        <v>21023</v>
      </c>
      <c r="BF19" s="67">
        <v>1</v>
      </c>
      <c r="BG19" s="64">
        <v>14312</v>
      </c>
      <c r="BH19" s="67">
        <v>2</v>
      </c>
      <c r="BI19" s="64">
        <v>6598</v>
      </c>
      <c r="BJ19" s="67">
        <v>0</v>
      </c>
      <c r="BK19" s="64">
        <v>27503</v>
      </c>
      <c r="BL19" s="67">
        <v>6</v>
      </c>
      <c r="BM19" s="64">
        <v>5199</v>
      </c>
      <c r="BN19" s="67">
        <v>5</v>
      </c>
      <c r="BO19" s="64">
        <v>24224</v>
      </c>
      <c r="BP19" s="67">
        <v>68</v>
      </c>
      <c r="BQ19" s="64">
        <v>3641</v>
      </c>
      <c r="BR19" s="67">
        <v>0</v>
      </c>
      <c r="BS19" s="67">
        <v>17</v>
      </c>
      <c r="BT19" s="67">
        <v>113</v>
      </c>
      <c r="BU19" s="64">
        <v>634720</v>
      </c>
      <c r="BV19" s="67">
        <v>260</v>
      </c>
      <c r="BW19" s="64">
        <v>3895</v>
      </c>
      <c r="BX19" s="67">
        <v>25</v>
      </c>
      <c r="BY19" s="64">
        <v>833150</v>
      </c>
      <c r="BZ19" s="67">
        <v>230</v>
      </c>
      <c r="CA19" s="64">
        <v>19225</v>
      </c>
      <c r="CB19" s="67">
        <v>57</v>
      </c>
      <c r="CC19" s="77">
        <v>100</v>
      </c>
      <c r="CD19" s="67">
        <v>490</v>
      </c>
      <c r="CE19" s="78">
        <v>46</v>
      </c>
      <c r="CF19" s="58">
        <v>155</v>
      </c>
      <c r="CG19" s="135">
        <v>20161.856671558693</v>
      </c>
      <c r="CH19" s="64"/>
      <c r="CI19" s="136">
        <v>0</v>
      </c>
      <c r="CJ19" s="64">
        <v>237926</v>
      </c>
      <c r="CK19" s="67">
        <v>194</v>
      </c>
      <c r="CL19" s="77">
        <v>1107.74</v>
      </c>
      <c r="CM19" s="64">
        <v>66</v>
      </c>
      <c r="CN19" s="81">
        <v>7111.5</v>
      </c>
      <c r="CO19" s="64">
        <v>70</v>
      </c>
      <c r="CP19" s="137">
        <v>7542.5</v>
      </c>
      <c r="CQ19" s="64">
        <v>70</v>
      </c>
      <c r="CR19" s="138">
        <v>7542.5</v>
      </c>
      <c r="CS19" s="139">
        <v>22196.5</v>
      </c>
      <c r="CT19" s="82">
        <v>1293</v>
      </c>
      <c r="CU19" s="64"/>
      <c r="CV19" s="64">
        <v>41637</v>
      </c>
      <c r="CW19" s="67">
        <v>49</v>
      </c>
      <c r="CX19" s="77">
        <v>279.79000000000002</v>
      </c>
      <c r="CY19" s="64">
        <v>35279</v>
      </c>
      <c r="CZ19" s="67">
        <v>0</v>
      </c>
      <c r="DA19" s="77">
        <v>0</v>
      </c>
      <c r="DB19" s="64">
        <v>13196</v>
      </c>
      <c r="DC19" s="67">
        <v>18</v>
      </c>
      <c r="DD19" s="77">
        <v>102.78</v>
      </c>
      <c r="DE19" s="64">
        <v>843528</v>
      </c>
      <c r="DF19" s="67">
        <v>58</v>
      </c>
      <c r="DG19" s="77">
        <v>331.18</v>
      </c>
      <c r="DH19" s="64">
        <v>8706</v>
      </c>
      <c r="DI19" s="67">
        <v>23</v>
      </c>
      <c r="DJ19" s="77">
        <v>131.33000000000001</v>
      </c>
      <c r="DK19" s="64">
        <v>9116</v>
      </c>
      <c r="DL19" s="67">
        <v>10</v>
      </c>
      <c r="DM19" s="77">
        <v>57.1</v>
      </c>
      <c r="DN19" s="64">
        <v>5451</v>
      </c>
      <c r="DO19" s="67">
        <v>8</v>
      </c>
      <c r="DP19" s="77">
        <v>45.68</v>
      </c>
      <c r="DQ19" s="64">
        <v>2110</v>
      </c>
      <c r="DR19" s="67">
        <v>1</v>
      </c>
      <c r="DS19" s="77">
        <v>5.71</v>
      </c>
      <c r="DT19" s="64">
        <v>6492</v>
      </c>
      <c r="DU19" s="67">
        <v>9</v>
      </c>
      <c r="DV19" s="77">
        <v>51.39</v>
      </c>
      <c r="DW19" s="64">
        <v>5979</v>
      </c>
      <c r="DX19" s="67">
        <v>8</v>
      </c>
      <c r="DY19" s="77">
        <v>45.68</v>
      </c>
      <c r="DZ19" s="64">
        <v>6728</v>
      </c>
      <c r="EA19" s="67">
        <v>8</v>
      </c>
      <c r="EB19" s="77">
        <v>45.68</v>
      </c>
      <c r="EC19" s="64">
        <v>6682</v>
      </c>
      <c r="ED19" s="67">
        <v>11</v>
      </c>
      <c r="EE19" s="77">
        <v>62.81</v>
      </c>
      <c r="EF19" s="79"/>
      <c r="EG19" s="77">
        <v>0</v>
      </c>
      <c r="EH19" s="79"/>
      <c r="EI19" s="77">
        <v>0</v>
      </c>
      <c r="EJ19" s="84"/>
      <c r="EK19" s="77">
        <v>0</v>
      </c>
      <c r="EL19" s="84"/>
      <c r="EM19" s="77">
        <v>0</v>
      </c>
      <c r="EN19" s="84"/>
      <c r="EO19" s="85"/>
      <c r="EP19" s="140">
        <v>0.47249999999999998</v>
      </c>
      <c r="EQ19" s="86"/>
      <c r="ER19" s="84"/>
      <c r="ES19" s="85"/>
      <c r="ET19" s="88"/>
      <c r="EU19" s="88"/>
      <c r="EV19" s="88"/>
    </row>
    <row r="20" spans="1:157" s="20" customFormat="1" ht="15.75" thickBot="1" x14ac:dyDescent="0.25">
      <c r="A20" s="57">
        <v>44637</v>
      </c>
      <c r="B20" s="64">
        <v>1767746</v>
      </c>
      <c r="C20" s="59">
        <v>20890</v>
      </c>
      <c r="D20" s="64">
        <v>807342</v>
      </c>
      <c r="E20" s="59">
        <v>19776</v>
      </c>
      <c r="F20" s="90">
        <v>0.94667304930588803</v>
      </c>
      <c r="G20" s="60">
        <v>1318</v>
      </c>
      <c r="H20" s="60">
        <v>1364</v>
      </c>
      <c r="I20" s="61">
        <v>291720</v>
      </c>
      <c r="J20" s="62">
        <v>0</v>
      </c>
      <c r="K20" s="63">
        <v>801</v>
      </c>
      <c r="L20" s="59">
        <v>0</v>
      </c>
      <c r="M20" s="64">
        <v>644665</v>
      </c>
      <c r="N20" s="62">
        <v>0</v>
      </c>
      <c r="O20" s="64">
        <v>1032</v>
      </c>
      <c r="P20" s="62">
        <v>0</v>
      </c>
      <c r="Q20" s="64">
        <v>1976600</v>
      </c>
      <c r="R20" s="62">
        <v>8200</v>
      </c>
      <c r="S20" s="64">
        <v>2021000</v>
      </c>
      <c r="T20" s="62">
        <v>9800</v>
      </c>
      <c r="U20" s="64">
        <v>2805950</v>
      </c>
      <c r="V20" s="62">
        <v>1777</v>
      </c>
      <c r="W20" s="64">
        <v>2270153</v>
      </c>
      <c r="X20" s="62">
        <v>438</v>
      </c>
      <c r="Y20" s="64">
        <v>282474</v>
      </c>
      <c r="Z20" s="62">
        <v>458</v>
      </c>
      <c r="AA20" s="133"/>
      <c r="AB20" s="134">
        <v>0.83333333333333337</v>
      </c>
      <c r="AC20" s="66">
        <v>333.33333333333337</v>
      </c>
      <c r="AD20" s="63"/>
      <c r="AE20" s="64">
        <v>177746</v>
      </c>
      <c r="AF20" s="59">
        <v>29</v>
      </c>
      <c r="AG20" s="60">
        <v>487790</v>
      </c>
      <c r="AH20" s="67">
        <v>480</v>
      </c>
      <c r="AI20" s="64">
        <v>1179</v>
      </c>
      <c r="AJ20" s="68">
        <v>0</v>
      </c>
      <c r="AK20" s="64">
        <v>5486</v>
      </c>
      <c r="AL20" s="68">
        <v>0</v>
      </c>
      <c r="AM20" s="19">
        <v>16630</v>
      </c>
      <c r="AN20" s="68">
        <v>453</v>
      </c>
      <c r="AO20" s="19"/>
      <c r="AP20" s="68">
        <v>0</v>
      </c>
      <c r="AQ20" s="64">
        <v>618180</v>
      </c>
      <c r="AR20" s="62">
        <v>190</v>
      </c>
      <c r="AS20" s="76">
        <v>1570</v>
      </c>
      <c r="AT20" s="62">
        <v>1</v>
      </c>
      <c r="AU20" s="64">
        <v>56102</v>
      </c>
      <c r="AV20" s="62">
        <v>17</v>
      </c>
      <c r="AW20" s="60">
        <v>9237</v>
      </c>
      <c r="AX20" s="62">
        <v>1</v>
      </c>
      <c r="AY20" s="64">
        <v>10938</v>
      </c>
      <c r="AZ20" s="62">
        <v>1</v>
      </c>
      <c r="BA20" s="60">
        <v>18059</v>
      </c>
      <c r="BB20" s="62">
        <v>30</v>
      </c>
      <c r="BC20" s="64">
        <v>20327</v>
      </c>
      <c r="BD20" s="62">
        <v>2</v>
      </c>
      <c r="BE20" s="58">
        <v>21025</v>
      </c>
      <c r="BF20" s="67">
        <v>2</v>
      </c>
      <c r="BG20" s="64">
        <v>14314</v>
      </c>
      <c r="BH20" s="67">
        <v>2</v>
      </c>
      <c r="BI20" s="64">
        <v>6598</v>
      </c>
      <c r="BJ20" s="67">
        <v>0</v>
      </c>
      <c r="BK20" s="64">
        <v>27510</v>
      </c>
      <c r="BL20" s="67">
        <v>7</v>
      </c>
      <c r="BM20" s="64">
        <v>5203</v>
      </c>
      <c r="BN20" s="67">
        <v>4</v>
      </c>
      <c r="BO20" s="64">
        <v>24290</v>
      </c>
      <c r="BP20" s="67">
        <v>66</v>
      </c>
      <c r="BQ20" s="64">
        <v>3641</v>
      </c>
      <c r="BR20" s="67">
        <v>0</v>
      </c>
      <c r="BS20" s="67">
        <v>34</v>
      </c>
      <c r="BT20" s="67">
        <v>156</v>
      </c>
      <c r="BU20" s="64">
        <v>634943</v>
      </c>
      <c r="BV20" s="67">
        <v>223</v>
      </c>
      <c r="BW20" s="64">
        <v>3914</v>
      </c>
      <c r="BX20" s="67">
        <v>19</v>
      </c>
      <c r="BY20" s="64">
        <v>833320</v>
      </c>
      <c r="BZ20" s="67">
        <v>170</v>
      </c>
      <c r="CA20" s="64">
        <v>19273</v>
      </c>
      <c r="CB20" s="67">
        <v>48</v>
      </c>
      <c r="CC20" s="77">
        <v>-20</v>
      </c>
      <c r="CD20" s="67">
        <v>393</v>
      </c>
      <c r="CE20" s="78">
        <v>59</v>
      </c>
      <c r="CF20" s="58">
        <v>155</v>
      </c>
      <c r="CG20" s="135">
        <v>20161.856671558693</v>
      </c>
      <c r="CH20" s="80"/>
      <c r="CI20" s="136">
        <v>0</v>
      </c>
      <c r="CJ20" s="64">
        <v>238092</v>
      </c>
      <c r="CK20" s="67">
        <v>166</v>
      </c>
      <c r="CL20" s="77">
        <v>947.86</v>
      </c>
      <c r="CM20" s="64">
        <v>64</v>
      </c>
      <c r="CN20" s="81">
        <v>6896</v>
      </c>
      <c r="CO20" s="64">
        <v>63</v>
      </c>
      <c r="CP20" s="137">
        <v>6788.25</v>
      </c>
      <c r="CQ20" s="64">
        <v>66</v>
      </c>
      <c r="CR20" s="138">
        <v>7111.5</v>
      </c>
      <c r="CS20" s="139">
        <v>20795.75</v>
      </c>
      <c r="CT20" s="82">
        <v>1400.75</v>
      </c>
      <c r="CU20" s="64">
        <v>5355</v>
      </c>
      <c r="CV20" s="64">
        <v>41676</v>
      </c>
      <c r="CW20" s="67">
        <v>39</v>
      </c>
      <c r="CX20" s="77">
        <v>222.69</v>
      </c>
      <c r="CY20" s="64">
        <v>35286</v>
      </c>
      <c r="CZ20" s="67">
        <v>7</v>
      </c>
      <c r="DA20" s="77">
        <v>39.97</v>
      </c>
      <c r="DB20" s="64">
        <v>13208</v>
      </c>
      <c r="DC20" s="67">
        <v>12</v>
      </c>
      <c r="DD20" s="77">
        <v>68.52</v>
      </c>
      <c r="DE20" s="64">
        <v>843598</v>
      </c>
      <c r="DF20" s="67">
        <v>70</v>
      </c>
      <c r="DG20" s="77">
        <v>399.7</v>
      </c>
      <c r="DH20" s="64">
        <v>8725</v>
      </c>
      <c r="DI20" s="67">
        <v>19</v>
      </c>
      <c r="DJ20" s="77">
        <v>108.49</v>
      </c>
      <c r="DK20" s="64">
        <v>9127</v>
      </c>
      <c r="DL20" s="67">
        <v>11</v>
      </c>
      <c r="DM20" s="77">
        <v>62.81</v>
      </c>
      <c r="DN20" s="64">
        <v>5460</v>
      </c>
      <c r="DO20" s="67">
        <v>9</v>
      </c>
      <c r="DP20" s="77">
        <v>51.39</v>
      </c>
      <c r="DQ20" s="64">
        <v>2112</v>
      </c>
      <c r="DR20" s="67">
        <v>2</v>
      </c>
      <c r="DS20" s="77">
        <v>11.42</v>
      </c>
      <c r="DT20" s="64">
        <v>6501</v>
      </c>
      <c r="DU20" s="67">
        <v>9</v>
      </c>
      <c r="DV20" s="77">
        <v>51.39</v>
      </c>
      <c r="DW20" s="64">
        <v>5987</v>
      </c>
      <c r="DX20" s="67">
        <v>8</v>
      </c>
      <c r="DY20" s="77">
        <v>45.68</v>
      </c>
      <c r="DZ20" s="64">
        <v>6737</v>
      </c>
      <c r="EA20" s="67">
        <v>9</v>
      </c>
      <c r="EB20" s="77">
        <v>51.39</v>
      </c>
      <c r="EC20" s="64">
        <v>6693</v>
      </c>
      <c r="ED20" s="67">
        <v>11</v>
      </c>
      <c r="EE20" s="77">
        <v>62.81</v>
      </c>
      <c r="EF20" s="79"/>
      <c r="EG20" s="77">
        <v>0</v>
      </c>
      <c r="EH20" s="79"/>
      <c r="EI20" s="77">
        <v>0</v>
      </c>
      <c r="EJ20" s="84"/>
      <c r="EK20" s="77">
        <v>0</v>
      </c>
      <c r="EL20" s="84"/>
      <c r="EM20" s="77">
        <v>0</v>
      </c>
      <c r="EN20" s="84"/>
      <c r="EO20" s="85"/>
      <c r="EP20" s="140">
        <v>0.46150000000000002</v>
      </c>
      <c r="EQ20" s="86"/>
      <c r="ER20" s="84"/>
      <c r="ES20" s="85"/>
      <c r="ET20" s="88"/>
      <c r="EU20" s="88"/>
      <c r="EV20" s="88"/>
      <c r="EX20" s="143"/>
    </row>
    <row r="21" spans="1:157" s="20" customFormat="1" ht="15.75" thickBot="1" x14ac:dyDescent="0.25">
      <c r="A21" s="57">
        <v>44638</v>
      </c>
      <c r="B21" s="64">
        <v>1794544</v>
      </c>
      <c r="C21" s="59">
        <v>26798</v>
      </c>
      <c r="D21" s="64">
        <v>832860</v>
      </c>
      <c r="E21" s="59">
        <v>25518</v>
      </c>
      <c r="F21" s="90">
        <v>0.95223524143592808</v>
      </c>
      <c r="G21" s="60">
        <v>1318</v>
      </c>
      <c r="H21" s="60">
        <v>1364</v>
      </c>
      <c r="I21" s="61">
        <v>291720</v>
      </c>
      <c r="J21" s="62">
        <v>0</v>
      </c>
      <c r="K21" s="63">
        <v>801</v>
      </c>
      <c r="L21" s="59">
        <v>0</v>
      </c>
      <c r="M21" s="64">
        <v>644665</v>
      </c>
      <c r="N21" s="62">
        <v>0</v>
      </c>
      <c r="O21" s="64">
        <v>1032</v>
      </c>
      <c r="P21" s="62">
        <v>0</v>
      </c>
      <c r="Q21" s="64">
        <v>1987300</v>
      </c>
      <c r="R21" s="62">
        <v>10700</v>
      </c>
      <c r="S21" s="64">
        <v>2033500</v>
      </c>
      <c r="T21" s="62">
        <v>12500</v>
      </c>
      <c r="U21" s="64">
        <v>2807854</v>
      </c>
      <c r="V21" s="62">
        <v>1904</v>
      </c>
      <c r="W21" s="64">
        <v>2270555</v>
      </c>
      <c r="X21" s="62">
        <v>402</v>
      </c>
      <c r="Y21" s="64">
        <v>282733</v>
      </c>
      <c r="Z21" s="62">
        <v>259</v>
      </c>
      <c r="AA21" s="133"/>
      <c r="AB21" s="134">
        <v>0.72222222222222221</v>
      </c>
      <c r="AC21" s="66">
        <v>288.88888888888886</v>
      </c>
      <c r="AD21" s="63"/>
      <c r="AE21" s="64">
        <v>177871</v>
      </c>
      <c r="AF21" s="59">
        <v>125</v>
      </c>
      <c r="AG21" s="60">
        <v>488230</v>
      </c>
      <c r="AH21" s="67">
        <v>440</v>
      </c>
      <c r="AI21" s="64">
        <v>1179</v>
      </c>
      <c r="AJ21" s="68">
        <v>0</v>
      </c>
      <c r="AK21" s="64">
        <v>5489</v>
      </c>
      <c r="AL21" s="68">
        <v>3</v>
      </c>
      <c r="AM21" s="19">
        <v>16954</v>
      </c>
      <c r="AN21" s="68">
        <v>324</v>
      </c>
      <c r="AO21" s="19"/>
      <c r="AP21" s="68">
        <v>0</v>
      </c>
      <c r="AQ21" s="64">
        <v>618280</v>
      </c>
      <c r="AR21" s="62">
        <v>100</v>
      </c>
      <c r="AS21" s="76">
        <v>1570</v>
      </c>
      <c r="AT21" s="62">
        <v>0</v>
      </c>
      <c r="AU21" s="64">
        <v>56129</v>
      </c>
      <c r="AV21" s="62">
        <v>27</v>
      </c>
      <c r="AW21" s="60">
        <v>9238</v>
      </c>
      <c r="AX21" s="62">
        <v>1</v>
      </c>
      <c r="AY21" s="64">
        <v>10937</v>
      </c>
      <c r="AZ21" s="62" t="s">
        <v>135</v>
      </c>
      <c r="BA21" s="60">
        <v>18075</v>
      </c>
      <c r="BB21" s="62">
        <v>16</v>
      </c>
      <c r="BC21" s="64">
        <v>20330</v>
      </c>
      <c r="BD21" s="62">
        <v>3</v>
      </c>
      <c r="BE21" s="58">
        <v>21027</v>
      </c>
      <c r="BF21" s="67">
        <v>2</v>
      </c>
      <c r="BG21" s="64">
        <v>14317</v>
      </c>
      <c r="BH21" s="67">
        <v>3</v>
      </c>
      <c r="BI21" s="64">
        <v>6599</v>
      </c>
      <c r="BJ21" s="67">
        <v>1</v>
      </c>
      <c r="BK21" s="64">
        <v>27516</v>
      </c>
      <c r="BL21" s="67">
        <v>6</v>
      </c>
      <c r="BM21" s="64">
        <v>5207</v>
      </c>
      <c r="BN21" s="67">
        <v>4</v>
      </c>
      <c r="BO21" s="64">
        <v>24358</v>
      </c>
      <c r="BP21" s="67">
        <v>68</v>
      </c>
      <c r="BQ21" s="64">
        <v>3641</v>
      </c>
      <c r="BR21" s="67">
        <v>0</v>
      </c>
      <c r="BS21" s="67">
        <v>21</v>
      </c>
      <c r="BT21" s="67">
        <v>79</v>
      </c>
      <c r="BU21" s="64">
        <v>635170</v>
      </c>
      <c r="BV21" s="67">
        <v>227</v>
      </c>
      <c r="BW21" s="64">
        <v>3929</v>
      </c>
      <c r="BX21" s="67">
        <v>15</v>
      </c>
      <c r="BY21" s="64">
        <v>833530</v>
      </c>
      <c r="BZ21" s="67">
        <v>210</v>
      </c>
      <c r="CA21" s="64">
        <v>19321</v>
      </c>
      <c r="CB21" s="67">
        <v>48</v>
      </c>
      <c r="CC21" s="77">
        <v>110</v>
      </c>
      <c r="CD21" s="67">
        <v>437</v>
      </c>
      <c r="CE21" s="78">
        <v>57</v>
      </c>
      <c r="CF21" s="144">
        <v>155</v>
      </c>
      <c r="CG21" s="135">
        <v>20161.856671558693</v>
      </c>
      <c r="CH21" s="80"/>
      <c r="CI21" s="136">
        <v>0</v>
      </c>
      <c r="CJ21" s="64">
        <v>238279</v>
      </c>
      <c r="CK21" s="67">
        <v>187</v>
      </c>
      <c r="CL21" s="77">
        <v>1067.77</v>
      </c>
      <c r="CM21" s="64">
        <v>79</v>
      </c>
      <c r="CN21" s="81">
        <v>8512.25</v>
      </c>
      <c r="CO21" s="64">
        <v>79</v>
      </c>
      <c r="CP21" s="137">
        <v>8512.25</v>
      </c>
      <c r="CQ21" s="64">
        <v>79</v>
      </c>
      <c r="CR21" s="138">
        <v>8512.25</v>
      </c>
      <c r="CS21" s="139">
        <v>25536.75</v>
      </c>
      <c r="CT21" s="82">
        <v>614</v>
      </c>
      <c r="CU21" s="64"/>
      <c r="CV21" s="64">
        <v>41709</v>
      </c>
      <c r="CW21" s="67">
        <v>33</v>
      </c>
      <c r="CX21" s="77">
        <v>188.43</v>
      </c>
      <c r="CY21" s="64">
        <v>35291</v>
      </c>
      <c r="CZ21" s="67">
        <v>5</v>
      </c>
      <c r="DA21" s="77">
        <v>28.55</v>
      </c>
      <c r="DB21" s="64">
        <v>13224</v>
      </c>
      <c r="DC21" s="67">
        <v>16</v>
      </c>
      <c r="DD21" s="77">
        <v>91.36</v>
      </c>
      <c r="DE21" s="64">
        <v>843670</v>
      </c>
      <c r="DF21" s="67">
        <v>72</v>
      </c>
      <c r="DG21" s="77">
        <v>411.12</v>
      </c>
      <c r="DH21" s="64">
        <v>8746</v>
      </c>
      <c r="DI21" s="67">
        <v>21</v>
      </c>
      <c r="DJ21" s="77">
        <v>119.91</v>
      </c>
      <c r="DK21" s="64">
        <v>9137</v>
      </c>
      <c r="DL21" s="67">
        <v>10</v>
      </c>
      <c r="DM21" s="77">
        <v>57.1</v>
      </c>
      <c r="DN21" s="64">
        <v>5469</v>
      </c>
      <c r="DO21" s="67">
        <v>9</v>
      </c>
      <c r="DP21" s="77">
        <v>51.39</v>
      </c>
      <c r="DQ21" s="64">
        <v>2114</v>
      </c>
      <c r="DR21" s="67">
        <v>2</v>
      </c>
      <c r="DS21" s="77">
        <v>11.42</v>
      </c>
      <c r="DT21" s="64">
        <v>6510</v>
      </c>
      <c r="DU21" s="67">
        <v>9</v>
      </c>
      <c r="DV21" s="77">
        <v>51.39</v>
      </c>
      <c r="DW21" s="64">
        <v>6000</v>
      </c>
      <c r="DX21" s="67">
        <v>13</v>
      </c>
      <c r="DY21" s="77">
        <v>74.23</v>
      </c>
      <c r="DZ21" s="64">
        <v>6746</v>
      </c>
      <c r="EA21" s="67">
        <v>9</v>
      </c>
      <c r="EB21" s="77">
        <v>51.39</v>
      </c>
      <c r="EC21" s="64">
        <v>6703</v>
      </c>
      <c r="ED21" s="67">
        <v>10</v>
      </c>
      <c r="EE21" s="77">
        <v>57.1</v>
      </c>
      <c r="EF21" s="79"/>
      <c r="EG21" s="77">
        <v>0</v>
      </c>
      <c r="EH21" s="79"/>
      <c r="EI21" s="77">
        <v>0</v>
      </c>
      <c r="EJ21" s="84"/>
      <c r="EK21" s="77">
        <v>0</v>
      </c>
      <c r="EL21" s="84"/>
      <c r="EM21" s="77">
        <v>0</v>
      </c>
      <c r="EN21" s="84"/>
      <c r="EO21" s="85"/>
      <c r="EP21" s="140">
        <v>0.47249999999999998</v>
      </c>
      <c r="EQ21" s="86"/>
      <c r="ER21" s="84"/>
      <c r="ES21" s="85"/>
      <c r="ET21" s="88"/>
      <c r="EU21" s="88"/>
      <c r="EV21" s="88"/>
    </row>
    <row r="22" spans="1:157" s="20" customFormat="1" ht="15.75" thickBot="1" x14ac:dyDescent="0.25">
      <c r="A22" s="57">
        <v>44639</v>
      </c>
      <c r="B22" s="64">
        <v>1821318</v>
      </c>
      <c r="C22" s="59">
        <v>26774</v>
      </c>
      <c r="D22" s="64">
        <v>858174</v>
      </c>
      <c r="E22" s="59">
        <v>25314</v>
      </c>
      <c r="F22" s="90">
        <v>0.94546948532158059</v>
      </c>
      <c r="G22" s="60">
        <v>1318</v>
      </c>
      <c r="H22" s="60">
        <v>1364</v>
      </c>
      <c r="I22" s="61">
        <v>291720</v>
      </c>
      <c r="J22" s="62">
        <v>0</v>
      </c>
      <c r="K22" s="63">
        <v>801</v>
      </c>
      <c r="L22" s="59">
        <v>0</v>
      </c>
      <c r="M22" s="64">
        <v>644665</v>
      </c>
      <c r="N22" s="62">
        <v>0</v>
      </c>
      <c r="O22" s="64">
        <v>1032</v>
      </c>
      <c r="P22" s="62">
        <v>0</v>
      </c>
      <c r="Q22" s="64">
        <v>1998000</v>
      </c>
      <c r="R22" s="62">
        <v>10700</v>
      </c>
      <c r="S22" s="64">
        <v>2045800</v>
      </c>
      <c r="T22" s="62">
        <v>12300</v>
      </c>
      <c r="U22" s="64">
        <v>2809281</v>
      </c>
      <c r="V22" s="62">
        <v>1427</v>
      </c>
      <c r="W22" s="64">
        <v>2270959</v>
      </c>
      <c r="X22" s="62">
        <v>404</v>
      </c>
      <c r="Y22" s="64">
        <v>282992</v>
      </c>
      <c r="Z22" s="62">
        <v>259</v>
      </c>
      <c r="AA22" s="133"/>
      <c r="AB22" s="134">
        <v>0.77777777777777779</v>
      </c>
      <c r="AC22" s="66">
        <v>311.11111111111114</v>
      </c>
      <c r="AD22" s="63">
        <v>12</v>
      </c>
      <c r="AE22" s="64">
        <v>177996</v>
      </c>
      <c r="AF22" s="59">
        <v>125</v>
      </c>
      <c r="AG22" s="60">
        <v>488710</v>
      </c>
      <c r="AH22" s="67">
        <v>480</v>
      </c>
      <c r="AI22" s="64">
        <v>1179</v>
      </c>
      <c r="AJ22" s="68">
        <v>0</v>
      </c>
      <c r="AK22" s="64">
        <v>5489</v>
      </c>
      <c r="AL22" s="68">
        <v>0</v>
      </c>
      <c r="AM22" s="19">
        <v>17133</v>
      </c>
      <c r="AN22" s="68">
        <v>179</v>
      </c>
      <c r="AO22" s="19"/>
      <c r="AP22" s="68">
        <v>0</v>
      </c>
      <c r="AQ22" s="64">
        <v>618420</v>
      </c>
      <c r="AR22" s="62">
        <v>140</v>
      </c>
      <c r="AS22" s="76">
        <v>1571</v>
      </c>
      <c r="AT22" s="62">
        <v>1</v>
      </c>
      <c r="AU22" s="64">
        <v>56176</v>
      </c>
      <c r="AV22" s="62">
        <v>47</v>
      </c>
      <c r="AW22" s="60">
        <v>9239</v>
      </c>
      <c r="AX22" s="62">
        <v>1</v>
      </c>
      <c r="AY22" s="64">
        <v>10938</v>
      </c>
      <c r="AZ22" s="62">
        <v>1</v>
      </c>
      <c r="BA22" s="60">
        <v>18080</v>
      </c>
      <c r="BB22" s="62">
        <v>5</v>
      </c>
      <c r="BC22" s="64">
        <v>20332</v>
      </c>
      <c r="BD22" s="62">
        <v>2</v>
      </c>
      <c r="BE22" s="58">
        <v>21029</v>
      </c>
      <c r="BF22" s="67">
        <v>2</v>
      </c>
      <c r="BG22" s="64">
        <v>14318</v>
      </c>
      <c r="BH22" s="67">
        <v>1</v>
      </c>
      <c r="BI22" s="64">
        <v>6599</v>
      </c>
      <c r="BJ22" s="67">
        <v>0</v>
      </c>
      <c r="BK22" s="64">
        <v>27527</v>
      </c>
      <c r="BL22" s="67">
        <v>11</v>
      </c>
      <c r="BM22" s="64">
        <v>5213</v>
      </c>
      <c r="BN22" s="67">
        <v>6</v>
      </c>
      <c r="BO22" s="64">
        <v>24429</v>
      </c>
      <c r="BP22" s="67">
        <v>71</v>
      </c>
      <c r="BQ22" s="64">
        <v>3641</v>
      </c>
      <c r="BR22" s="67">
        <v>0</v>
      </c>
      <c r="BS22" s="67">
        <v>8</v>
      </c>
      <c r="BT22" s="67">
        <v>132</v>
      </c>
      <c r="BU22" s="64">
        <v>635440</v>
      </c>
      <c r="BV22" s="67">
        <v>270</v>
      </c>
      <c r="BW22" s="64">
        <v>3952</v>
      </c>
      <c r="BX22" s="67">
        <v>23</v>
      </c>
      <c r="BY22" s="64">
        <v>833720</v>
      </c>
      <c r="BZ22" s="67">
        <v>190</v>
      </c>
      <c r="CA22" s="64">
        <v>19371</v>
      </c>
      <c r="CB22" s="67">
        <v>50</v>
      </c>
      <c r="CC22" s="77">
        <v>50</v>
      </c>
      <c r="CD22" s="67">
        <v>460</v>
      </c>
      <c r="CE22" s="78">
        <v>65</v>
      </c>
      <c r="CF22" s="58">
        <v>155</v>
      </c>
      <c r="CG22" s="135">
        <v>20161.856671558693</v>
      </c>
      <c r="CH22" s="80"/>
      <c r="CI22" s="136">
        <v>0</v>
      </c>
      <c r="CJ22" s="64">
        <v>238521</v>
      </c>
      <c r="CK22" s="67">
        <v>242</v>
      </c>
      <c r="CL22" s="77">
        <v>1381.82</v>
      </c>
      <c r="CM22" s="64">
        <v>74</v>
      </c>
      <c r="CN22" s="81">
        <v>7973.5</v>
      </c>
      <c r="CO22" s="64">
        <v>76</v>
      </c>
      <c r="CP22" s="137">
        <v>8189</v>
      </c>
      <c r="CQ22" s="64">
        <v>74</v>
      </c>
      <c r="CR22" s="138">
        <v>7973.5</v>
      </c>
      <c r="CS22" s="139">
        <v>24136</v>
      </c>
      <c r="CT22" s="82">
        <v>1400.75</v>
      </c>
      <c r="CU22" s="64"/>
      <c r="CV22" s="64">
        <v>41748</v>
      </c>
      <c r="CW22" s="67">
        <v>39</v>
      </c>
      <c r="CX22" s="77">
        <v>222.69</v>
      </c>
      <c r="CY22" s="64">
        <v>35291</v>
      </c>
      <c r="CZ22" s="67">
        <v>0</v>
      </c>
      <c r="DA22" s="77">
        <v>0</v>
      </c>
      <c r="DB22" s="64">
        <v>13241</v>
      </c>
      <c r="DC22" s="67">
        <v>17</v>
      </c>
      <c r="DD22" s="77">
        <v>97.07</v>
      </c>
      <c r="DE22" s="64">
        <v>843767</v>
      </c>
      <c r="DF22" s="67">
        <v>97</v>
      </c>
      <c r="DG22" s="77">
        <v>553.87</v>
      </c>
      <c r="DH22" s="64">
        <v>8774</v>
      </c>
      <c r="DI22" s="67">
        <v>28</v>
      </c>
      <c r="DJ22" s="77">
        <v>159.88</v>
      </c>
      <c r="DK22" s="64">
        <v>9147</v>
      </c>
      <c r="DL22" s="67">
        <v>10</v>
      </c>
      <c r="DM22" s="77">
        <v>57.1</v>
      </c>
      <c r="DN22" s="64">
        <v>5478</v>
      </c>
      <c r="DO22" s="67">
        <v>9</v>
      </c>
      <c r="DP22" s="77">
        <v>51.39</v>
      </c>
      <c r="DQ22" s="64">
        <v>2115</v>
      </c>
      <c r="DR22" s="67">
        <v>1</v>
      </c>
      <c r="DS22" s="77">
        <v>5.71</v>
      </c>
      <c r="DT22" s="64">
        <v>6521</v>
      </c>
      <c r="DU22" s="67">
        <v>11</v>
      </c>
      <c r="DV22" s="77">
        <v>62.81</v>
      </c>
      <c r="DW22" s="64">
        <v>6014</v>
      </c>
      <c r="DX22" s="67">
        <v>14</v>
      </c>
      <c r="DY22" s="77">
        <v>79.94</v>
      </c>
      <c r="DZ22" s="64">
        <v>6755</v>
      </c>
      <c r="EA22" s="67">
        <v>9</v>
      </c>
      <c r="EB22" s="77">
        <v>51.39</v>
      </c>
      <c r="EC22" s="64">
        <v>6714</v>
      </c>
      <c r="ED22" s="67">
        <v>11</v>
      </c>
      <c r="EE22" s="77">
        <v>62.81</v>
      </c>
      <c r="EF22" s="79"/>
      <c r="EG22" s="77">
        <v>0</v>
      </c>
      <c r="EH22" s="79"/>
      <c r="EI22" s="77">
        <v>0</v>
      </c>
      <c r="EJ22" s="84"/>
      <c r="EK22" s="77">
        <v>0</v>
      </c>
      <c r="EL22" s="84"/>
      <c r="EM22" s="77">
        <v>0</v>
      </c>
      <c r="EN22" s="84"/>
      <c r="EO22" s="85"/>
      <c r="EP22" s="140">
        <v>0.50549999999999995</v>
      </c>
      <c r="EQ22" s="86"/>
      <c r="ER22" s="84"/>
      <c r="ES22" s="85"/>
      <c r="ET22" s="88"/>
      <c r="EU22" s="88"/>
      <c r="EV22" s="88"/>
    </row>
    <row r="23" spans="1:157" s="20" customFormat="1" ht="15.75" thickBot="1" x14ac:dyDescent="0.25">
      <c r="A23" s="57">
        <v>44640</v>
      </c>
      <c r="B23" s="64">
        <v>1845824</v>
      </c>
      <c r="C23" s="59">
        <v>24506</v>
      </c>
      <c r="D23" s="64">
        <v>881408</v>
      </c>
      <c r="E23" s="59">
        <v>23234</v>
      </c>
      <c r="F23" s="90">
        <v>0.94809434424222638</v>
      </c>
      <c r="G23" s="60">
        <v>1318</v>
      </c>
      <c r="H23" s="60">
        <v>1364</v>
      </c>
      <c r="I23" s="61">
        <v>291720</v>
      </c>
      <c r="J23" s="62">
        <v>0</v>
      </c>
      <c r="K23" s="63">
        <v>801</v>
      </c>
      <c r="L23" s="59">
        <v>0</v>
      </c>
      <c r="M23" s="64">
        <v>644665</v>
      </c>
      <c r="N23" s="62">
        <v>0</v>
      </c>
      <c r="O23" s="64">
        <v>1032</v>
      </c>
      <c r="P23" s="62">
        <v>0</v>
      </c>
      <c r="Q23" s="64">
        <v>2008100</v>
      </c>
      <c r="R23" s="62">
        <v>10100</v>
      </c>
      <c r="S23" s="64">
        <v>2048100</v>
      </c>
      <c r="T23" s="62">
        <v>2300</v>
      </c>
      <c r="U23" s="64">
        <v>2810215</v>
      </c>
      <c r="V23" s="62">
        <v>934</v>
      </c>
      <c r="W23" s="64">
        <v>2271374</v>
      </c>
      <c r="X23" s="62">
        <v>415</v>
      </c>
      <c r="Y23" s="64">
        <v>283292</v>
      </c>
      <c r="Z23" s="62">
        <v>300</v>
      </c>
      <c r="AA23" s="133"/>
      <c r="AB23" s="134">
        <v>0.94444444444444442</v>
      </c>
      <c r="AC23" s="66">
        <v>377.77777777777777</v>
      </c>
      <c r="AD23" s="63"/>
      <c r="AE23" s="64">
        <v>178239</v>
      </c>
      <c r="AF23" s="59">
        <v>243</v>
      </c>
      <c r="AG23" s="60">
        <v>489150</v>
      </c>
      <c r="AH23" s="67">
        <v>440</v>
      </c>
      <c r="AI23" s="64">
        <v>1180</v>
      </c>
      <c r="AJ23" s="68">
        <v>1</v>
      </c>
      <c r="AK23" s="64">
        <v>5491</v>
      </c>
      <c r="AL23" s="68">
        <v>2</v>
      </c>
      <c r="AM23" s="19">
        <v>17568</v>
      </c>
      <c r="AN23" s="68">
        <v>435</v>
      </c>
      <c r="AO23" s="19"/>
      <c r="AP23" s="68">
        <v>0</v>
      </c>
      <c r="AQ23" s="64">
        <v>618570</v>
      </c>
      <c r="AR23" s="62">
        <v>150</v>
      </c>
      <c r="AS23" s="76">
        <v>1572</v>
      </c>
      <c r="AT23" s="62">
        <v>1</v>
      </c>
      <c r="AU23" s="64">
        <v>56206</v>
      </c>
      <c r="AV23" s="62">
        <v>30</v>
      </c>
      <c r="AW23" s="60">
        <v>9239</v>
      </c>
      <c r="AX23" s="62">
        <v>0</v>
      </c>
      <c r="AY23" s="64">
        <v>10938</v>
      </c>
      <c r="AZ23" s="62">
        <v>0</v>
      </c>
      <c r="BA23" s="60">
        <v>18103</v>
      </c>
      <c r="BB23" s="62">
        <v>23</v>
      </c>
      <c r="BC23" s="64">
        <v>20338</v>
      </c>
      <c r="BD23" s="62">
        <v>6</v>
      </c>
      <c r="BE23" s="58">
        <v>21031</v>
      </c>
      <c r="BF23" s="67">
        <v>2</v>
      </c>
      <c r="BG23" s="64">
        <v>14320</v>
      </c>
      <c r="BH23" s="67">
        <v>2</v>
      </c>
      <c r="BI23" s="64">
        <v>6600</v>
      </c>
      <c r="BJ23" s="67">
        <v>1</v>
      </c>
      <c r="BK23" s="64">
        <v>27536</v>
      </c>
      <c r="BL23" s="67">
        <v>9</v>
      </c>
      <c r="BM23" s="64">
        <v>5217</v>
      </c>
      <c r="BN23" s="67">
        <v>4</v>
      </c>
      <c r="BO23" s="64">
        <v>24485</v>
      </c>
      <c r="BP23" s="67">
        <v>56</v>
      </c>
      <c r="BQ23" s="64">
        <v>3641</v>
      </c>
      <c r="BR23" s="67">
        <v>0</v>
      </c>
      <c r="BS23" s="67">
        <v>27</v>
      </c>
      <c r="BT23" s="67">
        <v>123</v>
      </c>
      <c r="BU23" s="64">
        <v>635650</v>
      </c>
      <c r="BV23" s="67">
        <v>210</v>
      </c>
      <c r="BW23" s="64">
        <v>3970</v>
      </c>
      <c r="BX23" s="67">
        <v>18</v>
      </c>
      <c r="BY23" s="64">
        <v>833930</v>
      </c>
      <c r="BZ23" s="67">
        <v>210</v>
      </c>
      <c r="CA23" s="64">
        <v>19420</v>
      </c>
      <c r="CB23" s="67">
        <v>49</v>
      </c>
      <c r="CC23" s="77">
        <v>60</v>
      </c>
      <c r="CD23" s="67">
        <v>420</v>
      </c>
      <c r="CE23" s="78">
        <v>68</v>
      </c>
      <c r="CF23" s="58">
        <v>155</v>
      </c>
      <c r="CG23" s="135">
        <v>20161.856671558693</v>
      </c>
      <c r="CH23" s="80"/>
      <c r="CI23" s="136">
        <v>0</v>
      </c>
      <c r="CJ23" s="64">
        <v>238700</v>
      </c>
      <c r="CK23" s="67">
        <v>179</v>
      </c>
      <c r="CL23" s="77">
        <v>1022.09</v>
      </c>
      <c r="CM23" s="64">
        <v>70</v>
      </c>
      <c r="CN23" s="81">
        <v>7542.5</v>
      </c>
      <c r="CO23" s="64">
        <v>72</v>
      </c>
      <c r="CP23" s="137">
        <v>7758</v>
      </c>
      <c r="CQ23" s="64">
        <v>70</v>
      </c>
      <c r="CR23" s="138">
        <v>7542.5</v>
      </c>
      <c r="CS23" s="139">
        <v>22843</v>
      </c>
      <c r="CT23" s="82">
        <v>1293</v>
      </c>
      <c r="CU23" s="64"/>
      <c r="CV23" s="64">
        <v>41788</v>
      </c>
      <c r="CW23" s="67">
        <v>40</v>
      </c>
      <c r="CX23" s="77">
        <v>228.4</v>
      </c>
      <c r="CY23" s="64">
        <v>35297</v>
      </c>
      <c r="CZ23" s="67">
        <v>6</v>
      </c>
      <c r="DA23" s="77">
        <v>34.26</v>
      </c>
      <c r="DB23" s="64">
        <v>13254</v>
      </c>
      <c r="DC23" s="67">
        <v>13</v>
      </c>
      <c r="DD23" s="77">
        <v>74.23</v>
      </c>
      <c r="DE23" s="64">
        <v>843839</v>
      </c>
      <c r="DF23" s="67">
        <v>72</v>
      </c>
      <c r="DG23" s="77">
        <v>411.12</v>
      </c>
      <c r="DH23" s="64">
        <v>8801</v>
      </c>
      <c r="DI23" s="67">
        <v>27</v>
      </c>
      <c r="DJ23" s="77">
        <v>154.16999999999999</v>
      </c>
      <c r="DK23" s="64">
        <v>9157</v>
      </c>
      <c r="DL23" s="67">
        <v>10</v>
      </c>
      <c r="DM23" s="77">
        <v>57.1</v>
      </c>
      <c r="DN23" s="64">
        <v>5486</v>
      </c>
      <c r="DO23" s="67">
        <v>8</v>
      </c>
      <c r="DP23" s="77">
        <v>45.68</v>
      </c>
      <c r="DQ23" s="64">
        <v>2116</v>
      </c>
      <c r="DR23" s="67">
        <v>1</v>
      </c>
      <c r="DS23" s="77">
        <v>5.71</v>
      </c>
      <c r="DT23" s="64">
        <v>6529</v>
      </c>
      <c r="DU23" s="67">
        <v>8</v>
      </c>
      <c r="DV23" s="77">
        <v>45.68</v>
      </c>
      <c r="DW23" s="64">
        <v>6025</v>
      </c>
      <c r="DX23" s="67">
        <v>11</v>
      </c>
      <c r="DY23" s="77">
        <v>62.81</v>
      </c>
      <c r="DZ23" s="64">
        <v>6764</v>
      </c>
      <c r="EA23" s="67">
        <v>9</v>
      </c>
      <c r="EB23" s="77">
        <v>51.39</v>
      </c>
      <c r="EC23" s="64">
        <v>6725</v>
      </c>
      <c r="ED23" s="67">
        <v>11</v>
      </c>
      <c r="EE23" s="77">
        <v>62.81</v>
      </c>
      <c r="EF23" s="79"/>
      <c r="EG23" s="77">
        <v>0</v>
      </c>
      <c r="EH23" s="79"/>
      <c r="EI23" s="77">
        <v>0</v>
      </c>
      <c r="EJ23" s="84"/>
      <c r="EK23" s="77">
        <v>0</v>
      </c>
      <c r="EL23" s="84"/>
      <c r="EM23" s="77">
        <v>0</v>
      </c>
      <c r="EN23" s="84"/>
      <c r="EO23" s="85"/>
      <c r="EP23" s="140">
        <v>0.51649999999999996</v>
      </c>
      <c r="EQ23" s="86"/>
      <c r="ER23" s="84"/>
      <c r="ES23" s="85"/>
      <c r="ET23" s="88"/>
      <c r="EU23" s="88"/>
      <c r="EV23" s="88"/>
    </row>
    <row r="24" spans="1:157" s="20" customFormat="1" ht="15.75" thickBot="1" x14ac:dyDescent="0.25">
      <c r="A24" s="57">
        <v>44641</v>
      </c>
      <c r="B24" s="66">
        <v>1871699</v>
      </c>
      <c r="C24" s="59">
        <v>25875</v>
      </c>
      <c r="D24" s="64">
        <v>906022</v>
      </c>
      <c r="E24" s="59">
        <v>24614</v>
      </c>
      <c r="F24" s="90">
        <v>0.95126570048309178</v>
      </c>
      <c r="G24" s="60">
        <v>1318</v>
      </c>
      <c r="H24" s="60">
        <v>1364</v>
      </c>
      <c r="I24" s="61">
        <v>291720</v>
      </c>
      <c r="J24" s="62">
        <v>0</v>
      </c>
      <c r="K24" s="63">
        <v>801</v>
      </c>
      <c r="L24" s="59">
        <v>0</v>
      </c>
      <c r="M24" s="64">
        <v>644665</v>
      </c>
      <c r="N24" s="62">
        <v>0</v>
      </c>
      <c r="O24" s="64">
        <v>1032</v>
      </c>
      <c r="P24" s="62">
        <v>0</v>
      </c>
      <c r="Q24" s="64">
        <v>2018900</v>
      </c>
      <c r="R24" s="62">
        <v>10800</v>
      </c>
      <c r="S24" s="64">
        <v>2063000</v>
      </c>
      <c r="T24" s="62">
        <v>14900</v>
      </c>
      <c r="U24" s="64">
        <v>2811732</v>
      </c>
      <c r="V24" s="62">
        <v>1517</v>
      </c>
      <c r="W24" s="64">
        <v>2271796</v>
      </c>
      <c r="X24" s="62">
        <v>422</v>
      </c>
      <c r="Y24" s="64">
        <v>283493</v>
      </c>
      <c r="Z24" s="62">
        <v>201</v>
      </c>
      <c r="AA24" s="133"/>
      <c r="AB24" s="134">
        <v>0.69444444444444442</v>
      </c>
      <c r="AC24" s="66">
        <v>277.77777777777777</v>
      </c>
      <c r="AD24" s="63"/>
      <c r="AE24" s="64">
        <v>178239</v>
      </c>
      <c r="AF24" s="59">
        <v>0</v>
      </c>
      <c r="AG24" s="60">
        <v>489570</v>
      </c>
      <c r="AH24" s="67">
        <v>420</v>
      </c>
      <c r="AI24" s="64">
        <v>1182</v>
      </c>
      <c r="AJ24" s="68">
        <v>2</v>
      </c>
      <c r="AK24" s="64">
        <v>5491</v>
      </c>
      <c r="AL24" s="68">
        <v>0</v>
      </c>
      <c r="AM24" s="19">
        <v>17808</v>
      </c>
      <c r="AN24" s="68">
        <v>240</v>
      </c>
      <c r="AO24" s="19"/>
      <c r="AP24" s="68">
        <v>0</v>
      </c>
      <c r="AQ24" s="64">
        <v>618700</v>
      </c>
      <c r="AR24" s="62">
        <v>130</v>
      </c>
      <c r="AS24" s="76">
        <v>1572</v>
      </c>
      <c r="AT24" s="62">
        <v>0</v>
      </c>
      <c r="AU24" s="64">
        <v>56235</v>
      </c>
      <c r="AV24" s="62">
        <v>29</v>
      </c>
      <c r="AW24" s="60">
        <v>9239</v>
      </c>
      <c r="AX24" s="62">
        <v>0</v>
      </c>
      <c r="AY24" s="64">
        <v>10939</v>
      </c>
      <c r="AZ24" s="62">
        <v>1</v>
      </c>
      <c r="BA24" s="60">
        <v>18116</v>
      </c>
      <c r="BB24" s="62">
        <v>13</v>
      </c>
      <c r="BC24" s="64">
        <v>20341</v>
      </c>
      <c r="BD24" s="62">
        <v>3</v>
      </c>
      <c r="BE24" s="58">
        <v>21033</v>
      </c>
      <c r="BF24" s="67">
        <v>2</v>
      </c>
      <c r="BG24" s="64">
        <v>14321</v>
      </c>
      <c r="BH24" s="67">
        <v>1</v>
      </c>
      <c r="BI24" s="64">
        <v>6600</v>
      </c>
      <c r="BJ24" s="67">
        <v>0</v>
      </c>
      <c r="BK24" s="64">
        <v>27543</v>
      </c>
      <c r="BL24" s="67">
        <v>7</v>
      </c>
      <c r="BM24" s="64">
        <v>5223</v>
      </c>
      <c r="BN24" s="67">
        <v>6</v>
      </c>
      <c r="BO24" s="64">
        <v>24544</v>
      </c>
      <c r="BP24" s="67">
        <v>59</v>
      </c>
      <c r="BQ24" s="64">
        <v>3641</v>
      </c>
      <c r="BR24" s="67">
        <v>0</v>
      </c>
      <c r="BS24" s="67">
        <v>16</v>
      </c>
      <c r="BT24" s="67">
        <v>114</v>
      </c>
      <c r="BU24" s="64">
        <v>635870</v>
      </c>
      <c r="BV24" s="67">
        <v>220</v>
      </c>
      <c r="BW24" s="64">
        <v>3988</v>
      </c>
      <c r="BX24" s="67">
        <v>18</v>
      </c>
      <c r="BY24" s="64">
        <v>834120</v>
      </c>
      <c r="BZ24" s="67">
        <v>190</v>
      </c>
      <c r="CA24" s="64">
        <v>19471</v>
      </c>
      <c r="CB24" s="67">
        <v>51</v>
      </c>
      <c r="CC24" s="77">
        <v>60</v>
      </c>
      <c r="CD24" s="67">
        <v>410</v>
      </c>
      <c r="CE24" s="78">
        <v>55</v>
      </c>
      <c r="CF24" s="58">
        <v>155</v>
      </c>
      <c r="CG24" s="135">
        <v>20161.856671558693</v>
      </c>
      <c r="CH24" s="80"/>
      <c r="CI24" s="136">
        <v>0</v>
      </c>
      <c r="CJ24" s="64">
        <v>238911</v>
      </c>
      <c r="CK24" s="67">
        <v>211</v>
      </c>
      <c r="CL24" s="77">
        <v>1204.81</v>
      </c>
      <c r="CM24" s="64">
        <v>69</v>
      </c>
      <c r="CN24" s="81">
        <v>7434.75</v>
      </c>
      <c r="CO24" s="64">
        <v>66</v>
      </c>
      <c r="CP24" s="137">
        <v>7111.5</v>
      </c>
      <c r="CQ24" s="64">
        <v>67</v>
      </c>
      <c r="CR24" s="138">
        <v>7219.25</v>
      </c>
      <c r="CS24" s="139">
        <v>21765.5</v>
      </c>
      <c r="CT24" s="82">
        <v>1077.5</v>
      </c>
      <c r="CU24" s="64"/>
      <c r="CV24" s="64">
        <v>41814</v>
      </c>
      <c r="CW24" s="67">
        <v>26</v>
      </c>
      <c r="CX24" s="77">
        <v>148.46</v>
      </c>
      <c r="CY24" s="64">
        <v>35303</v>
      </c>
      <c r="CZ24" s="67">
        <v>6</v>
      </c>
      <c r="DA24" s="77">
        <v>34.26</v>
      </c>
      <c r="DB24" s="64">
        <v>13272</v>
      </c>
      <c r="DC24" s="67">
        <v>18</v>
      </c>
      <c r="DD24" s="77">
        <v>102.78</v>
      </c>
      <c r="DE24" s="64">
        <v>843899</v>
      </c>
      <c r="DF24" s="67">
        <v>60</v>
      </c>
      <c r="DG24" s="77">
        <v>342.6</v>
      </c>
      <c r="DH24" s="64">
        <v>8824</v>
      </c>
      <c r="DI24" s="67">
        <v>23</v>
      </c>
      <c r="DJ24" s="77">
        <v>131.33000000000001</v>
      </c>
      <c r="DK24" s="64">
        <v>9167</v>
      </c>
      <c r="DL24" s="67">
        <v>10</v>
      </c>
      <c r="DM24" s="77">
        <v>57.1</v>
      </c>
      <c r="DN24" s="64">
        <v>5494</v>
      </c>
      <c r="DO24" s="67">
        <v>8</v>
      </c>
      <c r="DP24" s="77">
        <v>45.68</v>
      </c>
      <c r="DQ24" s="64">
        <v>2118</v>
      </c>
      <c r="DR24" s="67">
        <v>2</v>
      </c>
      <c r="DS24" s="77">
        <v>11.42</v>
      </c>
      <c r="DT24" s="64">
        <v>6538</v>
      </c>
      <c r="DU24" s="67">
        <v>9</v>
      </c>
      <c r="DV24" s="77">
        <v>51.39</v>
      </c>
      <c r="DW24" s="64">
        <v>6037</v>
      </c>
      <c r="DX24" s="67">
        <v>12</v>
      </c>
      <c r="DY24" s="77">
        <v>68.52</v>
      </c>
      <c r="DZ24" s="64">
        <v>6773</v>
      </c>
      <c r="EA24" s="67">
        <v>9</v>
      </c>
      <c r="EB24" s="77">
        <v>51.39</v>
      </c>
      <c r="EC24" s="64">
        <v>6736</v>
      </c>
      <c r="ED24" s="67">
        <v>11</v>
      </c>
      <c r="EE24" s="77">
        <v>62.81</v>
      </c>
      <c r="EF24" s="79"/>
      <c r="EG24" s="77">
        <v>0</v>
      </c>
      <c r="EH24" s="79"/>
      <c r="EI24" s="77">
        <v>0</v>
      </c>
      <c r="EJ24" s="84"/>
      <c r="EK24" s="77">
        <v>0</v>
      </c>
      <c r="EL24" s="84"/>
      <c r="EM24" s="77">
        <v>0</v>
      </c>
      <c r="EN24" s="84"/>
      <c r="EO24" s="85"/>
      <c r="EP24" s="140">
        <v>0.54949999999999999</v>
      </c>
      <c r="EQ24" s="86"/>
      <c r="ER24" s="84"/>
      <c r="ES24" s="85"/>
      <c r="ET24" s="88"/>
      <c r="EU24" s="88"/>
      <c r="EV24" s="88"/>
    </row>
    <row r="25" spans="1:157" s="20" customFormat="1" ht="15.75" thickBot="1" x14ac:dyDescent="0.25">
      <c r="A25" s="57">
        <v>44642</v>
      </c>
      <c r="B25" s="64">
        <v>1896644</v>
      </c>
      <c r="C25" s="59">
        <v>24945</v>
      </c>
      <c r="D25" s="64">
        <v>929902</v>
      </c>
      <c r="E25" s="59">
        <v>23880</v>
      </c>
      <c r="F25" s="90">
        <v>0.95730607336139506</v>
      </c>
      <c r="G25" s="60">
        <v>1318</v>
      </c>
      <c r="H25" s="60">
        <v>1364</v>
      </c>
      <c r="I25" s="61">
        <v>291720</v>
      </c>
      <c r="J25" s="62">
        <v>0</v>
      </c>
      <c r="K25" s="63">
        <v>801</v>
      </c>
      <c r="L25" s="59">
        <v>0</v>
      </c>
      <c r="M25" s="64">
        <v>644665</v>
      </c>
      <c r="N25" s="62">
        <v>0</v>
      </c>
      <c r="O25" s="64">
        <v>1032</v>
      </c>
      <c r="P25" s="62">
        <v>0</v>
      </c>
      <c r="Q25" s="64">
        <v>2028900</v>
      </c>
      <c r="R25" s="62">
        <v>10000</v>
      </c>
      <c r="S25" s="64">
        <v>2080000</v>
      </c>
      <c r="T25" s="62">
        <v>17000</v>
      </c>
      <c r="U25" s="64">
        <v>2813915</v>
      </c>
      <c r="V25" s="62">
        <v>2183</v>
      </c>
      <c r="W25" s="64">
        <v>2272213</v>
      </c>
      <c r="X25" s="62">
        <v>417</v>
      </c>
      <c r="Y25" s="64">
        <v>283592</v>
      </c>
      <c r="Z25" s="62">
        <v>99</v>
      </c>
      <c r="AA25" s="133"/>
      <c r="AB25" s="134">
        <v>0.66666666666666663</v>
      </c>
      <c r="AC25" s="66">
        <v>266.66666666666663</v>
      </c>
      <c r="AD25" s="63"/>
      <c r="AE25" s="64">
        <v>178430</v>
      </c>
      <c r="AF25" s="59">
        <v>191</v>
      </c>
      <c r="AG25" s="60">
        <v>489960</v>
      </c>
      <c r="AH25" s="67">
        <v>390</v>
      </c>
      <c r="AI25" s="64">
        <v>1182</v>
      </c>
      <c r="AJ25" s="68">
        <v>0</v>
      </c>
      <c r="AK25" s="64">
        <v>5491</v>
      </c>
      <c r="AL25" s="68">
        <v>0</v>
      </c>
      <c r="AM25" s="19">
        <v>17927</v>
      </c>
      <c r="AN25" s="68">
        <v>119</v>
      </c>
      <c r="AO25" s="19"/>
      <c r="AP25" s="68">
        <v>0</v>
      </c>
      <c r="AQ25" s="64">
        <v>618840</v>
      </c>
      <c r="AR25" s="62">
        <v>140</v>
      </c>
      <c r="AS25" s="76">
        <v>1573</v>
      </c>
      <c r="AT25" s="62">
        <v>1</v>
      </c>
      <c r="AU25" s="64">
        <v>56238</v>
      </c>
      <c r="AV25" s="62">
        <v>3</v>
      </c>
      <c r="AW25" s="60">
        <v>9240</v>
      </c>
      <c r="AX25" s="62">
        <v>1</v>
      </c>
      <c r="AY25" s="64">
        <v>10940</v>
      </c>
      <c r="AZ25" s="62">
        <v>1</v>
      </c>
      <c r="BA25" s="60">
        <v>18129</v>
      </c>
      <c r="BB25" s="62">
        <v>13</v>
      </c>
      <c r="BC25" s="64">
        <v>20346</v>
      </c>
      <c r="BD25" s="62">
        <v>5</v>
      </c>
      <c r="BE25" s="58">
        <v>21035</v>
      </c>
      <c r="BF25" s="67">
        <v>2</v>
      </c>
      <c r="BG25" s="64">
        <v>14322</v>
      </c>
      <c r="BH25" s="67">
        <v>1</v>
      </c>
      <c r="BI25" s="64">
        <v>6601</v>
      </c>
      <c r="BJ25" s="67">
        <v>1</v>
      </c>
      <c r="BK25" s="64">
        <v>27549</v>
      </c>
      <c r="BL25" s="67">
        <v>6</v>
      </c>
      <c r="BM25" s="64">
        <v>5229</v>
      </c>
      <c r="BN25" s="67">
        <v>6</v>
      </c>
      <c r="BO25" s="64">
        <v>24611</v>
      </c>
      <c r="BP25" s="67">
        <v>67</v>
      </c>
      <c r="BQ25" s="64">
        <v>3641</v>
      </c>
      <c r="BR25" s="67">
        <v>0</v>
      </c>
      <c r="BS25" s="67">
        <v>16</v>
      </c>
      <c r="BT25" s="67">
        <v>124</v>
      </c>
      <c r="BU25" s="64">
        <v>636050</v>
      </c>
      <c r="BV25" s="67">
        <v>180</v>
      </c>
      <c r="BW25" s="64">
        <v>4024</v>
      </c>
      <c r="BX25" s="67">
        <v>36</v>
      </c>
      <c r="BY25" s="64">
        <v>834310</v>
      </c>
      <c r="BZ25" s="67">
        <v>190</v>
      </c>
      <c r="CA25" s="64">
        <v>19520</v>
      </c>
      <c r="CB25" s="67">
        <v>49</v>
      </c>
      <c r="CC25" s="77">
        <v>50</v>
      </c>
      <c r="CD25" s="67">
        <v>370</v>
      </c>
      <c r="CE25" s="78">
        <v>33</v>
      </c>
      <c r="CF25" s="58">
        <v>155</v>
      </c>
      <c r="CG25" s="135">
        <v>20161.856671558693</v>
      </c>
      <c r="CH25" s="80"/>
      <c r="CI25" s="136">
        <v>0</v>
      </c>
      <c r="CJ25" s="64">
        <v>239047</v>
      </c>
      <c r="CK25" s="67">
        <v>136</v>
      </c>
      <c r="CL25" s="77">
        <v>776.56</v>
      </c>
      <c r="CM25" s="64">
        <v>63</v>
      </c>
      <c r="CN25" s="81">
        <v>6788.25</v>
      </c>
      <c r="CO25" s="64">
        <v>65</v>
      </c>
      <c r="CP25" s="137">
        <v>7003.75</v>
      </c>
      <c r="CQ25" s="64">
        <v>63</v>
      </c>
      <c r="CR25" s="138">
        <v>6788.25</v>
      </c>
      <c r="CS25" s="139">
        <v>20580.25</v>
      </c>
      <c r="CT25" s="82">
        <v>1185.25</v>
      </c>
      <c r="CU25" s="64"/>
      <c r="CV25" s="64">
        <v>41855</v>
      </c>
      <c r="CW25" s="67">
        <v>41</v>
      </c>
      <c r="CX25" s="77">
        <v>234.10999999999999</v>
      </c>
      <c r="CY25" s="64">
        <v>35309</v>
      </c>
      <c r="CZ25" s="67">
        <v>6</v>
      </c>
      <c r="DA25" s="77">
        <v>34.26</v>
      </c>
      <c r="DB25" s="64">
        <v>13283</v>
      </c>
      <c r="DC25" s="67">
        <v>11</v>
      </c>
      <c r="DD25" s="77">
        <v>62.81</v>
      </c>
      <c r="DE25" s="64">
        <v>843848</v>
      </c>
      <c r="DF25" s="67" t="s">
        <v>135</v>
      </c>
      <c r="DG25" s="77">
        <v>0</v>
      </c>
      <c r="DH25" s="64">
        <v>8841</v>
      </c>
      <c r="DI25" s="67">
        <v>17</v>
      </c>
      <c r="DJ25" s="77">
        <v>97.07</v>
      </c>
      <c r="DK25" s="64">
        <v>9177</v>
      </c>
      <c r="DL25" s="67">
        <v>10</v>
      </c>
      <c r="DM25" s="77">
        <v>57.1</v>
      </c>
      <c r="DN25" s="64">
        <v>5502</v>
      </c>
      <c r="DO25" s="67">
        <v>8</v>
      </c>
      <c r="DP25" s="77">
        <v>45.68</v>
      </c>
      <c r="DQ25" s="64">
        <v>2119</v>
      </c>
      <c r="DR25" s="67">
        <v>1</v>
      </c>
      <c r="DS25" s="77">
        <v>5.71</v>
      </c>
      <c r="DT25" s="64">
        <v>6548</v>
      </c>
      <c r="DU25" s="67">
        <v>10</v>
      </c>
      <c r="DV25" s="77">
        <v>57.1</v>
      </c>
      <c r="DW25" s="64">
        <v>6051</v>
      </c>
      <c r="DX25" s="67">
        <v>14</v>
      </c>
      <c r="DY25" s="77">
        <v>79.94</v>
      </c>
      <c r="DZ25" s="64">
        <v>6782</v>
      </c>
      <c r="EA25" s="67">
        <v>9</v>
      </c>
      <c r="EB25" s="77">
        <v>51.39</v>
      </c>
      <c r="EC25" s="64">
        <v>6748</v>
      </c>
      <c r="ED25" s="67">
        <v>12</v>
      </c>
      <c r="EE25" s="77">
        <v>68.52</v>
      </c>
      <c r="EF25" s="79"/>
      <c r="EG25" s="77">
        <v>0</v>
      </c>
      <c r="EH25" s="79"/>
      <c r="EI25" s="77">
        <v>0</v>
      </c>
      <c r="EJ25" s="84"/>
      <c r="EK25" s="77">
        <v>0</v>
      </c>
      <c r="EL25" s="84"/>
      <c r="EM25" s="77">
        <v>0</v>
      </c>
      <c r="EN25" s="84"/>
      <c r="EO25" s="85"/>
      <c r="EP25" s="140">
        <v>0.53849999999999998</v>
      </c>
      <c r="EQ25" s="86"/>
      <c r="ER25" s="84"/>
      <c r="ES25" s="85"/>
      <c r="ET25" s="88"/>
      <c r="EU25" s="88"/>
      <c r="EV25" s="88"/>
    </row>
    <row r="26" spans="1:157" s="20" customFormat="1" ht="15.75" thickBot="1" x14ac:dyDescent="0.25">
      <c r="A26" s="57">
        <v>44643</v>
      </c>
      <c r="B26" s="64">
        <v>1923160</v>
      </c>
      <c r="C26" s="59">
        <v>26516</v>
      </c>
      <c r="D26" s="64">
        <v>955281</v>
      </c>
      <c r="E26" s="59">
        <v>25379</v>
      </c>
      <c r="F26" s="90">
        <v>0.95712022929551965</v>
      </c>
      <c r="G26" s="60">
        <v>1318</v>
      </c>
      <c r="H26" s="60">
        <v>1364</v>
      </c>
      <c r="I26" s="61">
        <v>291720</v>
      </c>
      <c r="J26" s="62">
        <v>0</v>
      </c>
      <c r="K26" s="63">
        <v>801</v>
      </c>
      <c r="L26" s="59">
        <v>0</v>
      </c>
      <c r="M26" s="64">
        <v>644665</v>
      </c>
      <c r="N26" s="62">
        <v>0</v>
      </c>
      <c r="O26" s="64">
        <v>1032</v>
      </c>
      <c r="P26" s="62">
        <v>0</v>
      </c>
      <c r="Q26" s="64">
        <v>2039500</v>
      </c>
      <c r="R26" s="62">
        <v>10600</v>
      </c>
      <c r="S26" s="64">
        <v>2092600</v>
      </c>
      <c r="T26" s="62">
        <v>12600</v>
      </c>
      <c r="U26" s="64">
        <v>2816628</v>
      </c>
      <c r="V26" s="62">
        <v>2713</v>
      </c>
      <c r="W26" s="64">
        <v>2272628</v>
      </c>
      <c r="X26" s="62">
        <v>415</v>
      </c>
      <c r="Y26" s="64">
        <v>283852</v>
      </c>
      <c r="Z26" s="62">
        <v>260</v>
      </c>
      <c r="AA26" s="133"/>
      <c r="AB26" s="134">
        <v>0.86111111111111116</v>
      </c>
      <c r="AC26" s="66">
        <v>344.44444444444446</v>
      </c>
      <c r="AD26" s="63"/>
      <c r="AE26" s="64">
        <v>178721</v>
      </c>
      <c r="AF26" s="59">
        <v>291</v>
      </c>
      <c r="AG26" s="60">
        <v>490310</v>
      </c>
      <c r="AH26" s="67">
        <v>350</v>
      </c>
      <c r="AI26" s="64">
        <v>1182</v>
      </c>
      <c r="AJ26" s="68">
        <v>0</v>
      </c>
      <c r="AK26" s="64">
        <v>5491</v>
      </c>
      <c r="AL26" s="68">
        <v>0</v>
      </c>
      <c r="AM26" s="19">
        <v>18046</v>
      </c>
      <c r="AN26" s="68">
        <v>119</v>
      </c>
      <c r="AO26" s="19"/>
      <c r="AP26" s="68">
        <v>0</v>
      </c>
      <c r="AQ26" s="64">
        <v>618980</v>
      </c>
      <c r="AR26" s="62">
        <v>140</v>
      </c>
      <c r="AS26" s="76">
        <v>1573</v>
      </c>
      <c r="AT26" s="62">
        <v>0</v>
      </c>
      <c r="AU26" s="64">
        <v>56238</v>
      </c>
      <c r="AV26" s="62">
        <v>0</v>
      </c>
      <c r="AW26" s="60">
        <v>9241</v>
      </c>
      <c r="AX26" s="62">
        <v>1</v>
      </c>
      <c r="AY26" s="64">
        <v>10940</v>
      </c>
      <c r="AZ26" s="62">
        <v>0</v>
      </c>
      <c r="BA26" s="60">
        <v>18144</v>
      </c>
      <c r="BB26" s="62">
        <v>15</v>
      </c>
      <c r="BC26" s="64">
        <v>20351</v>
      </c>
      <c r="BD26" s="62">
        <v>5</v>
      </c>
      <c r="BE26" s="58">
        <v>21037</v>
      </c>
      <c r="BF26" s="67">
        <v>2</v>
      </c>
      <c r="BG26" s="64">
        <v>14322</v>
      </c>
      <c r="BH26" s="67">
        <v>0</v>
      </c>
      <c r="BI26" s="64">
        <v>6602</v>
      </c>
      <c r="BJ26" s="67">
        <v>1</v>
      </c>
      <c r="BK26" s="64">
        <v>27557</v>
      </c>
      <c r="BL26" s="67">
        <v>8</v>
      </c>
      <c r="BM26" s="64">
        <v>5234</v>
      </c>
      <c r="BN26" s="67">
        <v>5</v>
      </c>
      <c r="BO26" s="64">
        <v>24677</v>
      </c>
      <c r="BP26" s="67">
        <v>66</v>
      </c>
      <c r="BQ26" s="64">
        <v>3641</v>
      </c>
      <c r="BR26" s="67">
        <v>0</v>
      </c>
      <c r="BS26" s="67">
        <v>17</v>
      </c>
      <c r="BT26" s="67">
        <v>123</v>
      </c>
      <c r="BU26" s="64">
        <v>636190</v>
      </c>
      <c r="BV26" s="67">
        <v>140</v>
      </c>
      <c r="BW26" s="64">
        <v>4034</v>
      </c>
      <c r="BX26" s="67">
        <v>10</v>
      </c>
      <c r="BY26" s="64">
        <v>834520</v>
      </c>
      <c r="BZ26" s="67">
        <v>210</v>
      </c>
      <c r="CA26" s="64">
        <v>19572</v>
      </c>
      <c r="CB26" s="67">
        <v>52</v>
      </c>
      <c r="CC26" s="77">
        <v>70</v>
      </c>
      <c r="CD26" s="67">
        <v>350</v>
      </c>
      <c r="CE26" s="78">
        <v>29</v>
      </c>
      <c r="CF26" s="58">
        <v>155</v>
      </c>
      <c r="CG26" s="135">
        <v>20161.856671558693</v>
      </c>
      <c r="CH26" s="80"/>
      <c r="CI26" s="136">
        <v>0</v>
      </c>
      <c r="CJ26" s="64">
        <v>239240</v>
      </c>
      <c r="CK26" s="67">
        <v>193</v>
      </c>
      <c r="CL26" s="77">
        <v>1102.03</v>
      </c>
      <c r="CM26" s="64">
        <v>60</v>
      </c>
      <c r="CN26" s="81">
        <v>6465</v>
      </c>
      <c r="CO26" s="64">
        <v>61</v>
      </c>
      <c r="CP26" s="137">
        <v>6572.75</v>
      </c>
      <c r="CQ26" s="64">
        <v>61</v>
      </c>
      <c r="CR26" s="138">
        <v>6572.75</v>
      </c>
      <c r="CS26" s="139">
        <v>19610.5</v>
      </c>
      <c r="CT26" s="82">
        <v>969.75</v>
      </c>
      <c r="CU26" s="64"/>
      <c r="CV26" s="64">
        <v>41899</v>
      </c>
      <c r="CW26" s="67">
        <v>44</v>
      </c>
      <c r="CX26" s="77">
        <v>251.24</v>
      </c>
      <c r="CY26" s="64">
        <v>35314</v>
      </c>
      <c r="CZ26" s="67">
        <v>5</v>
      </c>
      <c r="DA26" s="77">
        <v>28.55</v>
      </c>
      <c r="DB26" s="64">
        <v>13301</v>
      </c>
      <c r="DC26" s="67">
        <v>18</v>
      </c>
      <c r="DD26" s="77">
        <v>102.78</v>
      </c>
      <c r="DE26" s="64">
        <v>844011</v>
      </c>
      <c r="DF26" s="67">
        <v>163</v>
      </c>
      <c r="DG26" s="77">
        <v>930.73</v>
      </c>
      <c r="DH26" s="64">
        <v>8863</v>
      </c>
      <c r="DI26" s="67">
        <v>22</v>
      </c>
      <c r="DJ26" s="77">
        <v>125.62</v>
      </c>
      <c r="DK26" s="64">
        <v>9187</v>
      </c>
      <c r="DL26" s="67">
        <v>10</v>
      </c>
      <c r="DM26" s="77">
        <v>57.1</v>
      </c>
      <c r="DN26" s="64">
        <v>5510</v>
      </c>
      <c r="DO26" s="67">
        <v>8</v>
      </c>
      <c r="DP26" s="77">
        <v>45.68</v>
      </c>
      <c r="DQ26" s="64">
        <v>2121</v>
      </c>
      <c r="DR26" s="67">
        <v>2</v>
      </c>
      <c r="DS26" s="77">
        <v>11.42</v>
      </c>
      <c r="DT26" s="64">
        <v>6557</v>
      </c>
      <c r="DU26" s="67">
        <v>9</v>
      </c>
      <c r="DV26" s="77">
        <v>51.39</v>
      </c>
      <c r="DW26" s="64">
        <v>6064</v>
      </c>
      <c r="DX26" s="67">
        <v>13</v>
      </c>
      <c r="DY26" s="77">
        <v>74.23</v>
      </c>
      <c r="DZ26" s="64">
        <v>6791</v>
      </c>
      <c r="EA26" s="67">
        <v>9</v>
      </c>
      <c r="EB26" s="77">
        <v>51.39</v>
      </c>
      <c r="EC26" s="64">
        <v>6791</v>
      </c>
      <c r="ED26" s="67">
        <v>43</v>
      </c>
      <c r="EE26" s="77">
        <v>245.53</v>
      </c>
      <c r="EF26" s="79"/>
      <c r="EG26" s="77">
        <v>0</v>
      </c>
      <c r="EH26" s="79"/>
      <c r="EI26" s="77">
        <v>0</v>
      </c>
      <c r="EJ26" s="84"/>
      <c r="EK26" s="77">
        <v>0</v>
      </c>
      <c r="EL26" s="84"/>
      <c r="EM26" s="77">
        <v>0</v>
      </c>
      <c r="EN26" s="84"/>
      <c r="EO26" s="85"/>
      <c r="EP26" s="140">
        <v>0.53849999999999998</v>
      </c>
      <c r="EQ26" s="86"/>
      <c r="ER26" s="84"/>
      <c r="ES26" s="85"/>
      <c r="ET26" s="88"/>
      <c r="EU26" s="88"/>
      <c r="EV26" s="88"/>
    </row>
    <row r="27" spans="1:157" s="20" customFormat="1" ht="15.75" thickBot="1" x14ac:dyDescent="0.25">
      <c r="A27" s="57">
        <v>44644</v>
      </c>
      <c r="B27" s="64">
        <v>1949417</v>
      </c>
      <c r="C27" s="59">
        <v>26257</v>
      </c>
      <c r="D27" s="64">
        <v>980377</v>
      </c>
      <c r="E27" s="59">
        <v>25096</v>
      </c>
      <c r="F27" s="90">
        <v>0.95578321971283853</v>
      </c>
      <c r="G27" s="60">
        <v>1318</v>
      </c>
      <c r="H27" s="60">
        <v>1364</v>
      </c>
      <c r="I27" s="61">
        <v>291720</v>
      </c>
      <c r="J27" s="62">
        <v>0</v>
      </c>
      <c r="K27" s="63">
        <v>801</v>
      </c>
      <c r="L27" s="59">
        <v>0</v>
      </c>
      <c r="M27" s="64">
        <v>644665</v>
      </c>
      <c r="N27" s="59">
        <v>0</v>
      </c>
      <c r="O27" s="64">
        <v>1032</v>
      </c>
      <c r="P27" s="62">
        <v>0</v>
      </c>
      <c r="Q27" s="64">
        <v>2049700</v>
      </c>
      <c r="R27" s="62">
        <v>10200</v>
      </c>
      <c r="S27" s="64">
        <v>2105200</v>
      </c>
      <c r="T27" s="62">
        <v>12600</v>
      </c>
      <c r="U27" s="64">
        <v>2819012</v>
      </c>
      <c r="V27" s="62">
        <v>2384</v>
      </c>
      <c r="W27" s="64">
        <v>2273043</v>
      </c>
      <c r="X27" s="62">
        <v>415</v>
      </c>
      <c r="Y27" s="64">
        <v>284244</v>
      </c>
      <c r="Z27" s="62">
        <v>392</v>
      </c>
      <c r="AA27" s="133"/>
      <c r="AB27" s="134">
        <v>0.97222222222222221</v>
      </c>
      <c r="AC27" s="66">
        <v>388.88888888888886</v>
      </c>
      <c r="AD27" s="89"/>
      <c r="AE27" s="64">
        <v>178721</v>
      </c>
      <c r="AF27" s="59">
        <v>0</v>
      </c>
      <c r="AG27" s="60">
        <v>490670</v>
      </c>
      <c r="AH27" s="67">
        <v>360</v>
      </c>
      <c r="AI27" s="64">
        <v>1182</v>
      </c>
      <c r="AJ27" s="68">
        <v>0</v>
      </c>
      <c r="AK27" s="64">
        <v>5493</v>
      </c>
      <c r="AL27" s="68">
        <v>2</v>
      </c>
      <c r="AM27" s="19">
        <v>18615</v>
      </c>
      <c r="AN27" s="68">
        <v>569</v>
      </c>
      <c r="AO27" s="19"/>
      <c r="AP27" s="68">
        <v>0</v>
      </c>
      <c r="AQ27" s="64">
        <v>619130</v>
      </c>
      <c r="AR27" s="62">
        <v>150</v>
      </c>
      <c r="AS27" s="76">
        <v>1574</v>
      </c>
      <c r="AT27" s="62">
        <v>1</v>
      </c>
      <c r="AU27" s="64">
        <v>56248</v>
      </c>
      <c r="AV27" s="62">
        <v>10</v>
      </c>
      <c r="AW27" s="60">
        <v>9241</v>
      </c>
      <c r="AX27" s="62">
        <v>0</v>
      </c>
      <c r="AY27" s="64">
        <v>10940</v>
      </c>
      <c r="AZ27" s="62">
        <v>0</v>
      </c>
      <c r="BA27" s="60">
        <v>18158</v>
      </c>
      <c r="BB27" s="62">
        <v>14</v>
      </c>
      <c r="BC27" s="64">
        <v>20355</v>
      </c>
      <c r="BD27" s="62">
        <v>4</v>
      </c>
      <c r="BE27" s="58">
        <v>21039</v>
      </c>
      <c r="BF27" s="67">
        <v>2</v>
      </c>
      <c r="BG27" s="64">
        <v>14324</v>
      </c>
      <c r="BH27" s="67">
        <v>2</v>
      </c>
      <c r="BI27" s="64">
        <v>6603</v>
      </c>
      <c r="BJ27" s="67">
        <v>1</v>
      </c>
      <c r="BK27" s="64">
        <v>27563</v>
      </c>
      <c r="BL27" s="67">
        <v>6</v>
      </c>
      <c r="BM27" s="64">
        <v>5241</v>
      </c>
      <c r="BN27" s="67">
        <v>7</v>
      </c>
      <c r="BO27" s="64">
        <v>24742</v>
      </c>
      <c r="BP27" s="67">
        <v>65</v>
      </c>
      <c r="BQ27" s="64">
        <v>3641</v>
      </c>
      <c r="BR27" s="67">
        <v>0</v>
      </c>
      <c r="BS27" s="67">
        <v>18</v>
      </c>
      <c r="BT27" s="67">
        <v>132</v>
      </c>
      <c r="BU27" s="64">
        <v>636330</v>
      </c>
      <c r="BV27" s="67">
        <v>140</v>
      </c>
      <c r="BW27" s="64">
        <v>4055</v>
      </c>
      <c r="BX27" s="67">
        <v>21</v>
      </c>
      <c r="BY27" s="64">
        <v>834730</v>
      </c>
      <c r="BZ27" s="67">
        <v>210</v>
      </c>
      <c r="CA27" s="64">
        <v>19636</v>
      </c>
      <c r="CB27" s="67">
        <v>64</v>
      </c>
      <c r="CC27" s="77">
        <v>60</v>
      </c>
      <c r="CD27" s="67">
        <v>350</v>
      </c>
      <c r="CE27" s="78">
        <v>40</v>
      </c>
      <c r="CF27" s="58">
        <v>155</v>
      </c>
      <c r="CG27" s="135">
        <v>20161.856671558693</v>
      </c>
      <c r="CH27" s="80"/>
      <c r="CI27" s="136">
        <v>0</v>
      </c>
      <c r="CJ27" s="64">
        <v>239420</v>
      </c>
      <c r="CK27" s="67">
        <v>180</v>
      </c>
      <c r="CL27" s="77">
        <v>1027.8</v>
      </c>
      <c r="CM27" s="64">
        <v>56</v>
      </c>
      <c r="CN27" s="81">
        <v>6034</v>
      </c>
      <c r="CO27" s="64">
        <v>59</v>
      </c>
      <c r="CP27" s="137">
        <v>6357.25</v>
      </c>
      <c r="CQ27" s="64">
        <v>59</v>
      </c>
      <c r="CR27" s="138">
        <v>6357.25</v>
      </c>
      <c r="CS27" s="139">
        <v>18748.5</v>
      </c>
      <c r="CT27" s="82">
        <v>862</v>
      </c>
      <c r="CU27" s="64">
        <v>4342</v>
      </c>
      <c r="CV27" s="64">
        <v>41941</v>
      </c>
      <c r="CW27" s="67">
        <v>42</v>
      </c>
      <c r="CX27" s="77">
        <v>239.82</v>
      </c>
      <c r="CY27" s="64">
        <v>35314</v>
      </c>
      <c r="CZ27" s="67">
        <v>0</v>
      </c>
      <c r="DA27" s="77">
        <v>0</v>
      </c>
      <c r="DB27" s="64">
        <v>13316</v>
      </c>
      <c r="DC27" s="67">
        <v>15</v>
      </c>
      <c r="DD27" s="77">
        <v>85.65</v>
      </c>
      <c r="DE27" s="64">
        <v>844069</v>
      </c>
      <c r="DF27" s="67">
        <v>58</v>
      </c>
      <c r="DG27" s="77">
        <v>331.18</v>
      </c>
      <c r="DH27" s="64">
        <v>8885</v>
      </c>
      <c r="DI27" s="67">
        <v>22</v>
      </c>
      <c r="DJ27" s="77">
        <v>125.62</v>
      </c>
      <c r="DK27" s="64">
        <v>9197</v>
      </c>
      <c r="DL27" s="67">
        <v>10</v>
      </c>
      <c r="DM27" s="77">
        <v>57.1</v>
      </c>
      <c r="DN27" s="64">
        <v>5518</v>
      </c>
      <c r="DO27" s="67">
        <v>8</v>
      </c>
      <c r="DP27" s="77">
        <v>45.68</v>
      </c>
      <c r="DQ27" s="64">
        <v>2122</v>
      </c>
      <c r="DR27" s="67">
        <v>1</v>
      </c>
      <c r="DS27" s="77">
        <v>5.71</v>
      </c>
      <c r="DT27" s="64">
        <v>6567</v>
      </c>
      <c r="DU27" s="67">
        <v>10</v>
      </c>
      <c r="DV27" s="77">
        <v>57.1</v>
      </c>
      <c r="DW27" s="64">
        <v>6077</v>
      </c>
      <c r="DX27" s="67">
        <v>13</v>
      </c>
      <c r="DY27" s="77">
        <v>74.23</v>
      </c>
      <c r="DZ27" s="64">
        <v>6799</v>
      </c>
      <c r="EA27" s="67">
        <v>8</v>
      </c>
      <c r="EB27" s="77">
        <v>45.68</v>
      </c>
      <c r="EC27" s="64">
        <v>6771</v>
      </c>
      <c r="ED27" s="67" t="s">
        <v>135</v>
      </c>
      <c r="EE27" s="77">
        <v>0</v>
      </c>
      <c r="EF27" s="79"/>
      <c r="EG27" s="77">
        <v>0</v>
      </c>
      <c r="EH27" s="79"/>
      <c r="EI27" s="77">
        <v>0</v>
      </c>
      <c r="EJ27" s="84"/>
      <c r="EK27" s="77">
        <v>0</v>
      </c>
      <c r="EL27" s="84"/>
      <c r="EM27" s="77">
        <v>0</v>
      </c>
      <c r="EN27" s="84"/>
      <c r="EO27" s="85"/>
      <c r="EP27" s="140">
        <v>0.58240000000000003</v>
      </c>
      <c r="EQ27" s="86"/>
      <c r="ER27" s="84"/>
      <c r="ES27" s="85"/>
      <c r="ET27" s="88"/>
      <c r="EU27" s="88"/>
      <c r="EV27" s="88"/>
    </row>
    <row r="28" spans="1:157" s="20" customFormat="1" ht="15.75" thickBot="1" x14ac:dyDescent="0.25">
      <c r="A28" s="57">
        <v>44645</v>
      </c>
      <c r="B28" s="64">
        <v>1975888</v>
      </c>
      <c r="C28" s="59">
        <v>26471</v>
      </c>
      <c r="D28" s="64">
        <v>1005820</v>
      </c>
      <c r="E28" s="59">
        <v>25443</v>
      </c>
      <c r="F28" s="90">
        <v>0.96116504854368934</v>
      </c>
      <c r="G28" s="60">
        <v>1318</v>
      </c>
      <c r="H28" s="60">
        <v>1364</v>
      </c>
      <c r="I28" s="61">
        <v>291720</v>
      </c>
      <c r="J28" s="62">
        <v>0</v>
      </c>
      <c r="K28" s="63">
        <v>801</v>
      </c>
      <c r="L28" s="59">
        <v>0</v>
      </c>
      <c r="M28" s="64">
        <v>644665</v>
      </c>
      <c r="N28" s="59">
        <v>0</v>
      </c>
      <c r="O28" s="64">
        <v>1032</v>
      </c>
      <c r="P28" s="62">
        <v>0</v>
      </c>
      <c r="Q28" s="64">
        <v>2060100</v>
      </c>
      <c r="R28" s="62">
        <v>10400</v>
      </c>
      <c r="S28" s="64">
        <v>2117800</v>
      </c>
      <c r="T28" s="62">
        <v>12600</v>
      </c>
      <c r="U28" s="64">
        <v>2821275</v>
      </c>
      <c r="V28" s="62">
        <v>2263</v>
      </c>
      <c r="W28" s="64">
        <v>2273437</v>
      </c>
      <c r="X28" s="62">
        <v>394</v>
      </c>
      <c r="Y28" s="64">
        <v>284448</v>
      </c>
      <c r="Z28" s="62">
        <v>204</v>
      </c>
      <c r="AA28" s="133"/>
      <c r="AB28" s="134">
        <v>0.75</v>
      </c>
      <c r="AC28" s="66">
        <v>300</v>
      </c>
      <c r="AD28" s="63"/>
      <c r="AE28" s="64">
        <v>178721</v>
      </c>
      <c r="AF28" s="59">
        <v>0</v>
      </c>
      <c r="AG28" s="60">
        <v>491080</v>
      </c>
      <c r="AH28" s="67">
        <v>410</v>
      </c>
      <c r="AI28" s="64">
        <v>1182</v>
      </c>
      <c r="AJ28" s="68">
        <v>0</v>
      </c>
      <c r="AK28" s="64">
        <v>5495</v>
      </c>
      <c r="AL28" s="68">
        <v>2</v>
      </c>
      <c r="AM28" s="19">
        <v>18872</v>
      </c>
      <c r="AN28" s="68">
        <v>257</v>
      </c>
      <c r="AO28" s="19"/>
      <c r="AP28" s="68">
        <v>0</v>
      </c>
      <c r="AQ28" s="64">
        <v>619290</v>
      </c>
      <c r="AR28" s="62">
        <v>160</v>
      </c>
      <c r="AS28" s="76">
        <v>1577</v>
      </c>
      <c r="AT28" s="62">
        <v>3</v>
      </c>
      <c r="AU28" s="64">
        <v>56248</v>
      </c>
      <c r="AV28" s="62">
        <v>0</v>
      </c>
      <c r="AW28" s="60">
        <v>9243</v>
      </c>
      <c r="AX28" s="62">
        <v>2</v>
      </c>
      <c r="AY28" s="64">
        <v>10940</v>
      </c>
      <c r="AZ28" s="62">
        <v>0</v>
      </c>
      <c r="BA28" s="60">
        <v>18172</v>
      </c>
      <c r="BB28" s="62">
        <v>14</v>
      </c>
      <c r="BC28" s="64">
        <v>20357</v>
      </c>
      <c r="BD28" s="62">
        <v>2</v>
      </c>
      <c r="BE28" s="58">
        <v>21041</v>
      </c>
      <c r="BF28" s="67">
        <v>2</v>
      </c>
      <c r="BG28" s="64">
        <v>14325</v>
      </c>
      <c r="BH28" s="67">
        <v>1</v>
      </c>
      <c r="BI28" s="64">
        <v>6605</v>
      </c>
      <c r="BJ28" s="67">
        <v>2</v>
      </c>
      <c r="BK28" s="64">
        <v>27569</v>
      </c>
      <c r="BL28" s="67">
        <v>6</v>
      </c>
      <c r="BM28" s="64">
        <v>5247</v>
      </c>
      <c r="BN28" s="67">
        <v>6</v>
      </c>
      <c r="BO28" s="64">
        <v>24801</v>
      </c>
      <c r="BP28" s="67">
        <v>59</v>
      </c>
      <c r="BQ28" s="64">
        <v>3641</v>
      </c>
      <c r="BR28" s="67">
        <v>0</v>
      </c>
      <c r="BS28" s="67">
        <v>17</v>
      </c>
      <c r="BT28" s="67">
        <v>143</v>
      </c>
      <c r="BU28" s="64">
        <v>636490</v>
      </c>
      <c r="BV28" s="67">
        <v>160</v>
      </c>
      <c r="BW28" s="64">
        <v>4064</v>
      </c>
      <c r="BX28" s="67">
        <v>9</v>
      </c>
      <c r="BY28" s="64">
        <v>834970</v>
      </c>
      <c r="BZ28" s="67">
        <v>240</v>
      </c>
      <c r="CA28" s="64">
        <v>19695</v>
      </c>
      <c r="CB28" s="67">
        <v>59</v>
      </c>
      <c r="CC28" s="77">
        <v>80</v>
      </c>
      <c r="CD28" s="67">
        <v>400</v>
      </c>
      <c r="CE28" s="78">
        <v>29</v>
      </c>
      <c r="CF28" s="58">
        <v>155</v>
      </c>
      <c r="CG28" s="135">
        <v>20161.856671558693</v>
      </c>
      <c r="CH28" s="80"/>
      <c r="CI28" s="136">
        <v>0</v>
      </c>
      <c r="CJ28" s="64">
        <v>239620</v>
      </c>
      <c r="CK28" s="67">
        <v>200</v>
      </c>
      <c r="CL28" s="77">
        <v>1142</v>
      </c>
      <c r="CM28" s="64">
        <v>67</v>
      </c>
      <c r="CN28" s="81">
        <v>7219.25</v>
      </c>
      <c r="CO28" s="64">
        <v>69</v>
      </c>
      <c r="CP28" s="137">
        <v>7434.75</v>
      </c>
      <c r="CQ28" s="64">
        <v>67</v>
      </c>
      <c r="CR28" s="138">
        <v>7219.25</v>
      </c>
      <c r="CS28" s="139">
        <v>21873.25</v>
      </c>
      <c r="CT28" s="82">
        <v>1217.25</v>
      </c>
      <c r="CU28" s="64"/>
      <c r="CV28" s="64">
        <v>41982</v>
      </c>
      <c r="CW28" s="67">
        <v>41</v>
      </c>
      <c r="CX28" s="77">
        <v>234.10999999999999</v>
      </c>
      <c r="CY28" s="64">
        <v>35319</v>
      </c>
      <c r="CZ28" s="67">
        <v>5</v>
      </c>
      <c r="DA28" s="77">
        <v>28.55</v>
      </c>
      <c r="DB28" s="64">
        <v>13334</v>
      </c>
      <c r="DC28" s="67">
        <v>18</v>
      </c>
      <c r="DD28" s="77">
        <v>102.78</v>
      </c>
      <c r="DE28" s="64">
        <v>844121</v>
      </c>
      <c r="DF28" s="67">
        <v>52</v>
      </c>
      <c r="DG28" s="77">
        <v>296.92</v>
      </c>
      <c r="DH28" s="64">
        <v>8907</v>
      </c>
      <c r="DI28" s="67">
        <v>22</v>
      </c>
      <c r="DJ28" s="77">
        <v>125.62</v>
      </c>
      <c r="DK28" s="64">
        <v>9207</v>
      </c>
      <c r="DL28" s="67">
        <v>10</v>
      </c>
      <c r="DM28" s="77">
        <v>57.1</v>
      </c>
      <c r="DN28" s="64">
        <v>5525</v>
      </c>
      <c r="DO28" s="67">
        <v>7</v>
      </c>
      <c r="DP28" s="77">
        <v>39.97</v>
      </c>
      <c r="DQ28" s="64">
        <v>2123</v>
      </c>
      <c r="DR28" s="67">
        <v>1</v>
      </c>
      <c r="DS28" s="77">
        <v>5.71</v>
      </c>
      <c r="DT28" s="64">
        <v>6575</v>
      </c>
      <c r="DU28" s="67">
        <v>8</v>
      </c>
      <c r="DV28" s="77">
        <v>45.68</v>
      </c>
      <c r="DW28" s="64">
        <v>6090</v>
      </c>
      <c r="DX28" s="67">
        <v>13</v>
      </c>
      <c r="DY28" s="77">
        <v>74.23</v>
      </c>
      <c r="DZ28" s="64">
        <v>6808</v>
      </c>
      <c r="EA28" s="67">
        <v>9</v>
      </c>
      <c r="EB28" s="77">
        <v>51.39</v>
      </c>
      <c r="EC28" s="64">
        <v>6782</v>
      </c>
      <c r="ED28" s="67">
        <v>11</v>
      </c>
      <c r="EE28" s="77">
        <v>62.81</v>
      </c>
      <c r="EF28" s="79"/>
      <c r="EG28" s="77">
        <v>0</v>
      </c>
      <c r="EH28" s="79"/>
      <c r="EI28" s="77">
        <v>0</v>
      </c>
      <c r="EJ28" s="84"/>
      <c r="EK28" s="77">
        <v>0</v>
      </c>
      <c r="EL28" s="84"/>
      <c r="EM28" s="77">
        <v>0</v>
      </c>
      <c r="EN28" s="84"/>
      <c r="EO28" s="85"/>
      <c r="EP28" s="140">
        <v>0.62639999999999996</v>
      </c>
      <c r="EQ28" s="140"/>
      <c r="ER28" s="84"/>
      <c r="ES28" s="85"/>
      <c r="ET28" s="88"/>
      <c r="EU28" s="88"/>
      <c r="EV28" s="88"/>
    </row>
    <row r="29" spans="1:157" s="20" customFormat="1" ht="15.75" thickBot="1" x14ac:dyDescent="0.25">
      <c r="A29" s="57">
        <v>44646</v>
      </c>
      <c r="B29" s="64">
        <v>2004334</v>
      </c>
      <c r="C29" s="59">
        <v>28446</v>
      </c>
      <c r="D29" s="64">
        <v>1033123</v>
      </c>
      <c r="E29" s="59">
        <v>27303</v>
      </c>
      <c r="F29" s="90">
        <v>0.95981860367011174</v>
      </c>
      <c r="G29" s="60">
        <v>1318</v>
      </c>
      <c r="H29" s="60">
        <v>1364</v>
      </c>
      <c r="I29" s="61">
        <v>291720</v>
      </c>
      <c r="J29" s="62">
        <v>0</v>
      </c>
      <c r="K29" s="63">
        <v>801</v>
      </c>
      <c r="L29" s="59">
        <v>0</v>
      </c>
      <c r="M29" s="64">
        <v>644665</v>
      </c>
      <c r="N29" s="59">
        <v>0</v>
      </c>
      <c r="O29" s="64">
        <v>1032</v>
      </c>
      <c r="P29" s="62">
        <v>0</v>
      </c>
      <c r="Q29" s="64">
        <v>2071500</v>
      </c>
      <c r="R29" s="62">
        <v>11400</v>
      </c>
      <c r="S29" s="64">
        <v>2131400</v>
      </c>
      <c r="T29" s="62">
        <v>13600</v>
      </c>
      <c r="U29" s="64">
        <v>2822719</v>
      </c>
      <c r="V29" s="62">
        <v>1444</v>
      </c>
      <c r="W29" s="64">
        <v>2273887</v>
      </c>
      <c r="X29" s="62">
        <v>450</v>
      </c>
      <c r="Y29" s="64">
        <v>284622</v>
      </c>
      <c r="Z29" s="62">
        <v>174</v>
      </c>
      <c r="AA29" s="133"/>
      <c r="AB29" s="134">
        <v>0.77777777777777779</v>
      </c>
      <c r="AC29" s="66">
        <v>311.11111111111114</v>
      </c>
      <c r="AD29" s="63"/>
      <c r="AE29" s="64">
        <v>178819</v>
      </c>
      <c r="AF29" s="59">
        <v>98</v>
      </c>
      <c r="AG29" s="60">
        <v>491450</v>
      </c>
      <c r="AH29" s="67">
        <v>370</v>
      </c>
      <c r="AI29" s="64">
        <v>1182</v>
      </c>
      <c r="AJ29" s="68">
        <v>0</v>
      </c>
      <c r="AK29" s="64">
        <v>5499</v>
      </c>
      <c r="AL29" s="68">
        <v>4</v>
      </c>
      <c r="AM29" s="19">
        <v>19030</v>
      </c>
      <c r="AN29" s="68">
        <v>158</v>
      </c>
      <c r="AO29" s="19"/>
      <c r="AP29" s="68">
        <v>0</v>
      </c>
      <c r="AQ29" s="64">
        <v>619440</v>
      </c>
      <c r="AR29" s="62">
        <v>150</v>
      </c>
      <c r="AS29" s="76">
        <v>1579</v>
      </c>
      <c r="AT29" s="62">
        <v>2</v>
      </c>
      <c r="AU29" s="64">
        <v>56266</v>
      </c>
      <c r="AV29" s="62">
        <v>18</v>
      </c>
      <c r="AW29" s="60">
        <v>9244</v>
      </c>
      <c r="AX29" s="62">
        <v>1</v>
      </c>
      <c r="AY29" s="64">
        <v>10942</v>
      </c>
      <c r="AZ29" s="62">
        <v>2</v>
      </c>
      <c r="BA29" s="60">
        <v>18186</v>
      </c>
      <c r="BB29" s="62">
        <v>14</v>
      </c>
      <c r="BC29" s="64">
        <v>20361</v>
      </c>
      <c r="BD29" s="62">
        <v>4</v>
      </c>
      <c r="BE29" s="58">
        <v>21044</v>
      </c>
      <c r="BF29" s="67">
        <v>3</v>
      </c>
      <c r="BG29" s="64">
        <v>14328</v>
      </c>
      <c r="BH29" s="67">
        <v>3</v>
      </c>
      <c r="BI29" s="64">
        <v>6605</v>
      </c>
      <c r="BJ29" s="67">
        <v>0</v>
      </c>
      <c r="BK29" s="64">
        <v>27577</v>
      </c>
      <c r="BL29" s="67">
        <v>8</v>
      </c>
      <c r="BM29" s="64">
        <v>5253</v>
      </c>
      <c r="BN29" s="67">
        <v>6</v>
      </c>
      <c r="BO29" s="64">
        <v>24869</v>
      </c>
      <c r="BP29" s="67">
        <v>68</v>
      </c>
      <c r="BQ29" s="64">
        <v>3641</v>
      </c>
      <c r="BR29" s="67">
        <v>0</v>
      </c>
      <c r="BS29" s="67">
        <v>20</v>
      </c>
      <c r="BT29" s="67">
        <v>130</v>
      </c>
      <c r="BU29" s="64">
        <v>636650</v>
      </c>
      <c r="BV29" s="67">
        <v>160</v>
      </c>
      <c r="BW29" s="64">
        <v>4091</v>
      </c>
      <c r="BX29" s="67">
        <v>27</v>
      </c>
      <c r="BY29" s="64">
        <v>835180</v>
      </c>
      <c r="BZ29" s="67">
        <v>210</v>
      </c>
      <c r="CA29" s="64">
        <v>19751</v>
      </c>
      <c r="CB29" s="67">
        <v>56</v>
      </c>
      <c r="CC29" s="77">
        <v>60</v>
      </c>
      <c r="CD29" s="67">
        <v>370</v>
      </c>
      <c r="CE29" s="78">
        <v>51</v>
      </c>
      <c r="CF29" s="58">
        <v>155</v>
      </c>
      <c r="CG29" s="135">
        <v>20161.856671558693</v>
      </c>
      <c r="CH29" s="80"/>
      <c r="CI29" s="136">
        <v>0</v>
      </c>
      <c r="CJ29" s="64">
        <v>239817</v>
      </c>
      <c r="CK29" s="67">
        <v>197</v>
      </c>
      <c r="CL29" s="77">
        <v>1124.8699999999999</v>
      </c>
      <c r="CM29" s="64">
        <v>63</v>
      </c>
      <c r="CN29" s="81">
        <v>6788.25</v>
      </c>
      <c r="CO29" s="64">
        <v>65</v>
      </c>
      <c r="CP29" s="137">
        <v>7003.75</v>
      </c>
      <c r="CQ29" s="64">
        <v>63</v>
      </c>
      <c r="CR29" s="138">
        <v>6788.25</v>
      </c>
      <c r="CS29" s="139">
        <v>20580.25</v>
      </c>
      <c r="CT29" s="82">
        <v>1293</v>
      </c>
      <c r="CU29" s="64"/>
      <c r="CV29" s="64">
        <v>42024</v>
      </c>
      <c r="CW29" s="67">
        <v>42</v>
      </c>
      <c r="CX29" s="77">
        <v>239.82</v>
      </c>
      <c r="CY29" s="64">
        <v>35325</v>
      </c>
      <c r="CZ29" s="67">
        <v>6</v>
      </c>
      <c r="DA29" s="77">
        <v>34.26</v>
      </c>
      <c r="DB29" s="64">
        <v>13351</v>
      </c>
      <c r="DC29" s="67">
        <v>17</v>
      </c>
      <c r="DD29" s="77">
        <v>97.07</v>
      </c>
      <c r="DE29" s="64">
        <v>844198</v>
      </c>
      <c r="DF29" s="67">
        <v>77</v>
      </c>
      <c r="DG29" s="77">
        <v>439.67</v>
      </c>
      <c r="DH29" s="64">
        <v>8930</v>
      </c>
      <c r="DI29" s="67">
        <v>23</v>
      </c>
      <c r="DJ29" s="77">
        <v>131.33000000000001</v>
      </c>
      <c r="DK29" s="64">
        <v>9218</v>
      </c>
      <c r="DL29" s="67">
        <v>11</v>
      </c>
      <c r="DM29" s="77">
        <v>62.81</v>
      </c>
      <c r="DN29" s="64">
        <v>5535</v>
      </c>
      <c r="DO29" s="67">
        <v>10</v>
      </c>
      <c r="DP29" s="77">
        <v>57.1</v>
      </c>
      <c r="DQ29" s="64">
        <v>2125</v>
      </c>
      <c r="DR29" s="67">
        <v>2</v>
      </c>
      <c r="DS29" s="77">
        <v>11.42</v>
      </c>
      <c r="DT29" s="64">
        <v>6584</v>
      </c>
      <c r="DU29" s="67">
        <v>9</v>
      </c>
      <c r="DV29" s="77">
        <v>51.39</v>
      </c>
      <c r="DW29" s="64">
        <v>6104</v>
      </c>
      <c r="DX29" s="67">
        <v>14</v>
      </c>
      <c r="DY29" s="77">
        <v>79.94</v>
      </c>
      <c r="DZ29" s="64">
        <v>6817</v>
      </c>
      <c r="EA29" s="67">
        <v>9</v>
      </c>
      <c r="EB29" s="77">
        <v>51.39</v>
      </c>
      <c r="EC29" s="64">
        <v>6793</v>
      </c>
      <c r="ED29" s="67">
        <v>11</v>
      </c>
      <c r="EE29" s="77">
        <v>62.81</v>
      </c>
      <c r="EF29" s="79"/>
      <c r="EG29" s="77">
        <v>0</v>
      </c>
      <c r="EH29" s="79"/>
      <c r="EI29" s="77">
        <v>0</v>
      </c>
      <c r="EJ29" s="84"/>
      <c r="EK29" s="77">
        <v>0</v>
      </c>
      <c r="EL29" s="84"/>
      <c r="EM29" s="77">
        <v>0</v>
      </c>
      <c r="EN29" s="84"/>
      <c r="EO29" s="85"/>
      <c r="EP29" s="140">
        <v>0.47249999999999998</v>
      </c>
      <c r="EQ29" s="86"/>
      <c r="ER29" s="84"/>
      <c r="ES29" s="85"/>
      <c r="ET29" s="88"/>
      <c r="EU29" s="88"/>
      <c r="EV29" s="88"/>
    </row>
    <row r="30" spans="1:157" s="20" customFormat="1" ht="15.75" thickBot="1" x14ac:dyDescent="0.25">
      <c r="A30" s="57">
        <v>44647</v>
      </c>
      <c r="B30" s="64">
        <v>2031152</v>
      </c>
      <c r="C30" s="59">
        <v>26818</v>
      </c>
      <c r="D30" s="64">
        <v>1058712</v>
      </c>
      <c r="E30" s="59">
        <v>25589</v>
      </c>
      <c r="F30" s="90">
        <v>0.95417257066149597</v>
      </c>
      <c r="G30" s="60">
        <v>1318</v>
      </c>
      <c r="H30" s="60">
        <v>1364</v>
      </c>
      <c r="I30" s="61">
        <v>291720</v>
      </c>
      <c r="J30" s="62">
        <v>0</v>
      </c>
      <c r="K30" s="63">
        <v>801</v>
      </c>
      <c r="L30" s="59">
        <v>0</v>
      </c>
      <c r="M30" s="64">
        <v>644665</v>
      </c>
      <c r="N30" s="59">
        <v>0</v>
      </c>
      <c r="O30" s="64">
        <v>1032</v>
      </c>
      <c r="P30" s="62">
        <v>0</v>
      </c>
      <c r="Q30" s="64">
        <v>2082300</v>
      </c>
      <c r="R30" s="62">
        <v>10800</v>
      </c>
      <c r="S30" s="64">
        <v>2143800</v>
      </c>
      <c r="T30" s="62">
        <v>12400</v>
      </c>
      <c r="U30" s="64">
        <v>2823622</v>
      </c>
      <c r="V30" s="62">
        <v>903</v>
      </c>
      <c r="W30" s="64">
        <v>2274287</v>
      </c>
      <c r="X30" s="62">
        <v>400</v>
      </c>
      <c r="Y30" s="64">
        <v>285012</v>
      </c>
      <c r="Z30" s="62">
        <v>390</v>
      </c>
      <c r="AA30" s="133"/>
      <c r="AB30" s="134">
        <v>0.86111111111111116</v>
      </c>
      <c r="AC30" s="66">
        <v>344.44444444444446</v>
      </c>
      <c r="AD30" s="63"/>
      <c r="AE30" s="64">
        <v>178820</v>
      </c>
      <c r="AF30" s="59">
        <v>1</v>
      </c>
      <c r="AG30" s="64">
        <v>491850</v>
      </c>
      <c r="AH30" s="67">
        <v>400</v>
      </c>
      <c r="AI30" s="64">
        <v>1182</v>
      </c>
      <c r="AJ30" s="68">
        <v>0</v>
      </c>
      <c r="AK30" s="64">
        <v>5499</v>
      </c>
      <c r="AL30" s="68">
        <v>0</v>
      </c>
      <c r="AM30" s="19">
        <v>19491</v>
      </c>
      <c r="AN30" s="68">
        <v>461</v>
      </c>
      <c r="AO30" s="19"/>
      <c r="AP30" s="68">
        <v>0</v>
      </c>
      <c r="AQ30" s="64">
        <v>619590</v>
      </c>
      <c r="AR30" s="62">
        <v>150</v>
      </c>
      <c r="AS30" s="76">
        <v>1579</v>
      </c>
      <c r="AT30" s="62">
        <v>0</v>
      </c>
      <c r="AU30" s="64">
        <v>56281</v>
      </c>
      <c r="AV30" s="62">
        <v>15</v>
      </c>
      <c r="AW30" s="58">
        <v>9246</v>
      </c>
      <c r="AX30" s="62">
        <v>2</v>
      </c>
      <c r="AY30" s="64">
        <v>10943</v>
      </c>
      <c r="AZ30" s="62">
        <v>1</v>
      </c>
      <c r="BA30" s="60">
        <v>18199</v>
      </c>
      <c r="BB30" s="62">
        <v>13</v>
      </c>
      <c r="BC30" s="64">
        <v>20365</v>
      </c>
      <c r="BD30" s="62">
        <v>4</v>
      </c>
      <c r="BE30" s="58">
        <v>21046</v>
      </c>
      <c r="BF30" s="67">
        <v>2</v>
      </c>
      <c r="BG30" s="64">
        <v>14330</v>
      </c>
      <c r="BH30" s="67">
        <v>2</v>
      </c>
      <c r="BI30" s="64">
        <v>6605</v>
      </c>
      <c r="BJ30" s="67">
        <v>0</v>
      </c>
      <c r="BK30" s="64">
        <v>27584</v>
      </c>
      <c r="BL30" s="67">
        <v>7</v>
      </c>
      <c r="BM30" s="64">
        <v>5259</v>
      </c>
      <c r="BN30" s="67">
        <v>6</v>
      </c>
      <c r="BO30" s="64">
        <v>24934</v>
      </c>
      <c r="BP30" s="67">
        <v>65</v>
      </c>
      <c r="BQ30" s="64">
        <v>3641</v>
      </c>
      <c r="BR30" s="67">
        <v>0</v>
      </c>
      <c r="BS30" s="67">
        <v>17</v>
      </c>
      <c r="BT30" s="67">
        <v>133</v>
      </c>
      <c r="BU30" s="64">
        <v>636810</v>
      </c>
      <c r="BV30" s="67">
        <v>160</v>
      </c>
      <c r="BW30" s="64">
        <v>4108</v>
      </c>
      <c r="BX30" s="67">
        <v>17</v>
      </c>
      <c r="BY30" s="64">
        <v>835410</v>
      </c>
      <c r="BZ30" s="67">
        <v>230</v>
      </c>
      <c r="CA30" s="64">
        <v>19804</v>
      </c>
      <c r="CB30" s="67">
        <v>53</v>
      </c>
      <c r="CC30" s="77">
        <v>80</v>
      </c>
      <c r="CD30" s="67">
        <v>390</v>
      </c>
      <c r="CE30" s="78">
        <v>45</v>
      </c>
      <c r="CF30" s="58">
        <v>155</v>
      </c>
      <c r="CG30" s="135">
        <v>20161.856671558693</v>
      </c>
      <c r="CH30" s="80"/>
      <c r="CI30" s="136">
        <v>0</v>
      </c>
      <c r="CJ30" s="66">
        <v>239992</v>
      </c>
      <c r="CK30" s="67">
        <v>175</v>
      </c>
      <c r="CL30" s="77">
        <v>999.25</v>
      </c>
      <c r="CM30" s="60">
        <v>60</v>
      </c>
      <c r="CN30" s="81">
        <v>6465</v>
      </c>
      <c r="CO30" s="60">
        <v>62</v>
      </c>
      <c r="CP30" s="137">
        <v>6680.5</v>
      </c>
      <c r="CQ30" s="60">
        <v>60</v>
      </c>
      <c r="CR30" s="138">
        <v>6465</v>
      </c>
      <c r="CS30" s="139">
        <v>19610.5</v>
      </c>
      <c r="CT30" s="82">
        <v>969.75</v>
      </c>
      <c r="CU30" s="64"/>
      <c r="CV30" s="66">
        <v>42068</v>
      </c>
      <c r="CW30" s="67">
        <v>44</v>
      </c>
      <c r="CX30" s="77">
        <v>251.24</v>
      </c>
      <c r="CY30" s="66">
        <v>35330</v>
      </c>
      <c r="CZ30" s="67">
        <v>5</v>
      </c>
      <c r="DA30" s="77">
        <v>28.55</v>
      </c>
      <c r="DB30" s="66">
        <v>13369</v>
      </c>
      <c r="DC30" s="67">
        <v>18</v>
      </c>
      <c r="DD30" s="77">
        <v>102.78</v>
      </c>
      <c r="DE30" s="64">
        <v>844270</v>
      </c>
      <c r="DF30" s="67">
        <v>72</v>
      </c>
      <c r="DG30" s="77">
        <v>411.12</v>
      </c>
      <c r="DH30" s="66">
        <v>8954</v>
      </c>
      <c r="DI30" s="67">
        <v>24</v>
      </c>
      <c r="DJ30" s="77">
        <v>137.04</v>
      </c>
      <c r="DK30" s="66">
        <v>9228</v>
      </c>
      <c r="DL30" s="67">
        <v>10</v>
      </c>
      <c r="DM30" s="77">
        <v>57.1</v>
      </c>
      <c r="DN30" s="66">
        <v>5543</v>
      </c>
      <c r="DO30" s="67">
        <v>8</v>
      </c>
      <c r="DP30" s="77">
        <v>45.68</v>
      </c>
      <c r="DQ30" s="66">
        <v>2126</v>
      </c>
      <c r="DR30" s="67">
        <v>1</v>
      </c>
      <c r="DS30" s="77">
        <v>5.71</v>
      </c>
      <c r="DT30" s="66">
        <v>6593</v>
      </c>
      <c r="DU30" s="67">
        <v>9</v>
      </c>
      <c r="DV30" s="77">
        <v>51.39</v>
      </c>
      <c r="DW30" s="66">
        <v>6117</v>
      </c>
      <c r="DX30" s="67">
        <v>13</v>
      </c>
      <c r="DY30" s="77">
        <v>74.23</v>
      </c>
      <c r="DZ30" s="66">
        <v>6826</v>
      </c>
      <c r="EA30" s="67">
        <v>9</v>
      </c>
      <c r="EB30" s="77">
        <v>51.39</v>
      </c>
      <c r="EC30" s="66">
        <v>6804</v>
      </c>
      <c r="ED30" s="67">
        <v>11</v>
      </c>
      <c r="EE30" s="77">
        <v>62.81</v>
      </c>
      <c r="EF30" s="79"/>
      <c r="EG30" s="77">
        <v>0</v>
      </c>
      <c r="EH30" s="79"/>
      <c r="EI30" s="77">
        <v>0</v>
      </c>
      <c r="EJ30" s="84"/>
      <c r="EK30" s="77">
        <v>0</v>
      </c>
      <c r="EL30" s="84"/>
      <c r="EM30" s="77">
        <v>0</v>
      </c>
      <c r="EN30" s="84"/>
      <c r="EO30" s="85"/>
      <c r="EP30" s="140">
        <v>0.47249999999999998</v>
      </c>
      <c r="EQ30" s="86"/>
      <c r="ER30" s="84"/>
      <c r="ES30" s="85"/>
      <c r="ET30" s="88"/>
      <c r="EU30" s="88"/>
      <c r="EV30" s="88"/>
    </row>
    <row r="31" spans="1:157" s="20" customFormat="1" ht="15.75" thickBot="1" x14ac:dyDescent="0.25">
      <c r="A31" s="57">
        <v>44648</v>
      </c>
      <c r="B31" s="64">
        <v>2057726</v>
      </c>
      <c r="C31" s="59">
        <v>26574</v>
      </c>
      <c r="D31" s="64">
        <v>1084006</v>
      </c>
      <c r="E31" s="59">
        <v>25294</v>
      </c>
      <c r="F31" s="90">
        <v>0.95183261834876198</v>
      </c>
      <c r="G31" s="60">
        <v>1318</v>
      </c>
      <c r="H31" s="60">
        <v>1364</v>
      </c>
      <c r="I31" s="61">
        <v>291720</v>
      </c>
      <c r="J31" s="62">
        <v>0</v>
      </c>
      <c r="K31" s="63">
        <v>801</v>
      </c>
      <c r="L31" s="59">
        <v>0</v>
      </c>
      <c r="M31" s="64">
        <v>644665</v>
      </c>
      <c r="N31" s="59">
        <v>0</v>
      </c>
      <c r="O31" s="64">
        <v>1032</v>
      </c>
      <c r="P31" s="62">
        <v>0</v>
      </c>
      <c r="Q31" s="64">
        <v>2092900</v>
      </c>
      <c r="R31" s="62">
        <v>10600</v>
      </c>
      <c r="S31" s="64">
        <v>2156200</v>
      </c>
      <c r="T31" s="62">
        <v>12400</v>
      </c>
      <c r="U31" s="64">
        <v>2825616</v>
      </c>
      <c r="V31" s="62">
        <v>1994</v>
      </c>
      <c r="W31" s="64">
        <v>2274708</v>
      </c>
      <c r="X31" s="62">
        <v>421</v>
      </c>
      <c r="Y31" s="64">
        <v>285166</v>
      </c>
      <c r="Z31" s="62">
        <v>154</v>
      </c>
      <c r="AA31" s="133"/>
      <c r="AB31" s="134">
        <v>0.83333333333333337</v>
      </c>
      <c r="AC31" s="66">
        <v>333.33333333333337</v>
      </c>
      <c r="AD31" s="63"/>
      <c r="AE31" s="64">
        <v>179035</v>
      </c>
      <c r="AF31" s="59">
        <v>215</v>
      </c>
      <c r="AG31" s="64">
        <v>492290</v>
      </c>
      <c r="AH31" s="67">
        <v>440</v>
      </c>
      <c r="AI31" s="64">
        <v>1182</v>
      </c>
      <c r="AJ31" s="68">
        <v>0</v>
      </c>
      <c r="AK31" s="64">
        <v>5511</v>
      </c>
      <c r="AL31" s="68">
        <v>12</v>
      </c>
      <c r="AM31" s="19">
        <v>19665</v>
      </c>
      <c r="AN31" s="68">
        <v>174</v>
      </c>
      <c r="AO31" s="19"/>
      <c r="AP31" s="68">
        <v>0</v>
      </c>
      <c r="AQ31" s="64">
        <v>619750</v>
      </c>
      <c r="AR31" s="62">
        <v>160</v>
      </c>
      <c r="AS31" s="76">
        <v>1581</v>
      </c>
      <c r="AT31" s="62">
        <v>2</v>
      </c>
      <c r="AU31" s="64">
        <v>56281</v>
      </c>
      <c r="AV31" s="62">
        <v>0</v>
      </c>
      <c r="AW31" s="58">
        <v>9247</v>
      </c>
      <c r="AX31" s="62">
        <v>1</v>
      </c>
      <c r="AY31" s="64">
        <v>10943</v>
      </c>
      <c r="AZ31" s="62">
        <v>0</v>
      </c>
      <c r="BA31" s="60">
        <v>18211</v>
      </c>
      <c r="BB31" s="62">
        <v>12</v>
      </c>
      <c r="BC31" s="64">
        <v>20368</v>
      </c>
      <c r="BD31" s="62">
        <v>3</v>
      </c>
      <c r="BE31" s="58">
        <v>21048</v>
      </c>
      <c r="BF31" s="67">
        <v>2</v>
      </c>
      <c r="BG31" s="64">
        <v>14332</v>
      </c>
      <c r="BH31" s="67">
        <v>2</v>
      </c>
      <c r="BI31" s="64">
        <v>6606</v>
      </c>
      <c r="BJ31" s="67">
        <v>1</v>
      </c>
      <c r="BK31" s="64">
        <v>27588</v>
      </c>
      <c r="BL31" s="67">
        <v>4</v>
      </c>
      <c r="BM31" s="64">
        <v>5265</v>
      </c>
      <c r="BN31" s="67">
        <v>6</v>
      </c>
      <c r="BO31" s="64">
        <v>24992</v>
      </c>
      <c r="BP31" s="67">
        <v>58</v>
      </c>
      <c r="BQ31" s="64">
        <v>3641</v>
      </c>
      <c r="BR31" s="67">
        <v>0</v>
      </c>
      <c r="BS31" s="67">
        <v>16</v>
      </c>
      <c r="BT31" s="67">
        <v>144</v>
      </c>
      <c r="BU31" s="64">
        <v>637000</v>
      </c>
      <c r="BV31" s="67">
        <v>190</v>
      </c>
      <c r="BW31" s="64">
        <v>4140</v>
      </c>
      <c r="BX31" s="67">
        <v>32</v>
      </c>
      <c r="BY31" s="64">
        <v>835650</v>
      </c>
      <c r="BZ31" s="67">
        <v>240</v>
      </c>
      <c r="CA31" s="64">
        <v>19872</v>
      </c>
      <c r="CB31" s="67">
        <v>68</v>
      </c>
      <c r="CC31" s="77">
        <v>80</v>
      </c>
      <c r="CD31" s="67">
        <v>430</v>
      </c>
      <c r="CE31" s="78">
        <v>27</v>
      </c>
      <c r="CF31" s="58">
        <v>155</v>
      </c>
      <c r="CG31" s="135">
        <v>20161.856671558693</v>
      </c>
      <c r="CH31" s="80"/>
      <c r="CI31" s="136">
        <v>0</v>
      </c>
      <c r="CJ31" s="64">
        <v>240168</v>
      </c>
      <c r="CK31" s="67">
        <v>176</v>
      </c>
      <c r="CL31" s="77">
        <v>1004.96</v>
      </c>
      <c r="CM31" s="60">
        <v>56</v>
      </c>
      <c r="CN31" s="81">
        <v>6034</v>
      </c>
      <c r="CO31" s="60">
        <v>59</v>
      </c>
      <c r="CP31" s="137">
        <v>6357.25</v>
      </c>
      <c r="CQ31" s="60">
        <v>56</v>
      </c>
      <c r="CR31" s="138">
        <v>6034</v>
      </c>
      <c r="CS31" s="139">
        <v>18425.25</v>
      </c>
      <c r="CT31" s="82">
        <v>1185.25</v>
      </c>
      <c r="CU31" s="64"/>
      <c r="CV31" s="64">
        <v>42094</v>
      </c>
      <c r="CW31" s="67">
        <v>26</v>
      </c>
      <c r="CX31" s="77">
        <v>148.46</v>
      </c>
      <c r="CY31" s="64">
        <v>35336</v>
      </c>
      <c r="CZ31" s="67">
        <v>6</v>
      </c>
      <c r="DA31" s="77">
        <v>34.26</v>
      </c>
      <c r="DB31" s="66">
        <v>13386</v>
      </c>
      <c r="DC31" s="67">
        <v>17</v>
      </c>
      <c r="DD31" s="77">
        <v>97.07</v>
      </c>
      <c r="DE31" s="64">
        <v>844329</v>
      </c>
      <c r="DF31" s="67">
        <v>59</v>
      </c>
      <c r="DG31" s="77">
        <v>336.89</v>
      </c>
      <c r="DH31" s="64">
        <v>8976</v>
      </c>
      <c r="DI31" s="67">
        <v>22</v>
      </c>
      <c r="DJ31" s="77">
        <v>125.62</v>
      </c>
      <c r="DK31" s="64">
        <v>9238</v>
      </c>
      <c r="DL31" s="67">
        <v>10</v>
      </c>
      <c r="DM31" s="77">
        <v>57.1</v>
      </c>
      <c r="DN31" s="64">
        <v>5551</v>
      </c>
      <c r="DO31" s="67">
        <v>8</v>
      </c>
      <c r="DP31" s="77">
        <v>45.68</v>
      </c>
      <c r="DQ31" s="64">
        <v>2128</v>
      </c>
      <c r="DR31" s="67">
        <v>2</v>
      </c>
      <c r="DS31" s="77">
        <v>11.42</v>
      </c>
      <c r="DT31" s="64">
        <v>6601</v>
      </c>
      <c r="DU31" s="67">
        <v>8</v>
      </c>
      <c r="DV31" s="77">
        <v>45.68</v>
      </c>
      <c r="DW31" s="64">
        <v>6130</v>
      </c>
      <c r="DX31" s="67">
        <v>13</v>
      </c>
      <c r="DY31" s="77">
        <v>74.23</v>
      </c>
      <c r="DZ31" s="64">
        <v>6834</v>
      </c>
      <c r="EA31" s="67">
        <v>8</v>
      </c>
      <c r="EB31" s="77">
        <v>45.68</v>
      </c>
      <c r="EC31" s="64">
        <v>6815</v>
      </c>
      <c r="ED31" s="67">
        <v>11</v>
      </c>
      <c r="EE31" s="77">
        <v>62.81</v>
      </c>
      <c r="EF31" s="79"/>
      <c r="EG31" s="77">
        <v>0</v>
      </c>
      <c r="EH31" s="79"/>
      <c r="EI31" s="77">
        <v>0</v>
      </c>
      <c r="EJ31" s="84"/>
      <c r="EK31" s="77">
        <v>0</v>
      </c>
      <c r="EL31" s="84"/>
      <c r="EM31" s="77">
        <v>0</v>
      </c>
      <c r="EN31" s="84"/>
      <c r="EO31" s="85"/>
      <c r="EP31" s="140">
        <v>0.46150000000000002</v>
      </c>
      <c r="EQ31" s="86"/>
      <c r="ER31" s="84"/>
      <c r="ES31" s="85"/>
      <c r="ET31" s="88"/>
      <c r="EU31" s="88"/>
      <c r="EV31" s="88"/>
    </row>
    <row r="32" spans="1:157" s="20" customFormat="1" ht="15.75" thickBot="1" x14ac:dyDescent="0.3">
      <c r="A32" s="57">
        <v>44649</v>
      </c>
      <c r="B32" s="64">
        <v>2084664</v>
      </c>
      <c r="C32" s="59">
        <v>26938</v>
      </c>
      <c r="D32" s="64">
        <v>1109552</v>
      </c>
      <c r="E32" s="59">
        <v>25546</v>
      </c>
      <c r="F32" s="90">
        <v>0.94832578513623877</v>
      </c>
      <c r="G32" s="60">
        <v>1318</v>
      </c>
      <c r="H32" s="60">
        <v>1364</v>
      </c>
      <c r="I32" s="61">
        <v>291720</v>
      </c>
      <c r="J32" s="62">
        <v>0</v>
      </c>
      <c r="K32" s="63">
        <v>801</v>
      </c>
      <c r="L32" s="59">
        <v>0</v>
      </c>
      <c r="M32" s="64">
        <v>644665</v>
      </c>
      <c r="N32" s="59">
        <v>0</v>
      </c>
      <c r="O32" s="64">
        <v>1032</v>
      </c>
      <c r="P32" s="62">
        <v>0</v>
      </c>
      <c r="Q32" s="64">
        <v>2103500</v>
      </c>
      <c r="R32" s="62">
        <v>10600</v>
      </c>
      <c r="S32" s="64">
        <v>2168900</v>
      </c>
      <c r="T32" s="62">
        <v>12700</v>
      </c>
      <c r="U32" s="64">
        <v>2828408</v>
      </c>
      <c r="V32" s="62">
        <v>2792</v>
      </c>
      <c r="W32" s="64">
        <v>2275109</v>
      </c>
      <c r="X32" s="62">
        <v>401</v>
      </c>
      <c r="Y32" s="64">
        <v>285539</v>
      </c>
      <c r="Z32" s="62">
        <v>373</v>
      </c>
      <c r="AA32" s="31"/>
      <c r="AB32" s="128">
        <v>0.83333333333333337</v>
      </c>
      <c r="AC32" s="116">
        <v>333.33333333333337</v>
      </c>
      <c r="AD32" s="48"/>
      <c r="AE32" s="117">
        <v>179035</v>
      </c>
      <c r="AF32" s="64">
        <v>0</v>
      </c>
      <c r="AG32" s="63">
        <v>492720</v>
      </c>
      <c r="AH32" s="64">
        <v>430</v>
      </c>
      <c r="AI32" s="59">
        <v>1182</v>
      </c>
      <c r="AJ32" s="64">
        <v>0</v>
      </c>
      <c r="AK32" s="67">
        <v>5517</v>
      </c>
      <c r="AL32" s="64">
        <v>6</v>
      </c>
      <c r="AM32" s="68">
        <v>20025</v>
      </c>
      <c r="AN32" s="64">
        <v>360</v>
      </c>
      <c r="AO32" s="68"/>
      <c r="AP32" s="19">
        <v>0</v>
      </c>
      <c r="AQ32" s="68">
        <v>619910</v>
      </c>
      <c r="AR32" s="19">
        <v>160</v>
      </c>
      <c r="AS32" s="68">
        <v>1583</v>
      </c>
      <c r="AT32" s="19">
        <v>2</v>
      </c>
      <c r="AU32" s="19">
        <v>56281</v>
      </c>
      <c r="AV32" s="64">
        <v>0</v>
      </c>
      <c r="AW32" s="62">
        <v>9249</v>
      </c>
      <c r="AX32" s="76">
        <v>2</v>
      </c>
      <c r="AY32" s="62">
        <v>10945</v>
      </c>
      <c r="AZ32" s="64">
        <v>2</v>
      </c>
      <c r="BA32" s="62">
        <v>18221</v>
      </c>
      <c r="BB32" s="58">
        <v>10</v>
      </c>
      <c r="BC32" s="62">
        <v>20372</v>
      </c>
      <c r="BD32" s="64">
        <v>4</v>
      </c>
      <c r="BE32" s="62">
        <v>21050</v>
      </c>
      <c r="BF32" s="60">
        <v>2</v>
      </c>
      <c r="BG32" s="62">
        <v>14333</v>
      </c>
      <c r="BH32" s="64">
        <v>1</v>
      </c>
      <c r="BI32" s="62">
        <v>6607</v>
      </c>
      <c r="BJ32" s="58">
        <v>1</v>
      </c>
      <c r="BK32" s="67">
        <v>27594</v>
      </c>
      <c r="BL32" s="64">
        <v>6</v>
      </c>
      <c r="BM32" s="67">
        <v>5271</v>
      </c>
      <c r="BN32" s="64">
        <v>6</v>
      </c>
      <c r="BO32" s="67">
        <v>25038</v>
      </c>
      <c r="BP32" s="64">
        <v>46</v>
      </c>
      <c r="BQ32" s="67">
        <v>3641</v>
      </c>
      <c r="BR32" s="64">
        <v>0</v>
      </c>
      <c r="BS32" s="67">
        <v>13</v>
      </c>
      <c r="BT32" s="64">
        <v>147</v>
      </c>
      <c r="BU32" s="67">
        <v>637180</v>
      </c>
      <c r="BV32" s="64">
        <v>180</v>
      </c>
      <c r="BW32" s="67">
        <v>4170</v>
      </c>
      <c r="BX32" s="67">
        <v>30</v>
      </c>
      <c r="BY32" s="67">
        <v>835880</v>
      </c>
      <c r="BZ32" s="64">
        <v>230</v>
      </c>
      <c r="CA32" s="67">
        <v>19942</v>
      </c>
      <c r="CB32" s="64">
        <v>70</v>
      </c>
      <c r="CC32" s="67">
        <v>70</v>
      </c>
      <c r="CD32" s="64">
        <v>410</v>
      </c>
      <c r="CE32" s="67">
        <v>28</v>
      </c>
      <c r="CF32" s="64">
        <v>155</v>
      </c>
      <c r="CG32" s="118">
        <v>20161.856671558693</v>
      </c>
      <c r="CH32" s="77"/>
      <c r="CI32" s="118">
        <v>0</v>
      </c>
      <c r="CJ32" s="78">
        <v>240346</v>
      </c>
      <c r="CK32" s="58">
        <v>178</v>
      </c>
      <c r="CL32" s="119">
        <v>1016.38</v>
      </c>
      <c r="CM32" s="80">
        <v>52</v>
      </c>
      <c r="CN32" s="129">
        <v>5603</v>
      </c>
      <c r="CO32" s="60">
        <v>56</v>
      </c>
      <c r="CP32" s="121">
        <v>6034</v>
      </c>
      <c r="CQ32" s="77">
        <v>52</v>
      </c>
      <c r="CR32" s="132">
        <v>5603</v>
      </c>
      <c r="CS32" s="81">
        <v>17240</v>
      </c>
      <c r="CT32" s="132">
        <v>1185.25</v>
      </c>
      <c r="CU32" s="77"/>
      <c r="CV32" s="60">
        <v>42131</v>
      </c>
      <c r="CW32" s="123">
        <v>37</v>
      </c>
      <c r="CX32" s="124">
        <v>211.27</v>
      </c>
      <c r="CY32" s="125">
        <v>35336</v>
      </c>
      <c r="CZ32" s="64">
        <v>0</v>
      </c>
      <c r="DA32" s="60">
        <v>0</v>
      </c>
      <c r="DB32" s="67">
        <v>13404</v>
      </c>
      <c r="DC32" s="77">
        <v>18</v>
      </c>
      <c r="DD32" s="60">
        <v>102.78</v>
      </c>
      <c r="DE32" s="67">
        <v>844386</v>
      </c>
      <c r="DF32" s="77">
        <v>57</v>
      </c>
      <c r="DG32" s="60">
        <v>325.46999999999997</v>
      </c>
      <c r="DH32" s="67">
        <v>9000</v>
      </c>
      <c r="DI32" s="77">
        <v>24</v>
      </c>
      <c r="DJ32" s="60">
        <v>137.04</v>
      </c>
      <c r="DK32" s="67">
        <v>9248</v>
      </c>
      <c r="DL32" s="77">
        <v>10</v>
      </c>
      <c r="DM32" s="60">
        <v>57.1</v>
      </c>
      <c r="DN32" s="67">
        <v>5559.9</v>
      </c>
      <c r="DO32" s="77">
        <v>8.8999999999996362</v>
      </c>
      <c r="DP32" s="60">
        <v>50.818999999997921</v>
      </c>
      <c r="DQ32" s="67">
        <v>2129</v>
      </c>
      <c r="DR32" s="77">
        <v>1</v>
      </c>
      <c r="DS32" s="60">
        <v>5.71</v>
      </c>
      <c r="DT32" s="67">
        <v>6610</v>
      </c>
      <c r="DU32" s="77">
        <v>9</v>
      </c>
      <c r="DV32" s="60">
        <v>51.39</v>
      </c>
      <c r="DW32" s="67">
        <v>6143</v>
      </c>
      <c r="DX32" s="77">
        <v>13</v>
      </c>
      <c r="DY32" s="60">
        <v>74.23</v>
      </c>
      <c r="DZ32" s="67">
        <v>6843</v>
      </c>
      <c r="EA32" s="77">
        <v>9</v>
      </c>
      <c r="EB32" s="60">
        <v>51.39</v>
      </c>
      <c r="EC32" s="67">
        <v>6824</v>
      </c>
      <c r="ED32" s="77">
        <v>9</v>
      </c>
      <c r="EE32" s="60">
        <v>51.39</v>
      </c>
      <c r="EF32" s="67"/>
      <c r="EG32" s="77">
        <v>0</v>
      </c>
      <c r="EH32" s="60"/>
      <c r="EI32" s="67">
        <v>0</v>
      </c>
      <c r="EJ32" s="77"/>
      <c r="EK32" s="79">
        <v>0</v>
      </c>
      <c r="EL32" s="77"/>
      <c r="EM32" s="79">
        <v>0</v>
      </c>
      <c r="EN32" s="77"/>
      <c r="EO32" s="84"/>
      <c r="EP32" s="130">
        <v>0.45050000000000001</v>
      </c>
      <c r="EQ32" s="84"/>
      <c r="ER32" s="77"/>
      <c r="ES32" s="84"/>
      <c r="ET32" s="85"/>
      <c r="EU32" s="131"/>
      <c r="EV32" s="86"/>
      <c r="EW32" s="84"/>
      <c r="EX32" s="85"/>
      <c r="EY32" s="88"/>
      <c r="EZ32" s="88"/>
      <c r="FA32" s="88"/>
    </row>
    <row r="33" spans="1:157" s="20" customFormat="1" ht="15.75" thickBot="1" x14ac:dyDescent="0.3">
      <c r="A33" s="57">
        <v>44650</v>
      </c>
      <c r="B33" s="64">
        <v>2110472</v>
      </c>
      <c r="C33" s="59">
        <v>25808</v>
      </c>
      <c r="D33" s="64">
        <v>1134033</v>
      </c>
      <c r="E33" s="59">
        <v>24481</v>
      </c>
      <c r="F33" s="90">
        <v>0.94858183508989458</v>
      </c>
      <c r="G33" s="60">
        <v>1318</v>
      </c>
      <c r="H33" s="60">
        <v>1364</v>
      </c>
      <c r="I33" s="61">
        <v>291720</v>
      </c>
      <c r="J33" s="62">
        <v>0</v>
      </c>
      <c r="K33" s="63">
        <v>801</v>
      </c>
      <c r="L33" s="59">
        <v>0</v>
      </c>
      <c r="M33" s="64">
        <v>644665</v>
      </c>
      <c r="N33" s="59">
        <v>0</v>
      </c>
      <c r="O33" s="64">
        <v>1032</v>
      </c>
      <c r="P33" s="62">
        <v>0</v>
      </c>
      <c r="Q33" s="64">
        <v>2114100</v>
      </c>
      <c r="R33" s="62">
        <v>10600</v>
      </c>
      <c r="S33" s="64">
        <v>2180500</v>
      </c>
      <c r="T33" s="62">
        <v>11600</v>
      </c>
      <c r="U33" s="64">
        <v>2830300</v>
      </c>
      <c r="V33" s="62">
        <v>1892</v>
      </c>
      <c r="W33" s="64">
        <v>2275529</v>
      </c>
      <c r="X33" s="62">
        <v>420</v>
      </c>
      <c r="Y33" s="64">
        <v>285783</v>
      </c>
      <c r="Z33" s="62">
        <v>244</v>
      </c>
      <c r="AA33" s="31"/>
      <c r="AB33" s="128">
        <v>0.66666666666666663</v>
      </c>
      <c r="AC33" s="116">
        <v>266.66666666666663</v>
      </c>
      <c r="AD33" s="48"/>
      <c r="AE33" s="117">
        <v>179066</v>
      </c>
      <c r="AF33" s="64">
        <v>31</v>
      </c>
      <c r="AG33" s="63">
        <v>493150</v>
      </c>
      <c r="AH33" s="64">
        <v>430</v>
      </c>
      <c r="AI33" s="59">
        <v>1182</v>
      </c>
      <c r="AJ33" s="64">
        <v>0</v>
      </c>
      <c r="AK33" s="67">
        <v>5529</v>
      </c>
      <c r="AL33" s="64">
        <v>12</v>
      </c>
      <c r="AM33" s="68">
        <v>20362</v>
      </c>
      <c r="AN33" s="64">
        <v>337</v>
      </c>
      <c r="AO33" s="68"/>
      <c r="AP33" s="19">
        <v>0</v>
      </c>
      <c r="AQ33" s="68">
        <v>620070</v>
      </c>
      <c r="AR33" s="19">
        <v>160</v>
      </c>
      <c r="AS33" s="68">
        <v>1586</v>
      </c>
      <c r="AT33" s="19">
        <v>3</v>
      </c>
      <c r="AU33" s="19">
        <v>56281</v>
      </c>
      <c r="AV33" s="64">
        <v>0</v>
      </c>
      <c r="AW33" s="62">
        <v>9251</v>
      </c>
      <c r="AX33" s="76">
        <v>2</v>
      </c>
      <c r="AY33" s="62">
        <v>10947</v>
      </c>
      <c r="AZ33" s="64">
        <v>2</v>
      </c>
      <c r="BA33" s="62">
        <v>18223</v>
      </c>
      <c r="BB33" s="58">
        <v>2</v>
      </c>
      <c r="BC33" s="62">
        <v>20376</v>
      </c>
      <c r="BD33" s="64">
        <v>4</v>
      </c>
      <c r="BE33" s="62">
        <v>21052</v>
      </c>
      <c r="BF33" s="60">
        <v>2</v>
      </c>
      <c r="BG33" s="62">
        <v>14335</v>
      </c>
      <c r="BH33" s="64">
        <v>2</v>
      </c>
      <c r="BI33" s="62">
        <v>6608</v>
      </c>
      <c r="BJ33" s="58">
        <v>1</v>
      </c>
      <c r="BK33" s="67">
        <v>27600</v>
      </c>
      <c r="BL33" s="64">
        <v>6</v>
      </c>
      <c r="BM33" s="67">
        <v>5276</v>
      </c>
      <c r="BN33" s="64">
        <v>5</v>
      </c>
      <c r="BO33" s="67">
        <v>25124</v>
      </c>
      <c r="BP33" s="64">
        <v>86</v>
      </c>
      <c r="BQ33" s="67">
        <v>3641</v>
      </c>
      <c r="BR33" s="64">
        <v>0</v>
      </c>
      <c r="BS33" s="67">
        <v>6</v>
      </c>
      <c r="BT33" s="64">
        <v>154</v>
      </c>
      <c r="BU33" s="67">
        <v>637370</v>
      </c>
      <c r="BV33" s="64">
        <v>190</v>
      </c>
      <c r="BW33" s="67">
        <v>4201</v>
      </c>
      <c r="BX33" s="67">
        <v>31</v>
      </c>
      <c r="BY33" s="67">
        <v>836120</v>
      </c>
      <c r="BZ33" s="64">
        <v>240</v>
      </c>
      <c r="CA33" s="67">
        <v>20017</v>
      </c>
      <c r="CB33" s="64">
        <v>75</v>
      </c>
      <c r="CC33" s="67">
        <v>80</v>
      </c>
      <c r="CD33" s="64">
        <v>430</v>
      </c>
      <c r="CE33" s="67">
        <v>20</v>
      </c>
      <c r="CF33" s="64">
        <v>155</v>
      </c>
      <c r="CG33" s="118">
        <v>20161.856671558693</v>
      </c>
      <c r="CH33" s="77"/>
      <c r="CI33" s="118">
        <v>0</v>
      </c>
      <c r="CJ33" s="78">
        <v>240561</v>
      </c>
      <c r="CK33" s="58">
        <v>215</v>
      </c>
      <c r="CL33" s="119">
        <v>1227.6500000000001</v>
      </c>
      <c r="CM33" s="80">
        <v>49</v>
      </c>
      <c r="CN33" s="129">
        <v>5279.75</v>
      </c>
      <c r="CO33" s="60">
        <v>51</v>
      </c>
      <c r="CP33" s="121">
        <v>5495.25</v>
      </c>
      <c r="CQ33" s="77">
        <v>49</v>
      </c>
      <c r="CR33" s="132">
        <v>5279.75</v>
      </c>
      <c r="CS33" s="81">
        <v>16054.75</v>
      </c>
      <c r="CT33" s="132">
        <v>1185.25</v>
      </c>
      <c r="CU33" s="77"/>
      <c r="CV33" s="60">
        <v>42173</v>
      </c>
      <c r="CW33" s="123">
        <v>42</v>
      </c>
      <c r="CX33" s="124">
        <v>239.82</v>
      </c>
      <c r="CY33" s="125">
        <v>35342</v>
      </c>
      <c r="CZ33" s="64">
        <v>6</v>
      </c>
      <c r="DA33" s="60">
        <v>34.26</v>
      </c>
      <c r="DB33" s="67">
        <v>13416</v>
      </c>
      <c r="DC33" s="77">
        <v>12</v>
      </c>
      <c r="DD33" s="60">
        <v>68.52</v>
      </c>
      <c r="DE33" s="67">
        <v>844443</v>
      </c>
      <c r="DF33" s="77">
        <v>57</v>
      </c>
      <c r="DG33" s="60">
        <v>325.46999999999997</v>
      </c>
      <c r="DH33" s="67">
        <v>9025</v>
      </c>
      <c r="DI33" s="77">
        <v>25</v>
      </c>
      <c r="DJ33" s="60">
        <v>142.75</v>
      </c>
      <c r="DK33" s="67">
        <v>9259</v>
      </c>
      <c r="DL33" s="77">
        <v>11</v>
      </c>
      <c r="DM33" s="60">
        <v>62.81</v>
      </c>
      <c r="DN33" s="67">
        <v>5568</v>
      </c>
      <c r="DO33" s="77">
        <v>8.1000000000003638</v>
      </c>
      <c r="DP33" s="60">
        <v>46.25100000000208</v>
      </c>
      <c r="DQ33" s="67">
        <v>2130</v>
      </c>
      <c r="DR33" s="77">
        <v>1</v>
      </c>
      <c r="DS33" s="60">
        <v>5.71</v>
      </c>
      <c r="DT33" s="67">
        <v>6620</v>
      </c>
      <c r="DU33" s="77">
        <v>10</v>
      </c>
      <c r="DV33" s="60">
        <v>57.1</v>
      </c>
      <c r="DW33" s="67">
        <v>6157</v>
      </c>
      <c r="DX33" s="77">
        <v>14</v>
      </c>
      <c r="DY33" s="60">
        <v>79.94</v>
      </c>
      <c r="DZ33" s="67">
        <v>6852</v>
      </c>
      <c r="EA33" s="77">
        <v>9</v>
      </c>
      <c r="EB33" s="60">
        <v>51.39</v>
      </c>
      <c r="EC33" s="67">
        <v>6835</v>
      </c>
      <c r="ED33" s="77">
        <v>11</v>
      </c>
      <c r="EE33" s="60">
        <v>62.81</v>
      </c>
      <c r="EF33" s="67"/>
      <c r="EG33" s="77">
        <v>0</v>
      </c>
      <c r="EH33" s="60"/>
      <c r="EI33" s="67">
        <v>0</v>
      </c>
      <c r="EJ33" s="77"/>
      <c r="EK33" s="79">
        <v>0</v>
      </c>
      <c r="EL33" s="77"/>
      <c r="EM33" s="79">
        <v>0</v>
      </c>
      <c r="EN33" s="77"/>
      <c r="EO33" s="84"/>
      <c r="EP33" s="130">
        <v>0.42859999999999998</v>
      </c>
      <c r="EQ33" s="84"/>
      <c r="ER33" s="77"/>
      <c r="ES33" s="84"/>
      <c r="ET33" s="85"/>
      <c r="EU33" s="131"/>
      <c r="EV33" s="86"/>
      <c r="EW33" s="84"/>
      <c r="EX33" s="85"/>
      <c r="EY33" s="88"/>
      <c r="EZ33" s="88"/>
      <c r="FA33" s="88"/>
    </row>
    <row r="34" spans="1:157" s="20" customFormat="1" ht="15.75" thickBot="1" x14ac:dyDescent="0.3">
      <c r="A34" s="57">
        <v>44651</v>
      </c>
      <c r="B34" s="58">
        <v>2134502</v>
      </c>
      <c r="C34" s="59">
        <v>24030</v>
      </c>
      <c r="D34" s="58">
        <v>1156867</v>
      </c>
      <c r="E34" s="59">
        <v>22834</v>
      </c>
      <c r="F34" s="90">
        <v>0.95022888056595922</v>
      </c>
      <c r="G34" s="60">
        <v>1318</v>
      </c>
      <c r="H34" s="60">
        <v>1364</v>
      </c>
      <c r="I34" s="61">
        <v>291720</v>
      </c>
      <c r="J34" s="62">
        <v>0</v>
      </c>
      <c r="K34" s="63">
        <v>801</v>
      </c>
      <c r="L34" s="59">
        <v>0</v>
      </c>
      <c r="M34" s="64">
        <v>644665</v>
      </c>
      <c r="N34" s="59">
        <v>0</v>
      </c>
      <c r="O34" s="64">
        <v>1032</v>
      </c>
      <c r="P34" s="62">
        <v>0</v>
      </c>
      <c r="Q34" s="58">
        <v>2124100</v>
      </c>
      <c r="R34" s="62">
        <v>10000</v>
      </c>
      <c r="S34" s="58">
        <v>2191200</v>
      </c>
      <c r="T34" s="62">
        <v>10700</v>
      </c>
      <c r="U34" s="58">
        <v>2831133</v>
      </c>
      <c r="V34" s="62">
        <v>833</v>
      </c>
      <c r="W34" s="64">
        <v>2275968</v>
      </c>
      <c r="X34" s="62">
        <v>439</v>
      </c>
      <c r="Y34" s="58">
        <v>286066</v>
      </c>
      <c r="Z34" s="62">
        <v>283</v>
      </c>
      <c r="AA34" s="31"/>
      <c r="AB34" s="115">
        <v>0.88888888888888884</v>
      </c>
      <c r="AC34" s="116">
        <v>355.55555555555554</v>
      </c>
      <c r="AD34" s="48"/>
      <c r="AE34" s="117">
        <v>179437</v>
      </c>
      <c r="AF34" s="64">
        <v>371</v>
      </c>
      <c r="AG34" s="104">
        <v>493600</v>
      </c>
      <c r="AH34" s="64">
        <v>450</v>
      </c>
      <c r="AI34" s="59">
        <v>1182</v>
      </c>
      <c r="AJ34" s="58">
        <v>0</v>
      </c>
      <c r="AK34" s="67">
        <v>5529</v>
      </c>
      <c r="AL34" s="64">
        <v>0</v>
      </c>
      <c r="AM34" s="68">
        <v>20664</v>
      </c>
      <c r="AN34" s="64">
        <v>302</v>
      </c>
      <c r="AO34" s="68"/>
      <c r="AP34" s="20">
        <v>0</v>
      </c>
      <c r="AQ34" s="68">
        <v>620210</v>
      </c>
      <c r="AR34" s="20">
        <v>140</v>
      </c>
      <c r="AS34" s="68">
        <v>1589</v>
      </c>
      <c r="AT34" s="20">
        <v>3</v>
      </c>
      <c r="AU34" s="20">
        <v>56281</v>
      </c>
      <c r="AV34" s="58">
        <v>0</v>
      </c>
      <c r="AW34" s="62">
        <v>9253</v>
      </c>
      <c r="AX34" s="91">
        <v>2</v>
      </c>
      <c r="AY34" s="62">
        <v>10948</v>
      </c>
      <c r="AZ34" s="58">
        <v>1</v>
      </c>
      <c r="BA34" s="62">
        <v>18248</v>
      </c>
      <c r="BB34" s="58">
        <v>25</v>
      </c>
      <c r="BC34" s="62">
        <v>20380</v>
      </c>
      <c r="BD34" s="64">
        <v>4</v>
      </c>
      <c r="BE34" s="62">
        <v>21054</v>
      </c>
      <c r="BF34" s="93">
        <v>2</v>
      </c>
      <c r="BG34" s="62">
        <v>14337</v>
      </c>
      <c r="BH34" s="64">
        <v>2</v>
      </c>
      <c r="BI34" s="62">
        <v>6608</v>
      </c>
      <c r="BJ34" s="64">
        <v>0</v>
      </c>
      <c r="BK34" s="67">
        <v>27605</v>
      </c>
      <c r="BL34" s="58">
        <v>5</v>
      </c>
      <c r="BM34" s="67">
        <v>5283</v>
      </c>
      <c r="BN34" s="58">
        <v>7</v>
      </c>
      <c r="BO34" s="67">
        <v>25183</v>
      </c>
      <c r="BP34" s="58">
        <v>59</v>
      </c>
      <c r="BQ34" s="67">
        <v>3641</v>
      </c>
      <c r="BR34" s="58">
        <v>0</v>
      </c>
      <c r="BS34" s="67">
        <v>29</v>
      </c>
      <c r="BT34" s="58">
        <v>111</v>
      </c>
      <c r="BU34" s="67">
        <v>637570</v>
      </c>
      <c r="BV34" s="58">
        <v>200</v>
      </c>
      <c r="BW34" s="67">
        <v>4234</v>
      </c>
      <c r="BX34" s="67">
        <v>33</v>
      </c>
      <c r="BY34" s="67">
        <v>836350</v>
      </c>
      <c r="BZ34" s="58">
        <v>230</v>
      </c>
      <c r="CA34" s="67">
        <v>20097</v>
      </c>
      <c r="CB34" s="58">
        <v>80</v>
      </c>
      <c r="CC34" s="67">
        <v>90</v>
      </c>
      <c r="CD34" s="58">
        <v>430</v>
      </c>
      <c r="CE34" s="67">
        <v>43</v>
      </c>
      <c r="CF34" s="58">
        <v>155</v>
      </c>
      <c r="CG34" s="118">
        <v>20161.856671558693</v>
      </c>
      <c r="CH34" s="77"/>
      <c r="CI34" s="118">
        <v>0</v>
      </c>
      <c r="CJ34" s="78">
        <v>240742</v>
      </c>
      <c r="CK34" s="58">
        <v>181</v>
      </c>
      <c r="CL34" s="119">
        <v>1033.51</v>
      </c>
      <c r="CM34" s="92">
        <v>45</v>
      </c>
      <c r="CN34" s="129">
        <v>4848.75</v>
      </c>
      <c r="CO34" s="93">
        <v>49</v>
      </c>
      <c r="CP34" s="121">
        <v>5279.75</v>
      </c>
      <c r="CQ34" s="77">
        <v>45</v>
      </c>
      <c r="CR34" s="122">
        <v>4848.75</v>
      </c>
      <c r="CS34" s="81">
        <v>14977.25</v>
      </c>
      <c r="CT34" s="122">
        <v>1077.5</v>
      </c>
      <c r="CU34" s="77"/>
      <c r="CV34" s="93">
        <v>42207</v>
      </c>
      <c r="CW34" s="123">
        <v>34</v>
      </c>
      <c r="CX34" s="124">
        <v>194.14</v>
      </c>
      <c r="CY34" s="125">
        <v>35348</v>
      </c>
      <c r="CZ34" s="94">
        <v>6</v>
      </c>
      <c r="DA34" s="93">
        <v>34.26</v>
      </c>
      <c r="DB34" s="67">
        <v>13434</v>
      </c>
      <c r="DC34" s="77">
        <v>18</v>
      </c>
      <c r="DD34" s="93">
        <v>102.78</v>
      </c>
      <c r="DE34" s="67">
        <v>844523</v>
      </c>
      <c r="DF34" s="77">
        <v>80</v>
      </c>
      <c r="DG34" s="93">
        <v>456.8</v>
      </c>
      <c r="DH34" s="67">
        <v>9051</v>
      </c>
      <c r="DI34" s="77">
        <v>26</v>
      </c>
      <c r="DJ34" s="93">
        <v>148.46</v>
      </c>
      <c r="DK34" s="67">
        <v>9269</v>
      </c>
      <c r="DL34" s="77">
        <v>10</v>
      </c>
      <c r="DM34" s="93">
        <v>57.1</v>
      </c>
      <c r="DN34" s="67">
        <v>5577</v>
      </c>
      <c r="DO34" s="77">
        <v>9</v>
      </c>
      <c r="DP34" s="93">
        <v>51.39</v>
      </c>
      <c r="DQ34" s="67">
        <v>2132</v>
      </c>
      <c r="DR34" s="77">
        <v>2</v>
      </c>
      <c r="DS34" s="93">
        <v>11.42</v>
      </c>
      <c r="DT34" s="67">
        <v>6628</v>
      </c>
      <c r="DU34" s="77">
        <v>8</v>
      </c>
      <c r="DV34" s="93">
        <v>45.68</v>
      </c>
      <c r="DW34" s="67">
        <v>6171</v>
      </c>
      <c r="DX34" s="77">
        <v>14</v>
      </c>
      <c r="DY34" s="93">
        <v>79.94</v>
      </c>
      <c r="DZ34" s="67">
        <v>6860</v>
      </c>
      <c r="EA34" s="77">
        <v>8</v>
      </c>
      <c r="EB34" s="93">
        <v>45.68</v>
      </c>
      <c r="EC34" s="67">
        <v>6847</v>
      </c>
      <c r="ED34" s="77">
        <v>12</v>
      </c>
      <c r="EE34" s="93">
        <v>68.52</v>
      </c>
      <c r="EF34" s="67"/>
      <c r="EG34" s="77">
        <v>0</v>
      </c>
      <c r="EH34" s="93"/>
      <c r="EI34" s="67">
        <v>0</v>
      </c>
      <c r="EJ34" s="77"/>
      <c r="EK34" s="92">
        <v>0</v>
      </c>
      <c r="EL34" s="95"/>
      <c r="EM34" s="92">
        <v>0</v>
      </c>
      <c r="EN34" s="95"/>
      <c r="EO34" s="58"/>
      <c r="EP34" s="126">
        <v>0.35160000000000002</v>
      </c>
      <c r="EQ34" s="58"/>
      <c r="ER34" s="95"/>
      <c r="ES34" s="58"/>
      <c r="ET34" s="58"/>
      <c r="EU34" s="127"/>
      <c r="EV34" s="58"/>
      <c r="EW34" s="58"/>
      <c r="EX34" s="58"/>
    </row>
    <row r="35" spans="1:157" ht="15" x14ac:dyDescent="0.25">
      <c r="W35" s="14"/>
      <c r="X35" s="13"/>
      <c r="AA35" s="31"/>
      <c r="CH35" s="14"/>
      <c r="CI35" s="14"/>
      <c r="CJ35" s="14"/>
      <c r="CK35" s="14"/>
      <c r="EH35" s="14"/>
      <c r="EI35" s="14"/>
      <c r="EJ35" s="14"/>
      <c r="EK35" s="14"/>
      <c r="EX35"/>
    </row>
    <row r="36" spans="1:157" x14ac:dyDescent="0.2">
      <c r="A36" s="21"/>
      <c r="D36" s="8"/>
    </row>
    <row r="37" spans="1:157" x14ac:dyDescent="0.2">
      <c r="A37" s="21"/>
      <c r="D37" s="8"/>
    </row>
    <row r="38" spans="1:157" x14ac:dyDescent="0.2">
      <c r="A38" s="21"/>
      <c r="D38" s="8"/>
    </row>
    <row r="39" spans="1:157" x14ac:dyDescent="0.2">
      <c r="A39" s="21"/>
      <c r="D39" s="8"/>
    </row>
    <row r="40" spans="1:157" x14ac:dyDescent="0.2">
      <c r="A40" s="21"/>
      <c r="D40" s="8"/>
    </row>
    <row r="41" spans="1:157" x14ac:dyDescent="0.2">
      <c r="A41" s="21"/>
      <c r="D41" s="8"/>
    </row>
    <row r="42" spans="1:157" ht="39.75" customHeight="1" x14ac:dyDescent="0.2">
      <c r="A42" s="21"/>
      <c r="D42" s="8"/>
    </row>
    <row r="43" spans="1:157" x14ac:dyDescent="0.2">
      <c r="A43" s="21"/>
      <c r="D43" s="8"/>
    </row>
    <row r="44" spans="1:157" x14ac:dyDescent="0.2">
      <c r="A44" s="21"/>
      <c r="D44" s="8"/>
    </row>
    <row r="45" spans="1:157" x14ac:dyDescent="0.2">
      <c r="A45" s="21"/>
      <c r="D45" s="8"/>
    </row>
    <row r="46" spans="1:157" x14ac:dyDescent="0.2">
      <c r="A46" s="21"/>
      <c r="D46" s="8"/>
    </row>
    <row r="47" spans="1:157" x14ac:dyDescent="0.2">
      <c r="A47" s="21"/>
      <c r="D47" s="8"/>
    </row>
    <row r="48" spans="1:157" x14ac:dyDescent="0.2">
      <c r="A48" s="21"/>
      <c r="D48" s="8"/>
    </row>
    <row r="49" spans="1:1" x14ac:dyDescent="0.2">
      <c r="A49" s="21"/>
    </row>
    <row r="50" spans="1:1" x14ac:dyDescent="0.2">
      <c r="A50" s="21"/>
    </row>
    <row r="51" spans="1:1" x14ac:dyDescent="0.2">
      <c r="A51" s="21"/>
    </row>
    <row r="52" spans="1:1" x14ac:dyDescent="0.2">
      <c r="A52" s="21"/>
    </row>
  </sheetData>
  <sheetProtection selectLockedCells="1" selectUnlockedCells="1"/>
  <mergeCells count="30">
    <mergeCell ref="DM1:DO1"/>
    <mergeCell ref="BW1:BX1"/>
    <mergeCell ref="CA1:CB1"/>
    <mergeCell ref="AY1:AZ1"/>
    <mergeCell ref="BA1:BB1"/>
    <mergeCell ref="BC1:BD1"/>
    <mergeCell ref="BE1:BF1"/>
    <mergeCell ref="BK1:BL1"/>
    <mergeCell ref="BG1:BH1"/>
    <mergeCell ref="BI1:BJ1"/>
    <mergeCell ref="BY1:BZ1"/>
    <mergeCell ref="CC1:CD1"/>
    <mergeCell ref="B1:H1"/>
    <mergeCell ref="I1:L1"/>
    <mergeCell ref="M1:P1"/>
    <mergeCell ref="DG1:DI1"/>
    <mergeCell ref="DJ1:DL1"/>
    <mergeCell ref="Y1:Z1"/>
    <mergeCell ref="AI1:AJ1"/>
    <mergeCell ref="AS1:AT1"/>
    <mergeCell ref="AW1:AX1"/>
    <mergeCell ref="AU1:AV1"/>
    <mergeCell ref="AQ1:AR1"/>
    <mergeCell ref="EE1:EG1"/>
    <mergeCell ref="ES1:EU1"/>
    <mergeCell ref="DP1:DR1"/>
    <mergeCell ref="DS1:DU1"/>
    <mergeCell ref="DV1:DX1"/>
    <mergeCell ref="DY1:EA1"/>
    <mergeCell ref="EB1:ED1"/>
  </mergeCells>
  <conditionalFormatting sqref="A35:H35 CA35:CB35 K35:L35 AW35:BX35 CE35 P1:AF1 A2:Z2 O35:Z35 A42:EO42 A36:EN38 CH35:EN35 EO35:ER38 A43:JU65512 EY35:JU35 ET36:JU36 CE1:XFD1 AI2:AN2 EV32:XFD34 EV3:XFD3 ES37:JU42 A39:ER41 AB35:AT35 AB2:AF2 AA2:AA3 AC3:AD3 AS2:XFD2 AC32:AD34 AA32:AA35">
    <cfRule type="cellIs" dxfId="823" priority="10573" operator="lessThan">
      <formula>0</formula>
    </cfRule>
  </conditionalFormatting>
  <conditionalFormatting sqref="I35:J35">
    <cfRule type="cellIs" dxfId="822" priority="6806" operator="lessThan">
      <formula>0</formula>
    </cfRule>
  </conditionalFormatting>
  <conditionalFormatting sqref="M35:N35">
    <cfRule type="cellIs" dxfId="821" priority="6799" operator="lessThan">
      <formula>0</formula>
    </cfRule>
  </conditionalFormatting>
  <conditionalFormatting sqref="AU35:AV35">
    <cfRule type="cellIs" dxfId="820" priority="6792" operator="lessThan">
      <formula>0</formula>
    </cfRule>
  </conditionalFormatting>
  <conditionalFormatting sqref="BY35:BZ35">
    <cfRule type="cellIs" dxfId="819" priority="6782" operator="lessThan">
      <formula>0</formula>
    </cfRule>
  </conditionalFormatting>
  <conditionalFormatting sqref="CC35:CD35">
    <cfRule type="cellIs" dxfId="818" priority="6773" operator="lessThan">
      <formula>0</formula>
    </cfRule>
  </conditionalFormatting>
  <conditionalFormatting sqref="CF35:CG35">
    <cfRule type="cellIs" dxfId="817" priority="6762" operator="lessThan">
      <formula>0</formula>
    </cfRule>
  </conditionalFormatting>
  <conditionalFormatting sqref="ES35:EW35">
    <cfRule type="cellIs" dxfId="816" priority="6751" operator="lessThan">
      <formula>0</formula>
    </cfRule>
  </conditionalFormatting>
  <conditionalFormatting sqref="A1:H1 L1 AW1:BY1 CA1:CB1 AI1:AP1 AS1:AU1">
    <cfRule type="cellIs" dxfId="815" priority="6691" operator="lessThan">
      <formula>0</formula>
    </cfRule>
  </conditionalFormatting>
  <conditionalFormatting sqref="CC1">
    <cfRule type="cellIs" dxfId="814" priority="6690" operator="lessThan">
      <formula>0</formula>
    </cfRule>
  </conditionalFormatting>
  <conditionalFormatting sqref="AG1:AH1">
    <cfRule type="cellIs" dxfId="813" priority="6689" operator="lessThan">
      <formula>0</formula>
    </cfRule>
  </conditionalFormatting>
  <conditionalFormatting sqref="AG2:AH2">
    <cfRule type="cellIs" dxfId="812" priority="6628" operator="lessThan">
      <formula>0</formula>
    </cfRule>
  </conditionalFormatting>
  <conditionalFormatting sqref="EX35">
    <cfRule type="cellIs" dxfId="811" priority="4289" operator="lessThan">
      <formula>0</formula>
    </cfRule>
  </conditionalFormatting>
  <conditionalFormatting sqref="EP32:EP34">
    <cfRule type="cellIs" dxfId="810" priority="969" operator="lessThan">
      <formula>0</formula>
    </cfRule>
  </conditionalFormatting>
  <conditionalFormatting sqref="ER32:ER34">
    <cfRule type="cellIs" dxfId="809" priority="968" operator="lessThan">
      <formula>0</formula>
    </cfRule>
  </conditionalFormatting>
  <conditionalFormatting sqref="AK32:AK34 AW32:AW34 BX32:BY34">
    <cfRule type="cellIs" dxfId="808" priority="967" operator="lessThan">
      <formula>0</formula>
    </cfRule>
  </conditionalFormatting>
  <conditionalFormatting sqref="CS32:CS34 CY32:CY34">
    <cfRule type="cellIs" dxfId="807" priority="966" operator="lessThan">
      <formula>0</formula>
    </cfRule>
  </conditionalFormatting>
  <conditionalFormatting sqref="CH32:CJ34">
    <cfRule type="cellIs" dxfId="806" priority="965" operator="lessThan">
      <formula>0</formula>
    </cfRule>
  </conditionalFormatting>
  <conditionalFormatting sqref="CL32:CL34">
    <cfRule type="cellIs" dxfId="805" priority="964" operator="lessThan">
      <formula>0</formula>
    </cfRule>
  </conditionalFormatting>
  <conditionalFormatting sqref="CP32:CP34">
    <cfRule type="cellIs" dxfId="804" priority="963" operator="lessThan">
      <formula>0</formula>
    </cfRule>
  </conditionalFormatting>
  <conditionalFormatting sqref="CQ32:CQ34">
    <cfRule type="cellIs" dxfId="803" priority="962" operator="lessThan">
      <formula>0</formula>
    </cfRule>
  </conditionalFormatting>
  <conditionalFormatting sqref="CU32:CU34">
    <cfRule type="cellIs" dxfId="802" priority="961" operator="lessThan">
      <formula>0</formula>
    </cfRule>
  </conditionalFormatting>
  <conditionalFormatting sqref="CW32:CW34">
    <cfRule type="cellIs" dxfId="801" priority="960" operator="lessThan">
      <formula>0</formula>
    </cfRule>
  </conditionalFormatting>
  <conditionalFormatting sqref="BJ32:BJ33 CK32:CK34">
    <cfRule type="cellIs" dxfId="800" priority="935" operator="lessThan">
      <formula>0</formula>
    </cfRule>
  </conditionalFormatting>
  <conditionalFormatting sqref="BL32:BL34">
    <cfRule type="cellIs" dxfId="799" priority="934" operator="lessThan">
      <formula>0</formula>
    </cfRule>
  </conditionalFormatting>
  <conditionalFormatting sqref="V3 V32:V34">
    <cfRule type="cellIs" dxfId="798" priority="930" operator="lessThan">
      <formula>0</formula>
    </cfRule>
  </conditionalFormatting>
  <conditionalFormatting sqref="AE3 BB3 BE3:BG3 DB3:DC3 AG3">
    <cfRule type="cellIs" dxfId="797" priority="900" operator="lessThan">
      <formula>0</formula>
    </cfRule>
  </conditionalFormatting>
  <conditionalFormatting sqref="AH3">
    <cfRule type="cellIs" dxfId="796" priority="899" operator="lessThan">
      <formula>0</formula>
    </cfRule>
  </conditionalFormatting>
  <conditionalFormatting sqref="AB3">
    <cfRule type="cellIs" dxfId="795" priority="898" operator="lessThan">
      <formula>0</formula>
    </cfRule>
  </conditionalFormatting>
  <conditionalFormatting sqref="CX3 DN3 DQ3:DR3 DT3 DW3 DZ3 EC3 EF3 AS3 EI3 DE3">
    <cfRule type="cellIs" dxfId="794" priority="897" operator="lessThan">
      <formula>0</formula>
    </cfRule>
  </conditionalFormatting>
  <conditionalFormatting sqref="DO3">
    <cfRule type="cellIs" dxfId="793" priority="896" operator="lessThan">
      <formula>0</formula>
    </cfRule>
  </conditionalFormatting>
  <conditionalFormatting sqref="EJ3">
    <cfRule type="cellIs" dxfId="792" priority="895" operator="lessThan">
      <formula>0</formula>
    </cfRule>
  </conditionalFormatting>
  <conditionalFormatting sqref="EG3">
    <cfRule type="cellIs" dxfId="791" priority="894" operator="lessThan">
      <formula>0</formula>
    </cfRule>
  </conditionalFormatting>
  <conditionalFormatting sqref="AF3">
    <cfRule type="cellIs" dxfId="790" priority="893" operator="lessThan">
      <formula>0</formula>
    </cfRule>
  </conditionalFormatting>
  <conditionalFormatting sqref="L3">
    <cfRule type="cellIs" dxfId="789" priority="889" operator="lessThan">
      <formula>0</formula>
    </cfRule>
  </conditionalFormatting>
  <conditionalFormatting sqref="N3">
    <cfRule type="cellIs" dxfId="788" priority="888" operator="lessThan">
      <formula>0</formula>
    </cfRule>
  </conditionalFormatting>
  <conditionalFormatting sqref="U3">
    <cfRule type="cellIs" dxfId="787" priority="887" operator="lessThan">
      <formula>0</formula>
    </cfRule>
  </conditionalFormatting>
  <conditionalFormatting sqref="I3">
    <cfRule type="cellIs" dxfId="786" priority="886" operator="lessThan">
      <formula>0</formula>
    </cfRule>
  </conditionalFormatting>
  <conditionalFormatting sqref="M3">
    <cfRule type="cellIs" dxfId="785" priority="884" operator="lessThan">
      <formula>0</formula>
    </cfRule>
  </conditionalFormatting>
  <conditionalFormatting sqref="O3">
    <cfRule type="cellIs" dxfId="784" priority="883" operator="lessThan">
      <formula>0</formula>
    </cfRule>
  </conditionalFormatting>
  <conditionalFormatting sqref="C3 E3">
    <cfRule type="cellIs" dxfId="783" priority="882" operator="lessThan">
      <formula>0</formula>
    </cfRule>
  </conditionalFormatting>
  <conditionalFormatting sqref="F3">
    <cfRule type="cellIs" dxfId="782" priority="881" operator="lessThan">
      <formula>0</formula>
    </cfRule>
  </conditionalFormatting>
  <conditionalFormatting sqref="J3">
    <cfRule type="cellIs" dxfId="781" priority="880" operator="lessThan">
      <formula>0</formula>
    </cfRule>
  </conditionalFormatting>
  <conditionalFormatting sqref="P3:T3">
    <cfRule type="cellIs" dxfId="780" priority="879" operator="lessThan">
      <formula>0</formula>
    </cfRule>
  </conditionalFormatting>
  <conditionalFormatting sqref="BH3">
    <cfRule type="cellIs" dxfId="779" priority="892" operator="lessThan">
      <formula>0</formula>
    </cfRule>
  </conditionalFormatting>
  <conditionalFormatting sqref="Y3 D3 B3 W3">
    <cfRule type="cellIs" dxfId="778" priority="891" operator="lessThan">
      <formula>0</formula>
    </cfRule>
  </conditionalFormatting>
  <conditionalFormatting sqref="G3:H3">
    <cfRule type="cellIs" dxfId="777" priority="890" operator="lessThan">
      <formula>0</formula>
    </cfRule>
  </conditionalFormatting>
  <conditionalFormatting sqref="K3">
    <cfRule type="cellIs" dxfId="776" priority="885" operator="lessThan">
      <formula>0</formula>
    </cfRule>
  </conditionalFormatting>
  <conditionalFormatting sqref="Z3">
    <cfRule type="cellIs" dxfId="775" priority="878" operator="lessThan">
      <formula>0</formula>
    </cfRule>
  </conditionalFormatting>
  <conditionalFormatting sqref="X3">
    <cfRule type="cellIs" dxfId="774" priority="877" operator="lessThan">
      <formula>0</formula>
    </cfRule>
  </conditionalFormatting>
  <conditionalFormatting sqref="AT3:AV3 AI3:AJ3 AL3:AN3">
    <cfRule type="cellIs" dxfId="773" priority="876" operator="lessThan">
      <formula>0</formula>
    </cfRule>
  </conditionalFormatting>
  <conditionalFormatting sqref="AZ3 AX3 BD3">
    <cfRule type="cellIs" dxfId="772" priority="875" operator="lessThan">
      <formula>0</formula>
    </cfRule>
  </conditionalFormatting>
  <conditionalFormatting sqref="CM3 BP3 CF3 CD3 CO3 BV3">
    <cfRule type="cellIs" dxfId="771" priority="874" operator="lessThan">
      <formula>0</formula>
    </cfRule>
  </conditionalFormatting>
  <conditionalFormatting sqref="BZ3">
    <cfRule type="cellIs" dxfId="770" priority="873" operator="lessThan">
      <formula>0</formula>
    </cfRule>
  </conditionalFormatting>
  <conditionalFormatting sqref="DP3 DY3 DD3 DV3 EB3 EE3 CZ3:DA3 CR3 CV3 CT3 DG3 DJ3 DS3">
    <cfRule type="cellIs" dxfId="769" priority="872" operator="lessThan">
      <formula>0</formula>
    </cfRule>
  </conditionalFormatting>
  <conditionalFormatting sqref="DU3">
    <cfRule type="cellIs" dxfId="768" priority="871" operator="lessThan">
      <formula>0</formula>
    </cfRule>
  </conditionalFormatting>
  <conditionalFormatting sqref="DX3">
    <cfRule type="cellIs" dxfId="767" priority="870" operator="lessThan">
      <formula>0</formula>
    </cfRule>
  </conditionalFormatting>
  <conditionalFormatting sqref="EA3">
    <cfRule type="cellIs" dxfId="766" priority="869" operator="lessThan">
      <formula>0</formula>
    </cfRule>
  </conditionalFormatting>
  <conditionalFormatting sqref="ED3">
    <cfRule type="cellIs" dxfId="765" priority="868" operator="lessThan">
      <formula>0</formula>
    </cfRule>
  </conditionalFormatting>
  <conditionalFormatting sqref="ES3:EU3">
    <cfRule type="cellIs" dxfId="764" priority="866" operator="lessThan">
      <formula>0</formula>
    </cfRule>
  </conditionalFormatting>
  <conditionalFormatting sqref="EK3">
    <cfRule type="cellIs" dxfId="763" priority="865" operator="lessThan">
      <formula>0</formula>
    </cfRule>
  </conditionalFormatting>
  <conditionalFormatting sqref="EM3">
    <cfRule type="cellIs" dxfId="762" priority="864" operator="lessThan">
      <formula>0</formula>
    </cfRule>
  </conditionalFormatting>
  <conditionalFormatting sqref="EO3">
    <cfRule type="cellIs" dxfId="761" priority="863" operator="lessThan">
      <formula>0</formula>
    </cfRule>
  </conditionalFormatting>
  <conditionalFormatting sqref="EO3">
    <cfRule type="cellIs" dxfId="760" priority="862" operator="lessThan">
      <formula>0</formula>
    </cfRule>
  </conditionalFormatting>
  <conditionalFormatting sqref="EQ3">
    <cfRule type="cellIs" dxfId="759" priority="861" operator="lessThan">
      <formula>0</formula>
    </cfRule>
  </conditionalFormatting>
  <conditionalFormatting sqref="EL3">
    <cfRule type="cellIs" dxfId="758" priority="867" operator="lessThan">
      <formula>0</formula>
    </cfRule>
  </conditionalFormatting>
  <conditionalFormatting sqref="EQ3">
    <cfRule type="cellIs" dxfId="757" priority="860" operator="lessThan">
      <formula>0</formula>
    </cfRule>
  </conditionalFormatting>
  <conditionalFormatting sqref="EN3">
    <cfRule type="cellIs" dxfId="756" priority="859" operator="lessThan">
      <formula>0</formula>
    </cfRule>
  </conditionalFormatting>
  <conditionalFormatting sqref="EP3">
    <cfRule type="cellIs" dxfId="755" priority="858" operator="lessThan">
      <formula>0</formula>
    </cfRule>
  </conditionalFormatting>
  <conditionalFormatting sqref="ER3">
    <cfRule type="cellIs" dxfId="754" priority="857" operator="lessThan">
      <formula>0</formula>
    </cfRule>
  </conditionalFormatting>
  <conditionalFormatting sqref="AK3 AW3 BC3 BI3 BK3 BO3 BQ3 BS3 BU3 BW3:BY3">
    <cfRule type="cellIs" dxfId="753" priority="856" operator="lessThan">
      <formula>0</formula>
    </cfRule>
  </conditionalFormatting>
  <conditionalFormatting sqref="AY3">
    <cfRule type="cellIs" dxfId="752" priority="855" operator="lessThan">
      <formula>0</formula>
    </cfRule>
  </conditionalFormatting>
  <conditionalFormatting sqref="BA3 CA3 CS3 CY3 DF3 DH3:DI3 DK3:DL3">
    <cfRule type="cellIs" dxfId="751" priority="854" operator="lessThan">
      <formula>0</formula>
    </cfRule>
  </conditionalFormatting>
  <conditionalFormatting sqref="CC3">
    <cfRule type="cellIs" dxfId="750" priority="853" operator="lessThan">
      <formula>0</formula>
    </cfRule>
  </conditionalFormatting>
  <conditionalFormatting sqref="CH3:CJ3">
    <cfRule type="cellIs" dxfId="749" priority="852" operator="lessThan">
      <formula>0</formula>
    </cfRule>
  </conditionalFormatting>
  <conditionalFormatting sqref="CG3">
    <cfRule type="cellIs" dxfId="748" priority="851" operator="lessThan">
      <formula>0</formula>
    </cfRule>
  </conditionalFormatting>
  <conditionalFormatting sqref="CL3">
    <cfRule type="cellIs" dxfId="747" priority="850" operator="lessThan">
      <formula>0</formula>
    </cfRule>
  </conditionalFormatting>
  <conditionalFormatting sqref="CN3">
    <cfRule type="cellIs" dxfId="746" priority="849" operator="lessThan">
      <formula>0</formula>
    </cfRule>
  </conditionalFormatting>
  <conditionalFormatting sqref="CP3">
    <cfRule type="cellIs" dxfId="745" priority="848" operator="lessThan">
      <formula>0</formula>
    </cfRule>
  </conditionalFormatting>
  <conditionalFormatting sqref="CQ3">
    <cfRule type="cellIs" dxfId="744" priority="847" operator="lessThan">
      <formula>0</formula>
    </cfRule>
  </conditionalFormatting>
  <conditionalFormatting sqref="CU3">
    <cfRule type="cellIs" dxfId="743" priority="846" operator="lessThan">
      <formula>0</formula>
    </cfRule>
  </conditionalFormatting>
  <conditionalFormatting sqref="CW3">
    <cfRule type="cellIs" dxfId="742" priority="845" operator="lessThan">
      <formula>0</formula>
    </cfRule>
  </conditionalFormatting>
  <conditionalFormatting sqref="EH3">
    <cfRule type="cellIs" dxfId="741" priority="844" operator="lessThan">
      <formula>0</formula>
    </cfRule>
  </conditionalFormatting>
  <conditionalFormatting sqref="CB3">
    <cfRule type="cellIs" dxfId="740" priority="843" operator="lessThan">
      <formula>0</formula>
    </cfRule>
  </conditionalFormatting>
  <conditionalFormatting sqref="BN3 BJ3 CK3">
    <cfRule type="cellIs" dxfId="739" priority="842" operator="lessThan">
      <formula>0</formula>
    </cfRule>
  </conditionalFormatting>
  <conditionalFormatting sqref="BL3">
    <cfRule type="cellIs" dxfId="738" priority="841" operator="lessThan">
      <formula>0</formula>
    </cfRule>
  </conditionalFormatting>
  <conditionalFormatting sqref="BM3">
    <cfRule type="cellIs" dxfId="737" priority="840" operator="lessThan">
      <formula>0</formula>
    </cfRule>
  </conditionalFormatting>
  <conditionalFormatting sqref="BR3">
    <cfRule type="cellIs" dxfId="736" priority="839" operator="lessThan">
      <formula>0</formula>
    </cfRule>
  </conditionalFormatting>
  <conditionalFormatting sqref="BT3">
    <cfRule type="cellIs" dxfId="735" priority="838" operator="lessThan">
      <formula>0</formula>
    </cfRule>
  </conditionalFormatting>
  <conditionalFormatting sqref="A3 A32:A34">
    <cfRule type="cellIs" dxfId="734" priority="837" operator="lessThan">
      <formula>0</formula>
    </cfRule>
  </conditionalFormatting>
  <conditionalFormatting sqref="X32:X34">
    <cfRule type="cellIs" dxfId="733" priority="836" operator="lessThan">
      <formula>0</formula>
    </cfRule>
  </conditionalFormatting>
  <conditionalFormatting sqref="Z32:Z34">
    <cfRule type="cellIs" dxfId="732" priority="835" operator="lessThan">
      <formula>0</formula>
    </cfRule>
  </conditionalFormatting>
  <conditionalFormatting sqref="AS32:AS34">
    <cfRule type="cellIs" dxfId="731" priority="833" operator="lessThan">
      <formula>0</formula>
    </cfRule>
  </conditionalFormatting>
  <conditionalFormatting sqref="AY32:AY34">
    <cfRule type="cellIs" dxfId="730" priority="832" operator="lessThan">
      <formula>0</formula>
    </cfRule>
  </conditionalFormatting>
  <conditionalFormatting sqref="BA32:BA34">
    <cfRule type="cellIs" dxfId="729" priority="831" operator="lessThan">
      <formula>0</formula>
    </cfRule>
  </conditionalFormatting>
  <conditionalFormatting sqref="BC32:BC34">
    <cfRule type="cellIs" dxfId="728" priority="830" operator="lessThan">
      <formula>0</formula>
    </cfRule>
  </conditionalFormatting>
  <conditionalFormatting sqref="BE32:BE34">
    <cfRule type="cellIs" dxfId="727" priority="829" operator="lessThan">
      <formula>0</formula>
    </cfRule>
  </conditionalFormatting>
  <conditionalFormatting sqref="BG32:BG34">
    <cfRule type="cellIs" dxfId="726" priority="828" operator="lessThan">
      <formula>0</formula>
    </cfRule>
  </conditionalFormatting>
  <conditionalFormatting sqref="BI32:BI34">
    <cfRule type="cellIs" dxfId="725" priority="827" operator="lessThan">
      <formula>0</formula>
    </cfRule>
  </conditionalFormatting>
  <conditionalFormatting sqref="BM32:BM34">
    <cfRule type="cellIs" dxfId="724" priority="826" operator="lessThan">
      <formula>0</formula>
    </cfRule>
  </conditionalFormatting>
  <conditionalFormatting sqref="BN32:BN34">
    <cfRule type="cellIs" dxfId="723" priority="825" operator="lessThan">
      <formula>0</formula>
    </cfRule>
  </conditionalFormatting>
  <conditionalFormatting sqref="BO32:BO34">
    <cfRule type="cellIs" dxfId="722" priority="823" operator="lessThan">
      <formula>0</formula>
    </cfRule>
  </conditionalFormatting>
  <conditionalFormatting sqref="BP32:BP34">
    <cfRule type="cellIs" dxfId="721" priority="822" operator="lessThan">
      <formula>0</formula>
    </cfRule>
  </conditionalFormatting>
  <conditionalFormatting sqref="BQ32:BQ34">
    <cfRule type="cellIs" dxfId="720" priority="820" operator="lessThan">
      <formula>0</formula>
    </cfRule>
  </conditionalFormatting>
  <conditionalFormatting sqref="BR32:BR34">
    <cfRule type="cellIs" dxfId="719" priority="819" operator="lessThan">
      <formula>0</formula>
    </cfRule>
  </conditionalFormatting>
  <conditionalFormatting sqref="BS32:BS34">
    <cfRule type="cellIs" dxfId="718" priority="817" operator="lessThan">
      <formula>0</formula>
    </cfRule>
  </conditionalFormatting>
  <conditionalFormatting sqref="BT32:BT34">
    <cfRule type="cellIs" dxfId="717" priority="816" operator="lessThan">
      <formula>0</formula>
    </cfRule>
  </conditionalFormatting>
  <conditionalFormatting sqref="BU32:BU34">
    <cfRule type="cellIs" dxfId="716" priority="814" operator="lessThan">
      <formula>0</formula>
    </cfRule>
  </conditionalFormatting>
  <conditionalFormatting sqref="BV32:BV34">
    <cfRule type="cellIs" dxfId="715" priority="813" operator="lessThan">
      <formula>0</formula>
    </cfRule>
  </conditionalFormatting>
  <conditionalFormatting sqref="BW32:BW34">
    <cfRule type="cellIs" dxfId="714" priority="811" operator="lessThan">
      <formula>0</formula>
    </cfRule>
  </conditionalFormatting>
  <conditionalFormatting sqref="BZ32:BZ34">
    <cfRule type="cellIs" dxfId="713" priority="810" operator="lessThan">
      <formula>0</formula>
    </cfRule>
  </conditionalFormatting>
  <conditionalFormatting sqref="CA32:CA34">
    <cfRule type="cellIs" dxfId="712" priority="808" operator="lessThan">
      <formula>0</formula>
    </cfRule>
  </conditionalFormatting>
  <conditionalFormatting sqref="CB32:CB34">
    <cfRule type="cellIs" dxfId="711" priority="807" operator="lessThan">
      <formula>0</formula>
    </cfRule>
  </conditionalFormatting>
  <conditionalFormatting sqref="CC32:CC34">
    <cfRule type="cellIs" dxfId="710" priority="805" operator="lessThan">
      <formula>0</formula>
    </cfRule>
  </conditionalFormatting>
  <conditionalFormatting sqref="CD32:CD34">
    <cfRule type="cellIs" dxfId="709" priority="804" operator="lessThan">
      <formula>0</formula>
    </cfRule>
  </conditionalFormatting>
  <conditionalFormatting sqref="CE3 CE32:CE34">
    <cfRule type="cellIs" dxfId="708" priority="802" operator="lessThan">
      <formula>0</formula>
    </cfRule>
  </conditionalFormatting>
  <conditionalFormatting sqref="CF32:CF34">
    <cfRule type="cellIs" dxfId="707" priority="801" operator="lessThan">
      <formula>0</formula>
    </cfRule>
  </conditionalFormatting>
  <conditionalFormatting sqref="DA32:DA34">
    <cfRule type="cellIs" dxfId="706" priority="791" operator="lessThan">
      <formula>0</formula>
    </cfRule>
  </conditionalFormatting>
  <conditionalFormatting sqref="DB32:DB34">
    <cfRule type="cellIs" dxfId="705" priority="790" operator="lessThan">
      <formula>0</formula>
    </cfRule>
  </conditionalFormatting>
  <conditionalFormatting sqref="CG32:CG34">
    <cfRule type="cellIs" dxfId="704" priority="799" operator="lessThan">
      <formula>0</formula>
    </cfRule>
  </conditionalFormatting>
  <conditionalFormatting sqref="DC32:DC34">
    <cfRule type="cellIs" dxfId="703" priority="789" operator="lessThan">
      <formula>0</formula>
    </cfRule>
  </conditionalFormatting>
  <conditionalFormatting sqref="DD32:DD34">
    <cfRule type="cellIs" dxfId="702" priority="778" operator="lessThan">
      <formula>0</formula>
    </cfRule>
  </conditionalFormatting>
  <conditionalFormatting sqref="DE32:DE34">
    <cfRule type="cellIs" dxfId="701" priority="777" operator="lessThan">
      <formula>0</formula>
    </cfRule>
  </conditionalFormatting>
  <conditionalFormatting sqref="DF32:DF34">
    <cfRule type="cellIs" dxfId="700" priority="776" operator="lessThan">
      <formula>0</formula>
    </cfRule>
  </conditionalFormatting>
  <conditionalFormatting sqref="DG32:DG34">
    <cfRule type="cellIs" dxfId="699" priority="765" operator="lessThan">
      <formula>0</formula>
    </cfRule>
  </conditionalFormatting>
  <conditionalFormatting sqref="DH32:DH34">
    <cfRule type="cellIs" dxfId="698" priority="764" operator="lessThan">
      <formula>0</formula>
    </cfRule>
  </conditionalFormatting>
  <conditionalFormatting sqref="DI32:DI34">
    <cfRule type="cellIs" dxfId="697" priority="763" operator="lessThan">
      <formula>0</formula>
    </cfRule>
  </conditionalFormatting>
  <conditionalFormatting sqref="DJ32:DJ34">
    <cfRule type="cellIs" dxfId="696" priority="752" operator="lessThan">
      <formula>0</formula>
    </cfRule>
  </conditionalFormatting>
  <conditionalFormatting sqref="DK32:DK34">
    <cfRule type="cellIs" dxfId="695" priority="751" operator="lessThan">
      <formula>0</formula>
    </cfRule>
  </conditionalFormatting>
  <conditionalFormatting sqref="DL32:DL34">
    <cfRule type="cellIs" dxfId="694" priority="750" operator="lessThan">
      <formula>0</formula>
    </cfRule>
  </conditionalFormatting>
  <conditionalFormatting sqref="DM32:DM34">
    <cfRule type="cellIs" dxfId="693" priority="740" operator="lessThan">
      <formula>0</formula>
    </cfRule>
  </conditionalFormatting>
  <conditionalFormatting sqref="DN32:DN34">
    <cfRule type="cellIs" dxfId="692" priority="739" operator="lessThan">
      <formula>0</formula>
    </cfRule>
  </conditionalFormatting>
  <conditionalFormatting sqref="DO32:DO34">
    <cfRule type="cellIs" dxfId="691" priority="738" operator="lessThan">
      <formula>0</formula>
    </cfRule>
  </conditionalFormatting>
  <conditionalFormatting sqref="DS32:DS34">
    <cfRule type="cellIs" dxfId="690" priority="727" operator="lessThan">
      <formula>0</formula>
    </cfRule>
  </conditionalFormatting>
  <conditionalFormatting sqref="DU32:DU34">
    <cfRule type="cellIs" dxfId="689" priority="725" operator="lessThan">
      <formula>0</formula>
    </cfRule>
  </conditionalFormatting>
  <conditionalFormatting sqref="DT32:DT34">
    <cfRule type="cellIs" dxfId="688" priority="726" operator="lessThan">
      <formula>0</formula>
    </cfRule>
  </conditionalFormatting>
  <conditionalFormatting sqref="DP32:DP34">
    <cfRule type="cellIs" dxfId="687" priority="714" operator="lessThan">
      <formula>0</formula>
    </cfRule>
  </conditionalFormatting>
  <conditionalFormatting sqref="DQ32:DQ34">
    <cfRule type="cellIs" dxfId="686" priority="713" operator="lessThan">
      <formula>0</formula>
    </cfRule>
  </conditionalFormatting>
  <conditionalFormatting sqref="DR32:DR34">
    <cfRule type="cellIs" dxfId="685" priority="712" operator="lessThan">
      <formula>0</formula>
    </cfRule>
  </conditionalFormatting>
  <conditionalFormatting sqref="DV32:DV34">
    <cfRule type="cellIs" dxfId="684" priority="701" operator="lessThan">
      <formula>0</formula>
    </cfRule>
  </conditionalFormatting>
  <conditionalFormatting sqref="DW32:DW34">
    <cfRule type="cellIs" dxfId="683" priority="700" operator="lessThan">
      <formula>0</formula>
    </cfRule>
  </conditionalFormatting>
  <conditionalFormatting sqref="DX32:DX34">
    <cfRule type="cellIs" dxfId="682" priority="699" operator="lessThan">
      <formula>0</formula>
    </cfRule>
  </conditionalFormatting>
  <conditionalFormatting sqref="DY32:DY34">
    <cfRule type="cellIs" dxfId="681" priority="688" operator="lessThan">
      <formula>0</formula>
    </cfRule>
  </conditionalFormatting>
  <conditionalFormatting sqref="DZ32:DZ34">
    <cfRule type="cellIs" dxfId="680" priority="687" operator="lessThan">
      <formula>0</formula>
    </cfRule>
  </conditionalFormatting>
  <conditionalFormatting sqref="EA32:EA34">
    <cfRule type="cellIs" dxfId="679" priority="686" operator="lessThan">
      <formula>0</formula>
    </cfRule>
  </conditionalFormatting>
  <conditionalFormatting sqref="EB32:EB34">
    <cfRule type="cellIs" dxfId="678" priority="675" operator="lessThan">
      <formula>0</formula>
    </cfRule>
  </conditionalFormatting>
  <conditionalFormatting sqref="EC32:EC34">
    <cfRule type="cellIs" dxfId="677" priority="674" operator="lessThan">
      <formula>0</formula>
    </cfRule>
  </conditionalFormatting>
  <conditionalFormatting sqref="ED32:ED34">
    <cfRule type="cellIs" dxfId="676" priority="673" operator="lessThan">
      <formula>0</formula>
    </cfRule>
  </conditionalFormatting>
  <conditionalFormatting sqref="EG32:EG34">
    <cfRule type="cellIs" dxfId="675" priority="660" operator="lessThan">
      <formula>0</formula>
    </cfRule>
  </conditionalFormatting>
  <conditionalFormatting sqref="EE32:EE34">
    <cfRule type="cellIs" dxfId="674" priority="662" operator="lessThan">
      <formula>0</formula>
    </cfRule>
  </conditionalFormatting>
  <conditionalFormatting sqref="EF32:EF34">
    <cfRule type="cellIs" dxfId="673" priority="661" operator="lessThan">
      <formula>0</formula>
    </cfRule>
  </conditionalFormatting>
  <conditionalFormatting sqref="EH32:EH34">
    <cfRule type="cellIs" dxfId="672" priority="649" operator="lessThan">
      <formula>0</formula>
    </cfRule>
  </conditionalFormatting>
  <conditionalFormatting sqref="EI32:EI34">
    <cfRule type="cellIs" dxfId="671" priority="648" operator="lessThan">
      <formula>0</formula>
    </cfRule>
  </conditionalFormatting>
  <conditionalFormatting sqref="EJ32:EJ34">
    <cfRule type="cellIs" dxfId="670" priority="647" operator="lessThan">
      <formula>0</formula>
    </cfRule>
  </conditionalFormatting>
  <conditionalFormatting sqref="DM3">
    <cfRule type="cellIs" dxfId="669" priority="607" operator="lessThan">
      <formula>0</formula>
    </cfRule>
  </conditionalFormatting>
  <conditionalFormatting sqref="BJ34">
    <cfRule type="cellIs" dxfId="668" priority="576" operator="lessThan">
      <formula>0</formula>
    </cfRule>
  </conditionalFormatting>
  <conditionalFormatting sqref="BB32:BB34 BF32:BF34 AG32:AG34 Y32 BK32:BK34 B32:B33 AE32:AE34 AI32:AI34">
    <cfRule type="cellIs" dxfId="667" priority="1143" operator="lessThan">
      <formula>0</formula>
    </cfRule>
  </conditionalFormatting>
  <conditionalFormatting sqref="AH32:AH34">
    <cfRule type="cellIs" dxfId="666" priority="1112" operator="lessThan">
      <formula>0</formula>
    </cfRule>
  </conditionalFormatting>
  <conditionalFormatting sqref="AB32:AB34">
    <cfRule type="cellIs" dxfId="665" priority="1086" operator="lessThan">
      <formula>0</formula>
    </cfRule>
  </conditionalFormatting>
  <conditionalFormatting sqref="CX32:CX34">
    <cfRule type="cellIs" dxfId="664" priority="1052" operator="lessThan">
      <formula>0</formula>
    </cfRule>
  </conditionalFormatting>
  <conditionalFormatting sqref="CN32:CN34">
    <cfRule type="cellIs" dxfId="663" priority="1045" operator="lessThan">
      <formula>0</formula>
    </cfRule>
  </conditionalFormatting>
  <conditionalFormatting sqref="AF32:AF34">
    <cfRule type="cellIs" dxfId="662" priority="1024" operator="lessThan">
      <formula>0</formula>
    </cfRule>
  </conditionalFormatting>
  <conditionalFormatting sqref="BH32:BH34">
    <cfRule type="cellIs" dxfId="661" priority="1005" operator="lessThan">
      <formula>0</formula>
    </cfRule>
  </conditionalFormatting>
  <conditionalFormatting sqref="W32 Y33:Y34 D32:D34 B34 W34">
    <cfRule type="cellIs" dxfId="660" priority="1004" operator="lessThan">
      <formula>0</formula>
    </cfRule>
  </conditionalFormatting>
  <conditionalFormatting sqref="G32:H32">
    <cfRule type="cellIs" dxfId="659" priority="1003" operator="lessThan">
      <formula>0</formula>
    </cfRule>
  </conditionalFormatting>
  <conditionalFormatting sqref="U32">
    <cfRule type="cellIs" dxfId="658" priority="1002" operator="lessThan">
      <formula>0</formula>
    </cfRule>
  </conditionalFormatting>
  <conditionalFormatting sqref="G33:H34">
    <cfRule type="cellIs" dxfId="657" priority="1001" operator="lessThan">
      <formula>0</formula>
    </cfRule>
  </conditionalFormatting>
  <conditionalFormatting sqref="W33">
    <cfRule type="cellIs" dxfId="656" priority="1000" operator="lessThan">
      <formula>0</formula>
    </cfRule>
  </conditionalFormatting>
  <conditionalFormatting sqref="L32:L34">
    <cfRule type="cellIs" dxfId="655" priority="999" operator="lessThan">
      <formula>0</formula>
    </cfRule>
  </conditionalFormatting>
  <conditionalFormatting sqref="N32:N34">
    <cfRule type="cellIs" dxfId="654" priority="998" operator="lessThan">
      <formula>0</formula>
    </cfRule>
  </conditionalFormatting>
  <conditionalFormatting sqref="U33:U34">
    <cfRule type="cellIs" dxfId="653" priority="997" operator="lessThan">
      <formula>0</formula>
    </cfRule>
  </conditionalFormatting>
  <conditionalFormatting sqref="I32:I34">
    <cfRule type="cellIs" dxfId="652" priority="996" operator="lessThan">
      <formula>0</formula>
    </cfRule>
  </conditionalFormatting>
  <conditionalFormatting sqref="K32:K34">
    <cfRule type="cellIs" dxfId="651" priority="995" operator="lessThan">
      <formula>0</formula>
    </cfRule>
  </conditionalFormatting>
  <conditionalFormatting sqref="M32:M34">
    <cfRule type="cellIs" dxfId="650" priority="994" operator="lessThan">
      <formula>0</formula>
    </cfRule>
  </conditionalFormatting>
  <conditionalFormatting sqref="O32:O34">
    <cfRule type="cellIs" dxfId="649" priority="993" operator="lessThan">
      <formula>0</formula>
    </cfRule>
  </conditionalFormatting>
  <conditionalFormatting sqref="C32:C34 E32:E34">
    <cfRule type="cellIs" dxfId="648" priority="992" operator="lessThan">
      <formula>0</formula>
    </cfRule>
  </conditionalFormatting>
  <conditionalFormatting sqref="F32:F34">
    <cfRule type="cellIs" dxfId="647" priority="991" operator="lessThan">
      <formula>0</formula>
    </cfRule>
  </conditionalFormatting>
  <conditionalFormatting sqref="J32:J34">
    <cfRule type="cellIs" dxfId="646" priority="990" operator="lessThan">
      <formula>0</formula>
    </cfRule>
  </conditionalFormatting>
  <conditionalFormatting sqref="P32:P34">
    <cfRule type="cellIs" dxfId="645" priority="989" operator="lessThan">
      <formula>0</formula>
    </cfRule>
  </conditionalFormatting>
  <conditionalFormatting sqref="AT32:AV34 AJ32:AJ34 AL32:AN34">
    <cfRule type="cellIs" dxfId="644" priority="988" operator="lessThan">
      <formula>0</formula>
    </cfRule>
  </conditionalFormatting>
  <conditionalFormatting sqref="AZ32:AZ34 AX32:AX34 BD32:BD34">
    <cfRule type="cellIs" dxfId="643" priority="987" operator="lessThan">
      <formula>0</formula>
    </cfRule>
  </conditionalFormatting>
  <conditionalFormatting sqref="CM32:CM34 CO32:CO34">
    <cfRule type="cellIs" dxfId="642" priority="986" operator="lessThan">
      <formula>0</formula>
    </cfRule>
  </conditionalFormatting>
  <conditionalFormatting sqref="CZ32:CZ34 CR32:CR34 CV32:CV34 CT32:CT34">
    <cfRule type="cellIs" dxfId="641" priority="985" operator="lessThan">
      <formula>0</formula>
    </cfRule>
  </conditionalFormatting>
  <conditionalFormatting sqref="EL32:EL34">
    <cfRule type="cellIs" dxfId="640" priority="984" operator="lessThan">
      <formula>0</formula>
    </cfRule>
  </conditionalFormatting>
  <conditionalFormatting sqref="ES32:EU34">
    <cfRule type="cellIs" dxfId="639" priority="983" operator="lessThan">
      <formula>0</formula>
    </cfRule>
  </conditionalFormatting>
  <conditionalFormatting sqref="EK32">
    <cfRule type="cellIs" dxfId="638" priority="982" operator="lessThan">
      <formula>0</formula>
    </cfRule>
  </conditionalFormatting>
  <conditionalFormatting sqref="EM32">
    <cfRule type="cellIs" dxfId="637" priority="981" operator="lessThan">
      <formula>0</formula>
    </cfRule>
  </conditionalFormatting>
  <conditionalFormatting sqref="EO32">
    <cfRule type="cellIs" dxfId="636" priority="980" operator="lessThan">
      <formula>0</formula>
    </cfRule>
  </conditionalFormatting>
  <conditionalFormatting sqref="EO32">
    <cfRule type="cellIs" dxfId="635" priority="979" operator="lessThan">
      <formula>0</formula>
    </cfRule>
  </conditionalFormatting>
  <conditionalFormatting sqref="EQ32">
    <cfRule type="cellIs" dxfId="634" priority="977" operator="lessThan">
      <formula>0</formula>
    </cfRule>
  </conditionalFormatting>
  <conditionalFormatting sqref="EQ32">
    <cfRule type="cellIs" dxfId="633" priority="978" operator="lessThan">
      <formula>0</formula>
    </cfRule>
  </conditionalFormatting>
  <conditionalFormatting sqref="EK33:EK34">
    <cfRule type="cellIs" dxfId="632" priority="976" operator="lessThan">
      <formula>0</formula>
    </cfRule>
  </conditionalFormatting>
  <conditionalFormatting sqref="EM33:EM34">
    <cfRule type="cellIs" dxfId="631" priority="975" operator="lessThan">
      <formula>0</formula>
    </cfRule>
  </conditionalFormatting>
  <conditionalFormatting sqref="EO33:EO34">
    <cfRule type="cellIs" dxfId="630" priority="974" operator="lessThan">
      <formula>0</formula>
    </cfRule>
  </conditionalFormatting>
  <conditionalFormatting sqref="EO33:EO34">
    <cfRule type="cellIs" dxfId="629" priority="973" operator="lessThan">
      <formula>0</formula>
    </cfRule>
  </conditionalFormatting>
  <conditionalFormatting sqref="EQ33:EQ34">
    <cfRule type="cellIs" dxfId="628" priority="971" operator="lessThan">
      <formula>0</formula>
    </cfRule>
  </conditionalFormatting>
  <conditionalFormatting sqref="EQ33:EQ34">
    <cfRule type="cellIs" dxfId="627" priority="972" operator="lessThan">
      <formula>0</formula>
    </cfRule>
  </conditionalFormatting>
  <conditionalFormatting sqref="EN32:EN34">
    <cfRule type="cellIs" dxfId="626" priority="970" operator="lessThan">
      <formula>0</formula>
    </cfRule>
  </conditionalFormatting>
  <conditionalFormatting sqref="R32:R34 T32:T34">
    <cfRule type="cellIs" dxfId="625" priority="556" operator="lessThan">
      <formula>0</formula>
    </cfRule>
  </conditionalFormatting>
  <conditionalFormatting sqref="Q32 S32">
    <cfRule type="cellIs" dxfId="624" priority="558" operator="lessThan">
      <formula>0</formula>
    </cfRule>
  </conditionalFormatting>
  <conditionalFormatting sqref="Q33:Q34 S33:S34">
    <cfRule type="cellIs" dxfId="623" priority="557" operator="lessThan">
      <formula>0</formula>
    </cfRule>
  </conditionalFormatting>
  <conditionalFormatting sqref="AQ2:AR2">
    <cfRule type="cellIs" dxfId="622" priority="555" operator="lessThan">
      <formula>0</formula>
    </cfRule>
  </conditionalFormatting>
  <conditionalFormatting sqref="AQ1:AR1">
    <cfRule type="cellIs" dxfId="621" priority="554" operator="lessThan">
      <formula>0</formula>
    </cfRule>
  </conditionalFormatting>
  <conditionalFormatting sqref="AQ3">
    <cfRule type="cellIs" dxfId="620" priority="550" operator="lessThan">
      <formula>0</formula>
    </cfRule>
  </conditionalFormatting>
  <conditionalFormatting sqref="AR3">
    <cfRule type="cellIs" dxfId="619" priority="549" operator="lessThan">
      <formula>0</formula>
    </cfRule>
  </conditionalFormatting>
  <conditionalFormatting sqref="AQ32:AQ34">
    <cfRule type="cellIs" dxfId="618" priority="548" operator="lessThan">
      <formula>0</formula>
    </cfRule>
  </conditionalFormatting>
  <conditionalFormatting sqref="AR32:AR34">
    <cfRule type="cellIs" dxfId="617" priority="551" operator="lessThan">
      <formula>0</formula>
    </cfRule>
  </conditionalFormatting>
  <conditionalFormatting sqref="AO2:AP2">
    <cfRule type="cellIs" dxfId="616" priority="547" operator="lessThan">
      <formula>0</formula>
    </cfRule>
  </conditionalFormatting>
  <conditionalFormatting sqref="AO3">
    <cfRule type="cellIs" dxfId="615" priority="543" operator="lessThan">
      <formula>0</formula>
    </cfRule>
  </conditionalFormatting>
  <conditionalFormatting sqref="AP3">
    <cfRule type="cellIs" dxfId="614" priority="542" operator="lessThan">
      <formula>0</formula>
    </cfRule>
  </conditionalFormatting>
  <conditionalFormatting sqref="AO32:AO34">
    <cfRule type="cellIs" dxfId="613" priority="541" operator="lessThan">
      <formula>0</formula>
    </cfRule>
  </conditionalFormatting>
  <conditionalFormatting sqref="AP32:AP34">
    <cfRule type="cellIs" dxfId="612" priority="544" operator="lessThan">
      <formula>0</formula>
    </cfRule>
  </conditionalFormatting>
  <conditionalFormatting sqref="W29:W30 W20 EF24:EF30 EH25:EH30 EJ24:EJ30 ET4:XFD4 EQ29:XFD31 ER28:XFD28 G6 CQ19:CQ27 D19:D31 AF30:AG31 AY23:AY27 O11 EQ21:XFD27 EQ20:EW20 EY20:XFD20 AY29:AY31 AU29:AU31 CU29:CU31 CM29:CM31 CO29:CO31 CH29:CH31 BS29:BT31 CQ29:CQ31 CJ29:CJ31 W25 AW29:AW31 BA29:BA31 G7:H22 F11:F31 F4:F9 DZ15 EL13:EL17 CO6:CO27 CM6:CM27 AD6:AD31 O22 EQ5:XFD19 BS4:BT27 CJ5:CJ27 CQ5:CQ17 AY5:AY21 CH5:CH27 EG4:EG31 AW5:AW27 AU5:AU27 BA5:BA27 BF4:BF31 EA9:EA27 B5:B17 D5:D17 AR4:AR27 W22:W23 G27:H28 B19:B31 AF5:AF29 AS6:AS27 AQ29:AS31 AQ5:AQ27 AM5:AM31 AH4:AH16 AG19:AG29 Y4:Y31 G29 H29:H31 G31 AB4:AB31 AI5:AI16 AH17:AI31 AJ6:AK31 CU5:CU27">
    <cfRule type="cellIs" dxfId="611" priority="540" operator="lessThan">
      <formula>0</formula>
    </cfRule>
  </conditionalFormatting>
  <conditionalFormatting sqref="EJ24:EJ30">
    <cfRule type="cellIs" dxfId="610" priority="539" operator="lessThan">
      <formula>0</formula>
    </cfRule>
  </conditionalFormatting>
  <conditionalFormatting sqref="B17:B19">
    <cfRule type="cellIs" dxfId="609" priority="538" operator="lessThan">
      <formula>0</formula>
    </cfRule>
  </conditionalFormatting>
  <conditionalFormatting sqref="D17:D19">
    <cfRule type="cellIs" dxfId="608" priority="537" operator="lessThan">
      <formula>0</formula>
    </cfRule>
  </conditionalFormatting>
  <conditionalFormatting sqref="CJ18">
    <cfRule type="cellIs" dxfId="607" priority="536" operator="lessThan">
      <formula>0</formula>
    </cfRule>
  </conditionalFormatting>
  <conditionalFormatting sqref="CQ17:CQ19">
    <cfRule type="cellIs" dxfId="606" priority="535" operator="lessThan">
      <formula>0</formula>
    </cfRule>
  </conditionalFormatting>
  <conditionalFormatting sqref="EL25:EL28">
    <cfRule type="cellIs" dxfId="605" priority="534" operator="lessThan">
      <formula>0</formula>
    </cfRule>
  </conditionalFormatting>
  <conditionalFormatting sqref="EL25:EL28">
    <cfRule type="cellIs" dxfId="604" priority="533" operator="lessThan">
      <formula>0</formula>
    </cfRule>
  </conditionalFormatting>
  <conditionalFormatting sqref="EL13:EL16">
    <cfRule type="cellIs" dxfId="603" priority="532" operator="lessThan">
      <formula>0</formula>
    </cfRule>
  </conditionalFormatting>
  <conditionalFormatting sqref="EL15:EL16">
    <cfRule type="cellIs" dxfId="602" priority="531" operator="lessThan">
      <formula>0</formula>
    </cfRule>
  </conditionalFormatting>
  <conditionalFormatting sqref="AQ19">
    <cfRule type="cellIs" dxfId="601" priority="530" operator="lessThan">
      <formula>0</formula>
    </cfRule>
  </conditionalFormatting>
  <conditionalFormatting sqref="EQ28 EN5:EN6 EN9:EN31 EP12:EP31 EO15:EO31">
    <cfRule type="cellIs" dxfId="600" priority="529" operator="lessThan">
      <formula>0</formula>
    </cfRule>
  </conditionalFormatting>
  <conditionalFormatting sqref="EL10:EL12">
    <cfRule type="cellIs" dxfId="599" priority="528" operator="lessThan">
      <formula>0</formula>
    </cfRule>
  </conditionalFormatting>
  <conditionalFormatting sqref="AG5:AG19">
    <cfRule type="cellIs" dxfId="598" priority="527" operator="lessThan">
      <formula>0</formula>
    </cfRule>
  </conditionalFormatting>
  <conditionalFormatting sqref="I22">
    <cfRule type="cellIs" dxfId="597" priority="526" operator="lessThan">
      <formula>0</formula>
    </cfRule>
  </conditionalFormatting>
  <conditionalFormatting sqref="W15:W19 W21">
    <cfRule type="cellIs" dxfId="596" priority="525" operator="lessThan">
      <formula>0</formula>
    </cfRule>
  </conditionalFormatting>
  <conditionalFormatting sqref="AY22">
    <cfRule type="cellIs" dxfId="595" priority="524" operator="lessThan">
      <formula>0</formula>
    </cfRule>
  </conditionalFormatting>
  <conditionalFormatting sqref="G23:H23 U23 U25">
    <cfRule type="cellIs" dxfId="594" priority="523" operator="lessThan">
      <formula>0</formula>
    </cfRule>
  </conditionalFormatting>
  <conditionalFormatting sqref="W24">
    <cfRule type="cellIs" dxfId="593" priority="522" operator="lessThan">
      <formula>0</formula>
    </cfRule>
  </conditionalFormatting>
  <conditionalFormatting sqref="G24:H24 U24">
    <cfRule type="cellIs" dxfId="592" priority="521" operator="lessThan">
      <formula>0</formula>
    </cfRule>
  </conditionalFormatting>
  <conditionalFormatting sqref="G25:H25">
    <cfRule type="cellIs" dxfId="591" priority="520" operator="lessThan">
      <formula>0</formula>
    </cfRule>
  </conditionalFormatting>
  <conditionalFormatting sqref="W26:W27">
    <cfRule type="cellIs" dxfId="590" priority="519" operator="lessThan">
      <formula>0</formula>
    </cfRule>
  </conditionalFormatting>
  <conditionalFormatting sqref="G26:H26 U26:U28">
    <cfRule type="cellIs" dxfId="589" priority="518" operator="lessThan">
      <formula>0</formula>
    </cfRule>
  </conditionalFormatting>
  <conditionalFormatting sqref="U29">
    <cfRule type="cellIs" dxfId="588" priority="517" operator="lessThan">
      <formula>0</formula>
    </cfRule>
  </conditionalFormatting>
  <conditionalFormatting sqref="G30">
    <cfRule type="cellIs" dxfId="587" priority="516" operator="lessThan">
      <formula>0</formula>
    </cfRule>
  </conditionalFormatting>
  <conditionalFormatting sqref="U31">
    <cfRule type="cellIs" dxfId="586" priority="515" operator="lessThan">
      <formula>0</formula>
    </cfRule>
  </conditionalFormatting>
  <conditionalFormatting sqref="AD5">
    <cfRule type="cellIs" dxfId="585" priority="514" operator="lessThan">
      <formula>0</formula>
    </cfRule>
  </conditionalFormatting>
  <conditionalFormatting sqref="W4:W14">
    <cfRule type="cellIs" dxfId="584" priority="513" operator="lessThan">
      <formula>0</formula>
    </cfRule>
  </conditionalFormatting>
  <conditionalFormatting sqref="U5:U19">
    <cfRule type="cellIs" dxfId="583" priority="512" operator="lessThan">
      <formula>0</formula>
    </cfRule>
  </conditionalFormatting>
  <conditionalFormatting sqref="AE23:AE31">
    <cfRule type="cellIs" dxfId="582" priority="511" operator="lessThan">
      <formula>0</formula>
    </cfRule>
  </conditionalFormatting>
  <conditionalFormatting sqref="EF5:EF20 EH5:EH20 EJ5:EJ20">
    <cfRule type="cellIs" dxfId="581" priority="510" operator="lessThan">
      <formula>0</formula>
    </cfRule>
  </conditionalFormatting>
  <conditionalFormatting sqref="EJ5:EJ20">
    <cfRule type="cellIs" dxfId="580" priority="509" operator="lessThan">
      <formula>0</formula>
    </cfRule>
  </conditionalFormatting>
  <conditionalFormatting sqref="EO9:EO15 EO5:EO6">
    <cfRule type="cellIs" dxfId="579" priority="508" operator="lessThan">
      <formula>0</formula>
    </cfRule>
  </conditionalFormatting>
  <conditionalFormatting sqref="W28">
    <cfRule type="cellIs" dxfId="578" priority="507" operator="lessThan">
      <formula>0</formula>
    </cfRule>
  </conditionalFormatting>
  <conditionalFormatting sqref="EL17">
    <cfRule type="cellIs" dxfId="577" priority="506" operator="lessThan">
      <formula>0</formula>
    </cfRule>
  </conditionalFormatting>
  <conditionalFormatting sqref="EL17">
    <cfRule type="cellIs" dxfId="576" priority="505" operator="lessThan">
      <formula>0</formula>
    </cfRule>
  </conditionalFormatting>
  <conditionalFormatting sqref="EL17">
    <cfRule type="cellIs" dxfId="575" priority="504" operator="lessThan">
      <formula>0</formula>
    </cfRule>
  </conditionalFormatting>
  <conditionalFormatting sqref="EL18">
    <cfRule type="cellIs" dxfId="574" priority="503" operator="lessThan">
      <formula>0</formula>
    </cfRule>
  </conditionalFormatting>
  <conditionalFormatting sqref="EL18">
    <cfRule type="cellIs" dxfId="573" priority="502" operator="lessThan">
      <formula>0</formula>
    </cfRule>
  </conditionalFormatting>
  <conditionalFormatting sqref="EL18">
    <cfRule type="cellIs" dxfId="572" priority="501" operator="lessThan">
      <formula>0</formula>
    </cfRule>
  </conditionalFormatting>
  <conditionalFormatting sqref="EL19:EL20">
    <cfRule type="cellIs" dxfId="571" priority="500" operator="lessThan">
      <formula>0</formula>
    </cfRule>
  </conditionalFormatting>
  <conditionalFormatting sqref="EL19:EL20">
    <cfRule type="cellIs" dxfId="570" priority="499" operator="lessThan">
      <formula>0</formula>
    </cfRule>
  </conditionalFormatting>
  <conditionalFormatting sqref="EL19:EL20">
    <cfRule type="cellIs" dxfId="569" priority="498" operator="lessThan">
      <formula>0</formula>
    </cfRule>
  </conditionalFormatting>
  <conditionalFormatting sqref="U20 U22">
    <cfRule type="cellIs" dxfId="568" priority="497" operator="lessThan">
      <formula>0</formula>
    </cfRule>
  </conditionalFormatting>
  <conditionalFormatting sqref="U30">
    <cfRule type="cellIs" dxfId="567" priority="496" operator="lessThan">
      <formula>0</formula>
    </cfRule>
  </conditionalFormatting>
  <conditionalFormatting sqref="EL9">
    <cfRule type="cellIs" dxfId="566" priority="495" operator="lessThan">
      <formula>0</formula>
    </cfRule>
  </conditionalFormatting>
  <conditionalFormatting sqref="EF22:EF23">
    <cfRule type="cellIs" dxfId="565" priority="494" operator="lessThan">
      <formula>0</formula>
    </cfRule>
  </conditionalFormatting>
  <conditionalFormatting sqref="EH22:EH24">
    <cfRule type="cellIs" dxfId="564" priority="493" operator="lessThan">
      <formula>0</formula>
    </cfRule>
  </conditionalFormatting>
  <conditionalFormatting sqref="EJ22:EJ23">
    <cfRule type="cellIs" dxfId="563" priority="492" operator="lessThan">
      <formula>0</formula>
    </cfRule>
  </conditionalFormatting>
  <conditionalFormatting sqref="EJ22:EJ23">
    <cfRule type="cellIs" dxfId="562" priority="491" operator="lessThan">
      <formula>0</formula>
    </cfRule>
  </conditionalFormatting>
  <conditionalFormatting sqref="EL22:EL24">
    <cfRule type="cellIs" dxfId="561" priority="490" operator="lessThan">
      <formula>0</formula>
    </cfRule>
  </conditionalFormatting>
  <conditionalFormatting sqref="EL22:EL24">
    <cfRule type="cellIs" dxfId="560" priority="489" operator="lessThan">
      <formula>0</formula>
    </cfRule>
  </conditionalFormatting>
  <conditionalFormatting sqref="EL22:EL24">
    <cfRule type="cellIs" dxfId="559" priority="488" operator="lessThan">
      <formula>0</formula>
    </cfRule>
  </conditionalFormatting>
  <conditionalFormatting sqref="AA18">
    <cfRule type="cellIs" dxfId="558" priority="484" operator="lessThan">
      <formula>0</formula>
    </cfRule>
  </conditionalFormatting>
  <conditionalFormatting sqref="EL6">
    <cfRule type="cellIs" dxfId="557" priority="483" operator="lessThan">
      <formula>0</formula>
    </cfRule>
  </conditionalFormatting>
  <conditionalFormatting sqref="EL7">
    <cfRule type="cellIs" dxfId="556" priority="482" operator="lessThan">
      <formula>0</formula>
    </cfRule>
  </conditionalFormatting>
  <conditionalFormatting sqref="EN7">
    <cfRule type="cellIs" dxfId="555" priority="481" operator="lessThan">
      <formula>0</formula>
    </cfRule>
  </conditionalFormatting>
  <conditionalFormatting sqref="EL8">
    <cfRule type="cellIs" dxfId="554" priority="479" operator="lessThan">
      <formula>0</formula>
    </cfRule>
  </conditionalFormatting>
  <conditionalFormatting sqref="EN8">
    <cfRule type="cellIs" dxfId="553" priority="478" operator="lessThan">
      <formula>0</formula>
    </cfRule>
  </conditionalFormatting>
  <conditionalFormatting sqref="EO8">
    <cfRule type="cellIs" dxfId="552" priority="477" operator="lessThan">
      <formula>0</formula>
    </cfRule>
  </conditionalFormatting>
  <conditionalFormatting sqref="EL29">
    <cfRule type="cellIs" dxfId="551" priority="476" operator="lessThan">
      <formula>0</formula>
    </cfRule>
  </conditionalFormatting>
  <conditionalFormatting sqref="EL29">
    <cfRule type="cellIs" dxfId="550" priority="475" operator="lessThan">
      <formula>0</formula>
    </cfRule>
  </conditionalFormatting>
  <conditionalFormatting sqref="EL30">
    <cfRule type="cellIs" dxfId="549" priority="474" operator="lessThan">
      <formula>0</formula>
    </cfRule>
  </conditionalFormatting>
  <conditionalFormatting sqref="L8 L31 L11 L14:L15 L22:L23 L27">
    <cfRule type="cellIs" dxfId="548" priority="487" operator="lessThan">
      <formula>0</formula>
    </cfRule>
  </conditionalFormatting>
  <conditionalFormatting sqref="N27 N31">
    <cfRule type="cellIs" dxfId="547" priority="486" operator="lessThan">
      <formula>0</formula>
    </cfRule>
  </conditionalFormatting>
  <conditionalFormatting sqref="AA5:AA31">
    <cfRule type="cellIs" dxfId="546" priority="485" operator="lessThan">
      <formula>0</formula>
    </cfRule>
  </conditionalFormatting>
  <conditionalFormatting sqref="EO7">
    <cfRule type="cellIs" dxfId="545" priority="480" operator="lessThan">
      <formula>0</formula>
    </cfRule>
  </conditionalFormatting>
  <conditionalFormatting sqref="EL30">
    <cfRule type="cellIs" dxfId="544" priority="473" operator="lessThan">
      <formula>0</formula>
    </cfRule>
  </conditionalFormatting>
  <conditionalFormatting sqref="W31">
    <cfRule type="cellIs" dxfId="543" priority="472" operator="lessThan">
      <formula>0</formula>
    </cfRule>
  </conditionalFormatting>
  <conditionalFormatting sqref="I8">
    <cfRule type="cellIs" dxfId="542" priority="471" operator="lessThan">
      <formula>0</formula>
    </cfRule>
  </conditionalFormatting>
  <conditionalFormatting sqref="M8">
    <cfRule type="cellIs" dxfId="541" priority="470" operator="lessThan">
      <formula>0</formula>
    </cfRule>
  </conditionalFormatting>
  <conditionalFormatting sqref="EF31">
    <cfRule type="cellIs" dxfId="540" priority="469" operator="lessThan">
      <formula>0</formula>
    </cfRule>
  </conditionalFormatting>
  <conditionalFormatting sqref="EH31">
    <cfRule type="cellIs" dxfId="539" priority="468" operator="lessThan">
      <formula>0</formula>
    </cfRule>
  </conditionalFormatting>
  <conditionalFormatting sqref="EJ31">
    <cfRule type="cellIs" dxfId="538" priority="467" operator="lessThan">
      <formula>0</formula>
    </cfRule>
  </conditionalFormatting>
  <conditionalFormatting sqref="EJ31">
    <cfRule type="cellIs" dxfId="537" priority="466" operator="lessThan">
      <formula>0</formula>
    </cfRule>
  </conditionalFormatting>
  <conditionalFormatting sqref="EL31">
    <cfRule type="cellIs" dxfId="536" priority="465" operator="lessThan">
      <formula>0</formula>
    </cfRule>
  </conditionalFormatting>
  <conditionalFormatting sqref="EL31">
    <cfRule type="cellIs" dxfId="535" priority="464" operator="lessThan">
      <formula>0</formula>
    </cfRule>
  </conditionalFormatting>
  <conditionalFormatting sqref="AD4">
    <cfRule type="cellIs" dxfId="534" priority="462" operator="lessThan">
      <formula>0</formula>
    </cfRule>
  </conditionalFormatting>
  <conditionalFormatting sqref="U4">
    <cfRule type="cellIs" dxfId="533" priority="461" operator="lessThan">
      <formula>0</formula>
    </cfRule>
  </conditionalFormatting>
  <conditionalFormatting sqref="AU4 AW4 AY4 BA4 CJ4 EF4 EH4 EJ4">
    <cfRule type="cellIs" dxfId="532" priority="460" operator="lessThan">
      <formula>0</formula>
    </cfRule>
  </conditionalFormatting>
  <conditionalFormatting sqref="EN4:EO4">
    <cfRule type="cellIs" dxfId="531" priority="459" operator="lessThan">
      <formula>0</formula>
    </cfRule>
  </conditionalFormatting>
  <conditionalFormatting sqref="AA4">
    <cfRule type="cellIs" dxfId="530" priority="458" operator="lessThan">
      <formula>0</formula>
    </cfRule>
  </conditionalFormatting>
  <conditionalFormatting sqref="B4:B5 CH4:CH5 EQ4:ES5 AI5 AM4:AM5 AS4:AS5 CU4:CU5 CQ4:CQ5 CO4:CO6 CM4:CM6 Y4:Y6 Y8">
    <cfRule type="cellIs" dxfId="529" priority="463" operator="lessThan">
      <formula>0</formula>
    </cfRule>
  </conditionalFormatting>
  <conditionalFormatting sqref="H6">
    <cfRule type="cellIs" dxfId="528" priority="457" operator="lessThan">
      <formula>0</formula>
    </cfRule>
  </conditionalFormatting>
  <conditionalFormatting sqref="K8">
    <cfRule type="cellIs" dxfId="527" priority="456" operator="lessThan">
      <formula>0</formula>
    </cfRule>
  </conditionalFormatting>
  <conditionalFormatting sqref="CD5:CD8 CE5:CE14 CN29:CN31 CS29:CT31 CG4:CG8 CK4:CK8 CD4:CE4 CR4:CR8 E4:E31 CN4:CN27 C4:C31 CS4:CT27">
    <cfRule type="cellIs" dxfId="526" priority="455" operator="lessThan">
      <formula>0</formula>
    </cfRule>
  </conditionalFormatting>
  <conditionalFormatting sqref="EP6:EP11">
    <cfRule type="cellIs" dxfId="525" priority="454" operator="lessThan">
      <formula>0</formula>
    </cfRule>
  </conditionalFormatting>
  <conditionalFormatting sqref="CL4:CL8">
    <cfRule type="cellIs" dxfId="524" priority="453" operator="lessThan">
      <formula>0</formula>
    </cfRule>
  </conditionalFormatting>
  <conditionalFormatting sqref="J31 J4:J6 J8 J11 J14:J15 J22:J23 J27">
    <cfRule type="cellIs" dxfId="523" priority="452" operator="lessThan">
      <formula>0</formula>
    </cfRule>
  </conditionalFormatting>
  <conditionalFormatting sqref="L5:L6">
    <cfRule type="cellIs" dxfId="522" priority="451" operator="lessThan">
      <formula>0</formula>
    </cfRule>
  </conditionalFormatting>
  <conditionalFormatting sqref="N4:N6 N8 N11 N15 N22:N23">
    <cfRule type="cellIs" dxfId="521" priority="450" operator="lessThan">
      <formula>0</formula>
    </cfRule>
  </conditionalFormatting>
  <conditionalFormatting sqref="P4:P13 P15:P27 P31">
    <cfRule type="cellIs" dxfId="520" priority="449" operator="lessThan">
      <formula>0</formula>
    </cfRule>
  </conditionalFormatting>
  <conditionalFormatting sqref="CI4:CI31">
    <cfRule type="cellIs" dxfId="519" priority="448" operator="lessThan">
      <formula>0</formula>
    </cfRule>
  </conditionalFormatting>
  <conditionalFormatting sqref="EI4:EI31">
    <cfRule type="cellIs" dxfId="518" priority="447" operator="lessThan">
      <formula>0</formula>
    </cfRule>
  </conditionalFormatting>
  <conditionalFormatting sqref="EK4:EK31">
    <cfRule type="cellIs" dxfId="517" priority="446" operator="lessThan">
      <formula>0</formula>
    </cfRule>
  </conditionalFormatting>
  <conditionalFormatting sqref="EM4:EM31">
    <cfRule type="cellIs" dxfId="516" priority="445" operator="lessThan">
      <formula>0</formula>
    </cfRule>
  </conditionalFormatting>
  <conditionalFormatting sqref="CC11:CD14 CC29:CE31 CD9:CD10 CC4:CC10 CC15:CE27">
    <cfRule type="cellIs" dxfId="515" priority="444" operator="lessThan">
      <formula>0</formula>
    </cfRule>
  </conditionalFormatting>
  <conditionalFormatting sqref="CG29:CG31 CG9:CG27">
    <cfRule type="cellIs" dxfId="514" priority="443" operator="lessThan">
      <formula>0</formula>
    </cfRule>
  </conditionalFormatting>
  <conditionalFormatting sqref="CK29:CK31 CK9:CK27">
    <cfRule type="cellIs" dxfId="513" priority="442" operator="lessThan">
      <formula>0</formula>
    </cfRule>
  </conditionalFormatting>
  <conditionalFormatting sqref="CL29:CL31 CL9:CL27">
    <cfRule type="cellIs" dxfId="512" priority="441" operator="lessThan">
      <formula>0</formula>
    </cfRule>
  </conditionalFormatting>
  <conditionalFormatting sqref="CP4:CP8">
    <cfRule type="cellIs" dxfId="511" priority="440" operator="lessThan">
      <formula>0</formula>
    </cfRule>
  </conditionalFormatting>
  <conditionalFormatting sqref="CP29:CP31 CP9:CP27">
    <cfRule type="cellIs" dxfId="510" priority="439" operator="lessThan">
      <formula>0</formula>
    </cfRule>
  </conditionalFormatting>
  <conditionalFormatting sqref="CR29:CR31 CR9:CR27">
    <cfRule type="cellIs" dxfId="509" priority="438" operator="lessThan">
      <formula>0</formula>
    </cfRule>
  </conditionalFormatting>
  <conditionalFormatting sqref="K11">
    <cfRule type="cellIs" dxfId="508" priority="437" operator="lessThan">
      <formula>0</formula>
    </cfRule>
  </conditionalFormatting>
  <conditionalFormatting sqref="M11">
    <cfRule type="cellIs" dxfId="507" priority="436" operator="lessThan">
      <formula>0</formula>
    </cfRule>
  </conditionalFormatting>
  <conditionalFormatting sqref="EP5">
    <cfRule type="cellIs" dxfId="506" priority="435" operator="lessThan">
      <formula>0</formula>
    </cfRule>
  </conditionalFormatting>
  <conditionalFormatting sqref="L4">
    <cfRule type="cellIs" dxfId="505" priority="430" operator="lessThan">
      <formula>0</formula>
    </cfRule>
  </conditionalFormatting>
  <conditionalFormatting sqref="M22">
    <cfRule type="cellIs" dxfId="504" priority="428" operator="lessThan">
      <formula>0</formula>
    </cfRule>
  </conditionalFormatting>
  <conditionalFormatting sqref="EL4:EL6">
    <cfRule type="cellIs" dxfId="503" priority="433" operator="lessThan">
      <formula>0</formula>
    </cfRule>
  </conditionalFormatting>
  <conditionalFormatting sqref="EL4:EL6">
    <cfRule type="cellIs" dxfId="502" priority="434" operator="lessThan">
      <formula>0</formula>
    </cfRule>
  </conditionalFormatting>
  <conditionalFormatting sqref="AC4:AC31">
    <cfRule type="cellIs" dxfId="501" priority="432" operator="lessThan">
      <formula>0</formula>
    </cfRule>
  </conditionalFormatting>
  <conditionalFormatting sqref="M27">
    <cfRule type="cellIs" dxfId="500" priority="424" operator="lessThan">
      <formula>0</formula>
    </cfRule>
  </conditionalFormatting>
  <conditionalFormatting sqref="O27">
    <cfRule type="cellIs" dxfId="499" priority="423" operator="lessThan">
      <formula>0</formula>
    </cfRule>
  </conditionalFormatting>
  <conditionalFormatting sqref="I14:I15">
    <cfRule type="cellIs" dxfId="498" priority="422" operator="lessThan">
      <formula>0</formula>
    </cfRule>
  </conditionalFormatting>
  <conditionalFormatting sqref="K14:K15">
    <cfRule type="cellIs" dxfId="497" priority="421" operator="lessThan">
      <formula>0</formula>
    </cfRule>
  </conditionalFormatting>
  <conditionalFormatting sqref="M14:M15">
    <cfRule type="cellIs" dxfId="496" priority="420" operator="lessThan">
      <formula>0</formula>
    </cfRule>
  </conditionalFormatting>
  <conditionalFormatting sqref="O14:O15">
    <cfRule type="cellIs" dxfId="495" priority="419" operator="lessThan">
      <formula>0</formula>
    </cfRule>
  </conditionalFormatting>
  <conditionalFormatting sqref="G4:H6">
    <cfRule type="cellIs" dxfId="494" priority="431" operator="lessThan">
      <formula>0</formula>
    </cfRule>
  </conditionalFormatting>
  <conditionalFormatting sqref="M23">
    <cfRule type="cellIs" dxfId="493" priority="416" operator="lessThan">
      <formula>0</formula>
    </cfRule>
  </conditionalFormatting>
  <conditionalFormatting sqref="O23">
    <cfRule type="cellIs" dxfId="492" priority="415" operator="lessThan">
      <formula>0</formula>
    </cfRule>
  </conditionalFormatting>
  <conditionalFormatting sqref="I11">
    <cfRule type="cellIs" dxfId="491" priority="429" operator="lessThan">
      <formula>0</formula>
    </cfRule>
  </conditionalFormatting>
  <conditionalFormatting sqref="U21">
    <cfRule type="cellIs" dxfId="490" priority="427" operator="lessThan">
      <formula>0</formula>
    </cfRule>
  </conditionalFormatting>
  <conditionalFormatting sqref="I27">
    <cfRule type="cellIs" dxfId="489" priority="426" operator="lessThan">
      <formula>0</formula>
    </cfRule>
  </conditionalFormatting>
  <conditionalFormatting sqref="K27">
    <cfRule type="cellIs" dxfId="488" priority="425" operator="lessThan">
      <formula>0</formula>
    </cfRule>
  </conditionalFormatting>
  <conditionalFormatting sqref="I23">
    <cfRule type="cellIs" dxfId="487" priority="418" operator="lessThan">
      <formula>0</formula>
    </cfRule>
  </conditionalFormatting>
  <conditionalFormatting sqref="K23">
    <cfRule type="cellIs" dxfId="486" priority="417" operator="lessThan">
      <formula>0</formula>
    </cfRule>
  </conditionalFormatting>
  <conditionalFormatting sqref="BC4 BC29:BC31 BC6:BC27">
    <cfRule type="cellIs" dxfId="485" priority="414" operator="lessThan">
      <formula>0</formula>
    </cfRule>
  </conditionalFormatting>
  <conditionalFormatting sqref="K5">
    <cfRule type="cellIs" dxfId="484" priority="413" operator="lessThan">
      <formula>0</formula>
    </cfRule>
  </conditionalFormatting>
  <conditionalFormatting sqref="O5">
    <cfRule type="cellIs" dxfId="483" priority="412" operator="lessThan">
      <formula>0</formula>
    </cfRule>
  </conditionalFormatting>
  <conditionalFormatting sqref="K4">
    <cfRule type="cellIs" dxfId="482" priority="411" operator="lessThan">
      <formula>0</formula>
    </cfRule>
  </conditionalFormatting>
  <conditionalFormatting sqref="O4">
    <cfRule type="cellIs" dxfId="481" priority="410" operator="lessThan">
      <formula>0</formula>
    </cfRule>
  </conditionalFormatting>
  <conditionalFormatting sqref="EF21">
    <cfRule type="cellIs" dxfId="480" priority="409" operator="lessThan">
      <formula>0</formula>
    </cfRule>
  </conditionalFormatting>
  <conditionalFormatting sqref="EH21">
    <cfRule type="cellIs" dxfId="479" priority="408" operator="lessThan">
      <formula>0</formula>
    </cfRule>
  </conditionalFormatting>
  <conditionalFormatting sqref="EJ21">
    <cfRule type="cellIs" dxfId="478" priority="407" operator="lessThan">
      <formula>0</formula>
    </cfRule>
  </conditionalFormatting>
  <conditionalFormatting sqref="EJ21">
    <cfRule type="cellIs" dxfId="477" priority="406" operator="lessThan">
      <formula>0</formula>
    </cfRule>
  </conditionalFormatting>
  <conditionalFormatting sqref="EL21">
    <cfRule type="cellIs" dxfId="476" priority="405" operator="lessThan">
      <formula>0</formula>
    </cfRule>
  </conditionalFormatting>
  <conditionalFormatting sqref="EL21">
    <cfRule type="cellIs" dxfId="475" priority="404" operator="lessThan">
      <formula>0</formula>
    </cfRule>
  </conditionalFormatting>
  <conditionalFormatting sqref="EL21">
    <cfRule type="cellIs" dxfId="474" priority="403" operator="lessThan">
      <formula>0</formula>
    </cfRule>
  </conditionalFormatting>
  <conditionalFormatting sqref="BE29:BE31 BE4:BE27 CF4:CF27 CF29:CF31">
    <cfRule type="cellIs" dxfId="473" priority="402" operator="lessThan">
      <formula>0</formula>
    </cfRule>
  </conditionalFormatting>
  <conditionalFormatting sqref="BG29:BG31 BG4:BG27">
    <cfRule type="cellIs" dxfId="472" priority="401" operator="lessThan">
      <formula>0</formula>
    </cfRule>
  </conditionalFormatting>
  <conditionalFormatting sqref="EX20">
    <cfRule type="cellIs" dxfId="471" priority="400" operator="lessThan">
      <formula>0</formula>
    </cfRule>
  </conditionalFormatting>
  <conditionalFormatting sqref="D4">
    <cfRule type="cellIs" dxfId="470" priority="399" operator="lessThan">
      <formula>0</formula>
    </cfRule>
  </conditionalFormatting>
  <conditionalFormatting sqref="EP4">
    <cfRule type="cellIs" dxfId="469" priority="398" operator="lessThan">
      <formula>0</formula>
    </cfRule>
  </conditionalFormatting>
  <conditionalFormatting sqref="V4:V31">
    <cfRule type="cellIs" dxfId="468" priority="397" operator="lessThan">
      <formula>0</formula>
    </cfRule>
  </conditionalFormatting>
  <conditionalFormatting sqref="AK19">
    <cfRule type="cellIs" dxfId="467" priority="396" operator="lessThan">
      <formula>0</formula>
    </cfRule>
  </conditionalFormatting>
  <conditionalFormatting sqref="AU28 AQ28:AS28 AW28 AY28 BA28">
    <cfRule type="cellIs" dxfId="466" priority="395" operator="lessThan">
      <formula>0</formula>
    </cfRule>
  </conditionalFormatting>
  <conditionalFormatting sqref="BC28">
    <cfRule type="cellIs" dxfId="465" priority="394" operator="lessThan">
      <formula>0</formula>
    </cfRule>
  </conditionalFormatting>
  <conditionalFormatting sqref="BE28">
    <cfRule type="cellIs" dxfId="464" priority="393" operator="lessThan">
      <formula>0</formula>
    </cfRule>
  </conditionalFormatting>
  <conditionalFormatting sqref="BG28">
    <cfRule type="cellIs" dxfId="463" priority="392" operator="lessThan">
      <formula>0</formula>
    </cfRule>
  </conditionalFormatting>
  <conditionalFormatting sqref="CJ28 CQ28 CH28 CO28 CM28 CU28 BS28:BT28">
    <cfRule type="cellIs" dxfId="462" priority="391" operator="lessThan">
      <formula>0</formula>
    </cfRule>
  </conditionalFormatting>
  <conditionalFormatting sqref="CN28 CS28:CT28">
    <cfRule type="cellIs" dxfId="461" priority="390" operator="lessThan">
      <formula>0</formula>
    </cfRule>
  </conditionalFormatting>
  <conditionalFormatting sqref="CC28:CE28">
    <cfRule type="cellIs" dxfId="460" priority="389" operator="lessThan">
      <formula>0</formula>
    </cfRule>
  </conditionalFormatting>
  <conditionalFormatting sqref="CG28">
    <cfRule type="cellIs" dxfId="459" priority="388" operator="lessThan">
      <formula>0</formula>
    </cfRule>
  </conditionalFormatting>
  <conditionalFormatting sqref="CK28">
    <cfRule type="cellIs" dxfId="458" priority="387" operator="lessThan">
      <formula>0</formula>
    </cfRule>
  </conditionalFormatting>
  <conditionalFormatting sqref="CL28">
    <cfRule type="cellIs" dxfId="457" priority="386" operator="lessThan">
      <formula>0</formula>
    </cfRule>
  </conditionalFormatting>
  <conditionalFormatting sqref="CP28">
    <cfRule type="cellIs" dxfId="456" priority="385" operator="lessThan">
      <formula>0</formula>
    </cfRule>
  </conditionalFormatting>
  <conditionalFormatting sqref="CR28">
    <cfRule type="cellIs" dxfId="455" priority="384" operator="lessThan">
      <formula>0</formula>
    </cfRule>
  </conditionalFormatting>
  <conditionalFormatting sqref="CF28">
    <cfRule type="cellIs" dxfId="454" priority="383" operator="lessThan">
      <formula>0</formula>
    </cfRule>
  </conditionalFormatting>
  <conditionalFormatting sqref="BC5">
    <cfRule type="cellIs" dxfId="453" priority="382" operator="lessThan">
      <formula>0</formula>
    </cfRule>
  </conditionalFormatting>
  <conditionalFormatting sqref="AJ4:AJ6">
    <cfRule type="cellIs" dxfId="452" priority="381" operator="lessThan">
      <formula>0</formula>
    </cfRule>
  </conditionalFormatting>
  <conditionalFormatting sqref="AS5">
    <cfRule type="cellIs" dxfId="451" priority="380" operator="lessThan">
      <formula>0</formula>
    </cfRule>
  </conditionalFormatting>
  <conditionalFormatting sqref="I5">
    <cfRule type="cellIs" dxfId="450" priority="379" operator="lessThan">
      <formula>0</formula>
    </cfRule>
  </conditionalFormatting>
  <conditionalFormatting sqref="I4">
    <cfRule type="cellIs" dxfId="449" priority="378" operator="lessThan">
      <formula>0</formula>
    </cfRule>
  </conditionalFormatting>
  <conditionalFormatting sqref="M4:M5">
    <cfRule type="cellIs" dxfId="448" priority="377" operator="lessThan">
      <formula>0</formula>
    </cfRule>
  </conditionalFormatting>
  <conditionalFormatting sqref="K22">
    <cfRule type="cellIs" dxfId="447" priority="376" operator="lessThan">
      <formula>0</formula>
    </cfRule>
  </conditionalFormatting>
  <conditionalFormatting sqref="AK4 AK6">
    <cfRule type="cellIs" dxfId="446" priority="375" operator="lessThan">
      <formula>0</formula>
    </cfRule>
  </conditionalFormatting>
  <conditionalFormatting sqref="AQ4">
    <cfRule type="cellIs" dxfId="445" priority="374" operator="lessThan">
      <formula>0</formula>
    </cfRule>
  </conditionalFormatting>
  <conditionalFormatting sqref="I6:I7">
    <cfRule type="cellIs" dxfId="444" priority="373" operator="lessThan">
      <formula>0</formula>
    </cfRule>
  </conditionalFormatting>
  <conditionalFormatting sqref="K6">
    <cfRule type="cellIs" dxfId="443" priority="372" operator="lessThan">
      <formula>0</formula>
    </cfRule>
  </conditionalFormatting>
  <conditionalFormatting sqref="M6">
    <cfRule type="cellIs" dxfId="442" priority="371" operator="lessThan">
      <formula>0</formula>
    </cfRule>
  </conditionalFormatting>
  <conditionalFormatting sqref="O6">
    <cfRule type="cellIs" dxfId="441" priority="370" operator="lessThan">
      <formula>0</formula>
    </cfRule>
  </conditionalFormatting>
  <conditionalFormatting sqref="P14">
    <cfRule type="cellIs" dxfId="440" priority="369" operator="lessThan">
      <formula>0</formula>
    </cfRule>
  </conditionalFormatting>
  <conditionalFormatting sqref="F10">
    <cfRule type="cellIs" dxfId="439" priority="368" operator="lessThan">
      <formula>0</formula>
    </cfRule>
  </conditionalFormatting>
  <conditionalFormatting sqref="DF4">
    <cfRule type="cellIs" dxfId="438" priority="367" operator="lessThan">
      <formula>0</formula>
    </cfRule>
  </conditionalFormatting>
  <conditionalFormatting sqref="X4:X31">
    <cfRule type="cellIs" dxfId="437" priority="366" operator="lessThan">
      <formula>0</formula>
    </cfRule>
  </conditionalFormatting>
  <conditionalFormatting sqref="Z4:Z31">
    <cfRule type="cellIs" dxfId="436" priority="365" operator="lessThan">
      <formula>0</formula>
    </cfRule>
  </conditionalFormatting>
  <conditionalFormatting sqref="AF4">
    <cfRule type="cellIs" dxfId="435" priority="364" operator="lessThan">
      <formula>0</formula>
    </cfRule>
  </conditionalFormatting>
  <conditionalFormatting sqref="AL4:AL31">
    <cfRule type="cellIs" dxfId="434" priority="363" operator="lessThan">
      <formula>0</formula>
    </cfRule>
  </conditionalFormatting>
  <conditionalFormatting sqref="AT4:AT31">
    <cfRule type="cellIs" dxfId="433" priority="362" operator="lessThan">
      <formula>0</formula>
    </cfRule>
  </conditionalFormatting>
  <conditionalFormatting sqref="AV4:AV31">
    <cfRule type="cellIs" dxfId="432" priority="361" operator="lessThan">
      <formula>0</formula>
    </cfRule>
  </conditionalFormatting>
  <conditionalFormatting sqref="AX4:AX31">
    <cfRule type="cellIs" dxfId="431" priority="360" operator="lessThan">
      <formula>0</formula>
    </cfRule>
  </conditionalFormatting>
  <conditionalFormatting sqref="AZ4:AZ31">
    <cfRule type="cellIs" dxfId="430" priority="359" operator="lessThan">
      <formula>0</formula>
    </cfRule>
  </conditionalFormatting>
  <conditionalFormatting sqref="BB4:BB31">
    <cfRule type="cellIs" dxfId="429" priority="358" operator="lessThan">
      <formula>0</formula>
    </cfRule>
  </conditionalFormatting>
  <conditionalFormatting sqref="BD4:BD31">
    <cfRule type="cellIs" dxfId="428" priority="357" operator="lessThan">
      <formula>0</formula>
    </cfRule>
  </conditionalFormatting>
  <conditionalFormatting sqref="BH4:BH31">
    <cfRule type="cellIs" dxfId="427" priority="356" operator="lessThan">
      <formula>0</formula>
    </cfRule>
  </conditionalFormatting>
  <conditionalFormatting sqref="BI29:BI31 BI4:BI27">
    <cfRule type="cellIs" dxfId="426" priority="355" operator="lessThan">
      <formula>0</formula>
    </cfRule>
  </conditionalFormatting>
  <conditionalFormatting sqref="BI28">
    <cfRule type="cellIs" dxfId="425" priority="354" operator="lessThan">
      <formula>0</formula>
    </cfRule>
  </conditionalFormatting>
  <conditionalFormatting sqref="BJ4:BJ31">
    <cfRule type="cellIs" dxfId="424" priority="353" operator="lessThan">
      <formula>0</formula>
    </cfRule>
  </conditionalFormatting>
  <conditionalFormatting sqref="BK29:BK31 BK4:BK27">
    <cfRule type="cellIs" dxfId="423" priority="352" operator="lessThan">
      <formula>0</formula>
    </cfRule>
  </conditionalFormatting>
  <conditionalFormatting sqref="BK28">
    <cfRule type="cellIs" dxfId="422" priority="351" operator="lessThan">
      <formula>0</formula>
    </cfRule>
  </conditionalFormatting>
  <conditionalFormatting sqref="BL4:BL31">
    <cfRule type="cellIs" dxfId="421" priority="350" operator="lessThan">
      <formula>0</formula>
    </cfRule>
  </conditionalFormatting>
  <conditionalFormatting sqref="BM29:BM31 BM4:BM27">
    <cfRule type="cellIs" dxfId="420" priority="349" operator="lessThan">
      <formula>0</formula>
    </cfRule>
  </conditionalFormatting>
  <conditionalFormatting sqref="BM28">
    <cfRule type="cellIs" dxfId="419" priority="348" operator="lessThan">
      <formula>0</formula>
    </cfRule>
  </conditionalFormatting>
  <conditionalFormatting sqref="BN4:BN31">
    <cfRule type="cellIs" dxfId="418" priority="347" operator="lessThan">
      <formula>0</formula>
    </cfRule>
  </conditionalFormatting>
  <conditionalFormatting sqref="BO29:BO31 BO4:BO27">
    <cfRule type="cellIs" dxfId="417" priority="346" operator="lessThan">
      <formula>0</formula>
    </cfRule>
  </conditionalFormatting>
  <conditionalFormatting sqref="BO28">
    <cfRule type="cellIs" dxfId="416" priority="345" operator="lessThan">
      <formula>0</formula>
    </cfRule>
  </conditionalFormatting>
  <conditionalFormatting sqref="BP4:BP31">
    <cfRule type="cellIs" dxfId="415" priority="344" operator="lessThan">
      <formula>0</formula>
    </cfRule>
  </conditionalFormatting>
  <conditionalFormatting sqref="BQ4:BQ31">
    <cfRule type="cellIs" dxfId="414" priority="343" operator="lessThan">
      <formula>0</formula>
    </cfRule>
  </conditionalFormatting>
  <conditionalFormatting sqref="BR4:BR31">
    <cfRule type="cellIs" dxfId="413" priority="342" operator="lessThan">
      <formula>0</formula>
    </cfRule>
  </conditionalFormatting>
  <conditionalFormatting sqref="BU29:BU31 BU4:BU27">
    <cfRule type="cellIs" dxfId="412" priority="341" operator="lessThan">
      <formula>0</formula>
    </cfRule>
  </conditionalFormatting>
  <conditionalFormatting sqref="BU28">
    <cfRule type="cellIs" dxfId="411" priority="340" operator="lessThan">
      <formula>0</formula>
    </cfRule>
  </conditionalFormatting>
  <conditionalFormatting sqref="BV4:BV31">
    <cfRule type="cellIs" dxfId="410" priority="339" operator="lessThan">
      <formula>0</formula>
    </cfRule>
  </conditionalFormatting>
  <conditionalFormatting sqref="BW29 BW4:BW27 BW31">
    <cfRule type="cellIs" dxfId="409" priority="338" operator="lessThan">
      <formula>0</formula>
    </cfRule>
  </conditionalFormatting>
  <conditionalFormatting sqref="BW28 BW30">
    <cfRule type="cellIs" dxfId="408" priority="337" operator="lessThan">
      <formula>0</formula>
    </cfRule>
  </conditionalFormatting>
  <conditionalFormatting sqref="BX4:BX31">
    <cfRule type="cellIs" dxfId="407" priority="336" operator="lessThan">
      <formula>0</formula>
    </cfRule>
  </conditionalFormatting>
  <conditionalFormatting sqref="BY29:BY31 BY4:BY27">
    <cfRule type="cellIs" dxfId="406" priority="335" operator="lessThan">
      <formula>0</formula>
    </cfRule>
  </conditionalFormatting>
  <conditionalFormatting sqref="BY28">
    <cfRule type="cellIs" dxfId="405" priority="334" operator="lessThan">
      <formula>0</formula>
    </cfRule>
  </conditionalFormatting>
  <conditionalFormatting sqref="BZ4:BZ31">
    <cfRule type="cellIs" dxfId="404" priority="333" operator="lessThan">
      <formula>0</formula>
    </cfRule>
  </conditionalFormatting>
  <conditionalFormatting sqref="CA29:CA31 CA5:CA27">
    <cfRule type="cellIs" dxfId="403" priority="332" operator="lessThan">
      <formula>0</formula>
    </cfRule>
  </conditionalFormatting>
  <conditionalFormatting sqref="CA28">
    <cfRule type="cellIs" dxfId="402" priority="331" operator="lessThan">
      <formula>0</formula>
    </cfRule>
  </conditionalFormatting>
  <conditionalFormatting sqref="CB4:CB31">
    <cfRule type="cellIs" dxfId="401" priority="330" operator="lessThan">
      <formula>0</formula>
    </cfRule>
  </conditionalFormatting>
  <conditionalFormatting sqref="CV29:CV31 CV5:CV27">
    <cfRule type="cellIs" dxfId="400" priority="329" operator="lessThan">
      <formula>0</formula>
    </cfRule>
  </conditionalFormatting>
  <conditionalFormatting sqref="CV18">
    <cfRule type="cellIs" dxfId="399" priority="328" operator="lessThan">
      <formula>0</formula>
    </cfRule>
  </conditionalFormatting>
  <conditionalFormatting sqref="CV4">
    <cfRule type="cellIs" dxfId="398" priority="327" operator="lessThan">
      <formula>0</formula>
    </cfRule>
  </conditionalFormatting>
  <conditionalFormatting sqref="CW4:CW8">
    <cfRule type="cellIs" dxfId="397" priority="326" operator="lessThan">
      <formula>0</formula>
    </cfRule>
  </conditionalFormatting>
  <conditionalFormatting sqref="CX4:CX8">
    <cfRule type="cellIs" dxfId="396" priority="325" operator="lessThan">
      <formula>0</formula>
    </cfRule>
  </conditionalFormatting>
  <conditionalFormatting sqref="CW29:CW31 CW9:CW27">
    <cfRule type="cellIs" dxfId="395" priority="324" operator="lessThan">
      <formula>0</formula>
    </cfRule>
  </conditionalFormatting>
  <conditionalFormatting sqref="CX29:CX31 CX9:CX27">
    <cfRule type="cellIs" dxfId="394" priority="323" operator="lessThan">
      <formula>0</formula>
    </cfRule>
  </conditionalFormatting>
  <conditionalFormatting sqref="CV28">
    <cfRule type="cellIs" dxfId="393" priority="322" operator="lessThan">
      <formula>0</formula>
    </cfRule>
  </conditionalFormatting>
  <conditionalFormatting sqref="CW28">
    <cfRule type="cellIs" dxfId="392" priority="321" operator="lessThan">
      <formula>0</formula>
    </cfRule>
  </conditionalFormatting>
  <conditionalFormatting sqref="CX28">
    <cfRule type="cellIs" dxfId="391" priority="320" operator="lessThan">
      <formula>0</formula>
    </cfRule>
  </conditionalFormatting>
  <conditionalFormatting sqref="CY6:CY31">
    <cfRule type="cellIs" dxfId="390" priority="319" operator="lessThan">
      <formula>0</formula>
    </cfRule>
  </conditionalFormatting>
  <conditionalFormatting sqref="CY18">
    <cfRule type="cellIs" dxfId="389" priority="318" operator="lessThan">
      <formula>0</formula>
    </cfRule>
  </conditionalFormatting>
  <conditionalFormatting sqref="CZ4:CZ8">
    <cfRule type="cellIs" dxfId="388" priority="317" operator="lessThan">
      <formula>0</formula>
    </cfRule>
  </conditionalFormatting>
  <conditionalFormatting sqref="DA4:DA8">
    <cfRule type="cellIs" dxfId="387" priority="316" operator="lessThan">
      <formula>0</formula>
    </cfRule>
  </conditionalFormatting>
  <conditionalFormatting sqref="CZ29:CZ31 CZ9:CZ27">
    <cfRule type="cellIs" dxfId="386" priority="315" operator="lessThan">
      <formula>0</formula>
    </cfRule>
  </conditionalFormatting>
  <conditionalFormatting sqref="DA29:DA31 DA9:DA27">
    <cfRule type="cellIs" dxfId="385" priority="314" operator="lessThan">
      <formula>0</formula>
    </cfRule>
  </conditionalFormatting>
  <conditionalFormatting sqref="CZ28">
    <cfRule type="cellIs" dxfId="384" priority="313" operator="lessThan">
      <formula>0</formula>
    </cfRule>
  </conditionalFormatting>
  <conditionalFormatting sqref="DA28">
    <cfRule type="cellIs" dxfId="383" priority="312" operator="lessThan">
      <formula>0</formula>
    </cfRule>
  </conditionalFormatting>
  <conditionalFormatting sqref="DB5:DB27 DB29:DB31">
    <cfRule type="cellIs" dxfId="382" priority="311" operator="lessThan">
      <formula>0</formula>
    </cfRule>
  </conditionalFormatting>
  <conditionalFormatting sqref="DB18">
    <cfRule type="cellIs" dxfId="381" priority="310" operator="lessThan">
      <formula>0</formula>
    </cfRule>
  </conditionalFormatting>
  <conditionalFormatting sqref="DB4">
    <cfRule type="cellIs" dxfId="380" priority="309" operator="lessThan">
      <formula>0</formula>
    </cfRule>
  </conditionalFormatting>
  <conditionalFormatting sqref="DC4:DC8">
    <cfRule type="cellIs" dxfId="379" priority="308" operator="lessThan">
      <formula>0</formula>
    </cfRule>
  </conditionalFormatting>
  <conditionalFormatting sqref="DD4:DD8">
    <cfRule type="cellIs" dxfId="378" priority="307" operator="lessThan">
      <formula>0</formula>
    </cfRule>
  </conditionalFormatting>
  <conditionalFormatting sqref="DC29:DC31 DC9:DC27">
    <cfRule type="cellIs" dxfId="377" priority="306" operator="lessThan">
      <formula>0</formula>
    </cfRule>
  </conditionalFormatting>
  <conditionalFormatting sqref="DD29:DD31 DD9:DD27">
    <cfRule type="cellIs" dxfId="376" priority="305" operator="lessThan">
      <formula>0</formula>
    </cfRule>
  </conditionalFormatting>
  <conditionalFormatting sqref="DB28">
    <cfRule type="cellIs" dxfId="375" priority="304" operator="lessThan">
      <formula>0</formula>
    </cfRule>
  </conditionalFormatting>
  <conditionalFormatting sqref="DC28">
    <cfRule type="cellIs" dxfId="374" priority="303" operator="lessThan">
      <formula>0</formula>
    </cfRule>
  </conditionalFormatting>
  <conditionalFormatting sqref="DD28">
    <cfRule type="cellIs" dxfId="373" priority="302" operator="lessThan">
      <formula>0</formula>
    </cfRule>
  </conditionalFormatting>
  <conditionalFormatting sqref="DE31 DE5:DE27 DE29">
    <cfRule type="cellIs" dxfId="372" priority="301" operator="lessThan">
      <formula>0</formula>
    </cfRule>
  </conditionalFormatting>
  <conditionalFormatting sqref="DE18">
    <cfRule type="cellIs" dxfId="371" priority="300" operator="lessThan">
      <formula>0</formula>
    </cfRule>
  </conditionalFormatting>
  <conditionalFormatting sqref="DE4">
    <cfRule type="cellIs" dxfId="370" priority="299" operator="lessThan">
      <formula>0</formula>
    </cfRule>
  </conditionalFormatting>
  <conditionalFormatting sqref="DF5:DF8">
    <cfRule type="cellIs" dxfId="369" priority="298" operator="lessThan">
      <formula>0</formula>
    </cfRule>
  </conditionalFormatting>
  <conditionalFormatting sqref="DG4:DG8">
    <cfRule type="cellIs" dxfId="368" priority="297" operator="lessThan">
      <formula>0</formula>
    </cfRule>
  </conditionalFormatting>
  <conditionalFormatting sqref="DF29:DF31 DF9:DF27">
    <cfRule type="cellIs" dxfId="367" priority="296" operator="lessThan">
      <formula>0</formula>
    </cfRule>
  </conditionalFormatting>
  <conditionalFormatting sqref="DG29:DG31 DG9:DG27">
    <cfRule type="cellIs" dxfId="366" priority="295" operator="lessThan">
      <formula>0</formula>
    </cfRule>
  </conditionalFormatting>
  <conditionalFormatting sqref="DE28 DE30">
    <cfRule type="cellIs" dxfId="365" priority="294" operator="lessThan">
      <formula>0</formula>
    </cfRule>
  </conditionalFormatting>
  <conditionalFormatting sqref="DF28">
    <cfRule type="cellIs" dxfId="364" priority="293" operator="lessThan">
      <formula>0</formula>
    </cfRule>
  </conditionalFormatting>
  <conditionalFormatting sqref="DG28">
    <cfRule type="cellIs" dxfId="363" priority="292" operator="lessThan">
      <formula>0</formula>
    </cfRule>
  </conditionalFormatting>
  <conditionalFormatting sqref="DH29:DH31 DH4:DH27">
    <cfRule type="cellIs" dxfId="362" priority="291" operator="lessThan">
      <formula>0</formula>
    </cfRule>
  </conditionalFormatting>
  <conditionalFormatting sqref="DH18">
    <cfRule type="cellIs" dxfId="361" priority="290" operator="lessThan">
      <formula>0</formula>
    </cfRule>
  </conditionalFormatting>
  <conditionalFormatting sqref="DI4:DI8">
    <cfRule type="cellIs" dxfId="360" priority="289" operator="lessThan">
      <formula>0</formula>
    </cfRule>
  </conditionalFormatting>
  <conditionalFormatting sqref="DJ4:DJ8">
    <cfRule type="cellIs" dxfId="359" priority="288" operator="lessThan">
      <formula>0</formula>
    </cfRule>
  </conditionalFormatting>
  <conditionalFormatting sqref="DI29:DI31 DI9:DI27">
    <cfRule type="cellIs" dxfId="358" priority="287" operator="lessThan">
      <formula>0</formula>
    </cfRule>
  </conditionalFormatting>
  <conditionalFormatting sqref="DJ29:DJ31 DJ9:DJ27">
    <cfRule type="cellIs" dxfId="357" priority="286" operator="lessThan">
      <formula>0</formula>
    </cfRule>
  </conditionalFormatting>
  <conditionalFormatting sqref="DH28">
    <cfRule type="cellIs" dxfId="356" priority="285" operator="lessThan">
      <formula>0</formula>
    </cfRule>
  </conditionalFormatting>
  <conditionalFormatting sqref="DI28">
    <cfRule type="cellIs" dxfId="355" priority="284" operator="lessThan">
      <formula>0</formula>
    </cfRule>
  </conditionalFormatting>
  <conditionalFormatting sqref="DJ28">
    <cfRule type="cellIs" dxfId="354" priority="283" operator="lessThan">
      <formula>0</formula>
    </cfRule>
  </conditionalFormatting>
  <conditionalFormatting sqref="DN29:DN31 DN5:DN27">
    <cfRule type="cellIs" dxfId="353" priority="282" operator="lessThan">
      <formula>0</formula>
    </cfRule>
  </conditionalFormatting>
  <conditionalFormatting sqref="DN18">
    <cfRule type="cellIs" dxfId="352" priority="281" operator="lessThan">
      <formula>0</formula>
    </cfRule>
  </conditionalFormatting>
  <conditionalFormatting sqref="DN4">
    <cfRule type="cellIs" dxfId="351" priority="280" operator="lessThan">
      <formula>0</formula>
    </cfRule>
  </conditionalFormatting>
  <conditionalFormatting sqref="DO4:DO8">
    <cfRule type="cellIs" dxfId="350" priority="279" operator="lessThan">
      <formula>0</formula>
    </cfRule>
  </conditionalFormatting>
  <conditionalFormatting sqref="DP4:DP8">
    <cfRule type="cellIs" dxfId="349" priority="278" operator="lessThan">
      <formula>0</formula>
    </cfRule>
  </conditionalFormatting>
  <conditionalFormatting sqref="DO29:DO31 DO9:DO27">
    <cfRule type="cellIs" dxfId="348" priority="277" operator="lessThan">
      <formula>0</formula>
    </cfRule>
  </conditionalFormatting>
  <conditionalFormatting sqref="DP29:DP31 DP9:DP27">
    <cfRule type="cellIs" dxfId="347" priority="276" operator="lessThan">
      <formula>0</formula>
    </cfRule>
  </conditionalFormatting>
  <conditionalFormatting sqref="DN28">
    <cfRule type="cellIs" dxfId="346" priority="275" operator="lessThan">
      <formula>0</formula>
    </cfRule>
  </conditionalFormatting>
  <conditionalFormatting sqref="DO28">
    <cfRule type="cellIs" dxfId="345" priority="274" operator="lessThan">
      <formula>0</formula>
    </cfRule>
  </conditionalFormatting>
  <conditionalFormatting sqref="DP28">
    <cfRule type="cellIs" dxfId="344" priority="273" operator="lessThan">
      <formula>0</formula>
    </cfRule>
  </conditionalFormatting>
  <conditionalFormatting sqref="DK29:DK31 DK5:DK27">
    <cfRule type="cellIs" dxfId="343" priority="272" operator="lessThan">
      <formula>0</formula>
    </cfRule>
  </conditionalFormatting>
  <conditionalFormatting sqref="DK18">
    <cfRule type="cellIs" dxfId="342" priority="271" operator="lessThan">
      <formula>0</formula>
    </cfRule>
  </conditionalFormatting>
  <conditionalFormatting sqref="DK4">
    <cfRule type="cellIs" dxfId="341" priority="270" operator="lessThan">
      <formula>0</formula>
    </cfRule>
  </conditionalFormatting>
  <conditionalFormatting sqref="DL4:DL8">
    <cfRule type="cellIs" dxfId="340" priority="269" operator="lessThan">
      <formula>0</formula>
    </cfRule>
  </conditionalFormatting>
  <conditionalFormatting sqref="DM4:DM8">
    <cfRule type="cellIs" dxfId="339" priority="268" operator="lessThan">
      <formula>0</formula>
    </cfRule>
  </conditionalFormatting>
  <conditionalFormatting sqref="DL29:DL31 DL9:DL27">
    <cfRule type="cellIs" dxfId="338" priority="267" operator="lessThan">
      <formula>0</formula>
    </cfRule>
  </conditionalFormatting>
  <conditionalFormatting sqref="DM29:DM31 DM9:DM27">
    <cfRule type="cellIs" dxfId="337" priority="266" operator="lessThan">
      <formula>0</formula>
    </cfRule>
  </conditionalFormatting>
  <conditionalFormatting sqref="DK28">
    <cfRule type="cellIs" dxfId="336" priority="265" operator="lessThan">
      <formula>0</formula>
    </cfRule>
  </conditionalFormatting>
  <conditionalFormatting sqref="DL28">
    <cfRule type="cellIs" dxfId="335" priority="264" operator="lessThan">
      <formula>0</formula>
    </cfRule>
  </conditionalFormatting>
  <conditionalFormatting sqref="DM28">
    <cfRule type="cellIs" dxfId="334" priority="263" operator="lessThan">
      <formula>0</formula>
    </cfRule>
  </conditionalFormatting>
  <conditionalFormatting sqref="DQ29:DQ31 DQ5:DQ27">
    <cfRule type="cellIs" dxfId="333" priority="262" operator="lessThan">
      <formula>0</formula>
    </cfRule>
  </conditionalFormatting>
  <conditionalFormatting sqref="DQ18">
    <cfRule type="cellIs" dxfId="332" priority="261" operator="lessThan">
      <formula>0</formula>
    </cfRule>
  </conditionalFormatting>
  <conditionalFormatting sqref="DQ4">
    <cfRule type="cellIs" dxfId="331" priority="260" operator="lessThan">
      <formula>0</formula>
    </cfRule>
  </conditionalFormatting>
  <conditionalFormatting sqref="DR4:DR8">
    <cfRule type="cellIs" dxfId="330" priority="259" operator="lessThan">
      <formula>0</formula>
    </cfRule>
  </conditionalFormatting>
  <conditionalFormatting sqref="DS4:DS8">
    <cfRule type="cellIs" dxfId="329" priority="258" operator="lessThan">
      <formula>0</formula>
    </cfRule>
  </conditionalFormatting>
  <conditionalFormatting sqref="DR29:DR31 DR9:DR27">
    <cfRule type="cellIs" dxfId="328" priority="257" operator="lessThan">
      <formula>0</formula>
    </cfRule>
  </conditionalFormatting>
  <conditionalFormatting sqref="DS29:DS31 DS9:DS27">
    <cfRule type="cellIs" dxfId="327" priority="256" operator="lessThan">
      <formula>0</formula>
    </cfRule>
  </conditionalFormatting>
  <conditionalFormatting sqref="DQ28">
    <cfRule type="cellIs" dxfId="326" priority="255" operator="lessThan">
      <formula>0</formula>
    </cfRule>
  </conditionalFormatting>
  <conditionalFormatting sqref="DR28">
    <cfRule type="cellIs" dxfId="325" priority="254" operator="lessThan">
      <formula>0</formula>
    </cfRule>
  </conditionalFormatting>
  <conditionalFormatting sqref="DS28">
    <cfRule type="cellIs" dxfId="324" priority="253" operator="lessThan">
      <formula>0</formula>
    </cfRule>
  </conditionalFormatting>
  <conditionalFormatting sqref="DT29:DT31 DT5:DT27">
    <cfRule type="cellIs" dxfId="323" priority="252" operator="lessThan">
      <formula>0</formula>
    </cfRule>
  </conditionalFormatting>
  <conditionalFormatting sqref="DT18">
    <cfRule type="cellIs" dxfId="322" priority="251" operator="lessThan">
      <formula>0</formula>
    </cfRule>
  </conditionalFormatting>
  <conditionalFormatting sqref="DT4">
    <cfRule type="cellIs" dxfId="321" priority="250" operator="lessThan">
      <formula>0</formula>
    </cfRule>
  </conditionalFormatting>
  <conditionalFormatting sqref="DU4:DU8">
    <cfRule type="cellIs" dxfId="320" priority="249" operator="lessThan">
      <formula>0</formula>
    </cfRule>
  </conditionalFormatting>
  <conditionalFormatting sqref="DV4:DV8">
    <cfRule type="cellIs" dxfId="319" priority="248" operator="lessThan">
      <formula>0</formula>
    </cfRule>
  </conditionalFormatting>
  <conditionalFormatting sqref="DU29:DU31 DU9:DU27">
    <cfRule type="cellIs" dxfId="318" priority="247" operator="lessThan">
      <formula>0</formula>
    </cfRule>
  </conditionalFormatting>
  <conditionalFormatting sqref="DV29:DV31 DV9:DV27">
    <cfRule type="cellIs" dxfId="317" priority="246" operator="lessThan">
      <formula>0</formula>
    </cfRule>
  </conditionalFormatting>
  <conditionalFormatting sqref="DT28">
    <cfRule type="cellIs" dxfId="316" priority="245" operator="lessThan">
      <formula>0</formula>
    </cfRule>
  </conditionalFormatting>
  <conditionalFormatting sqref="DU28">
    <cfRule type="cellIs" dxfId="315" priority="244" operator="lessThan">
      <formula>0</formula>
    </cfRule>
  </conditionalFormatting>
  <conditionalFormatting sqref="DV28">
    <cfRule type="cellIs" dxfId="314" priority="243" operator="lessThan">
      <formula>0</formula>
    </cfRule>
  </conditionalFormatting>
  <conditionalFormatting sqref="DW29:DW31 DW5:DW27">
    <cfRule type="cellIs" dxfId="313" priority="242" operator="lessThan">
      <formula>0</formula>
    </cfRule>
  </conditionalFormatting>
  <conditionalFormatting sqref="DW18">
    <cfRule type="cellIs" dxfId="312" priority="241" operator="lessThan">
      <formula>0</formula>
    </cfRule>
  </conditionalFormatting>
  <conditionalFormatting sqref="DW4">
    <cfRule type="cellIs" dxfId="311" priority="240" operator="lessThan">
      <formula>0</formula>
    </cfRule>
  </conditionalFormatting>
  <conditionalFormatting sqref="DX4:DX8">
    <cfRule type="cellIs" dxfId="310" priority="239" operator="lessThan">
      <formula>0</formula>
    </cfRule>
  </conditionalFormatting>
  <conditionalFormatting sqref="DY4:DY8">
    <cfRule type="cellIs" dxfId="309" priority="238" operator="lessThan">
      <formula>0</formula>
    </cfRule>
  </conditionalFormatting>
  <conditionalFormatting sqref="DX29:DX31 DX9:DX27">
    <cfRule type="cellIs" dxfId="308" priority="237" operator="lessThan">
      <formula>0</formula>
    </cfRule>
  </conditionalFormatting>
  <conditionalFormatting sqref="DY29:DY31 DY9:DY27">
    <cfRule type="cellIs" dxfId="307" priority="236" operator="lessThan">
      <formula>0</formula>
    </cfRule>
  </conditionalFormatting>
  <conditionalFormatting sqref="DW28">
    <cfRule type="cellIs" dxfId="306" priority="235" operator="lessThan">
      <formula>0</formula>
    </cfRule>
  </conditionalFormatting>
  <conditionalFormatting sqref="DX28">
    <cfRule type="cellIs" dxfId="305" priority="234" operator="lessThan">
      <formula>0</formula>
    </cfRule>
  </conditionalFormatting>
  <conditionalFormatting sqref="DY28">
    <cfRule type="cellIs" dxfId="304" priority="233" operator="lessThan">
      <formula>0</formula>
    </cfRule>
  </conditionalFormatting>
  <conditionalFormatting sqref="DZ29:DZ31 DZ5:DZ27">
    <cfRule type="cellIs" dxfId="303" priority="232" operator="lessThan">
      <formula>0</formula>
    </cfRule>
  </conditionalFormatting>
  <conditionalFormatting sqref="DZ18">
    <cfRule type="cellIs" dxfId="302" priority="231" operator="lessThan">
      <formula>0</formula>
    </cfRule>
  </conditionalFormatting>
  <conditionalFormatting sqref="DZ4">
    <cfRule type="cellIs" dxfId="301" priority="230" operator="lessThan">
      <formula>0</formula>
    </cfRule>
  </conditionalFormatting>
  <conditionalFormatting sqref="EA4:EA8">
    <cfRule type="cellIs" dxfId="300" priority="229" operator="lessThan">
      <formula>0</formula>
    </cfRule>
  </conditionalFormatting>
  <conditionalFormatting sqref="EB4:EB8">
    <cfRule type="cellIs" dxfId="299" priority="228" operator="lessThan">
      <formula>0</formula>
    </cfRule>
  </conditionalFormatting>
  <conditionalFormatting sqref="EA29:EA31">
    <cfRule type="cellIs" dxfId="298" priority="227" operator="lessThan">
      <formula>0</formula>
    </cfRule>
  </conditionalFormatting>
  <conditionalFormatting sqref="EB29:EB31 EB9:EB27">
    <cfRule type="cellIs" dxfId="297" priority="226" operator="lessThan">
      <formula>0</formula>
    </cfRule>
  </conditionalFormatting>
  <conditionalFormatting sqref="DZ28">
    <cfRule type="cellIs" dxfId="296" priority="225" operator="lessThan">
      <formula>0</formula>
    </cfRule>
  </conditionalFormatting>
  <conditionalFormatting sqref="EA28">
    <cfRule type="cellIs" dxfId="295" priority="224" operator="lessThan">
      <formula>0</formula>
    </cfRule>
  </conditionalFormatting>
  <conditionalFormatting sqref="EB28">
    <cfRule type="cellIs" dxfId="294" priority="223" operator="lessThan">
      <formula>0</formula>
    </cfRule>
  </conditionalFormatting>
  <conditionalFormatting sqref="EC29:EC31 EC5:EC27">
    <cfRule type="cellIs" dxfId="293" priority="222" operator="lessThan">
      <formula>0</formula>
    </cfRule>
  </conditionalFormatting>
  <conditionalFormatting sqref="EC18">
    <cfRule type="cellIs" dxfId="292" priority="221" operator="lessThan">
      <formula>0</formula>
    </cfRule>
  </conditionalFormatting>
  <conditionalFormatting sqref="EC4">
    <cfRule type="cellIs" dxfId="291" priority="220" operator="lessThan">
      <formula>0</formula>
    </cfRule>
  </conditionalFormatting>
  <conditionalFormatting sqref="ED4:ED8">
    <cfRule type="cellIs" dxfId="290" priority="219" operator="lessThan">
      <formula>0</formula>
    </cfRule>
  </conditionalFormatting>
  <conditionalFormatting sqref="EE4:EE8">
    <cfRule type="cellIs" dxfId="289" priority="218" operator="lessThan">
      <formula>0</formula>
    </cfRule>
  </conditionalFormatting>
  <conditionalFormatting sqref="ED29:ED31 ED9:ED27">
    <cfRule type="cellIs" dxfId="288" priority="217" operator="lessThan">
      <formula>0</formula>
    </cfRule>
  </conditionalFormatting>
  <conditionalFormatting sqref="EE29:EE31 EE9:EE27">
    <cfRule type="cellIs" dxfId="287" priority="216" operator="lessThan">
      <formula>0</formula>
    </cfRule>
  </conditionalFormatting>
  <conditionalFormatting sqref="EC28">
    <cfRule type="cellIs" dxfId="286" priority="215" operator="lessThan">
      <formula>0</formula>
    </cfRule>
  </conditionalFormatting>
  <conditionalFormatting sqref="ED28">
    <cfRule type="cellIs" dxfId="285" priority="214" operator="lessThan">
      <formula>0</formula>
    </cfRule>
  </conditionalFormatting>
  <conditionalFormatting sqref="EE28">
    <cfRule type="cellIs" dxfId="284" priority="213" operator="lessThan">
      <formula>0</formula>
    </cfRule>
  </conditionalFormatting>
  <conditionalFormatting sqref="AD6">
    <cfRule type="cellIs" dxfId="283" priority="212" operator="lessThan">
      <formula>0</formula>
    </cfRule>
  </conditionalFormatting>
  <conditionalFormatting sqref="AG5">
    <cfRule type="cellIs" dxfId="282" priority="211" operator="lessThan">
      <formula>0</formula>
    </cfRule>
  </conditionalFormatting>
  <conditionalFormatting sqref="AD5">
    <cfRule type="cellIs" dxfId="281" priority="210" operator="lessThan">
      <formula>0</formula>
    </cfRule>
  </conditionalFormatting>
  <conditionalFormatting sqref="U5 U7">
    <cfRule type="cellIs" dxfId="280" priority="209" operator="lessThan">
      <formula>0</formula>
    </cfRule>
  </conditionalFormatting>
  <conditionalFormatting sqref="AU5 AW5 AY5 BA5 CJ5 EF5 EH5 EJ5">
    <cfRule type="cellIs" dxfId="279" priority="208" operator="lessThan">
      <formula>0</formula>
    </cfRule>
  </conditionalFormatting>
  <conditionalFormatting sqref="EN5:EO5">
    <cfRule type="cellIs" dxfId="278" priority="207" operator="lessThan">
      <formula>0</formula>
    </cfRule>
  </conditionalFormatting>
  <conditionalFormatting sqref="AA5">
    <cfRule type="cellIs" dxfId="277" priority="206" operator="lessThan">
      <formula>0</formula>
    </cfRule>
  </conditionalFormatting>
  <conditionalFormatting sqref="EP6">
    <cfRule type="cellIs" dxfId="276" priority="205" operator="lessThan">
      <formula>0</formula>
    </cfRule>
  </conditionalFormatting>
  <conditionalFormatting sqref="L5">
    <cfRule type="cellIs" dxfId="275" priority="204" operator="lessThan">
      <formula>0</formula>
    </cfRule>
  </conditionalFormatting>
  <conditionalFormatting sqref="BC5">
    <cfRule type="cellIs" dxfId="274" priority="203" operator="lessThan">
      <formula>0</formula>
    </cfRule>
  </conditionalFormatting>
  <conditionalFormatting sqref="K6">
    <cfRule type="cellIs" dxfId="273" priority="202" operator="lessThan">
      <formula>0</formula>
    </cfRule>
  </conditionalFormatting>
  <conditionalFormatting sqref="O6">
    <cfRule type="cellIs" dxfId="272" priority="201" operator="lessThan">
      <formula>0</formula>
    </cfRule>
  </conditionalFormatting>
  <conditionalFormatting sqref="K5">
    <cfRule type="cellIs" dxfId="271" priority="200" operator="lessThan">
      <formula>0</formula>
    </cfRule>
  </conditionalFormatting>
  <conditionalFormatting sqref="M4:M5">
    <cfRule type="cellIs" dxfId="270" priority="199" operator="lessThan">
      <formula>0</formula>
    </cfRule>
  </conditionalFormatting>
  <conditionalFormatting sqref="O5">
    <cfRule type="cellIs" dxfId="269" priority="198" operator="lessThan">
      <formula>0</formula>
    </cfRule>
  </conditionalFormatting>
  <conditionalFormatting sqref="D5">
    <cfRule type="cellIs" dxfId="268" priority="197" operator="lessThan">
      <formula>0</formula>
    </cfRule>
  </conditionalFormatting>
  <conditionalFormatting sqref="EP5">
    <cfRule type="cellIs" dxfId="267" priority="196" operator="lessThan">
      <formula>0</formula>
    </cfRule>
  </conditionalFormatting>
  <conditionalFormatting sqref="BC6">
    <cfRule type="cellIs" dxfId="266" priority="195" operator="lessThan">
      <formula>0</formula>
    </cfRule>
  </conditionalFormatting>
  <conditionalFormatting sqref="AS6">
    <cfRule type="cellIs" dxfId="265" priority="194" operator="lessThan">
      <formula>0</formula>
    </cfRule>
  </conditionalFormatting>
  <conditionalFormatting sqref="I6:I7">
    <cfRule type="cellIs" dxfId="264" priority="193" operator="lessThan">
      <formula>0</formula>
    </cfRule>
  </conditionalFormatting>
  <conditionalFormatting sqref="I5">
    <cfRule type="cellIs" dxfId="263" priority="192" operator="lessThan">
      <formula>0</formula>
    </cfRule>
  </conditionalFormatting>
  <conditionalFormatting sqref="M6">
    <cfRule type="cellIs" dxfId="262" priority="191" operator="lessThan">
      <formula>0</formula>
    </cfRule>
  </conditionalFormatting>
  <conditionalFormatting sqref="AQ5">
    <cfRule type="cellIs" dxfId="261" priority="190" operator="lessThan">
      <formula>0</formula>
    </cfRule>
  </conditionalFormatting>
  <conditionalFormatting sqref="DF5">
    <cfRule type="cellIs" dxfId="260" priority="189" operator="lessThan">
      <formula>0</formula>
    </cfRule>
  </conditionalFormatting>
  <conditionalFormatting sqref="AF5">
    <cfRule type="cellIs" dxfId="259" priority="188" operator="lessThan">
      <formula>0</formula>
    </cfRule>
  </conditionalFormatting>
  <conditionalFormatting sqref="CV5">
    <cfRule type="cellIs" dxfId="258" priority="187" operator="lessThan">
      <formula>0</formula>
    </cfRule>
  </conditionalFormatting>
  <conditionalFormatting sqref="DB5">
    <cfRule type="cellIs" dxfId="257" priority="186" operator="lessThan">
      <formula>0</formula>
    </cfRule>
  </conditionalFormatting>
  <conditionalFormatting sqref="DE5">
    <cfRule type="cellIs" dxfId="256" priority="185" operator="lessThan">
      <formula>0</formula>
    </cfRule>
  </conditionalFormatting>
  <conditionalFormatting sqref="DN5">
    <cfRule type="cellIs" dxfId="255" priority="184" operator="lessThan">
      <formula>0</formula>
    </cfRule>
  </conditionalFormatting>
  <conditionalFormatting sqref="DK5">
    <cfRule type="cellIs" dxfId="254" priority="183" operator="lessThan">
      <formula>0</formula>
    </cfRule>
  </conditionalFormatting>
  <conditionalFormatting sqref="DQ5">
    <cfRule type="cellIs" dxfId="253" priority="182" operator="lessThan">
      <formula>0</formula>
    </cfRule>
  </conditionalFormatting>
  <conditionalFormatting sqref="DT5">
    <cfRule type="cellIs" dxfId="252" priority="181" operator="lessThan">
      <formula>0</formula>
    </cfRule>
  </conditionalFormatting>
  <conditionalFormatting sqref="DW5">
    <cfRule type="cellIs" dxfId="251" priority="180" operator="lessThan">
      <formula>0</formula>
    </cfRule>
  </conditionalFormatting>
  <conditionalFormatting sqref="DZ5">
    <cfRule type="cellIs" dxfId="250" priority="179" operator="lessThan">
      <formula>0</formula>
    </cfRule>
  </conditionalFormatting>
  <conditionalFormatting sqref="EC5">
    <cfRule type="cellIs" dxfId="249" priority="178" operator="lessThan">
      <formula>0</formula>
    </cfRule>
  </conditionalFormatting>
  <conditionalFormatting sqref="CJ19">
    <cfRule type="cellIs" dxfId="248" priority="177" operator="lessThan">
      <formula>0</formula>
    </cfRule>
  </conditionalFormatting>
  <conditionalFormatting sqref="EL17">
    <cfRule type="cellIs" dxfId="247" priority="176" operator="lessThan">
      <formula>0</formula>
    </cfRule>
  </conditionalFormatting>
  <conditionalFormatting sqref="EL17">
    <cfRule type="cellIs" dxfId="246" priority="175" operator="lessThan">
      <formula>0</formula>
    </cfRule>
  </conditionalFormatting>
  <conditionalFormatting sqref="EL18">
    <cfRule type="cellIs" dxfId="245" priority="174" operator="lessThan">
      <formula>0</formula>
    </cfRule>
  </conditionalFormatting>
  <conditionalFormatting sqref="EL18">
    <cfRule type="cellIs" dxfId="244" priority="173" operator="lessThan">
      <formula>0</formula>
    </cfRule>
  </conditionalFormatting>
  <conditionalFormatting sqref="EL18">
    <cfRule type="cellIs" dxfId="243" priority="172" operator="lessThan">
      <formula>0</formula>
    </cfRule>
  </conditionalFormatting>
  <conditionalFormatting sqref="EL19">
    <cfRule type="cellIs" dxfId="242" priority="171" operator="lessThan">
      <formula>0</formula>
    </cfRule>
  </conditionalFormatting>
  <conditionalFormatting sqref="EL19">
    <cfRule type="cellIs" dxfId="241" priority="170" operator="lessThan">
      <formula>0</formula>
    </cfRule>
  </conditionalFormatting>
  <conditionalFormatting sqref="EL19">
    <cfRule type="cellIs" dxfId="240" priority="169" operator="lessThan">
      <formula>0</formula>
    </cfRule>
  </conditionalFormatting>
  <conditionalFormatting sqref="AA19">
    <cfRule type="cellIs" dxfId="239" priority="168" operator="lessThan">
      <formula>0</formula>
    </cfRule>
  </conditionalFormatting>
  <conditionalFormatting sqref="CV19">
    <cfRule type="cellIs" dxfId="238" priority="167" operator="lessThan">
      <formula>0</formula>
    </cfRule>
  </conditionalFormatting>
  <conditionalFormatting sqref="CY19">
    <cfRule type="cellIs" dxfId="237" priority="166" operator="lessThan">
      <formula>0</formula>
    </cfRule>
  </conditionalFormatting>
  <conditionalFormatting sqref="DB19">
    <cfRule type="cellIs" dxfId="236" priority="165" operator="lessThan">
      <formula>0</formula>
    </cfRule>
  </conditionalFormatting>
  <conditionalFormatting sqref="DE19">
    <cfRule type="cellIs" dxfId="235" priority="164" operator="lessThan">
      <formula>0</formula>
    </cfRule>
  </conditionalFormatting>
  <conditionalFormatting sqref="DH19">
    <cfRule type="cellIs" dxfId="234" priority="163" operator="lessThan">
      <formula>0</formula>
    </cfRule>
  </conditionalFormatting>
  <conditionalFormatting sqref="DN19">
    <cfRule type="cellIs" dxfId="233" priority="162" operator="lessThan">
      <formula>0</formula>
    </cfRule>
  </conditionalFormatting>
  <conditionalFormatting sqref="DK19">
    <cfRule type="cellIs" dxfId="232" priority="161" operator="lessThan">
      <formula>0</formula>
    </cfRule>
  </conditionalFormatting>
  <conditionalFormatting sqref="DQ19">
    <cfRule type="cellIs" dxfId="231" priority="160" operator="lessThan">
      <formula>0</formula>
    </cfRule>
  </conditionalFormatting>
  <conditionalFormatting sqref="DT19">
    <cfRule type="cellIs" dxfId="230" priority="159" operator="lessThan">
      <formula>0</formula>
    </cfRule>
  </conditionalFormatting>
  <conditionalFormatting sqref="DW19">
    <cfRule type="cellIs" dxfId="229" priority="158" operator="lessThan">
      <formula>0</formula>
    </cfRule>
  </conditionalFormatting>
  <conditionalFormatting sqref="DZ19">
    <cfRule type="cellIs" dxfId="228" priority="157" operator="lessThan">
      <formula>0</formula>
    </cfRule>
  </conditionalFormatting>
  <conditionalFormatting sqref="EC19">
    <cfRule type="cellIs" dxfId="227" priority="156" operator="lessThan">
      <formula>0</formula>
    </cfRule>
  </conditionalFormatting>
  <conditionalFormatting sqref="AE4:AE22">
    <cfRule type="cellIs" dxfId="226" priority="155" operator="lessThan">
      <formula>0</formula>
    </cfRule>
  </conditionalFormatting>
  <conditionalFormatting sqref="AI4 AK5 AG4">
    <cfRule type="cellIs" dxfId="225" priority="154" operator="lessThan">
      <formula>0</formula>
    </cfRule>
  </conditionalFormatting>
  <conditionalFormatting sqref="A4:A31">
    <cfRule type="cellIs" dxfId="224" priority="153" operator="lessThan">
      <formula>0</formula>
    </cfRule>
  </conditionalFormatting>
  <conditionalFormatting sqref="CA4">
    <cfRule type="cellIs" dxfId="223" priority="152" operator="lessThan">
      <formula>0</formula>
    </cfRule>
  </conditionalFormatting>
  <conditionalFormatting sqref="CY4:CY5">
    <cfRule type="cellIs" dxfId="222" priority="151" operator="lessThan">
      <formula>0</formula>
    </cfRule>
  </conditionalFormatting>
  <conditionalFormatting sqref="J7">
    <cfRule type="cellIs" dxfId="221" priority="150" operator="lessThan">
      <formula>0</formula>
    </cfRule>
  </conditionalFormatting>
  <conditionalFormatting sqref="L7">
    <cfRule type="cellIs" dxfId="220" priority="149" operator="lessThan">
      <formula>0</formula>
    </cfRule>
  </conditionalFormatting>
  <conditionalFormatting sqref="N7">
    <cfRule type="cellIs" dxfId="219" priority="148" operator="lessThan">
      <formula>0</formula>
    </cfRule>
  </conditionalFormatting>
  <conditionalFormatting sqref="K7">
    <cfRule type="cellIs" dxfId="218" priority="147" operator="lessThan">
      <formula>0</formula>
    </cfRule>
  </conditionalFormatting>
  <conditionalFormatting sqref="M7">
    <cfRule type="cellIs" dxfId="217" priority="146" operator="lessThan">
      <formula>0</formula>
    </cfRule>
  </conditionalFormatting>
  <conditionalFormatting sqref="O7:O8">
    <cfRule type="cellIs" dxfId="216" priority="145" operator="lessThan">
      <formula>0</formula>
    </cfRule>
  </conditionalFormatting>
  <conditionalFormatting sqref="K7">
    <cfRule type="cellIs" dxfId="215" priority="144" operator="lessThan">
      <formula>0</formula>
    </cfRule>
  </conditionalFormatting>
  <conditionalFormatting sqref="O7:O8">
    <cfRule type="cellIs" dxfId="214" priority="143" operator="lessThan">
      <formula>0</formula>
    </cfRule>
  </conditionalFormatting>
  <conditionalFormatting sqref="M7">
    <cfRule type="cellIs" dxfId="213" priority="142" operator="lessThan">
      <formula>0</formula>
    </cfRule>
  </conditionalFormatting>
  <conditionalFormatting sqref="AO5:AO31">
    <cfRule type="cellIs" dxfId="212" priority="141" operator="lessThan">
      <formula>0</formula>
    </cfRule>
  </conditionalFormatting>
  <conditionalFormatting sqref="AO4:AO5">
    <cfRule type="cellIs" dxfId="211" priority="140" operator="lessThan">
      <formula>0</formula>
    </cfRule>
  </conditionalFormatting>
  <conditionalFormatting sqref="AN4:AN31">
    <cfRule type="cellIs" dxfId="210" priority="139" operator="lessThan">
      <formula>0</formula>
    </cfRule>
  </conditionalFormatting>
  <conditionalFormatting sqref="AP4:AP31">
    <cfRule type="cellIs" dxfId="209" priority="138" operator="lessThan">
      <formula>0</formula>
    </cfRule>
  </conditionalFormatting>
  <conditionalFormatting sqref="S29:S30 S20 S25 S27 S22:S23">
    <cfRule type="cellIs" dxfId="208" priority="137" operator="lessThan">
      <formula>0</formula>
    </cfRule>
  </conditionalFormatting>
  <conditionalFormatting sqref="S15:S19 S21">
    <cfRule type="cellIs" dxfId="207" priority="136" operator="lessThan">
      <formula>0</formula>
    </cfRule>
  </conditionalFormatting>
  <conditionalFormatting sqref="Q23 Q25 Q27">
    <cfRule type="cellIs" dxfId="206" priority="135" operator="lessThan">
      <formula>0</formula>
    </cfRule>
  </conditionalFormatting>
  <conditionalFormatting sqref="S24">
    <cfRule type="cellIs" dxfId="205" priority="134" operator="lessThan">
      <formula>0</formula>
    </cfRule>
  </conditionalFormatting>
  <conditionalFormatting sqref="Q24">
    <cfRule type="cellIs" dxfId="204" priority="133" operator="lessThan">
      <formula>0</formula>
    </cfRule>
  </conditionalFormatting>
  <conditionalFormatting sqref="S26">
    <cfRule type="cellIs" dxfId="203" priority="132" operator="lessThan">
      <formula>0</formula>
    </cfRule>
  </conditionalFormatting>
  <conditionalFormatting sqref="Q26 Q28">
    <cfRule type="cellIs" dxfId="202" priority="131" operator="lessThan">
      <formula>0</formula>
    </cfRule>
  </conditionalFormatting>
  <conditionalFormatting sqref="Q29">
    <cfRule type="cellIs" dxfId="201" priority="130" operator="lessThan">
      <formula>0</formula>
    </cfRule>
  </conditionalFormatting>
  <conditionalFormatting sqref="Q31">
    <cfRule type="cellIs" dxfId="200" priority="129" operator="lessThan">
      <formula>0</formula>
    </cfRule>
  </conditionalFormatting>
  <conditionalFormatting sqref="S4:S14">
    <cfRule type="cellIs" dxfId="199" priority="128" operator="lessThan">
      <formula>0</formula>
    </cfRule>
  </conditionalFormatting>
  <conditionalFormatting sqref="Q5:Q19">
    <cfRule type="cellIs" dxfId="198" priority="127" operator="lessThan">
      <formula>0</formula>
    </cfRule>
  </conditionalFormatting>
  <conditionalFormatting sqref="S28">
    <cfRule type="cellIs" dxfId="197" priority="126" operator="lessThan">
      <formula>0</formula>
    </cfRule>
  </conditionalFormatting>
  <conditionalFormatting sqref="Q20 Q22">
    <cfRule type="cellIs" dxfId="196" priority="125" operator="lessThan">
      <formula>0</formula>
    </cfRule>
  </conditionalFormatting>
  <conditionalFormatting sqref="Q30">
    <cfRule type="cellIs" dxfId="195" priority="124" operator="lessThan">
      <formula>0</formula>
    </cfRule>
  </conditionalFormatting>
  <conditionalFormatting sqref="S31">
    <cfRule type="cellIs" dxfId="194" priority="123" operator="lessThan">
      <formula>0</formula>
    </cfRule>
  </conditionalFormatting>
  <conditionalFormatting sqref="Q4">
    <cfRule type="cellIs" dxfId="193" priority="122" operator="lessThan">
      <formula>0</formula>
    </cfRule>
  </conditionalFormatting>
  <conditionalFormatting sqref="Q21">
    <cfRule type="cellIs" dxfId="192" priority="121" operator="lessThan">
      <formula>0</formula>
    </cfRule>
  </conditionalFormatting>
  <conditionalFormatting sqref="R4:R31">
    <cfRule type="cellIs" dxfId="191" priority="120" operator="lessThan">
      <formula>0</formula>
    </cfRule>
  </conditionalFormatting>
  <conditionalFormatting sqref="Q5 Q7">
    <cfRule type="cellIs" dxfId="190" priority="119" operator="lessThan">
      <formula>0</formula>
    </cfRule>
  </conditionalFormatting>
  <conditionalFormatting sqref="T4:T31">
    <cfRule type="cellIs" dxfId="189" priority="118" operator="lessThan">
      <formula>0</formula>
    </cfRule>
  </conditionalFormatting>
  <conditionalFormatting sqref="L9">
    <cfRule type="cellIs" dxfId="188" priority="117" operator="lessThan">
      <formula>0</formula>
    </cfRule>
  </conditionalFormatting>
  <conditionalFormatting sqref="I9">
    <cfRule type="cellIs" dxfId="187" priority="116" operator="lessThan">
      <formula>0</formula>
    </cfRule>
  </conditionalFormatting>
  <conditionalFormatting sqref="M9">
    <cfRule type="cellIs" dxfId="186" priority="115" operator="lessThan">
      <formula>0</formula>
    </cfRule>
  </conditionalFormatting>
  <conditionalFormatting sqref="K9">
    <cfRule type="cellIs" dxfId="185" priority="114" operator="lessThan">
      <formula>0</formula>
    </cfRule>
  </conditionalFormatting>
  <conditionalFormatting sqref="J9">
    <cfRule type="cellIs" dxfId="184" priority="113" operator="lessThan">
      <formula>0</formula>
    </cfRule>
  </conditionalFormatting>
  <conditionalFormatting sqref="N9">
    <cfRule type="cellIs" dxfId="183" priority="112" operator="lessThan">
      <formula>0</formula>
    </cfRule>
  </conditionalFormatting>
  <conditionalFormatting sqref="O9">
    <cfRule type="cellIs" dxfId="182" priority="111" operator="lessThan">
      <formula>0</formula>
    </cfRule>
  </conditionalFormatting>
  <conditionalFormatting sqref="O9">
    <cfRule type="cellIs" dxfId="181" priority="110" operator="lessThan">
      <formula>0</formula>
    </cfRule>
  </conditionalFormatting>
  <conditionalFormatting sqref="L10">
    <cfRule type="cellIs" dxfId="180" priority="109" operator="lessThan">
      <formula>0</formula>
    </cfRule>
  </conditionalFormatting>
  <conditionalFormatting sqref="I10">
    <cfRule type="cellIs" dxfId="179" priority="108" operator="lessThan">
      <formula>0</formula>
    </cfRule>
  </conditionalFormatting>
  <conditionalFormatting sqref="M10">
    <cfRule type="cellIs" dxfId="178" priority="107" operator="lessThan">
      <formula>0</formula>
    </cfRule>
  </conditionalFormatting>
  <conditionalFormatting sqref="K10">
    <cfRule type="cellIs" dxfId="177" priority="106" operator="lessThan">
      <formula>0</formula>
    </cfRule>
  </conditionalFormatting>
  <conditionalFormatting sqref="J10">
    <cfRule type="cellIs" dxfId="176" priority="105" operator="lessThan">
      <formula>0</formula>
    </cfRule>
  </conditionalFormatting>
  <conditionalFormatting sqref="N10">
    <cfRule type="cellIs" dxfId="175" priority="104" operator="lessThan">
      <formula>0</formula>
    </cfRule>
  </conditionalFormatting>
  <conditionalFormatting sqref="O10">
    <cfRule type="cellIs" dxfId="174" priority="103" operator="lessThan">
      <formula>0</formula>
    </cfRule>
  </conditionalFormatting>
  <conditionalFormatting sqref="O10">
    <cfRule type="cellIs" dxfId="173" priority="102" operator="lessThan">
      <formula>0</formula>
    </cfRule>
  </conditionalFormatting>
  <conditionalFormatting sqref="O12">
    <cfRule type="cellIs" dxfId="172" priority="101" operator="lessThan">
      <formula>0</formula>
    </cfRule>
  </conditionalFormatting>
  <conditionalFormatting sqref="L12">
    <cfRule type="cellIs" dxfId="171" priority="100" operator="lessThan">
      <formula>0</formula>
    </cfRule>
  </conditionalFormatting>
  <conditionalFormatting sqref="J12">
    <cfRule type="cellIs" dxfId="170" priority="99" operator="lessThan">
      <formula>0</formula>
    </cfRule>
  </conditionalFormatting>
  <conditionalFormatting sqref="N12">
    <cfRule type="cellIs" dxfId="169" priority="98" operator="lessThan">
      <formula>0</formula>
    </cfRule>
  </conditionalFormatting>
  <conditionalFormatting sqref="K12">
    <cfRule type="cellIs" dxfId="168" priority="97" operator="lessThan">
      <formula>0</formula>
    </cfRule>
  </conditionalFormatting>
  <conditionalFormatting sqref="M12">
    <cfRule type="cellIs" dxfId="167" priority="96" operator="lessThan">
      <formula>0</formula>
    </cfRule>
  </conditionalFormatting>
  <conditionalFormatting sqref="I12">
    <cfRule type="cellIs" dxfId="166" priority="95" operator="lessThan">
      <formula>0</formula>
    </cfRule>
  </conditionalFormatting>
  <conditionalFormatting sqref="O13">
    <cfRule type="cellIs" dxfId="165" priority="94" operator="lessThan">
      <formula>0</formula>
    </cfRule>
  </conditionalFormatting>
  <conditionalFormatting sqref="L13">
    <cfRule type="cellIs" dxfId="164" priority="93" operator="lessThan">
      <formula>0</formula>
    </cfRule>
  </conditionalFormatting>
  <conditionalFormatting sqref="J13">
    <cfRule type="cellIs" dxfId="163" priority="92" operator="lessThan">
      <formula>0</formula>
    </cfRule>
  </conditionalFormatting>
  <conditionalFormatting sqref="N13:N14">
    <cfRule type="cellIs" dxfId="162" priority="91" operator="lessThan">
      <formula>0</formula>
    </cfRule>
  </conditionalFormatting>
  <conditionalFormatting sqref="K13">
    <cfRule type="cellIs" dxfId="161" priority="90" operator="lessThan">
      <formula>0</formula>
    </cfRule>
  </conditionalFormatting>
  <conditionalFormatting sqref="M13">
    <cfRule type="cellIs" dxfId="160" priority="89" operator="lessThan">
      <formula>0</formula>
    </cfRule>
  </conditionalFormatting>
  <conditionalFormatting sqref="I13">
    <cfRule type="cellIs" dxfId="159" priority="88" operator="lessThan">
      <formula>0</formula>
    </cfRule>
  </conditionalFormatting>
  <conditionalFormatting sqref="L16">
    <cfRule type="cellIs" dxfId="158" priority="87" operator="lessThan">
      <formula>0</formula>
    </cfRule>
  </conditionalFormatting>
  <conditionalFormatting sqref="J16">
    <cfRule type="cellIs" dxfId="157" priority="86" operator="lessThan">
      <formula>0</formula>
    </cfRule>
  </conditionalFormatting>
  <conditionalFormatting sqref="N16">
    <cfRule type="cellIs" dxfId="156" priority="85" operator="lessThan">
      <formula>0</formula>
    </cfRule>
  </conditionalFormatting>
  <conditionalFormatting sqref="I16">
    <cfRule type="cellIs" dxfId="155" priority="84" operator="lessThan">
      <formula>0</formula>
    </cfRule>
  </conditionalFormatting>
  <conditionalFormatting sqref="K16">
    <cfRule type="cellIs" dxfId="154" priority="83" operator="lessThan">
      <formula>0</formula>
    </cfRule>
  </conditionalFormatting>
  <conditionalFormatting sqref="M16">
    <cfRule type="cellIs" dxfId="153" priority="82" operator="lessThan">
      <formula>0</formula>
    </cfRule>
  </conditionalFormatting>
  <conditionalFormatting sqref="O16">
    <cfRule type="cellIs" dxfId="152" priority="81" operator="lessThan">
      <formula>0</formula>
    </cfRule>
  </conditionalFormatting>
  <conditionalFormatting sqref="L17">
    <cfRule type="cellIs" dxfId="151" priority="80" operator="lessThan">
      <formula>0</formula>
    </cfRule>
  </conditionalFormatting>
  <conditionalFormatting sqref="J17">
    <cfRule type="cellIs" dxfId="150" priority="79" operator="lessThan">
      <formula>0</formula>
    </cfRule>
  </conditionalFormatting>
  <conditionalFormatting sqref="N17">
    <cfRule type="cellIs" dxfId="149" priority="78" operator="lessThan">
      <formula>0</formula>
    </cfRule>
  </conditionalFormatting>
  <conditionalFormatting sqref="I17">
    <cfRule type="cellIs" dxfId="148" priority="77" operator="lessThan">
      <formula>0</formula>
    </cfRule>
  </conditionalFormatting>
  <conditionalFormatting sqref="K17">
    <cfRule type="cellIs" dxfId="147" priority="76" operator="lessThan">
      <formula>0</formula>
    </cfRule>
  </conditionalFormatting>
  <conditionalFormatting sqref="M17">
    <cfRule type="cellIs" dxfId="146" priority="75" operator="lessThan">
      <formula>0</formula>
    </cfRule>
  </conditionalFormatting>
  <conditionalFormatting sqref="O17">
    <cfRule type="cellIs" dxfId="145" priority="74" operator="lessThan">
      <formula>0</formula>
    </cfRule>
  </conditionalFormatting>
  <conditionalFormatting sqref="L18">
    <cfRule type="cellIs" dxfId="144" priority="73" operator="lessThan">
      <formula>0</formula>
    </cfRule>
  </conditionalFormatting>
  <conditionalFormatting sqref="J18">
    <cfRule type="cellIs" dxfId="143" priority="72" operator="lessThan">
      <formula>0</formula>
    </cfRule>
  </conditionalFormatting>
  <conditionalFormatting sqref="N18">
    <cfRule type="cellIs" dxfId="142" priority="71" operator="lessThan">
      <formula>0</formula>
    </cfRule>
  </conditionalFormatting>
  <conditionalFormatting sqref="I18">
    <cfRule type="cellIs" dxfId="141" priority="70" operator="lessThan">
      <formula>0</formula>
    </cfRule>
  </conditionalFormatting>
  <conditionalFormatting sqref="K18">
    <cfRule type="cellIs" dxfId="140" priority="69" operator="lessThan">
      <formula>0</formula>
    </cfRule>
  </conditionalFormatting>
  <conditionalFormatting sqref="M18">
    <cfRule type="cellIs" dxfId="139" priority="68" operator="lessThan">
      <formula>0</formula>
    </cfRule>
  </conditionalFormatting>
  <conditionalFormatting sqref="O18">
    <cfRule type="cellIs" dxfId="138" priority="67" operator="lessThan">
      <formula>0</formula>
    </cfRule>
  </conditionalFormatting>
  <conditionalFormatting sqref="L19">
    <cfRule type="cellIs" dxfId="137" priority="66" operator="lessThan">
      <formula>0</formula>
    </cfRule>
  </conditionalFormatting>
  <conditionalFormatting sqref="J19">
    <cfRule type="cellIs" dxfId="136" priority="65" operator="lessThan">
      <formula>0</formula>
    </cfRule>
  </conditionalFormatting>
  <conditionalFormatting sqref="N19">
    <cfRule type="cellIs" dxfId="135" priority="64" operator="lessThan">
      <formula>0</formula>
    </cfRule>
  </conditionalFormatting>
  <conditionalFormatting sqref="I19">
    <cfRule type="cellIs" dxfId="134" priority="63" operator="lessThan">
      <formula>0</formula>
    </cfRule>
  </conditionalFormatting>
  <conditionalFormatting sqref="K19">
    <cfRule type="cellIs" dxfId="133" priority="62" operator="lessThan">
      <formula>0</formula>
    </cfRule>
  </conditionalFormatting>
  <conditionalFormatting sqref="M19">
    <cfRule type="cellIs" dxfId="132" priority="61" operator="lessThan">
      <formula>0</formula>
    </cfRule>
  </conditionalFormatting>
  <conditionalFormatting sqref="O19">
    <cfRule type="cellIs" dxfId="131" priority="60" operator="lessThan">
      <formula>0</formula>
    </cfRule>
  </conditionalFormatting>
  <conditionalFormatting sqref="L20">
    <cfRule type="cellIs" dxfId="130" priority="59" operator="lessThan">
      <formula>0</formula>
    </cfRule>
  </conditionalFormatting>
  <conditionalFormatting sqref="J20">
    <cfRule type="cellIs" dxfId="129" priority="58" operator="lessThan">
      <formula>0</formula>
    </cfRule>
  </conditionalFormatting>
  <conditionalFormatting sqref="N20">
    <cfRule type="cellIs" dxfId="128" priority="57" operator="lessThan">
      <formula>0</formula>
    </cfRule>
  </conditionalFormatting>
  <conditionalFormatting sqref="I20">
    <cfRule type="cellIs" dxfId="127" priority="56" operator="lessThan">
      <formula>0</formula>
    </cfRule>
  </conditionalFormatting>
  <conditionalFormatting sqref="K20">
    <cfRule type="cellIs" dxfId="126" priority="55" operator="lessThan">
      <formula>0</formula>
    </cfRule>
  </conditionalFormatting>
  <conditionalFormatting sqref="M20">
    <cfRule type="cellIs" dxfId="125" priority="54" operator="lessThan">
      <formula>0</formula>
    </cfRule>
  </conditionalFormatting>
  <conditionalFormatting sqref="O20">
    <cfRule type="cellIs" dxfId="124" priority="53" operator="lessThan">
      <formula>0</formula>
    </cfRule>
  </conditionalFormatting>
  <conditionalFormatting sqref="L21">
    <cfRule type="cellIs" dxfId="123" priority="52" operator="lessThan">
      <formula>0</formula>
    </cfRule>
  </conditionalFormatting>
  <conditionalFormatting sqref="J21">
    <cfRule type="cellIs" dxfId="122" priority="51" operator="lessThan">
      <formula>0</formula>
    </cfRule>
  </conditionalFormatting>
  <conditionalFormatting sqref="N21">
    <cfRule type="cellIs" dxfId="121" priority="50" operator="lessThan">
      <formula>0</formula>
    </cfRule>
  </conditionalFormatting>
  <conditionalFormatting sqref="I21">
    <cfRule type="cellIs" dxfId="120" priority="49" operator="lessThan">
      <formula>0</formula>
    </cfRule>
  </conditionalFormatting>
  <conditionalFormatting sqref="K21">
    <cfRule type="cellIs" dxfId="119" priority="48" operator="lessThan">
      <formula>0</formula>
    </cfRule>
  </conditionalFormatting>
  <conditionalFormatting sqref="M21">
    <cfRule type="cellIs" dxfId="118" priority="47" operator="lessThan">
      <formula>0</formula>
    </cfRule>
  </conditionalFormatting>
  <conditionalFormatting sqref="O21">
    <cfRule type="cellIs" dxfId="117" priority="46" operator="lessThan">
      <formula>0</formula>
    </cfRule>
  </conditionalFormatting>
  <conditionalFormatting sqref="L24">
    <cfRule type="cellIs" dxfId="116" priority="45" operator="lessThan">
      <formula>0</formula>
    </cfRule>
  </conditionalFormatting>
  <conditionalFormatting sqref="J24">
    <cfRule type="cellIs" dxfId="115" priority="44" operator="lessThan">
      <formula>0</formula>
    </cfRule>
  </conditionalFormatting>
  <conditionalFormatting sqref="N24">
    <cfRule type="cellIs" dxfId="114" priority="43" operator="lessThan">
      <formula>0</formula>
    </cfRule>
  </conditionalFormatting>
  <conditionalFormatting sqref="M24">
    <cfRule type="cellIs" dxfId="113" priority="40" operator="lessThan">
      <formula>0</formula>
    </cfRule>
  </conditionalFormatting>
  <conditionalFormatting sqref="O24">
    <cfRule type="cellIs" dxfId="112" priority="39" operator="lessThan">
      <formula>0</formula>
    </cfRule>
  </conditionalFormatting>
  <conditionalFormatting sqref="I24">
    <cfRule type="cellIs" dxfId="111" priority="42" operator="lessThan">
      <formula>0</formula>
    </cfRule>
  </conditionalFormatting>
  <conditionalFormatting sqref="K24">
    <cfRule type="cellIs" dxfId="110" priority="41" operator="lessThan">
      <formula>0</formula>
    </cfRule>
  </conditionalFormatting>
  <conditionalFormatting sqref="L25">
    <cfRule type="cellIs" dxfId="109" priority="38" operator="lessThan">
      <formula>0</formula>
    </cfRule>
  </conditionalFormatting>
  <conditionalFormatting sqref="J25">
    <cfRule type="cellIs" dxfId="108" priority="37" operator="lessThan">
      <formula>0</formula>
    </cfRule>
  </conditionalFormatting>
  <conditionalFormatting sqref="N25">
    <cfRule type="cellIs" dxfId="107" priority="36" operator="lessThan">
      <formula>0</formula>
    </cfRule>
  </conditionalFormatting>
  <conditionalFormatting sqref="M25">
    <cfRule type="cellIs" dxfId="106" priority="33" operator="lessThan">
      <formula>0</formula>
    </cfRule>
  </conditionalFormatting>
  <conditionalFormatting sqref="O25">
    <cfRule type="cellIs" dxfId="105" priority="32" operator="lessThan">
      <formula>0</formula>
    </cfRule>
  </conditionalFormatting>
  <conditionalFormatting sqref="I25">
    <cfRule type="cellIs" dxfId="104" priority="35" operator="lessThan">
      <formula>0</formula>
    </cfRule>
  </conditionalFormatting>
  <conditionalFormatting sqref="K25">
    <cfRule type="cellIs" dxfId="103" priority="34" operator="lessThan">
      <formula>0</formula>
    </cfRule>
  </conditionalFormatting>
  <conditionalFormatting sqref="L26">
    <cfRule type="cellIs" dxfId="102" priority="31" operator="lessThan">
      <formula>0</formula>
    </cfRule>
  </conditionalFormatting>
  <conditionalFormatting sqref="J26">
    <cfRule type="cellIs" dxfId="101" priority="30" operator="lessThan">
      <formula>0</formula>
    </cfRule>
  </conditionalFormatting>
  <conditionalFormatting sqref="N26">
    <cfRule type="cellIs" dxfId="100" priority="29" operator="lessThan">
      <formula>0</formula>
    </cfRule>
  </conditionalFormatting>
  <conditionalFormatting sqref="M26">
    <cfRule type="cellIs" dxfId="99" priority="26" operator="lessThan">
      <formula>0</formula>
    </cfRule>
  </conditionalFormatting>
  <conditionalFormatting sqref="O26">
    <cfRule type="cellIs" dxfId="98" priority="25" operator="lessThan">
      <formula>0</formula>
    </cfRule>
  </conditionalFormatting>
  <conditionalFormatting sqref="I26">
    <cfRule type="cellIs" dxfId="97" priority="28" operator="lessThan">
      <formula>0</formula>
    </cfRule>
  </conditionalFormatting>
  <conditionalFormatting sqref="K26">
    <cfRule type="cellIs" dxfId="96" priority="27" operator="lessThan">
      <formula>0</formula>
    </cfRule>
  </conditionalFormatting>
  <conditionalFormatting sqref="L28">
    <cfRule type="cellIs" dxfId="95" priority="24" operator="lessThan">
      <formula>0</formula>
    </cfRule>
  </conditionalFormatting>
  <conditionalFormatting sqref="N28">
    <cfRule type="cellIs" dxfId="94" priority="23" operator="lessThan">
      <formula>0</formula>
    </cfRule>
  </conditionalFormatting>
  <conditionalFormatting sqref="J28">
    <cfRule type="cellIs" dxfId="93" priority="22" operator="lessThan">
      <formula>0</formula>
    </cfRule>
  </conditionalFormatting>
  <conditionalFormatting sqref="P28">
    <cfRule type="cellIs" dxfId="92" priority="21" operator="lessThan">
      <formula>0</formula>
    </cfRule>
  </conditionalFormatting>
  <conditionalFormatting sqref="M28">
    <cfRule type="cellIs" dxfId="91" priority="18" operator="lessThan">
      <formula>0</formula>
    </cfRule>
  </conditionalFormatting>
  <conditionalFormatting sqref="O28">
    <cfRule type="cellIs" dxfId="90" priority="17" operator="lessThan">
      <formula>0</formula>
    </cfRule>
  </conditionalFormatting>
  <conditionalFormatting sqref="I28">
    <cfRule type="cellIs" dxfId="89" priority="20" operator="lessThan">
      <formula>0</formula>
    </cfRule>
  </conditionalFormatting>
  <conditionalFormatting sqref="K28">
    <cfRule type="cellIs" dxfId="88" priority="19" operator="lessThan">
      <formula>0</formula>
    </cfRule>
  </conditionalFormatting>
  <conditionalFormatting sqref="L29">
    <cfRule type="cellIs" dxfId="87" priority="16" operator="lessThan">
      <formula>0</formula>
    </cfRule>
  </conditionalFormatting>
  <conditionalFormatting sqref="N29">
    <cfRule type="cellIs" dxfId="86" priority="15" operator="lessThan">
      <formula>0</formula>
    </cfRule>
  </conditionalFormatting>
  <conditionalFormatting sqref="J29">
    <cfRule type="cellIs" dxfId="85" priority="14" operator="lessThan">
      <formula>0</formula>
    </cfRule>
  </conditionalFormatting>
  <conditionalFormatting sqref="P29">
    <cfRule type="cellIs" dxfId="84" priority="13" operator="lessThan">
      <formula>0</formula>
    </cfRule>
  </conditionalFormatting>
  <conditionalFormatting sqref="M29">
    <cfRule type="cellIs" dxfId="83" priority="10" operator="lessThan">
      <formula>0</formula>
    </cfRule>
  </conditionalFormatting>
  <conditionalFormatting sqref="O29">
    <cfRule type="cellIs" dxfId="82" priority="9" operator="lessThan">
      <formula>0</formula>
    </cfRule>
  </conditionalFormatting>
  <conditionalFormatting sqref="I29">
    <cfRule type="cellIs" dxfId="81" priority="12" operator="lessThan">
      <formula>0</formula>
    </cfRule>
  </conditionalFormatting>
  <conditionalFormatting sqref="K29">
    <cfRule type="cellIs" dxfId="80" priority="11" operator="lessThan">
      <formula>0</formula>
    </cfRule>
  </conditionalFormatting>
  <conditionalFormatting sqref="L30">
    <cfRule type="cellIs" dxfId="79" priority="8" operator="lessThan">
      <formula>0</formula>
    </cfRule>
  </conditionalFormatting>
  <conditionalFormatting sqref="N30">
    <cfRule type="cellIs" dxfId="78" priority="7" operator="lessThan">
      <formula>0</formula>
    </cfRule>
  </conditionalFormatting>
  <conditionalFormatting sqref="J30">
    <cfRule type="cellIs" dxfId="77" priority="6" operator="lessThan">
      <formula>0</formula>
    </cfRule>
  </conditionalFormatting>
  <conditionalFormatting sqref="P30">
    <cfRule type="cellIs" dxfId="76" priority="5" operator="lessThan">
      <formula>0</formula>
    </cfRule>
  </conditionalFormatting>
  <conditionalFormatting sqref="M30:M31">
    <cfRule type="cellIs" dxfId="75" priority="2" operator="lessThan">
      <formula>0</formula>
    </cfRule>
  </conditionalFormatting>
  <conditionalFormatting sqref="O30:O31">
    <cfRule type="cellIs" dxfId="74" priority="1" operator="lessThan">
      <formula>0</formula>
    </cfRule>
  </conditionalFormatting>
  <conditionalFormatting sqref="I30:I31">
    <cfRule type="cellIs" dxfId="73" priority="4" operator="lessThan">
      <formula>0</formula>
    </cfRule>
  </conditionalFormatting>
  <conditionalFormatting sqref="K30:K31">
    <cfRule type="cellIs" dxfId="72" priority="3" operator="lessThan">
      <formula>0</formula>
    </cfRule>
  </conditionalFormatting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U34"/>
  <sheetViews>
    <sheetView workbookViewId="0">
      <selection activeCell="DT18" sqref="DS18:DT18"/>
    </sheetView>
  </sheetViews>
  <sheetFormatPr defaultRowHeight="12.75" x14ac:dyDescent="0.2"/>
  <sheetData>
    <row r="2" spans="14:14" ht="13.5" thickBot="1" x14ac:dyDescent="0.25"/>
    <row r="3" spans="14:14" ht="13.5" thickBot="1" x14ac:dyDescent="0.25">
      <c r="N3" s="22">
        <f>'[1]Sep 2019'!R3</f>
        <v>2054945</v>
      </c>
    </row>
    <row r="4" spans="14:14" ht="13.5" thickBot="1" x14ac:dyDescent="0.25">
      <c r="N4" s="22">
        <f>'[1]Sep 2019'!R4</f>
        <v>2055440</v>
      </c>
    </row>
    <row r="5" spans="14:14" ht="13.5" thickBot="1" x14ac:dyDescent="0.25">
      <c r="N5" s="22">
        <f>'[1]Sep 2019'!R5</f>
        <v>2056149</v>
      </c>
    </row>
    <row r="6" spans="14:14" ht="13.5" thickBot="1" x14ac:dyDescent="0.25">
      <c r="N6" s="22">
        <f>'[1]Sep 2019'!R6</f>
        <v>2056651</v>
      </c>
    </row>
    <row r="7" spans="14:14" ht="13.5" thickBot="1" x14ac:dyDescent="0.25">
      <c r="N7" s="22">
        <f>'[1]Sep 2019'!R7</f>
        <v>2057174</v>
      </c>
    </row>
    <row r="8" spans="14:14" ht="13.5" thickBot="1" x14ac:dyDescent="0.25">
      <c r="N8" s="22">
        <f>'[1]Sep 2019'!R8</f>
        <v>2057715</v>
      </c>
    </row>
    <row r="9" spans="14:14" ht="13.5" thickBot="1" x14ac:dyDescent="0.25">
      <c r="N9" s="22">
        <f>'[1]Sep 2019'!R9</f>
        <v>2058246</v>
      </c>
    </row>
    <row r="10" spans="14:14" ht="13.5" thickBot="1" x14ac:dyDescent="0.25">
      <c r="N10" s="22">
        <f>'[1]Sep 2019'!R10</f>
        <v>2058780</v>
      </c>
    </row>
    <row r="11" spans="14:14" ht="13.5" thickBot="1" x14ac:dyDescent="0.25">
      <c r="N11" s="22">
        <f>'[1]Sep 2019'!R11</f>
        <v>2059332</v>
      </c>
    </row>
    <row r="12" spans="14:14" ht="13.5" thickBot="1" x14ac:dyDescent="0.25">
      <c r="N12" s="22">
        <f>'[1]Sep 2019'!R12</f>
        <v>2059908</v>
      </c>
    </row>
    <row r="13" spans="14:14" ht="13.5" thickBot="1" x14ac:dyDescent="0.25">
      <c r="N13" s="22">
        <f>'[1]Sep 2019'!R13</f>
        <v>2060432</v>
      </c>
    </row>
    <row r="14" spans="14:14" ht="13.5" thickBot="1" x14ac:dyDescent="0.25">
      <c r="N14" s="22">
        <f>'[1]Sep 2019'!R14</f>
        <v>2061086</v>
      </c>
    </row>
    <row r="15" spans="14:14" ht="13.5" thickBot="1" x14ac:dyDescent="0.25">
      <c r="N15" s="22">
        <f>'[1]Sep 2019'!R15</f>
        <v>2061615</v>
      </c>
    </row>
    <row r="16" spans="14:14" ht="13.5" thickBot="1" x14ac:dyDescent="0.25">
      <c r="N16" s="22">
        <f>'[1]Sep 2019'!R16</f>
        <v>2062113</v>
      </c>
    </row>
    <row r="17" spans="2:125" ht="13.5" thickBot="1" x14ac:dyDescent="0.25">
      <c r="N17" s="22">
        <f>'[1]Sep 2019'!R17</f>
        <v>2062731</v>
      </c>
    </row>
    <row r="18" spans="2:125" ht="13.5" thickBot="1" x14ac:dyDescent="0.25">
      <c r="N18" s="22">
        <f>'[1]Sep 2019'!R18</f>
        <v>2063291</v>
      </c>
      <c r="S18">
        <f>'[1]Sep 2019'!W18</f>
        <v>7</v>
      </c>
      <c r="DU18" s="23">
        <f>'[1]Sep 2019'!EA18</f>
        <v>0.67</v>
      </c>
    </row>
    <row r="19" spans="2:125" ht="13.5" thickBot="1" x14ac:dyDescent="0.25">
      <c r="N19" s="22">
        <f>'[1]Sep 2019'!R19</f>
        <v>2063914</v>
      </c>
      <c r="S19">
        <f>'[1]Sep 2019'!W19</f>
        <v>7</v>
      </c>
      <c r="DU19" s="23">
        <f>'[1]Sep 2019'!EA19</f>
        <v>0.63</v>
      </c>
    </row>
    <row r="20" spans="2:125" ht="13.5" thickBot="1" x14ac:dyDescent="0.25">
      <c r="N20" s="22">
        <f>'[1]Sep 2019'!R20</f>
        <v>2064501</v>
      </c>
      <c r="S20">
        <f>'[1]Sep 2019'!W20</f>
        <v>8</v>
      </c>
      <c r="DU20" s="23">
        <f>'[1]Sep 2019'!EA20</f>
        <v>0.69</v>
      </c>
    </row>
    <row r="21" spans="2:125" ht="13.5" thickBot="1" x14ac:dyDescent="0.25">
      <c r="N21" s="22">
        <f>'[1]Sep 2019'!R21</f>
        <v>2065035</v>
      </c>
      <c r="P21">
        <f>'[1]Sep 2019'!T21</f>
        <v>426545</v>
      </c>
      <c r="S21">
        <f>'[1]Sep 2019'!W21</f>
        <v>8</v>
      </c>
      <c r="DU21" s="23">
        <f>'[1]Sep 2019'!EA21</f>
        <v>0.7</v>
      </c>
    </row>
    <row r="22" spans="2:125" ht="13.5" thickBot="1" x14ac:dyDescent="0.25">
      <c r="B22">
        <f>'[1]Sep 2019'!B22</f>
        <v>9576003</v>
      </c>
      <c r="D22">
        <f>'[1]Sep 2019'!D22</f>
        <v>9185016</v>
      </c>
      <c r="G22">
        <f>'[1]Sep 2019'!G22</f>
        <v>1264</v>
      </c>
      <c r="H22">
        <f>'[1]Sep 2019'!$J$22</f>
        <v>729</v>
      </c>
      <c r="I22">
        <f>'[1]Sep 2019'!I22</f>
        <v>0</v>
      </c>
      <c r="J22">
        <v>729</v>
      </c>
      <c r="L22">
        <v>2321595</v>
      </c>
      <c r="N22" s="22">
        <f>'[1]Sep 2019'!R22</f>
        <v>2065573</v>
      </c>
      <c r="P22">
        <f>'[1]Sep 2019'!T22</f>
        <v>426720</v>
      </c>
      <c r="R22">
        <f>'[1]Sep 2019'!V22</f>
        <v>61.7</v>
      </c>
      <c r="S22">
        <f>'[1]Sep 2019'!W22</f>
        <v>14</v>
      </c>
      <c r="T22">
        <f>'[1]Sep 2019'!X22</f>
        <v>114723.6</v>
      </c>
      <c r="V22">
        <f>'[1]Sep 2019'!BO22</f>
        <v>20498</v>
      </c>
      <c r="X22">
        <f>'[1]Sep 2019'!Z22</f>
        <v>961</v>
      </c>
      <c r="Z22">
        <f>'[1]Sep 2019'!AB22</f>
        <v>2535</v>
      </c>
      <c r="AD22">
        <f>'[1]Sep 2019'!AF22</f>
        <v>542040</v>
      </c>
      <c r="AF22">
        <f>'[1]Sep 2019'!AH22</f>
        <v>48870</v>
      </c>
      <c r="AH22">
        <f>'[1]Sep 2019'!AJ22</f>
        <v>8302</v>
      </c>
      <c r="CA22">
        <f>'[1]Sep 2019'!CG22</f>
        <v>24323</v>
      </c>
      <c r="CD22">
        <f>'[1]Sep 2019'!CJ22</f>
        <v>32962</v>
      </c>
      <c r="CG22">
        <f>'[1]Sep 2019'!CM22</f>
        <v>6797</v>
      </c>
      <c r="CJ22">
        <f>'[1]Sep 2019'!CP22</f>
        <v>82233</v>
      </c>
      <c r="CM22">
        <f>'[1]Sep 2019'!CS22</f>
        <v>4366</v>
      </c>
      <c r="CP22">
        <f>'[1]Sep 2019'!CV22</f>
        <v>5316</v>
      </c>
      <c r="CS22">
        <f>'[1]Sep 2019'!CY22</f>
        <v>2440</v>
      </c>
      <c r="CV22">
        <f>'[1]Sep 2019'!DB22</f>
        <v>1679</v>
      </c>
      <c r="CY22">
        <f>'[1]Sep 2019'!DE22</f>
        <v>3575</v>
      </c>
      <c r="DB22">
        <f>'[1]Sep 2019'!DH22</f>
        <v>3444</v>
      </c>
      <c r="DE22">
        <f>'[1]Sep 2019'!DK22</f>
        <v>3861</v>
      </c>
      <c r="DH22">
        <f>'[1]Sep 2019'!DN22</f>
        <v>3171</v>
      </c>
      <c r="DK22">
        <f>'[1]Sep 2019'!DQ22</f>
        <v>112173</v>
      </c>
      <c r="DM22">
        <f>'[1]Sep 2019'!DS22</f>
        <v>52938</v>
      </c>
      <c r="DO22">
        <f>'[1]Sep 2019'!DU22</f>
        <v>15019</v>
      </c>
      <c r="DQ22">
        <f>'[1]Sep 2019'!DW22</f>
        <v>22622</v>
      </c>
      <c r="DU22" s="23">
        <f>'[1]Sep 2019'!EA22</f>
        <v>0.79</v>
      </c>
    </row>
    <row r="23" spans="2:125" ht="13.5" thickBot="1" x14ac:dyDescent="0.25">
      <c r="B23">
        <f>'[1]Sep 2019'!B23</f>
        <v>9598864</v>
      </c>
      <c r="C23">
        <f>IF((B23-B22)&lt;0,"0",(B23-B22))</f>
        <v>22861</v>
      </c>
      <c r="D23">
        <f>'[1]Sep 2019'!D23</f>
        <v>9207028</v>
      </c>
      <c r="G23">
        <f>'[1]Sep 2019'!G23</f>
        <v>1264</v>
      </c>
      <c r="J23">
        <v>729</v>
      </c>
      <c r="L23">
        <f>'[1]Sep 2019'!P23</f>
        <v>2322786</v>
      </c>
      <c r="N23" s="22">
        <f>'[1]Sep 2019'!R23</f>
        <v>2066117</v>
      </c>
      <c r="P23">
        <f>'[1]Sep 2019'!T23</f>
        <v>426872</v>
      </c>
      <c r="R23">
        <f>'[1]Sep 2019'!V23</f>
        <v>60.9</v>
      </c>
      <c r="S23">
        <f>'[1]Sep 2019'!W23</f>
        <v>8</v>
      </c>
      <c r="T23">
        <f>'[1]Sep 2019'!X23</f>
        <v>114934</v>
      </c>
      <c r="V23">
        <f>'[1]Sep 2019'!BO23</f>
        <v>20580</v>
      </c>
      <c r="X23">
        <f>'[1]Sep 2019'!Z23</f>
        <v>961</v>
      </c>
      <c r="Z23">
        <f>'[1]Sep 2019'!AB23</f>
        <v>2538</v>
      </c>
      <c r="AH23">
        <f>'[1]Sep 2019'!AJ23</f>
        <v>8308</v>
      </c>
      <c r="CA23">
        <f>'[1]Sep 2019'!CG23</f>
        <v>24343</v>
      </c>
      <c r="CD23">
        <f>'[1]Sep 2019'!CJ23</f>
        <v>32970</v>
      </c>
      <c r="CG23">
        <f>'[1]Sep 2019'!CM23</f>
        <v>6824</v>
      </c>
      <c r="CJ23">
        <f>'[1]Sep 2019'!CP23</f>
        <v>82238</v>
      </c>
      <c r="CM23">
        <f>'[1]Sep 2019'!CS23</f>
        <v>4381</v>
      </c>
      <c r="CP23">
        <f>'[1]Sep 2019'!CV23</f>
        <v>5325</v>
      </c>
      <c r="CS23">
        <f>'[1]Sep 2019'!CY23</f>
        <v>2447</v>
      </c>
      <c r="CV23">
        <f>'[1]Sep 2019'!DB23</f>
        <v>1680</v>
      </c>
      <c r="CY23">
        <f>'[1]Sep 2019'!DE23</f>
        <v>3580</v>
      </c>
      <c r="DB23">
        <f>'[1]Sep 2019'!DH23</f>
        <v>3453</v>
      </c>
      <c r="DE23">
        <f>'[1]Sep 2019'!DK23</f>
        <v>3871</v>
      </c>
      <c r="DH23">
        <f>'[1]Sep 2019'!DN23</f>
        <v>3179</v>
      </c>
      <c r="DK23">
        <f>'[1]Sep 2019'!DQ23</f>
        <v>112173</v>
      </c>
      <c r="DM23">
        <f>'[1]Sep 2019'!DS23</f>
        <v>52938</v>
      </c>
      <c r="DO23">
        <f>'[1]Sep 2019'!DU23</f>
        <v>15019</v>
      </c>
      <c r="DQ23">
        <f>'[1]Sep 2019'!DW23</f>
        <v>22622</v>
      </c>
      <c r="DU23" s="23">
        <f>'[1]Sep 2019'!EA23</f>
        <v>0.83</v>
      </c>
    </row>
    <row r="24" spans="2:125" ht="13.5" thickBot="1" x14ac:dyDescent="0.25">
      <c r="B24">
        <f>'[1]Sep 2019'!B24</f>
        <v>9621009</v>
      </c>
      <c r="D24">
        <f>'[1]Sep 2019'!D24</f>
        <v>9228427</v>
      </c>
      <c r="G24">
        <f>'[1]Sep 2019'!G24</f>
        <v>1264</v>
      </c>
      <c r="J24">
        <v>729</v>
      </c>
      <c r="L24">
        <f>'[1]Sep 2019'!P24</f>
        <v>2323995</v>
      </c>
      <c r="N24" s="22">
        <f>'[1]Sep 2019'!R24</f>
        <v>2066577</v>
      </c>
      <c r="P24">
        <f>'[1]Sep 2019'!T24</f>
        <v>426975</v>
      </c>
      <c r="R24">
        <f>'[1]Sep 2019'!V24</f>
        <v>58.8</v>
      </c>
      <c r="S24">
        <f>'[1]Sep 2019'!W24</f>
        <v>7</v>
      </c>
      <c r="T24">
        <f>'[1]Sep 2019'!X24</f>
        <v>115258</v>
      </c>
      <c r="V24">
        <f>'[1]Sep 2019'!BO24</f>
        <v>20661</v>
      </c>
      <c r="X24">
        <f>'[1]Sep 2019'!Z24</f>
        <v>961</v>
      </c>
      <c r="Z24">
        <f>'[1]Sep 2019'!AB24</f>
        <v>2544</v>
      </c>
      <c r="AH24">
        <f>'[1]Sep 2019'!AJ24</f>
        <v>8312</v>
      </c>
      <c r="CA24">
        <f>'[1]Sep 2019'!CG24</f>
        <v>24365</v>
      </c>
      <c r="CD24">
        <f>'[1]Sep 2019'!CJ24</f>
        <v>32980</v>
      </c>
      <c r="CG24">
        <f>'[1]Sep 2019'!CM24</f>
        <v>6859</v>
      </c>
      <c r="CJ24">
        <f>'[1]Sep 2019'!CP24</f>
        <v>82243</v>
      </c>
      <c r="CM24">
        <f>'[1]Sep 2019'!CS24</f>
        <v>4399</v>
      </c>
      <c r="CP24">
        <f>'[1]Sep 2019'!CV24</f>
        <v>5334</v>
      </c>
      <c r="CS24">
        <f>'[1]Sep 2019'!CY24</f>
        <v>2454</v>
      </c>
      <c r="CV24">
        <f>'[1]Sep 2019'!DB24</f>
        <v>1681</v>
      </c>
      <c r="CY24">
        <f>'[1]Sep 2019'!DE24</f>
        <v>3596</v>
      </c>
      <c r="DB24">
        <f>'[1]Sep 2019'!DH24</f>
        <v>3463</v>
      </c>
      <c r="DE24">
        <f>'[1]Sep 2019'!DK24</f>
        <v>3881</v>
      </c>
      <c r="DH24">
        <f>'[1]Sep 2019'!DN24</f>
        <v>3188</v>
      </c>
      <c r="DK24">
        <f>'[1]Sep 2019'!DQ24</f>
        <v>112173</v>
      </c>
      <c r="DM24">
        <f>'[1]Sep 2019'!DS24</f>
        <v>52938</v>
      </c>
      <c r="DO24">
        <f>'[1]Sep 2019'!DU24</f>
        <v>15019</v>
      </c>
      <c r="DQ24">
        <f>'[1]Sep 2019'!DW24</f>
        <v>22622</v>
      </c>
      <c r="DU24" s="23">
        <f>'[1]Sep 2019'!EA24</f>
        <v>0.85</v>
      </c>
    </row>
    <row r="25" spans="2:125" ht="13.5" thickBot="1" x14ac:dyDescent="0.25">
      <c r="B25">
        <f>'[1]Sep 2019'!B25</f>
        <v>9644072</v>
      </c>
      <c r="D25">
        <f>'[1]Sep 2019'!D25</f>
        <v>9250623</v>
      </c>
      <c r="G25">
        <f>'[1]Sep 2019'!G25</f>
        <v>1264</v>
      </c>
      <c r="J25">
        <v>729</v>
      </c>
      <c r="L25">
        <f>'[1]Sep 2019'!P25</f>
        <v>2325704</v>
      </c>
      <c r="N25" s="22">
        <f>'[1]Sep 2019'!R25</f>
        <v>2067069</v>
      </c>
      <c r="P25">
        <f>'[1]Sep 2019'!T25</f>
        <v>427090</v>
      </c>
      <c r="R25">
        <f>'[1]Sep 2019'!V25</f>
        <v>61</v>
      </c>
      <c r="S25">
        <f>'[1]Sep 2019'!W25</f>
        <v>0</v>
      </c>
      <c r="T25">
        <f>'[1]Sep 2019'!X25</f>
        <v>115479</v>
      </c>
      <c r="V25">
        <f>'[1]Sep 2019'!BO25</f>
        <v>20744</v>
      </c>
      <c r="X25">
        <f>'[1]Sep 2019'!Z25</f>
        <v>962</v>
      </c>
      <c r="Z25">
        <f>'[1]Sep 2019'!AB25</f>
        <v>2544</v>
      </c>
      <c r="AH25">
        <f>'[1]Sep 2019'!AJ25</f>
        <v>8316</v>
      </c>
      <c r="CA25">
        <f>'[1]Sep 2019'!CG25</f>
        <v>24389</v>
      </c>
      <c r="CD25">
        <f>'[1]Sep 2019'!CJ25</f>
        <v>32988</v>
      </c>
      <c r="CG25">
        <f>'[1]Sep 2019'!CM25</f>
        <v>6890</v>
      </c>
      <c r="CJ25">
        <f>'[1]Sep 2019'!CP25</f>
        <v>82248</v>
      </c>
      <c r="CM25">
        <f>'[1]Sep 2019'!CS25</f>
        <v>4415</v>
      </c>
      <c r="CP25">
        <f>'[1]Sep 2019'!CV25</f>
        <v>5342</v>
      </c>
      <c r="CS25">
        <f>'[1]Sep 2019'!CY25</f>
        <v>2459</v>
      </c>
      <c r="CV25">
        <f>'[1]Sep 2019'!DB25</f>
        <v>1682</v>
      </c>
      <c r="CY25">
        <f>'[1]Sep 2019'!DE25</f>
        <v>3607</v>
      </c>
      <c r="DB25">
        <f>'[1]Sep 2019'!DH25</f>
        <v>3472</v>
      </c>
      <c r="DE25">
        <f>'[1]Sep 2019'!DK25</f>
        <v>3890</v>
      </c>
      <c r="DH25">
        <f>'[1]Sep 2019'!DN25</f>
        <v>3195</v>
      </c>
      <c r="DK25">
        <f>'[1]Sep 2019'!DQ25</f>
        <v>112173</v>
      </c>
      <c r="DM25">
        <f>'[1]Sep 2019'!DS25</f>
        <v>52938</v>
      </c>
      <c r="DO25">
        <f>'[1]Sep 2019'!DU25</f>
        <v>15019</v>
      </c>
      <c r="DQ25">
        <f>'[1]Sep 2019'!DW25</f>
        <v>22622</v>
      </c>
      <c r="DU25" s="23">
        <f>'[1]Sep 2019'!EA25</f>
        <v>0.85</v>
      </c>
    </row>
    <row r="26" spans="2:125" ht="13.5" thickBot="1" x14ac:dyDescent="0.25">
      <c r="B26">
        <f>'[1]Sep 2019'!B26</f>
        <v>9666928</v>
      </c>
      <c r="D26">
        <f>'[1]Sep 2019'!D26</f>
        <v>9272670</v>
      </c>
      <c r="G26">
        <f>'[1]Sep 2019'!G26</f>
        <v>1264</v>
      </c>
      <c r="J26">
        <v>729</v>
      </c>
      <c r="L26">
        <f>'[1]Sep 2019'!P26</f>
        <v>2327245</v>
      </c>
      <c r="N26" s="22">
        <f>'[1]Sep 2019'!R26</f>
        <v>2067623</v>
      </c>
      <c r="P26">
        <f>'[1]Sep 2019'!T26</f>
        <v>427227</v>
      </c>
      <c r="R26">
        <f>'[1]Sep 2019'!V26</f>
        <v>58.24</v>
      </c>
      <c r="S26">
        <f>'[1]Sep 2019'!W26</f>
        <v>5</v>
      </c>
      <c r="T26">
        <f>'[1]Sep 2019'!X26</f>
        <v>115633</v>
      </c>
      <c r="V26">
        <f>'[1]Sep 2019'!BO26</f>
        <v>20819</v>
      </c>
      <c r="X26">
        <f>'[1]Sep 2019'!Z26</f>
        <v>962</v>
      </c>
      <c r="Z26">
        <f>'[1]Sep 2019'!AB26</f>
        <v>2554</v>
      </c>
      <c r="AH26">
        <f>'[1]Sep 2019'!AJ26</f>
        <v>8321</v>
      </c>
      <c r="CA26">
        <f>'[1]Sep 2019'!CG26</f>
        <v>24414</v>
      </c>
      <c r="CD26">
        <f>'[1]Sep 2019'!CJ26</f>
        <v>32998</v>
      </c>
      <c r="CG26">
        <f>'[1]Sep 2019'!CM26</f>
        <v>6918</v>
      </c>
      <c r="CJ26">
        <f>'[1]Sep 2019'!CP26</f>
        <v>82257</v>
      </c>
      <c r="CM26">
        <f>'[1]Sep 2019'!CS26</f>
        <v>4427</v>
      </c>
      <c r="CP26">
        <f>'[1]Sep 2019'!CV26</f>
        <v>5352</v>
      </c>
      <c r="CS26">
        <f>'[1]Sep 2019'!CY26</f>
        <v>2465</v>
      </c>
      <c r="CV26">
        <f>'[1]Sep 2019'!DB26</f>
        <v>1683</v>
      </c>
      <c r="CY26">
        <f>'[1]Sep 2019'!DE26</f>
        <v>3618</v>
      </c>
      <c r="DB26">
        <f>'[1]Sep 2019'!DH26</f>
        <v>3482</v>
      </c>
      <c r="DE26">
        <f>'[1]Sep 2019'!DK26</f>
        <v>3900</v>
      </c>
      <c r="DH26">
        <f>'[1]Sep 2019'!DN26</f>
        <v>3203</v>
      </c>
      <c r="DK26">
        <f>'[1]Sep 2019'!DQ26</f>
        <v>112173</v>
      </c>
      <c r="DM26">
        <f>'[1]Sep 2019'!DS26</f>
        <v>52938</v>
      </c>
      <c r="DO26">
        <f>'[1]Sep 2019'!DU26</f>
        <v>15019</v>
      </c>
      <c r="DQ26">
        <f>'[1]Sep 2019'!DW26</f>
        <v>22622</v>
      </c>
      <c r="DU26" s="23">
        <f>'[1]Sep 2019'!EA26</f>
        <v>0.82</v>
      </c>
    </row>
    <row r="27" spans="2:125" ht="13.5" thickBot="1" x14ac:dyDescent="0.25">
      <c r="B27">
        <f>'[1]Sep 2019'!B27</f>
        <v>9690612</v>
      </c>
      <c r="D27">
        <f>'[1]Sep 2019'!D27</f>
        <v>9295412</v>
      </c>
      <c r="G27">
        <f>'[1]Sep 2019'!G27</f>
        <v>1264</v>
      </c>
      <c r="J27">
        <v>729</v>
      </c>
      <c r="L27">
        <f>'[1]Sep 2019'!P27</f>
        <v>2327908</v>
      </c>
      <c r="N27" s="22">
        <f>'[1]Sep 2019'!R27</f>
        <v>2068165</v>
      </c>
      <c r="P27">
        <f>'[1]Sep 2019'!T27</f>
        <v>427316</v>
      </c>
      <c r="R27">
        <f>'[1]Sep 2019'!V27</f>
        <v>50.81</v>
      </c>
      <c r="S27">
        <f>'[1]Sep 2019'!W27</f>
        <v>10</v>
      </c>
      <c r="T27">
        <f>'[1]Sep 2019'!X27</f>
        <v>115855</v>
      </c>
      <c r="V27">
        <f>'[1]Sep 2019'!BO27</f>
        <v>20905</v>
      </c>
      <c r="X27">
        <f>'[1]Sep 2019'!Z27</f>
        <v>963</v>
      </c>
      <c r="Z27">
        <f>'[1]Sep 2019'!AB27</f>
        <v>2563</v>
      </c>
      <c r="AH27">
        <f>'[1]Sep 2019'!AJ27</f>
        <v>8325</v>
      </c>
      <c r="CA27">
        <f>'[1]Sep 2019'!CG27</f>
        <v>24440</v>
      </c>
      <c r="CD27">
        <f>'[1]Sep 2019'!CJ27</f>
        <v>33006</v>
      </c>
      <c r="CG27">
        <f>'[1]Sep 2019'!CM27</f>
        <v>6945</v>
      </c>
      <c r="CJ27">
        <f>'[1]Sep 2019'!CP27</f>
        <v>82264</v>
      </c>
      <c r="CM27">
        <f>'[1]Sep 2019'!CS27</f>
        <v>4439</v>
      </c>
      <c r="CP27">
        <f>'[1]Sep 2019'!CV27</f>
        <v>5361</v>
      </c>
      <c r="CS27">
        <f>'[1]Sep 2019'!CY27</f>
        <v>2472</v>
      </c>
      <c r="CV27">
        <f>'[1]Sep 2019'!DB27</f>
        <v>1684</v>
      </c>
      <c r="CY27">
        <f>'[1]Sep 2019'!DE27</f>
        <v>3629</v>
      </c>
      <c r="DB27">
        <f>'[1]Sep 2019'!DH27</f>
        <v>3492</v>
      </c>
      <c r="DE27">
        <f>'[1]Sep 2019'!DK27</f>
        <v>3911</v>
      </c>
      <c r="DH27">
        <f>'[1]Sep 2019'!DN27</f>
        <v>3212</v>
      </c>
      <c r="DK27">
        <f>'[1]Sep 2019'!DQ27</f>
        <v>112173</v>
      </c>
      <c r="DM27">
        <f>'[1]Sep 2019'!DS27</f>
        <v>52938</v>
      </c>
      <c r="DO27">
        <f>'[1]Sep 2019'!DU27</f>
        <v>15019</v>
      </c>
      <c r="DQ27">
        <f>'[1]Sep 2019'!DW27</f>
        <v>22622</v>
      </c>
      <c r="DU27" s="23">
        <f>'[1]Sep 2019'!EA27</f>
        <v>0.69</v>
      </c>
    </row>
    <row r="28" spans="2:125" ht="13.5" thickBot="1" x14ac:dyDescent="0.25">
      <c r="B28">
        <f>'[1]Sep 2019'!B28</f>
        <v>9714311</v>
      </c>
      <c r="D28">
        <f>'[1]Sep 2019'!D28</f>
        <v>9318320</v>
      </c>
      <c r="G28">
        <f>'[1]Sep 2019'!G28</f>
        <v>1264</v>
      </c>
      <c r="J28">
        <v>729</v>
      </c>
      <c r="L28">
        <f>'[1]Sep 2019'!P28</f>
        <v>2329030</v>
      </c>
      <c r="N28" s="22">
        <f>'[1]Sep 2019'!R28</f>
        <v>2068716</v>
      </c>
      <c r="P28">
        <f>'[1]Sep 2019'!T28</f>
        <v>427432</v>
      </c>
      <c r="R28">
        <f>'[1]Sep 2019'!V28</f>
        <v>48.5</v>
      </c>
      <c r="S28">
        <f>'[1]Sep 2019'!W28</f>
        <v>7</v>
      </c>
      <c r="T28">
        <f>'[1]Sep 2019'!X28</f>
        <v>116109</v>
      </c>
      <c r="V28">
        <f>'[1]Sep 2019'!BO28</f>
        <v>20989</v>
      </c>
      <c r="X28">
        <f>'[1]Sep 2019'!Z28</f>
        <v>964</v>
      </c>
      <c r="Z28">
        <f>'[1]Sep 2019'!AB28</f>
        <v>2563</v>
      </c>
      <c r="AH28">
        <f>'[1]Sep 2019'!AJ28</f>
        <v>8327</v>
      </c>
      <c r="CA28">
        <f>'[1]Sep 2019'!CG28</f>
        <v>24494</v>
      </c>
      <c r="CD28">
        <f>'[1]Sep 2019'!CJ28</f>
        <v>33009</v>
      </c>
      <c r="CG28">
        <f>'[1]Sep 2019'!CM28</f>
        <v>6963</v>
      </c>
      <c r="CJ28">
        <f>'[1]Sep 2019'!CP28</f>
        <v>81270</v>
      </c>
      <c r="CM28">
        <f>'[1]Sep 2019'!CS28</f>
        <v>4453</v>
      </c>
      <c r="CP28">
        <f>'[1]Sep 2019'!CV28</f>
        <v>5370</v>
      </c>
      <c r="CS28">
        <f>'[1]Sep 2019'!CY28</f>
        <v>2472.9</v>
      </c>
      <c r="CV28">
        <f>'[1]Sep 2019'!DB28</f>
        <v>1685</v>
      </c>
      <c r="CY28">
        <f>'[1]Sep 2019'!DE28</f>
        <v>3640</v>
      </c>
      <c r="DB28">
        <f>'[1]Sep 2019'!DH28</f>
        <v>3502</v>
      </c>
      <c r="DE28">
        <f>'[1]Sep 2019'!DK28</f>
        <v>3919</v>
      </c>
      <c r="DH28">
        <f>'[1]Sep 2019'!DN28</f>
        <v>3220.6</v>
      </c>
      <c r="DK28">
        <f>'[1]Sep 2019'!DQ28</f>
        <v>112173</v>
      </c>
      <c r="DM28">
        <f>'[1]Sep 2019'!DS28</f>
        <v>52938</v>
      </c>
      <c r="DO28">
        <f>'[1]Sep 2019'!DU28</f>
        <v>15019</v>
      </c>
      <c r="DQ28">
        <f>'[1]Sep 2019'!DW28</f>
        <v>22622</v>
      </c>
      <c r="DU28" s="23">
        <f>'[1]Sep 2019'!EA28</f>
        <v>0.85</v>
      </c>
    </row>
    <row r="29" spans="2:125" ht="13.5" thickBot="1" x14ac:dyDescent="0.25">
      <c r="B29">
        <f>'[1]Sep 2019'!B29</f>
        <v>9739019</v>
      </c>
      <c r="D29">
        <f>'[1]Sep 2019'!D29</f>
        <v>9342039</v>
      </c>
      <c r="G29">
        <f>'[1]Sep 2019'!G29</f>
        <v>1264</v>
      </c>
      <c r="J29">
        <v>729</v>
      </c>
      <c r="L29">
        <f>'[1]Sep 2019'!P29</f>
        <v>2330162</v>
      </c>
      <c r="N29" s="22">
        <f>'[1]Sep 2019'!R29</f>
        <v>2069255</v>
      </c>
      <c r="P29">
        <f>'[1]Sep 2019'!T29</f>
        <v>427491</v>
      </c>
      <c r="R29">
        <f>'[1]Sep 2019'!V29</f>
        <v>46.83</v>
      </c>
      <c r="S29">
        <f>'[1]Sep 2019'!W29</f>
        <v>9</v>
      </c>
      <c r="T29">
        <f>'[1]Sep 2019'!X29</f>
        <v>116341</v>
      </c>
      <c r="V29">
        <f>'[1]Sep 2019'!BO29</f>
        <v>21072</v>
      </c>
      <c r="X29">
        <f>'[1]Sep 2019'!Z29</f>
        <v>965</v>
      </c>
      <c r="Z29">
        <f>'[1]Sep 2019'!AB29</f>
        <v>2573</v>
      </c>
      <c r="AH29">
        <f>'[1]Sep 2019'!AJ29</f>
        <v>8331</v>
      </c>
      <c r="BZ29">
        <v>6712</v>
      </c>
      <c r="CA29">
        <f>'[1]Sep 2019'!CG29</f>
        <v>24546</v>
      </c>
      <c r="CD29">
        <f>'[1]Sep 2019'!CJ29</f>
        <v>33017</v>
      </c>
      <c r="CG29">
        <f>'[1]Sep 2019'!CM29</f>
        <v>6987</v>
      </c>
      <c r="CJ29">
        <f>'[1]Sep 2019'!CP29</f>
        <v>82276</v>
      </c>
      <c r="CM29">
        <f>'[1]Sep 2019'!CS29</f>
        <v>4464</v>
      </c>
      <c r="CP29">
        <f>'[1]Sep 2019'!CV29</f>
        <v>5379</v>
      </c>
      <c r="CS29">
        <f>'[1]Sep 2019'!CY29</f>
        <v>2484</v>
      </c>
      <c r="CV29">
        <f>'[1]Sep 2019'!DB29</f>
        <v>1686.7</v>
      </c>
      <c r="CY29">
        <f>'[1]Sep 2019'!DE29</f>
        <v>3650</v>
      </c>
      <c r="DB29">
        <f>'[1]Sep 2019'!DH29</f>
        <v>3511</v>
      </c>
      <c r="DE29">
        <f>'[1]Sep 2019'!DK29</f>
        <v>3926</v>
      </c>
      <c r="DH29">
        <f>'[1]Sep 2019'!DN29</f>
        <v>3227</v>
      </c>
      <c r="DK29">
        <f>'[1]Sep 2019'!DQ29</f>
        <v>112173</v>
      </c>
      <c r="DM29">
        <f>'[1]Sep 2019'!DS29</f>
        <v>52938</v>
      </c>
      <c r="DO29">
        <f>'[1]Sep 2019'!DU29</f>
        <v>15019</v>
      </c>
      <c r="DQ29">
        <f>'[1]Sep 2019'!DW29</f>
        <v>22622</v>
      </c>
      <c r="DU29" s="23">
        <f>'[1]Sep 2019'!EA29</f>
        <v>0.85</v>
      </c>
    </row>
    <row r="30" spans="2:125" ht="13.5" thickBot="1" x14ac:dyDescent="0.25">
      <c r="B30">
        <f>'[1]Sep 2019'!B30</f>
        <v>9764276</v>
      </c>
      <c r="D30">
        <f>'[1]Sep 2019'!D30</f>
        <v>9369634</v>
      </c>
      <c r="G30">
        <f>'[1]Sep 2019'!G30</f>
        <v>1264</v>
      </c>
      <c r="J30">
        <v>729</v>
      </c>
      <c r="L30">
        <f>'[1]Sep 2019'!P30</f>
        <v>2331403</v>
      </c>
      <c r="N30" s="22">
        <f>'[1]Sep 2019'!R30</f>
        <v>2069799</v>
      </c>
      <c r="P30">
        <f>'[1]Sep 2019'!T30</f>
        <v>427500</v>
      </c>
      <c r="R30">
        <f>'[1]Sep 2019'!V30</f>
        <v>68.42</v>
      </c>
      <c r="S30">
        <f>'[1]Sep 2019'!W30</f>
        <v>16</v>
      </c>
      <c r="T30">
        <f>'[1]Sep 2019'!X30</f>
        <v>116799</v>
      </c>
      <c r="V30">
        <f>'[1]Sep 2019'!BO30</f>
        <v>21156</v>
      </c>
      <c r="X30">
        <f>'[1]Sep 2019'!Z30</f>
        <v>965</v>
      </c>
      <c r="Z30">
        <f>'[1]Sep 2019'!AB30</f>
        <v>2583</v>
      </c>
      <c r="AH30">
        <f>'[1]Sep 2019'!AJ30</f>
        <v>8335</v>
      </c>
      <c r="CA30">
        <f>'[1]Sep 2019'!CG30</f>
        <v>24606</v>
      </c>
      <c r="CD30">
        <f>'[1]Sep 2019'!CJ30</f>
        <v>33026</v>
      </c>
      <c r="CG30">
        <f>'[1]Sep 2019'!CM30</f>
        <v>7009</v>
      </c>
      <c r="CJ30">
        <f>'[1]Sep 2019'!CP30</f>
        <v>82281</v>
      </c>
      <c r="CM30">
        <f>'[1]Sep 2019'!CS30</f>
        <v>4477</v>
      </c>
      <c r="CP30">
        <f>'[1]Sep 2019'!CV30</f>
        <v>5388</v>
      </c>
      <c r="CS30">
        <f>'[1]Sep 2019'!CY30</f>
        <v>2490</v>
      </c>
      <c r="CV30">
        <f>'[1]Sep 2019'!DB30</f>
        <v>1687.8</v>
      </c>
      <c r="CY30">
        <f>'[1]Sep 2019'!DE30</f>
        <v>3659</v>
      </c>
      <c r="DB30">
        <f>'[1]Sep 2019'!DH30</f>
        <v>3521</v>
      </c>
      <c r="DE30">
        <f>'[1]Sep 2019'!DK30</f>
        <v>3936</v>
      </c>
      <c r="DH30">
        <f>'[1]Sep 2019'!DN30</f>
        <v>3235</v>
      </c>
      <c r="DK30">
        <f>'[1]Sep 2019'!DQ30</f>
        <v>112173</v>
      </c>
      <c r="DM30">
        <f>'[1]Sep 2019'!DS30</f>
        <v>52938</v>
      </c>
      <c r="DO30">
        <f>'[1]Sep 2019'!DU30</f>
        <v>15111</v>
      </c>
      <c r="DQ30">
        <f>'[1]Sep 2019'!DW30</f>
        <v>22622</v>
      </c>
      <c r="DU30" s="23">
        <f>'[1]Sep 2019'!EA30</f>
        <v>0.82</v>
      </c>
    </row>
    <row r="31" spans="2:125" ht="13.5" thickBot="1" x14ac:dyDescent="0.25">
      <c r="B31">
        <f>'[1]Sep 2019'!B31</f>
        <v>9788235</v>
      </c>
      <c r="D31">
        <f>'[1]Sep 2019'!D31</f>
        <v>9389524</v>
      </c>
      <c r="G31">
        <f>'[1]Sep 2019'!G31</f>
        <v>1264</v>
      </c>
      <c r="J31">
        <v>729</v>
      </c>
      <c r="L31">
        <f>'[1]Sep 2019'!P31</f>
        <v>2332288</v>
      </c>
      <c r="N31" s="22">
        <f>'[1]Sep 2019'!R31</f>
        <v>2070337</v>
      </c>
      <c r="P31">
        <f>'[1]Sep 2019'!T31</f>
        <v>427708</v>
      </c>
      <c r="R31">
        <f>'[1]Sep 2019'!V31</f>
        <v>61.73</v>
      </c>
      <c r="S31">
        <f>'[1]Sep 2019'!W31</f>
        <v>5</v>
      </c>
      <c r="T31">
        <f>'[1]Sep 2019'!X31</f>
        <v>116939</v>
      </c>
      <c r="V31">
        <f>'[1]Sep 2019'!BO31</f>
        <v>21234</v>
      </c>
      <c r="X31">
        <f>'[1]Sep 2019'!Z31</f>
        <v>965</v>
      </c>
      <c r="Z31">
        <f>'[1]Sep 2019'!AB31</f>
        <v>2585</v>
      </c>
      <c r="AH31">
        <f>'[1]Sep 2019'!AJ31</f>
        <v>8338</v>
      </c>
      <c r="CA31">
        <f>'[1]Sep 2019'!CG31</f>
        <v>24663</v>
      </c>
      <c r="CD31">
        <f>'[1]Sep 2019'!CJ31</f>
        <v>33034</v>
      </c>
      <c r="CG31">
        <f>'[1]Sep 2019'!CM31</f>
        <v>7031</v>
      </c>
      <c r="CJ31">
        <f>'[1]Sep 2019'!CP31</f>
        <v>82286</v>
      </c>
      <c r="CM31">
        <f>'[1]Sep 2019'!CS31</f>
        <v>4486</v>
      </c>
      <c r="CP31">
        <f>'[1]Sep 2019'!CV31</f>
        <v>5398</v>
      </c>
      <c r="CS31">
        <f>'[1]Sep 2019'!CY31</f>
        <v>2497</v>
      </c>
      <c r="CV31">
        <f>'[1]Sep 2019'!DB31</f>
        <v>1688.9</v>
      </c>
      <c r="CY31">
        <f>'[1]Sep 2019'!DE31</f>
        <v>3669</v>
      </c>
      <c r="DB31">
        <f>'[1]Sep 2019'!DH31</f>
        <v>3531</v>
      </c>
      <c r="DE31">
        <f>'[1]Sep 2019'!DK31</f>
        <v>3945</v>
      </c>
      <c r="DH31">
        <f>'[1]Sep 2019'!DN31</f>
        <v>3242</v>
      </c>
      <c r="DK31">
        <f>'[1]Sep 2019'!DQ31</f>
        <v>112173</v>
      </c>
      <c r="DM31">
        <f>'[1]Sep 2019'!DS31</f>
        <v>52938</v>
      </c>
      <c r="DO31">
        <f>'[1]Sep 2019'!DU31</f>
        <v>15111</v>
      </c>
      <c r="DQ31">
        <f>'[1]Sep 2019'!DW31</f>
        <v>22622</v>
      </c>
      <c r="DU31" s="23">
        <f>'[1]Sep 2019'!EA31</f>
        <v>0.88</v>
      </c>
    </row>
    <row r="32" spans="2:125" ht="13.5" thickBot="1" x14ac:dyDescent="0.25">
      <c r="B32">
        <f>'[1]Sep 2019'!B32</f>
        <v>9813889</v>
      </c>
      <c r="D32">
        <f>'[1]Sep 2019'!D32</f>
        <v>9414268</v>
      </c>
      <c r="G32">
        <f>'[1]Sep 2019'!G32</f>
        <v>1264</v>
      </c>
      <c r="J32">
        <v>729</v>
      </c>
      <c r="L32">
        <f>'[1]Sep 2019'!P32</f>
        <v>2333027</v>
      </c>
      <c r="N32" s="22">
        <f>'[1]Sep 2019'!R32</f>
        <v>2070888</v>
      </c>
      <c r="P32">
        <f>'[1]Sep 2019'!T32</f>
        <v>427772</v>
      </c>
      <c r="R32">
        <f>'[1]Sep 2019'!V32</f>
        <v>60.13</v>
      </c>
      <c r="S32">
        <f>'[1]Sep 2019'!W32</f>
        <v>8</v>
      </c>
      <c r="T32">
        <f>'[1]Sep 2019'!X32</f>
        <v>117024</v>
      </c>
      <c r="V32">
        <f>'[1]Sep 2019'!BO32</f>
        <v>21378</v>
      </c>
      <c r="X32">
        <f>'[1]Sep 2019'!Z32</f>
        <v>965</v>
      </c>
      <c r="Z32">
        <f>'[1]Sep 2019'!AB32</f>
        <v>2606</v>
      </c>
      <c r="AH32">
        <f>'[1]Sep 2019'!AJ32</f>
        <v>8341</v>
      </c>
      <c r="CA32">
        <f>'[1]Sep 2019'!CG32</f>
        <v>24718</v>
      </c>
      <c r="CD32">
        <f>'[1]Sep 2019'!CJ32</f>
        <v>33042</v>
      </c>
      <c r="CG32">
        <f>'[1]Sep 2019'!CM32</f>
        <v>7053</v>
      </c>
      <c r="CJ32">
        <f>'[1]Sep 2019'!CP32</f>
        <v>82295</v>
      </c>
      <c r="CM32">
        <f>'[1]Sep 2019'!CS32</f>
        <v>4497</v>
      </c>
      <c r="CP32">
        <f>'[1]Sep 2019'!CV32</f>
        <v>5407</v>
      </c>
      <c r="CS32">
        <f>'[1]Sep 2019'!CY32</f>
        <v>2503</v>
      </c>
      <c r="CV32">
        <f>'[1]Sep 2019'!DB32</f>
        <v>1690</v>
      </c>
      <c r="CY32">
        <f>'[1]Sep 2019'!DE32</f>
        <v>3679</v>
      </c>
      <c r="DB32">
        <f>'[1]Sep 2019'!DH32</f>
        <v>3541</v>
      </c>
      <c r="DE32">
        <f>'[1]Sep 2019'!DK32</f>
        <v>3955</v>
      </c>
      <c r="DH32">
        <f>'[1]Sep 2019'!DN32</f>
        <v>3250</v>
      </c>
      <c r="DK32">
        <f>'[1]Sep 2019'!DQ32</f>
        <v>112173</v>
      </c>
      <c r="DM32">
        <f>'[1]Sep 2019'!DS32</f>
        <v>52938</v>
      </c>
      <c r="DO32">
        <f>'[1]Sep 2019'!DU32</f>
        <v>15111</v>
      </c>
      <c r="DQ32">
        <f>'[1]Sep 2019'!DW32</f>
        <v>22622</v>
      </c>
      <c r="DU32" s="23">
        <f>'[1]Sep 2019'!EA32</f>
        <v>0.77</v>
      </c>
    </row>
    <row r="33" spans="2:125" ht="13.5" thickBot="1" x14ac:dyDescent="0.25">
      <c r="B33">
        <f>'[1]Sep 2019'!B33</f>
        <v>9838014</v>
      </c>
      <c r="D33">
        <f>'[1]Sep 2019'!D33</f>
        <v>9437590</v>
      </c>
      <c r="G33">
        <f>'[1]Sep 2019'!G33</f>
        <v>1264</v>
      </c>
      <c r="J33">
        <v>729</v>
      </c>
      <c r="L33">
        <f>'[1]Sep 2019'!P33</f>
        <v>2334027</v>
      </c>
      <c r="N33" s="22">
        <f>'[1]Sep 2019'!R33</f>
        <v>2071438</v>
      </c>
      <c r="P33">
        <f>'[1]Sep 2019'!T33</f>
        <v>427875</v>
      </c>
      <c r="R33">
        <f>'[1]Sep 2019'!V33</f>
        <v>67.77</v>
      </c>
      <c r="S33">
        <f>'[1]Sep 2019'!W33</f>
        <v>8</v>
      </c>
      <c r="T33">
        <f>'[1]Sep 2019'!X33</f>
        <v>117307</v>
      </c>
      <c r="V33">
        <f>'[1]Sep 2019'!BO33</f>
        <v>21407</v>
      </c>
      <c r="X33">
        <f>'[1]Sep 2019'!Z33</f>
        <v>966</v>
      </c>
      <c r="Z33">
        <f>'[1]Sep 2019'!AB33</f>
        <v>2607</v>
      </c>
      <c r="AH33">
        <f>'[1]Sep 2019'!AJ33</f>
        <v>8343</v>
      </c>
      <c r="CA33">
        <f>'[1]Sep 2019'!CG33</f>
        <v>24757</v>
      </c>
      <c r="CD33">
        <f>'[1]Sep 2019'!CJ33</f>
        <v>33050</v>
      </c>
      <c r="CG33">
        <f>'[1]Sep 2019'!CM33</f>
        <v>7073</v>
      </c>
      <c r="CJ33">
        <f>'[1]Sep 2019'!CP33</f>
        <v>82301</v>
      </c>
      <c r="CM33">
        <f>'[1]Sep 2019'!CS33</f>
        <v>4506</v>
      </c>
      <c r="CP33">
        <f>'[1]Sep 2019'!CV33</f>
        <v>5415</v>
      </c>
      <c r="CS33">
        <f>'[1]Sep 2019'!CY33</f>
        <v>2506</v>
      </c>
      <c r="CV33">
        <f>'[1]Sep 2019'!DB33</f>
        <v>1691</v>
      </c>
      <c r="CY33">
        <f>'[1]Sep 2019'!DE33</f>
        <v>3688</v>
      </c>
      <c r="DB33">
        <f>'[1]Sep 2019'!DH33</f>
        <v>3550</v>
      </c>
      <c r="DE33">
        <f>'[1]Sep 2019'!DK33</f>
        <v>3964</v>
      </c>
      <c r="DH33">
        <f>'[1]Sep 2019'!DN33</f>
        <v>3258</v>
      </c>
      <c r="DK33">
        <f>'[1]Sep 2019'!DQ33</f>
        <v>114104</v>
      </c>
      <c r="DM33">
        <f>'[1]Sep 2019'!DS33</f>
        <v>53636</v>
      </c>
      <c r="DO33">
        <f>'[1]Sep 2019'!DU33</f>
        <v>15139</v>
      </c>
      <c r="DQ33">
        <f>'[1]Sep 2019'!DW33</f>
        <v>22854</v>
      </c>
      <c r="DU33" s="23">
        <f>'[1]Sep 2019'!EA33</f>
        <v>0.76</v>
      </c>
    </row>
    <row r="34" spans="2:125" ht="13.5" thickBot="1" x14ac:dyDescent="0.25">
      <c r="B34" s="19">
        <f>'[1]Sep 2019'!B34</f>
        <v>0</v>
      </c>
      <c r="D34">
        <f>'[1]Sep 2019'!D34</f>
        <v>0</v>
      </c>
      <c r="G34">
        <f>'[1]Sep 2019'!G34</f>
        <v>0</v>
      </c>
      <c r="J34">
        <v>0</v>
      </c>
      <c r="L34">
        <f>'[1]Sep 2019'!L34</f>
        <v>0</v>
      </c>
      <c r="N34" s="22">
        <f>'[1]Sep 2019'!R34</f>
        <v>0</v>
      </c>
      <c r="O34">
        <f>'[1]Sep 2019'!O34</f>
        <v>0</v>
      </c>
      <c r="V34">
        <f>'[1]Sep 2019'!BO34</f>
        <v>0</v>
      </c>
      <c r="AH34">
        <f>'[1]Sep 2019'!AJ34</f>
        <v>0</v>
      </c>
      <c r="CA34">
        <f>'[1]Sep 2019'!CG34</f>
        <v>0</v>
      </c>
      <c r="CG34">
        <f>'[1]Sep 2019'!CM34</f>
        <v>0</v>
      </c>
      <c r="CM34">
        <f>'[1]Sep 2019'!CS34</f>
        <v>0</v>
      </c>
      <c r="DK34">
        <f>'[1]Sep 2019'!DQ34</f>
        <v>0</v>
      </c>
      <c r="DU34" s="23">
        <f>'[1]Sep 2019'!EA34</f>
        <v>0</v>
      </c>
    </row>
  </sheetData>
  <conditionalFormatting sqref="B34">
    <cfRule type="cellIs" dxfId="71" priority="374" operator="lessThan">
      <formula>0</formula>
    </cfRule>
  </conditionalFormatting>
  <conditionalFormatting sqref="B34">
    <cfRule type="cellIs" dxfId="70" priority="373" operator="lessThan">
      <formula>0</formula>
    </cfRule>
  </conditionalFormatting>
  <conditionalFormatting sqref="N3:N34">
    <cfRule type="cellIs" dxfId="69" priority="372" operator="lessThan">
      <formula>0</formula>
    </cfRule>
  </conditionalFormatting>
  <conditionalFormatting sqref="N3:N34">
    <cfRule type="cellIs" dxfId="68" priority="371" operator="lessThan">
      <formula>0</formula>
    </cfRule>
  </conditionalFormatting>
  <conditionalFormatting sqref="N3:N34">
    <cfRule type="cellIs" dxfId="67" priority="370" operator="lessThan">
      <formula>0</formula>
    </cfRule>
  </conditionalFormatting>
  <conditionalFormatting sqref="N3:N34">
    <cfRule type="cellIs" dxfId="66" priority="369" operator="lessThan">
      <formula>0</formula>
    </cfRule>
  </conditionalFormatting>
  <conditionalFormatting sqref="N3:N34">
    <cfRule type="cellIs" dxfId="65" priority="368" operator="lessThan">
      <formula>0</formula>
    </cfRule>
  </conditionalFormatting>
  <conditionalFormatting sqref="N3:N34">
    <cfRule type="cellIs" dxfId="64" priority="367" operator="lessThan">
      <formula>0</formula>
    </cfRule>
  </conditionalFormatting>
  <conditionalFormatting sqref="N3:N34">
    <cfRule type="cellIs" dxfId="63" priority="366" operator="lessThan">
      <formula>0</formula>
    </cfRule>
  </conditionalFormatting>
  <conditionalFormatting sqref="N3:N34">
    <cfRule type="cellIs" dxfId="62" priority="365" operator="lessThan">
      <formula>0</formula>
    </cfRule>
  </conditionalFormatting>
  <conditionalFormatting sqref="N3:N34">
    <cfRule type="cellIs" dxfId="61" priority="364" operator="lessThan">
      <formula>0</formula>
    </cfRule>
  </conditionalFormatting>
  <conditionalFormatting sqref="N3:N34">
    <cfRule type="cellIs" dxfId="60" priority="363" operator="lessThan">
      <formula>0</formula>
    </cfRule>
  </conditionalFormatting>
  <conditionalFormatting sqref="N3:N34">
    <cfRule type="cellIs" dxfId="59" priority="362" operator="lessThan">
      <formula>0</formula>
    </cfRule>
  </conditionalFormatting>
  <conditionalFormatting sqref="N3:N34">
    <cfRule type="cellIs" dxfId="58" priority="361" operator="lessThan">
      <formula>0</formula>
    </cfRule>
  </conditionalFormatting>
  <conditionalFormatting sqref="N4:N9">
    <cfRule type="cellIs" dxfId="57" priority="360" operator="lessThan">
      <formula>0</formula>
    </cfRule>
  </conditionalFormatting>
  <conditionalFormatting sqref="N4:N9">
    <cfRule type="cellIs" dxfId="56" priority="359" operator="lessThan">
      <formula>0</formula>
    </cfRule>
  </conditionalFormatting>
  <conditionalFormatting sqref="N3:N34">
    <cfRule type="cellIs" dxfId="55" priority="358" operator="lessThan">
      <formula>0</formula>
    </cfRule>
  </conditionalFormatting>
  <conditionalFormatting sqref="N3:N34">
    <cfRule type="cellIs" dxfId="54" priority="357" operator="lessThan">
      <formula>0</formula>
    </cfRule>
  </conditionalFormatting>
  <conditionalFormatting sqref="N3:N34">
    <cfRule type="cellIs" dxfId="53" priority="356" operator="lessThan">
      <formula>0</formula>
    </cfRule>
  </conditionalFormatting>
  <conditionalFormatting sqref="N3:N34">
    <cfRule type="cellIs" dxfId="52" priority="355" operator="lessThan">
      <formula>0</formula>
    </cfRule>
  </conditionalFormatting>
  <conditionalFormatting sqref="N3:N34">
    <cfRule type="cellIs" dxfId="51" priority="354" operator="lessThan">
      <formula>0</formula>
    </cfRule>
  </conditionalFormatting>
  <conditionalFormatting sqref="N4">
    <cfRule type="cellIs" dxfId="50" priority="353" operator="lessThan">
      <formula>0</formula>
    </cfRule>
  </conditionalFormatting>
  <conditionalFormatting sqref="N3:N34">
    <cfRule type="cellIs" dxfId="49" priority="352" operator="lessThan">
      <formula>0</formula>
    </cfRule>
  </conditionalFormatting>
  <conditionalFormatting sqref="N3:N34">
    <cfRule type="cellIs" dxfId="48" priority="351" operator="lessThan">
      <formula>0</formula>
    </cfRule>
  </conditionalFormatting>
  <conditionalFormatting sqref="N3:N34">
    <cfRule type="cellIs" dxfId="47" priority="350" operator="lessThan">
      <formula>0</formula>
    </cfRule>
  </conditionalFormatting>
  <conditionalFormatting sqref="N3:N34">
    <cfRule type="cellIs" dxfId="46" priority="349" operator="lessThan">
      <formula>0</formula>
    </cfRule>
  </conditionalFormatting>
  <conditionalFormatting sqref="N3:N34">
    <cfRule type="cellIs" dxfId="45" priority="348" operator="lessThan">
      <formula>0</formula>
    </cfRule>
  </conditionalFormatting>
  <conditionalFormatting sqref="N3:N34">
    <cfRule type="cellIs" dxfId="44" priority="347" operator="lessThan">
      <formula>0</formula>
    </cfRule>
  </conditionalFormatting>
  <conditionalFormatting sqref="N3:N34">
    <cfRule type="cellIs" dxfId="43" priority="346" operator="lessThan">
      <formula>0</formula>
    </cfRule>
  </conditionalFormatting>
  <conditionalFormatting sqref="N3:N34">
    <cfRule type="cellIs" dxfId="42" priority="345" operator="lessThan">
      <formula>0</formula>
    </cfRule>
  </conditionalFormatting>
  <conditionalFormatting sqref="N3:N34">
    <cfRule type="cellIs" dxfId="41" priority="344" operator="lessThan">
      <formula>0</formula>
    </cfRule>
  </conditionalFormatting>
  <conditionalFormatting sqref="N3:N34">
    <cfRule type="cellIs" dxfId="40" priority="343" operator="lessThan">
      <formula>0</formula>
    </cfRule>
  </conditionalFormatting>
  <conditionalFormatting sqref="N3:N34">
    <cfRule type="cellIs" dxfId="39" priority="342" operator="lessThan">
      <formula>0</formula>
    </cfRule>
  </conditionalFormatting>
  <conditionalFormatting sqref="N3:N34">
    <cfRule type="cellIs" dxfId="38" priority="341" operator="lessThan">
      <formula>0</formula>
    </cfRule>
  </conditionalFormatting>
  <conditionalFormatting sqref="N3:N34">
    <cfRule type="cellIs" dxfId="37" priority="340" operator="lessThan">
      <formula>0</formula>
    </cfRule>
  </conditionalFormatting>
  <conditionalFormatting sqref="N3:N34">
    <cfRule type="cellIs" dxfId="36" priority="339" operator="lessThan">
      <formula>0</formula>
    </cfRule>
  </conditionalFormatting>
  <conditionalFormatting sqref="N3:N34">
    <cfRule type="cellIs" dxfId="35" priority="338" operator="lessThan">
      <formula>0</formula>
    </cfRule>
  </conditionalFormatting>
  <conditionalFormatting sqref="N3:N34">
    <cfRule type="cellIs" dxfId="34" priority="337" operator="lessThan">
      <formula>0</formula>
    </cfRule>
  </conditionalFormatting>
  <conditionalFormatting sqref="N3:N34">
    <cfRule type="cellIs" dxfId="33" priority="336" operator="lessThan">
      <formula>0</formula>
    </cfRule>
  </conditionalFormatting>
  <conditionalFormatting sqref="N3:N34">
    <cfRule type="cellIs" dxfId="32" priority="335" operator="lessThan">
      <formula>0</formula>
    </cfRule>
  </conditionalFormatting>
  <conditionalFormatting sqref="N3:N34">
    <cfRule type="cellIs" dxfId="31" priority="334" operator="lessThan">
      <formula>0</formula>
    </cfRule>
  </conditionalFormatting>
  <conditionalFormatting sqref="N3:N34">
    <cfRule type="cellIs" dxfId="30" priority="333" operator="lessThan">
      <formula>0</formula>
    </cfRule>
  </conditionalFormatting>
  <conditionalFormatting sqref="N3:N34">
    <cfRule type="cellIs" dxfId="29" priority="332" operator="lessThan">
      <formula>0</formula>
    </cfRule>
  </conditionalFormatting>
  <conditionalFormatting sqref="N3:N34">
    <cfRule type="cellIs" dxfId="28" priority="331" operator="lessThan">
      <formula>0</formula>
    </cfRule>
  </conditionalFormatting>
  <conditionalFormatting sqref="N3:N34">
    <cfRule type="cellIs" dxfId="27" priority="330" operator="lessThan">
      <formula>0</formula>
    </cfRule>
  </conditionalFormatting>
  <conditionalFormatting sqref="N3:N34">
    <cfRule type="cellIs" dxfId="26" priority="329" operator="lessThan">
      <formula>0</formula>
    </cfRule>
  </conditionalFormatting>
  <conditionalFormatting sqref="N3:N34">
    <cfRule type="cellIs" dxfId="25" priority="328" operator="lessThan">
      <formula>0</formula>
    </cfRule>
  </conditionalFormatting>
  <conditionalFormatting sqref="N3:N34">
    <cfRule type="cellIs" dxfId="24" priority="327" operator="lessThan">
      <formula>0</formula>
    </cfRule>
  </conditionalFormatting>
  <conditionalFormatting sqref="N3:N34">
    <cfRule type="cellIs" dxfId="23" priority="326" operator="lessThan">
      <formula>0</formula>
    </cfRule>
  </conditionalFormatting>
  <conditionalFormatting sqref="N3:N34">
    <cfRule type="cellIs" dxfId="22" priority="325" operator="lessThan">
      <formula>0</formula>
    </cfRule>
  </conditionalFormatting>
  <conditionalFormatting sqref="N3:N34">
    <cfRule type="cellIs" dxfId="21" priority="324" operator="lessThan">
      <formula>0</formula>
    </cfRule>
  </conditionalFormatting>
  <conditionalFormatting sqref="N3:N34">
    <cfRule type="cellIs" dxfId="20" priority="323" operator="lessThan">
      <formula>0</formula>
    </cfRule>
  </conditionalFormatting>
  <conditionalFormatting sqref="N3:N34">
    <cfRule type="cellIs" dxfId="19" priority="322" operator="lessThan">
      <formula>0</formula>
    </cfRule>
  </conditionalFormatting>
  <conditionalFormatting sqref="N3:N34">
    <cfRule type="cellIs" dxfId="18" priority="321" operator="lessThan">
      <formula>0</formula>
    </cfRule>
  </conditionalFormatting>
  <conditionalFormatting sqref="N3:N34">
    <cfRule type="cellIs" dxfId="17" priority="320" operator="lessThan">
      <formula>0</formula>
    </cfRule>
  </conditionalFormatting>
  <conditionalFormatting sqref="N3:N34">
    <cfRule type="cellIs" dxfId="16" priority="319" operator="lessThan">
      <formula>0</formula>
    </cfRule>
  </conditionalFormatting>
  <conditionalFormatting sqref="N3:N34">
    <cfRule type="cellIs" dxfId="15" priority="318" operator="lessThan">
      <formula>0</formula>
    </cfRule>
  </conditionalFormatting>
  <conditionalFormatting sqref="N3:N34">
    <cfRule type="cellIs" dxfId="14" priority="317" operator="lessThan">
      <formula>0</formula>
    </cfRule>
  </conditionalFormatting>
  <conditionalFormatting sqref="N3:N34">
    <cfRule type="cellIs" dxfId="13" priority="316" operator="lessThan">
      <formula>0</formula>
    </cfRule>
  </conditionalFormatting>
  <conditionalFormatting sqref="N3:N34">
    <cfRule type="cellIs" dxfId="12" priority="315" operator="lessThan">
      <formula>0</formula>
    </cfRule>
  </conditionalFormatting>
  <conditionalFormatting sqref="N3:N34">
    <cfRule type="cellIs" dxfId="11" priority="314" operator="lessThan">
      <formula>0</formula>
    </cfRule>
  </conditionalFormatting>
  <conditionalFormatting sqref="N5:N9">
    <cfRule type="cellIs" dxfId="10" priority="313" operator="lessThan">
      <formula>0</formula>
    </cfRule>
  </conditionalFormatting>
  <conditionalFormatting sqref="N3:N34">
    <cfRule type="cellIs" dxfId="9" priority="312" operator="lessThan">
      <formula>0</formula>
    </cfRule>
  </conditionalFormatting>
  <conditionalFormatting sqref="N3:N34">
    <cfRule type="cellIs" dxfId="8" priority="311" operator="lessThan">
      <formula>0</formula>
    </cfRule>
  </conditionalFormatting>
  <conditionalFormatting sqref="N3:N34">
    <cfRule type="cellIs" dxfId="7" priority="310" operator="lessThan">
      <formula>0</formula>
    </cfRule>
  </conditionalFormatting>
  <conditionalFormatting sqref="N3:N34">
    <cfRule type="cellIs" dxfId="6" priority="309" operator="lessThan">
      <formula>0</formula>
    </cfRule>
  </conditionalFormatting>
  <conditionalFormatting sqref="N3:N34">
    <cfRule type="cellIs" dxfId="5" priority="308" operator="lessThan">
      <formula>0</formula>
    </cfRule>
  </conditionalFormatting>
  <conditionalFormatting sqref="N3:N34">
    <cfRule type="cellIs" dxfId="4" priority="307" operator="lessThan">
      <formula>0</formula>
    </cfRule>
  </conditionalFormatting>
  <conditionalFormatting sqref="N3:N34">
    <cfRule type="cellIs" dxfId="3" priority="306" operator="lessThan">
      <formula>0</formula>
    </cfRule>
  </conditionalFormatting>
  <conditionalFormatting sqref="N3:N34">
    <cfRule type="cellIs" dxfId="2" priority="305" operator="lessThan">
      <formula>0</formula>
    </cfRule>
  </conditionalFormatting>
  <conditionalFormatting sqref="N3:N34">
    <cfRule type="cellIs" dxfId="1" priority="304" operator="lessThan">
      <formula>0</formula>
    </cfRule>
  </conditionalFormatting>
  <conditionalFormatting sqref="N3:N34">
    <cfRule type="cellIs" dxfId="0" priority="30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HOTEL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Preet Sanmukhiya</cp:lastModifiedBy>
  <cp:revision/>
  <dcterms:created xsi:type="dcterms:W3CDTF">2016-09-19T10:41:46Z</dcterms:created>
  <dcterms:modified xsi:type="dcterms:W3CDTF">2022-04-10T11:13:14Z</dcterms:modified>
  <cp:category/>
  <cp:contentStatus/>
</cp:coreProperties>
</file>