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6165FA80-0F86-481A-BDBE-1C52B6A6339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F27" i="4" s="1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J17" i="4" s="1"/>
  <c r="V17" i="2"/>
  <c r="V18" i="2"/>
  <c r="V19" i="2"/>
  <c r="V20" i="2"/>
  <c r="V22" i="2"/>
  <c r="V23" i="2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L21" i="3"/>
  <c r="C23" i="3"/>
  <c r="C22" i="3"/>
  <c r="N31" i="8"/>
  <c r="H23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V11" i="8"/>
  <c r="E14" i="3"/>
  <c r="D17" i="8"/>
  <c r="C28" i="3"/>
  <c r="D3" i="3"/>
  <c r="G16" i="4"/>
  <c r="L28" i="3"/>
  <c r="H21" i="3"/>
  <c r="K10" i="4"/>
  <c r="G28" i="4"/>
  <c r="F3" i="3"/>
  <c r="C3" i="4"/>
  <c r="I29" i="3"/>
  <c r="G23" i="4"/>
  <c r="H32" i="4"/>
  <c r="I32" i="4"/>
  <c r="D11" i="3"/>
  <c r="L22" i="3"/>
  <c r="I6" i="3"/>
  <c r="E32" i="3"/>
  <c r="J29" i="4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J12" i="4"/>
  <c r="M8" i="3"/>
  <c r="D18" i="4"/>
  <c r="F31" i="3"/>
  <c r="G6" i="4"/>
  <c r="G20" i="4"/>
  <c r="H29" i="4"/>
  <c r="M31" i="3"/>
  <c r="F25" i="3"/>
  <c r="H6" i="3"/>
  <c r="D13" i="3"/>
  <c r="M32" i="3"/>
  <c r="F32" i="4"/>
  <c r="L7" i="3"/>
  <c r="M3" i="3"/>
  <c r="M33" i="3" s="1"/>
  <c r="M12" i="3"/>
  <c r="M17" i="3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M21" i="3"/>
  <c r="M23" i="3"/>
  <c r="M16" i="3"/>
  <c r="C33" i="3"/>
  <c r="M11" i="3"/>
  <c r="M7" i="3"/>
  <c r="M24" i="3"/>
  <c r="L12" i="3"/>
  <c r="F30" i="3"/>
  <c r="I26" i="4" l="1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27" i="4" l="1"/>
  <c r="L26" i="4"/>
  <c r="L24" i="4"/>
  <c r="L22" i="4"/>
  <c r="L20" i="4"/>
  <c r="L18" i="4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<sst xmlns="http://schemas.openxmlformats.org/spreadsheetml/2006/main" count="236" uniqueCount="130">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</sst>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-686220.00000000012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3" zoomScale="115" zoomScaleNormal="115" workbookViewId="0">
      <selection activeCell="O25" sqref="O25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18670.000000000178</v>
      </c>
      <c r="F24" s="90"/>
      <c r="G24" s="84">
        <v>5117</v>
      </c>
      <c r="H24" s="116"/>
      <c r="I24" s="52">
        <v>327</v>
      </c>
      <c r="J24" s="118"/>
      <c r="K24" s="81"/>
      <c r="L24" s="119"/>
      <c r="M24" s="58">
        <v>36.5</v>
      </c>
      <c r="N24" s="58">
        <v>91</v>
      </c>
      <c r="O24" s="58">
        <v>239</v>
      </c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16040.000000000822</v>
      </c>
      <c r="F25" s="90"/>
      <c r="G25" s="84">
        <v>4484</v>
      </c>
      <c r="H25" s="116"/>
      <c r="I25" s="52">
        <v>349</v>
      </c>
      <c r="J25" s="118"/>
      <c r="K25" s="81"/>
      <c r="L25" s="119"/>
      <c r="M25" s="58">
        <v>35.4</v>
      </c>
      <c r="N25" s="58">
        <v>80</v>
      </c>
      <c r="O25" s="58">
        <v>204</v>
      </c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483540.00000000116</v>
      </c>
      <c r="F33" s="113">
        <v>0</v>
      </c>
      <c r="G33" s="80">
        <f>SUM(G2:G32)</f>
        <v>134186</v>
      </c>
      <c r="H33" s="113">
        <v>0</v>
      </c>
      <c r="I33" s="80">
        <f>SUM(I2:I32)</f>
        <v>10271</v>
      </c>
      <c r="J33" s="113">
        <v>0</v>
      </c>
      <c r="K33" s="79">
        <f>SUM(K2:K31)</f>
        <v>0</v>
      </c>
      <c r="L33" s="120">
        <v>0</v>
      </c>
      <c r="M33" s="80">
        <f>SUM(M2:M32)</f>
        <v>1504.2</v>
      </c>
      <c r="N33" s="80">
        <f>SUM(N2:N32)</f>
        <v>3667</v>
      </c>
      <c r="O33" s="80">
        <f>SUM(O2:O32)</f>
        <v>9898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H19" sqref="H19:W20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490.00000000000909</v>
      </c>
      <c r="F24" s="2">
        <f>('Kwh Reading'!F27-'Kwh Reading'!F26)*1000000</f>
        <v>2499.9999999999468</v>
      </c>
      <c r="G24" s="2">
        <f>('Kwh Reading'!C27-'Kwh Reading'!C26)*1000</f>
        <v>250</v>
      </c>
      <c r="H24" s="2">
        <f t="shared" si="0"/>
        <v>1160.000000000025</v>
      </c>
      <c r="I24" s="2">
        <f>('Kwh Reading'!J27-'Kwh Reading'!J26)*1000</f>
        <v>509.99999999999091</v>
      </c>
      <c r="J24" s="2">
        <f>('Kwh Reading'!K27-'Kwh Reading'!K26)*1000</f>
        <v>350.00000000002274</v>
      </c>
      <c r="K24" s="2">
        <f>('Kwh Reading'!L27-'Kwh Reading'!L26)*1000</f>
        <v>300.00000000001137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279.99999999997272</v>
      </c>
      <c r="O24" s="2">
        <f>('Kwh Reading'!B27-'Kwh Reading'!B26)*1000000</f>
        <v>1099.9999999998788</v>
      </c>
      <c r="P24" s="2">
        <f>('Kwh Reading'!M27-'Kwh Reading'!M26)*1000</f>
        <v>399.99999999997726</v>
      </c>
      <c r="Q24" s="2">
        <f>('Kwh Reading'!H27-'Kwh Reading'!H26)*1000000</f>
        <v>600.00000000015598</v>
      </c>
      <c r="R24" s="2">
        <f>('Kwh Reading'!P27-'Kwh Reading'!P26)*1000000</f>
        <v>400.00000000017798</v>
      </c>
      <c r="S24" s="2">
        <f>('Kwh Reading'!G27-'Kwh Reading'!G26)*1000000</f>
        <v>399.99999999995595</v>
      </c>
      <c r="T24" s="2">
        <f>('Kwh Reading'!Q27-'Kwh Reading'!Q26)*1000</f>
        <v>310.00000000005912</v>
      </c>
      <c r="U24" s="2">
        <f>('Kwh Reading'!N27-'Kwh Reading'!N26)*1000</f>
        <v>360.00000000001364</v>
      </c>
      <c r="V24" s="2">
        <f>'Kwh Reading'!E27-'Kwh Reading'!E26</f>
        <v>2371.1399999987334</v>
      </c>
      <c r="W24" s="2">
        <f>'Kwh Reading'!D27-'Kwh Reading'!D26</f>
        <v>1648.0899999999965</v>
      </c>
      <c r="X24" s="21">
        <f>('Kwh Reading'!O27-'Kwh Reading'!O26)*1000</f>
        <v>220.00000000002728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509.99999999999091</v>
      </c>
      <c r="F25" s="21">
        <f>('Kwh Reading'!F28-'Kwh Reading'!F27)*1000000</f>
        <v>2400.0000000001796</v>
      </c>
      <c r="G25" s="21">
        <f>('Kwh Reading'!C28-'Kwh Reading'!C27)*1000</f>
        <v>259.99999999999091</v>
      </c>
      <c r="H25" s="2">
        <f t="shared" si="0"/>
        <v>1199.9999999999886</v>
      </c>
      <c r="I25" s="21">
        <f>('Kwh Reading'!J28-'Kwh Reading'!J27)*1000</f>
        <v>610.00000000001364</v>
      </c>
      <c r="J25" s="21">
        <f>('Kwh Reading'!K28-'Kwh Reading'!K27)*1000</f>
        <v>299.99999999995453</v>
      </c>
      <c r="K25" s="21">
        <f>('Kwh Reading'!L28-'Kwh Reading'!L27)*1000</f>
        <v>290.00000000002046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220.00000000002728</v>
      </c>
      <c r="O25" s="2">
        <f>('Kwh Reading'!B28-'Kwh Reading'!B27)*1000000</f>
        <v>900.0000000001229</v>
      </c>
      <c r="P25" s="21">
        <f>('Kwh Reading'!M28-'Kwh Reading'!M27)*1000</f>
        <v>330.00000000004093</v>
      </c>
      <c r="Q25" s="2">
        <f>('Kwh Reading'!H28-'Kwh Reading'!H27)*1000000</f>
        <v>399.99999999995595</v>
      </c>
      <c r="R25" s="2">
        <f>('Kwh Reading'!P28-'Kwh Reading'!P27)*1000000</f>
        <v>399.99999999995595</v>
      </c>
      <c r="S25" s="21">
        <f>('Kwh Reading'!G28-'Kwh Reading'!G27)*1000000</f>
        <v>499.99999999994492</v>
      </c>
      <c r="T25" s="21">
        <f>('Kwh Reading'!Q28-'Kwh Reading'!Q27)*1000</f>
        <v>250</v>
      </c>
      <c r="U25" s="21">
        <f>('Kwh Reading'!N28-'Kwh Reading'!N27)*1000</f>
        <v>269.99999999998181</v>
      </c>
      <c r="V25" s="21">
        <f>'Kwh Reading'!E28-'Kwh Reading'!E27</f>
        <v>2086.0300000011921</v>
      </c>
      <c r="W25" s="21">
        <f>'Kwh Reading'!D28-'Kwh Reading'!D27</f>
        <v>1184.859999999986</v>
      </c>
      <c r="X25" s="21">
        <f>('Kwh Reading'!O28-'Kwh Reading'!O27)*1000</f>
        <v>199.99999999998863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-699180</v>
      </c>
      <c r="F26" s="21">
        <f>('Kwh Reading'!F29-'Kwh Reading'!F28)*1000000</f>
        <v>-3871300</v>
      </c>
      <c r="G26" s="21">
        <f>('Kwh Reading'!C29-'Kwh Reading'!C28)*1000</f>
        <v>-374510</v>
      </c>
      <c r="H26" s="2">
        <f t="shared" si="0"/>
        <v>-1497780</v>
      </c>
      <c r="I26" s="21">
        <f>('Kwh Reading'!J29-'Kwh Reading'!J28)*1000</f>
        <v>-587370</v>
      </c>
      <c r="J26" s="21">
        <f>('Kwh Reading'!K29-'Kwh Reading'!K28)*1000</f>
        <v>-536060</v>
      </c>
      <c r="K26" s="21">
        <f>('Kwh Reading'!L29-'Kwh Reading'!L28)*1000</f>
        <v>-374350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-407290</v>
      </c>
      <c r="O26" s="2">
        <f>('Kwh Reading'!B29-'Kwh Reading'!B28)*1000000</f>
        <v>-1628100</v>
      </c>
      <c r="P26" s="21">
        <f>('Kwh Reading'!M29-'Kwh Reading'!M28)*1000</f>
        <v>-898890</v>
      </c>
      <c r="Q26" s="2">
        <f>('Kwh Reading'!H29-'Kwh Reading'!H28)*1000000</f>
        <v>-1124500</v>
      </c>
      <c r="R26" s="2">
        <f>('Kwh Reading'!P29-'Kwh Reading'!P28)*1000000</f>
        <v>-1088400</v>
      </c>
      <c r="S26" s="21">
        <f>('Kwh Reading'!G29-'Kwh Reading'!G28)*1000000</f>
        <v>-1193800</v>
      </c>
      <c r="T26" s="21">
        <f>('Kwh Reading'!Q29-'Kwh Reading'!Q28)*1000</f>
        <v>-788700</v>
      </c>
      <c r="U26" s="21">
        <f>('Kwh Reading'!N29-'Kwh Reading'!N28)*1000</f>
        <v>-811790</v>
      </c>
      <c r="V26" s="21">
        <f>'Kwh Reading'!E29-'Kwh Reading'!E28</f>
        <v>-9705318.1500000004</v>
      </c>
      <c r="W26" s="21">
        <f>'Kwh Reading'!D29-'Kwh Reading'!D28</f>
        <v>-172705.4</v>
      </c>
      <c r="X26" s="21">
        <f>('Kwh Reading'!O29-'Kwh Reading'!O28)*1000</f>
        <v>-274800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-686220.00000000012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-568930</v>
      </c>
      <c r="J33" s="60">
        <f t="shared" ref="J33:X33" si="2">SUM(J2:J31)</f>
        <v>-525350.00000000012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-400019.99999999994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28" sqref="T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1.6272</v>
      </c>
      <c r="C27" s="85">
        <v>374.25</v>
      </c>
      <c r="D27" s="85">
        <v>171520.54</v>
      </c>
      <c r="E27" s="85">
        <v>9703232.1199999992</v>
      </c>
      <c r="F27" s="85">
        <v>3.8689</v>
      </c>
      <c r="G27" s="85">
        <v>1.1933</v>
      </c>
      <c r="H27" s="85">
        <v>1.1241000000000001</v>
      </c>
      <c r="I27" s="85">
        <v>407.07</v>
      </c>
      <c r="J27" s="85">
        <v>586.76</v>
      </c>
      <c r="K27" s="85">
        <v>535.76</v>
      </c>
      <c r="L27" s="85">
        <v>374.06</v>
      </c>
      <c r="M27" s="85">
        <v>898.56</v>
      </c>
      <c r="N27" s="85">
        <v>811.52</v>
      </c>
      <c r="O27" s="85">
        <v>274.60000000000002</v>
      </c>
      <c r="P27" s="85">
        <v>1.0880000000000001</v>
      </c>
      <c r="Q27" s="85">
        <v>788.45</v>
      </c>
      <c r="R27" s="85">
        <v>0</v>
      </c>
      <c r="S27" s="85">
        <v>0</v>
      </c>
      <c r="T27" s="85">
        <v>698.67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1.6281000000000001</v>
      </c>
      <c r="C28" s="85">
        <v>374.51</v>
      </c>
      <c r="D28" s="85">
        <v>172705.4</v>
      </c>
      <c r="E28" s="85">
        <v>9705318.1500000004</v>
      </c>
      <c r="F28" s="85">
        <v>3.8713000000000002</v>
      </c>
      <c r="G28" s="85">
        <v>1.1938</v>
      </c>
      <c r="H28" s="85">
        <v>1.1245000000000001</v>
      </c>
      <c r="I28" s="85">
        <v>407.29</v>
      </c>
      <c r="J28" s="85">
        <v>587.37</v>
      </c>
      <c r="K28" s="85">
        <v>536.05999999999995</v>
      </c>
      <c r="L28" s="85">
        <v>374.35</v>
      </c>
      <c r="M28" s="85">
        <v>898.89</v>
      </c>
      <c r="N28" s="85">
        <v>811.79</v>
      </c>
      <c r="O28" s="85">
        <v>274.8</v>
      </c>
      <c r="P28" s="85">
        <v>1.0884</v>
      </c>
      <c r="Q28" s="85">
        <v>788.7</v>
      </c>
      <c r="R28" s="85">
        <v>0</v>
      </c>
      <c r="S28" s="85">
        <v>0</v>
      </c>
      <c r="T28" s="85">
        <v>699.18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6" sqref="C26:J26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18670.000000000178</v>
      </c>
      <c r="C25" s="1">
        <f>Submeters!E24</f>
        <v>490.00000000000909</v>
      </c>
      <c r="D25" s="1">
        <f>Submeters!F24</f>
        <v>2499.9999999999468</v>
      </c>
      <c r="E25" s="1">
        <f>Submeters!G24</f>
        <v>250</v>
      </c>
      <c r="F25" s="1">
        <f>(Submeters!I24+Submeters!J24+Submeters!K24)</f>
        <v>1160.000000000025</v>
      </c>
      <c r="G25" s="1">
        <f>(Submeters!L24+Submeters!M24)</f>
        <v>0</v>
      </c>
      <c r="H25" s="1">
        <f>(Submeters!N24+Submeters!O24)</f>
        <v>1379.9999999998515</v>
      </c>
      <c r="I25" s="1">
        <f>(Submeters!P24+Submeters!Q24+Submeters!R24+Submeters!S24+Submeters!T24+Submeters!U24)</f>
        <v>2470.0000000003402</v>
      </c>
      <c r="J25" s="1">
        <f>(Submeters!V24+Submeters!W24)</f>
        <v>4019.2299999987299</v>
      </c>
      <c r="K25" s="1">
        <f>Submeters!X24</f>
        <v>220.00000000002728</v>
      </c>
      <c r="L25" s="24">
        <f t="shared" si="0"/>
        <v>6180.7700000012464</v>
      </c>
    </row>
    <row r="26" spans="1:12" x14ac:dyDescent="0.25">
      <c r="A26" s="10">
        <f>'Kwh Reading'!A27</f>
        <v>44950</v>
      </c>
      <c r="B26" s="65">
        <f>TOTAL!E25</f>
        <v>16040.000000000822</v>
      </c>
      <c r="C26" s="1">
        <f>Submeters!E25</f>
        <v>509.99999999999091</v>
      </c>
      <c r="D26" s="1">
        <f>Submeters!F25</f>
        <v>2400.0000000001796</v>
      </c>
      <c r="E26" s="1">
        <f>Submeters!G25</f>
        <v>259.99999999999091</v>
      </c>
      <c r="F26" s="1">
        <f>(Submeters!I25+Submeters!J25+Submeters!K25)</f>
        <v>1199.9999999999886</v>
      </c>
      <c r="G26" s="1">
        <f>(Submeters!L25+Submeters!M25)</f>
        <v>0</v>
      </c>
      <c r="H26" s="1">
        <f>(Submeters!N25+Submeters!O25)</f>
        <v>1120.0000000001501</v>
      </c>
      <c r="I26" s="1">
        <f>(Submeters!P25+Submeters!Q25+Submeters!R25+Submeters!S25+Submeters!T25+Submeters!U25)</f>
        <v>2149.9999999998795</v>
      </c>
      <c r="J26" s="1">
        <f>(Submeters!V25+Submeters!W25)</f>
        <v>3270.8900000011781</v>
      </c>
      <c r="K26" s="1">
        <f>Submeters!X25</f>
        <v>199.99999999998863</v>
      </c>
      <c r="L26" s="24">
        <f t="shared" si="0"/>
        <v>4929.1099999994731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-699180</v>
      </c>
      <c r="D27" s="1">
        <f>Submeters!F26</f>
        <v>-3871300</v>
      </c>
      <c r="E27" s="1">
        <f>Submeters!G26</f>
        <v>-374510</v>
      </c>
      <c r="F27" s="1">
        <f>(Submeters!I26+Submeters!J26+Submeters!K26)</f>
        <v>-1497780</v>
      </c>
      <c r="G27" s="1">
        <f>(Submeters!L26+Submeters!M26)</f>
        <v>0</v>
      </c>
      <c r="H27" s="1">
        <f>(Submeters!N26+Submeters!O26)</f>
        <v>-2035390</v>
      </c>
      <c r="I27" s="1">
        <f>(Submeters!P26+Submeters!Q26+Submeters!R26+Submeters!S26+Submeters!T26+Submeters!U26)</f>
        <v>-5906080</v>
      </c>
      <c r="J27" s="1">
        <f>(Submeters!V26+Submeters!W26)</f>
        <v>-9878023.5500000007</v>
      </c>
      <c r="K27" s="1">
        <f>Submeters!X26</f>
        <v>-274800</v>
      </c>
      <c r="L27" s="24">
        <f t="shared" si="0"/>
        <v>24537063.550000001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483540.00000000116</v>
      </c>
      <c r="C33" s="60">
        <f>SUM(C3:C32)</f>
        <v>-686220.00000000012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-9776594.3900000006</v>
      </c>
      <c r="K33" s="60">
        <f t="shared" si="1"/>
        <v>-268880</v>
      </c>
      <c r="L33" s="60">
        <f t="shared" si="1"/>
        <v>24692864.390000001</v>
      </c>
      <c r="M33" s="66">
        <f>C33+D33+E33+F33+G33+H33+I33+J33+K33+L33</f>
        <v>483540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S27" sqref="S27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0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0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0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0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0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0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0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0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0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0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30486</v>
      </c>
      <c r="C26" s="25">
        <v>47108</v>
      </c>
      <c r="D26" s="25">
        <v>306017</v>
      </c>
      <c r="E26" s="25">
        <v>288404</v>
      </c>
      <c r="F26" s="25">
        <v>27033</v>
      </c>
      <c r="G26" s="25">
        <v>125471</v>
      </c>
      <c r="H26" s="45">
        <v>1603</v>
      </c>
      <c r="I26" s="109">
        <v>80742</v>
      </c>
      <c r="J26" s="25">
        <v>24228</v>
      </c>
      <c r="K26" s="25">
        <v>0</v>
      </c>
      <c r="L26" s="25">
        <v>19674</v>
      </c>
      <c r="M26" s="25">
        <v>28909</v>
      </c>
      <c r="N26" s="25">
        <v>9167</v>
      </c>
      <c r="O26" s="25">
        <v>2533</v>
      </c>
      <c r="P26" s="25">
        <v>33298</v>
      </c>
      <c r="Q26" s="25">
        <v>2491</v>
      </c>
      <c r="R26" s="25">
        <v>1127</v>
      </c>
    </row>
    <row r="27" spans="1:21" x14ac:dyDescent="0.25">
      <c r="A27" s="44">
        <v>44951</v>
      </c>
      <c r="B27" s="25">
        <v>30634</v>
      </c>
      <c r="C27" s="25">
        <v>47299</v>
      </c>
      <c r="D27" s="25">
        <v>306168</v>
      </c>
      <c r="E27" s="25">
        <v>288487</v>
      </c>
      <c r="F27" s="25">
        <v>27067</v>
      </c>
      <c r="G27" s="25">
        <v>125497</v>
      </c>
      <c r="H27" s="45">
        <v>1626</v>
      </c>
      <c r="I27" s="109">
        <v>80768</v>
      </c>
      <c r="J27" s="25">
        <v>24234</v>
      </c>
      <c r="K27" s="25"/>
      <c r="L27" s="25">
        <v>19676</v>
      </c>
      <c r="M27" s="25">
        <v>28917</v>
      </c>
      <c r="N27" s="25">
        <v>9171</v>
      </c>
      <c r="O27" s="25">
        <v>2535</v>
      </c>
      <c r="P27" s="25">
        <v>33315</v>
      </c>
      <c r="Q27" s="25">
        <v>2500</v>
      </c>
      <c r="R27" s="25">
        <v>1131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B1" zoomScale="90" zoomScaleNormal="90" workbookViewId="0">
      <pane ySplit="3" topLeftCell="A10" activePane="bottomLeft" state="frozen"/>
      <selection activeCell="C25" sqref="C25"/>
      <selection pane="bottomLeft" activeCell="Y27" sqref="Y27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25</v>
      </c>
      <c r="J12" s="55">
        <f t="shared" si="5"/>
        <v>5.8411214953271028E-2</v>
      </c>
      <c r="K12" s="71">
        <f>('Water Reading'!I12-'Water Reading'!I11)-('Water Reading'!P12-'Water Reading'!P11)</f>
        <v>6</v>
      </c>
      <c r="L12" s="55">
        <f t="shared" si="6"/>
        <v>1.4018691588785047E-2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327</v>
      </c>
      <c r="C26" s="53">
        <f>('Water Reading'!B26-'Water Reading'!B25)+('Water Reading'!C26-'Water Reading'!C25)</f>
        <v>328</v>
      </c>
      <c r="D26" s="54">
        <f t="shared" si="2"/>
        <v>1.0030581039755351</v>
      </c>
      <c r="E26" s="68">
        <f>'Water Reading'!H26-'Water Reading'!H25</f>
        <v>34</v>
      </c>
      <c r="F26" s="69">
        <f t="shared" si="3"/>
        <v>0.10365853658536585</v>
      </c>
      <c r="G26" s="73">
        <f>('Water Reading'!D26-'Water Reading'!D25)-('Water Reading'!R26-'Water Reading'!R25)-('Water Reading'!Q26-'Water Reading'!Q25)</f>
        <v>135</v>
      </c>
      <c r="H26" s="69">
        <f t="shared" si="4"/>
        <v>0.41158536585365851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5</v>
      </c>
      <c r="L26" s="55">
        <f t="shared" si="6"/>
        <v>1.524390243902439E-2</v>
      </c>
      <c r="M26" s="70">
        <f>'Water Reading'!R26-'Water Reading'!R25</f>
        <v>5</v>
      </c>
      <c r="N26" s="72">
        <f t="shared" si="7"/>
        <v>1.524390243902439E-2</v>
      </c>
      <c r="O26" s="70">
        <f>'Water Reading'!Q26-'Water Reading'!Q25</f>
        <v>8</v>
      </c>
      <c r="P26" s="77">
        <f t="shared" si="8"/>
        <v>2.4390243902439025E-2</v>
      </c>
      <c r="Q26" s="71">
        <f>'Water Reading'!F26-'Water Reading'!F25</f>
        <v>31</v>
      </c>
      <c r="R26" s="78">
        <f t="shared" si="9"/>
        <v>9.451219512195122E-2</v>
      </c>
      <c r="S26" s="70">
        <f>'Water Reading'!E26-'Water Reading'!E25</f>
        <v>78</v>
      </c>
      <c r="T26" s="78">
        <f t="shared" si="10"/>
        <v>0.23780487804878048</v>
      </c>
      <c r="U26" s="70">
        <f>'Water Reading'!G26-'Water Reading'!G25</f>
        <v>24</v>
      </c>
      <c r="V26" s="78">
        <f t="shared" si="11"/>
        <v>7.3170731707317069E-2</v>
      </c>
      <c r="W26" s="71">
        <f>'Water Reading'!J26-'Water Reading'!J25</f>
        <v>7</v>
      </c>
      <c r="X26" s="78">
        <f t="shared" si="12"/>
        <v>2.1341463414634148E-2</v>
      </c>
      <c r="Y26" s="53">
        <f t="shared" si="0"/>
        <v>327</v>
      </c>
      <c r="Z26" s="54">
        <f t="shared" si="1"/>
        <v>1</v>
      </c>
    </row>
    <row r="27" spans="1:26" x14ac:dyDescent="0.25">
      <c r="A27" s="6">
        <f>'Water Reading'!A26</f>
        <v>44950</v>
      </c>
      <c r="B27" s="52">
        <f>TOTAL!I25</f>
        <v>349</v>
      </c>
      <c r="C27" s="53">
        <f>('Water Reading'!B27-'Water Reading'!B26)+('Water Reading'!C27-'Water Reading'!C26)</f>
        <v>339</v>
      </c>
      <c r="D27" s="54">
        <f t="shared" si="2"/>
        <v>0.97134670487106012</v>
      </c>
      <c r="E27" s="68">
        <f>'Water Reading'!H27-'Water Reading'!H26</f>
        <v>23</v>
      </c>
      <c r="F27" s="69">
        <f t="shared" si="3"/>
        <v>6.7846607669616518E-2</v>
      </c>
      <c r="G27" s="73">
        <f>('Water Reading'!D27-'Water Reading'!D26)-('Water Reading'!R27-'Water Reading'!R26)-('Water Reading'!Q27-'Water Reading'!Q26)</f>
        <v>138</v>
      </c>
      <c r="H27" s="69">
        <f t="shared" si="4"/>
        <v>0.40707964601769914</v>
      </c>
      <c r="I27" s="70">
        <f>'Water Reading'!P27-'Water Reading'!P26</f>
        <v>17</v>
      </c>
      <c r="J27" s="55">
        <f t="shared" si="5"/>
        <v>5.0147492625368731E-2</v>
      </c>
      <c r="K27" s="71">
        <f>('Water Reading'!I27-'Water Reading'!I26)-('Water Reading'!P27-'Water Reading'!P26)</f>
        <v>9</v>
      </c>
      <c r="L27" s="55">
        <f t="shared" si="6"/>
        <v>2.6548672566371681E-2</v>
      </c>
      <c r="M27" s="70">
        <f>'Water Reading'!R27-'Water Reading'!R26</f>
        <v>4</v>
      </c>
      <c r="N27" s="72">
        <f t="shared" si="7"/>
        <v>1.1799410029498525E-2</v>
      </c>
      <c r="O27" s="70">
        <f>'Water Reading'!Q27-'Water Reading'!Q26</f>
        <v>9</v>
      </c>
      <c r="P27" s="77">
        <f t="shared" si="8"/>
        <v>2.6548672566371681E-2</v>
      </c>
      <c r="Q27" s="71">
        <f>'Water Reading'!F27-'Water Reading'!F26</f>
        <v>34</v>
      </c>
      <c r="R27" s="78">
        <f t="shared" si="9"/>
        <v>0.10029498525073746</v>
      </c>
      <c r="S27" s="70">
        <f>'Water Reading'!E27-'Water Reading'!E26</f>
        <v>83</v>
      </c>
      <c r="T27" s="78">
        <f t="shared" si="10"/>
        <v>0.24483775811209441</v>
      </c>
      <c r="U27" s="70">
        <f>'Water Reading'!G27-'Water Reading'!G26</f>
        <v>26</v>
      </c>
      <c r="V27" s="78">
        <f t="shared" si="11"/>
        <v>7.6696165191740412E-2</v>
      </c>
      <c r="W27" s="71">
        <f>'Water Reading'!J27-'Water Reading'!J26</f>
        <v>6</v>
      </c>
      <c r="X27" s="78">
        <f t="shared" si="12"/>
        <v>1.7699115044247787E-2</v>
      </c>
      <c r="Y27" s="53">
        <f t="shared" si="0"/>
        <v>349</v>
      </c>
      <c r="Z27" s="54">
        <f t="shared" si="1"/>
        <v>1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-77933</v>
      </c>
      <c r="D28" s="54" t="e">
        <f t="shared" si="2"/>
        <v>#DIV/0!</v>
      </c>
      <c r="E28" s="68">
        <f>'Water Reading'!H28-'Water Reading'!H27</f>
        <v>-1626</v>
      </c>
      <c r="F28" s="69">
        <f t="shared" si="3"/>
        <v>2.0864075552076783E-2</v>
      </c>
      <c r="G28" s="73">
        <f>('Water Reading'!D28-'Water Reading'!D27)-('Water Reading'!R28-'Water Reading'!R27)-('Water Reading'!Q28-'Water Reading'!Q27)</f>
        <v>-302537</v>
      </c>
      <c r="H28" s="69">
        <f t="shared" si="4"/>
        <v>3.8820140376990491</v>
      </c>
      <c r="I28" s="70">
        <f>'Water Reading'!P28-'Water Reading'!P27</f>
        <v>-33315</v>
      </c>
      <c r="J28" s="55">
        <f t="shared" si="5"/>
        <v>0.42748258119153631</v>
      </c>
      <c r="K28" s="94">
        <f>('Water Reading'!I28-'Water Reading'!I27)-('Water Reading'!P28-'Water Reading'!P27)</f>
        <v>-47453</v>
      </c>
      <c r="L28" s="100">
        <f t="shared" si="6"/>
        <v>0.60889481990940941</v>
      </c>
      <c r="M28" s="70">
        <f>'Water Reading'!R28-'Water Reading'!R27</f>
        <v>-1131</v>
      </c>
      <c r="N28" s="72">
        <f t="shared" si="7"/>
        <v>1.4512465836038648E-2</v>
      </c>
      <c r="O28" s="70">
        <f>'Water Reading'!Q28-'Water Reading'!Q27</f>
        <v>-2500</v>
      </c>
      <c r="P28" s="77">
        <f t="shared" si="8"/>
        <v>3.207883694968755E-2</v>
      </c>
      <c r="Q28" s="94">
        <f>'Water Reading'!F28-'Water Reading'!F27</f>
        <v>-27067</v>
      </c>
      <c r="R28" s="78">
        <f t="shared" si="9"/>
        <v>0.34731115188687717</v>
      </c>
      <c r="S28" s="70">
        <f>'Water Reading'!E28-'Water Reading'!E27</f>
        <v>-288487</v>
      </c>
      <c r="T28" s="78">
        <f t="shared" si="10"/>
        <v>3.701730974041805</v>
      </c>
      <c r="U28" s="70">
        <f>'Water Reading'!G28-'Water Reading'!G27</f>
        <v>-125497</v>
      </c>
      <c r="V28" s="78">
        <f t="shared" si="11"/>
        <v>1.6103191202699756</v>
      </c>
      <c r="W28" s="71">
        <f>'Water Reading'!J28-'Water Reading'!J27</f>
        <v>-24234</v>
      </c>
      <c r="X28" s="78">
        <f t="shared" si="12"/>
        <v>0.31095941385549125</v>
      </c>
      <c r="Y28" s="53">
        <f t="shared" si="0"/>
        <v>-853847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2023-01-25T05:55:39Z</dcterms:modified>
  <cp:category/>
  <cp:contentStatus/>
</cp:coreProperties>
</file>