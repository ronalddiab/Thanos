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CAD4560F-C49F-4F30-87AC-3B0E7D3D7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<sst xmlns="http://schemas.openxmlformats.org/spreadsheetml/2006/main" count="201" uniqueCount="128">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</sst>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-222830.00000000003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26624"/>
        <c:axId val="226028160"/>
      </c:barChart>
      <c:catAx>
        <c:axId val="226026624"/>
        <c:scaling>
          <c:orientation val="minMax"/>
        </c:scaling>
        <c:delete val="1"/>
        <c:axPos val="b"/>
        <c:majorTickMark val="none"/>
        <c:minorTickMark val="none"/>
        <c:tickLblPos val="nextTo"/>
        <c:crossAx val="226028160"/>
        <c:crosses val="autoZero"/>
        <c:auto val="1"/>
        <c:lblAlgn val="ctr"/>
        <c:lblOffset val="100"/>
        <c:noMultiLvlLbl val="0"/>
      </c:catAx>
      <c:valAx>
        <c:axId val="22602816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6026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A20" sqref="A20:XFD2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/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/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>
        <v>18020.000000000211</v>
      </c>
      <c r="F17" s="48">
        <v>0.14000000000000001</v>
      </c>
      <c r="G17" s="107">
        <v>6325</v>
      </c>
      <c r="H17" s="48">
        <v>0.4453480216384178</v>
      </c>
      <c r="I17" s="65">
        <v>281</v>
      </c>
      <c r="J17" s="76">
        <v>0.4</v>
      </c>
      <c r="K17" s="108"/>
      <c r="L17" s="76">
        <v>1.5287027707808565</v>
      </c>
      <c r="M17" s="72">
        <v>14</v>
      </c>
      <c r="N17" s="72">
        <v>41</v>
      </c>
      <c r="O17" s="72">
        <v>104</v>
      </c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>
        <v>28610.000000000124</v>
      </c>
      <c r="F18" s="48">
        <v>0.14000000000000001</v>
      </c>
      <c r="G18" s="107">
        <v>6346</v>
      </c>
      <c r="H18" s="48">
        <v>0.4453480216384178</v>
      </c>
      <c r="I18" s="65">
        <v>346</v>
      </c>
      <c r="J18" s="76">
        <v>0.4</v>
      </c>
      <c r="K18" s="108"/>
      <c r="L18" s="76">
        <v>1.5287027707808565</v>
      </c>
      <c r="M18" s="72">
        <v>13</v>
      </c>
      <c r="N18" s="72">
        <v>33</v>
      </c>
      <c r="O18" s="72">
        <v>90</v>
      </c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>
        <v>23489.999999999327</v>
      </c>
      <c r="F19" s="48">
        <v>0.14000000000000001</v>
      </c>
      <c r="G19" s="107">
        <v>6276</v>
      </c>
      <c r="H19" s="48">
        <v>0.4453480216384178</v>
      </c>
      <c r="I19" s="65">
        <v>327</v>
      </c>
      <c r="J19" s="76">
        <v>0.4</v>
      </c>
      <c r="K19" s="108"/>
      <c r="L19" s="76">
        <v>1.5287027707808565</v>
      </c>
      <c r="M19" s="72">
        <v>17</v>
      </c>
      <c r="N19" s="72">
        <v>41</v>
      </c>
      <c r="O19" s="72">
        <v>120</v>
      </c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>
        <v>23380.000000000109</v>
      </c>
      <c r="F20" s="48">
        <v>0.14000000000000001</v>
      </c>
      <c r="G20" s="107">
        <v>6239</v>
      </c>
      <c r="H20" s="48">
        <v>0.4453480216384178</v>
      </c>
      <c r="I20" s="65">
        <v>283</v>
      </c>
      <c r="J20" s="76">
        <v>0.4</v>
      </c>
      <c r="K20" s="108"/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/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/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/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/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/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/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/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/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/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/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/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437210</v>
      </c>
      <c r="F33" s="104">
        <v>0</v>
      </c>
      <c r="G33" s="101">
        <f>SUM(G2:G32)</f>
        <v>119434</v>
      </c>
      <c r="H33" s="102">
        <v>0</v>
      </c>
      <c r="I33" s="103">
        <f>SUM(I2:I32)</f>
        <v>6034</v>
      </c>
      <c r="J33" s="104">
        <v>0</v>
      </c>
      <c r="K33" s="105">
        <v>0</v>
      </c>
      <c r="L33" s="102">
        <v>0</v>
      </c>
      <c r="M33" s="106">
        <f t="shared" ref="M33:O33" si="1">SUM(M2:M32)</f>
        <v>275</v>
      </c>
      <c r="N33" s="106">
        <f t="shared" si="1"/>
        <v>696</v>
      </c>
      <c r="O33" s="106">
        <f t="shared" si="1"/>
        <v>2017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23" sqref="T2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>
        <v>14</v>
      </c>
      <c r="W19" s="71">
        <v>41</v>
      </c>
      <c r="X19" s="71">
        <v>104</v>
      </c>
      <c r="Y19" s="17"/>
    </row>
    <row r="20" spans="1:25" ht="21" customHeight="1" x14ac:dyDescent="0.25">
      <c r="A20" s="8">
        <v>44364</v>
      </c>
      <c r="B20" s="1">
        <v>962.42</v>
      </c>
      <c r="C20" s="1">
        <v>226.4</v>
      </c>
      <c r="D20" s="1">
        <v>7446082.1799999997</v>
      </c>
      <c r="E20" s="1">
        <v>8139013.1500000004</v>
      </c>
      <c r="F20" s="1">
        <v>2.3464</v>
      </c>
      <c r="G20" s="1">
        <v>734.46</v>
      </c>
      <c r="H20" s="1">
        <v>615.58000000000004</v>
      </c>
      <c r="I20" s="1">
        <v>231.45</v>
      </c>
      <c r="J20" s="1">
        <v>313.47000000000003</v>
      </c>
      <c r="K20" s="1">
        <v>337.19</v>
      </c>
      <c r="L20" s="1">
        <v>231.25</v>
      </c>
      <c r="M20" s="1">
        <v>507.63</v>
      </c>
      <c r="N20" s="1">
        <v>462.05</v>
      </c>
      <c r="O20" s="1">
        <v>148.25</v>
      </c>
      <c r="P20" s="1">
        <v>604.21</v>
      </c>
      <c r="Q20" s="1">
        <v>450.97</v>
      </c>
      <c r="R20" s="1">
        <v>153.56</v>
      </c>
      <c r="S20" s="1">
        <v>113.48</v>
      </c>
      <c r="T20" s="1">
        <v>414.68</v>
      </c>
      <c r="V20" s="71">
        <v>13</v>
      </c>
      <c r="W20" s="71">
        <v>33</v>
      </c>
      <c r="X20" s="71">
        <v>90</v>
      </c>
      <c r="Y20" s="17"/>
    </row>
    <row r="21" spans="1:25" ht="21" customHeight="1" x14ac:dyDescent="0.25">
      <c r="A21" s="8">
        <v>44365</v>
      </c>
      <c r="B21" s="1">
        <v>963.89</v>
      </c>
      <c r="C21" s="1">
        <v>226.6</v>
      </c>
      <c r="D21" s="1">
        <v>7449267.9100000001</v>
      </c>
      <c r="E21" s="1">
        <v>8142139.4199999999</v>
      </c>
      <c r="F21" s="1">
        <v>2.3489</v>
      </c>
      <c r="G21" s="1">
        <v>735.35</v>
      </c>
      <c r="H21" s="1">
        <v>616</v>
      </c>
      <c r="I21" s="1">
        <v>231.74</v>
      </c>
      <c r="J21" s="1">
        <v>313.72000000000003</v>
      </c>
      <c r="K21" s="1">
        <v>337.46</v>
      </c>
      <c r="L21" s="1">
        <v>231.44</v>
      </c>
      <c r="M21" s="1">
        <v>508.5</v>
      </c>
      <c r="N21" s="1">
        <v>462.86</v>
      </c>
      <c r="O21" s="1">
        <v>148.52000000000001</v>
      </c>
      <c r="P21" s="1">
        <v>605.28</v>
      </c>
      <c r="Q21" s="1">
        <v>451.73</v>
      </c>
      <c r="R21" s="1">
        <v>153.82</v>
      </c>
      <c r="S21" s="1">
        <v>113.56</v>
      </c>
      <c r="T21" s="1">
        <v>415.1</v>
      </c>
      <c r="V21" s="71">
        <v>17</v>
      </c>
      <c r="W21" s="71">
        <v>41</v>
      </c>
      <c r="X21" s="71">
        <v>120</v>
      </c>
      <c r="Y21" s="17"/>
    </row>
    <row r="22" spans="1:25" ht="21" customHeight="1" x14ac:dyDescent="0.25">
      <c r="A22" s="8">
        <v>44366</v>
      </c>
      <c r="B22" s="1">
        <v>965.35</v>
      </c>
      <c r="C22" s="1">
        <v>226.83</v>
      </c>
      <c r="D22" s="1">
        <v>7451994.2999999998</v>
      </c>
      <c r="E22" s="1">
        <v>8145341.4699999997</v>
      </c>
      <c r="F22" s="1">
        <v>2.3515000000000001</v>
      </c>
      <c r="G22" s="1">
        <v>736.29</v>
      </c>
      <c r="H22" s="1">
        <v>616.39</v>
      </c>
      <c r="I22" s="1">
        <v>232.13</v>
      </c>
      <c r="J22" s="1">
        <v>313.92</v>
      </c>
      <c r="K22" s="1">
        <v>337.71</v>
      </c>
      <c r="L22" s="1">
        <v>231.63</v>
      </c>
      <c r="M22" s="1">
        <v>509.35</v>
      </c>
      <c r="N22" s="1">
        <v>463.65</v>
      </c>
      <c r="O22" s="1">
        <v>148.79</v>
      </c>
      <c r="P22" s="1">
        <v>606.41999999999996</v>
      </c>
      <c r="Q22" s="1">
        <v>452.59</v>
      </c>
      <c r="R22" s="28">
        <v>154.1</v>
      </c>
      <c r="S22" s="28">
        <v>113.65</v>
      </c>
      <c r="T22" s="1">
        <v>415.4</v>
      </c>
      <c r="V22" s="71"/>
      <c r="W22" s="71"/>
      <c r="X22" s="71"/>
      <c r="Y22" s="17"/>
    </row>
    <row r="23" spans="1:25" ht="21" customHeight="1" x14ac:dyDescent="0.25">
      <c r="A23" s="8">
        <v>44367</v>
      </c>
      <c r="B23" s="1">
        <v>966.66</v>
      </c>
      <c r="C23" s="1">
        <v>227.63</v>
      </c>
      <c r="D23" s="1">
        <v>7454597</v>
      </c>
      <c r="E23" s="1">
        <v>8148925.7000000002</v>
      </c>
      <c r="F23" s="1">
        <v>2.3538999999999999</v>
      </c>
      <c r="G23" s="1">
        <v>737.18</v>
      </c>
      <c r="H23" s="1">
        <v>616.82000000000005</v>
      </c>
      <c r="I23" s="1">
        <v>232.48</v>
      </c>
      <c r="J23" s="1">
        <v>314.05</v>
      </c>
      <c r="K23" s="1">
        <v>337.92</v>
      </c>
      <c r="L23" s="1">
        <v>231.81</v>
      </c>
      <c r="M23" s="1">
        <v>510.09</v>
      </c>
      <c r="N23" s="1">
        <v>464.4</v>
      </c>
      <c r="O23" s="1">
        <v>149.01</v>
      </c>
      <c r="P23" s="1">
        <v>607.51</v>
      </c>
      <c r="Q23" s="1">
        <v>453.36</v>
      </c>
      <c r="R23" s="1">
        <v>154.41999999999999</v>
      </c>
      <c r="S23" s="1">
        <v>113.79</v>
      </c>
      <c r="T23" s="1">
        <v>415.86</v>
      </c>
      <c r="V23" s="71"/>
      <c r="W23" s="71"/>
      <c r="X23" s="71"/>
      <c r="Y23" s="17"/>
    </row>
    <row r="24" spans="1:25" ht="21" customHeight="1" x14ac:dyDescent="0.25">
      <c r="A24" s="8">
        <v>44368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44371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44372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44373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44374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44375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44377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44378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275</v>
      </c>
      <c r="W35" s="78">
        <f>SUM(W4:W34)</f>
        <v>696</v>
      </c>
      <c r="X35" s="78">
        <f>SUM(X4:X34)</f>
        <v>2017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O12" sqref="O1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18020.000000000211</v>
      </c>
      <c r="C19" s="4">
        <f>('Kwh Reading'!T20-'Kwh Reading'!T19)*1000</f>
        <v>500</v>
      </c>
      <c r="D19" s="2">
        <f>('Kwh Reading'!F20-'Kwh Reading'!F19)*1000000</f>
        <v>2600.0000000001578</v>
      </c>
      <c r="E19" s="2">
        <f>('Kwh Reading'!C20-'Kwh Reading'!C19)*1000</f>
        <v>210.00000000000796</v>
      </c>
      <c r="F19" s="2">
        <f>('Kwh Reading'!J20-'Kwh Reading'!J19)*1000</f>
        <v>180.00000000000682</v>
      </c>
      <c r="G19" s="2">
        <f>('Kwh Reading'!K20-'Kwh Reading'!K19)*1000</f>
        <v>199.99999999998863</v>
      </c>
      <c r="H19" s="2">
        <f>('Kwh Reading'!L20-'Kwh Reading'!L19)*1000</f>
        <v>169.99999999998749</v>
      </c>
      <c r="I19" s="2">
        <f>('Kwh Reading'!R20-'Kwh Reading'!R19)*1000</f>
        <v>319.99999999999318</v>
      </c>
      <c r="J19" s="2">
        <f>('Kwh Reading'!S20-'Kwh Reading'!S19)*1000</f>
        <v>280.00000000000114</v>
      </c>
      <c r="K19" s="2">
        <f>('Kwh Reading'!I20-'Kwh Reading'!I19)*1000</f>
        <v>339.99999999997499</v>
      </c>
      <c r="L19" s="2">
        <f>('Kwh Reading'!B20-'Kwh Reading'!B19)*1000</f>
        <v>1399.9999999999773</v>
      </c>
      <c r="M19" s="2">
        <f>('Kwh Reading'!M20-'Kwh Reading'!M19)*1000</f>
        <v>889.99999999998636</v>
      </c>
      <c r="N19" s="2">
        <f>('Kwh Reading'!H20-'Kwh Reading'!H19)*1000</f>
        <v>420.00000000007276</v>
      </c>
      <c r="O19" s="2">
        <f>('Kwh Reading'!P20-'Kwh Reading'!P19)*1000</f>
        <v>1200.0000000000455</v>
      </c>
      <c r="P19" s="2">
        <f>('Kwh Reading'!G20-'Kwh Reading'!G19)*1000</f>
        <v>910.00000000008185</v>
      </c>
      <c r="Q19" s="2">
        <f>('Kwh Reading'!Q20-'Kwh Reading'!Q19)*1000</f>
        <v>780.00000000002956</v>
      </c>
      <c r="R19" s="2">
        <f>('Kwh Reading'!N20-'Kwh Reading'!N19)*1000</f>
        <v>800.00000000001137</v>
      </c>
      <c r="S19" s="34">
        <f>'Kwh Reading'!E20-'Kwh Reading'!E19</f>
        <v>3452.7200000006706</v>
      </c>
      <c r="T19" s="34">
        <f>'Kwh Reading'!D20-'Kwh Reading'!D19</f>
        <v>1902.9399999994785</v>
      </c>
      <c r="U19" s="27">
        <f>('Kwh Reading'!O20-'Kwh Reading'!O19)*1000</f>
        <v>250</v>
      </c>
      <c r="V19" s="16">
        <f t="shared" si="1"/>
        <v>1214.3399999997418</v>
      </c>
    </row>
    <row r="20" spans="1:22" x14ac:dyDescent="0.25">
      <c r="A20" s="3">
        <f>'Kwh Reading'!A20</f>
        <v>44364</v>
      </c>
      <c r="B20" s="26">
        <f>TOTAL!E18</f>
        <v>28610.000000000124</v>
      </c>
      <c r="C20" s="4">
        <f>('Kwh Reading'!T21-'Kwh Reading'!T20)*1000</f>
        <v>420.00000000001592</v>
      </c>
      <c r="D20" s="2">
        <f>('Kwh Reading'!F21-'Kwh Reading'!F20)*1000000</f>
        <v>2499.9999999999468</v>
      </c>
      <c r="E20" s="2">
        <f>('Kwh Reading'!C21-'Kwh Reading'!C20)*1000</f>
        <v>199.99999999998863</v>
      </c>
      <c r="F20" s="2">
        <f>('Kwh Reading'!J21-'Kwh Reading'!J20)*1000</f>
        <v>250</v>
      </c>
      <c r="G20" s="2">
        <f>('Kwh Reading'!K21-'Kwh Reading'!K20)*1000</f>
        <v>269.99999999998181</v>
      </c>
      <c r="H20" s="2">
        <f>('Kwh Reading'!L21-'Kwh Reading'!L20)*1000</f>
        <v>189.99999999999773</v>
      </c>
      <c r="I20" s="2">
        <f>('Kwh Reading'!R21-'Kwh Reading'!R20)*1000</f>
        <v>259.99999999999091</v>
      </c>
      <c r="J20" s="2">
        <f>('Kwh Reading'!S21-'Kwh Reading'!S20)*1000</f>
        <v>79.999999999998295</v>
      </c>
      <c r="K20" s="2">
        <f>('Kwh Reading'!I21-'Kwh Reading'!I20)*1000</f>
        <v>290.00000000002046</v>
      </c>
      <c r="L20" s="2">
        <f>('Kwh Reading'!B21-'Kwh Reading'!B20)*1000</f>
        <v>1470.0000000000273</v>
      </c>
      <c r="M20" s="2">
        <f>('Kwh Reading'!M21-'Kwh Reading'!M20)*1000</f>
        <v>870.00000000000455</v>
      </c>
      <c r="N20" s="2">
        <f>('Kwh Reading'!H21-'Kwh Reading'!H20)*1000</f>
        <v>419.99999999995907</v>
      </c>
      <c r="O20" s="2">
        <f>('Kwh Reading'!P21-'Kwh Reading'!P20)*1000</f>
        <v>1069.9999999999363</v>
      </c>
      <c r="P20" s="2">
        <f>('Kwh Reading'!G21-'Kwh Reading'!G20)*1000</f>
        <v>889.99999999998636</v>
      </c>
      <c r="Q20" s="2">
        <f>('Kwh Reading'!Q21-'Kwh Reading'!Q20)*1000</f>
        <v>759.99999999999091</v>
      </c>
      <c r="R20" s="2">
        <f>('Kwh Reading'!N21-'Kwh Reading'!N20)*1000</f>
        <v>810.00000000000227</v>
      </c>
      <c r="S20" s="34">
        <f>'Kwh Reading'!E21-'Kwh Reading'!E20</f>
        <v>3126.269999999553</v>
      </c>
      <c r="T20" s="34">
        <f>'Kwh Reading'!D21-'Kwh Reading'!D20</f>
        <v>3185.730000000447</v>
      </c>
      <c r="U20" s="27">
        <f>('Kwh Reading'!O21-'Kwh Reading'!O20)*1000</f>
        <v>270.00000000001023</v>
      </c>
      <c r="V20" s="16">
        <f t="shared" si="1"/>
        <v>11278.000000000266</v>
      </c>
    </row>
    <row r="21" spans="1:22" ht="16.5" customHeight="1" x14ac:dyDescent="0.25">
      <c r="A21" s="3">
        <f>'Kwh Reading'!A21</f>
        <v>44365</v>
      </c>
      <c r="B21" s="26">
        <f>TOTAL!E19</f>
        <v>23489.999999999327</v>
      </c>
      <c r="C21" s="4">
        <f>('Kwh Reading'!T22-'Kwh Reading'!T21)*1000</f>
        <v>299.99999999995453</v>
      </c>
      <c r="D21" s="2">
        <f>('Kwh Reading'!F22-'Kwh Reading'!F21)*1000000</f>
        <v>2600.0000000001578</v>
      </c>
      <c r="E21" s="2">
        <f>('Kwh Reading'!C22-'Kwh Reading'!C21)*1000</f>
        <v>230.00000000001819</v>
      </c>
      <c r="F21" s="2">
        <f>('Kwh Reading'!J22-'Kwh Reading'!J21)*1000</f>
        <v>199.99999999998863</v>
      </c>
      <c r="G21" s="2">
        <f>('Kwh Reading'!K22-'Kwh Reading'!K21)*1000</f>
        <v>250</v>
      </c>
      <c r="H21" s="2">
        <f>('Kwh Reading'!L22-'Kwh Reading'!L21)*1000</f>
        <v>189.99999999999773</v>
      </c>
      <c r="I21" s="2">
        <f>('Kwh Reading'!R22-'Kwh Reading'!R21)*1000</f>
        <v>280.00000000000114</v>
      </c>
      <c r="J21" s="2">
        <f>('Kwh Reading'!S22-'Kwh Reading'!S21)*1000</f>
        <v>90.000000000003411</v>
      </c>
      <c r="K21" s="2">
        <f>('Kwh Reading'!I22-'Kwh Reading'!I21)*1000</f>
        <v>389.99999999998636</v>
      </c>
      <c r="L21" s="2">
        <f>('Kwh Reading'!B22-'Kwh Reading'!B21)*1000</f>
        <v>1460.0000000000364</v>
      </c>
      <c r="M21" s="2">
        <f>('Kwh Reading'!M22-'Kwh Reading'!M21)*1000</f>
        <v>850.00000000002274</v>
      </c>
      <c r="N21" s="2">
        <f>('Kwh Reading'!H22-'Kwh Reading'!H21)*1000</f>
        <v>389.99999999998636</v>
      </c>
      <c r="O21" s="2">
        <f>('Kwh Reading'!P22-'Kwh Reading'!P21)*1000</f>
        <v>1139.9999999999864</v>
      </c>
      <c r="P21" s="2">
        <f>('Kwh Reading'!G22-'Kwh Reading'!G21)*1000</f>
        <v>939.99999999994088</v>
      </c>
      <c r="Q21" s="2">
        <f>('Kwh Reading'!Q22-'Kwh Reading'!Q21)*1000</f>
        <v>859.9999999999568</v>
      </c>
      <c r="R21" s="2">
        <f>('Kwh Reading'!N22-'Kwh Reading'!N21)*1000</f>
        <v>789.99999999996362</v>
      </c>
      <c r="S21" s="34">
        <f>'Kwh Reading'!E22-'Kwh Reading'!E21</f>
        <v>3202.0499999998137</v>
      </c>
      <c r="T21" s="34">
        <f>'Kwh Reading'!D22-'Kwh Reading'!D21</f>
        <v>2726.3899999996647</v>
      </c>
      <c r="U21" s="27">
        <f>('Kwh Reading'!O22-'Kwh Reading'!O21)*1000</f>
        <v>269.99999999998181</v>
      </c>
      <c r="V21" s="16">
        <f t="shared" si="1"/>
        <v>6331.5599999998667</v>
      </c>
    </row>
    <row r="22" spans="1:22" x14ac:dyDescent="0.25">
      <c r="A22" s="3">
        <f>'Kwh Reading'!A22</f>
        <v>44366</v>
      </c>
      <c r="B22" s="26">
        <f>TOTAL!E20</f>
        <v>23380.000000000109</v>
      </c>
      <c r="C22" s="4">
        <f>('Kwh Reading'!T23-'Kwh Reading'!T22)*1000</f>
        <v>460.00000000003638</v>
      </c>
      <c r="D22" s="2">
        <f>('Kwh Reading'!F23-'Kwh Reading'!F22)*1000000</f>
        <v>2399.9999999997358</v>
      </c>
      <c r="E22" s="2">
        <f>('Kwh Reading'!C23-'Kwh Reading'!C22)*1000</f>
        <v>799.99999999998295</v>
      </c>
      <c r="F22" s="2">
        <f>('Kwh Reading'!J23-'Kwh Reading'!J22)*1000</f>
        <v>129.99999999999545</v>
      </c>
      <c r="G22" s="2">
        <f>('Kwh Reading'!K23-'Kwh Reading'!K22)*1000</f>
        <v>210.00000000003638</v>
      </c>
      <c r="H22" s="2">
        <f>('Kwh Reading'!L23-'Kwh Reading'!L22)*1000</f>
        <v>180.00000000000682</v>
      </c>
      <c r="I22" s="2">
        <f>('Kwh Reading'!R23-'Kwh Reading'!R22)*1000</f>
        <v>319.99999999999318</v>
      </c>
      <c r="J22" s="2">
        <f>('Kwh Reading'!S23-'Kwh Reading'!S22)*1000</f>
        <v>140.00000000000057</v>
      </c>
      <c r="K22" s="2">
        <f>('Kwh Reading'!I23-'Kwh Reading'!I22)*1000</f>
        <v>349.99999999999432</v>
      </c>
      <c r="L22" s="2">
        <f>('Kwh Reading'!B23-'Kwh Reading'!B22)*1000</f>
        <v>1309.9999999999454</v>
      </c>
      <c r="M22" s="2">
        <f>('Kwh Reading'!M23-'Kwh Reading'!M22)*1000</f>
        <v>739.99999999995225</v>
      </c>
      <c r="N22" s="2">
        <f>('Kwh Reading'!H23-'Kwh Reading'!H22)*1000</f>
        <v>430.00000000006366</v>
      </c>
      <c r="O22" s="2">
        <f>('Kwh Reading'!P23-'Kwh Reading'!P22)*1000</f>
        <v>1090.0000000000318</v>
      </c>
      <c r="P22" s="2">
        <f>('Kwh Reading'!G23-'Kwh Reading'!G22)*1000</f>
        <v>889.99999999998636</v>
      </c>
      <c r="Q22" s="2">
        <f>('Kwh Reading'!Q23-'Kwh Reading'!Q22)*1000</f>
        <v>770.00000000003865</v>
      </c>
      <c r="R22" s="2">
        <f>('Kwh Reading'!N23-'Kwh Reading'!N22)*1000</f>
        <v>750</v>
      </c>
      <c r="S22" s="34">
        <f>'Kwh Reading'!E23-'Kwh Reading'!E22</f>
        <v>3584.230000000447</v>
      </c>
      <c r="T22" s="34">
        <f>'Kwh Reading'!D23-'Kwh Reading'!D22</f>
        <v>2602.7000000001863</v>
      </c>
      <c r="U22" s="27">
        <f>('Kwh Reading'!O23-'Kwh Reading'!O22)*1000</f>
        <v>219.99999999999886</v>
      </c>
      <c r="V22" s="16">
        <f t="shared" si="1"/>
        <v>6003.0699999996796</v>
      </c>
    </row>
    <row r="23" spans="1:22" x14ac:dyDescent="0.25">
      <c r="A23" s="3">
        <f>'Kwh Reading'!A23</f>
        <v>44367</v>
      </c>
      <c r="B23" s="26">
        <f>TOTAL!E21</f>
        <v>0</v>
      </c>
      <c r="C23" s="4">
        <f>('Kwh Reading'!T24-'Kwh Reading'!T23)*1000</f>
        <v>-415860</v>
      </c>
      <c r="D23" s="2">
        <f>('Kwh Reading'!F24-'Kwh Reading'!F23)*1000000</f>
        <v>-2353900</v>
      </c>
      <c r="E23" s="2">
        <f>('Kwh Reading'!C24-'Kwh Reading'!C23)*1000</f>
        <v>-227630</v>
      </c>
      <c r="F23" s="2">
        <f>('Kwh Reading'!J24-'Kwh Reading'!J23)*1000</f>
        <v>-314050</v>
      </c>
      <c r="G23" s="2">
        <f>('Kwh Reading'!K24-'Kwh Reading'!K23)*1000</f>
        <v>-337920</v>
      </c>
      <c r="H23" s="2">
        <f>('Kwh Reading'!L24-'Kwh Reading'!L23)*1000</f>
        <v>-231810</v>
      </c>
      <c r="I23" s="2">
        <f>('Kwh Reading'!R24-'Kwh Reading'!R23)*1000</f>
        <v>-154420</v>
      </c>
      <c r="J23" s="2">
        <f>('Kwh Reading'!S24-'Kwh Reading'!S23)*1000</f>
        <v>-113790</v>
      </c>
      <c r="K23" s="2">
        <f>('Kwh Reading'!I24-'Kwh Reading'!I23)*1000</f>
        <v>-232480</v>
      </c>
      <c r="L23" s="2">
        <f>('Kwh Reading'!B24-'Kwh Reading'!B23)*1000</f>
        <v>-966660</v>
      </c>
      <c r="M23" s="2">
        <f>('Kwh Reading'!M24-'Kwh Reading'!M23)*1000</f>
        <v>-510090</v>
      </c>
      <c r="N23" s="2">
        <f>('Kwh Reading'!H24-'Kwh Reading'!H23)*1000</f>
        <v>-616820</v>
      </c>
      <c r="O23" s="2">
        <f>('Kwh Reading'!P24-'Kwh Reading'!P23)*1000</f>
        <v>-607510</v>
      </c>
      <c r="P23" s="2">
        <f>('Kwh Reading'!G24-'Kwh Reading'!G23)*1000</f>
        <v>-737180</v>
      </c>
      <c r="Q23" s="2">
        <f>('Kwh Reading'!Q24-'Kwh Reading'!Q23)*1000</f>
        <v>-453360</v>
      </c>
      <c r="R23" s="2">
        <f>('Kwh Reading'!N24-'Kwh Reading'!N23)*1000</f>
        <v>-464400</v>
      </c>
      <c r="S23" s="34">
        <f>'Kwh Reading'!E24-'Kwh Reading'!E23</f>
        <v>-8148925.7000000002</v>
      </c>
      <c r="T23" s="34">
        <f>'Kwh Reading'!D24-'Kwh Reading'!D23</f>
        <v>-7454597</v>
      </c>
      <c r="U23" s="27">
        <f>('Kwh Reading'!O24-'Kwh Reading'!O23)*1000</f>
        <v>-149010</v>
      </c>
      <c r="V23" s="16">
        <f t="shared" si="1"/>
        <v>24490412.699999999</v>
      </c>
    </row>
    <row r="24" spans="1:22" x14ac:dyDescent="0.25">
      <c r="A24" s="3">
        <f>'Kwh Reading'!A24</f>
        <v>44368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44369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44370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44371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44372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44373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44374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44375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44376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44377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439979.9999999993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-222830.00000000003</v>
      </c>
      <c r="F35" s="75">
        <f t="shared" ref="F35" si="5">SUM(F4:F34)</f>
        <v>-310550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</v>
      </c>
      <c r="K35" s="75">
        <f t="shared" si="6"/>
        <v>-226280</v>
      </c>
      <c r="L35" s="75">
        <f t="shared" si="6"/>
        <v>-941590.00000000012</v>
      </c>
      <c r="M35" s="75">
        <f t="shared" si="6"/>
        <v>-494460</v>
      </c>
      <c r="N35" s="75">
        <f t="shared" si="6"/>
        <v>-608009.99999999988</v>
      </c>
      <c r="O35" s="75">
        <f t="shared" si="6"/>
        <v>-586590</v>
      </c>
      <c r="P35" s="75">
        <f t="shared" si="6"/>
        <v>-719090.00000000012</v>
      </c>
      <c r="Q35" s="75">
        <f t="shared" si="6"/>
        <v>-439130</v>
      </c>
      <c r="R35" s="75">
        <f t="shared" si="6"/>
        <v>-448540.00000000006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24613392.77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18020.000000000211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1">
        <f>'Kwh Consumption'!U19</f>
        <v>250</v>
      </c>
      <c r="L18" s="32">
        <f t="shared" si="0"/>
        <v>1214.3399999997382</v>
      </c>
    </row>
    <row r="19" spans="1:12" x14ac:dyDescent="0.25">
      <c r="A19" s="14">
        <f>'Kwh Reading'!A20</f>
        <v>44364</v>
      </c>
      <c r="B19" s="83">
        <f>TOTAL!E18</f>
        <v>28610.000000000124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2">
        <f t="shared" si="0"/>
        <v>11278.000000000269</v>
      </c>
    </row>
    <row r="20" spans="1:12" x14ac:dyDescent="0.25">
      <c r="A20" s="14">
        <f>'Kwh Reading'!A21</f>
        <v>44365</v>
      </c>
      <c r="B20" s="83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2">
        <f t="shared" si="0"/>
        <v>6331.5599999998722</v>
      </c>
    </row>
    <row r="21" spans="1:12" x14ac:dyDescent="0.25">
      <c r="A21" s="14">
        <f>'Kwh Reading'!A22</f>
        <v>44366</v>
      </c>
      <c r="B21" s="83">
        <f>TOTAL!E20</f>
        <v>23380.000000000109</v>
      </c>
      <c r="C21" s="1">
        <f>'Kwh Consumption'!C22</f>
        <v>460.00000000003638</v>
      </c>
      <c r="D21" s="1">
        <f>'Kwh Consumption'!D22</f>
        <v>2399.9999999997358</v>
      </c>
      <c r="E21" s="1">
        <f>'Kwh Consumption'!E22</f>
        <v>799.99999999998295</v>
      </c>
      <c r="F21" s="1">
        <f>('Kwh Consumption'!F22+'Kwh Consumption'!G22+'Kwh Consumption'!H22)</f>
        <v>520.00000000003865</v>
      </c>
      <c r="G21" s="16">
        <f>('Kwh Consumption'!I22+'Kwh Consumption'!J22)</f>
        <v>459.99999999999375</v>
      </c>
      <c r="H21" s="1">
        <f>('Kwh Consumption'!K22+'Kwh Consumption'!L22)</f>
        <v>1659.9999999999397</v>
      </c>
      <c r="I21" s="1">
        <f>('Kwh Consumption'!M22+'Kwh Consumption'!N22+'Kwh Consumption'!O22+'Kwh Consumption'!P22+'Kwh Consumption'!Q22+'Kwh Consumption'!R22)</f>
        <v>4670.0000000000728</v>
      </c>
      <c r="J21" s="1">
        <f>('Kwh Consumption'!S22+'Kwh Consumption'!T22)</f>
        <v>6186.9300000006333</v>
      </c>
      <c r="K21" s="1">
        <f>'Kwh Consumption'!U22</f>
        <v>219.99999999999886</v>
      </c>
      <c r="L21" s="32">
        <f t="shared" si="0"/>
        <v>6003.0699999996805</v>
      </c>
    </row>
    <row r="22" spans="1:12" x14ac:dyDescent="0.25">
      <c r="A22" s="14">
        <f>'Kwh Reading'!A23</f>
        <v>44367</v>
      </c>
      <c r="B22" s="83">
        <f>TOTAL!E21</f>
        <v>0</v>
      </c>
      <c r="C22" s="1">
        <f>'Kwh Consumption'!C23</f>
        <v>-415860</v>
      </c>
      <c r="D22" s="1">
        <f>'Kwh Consumption'!D23</f>
        <v>-2353900</v>
      </c>
      <c r="E22" s="1">
        <f>'Kwh Consumption'!E23</f>
        <v>-227630</v>
      </c>
      <c r="F22" s="1">
        <f>('Kwh Consumption'!F23+'Kwh Consumption'!G23+'Kwh Consumption'!H23)</f>
        <v>-883780</v>
      </c>
      <c r="G22" s="16">
        <f>('Kwh Consumption'!I23+'Kwh Consumption'!J23)</f>
        <v>-268210</v>
      </c>
      <c r="H22" s="1">
        <f>('Kwh Consumption'!K23+'Kwh Consumption'!L23)</f>
        <v>-1199140</v>
      </c>
      <c r="I22" s="1">
        <f>('Kwh Consumption'!M23+'Kwh Consumption'!N23+'Kwh Consumption'!O23+'Kwh Consumption'!P23+'Kwh Consumption'!Q23+'Kwh Consumption'!R23)</f>
        <v>-3389360</v>
      </c>
      <c r="J22" s="1">
        <f>('Kwh Consumption'!S23+'Kwh Consumption'!T23)</f>
        <v>-15603522.699999999</v>
      </c>
      <c r="K22" s="1">
        <f>'Kwh Consumption'!U23</f>
        <v>-149010</v>
      </c>
      <c r="L22" s="32">
        <f t="shared" si="0"/>
        <v>24490412.699999999</v>
      </c>
    </row>
    <row r="23" spans="1:12" x14ac:dyDescent="0.25">
      <c r="A23" s="14">
        <f>'Kwh Reading'!A24</f>
        <v>44368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44369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44370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44371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44372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44373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44374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44375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44376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44377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437210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-222830.00000000003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-144040</v>
      </c>
      <c r="L34" s="75">
        <f t="shared" si="1"/>
        <v>24610622.77</v>
      </c>
      <c r="M34" s="84">
        <f>C34+D34+E34+F34+G34+H34+I34+J34+K34+L34</f>
        <v>437210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-31196.200000000008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-20165.600000000002</v>
      </c>
      <c r="L36" s="75">
        <f>L34*B36</f>
        <v>3445487.1878000004</v>
      </c>
      <c r="M36" s="84">
        <f>C36+D36+E36+F36+G36+H36+I36+J36+K36+L36</f>
        <v>61209.399999999907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2522.8000000000297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170.00759999996387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4005.4000000000178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1578.9200000000374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3273.2000000000157</v>
      </c>
      <c r="D21" s="1">
        <f>'Kwh Consumption'!C22*' Kwh area wise $ '!B21</f>
        <v>64.400000000005093</v>
      </c>
      <c r="E21" s="1">
        <f>'Kwh Consumption'!D22*' Kwh area wise $ '!B21</f>
        <v>335.99999999996305</v>
      </c>
      <c r="F21" s="1">
        <f>'Kwh Consumption'!E22*' Kwh area wise $ '!B21</f>
        <v>111.99999999999763</v>
      </c>
      <c r="G21" s="1">
        <f>('Kwh Consumption'!F22+'Kwh Consumption'!G22+'Kwh Consumption'!H22)*' Kwh area wise $ '!B21</f>
        <v>72.800000000005411</v>
      </c>
      <c r="H21" s="16">
        <f>('Kwh Consumption'!I22+'Kwh Consumption'!J22)*' Kwh area wise $ '!B21</f>
        <v>64.399999999999125</v>
      </c>
      <c r="I21" s="1">
        <f>('Kwh Consumption'!K22+'Kwh Consumption'!L22)*' Kwh area wise $ '!B21</f>
        <v>232.39999999999159</v>
      </c>
      <c r="J21" s="1">
        <f>('Kwh Consumption'!M22+'Kwh Consumption'!N22+'Kwh Consumption'!O22+'Kwh Consumption'!P22+'Kwh Consumption'!Q22+'Kwh Consumption'!R22)*' Kwh area wise $ '!B21</f>
        <v>653.8000000000103</v>
      </c>
      <c r="K21" s="1">
        <f>('Kwh Consumption'!S22+'Kwh Consumption'!T22)*' Kwh area wise $ '!B21</f>
        <v>866.1702000000887</v>
      </c>
      <c r="L21" s="1">
        <f>'Kwh Consumption'!U22*' Kwh area wise $ '!B21</f>
        <v>30.799999999999844</v>
      </c>
      <c r="M21" s="1">
        <f>'Kwh Consumption'!V22*' Kwh area wise $ '!B21</f>
        <v>840.42979999995521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-58220.400000000009</v>
      </c>
      <c r="E22" s="1">
        <f>'Kwh Consumption'!D23*' Kwh area wise $ '!B22</f>
        <v>-329546.00000000006</v>
      </c>
      <c r="F22" s="1">
        <f>'Kwh Consumption'!E23*' Kwh area wise $ '!B22</f>
        <v>-31868.200000000004</v>
      </c>
      <c r="G22" s="1">
        <f>('Kwh Consumption'!F23+'Kwh Consumption'!G23+'Kwh Consumption'!H23)*' Kwh area wise $ '!B22</f>
        <v>-123729.20000000001</v>
      </c>
      <c r="H22" s="16">
        <f>('Kwh Consumption'!I23+'Kwh Consumption'!J23)*' Kwh area wise $ '!B22</f>
        <v>-37549.4</v>
      </c>
      <c r="I22" s="1">
        <f>('Kwh Consumption'!K23+'Kwh Consumption'!L23)*' Kwh area wise $ '!B22</f>
        <v>-167879.6</v>
      </c>
      <c r="J22" s="1">
        <f>('Kwh Consumption'!M23+'Kwh Consumption'!N23+'Kwh Consumption'!O23+'Kwh Consumption'!P23+'Kwh Consumption'!Q23+'Kwh Consumption'!R23)*' Kwh area wise $ '!B22</f>
        <v>-474510.4</v>
      </c>
      <c r="K22" s="1">
        <f>('Kwh Consumption'!S23+'Kwh Consumption'!T23)*' Kwh area wise $ '!B22</f>
        <v>-2184493.1780000003</v>
      </c>
      <c r="L22" s="1">
        <f>'Kwh Consumption'!U23*' Kwh area wise $ '!B22</f>
        <v>-20861.400000000001</v>
      </c>
      <c r="M22" s="1">
        <f>'Kwh Consumption'!V23*' Kwh area wise $ '!B22</f>
        <v>3428657.7780000004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61597.199999999924</v>
      </c>
      <c r="D34" s="75">
        <f t="shared" si="0"/>
        <v>-57072.400000000009</v>
      </c>
      <c r="E34" s="75">
        <f t="shared" si="0"/>
        <v>-323134.00000000006</v>
      </c>
      <c r="F34" s="75">
        <f t="shared" si="0"/>
        <v>-31196.200000000008</v>
      </c>
      <c r="G34" s="75">
        <f t="shared" si="0"/>
        <v>-122165.40000000001</v>
      </c>
      <c r="H34" s="75">
        <f t="shared" si="0"/>
        <v>-36397.199999999997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-2169230.3878000001</v>
      </c>
      <c r="L34" s="75">
        <f t="shared" si="0"/>
        <v>-20165.600000000002</v>
      </c>
      <c r="M34" s="75">
        <f>SUM(M3:M33)</f>
        <v>3445874.9878000002</v>
      </c>
      <c r="N34" s="84">
        <f>D34+E34+F34+G34+H34+I34+J34+K34+L34+M34</f>
        <v>61597.199999999721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22" sqref="R2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124453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51927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124460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>
        <v>165030</v>
      </c>
      <c r="C19" s="33">
        <v>125197</v>
      </c>
      <c r="D19" s="55">
        <v>207244</v>
      </c>
      <c r="E19" s="55">
        <v>246994</v>
      </c>
      <c r="F19" s="55">
        <v>66919</v>
      </c>
      <c r="G19" s="55">
        <v>111404</v>
      </c>
      <c r="H19" s="33">
        <v>52210</v>
      </c>
      <c r="I19" s="55">
        <v>63340</v>
      </c>
      <c r="J19" s="55">
        <v>20013</v>
      </c>
      <c r="K19" s="55">
        <v>1024</v>
      </c>
      <c r="L19" s="55">
        <v>17140</v>
      </c>
      <c r="M19" s="55">
        <v>23959</v>
      </c>
      <c r="N19" s="55">
        <v>7197</v>
      </c>
      <c r="O19" s="55">
        <v>1656</v>
      </c>
      <c r="P19" s="55">
        <v>26915</v>
      </c>
      <c r="Q19" s="33">
        <v>571</v>
      </c>
      <c r="R19" s="55">
        <v>6170</v>
      </c>
    </row>
    <row r="20" spans="1:22" x14ac:dyDescent="0.25">
      <c r="A20" s="54">
        <v>44365</v>
      </c>
      <c r="B20" s="33">
        <v>165111</v>
      </c>
      <c r="C20" s="56">
        <v>125439</v>
      </c>
      <c r="D20" s="10">
        <v>207405</v>
      </c>
      <c r="E20" s="55">
        <v>247090</v>
      </c>
      <c r="F20" s="55">
        <v>66919</v>
      </c>
      <c r="G20" s="55">
        <v>111422</v>
      </c>
      <c r="H20" s="33">
        <v>52252</v>
      </c>
      <c r="I20" s="55">
        <v>63371</v>
      </c>
      <c r="J20" s="55">
        <v>20034</v>
      </c>
      <c r="K20" s="55">
        <v>1024</v>
      </c>
      <c r="L20" s="55">
        <v>17144</v>
      </c>
      <c r="M20" s="55">
        <v>23976</v>
      </c>
      <c r="N20" s="55">
        <v>7205</v>
      </c>
      <c r="O20" s="55">
        <v>1657</v>
      </c>
      <c r="P20" s="55">
        <v>26930</v>
      </c>
      <c r="Q20" s="33">
        <v>577</v>
      </c>
      <c r="R20" s="55">
        <v>6174</v>
      </c>
    </row>
    <row r="21" spans="1:22" x14ac:dyDescent="0.25">
      <c r="A21" s="54">
        <v>44366</v>
      </c>
      <c r="B21" s="33">
        <v>165363</v>
      </c>
      <c r="C21" s="33">
        <v>125484</v>
      </c>
      <c r="D21" s="55">
        <v>207548</v>
      </c>
      <c r="E21" s="55">
        <v>247193</v>
      </c>
      <c r="F21" s="55">
        <v>66921</v>
      </c>
      <c r="G21" s="55">
        <v>111439</v>
      </c>
      <c r="H21" s="33">
        <v>52307</v>
      </c>
      <c r="I21" s="55">
        <v>63384</v>
      </c>
      <c r="J21" s="55">
        <v>20050</v>
      </c>
      <c r="K21" s="55">
        <v>1024</v>
      </c>
      <c r="L21" s="55">
        <v>17150</v>
      </c>
      <c r="M21" s="55">
        <v>23983</v>
      </c>
      <c r="N21" s="55">
        <v>7213</v>
      </c>
      <c r="O21" s="55">
        <v>1658</v>
      </c>
      <c r="P21" s="55">
        <v>26930</v>
      </c>
      <c r="Q21" s="33">
        <v>579</v>
      </c>
      <c r="R21" s="55">
        <v>6175</v>
      </c>
    </row>
    <row r="22" spans="1:22" x14ac:dyDescent="0.25">
      <c r="A22" s="54">
        <v>44367</v>
      </c>
      <c r="B22" s="33">
        <v>165531</v>
      </c>
      <c r="C22" s="56">
        <v>125812</v>
      </c>
      <c r="D22" s="55">
        <v>207687</v>
      </c>
      <c r="E22" s="55">
        <v>247244</v>
      </c>
      <c r="F22" s="55">
        <v>66922</v>
      </c>
      <c r="G22" s="55">
        <v>111453</v>
      </c>
      <c r="H22" s="33">
        <v>52382</v>
      </c>
      <c r="I22" s="55">
        <v>63411</v>
      </c>
      <c r="J22" s="55">
        <v>20067</v>
      </c>
      <c r="K22" s="55">
        <v>1024</v>
      </c>
      <c r="L22" s="55">
        <v>17157</v>
      </c>
      <c r="M22" s="55">
        <v>23998</v>
      </c>
      <c r="N22" s="55">
        <v>7223</v>
      </c>
      <c r="O22" s="55">
        <v>1659</v>
      </c>
      <c r="P22" s="55">
        <v>26942</v>
      </c>
      <c r="Q22" s="33">
        <v>580</v>
      </c>
      <c r="R22" s="55">
        <v>6180</v>
      </c>
    </row>
    <row r="23" spans="1:22" x14ac:dyDescent="0.25">
      <c r="A23" s="54">
        <v>44368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44369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44370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44371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44372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44373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44374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44375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44376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44377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44378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E16" sqref="E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210</v>
      </c>
      <c r="D16" s="67">
        <f t="shared" si="2"/>
        <v>0.72164948453608246</v>
      </c>
      <c r="E16" s="87">
        <f>'Water Reading'!H16-'Water Reading'!H15</f>
        <v>6</v>
      </c>
      <c r="F16" s="89">
        <f t="shared" si="3"/>
        <v>2.8571428571428571E-2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1.0047619047619047</v>
      </c>
      <c r="I16" s="90">
        <f>'Water Reading'!P16-'Water Reading'!P15</f>
        <v>12</v>
      </c>
      <c r="J16" s="68">
        <f t="shared" si="5"/>
        <v>5.7142857142857141E-2</v>
      </c>
      <c r="K16" s="91">
        <f>('Water Reading'!I16-'Water Reading'!I15)-('Water Reading'!P16-'Water Reading'!P15)</f>
        <v>23</v>
      </c>
      <c r="L16" s="68">
        <f t="shared" si="6"/>
        <v>0.10952380952380952</v>
      </c>
      <c r="M16" s="90">
        <f>'Water Reading'!R16-'Water Reading'!R15</f>
        <v>5</v>
      </c>
      <c r="N16" s="92">
        <f t="shared" si="7"/>
        <v>2.3809523809523808E-2</v>
      </c>
      <c r="O16" s="90">
        <f>'Water Reading'!Q16-'Water Reading'!Q15</f>
        <v>5</v>
      </c>
      <c r="P16" s="99">
        <f t="shared" si="8"/>
        <v>2.3809523809523808E-2</v>
      </c>
      <c r="Q16" s="91">
        <f>'Water Reading'!F16-'Water Reading'!F15</f>
        <v>1</v>
      </c>
      <c r="R16" s="100">
        <f t="shared" si="9"/>
        <v>4.7619047619047623E-3</v>
      </c>
      <c r="S16" s="94">
        <f>'Water Reading'!E16-'Water Reading'!E15</f>
        <v>63</v>
      </c>
      <c r="T16" s="100">
        <f t="shared" si="10"/>
        <v>0.3</v>
      </c>
      <c r="U16" s="90">
        <f>'Water Reading'!G16-'Water Reading'!G15</f>
        <v>18</v>
      </c>
      <c r="V16" s="100">
        <f t="shared" si="11"/>
        <v>8.5714285714285715E-2</v>
      </c>
      <c r="W16" s="90">
        <f>'Water Reading'!J16-'Water Reading'!J15</f>
        <v>19</v>
      </c>
      <c r="X16" s="100">
        <f t="shared" si="12"/>
        <v>9.0476190476190474E-2</v>
      </c>
      <c r="Y16" s="66">
        <f t="shared" si="0"/>
        <v>363</v>
      </c>
      <c r="Z16" s="67">
        <f t="shared" si="1"/>
        <v>1.2474226804123711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238</v>
      </c>
      <c r="D17" s="67">
        <f t="shared" si="2"/>
        <v>0.86861313868613144</v>
      </c>
      <c r="E17" s="87">
        <f>'Water Reading'!H17-'Water Reading'!H16</f>
        <v>121</v>
      </c>
      <c r="F17" s="89">
        <f t="shared" si="3"/>
        <v>0.50840336134453779</v>
      </c>
      <c r="G17" s="93">
        <f>('Water Reading'!D17-'Water Reading'!D16)-('Water Reading'!R17-'Water Reading'!R16)-('Water Reading'!Q17-'Water Reading'!Q16)</f>
        <v>111</v>
      </c>
      <c r="H17" s="89">
        <f t="shared" si="4"/>
        <v>0.46638655462184875</v>
      </c>
      <c r="I17" s="90">
        <f>'Water Reading'!P17-'Water Reading'!P16</f>
        <v>10</v>
      </c>
      <c r="J17" s="68">
        <f t="shared" si="5"/>
        <v>4.2016806722689079E-2</v>
      </c>
      <c r="K17" s="91">
        <f>('Water Reading'!I17-'Water Reading'!I16)-('Water Reading'!P17-'Water Reading'!P16)</f>
        <v>16</v>
      </c>
      <c r="L17" s="68">
        <f t="shared" si="6"/>
        <v>6.7226890756302518E-2</v>
      </c>
      <c r="M17" s="90">
        <f>'Water Reading'!R17-'Water Reading'!R16</f>
        <v>3</v>
      </c>
      <c r="N17" s="92">
        <f t="shared" si="7"/>
        <v>1.2605042016806723E-2</v>
      </c>
      <c r="O17" s="90">
        <f>'Water Reading'!Q17-'Water Reading'!Q16</f>
        <v>6</v>
      </c>
      <c r="P17" s="99">
        <f t="shared" si="8"/>
        <v>2.5210084033613446E-2</v>
      </c>
      <c r="Q17" s="91">
        <f>'Water Reading'!F17-'Water Reading'!F16</f>
        <v>1</v>
      </c>
      <c r="R17" s="100">
        <f t="shared" si="9"/>
        <v>4.2016806722689074E-3</v>
      </c>
      <c r="S17" s="94">
        <f>'Water Reading'!E17-'Water Reading'!E16</f>
        <v>54</v>
      </c>
      <c r="T17" s="100">
        <f t="shared" si="10"/>
        <v>0.22689075630252101</v>
      </c>
      <c r="U17" s="90">
        <f>'Water Reading'!G17-'Water Reading'!G16</f>
        <v>15</v>
      </c>
      <c r="V17" s="100">
        <f t="shared" si="11"/>
        <v>6.3025210084033612E-2</v>
      </c>
      <c r="W17" s="90">
        <f>'Water Reading'!J17-'Water Reading'!J16</f>
        <v>18</v>
      </c>
      <c r="X17" s="100">
        <f t="shared" si="12"/>
        <v>7.5630252100840331E-2</v>
      </c>
      <c r="Y17" s="66">
        <f t="shared" si="0"/>
        <v>355</v>
      </c>
      <c r="Z17" s="67">
        <f t="shared" si="1"/>
        <v>1.2956204379562044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325</v>
      </c>
      <c r="D18" s="67">
        <f t="shared" si="2"/>
        <v>0.9878419452887538</v>
      </c>
      <c r="E18" s="87">
        <f>'Water Reading'!H18-'Water Reading'!H17</f>
        <v>95</v>
      </c>
      <c r="F18" s="89">
        <f t="shared" si="3"/>
        <v>0.29230769230769232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0.42153846153846153</v>
      </c>
      <c r="I18" s="90">
        <f>'Water Reading'!P18-'Water Reading'!P17</f>
        <v>14</v>
      </c>
      <c r="J18" s="68">
        <f t="shared" si="5"/>
        <v>4.3076923076923075E-2</v>
      </c>
      <c r="K18" s="91">
        <f>('Water Reading'!I18-'Water Reading'!I17)-('Water Reading'!P18-'Water Reading'!P17)</f>
        <v>11</v>
      </c>
      <c r="L18" s="68">
        <f t="shared" si="6"/>
        <v>3.3846153846153845E-2</v>
      </c>
      <c r="M18" s="90">
        <f>'Water Reading'!R18-'Water Reading'!R17</f>
        <v>4</v>
      </c>
      <c r="N18" s="92">
        <f t="shared" si="7"/>
        <v>1.2307692307692308E-2</v>
      </c>
      <c r="O18" s="90">
        <f>'Water Reading'!Q18-'Water Reading'!Q17</f>
        <v>1</v>
      </c>
      <c r="P18" s="99">
        <f t="shared" si="8"/>
        <v>3.0769230769230769E-3</v>
      </c>
      <c r="Q18" s="91">
        <f>'Water Reading'!F18-'Water Reading'!F17</f>
        <v>1</v>
      </c>
      <c r="R18" s="100">
        <f t="shared" si="9"/>
        <v>3.0769230769230769E-3</v>
      </c>
      <c r="S18" s="94">
        <f>'Water Reading'!E18-'Water Reading'!E17</f>
        <v>59</v>
      </c>
      <c r="T18" s="100">
        <f t="shared" si="10"/>
        <v>0.18153846153846154</v>
      </c>
      <c r="U18" s="90">
        <f>'Water Reading'!G18-'Water Reading'!G17</f>
        <v>15</v>
      </c>
      <c r="V18" s="100">
        <f t="shared" si="11"/>
        <v>4.6153846153846156E-2</v>
      </c>
      <c r="W18" s="90">
        <f>'Water Reading'!J18-'Water Reading'!J17</f>
        <v>18</v>
      </c>
      <c r="X18" s="100">
        <f t="shared" si="12"/>
        <v>5.5384615384615386E-2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281</v>
      </c>
      <c r="C19" s="66">
        <f>('Water Reading'!B19-'Water Reading'!B18)+('Water Reading'!C19-'Water Reading'!C18)</f>
        <v>882</v>
      </c>
      <c r="D19" s="67">
        <f t="shared" si="2"/>
        <v>3.1387900355871885</v>
      </c>
      <c r="E19" s="87">
        <f>'Water Reading'!H19-'Water Reading'!H18</f>
        <v>67</v>
      </c>
      <c r="F19" s="89">
        <f t="shared" si="3"/>
        <v>7.5963718820861684E-2</v>
      </c>
      <c r="G19" s="93">
        <f>('Water Reading'!D19-'Water Reading'!D18)-('Water Reading'!R19-'Water Reading'!R18)-('Water Reading'!Q19-'Water Reading'!Q18)</f>
        <v>136</v>
      </c>
      <c r="H19" s="89">
        <f t="shared" si="4"/>
        <v>0.15419501133786848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11</v>
      </c>
      <c r="L19" s="68">
        <f t="shared" si="6"/>
        <v>1.2471655328798186E-2</v>
      </c>
      <c r="M19" s="90">
        <f>'Water Reading'!R19-'Water Reading'!R18</f>
        <v>5</v>
      </c>
      <c r="N19" s="92">
        <f t="shared" si="7"/>
        <v>5.6689342403628117E-3</v>
      </c>
      <c r="O19" s="90">
        <f>'Water Reading'!Q19-'Water Reading'!Q18</f>
        <v>8</v>
      </c>
      <c r="P19" s="99">
        <f t="shared" si="8"/>
        <v>9.0702947845804991E-3</v>
      </c>
      <c r="Q19" s="91">
        <f>'Water Reading'!F19-'Water Reading'!F18</f>
        <v>1</v>
      </c>
      <c r="R19" s="100">
        <f t="shared" si="9"/>
        <v>1.1337868480725624E-3</v>
      </c>
      <c r="S19" s="94">
        <f>'Water Reading'!E19-'Water Reading'!E18</f>
        <v>62</v>
      </c>
      <c r="T19" s="100">
        <f t="shared" si="10"/>
        <v>7.029478458049887E-2</v>
      </c>
      <c r="U19" s="90">
        <f>'Water Reading'!G19-'Water Reading'!G18</f>
        <v>16</v>
      </c>
      <c r="V19" s="100">
        <f t="shared" si="11"/>
        <v>1.8140589569160998E-2</v>
      </c>
      <c r="W19" s="90">
        <f>'Water Reading'!J19-'Water Reading'!J18</f>
        <v>17</v>
      </c>
      <c r="X19" s="100">
        <f t="shared" si="12"/>
        <v>1.927437641723356E-2</v>
      </c>
      <c r="Y19" s="66">
        <f t="shared" si="0"/>
        <v>323</v>
      </c>
      <c r="Z19" s="67">
        <f t="shared" si="1"/>
        <v>1.1494661921708185</v>
      </c>
    </row>
    <row r="20" spans="1:26" x14ac:dyDescent="0.25">
      <c r="A20" s="8">
        <f>'Water Reading'!A19</f>
        <v>44364</v>
      </c>
      <c r="B20" s="65">
        <f>TOTAL!I18</f>
        <v>346</v>
      </c>
      <c r="C20" s="66">
        <f>('Water Reading'!B20-'Water Reading'!B19)+('Water Reading'!C20-'Water Reading'!C19)</f>
        <v>323</v>
      </c>
      <c r="D20" s="67">
        <f t="shared" si="2"/>
        <v>0.93352601156069359</v>
      </c>
      <c r="E20" s="87">
        <f>'Water Reading'!H20-'Water Reading'!H19</f>
        <v>42</v>
      </c>
      <c r="F20" s="89">
        <f t="shared" si="3"/>
        <v>0.13003095975232198</v>
      </c>
      <c r="G20" s="93">
        <f>('Water Reading'!D20-'Water Reading'!D19)-('Water Reading'!R20-'Water Reading'!R19)-('Water Reading'!Q20-'Water Reading'!Q19)</f>
        <v>151</v>
      </c>
      <c r="H20" s="89">
        <f t="shared" si="4"/>
        <v>0.46749226006191952</v>
      </c>
      <c r="I20" s="90">
        <f>'Water Reading'!P20-'Water Reading'!P19</f>
        <v>15</v>
      </c>
      <c r="J20" s="68">
        <f t="shared" si="5"/>
        <v>4.6439628482972138E-2</v>
      </c>
      <c r="K20" s="91">
        <f>('Water Reading'!I20-'Water Reading'!I19)-('Water Reading'!P20-'Water Reading'!P19)</f>
        <v>16</v>
      </c>
      <c r="L20" s="68">
        <f t="shared" si="6"/>
        <v>4.9535603715170282E-2</v>
      </c>
      <c r="M20" s="90">
        <f>'Water Reading'!R20-'Water Reading'!R19</f>
        <v>4</v>
      </c>
      <c r="N20" s="92">
        <f t="shared" si="7"/>
        <v>1.238390092879257E-2</v>
      </c>
      <c r="O20" s="90">
        <f>'Water Reading'!Q20-'Water Reading'!Q19</f>
        <v>6</v>
      </c>
      <c r="P20" s="99">
        <f t="shared" si="8"/>
        <v>1.8575851393188854E-2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96</v>
      </c>
      <c r="T20" s="100">
        <f t="shared" si="10"/>
        <v>0.29721362229102166</v>
      </c>
      <c r="U20" s="90">
        <f>'Water Reading'!G20-'Water Reading'!G19</f>
        <v>18</v>
      </c>
      <c r="V20" s="100">
        <f t="shared" si="11"/>
        <v>5.5727554179566562E-2</v>
      </c>
      <c r="W20" s="90">
        <f>'Water Reading'!J20-'Water Reading'!J19</f>
        <v>21</v>
      </c>
      <c r="X20" s="100">
        <f t="shared" si="12"/>
        <v>6.5015479876160992E-2</v>
      </c>
      <c r="Y20" s="66">
        <f t="shared" si="0"/>
        <v>369</v>
      </c>
      <c r="Z20" s="67">
        <f t="shared" si="1"/>
        <v>1.0664739884393064</v>
      </c>
    </row>
    <row r="21" spans="1:26" x14ac:dyDescent="0.25">
      <c r="A21" s="8">
        <f>'Water Reading'!A20</f>
        <v>44365</v>
      </c>
      <c r="B21" s="65">
        <f>TOTAL!I19</f>
        <v>327</v>
      </c>
      <c r="C21" s="66">
        <f>('Water Reading'!B21-'Water Reading'!B20)+('Water Reading'!C21-'Water Reading'!C20)</f>
        <v>297</v>
      </c>
      <c r="D21" s="67">
        <f t="shared" si="2"/>
        <v>0.90825688073394495</v>
      </c>
      <c r="E21" s="87">
        <f>'Water Reading'!H21-'Water Reading'!H20</f>
        <v>55</v>
      </c>
      <c r="F21" s="89">
        <f t="shared" si="3"/>
        <v>0.18518518518518517</v>
      </c>
      <c r="G21" s="93">
        <f>('Water Reading'!D21-'Water Reading'!D20)-('Water Reading'!R21-'Water Reading'!R20)-('Water Reading'!Q21-'Water Reading'!Q20)</f>
        <v>140</v>
      </c>
      <c r="H21" s="89">
        <f t="shared" si="4"/>
        <v>0.4713804713804714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13</v>
      </c>
      <c r="L21" s="68">
        <f t="shared" si="6"/>
        <v>4.3771043771043773E-2</v>
      </c>
      <c r="M21" s="90">
        <f>'Water Reading'!R21-'Water Reading'!R20</f>
        <v>1</v>
      </c>
      <c r="N21" s="92">
        <f t="shared" si="7"/>
        <v>3.3670033670033669E-3</v>
      </c>
      <c r="O21" s="90">
        <f>'Water Reading'!Q21-'Water Reading'!Q20</f>
        <v>2</v>
      </c>
      <c r="P21" s="99">
        <f t="shared" si="8"/>
        <v>6.7340067340067337E-3</v>
      </c>
      <c r="Q21" s="91">
        <f>'Water Reading'!F21-'Water Reading'!F20</f>
        <v>2</v>
      </c>
      <c r="R21" s="100">
        <f t="shared" si="9"/>
        <v>6.7340067340067337E-3</v>
      </c>
      <c r="S21" s="94">
        <f>'Water Reading'!E21-'Water Reading'!E20</f>
        <v>103</v>
      </c>
      <c r="T21" s="100">
        <f t="shared" si="10"/>
        <v>0.34680134680134678</v>
      </c>
      <c r="U21" s="90">
        <f>'Water Reading'!G21-'Water Reading'!G20</f>
        <v>17</v>
      </c>
      <c r="V21" s="100">
        <f t="shared" si="11"/>
        <v>5.7239057239057242E-2</v>
      </c>
      <c r="W21" s="90">
        <f>'Water Reading'!J21-'Water Reading'!J20</f>
        <v>16</v>
      </c>
      <c r="X21" s="100">
        <f t="shared" si="12"/>
        <v>5.387205387205387E-2</v>
      </c>
      <c r="Y21" s="66">
        <f t="shared" si="0"/>
        <v>349</v>
      </c>
      <c r="Z21" s="67">
        <f t="shared" si="1"/>
        <v>1.0672782874617737</v>
      </c>
    </row>
    <row r="22" spans="1:26" x14ac:dyDescent="0.25">
      <c r="A22" s="8">
        <f>'Water Reading'!A21</f>
        <v>44366</v>
      </c>
      <c r="B22" s="65">
        <f>TOTAL!I20</f>
        <v>283</v>
      </c>
      <c r="C22" s="66">
        <f>('Water Reading'!B22-'Water Reading'!B21)+('Water Reading'!C22-'Water Reading'!C21)</f>
        <v>496</v>
      </c>
      <c r="D22" s="67">
        <f t="shared" si="2"/>
        <v>1.7526501766784452</v>
      </c>
      <c r="E22" s="87">
        <f>'Water Reading'!H22-'Water Reading'!H21</f>
        <v>75</v>
      </c>
      <c r="F22" s="89">
        <f t="shared" si="3"/>
        <v>0.15120967741935484</v>
      </c>
      <c r="G22" s="93">
        <f>('Water Reading'!D22-'Water Reading'!D21)-('Water Reading'!R22-'Water Reading'!R21)-('Water Reading'!Q22-'Water Reading'!Q21)</f>
        <v>133</v>
      </c>
      <c r="H22" s="89">
        <f t="shared" si="4"/>
        <v>0.26814516129032256</v>
      </c>
      <c r="I22" s="90">
        <f>'Water Reading'!P22-'Water Reading'!P21</f>
        <v>12</v>
      </c>
      <c r="J22" s="68">
        <f t="shared" si="5"/>
        <v>2.4193548387096774E-2</v>
      </c>
      <c r="K22" s="91">
        <f>('Water Reading'!I22-'Water Reading'!I21)-('Water Reading'!P22-'Water Reading'!P21)</f>
        <v>15</v>
      </c>
      <c r="L22" s="68">
        <f t="shared" si="6"/>
        <v>3.0241935483870969E-2</v>
      </c>
      <c r="M22" s="90">
        <f>'Water Reading'!R22-'Water Reading'!R21</f>
        <v>5</v>
      </c>
      <c r="N22" s="92">
        <f t="shared" si="7"/>
        <v>1.0080645161290322E-2</v>
      </c>
      <c r="O22" s="90">
        <f>'Water Reading'!Q22-'Water Reading'!Q21</f>
        <v>1</v>
      </c>
      <c r="P22" s="99">
        <f t="shared" si="8"/>
        <v>2.0161290322580645E-3</v>
      </c>
      <c r="Q22" s="91">
        <f>'Water Reading'!F22-'Water Reading'!F21</f>
        <v>1</v>
      </c>
      <c r="R22" s="100">
        <f t="shared" si="9"/>
        <v>2.0161290322580645E-3</v>
      </c>
      <c r="S22" s="94">
        <f>'Water Reading'!E22-'Water Reading'!E21</f>
        <v>51</v>
      </c>
      <c r="T22" s="100">
        <f t="shared" si="10"/>
        <v>0.1028225806451613</v>
      </c>
      <c r="U22" s="90">
        <f>'Water Reading'!G22-'Water Reading'!G21</f>
        <v>14</v>
      </c>
      <c r="V22" s="100">
        <f t="shared" si="11"/>
        <v>2.8225806451612902E-2</v>
      </c>
      <c r="W22" s="90">
        <f>'Water Reading'!J22-'Water Reading'!J21</f>
        <v>17</v>
      </c>
      <c r="X22" s="100">
        <f t="shared" si="12"/>
        <v>3.4274193548387094E-2</v>
      </c>
      <c r="Y22" s="66">
        <f t="shared" si="0"/>
        <v>324</v>
      </c>
      <c r="Z22" s="67">
        <f t="shared" si="1"/>
        <v>1.1448763250883391</v>
      </c>
    </row>
    <row r="23" spans="1:26" x14ac:dyDescent="0.25">
      <c r="A23" s="8">
        <f>'Water Reading'!A22</f>
        <v>44367</v>
      </c>
      <c r="B23" s="65">
        <f>TOTAL!I21</f>
        <v>0</v>
      </c>
      <c r="C23" s="66">
        <f>('Water Reading'!B23-'Water Reading'!B22)+('Water Reading'!C23-'Water Reading'!C22)</f>
        <v>-291343</v>
      </c>
      <c r="D23" s="67" t="e">
        <f t="shared" si="2"/>
        <v>#DIV/0!</v>
      </c>
      <c r="E23" s="87">
        <f>'Water Reading'!H23-'Water Reading'!H22</f>
        <v>-52382</v>
      </c>
      <c r="F23" s="89">
        <f t="shared" si="3"/>
        <v>0.17979494959549397</v>
      </c>
      <c r="G23" s="93">
        <f>('Water Reading'!D23-'Water Reading'!D22)-('Water Reading'!R23-'Water Reading'!R22)-('Water Reading'!Q23-'Water Reading'!Q22)</f>
        <v>-200927</v>
      </c>
      <c r="H23" s="89">
        <f t="shared" si="4"/>
        <v>0.68965789464651628</v>
      </c>
      <c r="I23" s="90">
        <f>'Water Reading'!P23-'Water Reading'!P22</f>
        <v>-26942</v>
      </c>
      <c r="J23" s="68">
        <f t="shared" si="5"/>
        <v>9.2475192470730383E-2</v>
      </c>
      <c r="K23" s="91">
        <f>('Water Reading'!I23-'Water Reading'!I22)-('Water Reading'!P23-'Water Reading'!P22)</f>
        <v>-36469</v>
      </c>
      <c r="L23" s="68">
        <f t="shared" si="6"/>
        <v>0.12517548044744511</v>
      </c>
      <c r="M23" s="90">
        <f>'Water Reading'!R23-'Water Reading'!R22</f>
        <v>-6180</v>
      </c>
      <c r="N23" s="92">
        <f t="shared" si="7"/>
        <v>2.1212110810968514E-2</v>
      </c>
      <c r="O23" s="90">
        <f>'Water Reading'!Q23-'Water Reading'!Q22</f>
        <v>-580</v>
      </c>
      <c r="P23" s="99">
        <f t="shared" si="8"/>
        <v>1.9907806262721259E-3</v>
      </c>
      <c r="Q23" s="91">
        <f>'Water Reading'!F23-'Water Reading'!F22</f>
        <v>-66922</v>
      </c>
      <c r="R23" s="100">
        <f t="shared" si="9"/>
        <v>0.22970176046790208</v>
      </c>
      <c r="S23" s="94">
        <f>'Water Reading'!E23-'Water Reading'!E22</f>
        <v>-247244</v>
      </c>
      <c r="T23" s="100">
        <f t="shared" si="10"/>
        <v>0.84863545717590605</v>
      </c>
      <c r="U23" s="90">
        <f>'Water Reading'!G23-'Water Reading'!G22</f>
        <v>-111453</v>
      </c>
      <c r="V23" s="100">
        <f t="shared" si="11"/>
        <v>0.38254909162052975</v>
      </c>
      <c r="W23" s="90">
        <f>'Water Reading'!J23-'Water Reading'!J22</f>
        <v>-20067</v>
      </c>
      <c r="X23" s="100">
        <f t="shared" si="12"/>
        <v>6.8877577288625438E-2</v>
      </c>
      <c r="Y23" s="66">
        <f t="shared" si="0"/>
        <v>-769166</v>
      </c>
      <c r="Z23" s="67" t="e">
        <f t="shared" si="1"/>
        <v>#DIV/0!</v>
      </c>
    </row>
    <row r="24" spans="1:26" x14ac:dyDescent="0.25">
      <c r="A24" s="8">
        <f>'Water Reading'!A23</f>
        <v>44368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44369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44370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44371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44372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44373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44374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44375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44376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44377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6075</v>
      </c>
      <c r="C35" s="75">
        <f>SUM(C4:C34)</f>
        <v>-282428</v>
      </c>
      <c r="D35" s="96">
        <f>C35/B35</f>
        <v>-46.490205761316872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-125.49465020576132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2021-06-20T04:36:47Z</dcterms:modified>
  <cp:category/>
  <cp:contentStatus/>
</cp:coreProperties>
</file>