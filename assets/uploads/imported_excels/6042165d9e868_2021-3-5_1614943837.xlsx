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0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J56"/>
  <c r="D2" i="1"/>
  <c r="D8" i="18"/>
  <c r="F8" s="1"/>
  <c r="G13" i="15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G10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J26" s="1"/>
  <c r="H25"/>
  <c r="I25" s="1"/>
  <c r="H24"/>
  <c r="I24" s="1"/>
  <c r="J24" s="1"/>
  <c r="H23"/>
  <c r="I23" s="1"/>
  <c r="H22"/>
  <c r="I22" s="1"/>
  <c r="J22" s="1"/>
  <c r="H21"/>
  <c r="I21" s="1"/>
  <c r="H20"/>
  <c r="I20" s="1"/>
  <c r="H19"/>
  <c r="I19" s="1"/>
  <c r="H18"/>
  <c r="I18" s="1"/>
  <c r="H17"/>
  <c r="I17" s="1"/>
  <c r="J17" s="1"/>
  <c r="H16"/>
  <c r="I16" s="1"/>
  <c r="J16" s="1"/>
  <c r="H15"/>
  <c r="I15" s="1"/>
  <c r="H14"/>
  <c r="I14" s="1"/>
  <c r="J14" s="1"/>
  <c r="H13"/>
  <c r="I13" s="1"/>
  <c r="H12"/>
  <c r="I12" s="1"/>
  <c r="H11"/>
  <c r="I11" s="1"/>
  <c r="H10"/>
  <c r="I10" s="1"/>
  <c r="J11" l="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34" i="2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T13" i="1" l="1"/>
  <c r="C15"/>
  <c r="AT14"/>
  <c r="C16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Y31" i="18" l="1"/>
  <c r="T3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T39" i="1"/>
  <c r="C40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C42" s="1"/>
  <c r="C43" s="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F39" i="14"/>
  <c r="U9" i="10"/>
  <c r="X10"/>
  <c r="T9"/>
  <c r="S9"/>
  <c r="Z9" s="1"/>
  <c r="R9"/>
  <c r="V8"/>
  <c r="W8" s="1"/>
  <c r="F8" i="13"/>
  <c r="E9"/>
  <c r="G8"/>
  <c r="AT43" i="1" l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<sst xmlns="http://schemas.openxmlformats.org/spreadsheetml/2006/main" count="534" uniqueCount="321">
  <si>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</si>
  <si>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</si>
  <si>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</si>
  <si>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</si>
  <si>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</si>
  <si>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</si>
  <si>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</si>
  <si>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</si>
  <si>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</si>
  <si>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</si>
  <si>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</si>
  <si>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</si>
  <si>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</si>
  <si>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</si>
  <si>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</si>
  <si>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</si>
  <si>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</si>
  <si>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</si>
  <si>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</si>
  <si>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</si>
  <si>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</si>
  <si>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</si>
  <si>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</si>
  <si>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</si>
  <si>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</si>
  <si>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</si>
  <si>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</si>
  <si>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</si>
  <si>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</si>
  <si>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</si>
  <si>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</si>
  <si>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</si>
  <si>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</si>
  <si>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</si>
  <si>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</si>
  <si>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</si>
  <si>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</si>
  <si>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</si>
  <si>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</si>
  <si>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</si>
  <si>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</si>
  <si>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</si>
  <si>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</si>
  <si>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</si>
  <si>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</si>
  <si>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</si>
  <si>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</si>
  <si>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</si>
  <si>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</si>
  <si>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</si>
  <si>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</si>
  <si>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</si>
  <si>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</si>
  <si>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</si>
  <si>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</si>
  <si>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</si>
  <si>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</si>
  <si>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</si>
  <si>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</si>
  <si>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</si>
  <si>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</si>
  <si>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</si>
  <si>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</si>
  <si>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</si>
  <si>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</si>
  <si>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</si>
  <si>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</si>
  <si>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</si>
  <si>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</si>
  <si>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</si>
  <si>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</si>
  <si>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</si>
  <si>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</si>
  <si>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</si>
  <si>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</si>
  <si>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</si>
  <si>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</si>
  <si>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</si>
  <si>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</si>
  <si>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</si>
  <si>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</si>
  <si>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</si>
  <si>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</si>
  <si>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</si>
  <si>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</si>
  <si>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</si>
  <si>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</si>
  <si>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</si>
  <si>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</si>
  <si>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</si>
  <si>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</si>
  <si>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</si>
  <si>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</si>
  <si>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</si>
  <si>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</si>
  <si>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</si>
  <si>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</si>
  <si>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</si>
  <si>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</si>
  <si>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</si>
  <si>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</si>
  <si>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</si>
  <si>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</si>
  <si>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</si>
  <si>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</si>
  <si>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</si>
  <si>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</si>
  <si>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</si>
  <si>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</si>
  <si>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</si>
  <si>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</si>
  <si>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</si>
  <si>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</si>
  <si>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</si>
  <si>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</si>
  <si>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</si>
  <si>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</si>
  <si>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</si>
  <si>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</si>
  <si>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</si>
  <si>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</si>
  <si>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</si>
  <si>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</si>
  <si>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</si>
  <si>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</si>
  <si>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</si>
  <si>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</si>
  <si>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</si>
  <si>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</si>
  <si>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</si>
  <si>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</si>
  <si>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</si>
  <si>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</si>
  <si>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</si>
  <si>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</si>
  <si>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</si>
  <si>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</si>
  <si>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</si>
  <si>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</si>
  <si>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</si>
  <si>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</si>
  <si>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</si>
  <si>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</si>
  <si>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</si>
  <si>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</si>
  <si>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</si>
  <si>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</si>
  <si>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</si>
  <si>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</si>
  <si>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</si>
  <si>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</si>
  <si>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</si>
  <si>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</si>
  <si>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</si>
  <si>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</si>
  <si>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</si>
  <si>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</si>
  <si>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</si>
  <si>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</si>
  <si>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</si>
  <si>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</si>
  <si>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</si>
  <si>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</si>
  <si>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</si>
  <si>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</si>
  <si>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</si>
  <si>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</si>
  <si>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</si>
  <si>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</si>
  <si>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</si>
  <si>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</si>
  <si>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</si>
  <si>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</si>
  <si>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</si>
  <si>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</si>
  <si>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</si>
  <si>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</si>
  <si>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</si>
  <si>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</si>
  <si>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</si>
  <si>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</si>
  <si>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</si>
  <si>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</si>
  <si>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</si>
  <si>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</si>
  <si>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</si>
  <si>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</si>
  <si>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</si>
  <si>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</si>
  <si>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</si>
  <si>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</si>
  <si>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</si>
  <si>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</si>
  <si>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</si>
  <si>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</si>
  <si>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</si>
  <si>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</si>
  <si>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</si>
  <si>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</si>
  <si>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</si>
  <si>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</si>
  <si>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</si>
  <si>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</si>
  <si>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</si>
  <si>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</si>
  <si>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</si>
  <si>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</si>
  <si>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</si>
  <si>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</si>
  <si>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</si>
  <si>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</si>
  <si>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</si>
  <si>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</si>
  <si>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</si>
  <si>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</si>
  <si>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</si>
  <si>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</si>
  <si>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</si>
  <si>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</si>
  <si>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</si>
  <si>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</si>
  <si>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</si>
  <si>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</si>
  <si>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</si>
  <si>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</si>
  <si>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</si>
  <si>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</si>
  <si>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</si>
  <si>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</si>
  <si>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</si>
  <si>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</si>
  <si>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</si>
  <si>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</si>
  <si>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</si>
  <si>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</si>
  <si>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</si>
  <si>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</si>
  <si>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</si>
  <si>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</si>
  <si>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</si>
  <si>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</si>
  <si>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</si>
  <si>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</si>
  <si>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</si>
  <si>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</si>
  <si>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</si>
  <si>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</si>
  <si>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</si>
  <si>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</si>
  <si>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</si>
  <si>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</si>
  <si>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</si>
  <si>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</si>
  <si>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</si>
  <si>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</si>
  <si>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</si>
  <si>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</si>
  <si>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</si>
  <si>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</si>
  <si>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</si>
  <si>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</si>
  <si>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</si>
  <si>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</si>
  <si>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</si>
  <si>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</si>
  <si>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</si>
  <si>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</si>
  <si>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</si>
  <si>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</si>
  <si>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</si>
  <si>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</si>
  <si>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</si>
  <si>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</si>
  <si>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</si>
  <si>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</si>
  <si>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</si>
  <si>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</si>
  <si>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</si>
  <si>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</si>
  <si>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</si>
  <si>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</si>
  <si>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</si>
  <si>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</si>
  <si>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</si>
  <si>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</si>
  <si>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</si>
  <si>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</si>
  <si>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</si>
  <si>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</si>
  <si>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</si>
  <si>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</si>
  <si>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</si>
  <si>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</si>
  <si>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</si>
  <si>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</si>
  <si>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</si>
  <si>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</si>
  <si>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</si>
  <si>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</si>
  <si>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</si>
  <si>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</si>
  <si>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</si>
  <si>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</si>
  <si>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</si>
  <si>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</si>
  <si>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</si>
  <si>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</si>
  <si>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</si>
  <si>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</si>
  <si>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</si>
  <si>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</si>
  <si>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</si>
  <si>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</si>
  <si>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</si>
  <si>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</si>
  <si>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</si>
  <si>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</si>
  <si>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 xml:space="preserve">Puma </t>
  </si>
  <si>
    <t xml:space="preserve">Raha </t>
  </si>
  <si>
    <t>VODACOM POWER METER READING</t>
  </si>
  <si>
    <t>AITEL POWER METER READING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</si>
</sst>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14" xfId="0" applyFill="1" applyBorder="1"/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2905</c:v>
                </c:pt>
                <c:pt idx="1">
                  <c:v>2495</c:v>
                </c:pt>
                <c:pt idx="2">
                  <c:v>2865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3417216"/>
        <c:axId val="13422182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4223360"/>
        <c:axId val="134224896"/>
      </c:lineChart>
      <c:catAx>
        <c:axId val="13341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21824"/>
        <c:crosses val="autoZero"/>
        <c:auto val="1"/>
        <c:lblAlgn val="ctr"/>
        <c:lblOffset val="100"/>
      </c:catAx>
      <c:valAx>
        <c:axId val="13422182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417216"/>
        <c:crosses val="autoZero"/>
        <c:crossBetween val="between"/>
        <c:majorUnit val="200"/>
      </c:valAx>
      <c:catAx>
        <c:axId val="134223360"/>
        <c:scaling>
          <c:orientation val="minMax"/>
        </c:scaling>
        <c:delete val="1"/>
        <c:axPos val="b"/>
        <c:tickLblPos val="none"/>
        <c:crossAx val="134224896"/>
        <c:crosses val="autoZero"/>
        <c:auto val="1"/>
        <c:lblAlgn val="ctr"/>
        <c:lblOffset val="100"/>
      </c:catAx>
      <c:valAx>
        <c:axId val="1342248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233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4263168"/>
        <c:axId val="13426470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4266240"/>
        <c:axId val="134268032"/>
      </c:lineChart>
      <c:catAx>
        <c:axId val="13426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64704"/>
        <c:crosses val="autoZero"/>
        <c:auto val="1"/>
        <c:lblAlgn val="ctr"/>
        <c:lblOffset val="100"/>
      </c:catAx>
      <c:valAx>
        <c:axId val="134264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63168"/>
        <c:crosses val="autoZero"/>
        <c:crossBetween val="between"/>
        <c:majorUnit val="200"/>
      </c:valAx>
      <c:catAx>
        <c:axId val="134266240"/>
        <c:scaling>
          <c:orientation val="minMax"/>
        </c:scaling>
        <c:delete val="1"/>
        <c:axPos val="b"/>
        <c:tickLblPos val="none"/>
        <c:crossAx val="134268032"/>
        <c:crosses val="autoZero"/>
        <c:auto val="1"/>
        <c:lblAlgn val="ctr"/>
        <c:lblOffset val="100"/>
      </c:catAx>
      <c:valAx>
        <c:axId val="1342680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2662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6914432"/>
        <c:axId val="136915968"/>
      </c:lineChart>
      <c:catAx>
        <c:axId val="13691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15968"/>
        <c:crosses val="autoZero"/>
        <c:auto val="1"/>
        <c:lblAlgn val="ctr"/>
        <c:lblOffset val="200"/>
        <c:tickLblSkip val="1"/>
      </c:catAx>
      <c:valAx>
        <c:axId val="1369159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1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6940544"/>
        <c:axId val="138756864"/>
      </c:lineChart>
      <c:catAx>
        <c:axId val="13694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56864"/>
        <c:crosses val="autoZero"/>
        <c:auto val="1"/>
        <c:lblAlgn val="ctr"/>
        <c:lblOffset val="100"/>
      </c:catAx>
      <c:valAx>
        <c:axId val="1387568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94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38789632"/>
        <c:axId val="138791552"/>
      </c:lineChart>
      <c:catAx>
        <c:axId val="138789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91552"/>
        <c:crosses val="autoZero"/>
        <c:auto val="1"/>
        <c:lblAlgn val="ctr"/>
        <c:lblOffset val="100"/>
      </c:catAx>
      <c:valAx>
        <c:axId val="1387915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896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6420352"/>
        <c:axId val="136430720"/>
      </c:lineChart>
      <c:catAx>
        <c:axId val="136420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30720"/>
        <c:crosses val="autoZero"/>
        <c:auto val="1"/>
        <c:lblAlgn val="ctr"/>
        <c:lblOffset val="100"/>
      </c:catAx>
      <c:valAx>
        <c:axId val="1364307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4203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130.81199999998208</c:v>
                </c:pt>
                <c:pt idx="1">
                  <c:v>127.51200000004611</c:v>
                </c:pt>
                <c:pt idx="2">
                  <c:v>68.947999999992319</c:v>
                </c:pt>
                <c:pt idx="3">
                  <c:v>-331268.87200000003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63329536"/>
        <c:axId val="163331072"/>
      </c:lineChart>
      <c:catAx>
        <c:axId val="16332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31072"/>
        <c:crosses val="autoZero"/>
        <c:auto val="1"/>
        <c:lblAlgn val="ctr"/>
        <c:lblOffset val="100"/>
      </c:catAx>
      <c:valAx>
        <c:axId val="1633310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2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63368960"/>
        <c:axId val="163370496"/>
      </c:lineChart>
      <c:catAx>
        <c:axId val="16336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70496"/>
        <c:crosses val="autoZero"/>
        <c:auto val="1"/>
        <c:lblAlgn val="ctr"/>
        <c:lblOffset val="100"/>
      </c:catAx>
      <c:valAx>
        <c:axId val="163370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6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2882688"/>
        <c:axId val="162884224"/>
      </c:lineChart>
      <c:catAx>
        <c:axId val="16288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84224"/>
        <c:crosses val="autoZero"/>
        <c:auto val="1"/>
        <c:lblAlgn val="ctr"/>
        <c:lblOffset val="100"/>
      </c:catAx>
      <c:valAx>
        <c:axId val="162884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8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214"/>
          <c:y val="7.471324705111900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2912896"/>
        <c:axId val="91160960"/>
      </c:lineChart>
      <c:catAx>
        <c:axId val="162912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60960"/>
        <c:crosses val="autoZero"/>
        <c:auto val="1"/>
        <c:lblAlgn val="ctr"/>
        <c:lblOffset val="200"/>
        <c:tickLblSkip val="1"/>
      </c:catAx>
      <c:valAx>
        <c:axId val="911609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12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1202304"/>
        <c:axId val="91203840"/>
      </c:lineChart>
      <c:catAx>
        <c:axId val="9120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03840"/>
        <c:crosses val="autoZero"/>
        <c:auto val="1"/>
        <c:lblAlgn val="ctr"/>
        <c:lblOffset val="100"/>
      </c:catAx>
      <c:valAx>
        <c:axId val="91203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0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1220224"/>
        <c:axId val="91488640"/>
      </c:lineChart>
      <c:catAx>
        <c:axId val="91220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88640"/>
        <c:crosses val="autoZero"/>
        <c:auto val="1"/>
        <c:lblAlgn val="ctr"/>
        <c:lblOffset val="100"/>
      </c:catAx>
      <c:valAx>
        <c:axId val="914886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202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1546368"/>
        <c:axId val="91548288"/>
      </c:lineChart>
      <c:catAx>
        <c:axId val="91546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48288"/>
        <c:crosses val="autoZero"/>
        <c:auto val="1"/>
        <c:lblAlgn val="ctr"/>
        <c:lblOffset val="100"/>
      </c:catAx>
      <c:valAx>
        <c:axId val="915482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463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1913216"/>
        <c:axId val="91923200"/>
      </c:lineChart>
      <c:catAx>
        <c:axId val="9191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23200"/>
        <c:crosses val="autoZero"/>
        <c:auto val="1"/>
        <c:lblAlgn val="ctr"/>
        <c:lblOffset val="100"/>
      </c:catAx>
      <c:valAx>
        <c:axId val="91923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91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2096000"/>
        <c:axId val="92097536"/>
      </c:lineChart>
      <c:catAx>
        <c:axId val="9209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97536"/>
        <c:crosses val="autoZero"/>
        <c:auto val="1"/>
        <c:lblAlgn val="ctr"/>
        <c:lblOffset val="100"/>
      </c:catAx>
      <c:valAx>
        <c:axId val="92097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9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2121728"/>
        <c:axId val="92135808"/>
      </c:lineChart>
      <c:catAx>
        <c:axId val="92121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35808"/>
        <c:crosses val="autoZero"/>
        <c:auto val="1"/>
        <c:lblAlgn val="ctr"/>
        <c:lblOffset val="100"/>
      </c:catAx>
      <c:valAx>
        <c:axId val="92135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2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591"/>
          <c:y val="7.471324705111938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33752320"/>
        <c:axId val="13375385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2750592"/>
        <c:axId val="92752128"/>
      </c:lineChart>
      <c:catAx>
        <c:axId val="13375232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53856"/>
        <c:crosses val="autoZero"/>
        <c:lblAlgn val="ctr"/>
        <c:lblOffset val="100"/>
        <c:tickMarkSkip val="1"/>
      </c:catAx>
      <c:valAx>
        <c:axId val="13375385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52320"/>
        <c:crosses val="autoZero"/>
        <c:crossBetween val="between"/>
      </c:valAx>
      <c:catAx>
        <c:axId val="92750592"/>
        <c:scaling>
          <c:orientation val="minMax"/>
        </c:scaling>
        <c:delete val="1"/>
        <c:axPos val="b"/>
        <c:numFmt formatCode="[$-409]d\-mmm\-yy;@" sourceLinked="1"/>
        <c:tickLblPos val="none"/>
        <c:crossAx val="92752128"/>
        <c:crosses val="autoZero"/>
        <c:lblAlgn val="ctr"/>
        <c:lblOffset val="100"/>
      </c:catAx>
      <c:valAx>
        <c:axId val="9275212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505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2797184"/>
        <c:axId val="92889088"/>
      </c:lineChart>
      <c:catAx>
        <c:axId val="9279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89088"/>
        <c:crosses val="autoZero"/>
        <c:auto val="1"/>
        <c:lblAlgn val="ctr"/>
        <c:lblOffset val="100"/>
      </c:catAx>
      <c:valAx>
        <c:axId val="9288908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9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2917760"/>
        <c:axId val="92919296"/>
      </c:lineChart>
      <c:catAx>
        <c:axId val="9291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19296"/>
        <c:crosses val="autoZero"/>
        <c:auto val="1"/>
        <c:lblAlgn val="ctr"/>
        <c:lblOffset val="100"/>
      </c:catAx>
      <c:valAx>
        <c:axId val="9291929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1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4412800"/>
        <c:axId val="944143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4415872"/>
        <c:axId val="94425856"/>
      </c:lineChart>
      <c:catAx>
        <c:axId val="944128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14336"/>
        <c:crosses val="autoZero"/>
        <c:lblAlgn val="ctr"/>
        <c:lblOffset val="100"/>
        <c:tickMarkSkip val="1"/>
      </c:catAx>
      <c:valAx>
        <c:axId val="94414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12800"/>
        <c:crosses val="autoZero"/>
        <c:crossBetween val="between"/>
      </c:valAx>
      <c:catAx>
        <c:axId val="94415872"/>
        <c:scaling>
          <c:orientation val="minMax"/>
        </c:scaling>
        <c:delete val="1"/>
        <c:axPos val="b"/>
        <c:numFmt formatCode="General" sourceLinked="1"/>
        <c:tickLblPos val="none"/>
        <c:crossAx val="94425856"/>
        <c:crosses val="autoZero"/>
        <c:lblAlgn val="ctr"/>
        <c:lblOffset val="100"/>
      </c:catAx>
      <c:valAx>
        <c:axId val="944258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158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4864128"/>
        <c:axId val="94865664"/>
      </c:lineChart>
      <c:catAx>
        <c:axId val="9486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65664"/>
        <c:crosses val="autoZero"/>
        <c:auto val="1"/>
        <c:lblAlgn val="ctr"/>
        <c:lblOffset val="100"/>
      </c:catAx>
      <c:valAx>
        <c:axId val="9486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6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94886144"/>
        <c:axId val="95236096"/>
      </c:lineChart>
      <c:catAx>
        <c:axId val="9488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36096"/>
        <c:crosses val="autoZero"/>
        <c:auto val="1"/>
        <c:lblAlgn val="ctr"/>
        <c:lblOffset val="100"/>
      </c:catAx>
      <c:valAx>
        <c:axId val="95236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8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5467008"/>
        <c:axId val="9546854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5478528"/>
        <c:axId val="95480064"/>
      </c:lineChart>
      <c:catAx>
        <c:axId val="9546700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68544"/>
        <c:crosses val="autoZero"/>
        <c:lblAlgn val="ctr"/>
        <c:lblOffset val="100"/>
        <c:tickMarkSkip val="1"/>
      </c:catAx>
      <c:valAx>
        <c:axId val="954685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67008"/>
        <c:crosses val="autoZero"/>
        <c:crossBetween val="between"/>
      </c:valAx>
      <c:catAx>
        <c:axId val="95478528"/>
        <c:scaling>
          <c:orientation val="minMax"/>
        </c:scaling>
        <c:delete val="1"/>
        <c:axPos val="b"/>
        <c:numFmt formatCode="[$-409]d\-mmm\-yy;@" sourceLinked="1"/>
        <c:tickLblPos val="none"/>
        <c:crossAx val="95480064"/>
        <c:crosses val="autoZero"/>
        <c:lblAlgn val="ctr"/>
        <c:lblOffset val="100"/>
      </c:catAx>
      <c:valAx>
        <c:axId val="954800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785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95522816"/>
        <c:axId val="9552435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95525888"/>
        <c:axId val="95535872"/>
      </c:lineChart>
      <c:catAx>
        <c:axId val="955228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24352"/>
        <c:crosses val="autoZero"/>
        <c:lblAlgn val="ctr"/>
        <c:lblOffset val="100"/>
        <c:tickMarkSkip val="1"/>
      </c:catAx>
      <c:valAx>
        <c:axId val="95524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22816"/>
        <c:crosses val="autoZero"/>
        <c:crossBetween val="between"/>
      </c:valAx>
      <c:catAx>
        <c:axId val="95525888"/>
        <c:scaling>
          <c:orientation val="minMax"/>
        </c:scaling>
        <c:delete val="1"/>
        <c:axPos val="b"/>
        <c:numFmt formatCode="General" sourceLinked="1"/>
        <c:tickLblPos val="none"/>
        <c:crossAx val="95535872"/>
        <c:crosses val="autoZero"/>
        <c:lblAlgn val="ctr"/>
        <c:lblOffset val="100"/>
      </c:catAx>
      <c:valAx>
        <c:axId val="955358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258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97008640"/>
        <c:axId val="9701043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97011968"/>
        <c:axId val="97021952"/>
      </c:lineChart>
      <c:catAx>
        <c:axId val="9700864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10432"/>
        <c:crosses val="autoZero"/>
        <c:lblAlgn val="ctr"/>
        <c:lblOffset val="100"/>
        <c:tickMarkSkip val="1"/>
      </c:catAx>
      <c:valAx>
        <c:axId val="970104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08640"/>
        <c:crosses val="autoZero"/>
        <c:crossBetween val="between"/>
      </c:valAx>
      <c:catAx>
        <c:axId val="97011968"/>
        <c:scaling>
          <c:orientation val="minMax"/>
        </c:scaling>
        <c:delete val="1"/>
        <c:axPos val="b"/>
        <c:numFmt formatCode="[$-409]d\-mmm\-yy;@" sourceLinked="1"/>
        <c:tickLblPos val="none"/>
        <c:crossAx val="97021952"/>
        <c:crosses val="autoZero"/>
        <c:lblAlgn val="ctr"/>
        <c:lblOffset val="100"/>
      </c:catAx>
      <c:valAx>
        <c:axId val="9702195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11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97052160"/>
        <c:axId val="970536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97055488"/>
        <c:axId val="97057024"/>
      </c:lineChart>
      <c:catAx>
        <c:axId val="970521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53696"/>
        <c:crosses val="autoZero"/>
        <c:lblAlgn val="ctr"/>
        <c:lblOffset val="100"/>
        <c:tickMarkSkip val="1"/>
      </c:catAx>
      <c:valAx>
        <c:axId val="97053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52160"/>
        <c:crosses val="autoZero"/>
        <c:crossBetween val="between"/>
      </c:valAx>
      <c:catAx>
        <c:axId val="97055488"/>
        <c:scaling>
          <c:orientation val="minMax"/>
        </c:scaling>
        <c:delete val="1"/>
        <c:axPos val="b"/>
        <c:numFmt formatCode="General" sourceLinked="1"/>
        <c:tickLblPos val="none"/>
        <c:crossAx val="97057024"/>
        <c:crosses val="autoZero"/>
        <c:lblAlgn val="ctr"/>
        <c:lblOffset val="100"/>
      </c:catAx>
      <c:valAx>
        <c:axId val="970570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554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98323072"/>
        <c:axId val="98337536"/>
      </c:lineChart>
      <c:catAx>
        <c:axId val="98323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37536"/>
        <c:crosses val="autoZero"/>
        <c:auto val="1"/>
        <c:lblAlgn val="ctr"/>
        <c:lblOffset val="100"/>
      </c:catAx>
      <c:valAx>
        <c:axId val="983375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230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98358400"/>
        <c:axId val="98360320"/>
      </c:lineChart>
      <c:catAx>
        <c:axId val="98358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60320"/>
        <c:crosses val="autoZero"/>
        <c:auto val="1"/>
        <c:lblAlgn val="ctr"/>
        <c:lblOffset val="100"/>
      </c:catAx>
      <c:valAx>
        <c:axId val="983603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584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98717056"/>
        <c:axId val="98735232"/>
      </c:lineChart>
      <c:catAx>
        <c:axId val="9871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35232"/>
        <c:crosses val="autoZero"/>
        <c:auto val="1"/>
        <c:lblAlgn val="ctr"/>
        <c:lblOffset val="200"/>
        <c:tickLblSkip val="1"/>
      </c:catAx>
      <c:valAx>
        <c:axId val="987352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1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36782976"/>
        <c:axId val="136784512"/>
      </c:lineChart>
      <c:catAx>
        <c:axId val="13678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84512"/>
        <c:crosses val="autoZero"/>
        <c:auto val="1"/>
        <c:lblAlgn val="ctr"/>
        <c:lblOffset val="100"/>
      </c:catAx>
      <c:valAx>
        <c:axId val="1367845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8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81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130.81199999998208</c:v>
                </c:pt>
                <c:pt idx="1">
                  <c:v>127.51200000004611</c:v>
                </c:pt>
                <c:pt idx="2">
                  <c:v>68.947999999992319</c:v>
                </c:pt>
                <c:pt idx="3">
                  <c:v>-331268.87200000003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36813184"/>
        <c:axId val="136827264"/>
      </c:lineChart>
      <c:catAx>
        <c:axId val="13681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27264"/>
        <c:crosses val="autoZero"/>
        <c:auto val="1"/>
        <c:lblAlgn val="ctr"/>
        <c:lblOffset val="100"/>
      </c:catAx>
      <c:valAx>
        <c:axId val="136827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81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4209024"/>
        <c:axId val="164210944"/>
      </c:lineChart>
      <c:catAx>
        <c:axId val="1642090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10944"/>
        <c:crosses val="autoZero"/>
        <c:auto val="1"/>
        <c:lblAlgn val="ctr"/>
        <c:lblOffset val="100"/>
      </c:catAx>
      <c:valAx>
        <c:axId val="1642109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090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4231808"/>
        <c:axId val="164659968"/>
      </c:lineChart>
      <c:catAx>
        <c:axId val="1642318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59968"/>
        <c:crosses val="autoZero"/>
        <c:auto val="1"/>
        <c:lblAlgn val="ctr"/>
        <c:lblOffset val="100"/>
      </c:catAx>
      <c:valAx>
        <c:axId val="1646599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318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4689024"/>
        <c:axId val="164690560"/>
      </c:lineChart>
      <c:catAx>
        <c:axId val="16468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90560"/>
        <c:crosses val="autoZero"/>
        <c:auto val="1"/>
        <c:lblAlgn val="ctr"/>
        <c:lblOffset val="200"/>
        <c:tickLblSkip val="1"/>
      </c:catAx>
      <c:valAx>
        <c:axId val="1646905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8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5243520"/>
        <c:axId val="165253504"/>
      </c:lineChart>
      <c:catAx>
        <c:axId val="16524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53504"/>
        <c:crosses val="autoZero"/>
        <c:auto val="1"/>
        <c:lblAlgn val="ctr"/>
        <c:lblOffset val="100"/>
      </c:catAx>
      <c:valAx>
        <c:axId val="1652535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24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81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130.81199999998208</c:v>
                </c:pt>
                <c:pt idx="1">
                  <c:v>127.51200000004611</c:v>
                </c:pt>
                <c:pt idx="2">
                  <c:v>68.947999999992319</c:v>
                </c:pt>
                <c:pt idx="3">
                  <c:v>-331268.87200000003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5761408"/>
        <c:axId val="165762944"/>
      </c:lineChart>
      <c:catAx>
        <c:axId val="16576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62944"/>
        <c:crosses val="autoZero"/>
        <c:auto val="1"/>
        <c:lblAlgn val="ctr"/>
        <c:lblOffset val="100"/>
      </c:catAx>
      <c:valAx>
        <c:axId val="1657629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6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5803904"/>
        <c:axId val="166215680"/>
      </c:lineChart>
      <c:catAx>
        <c:axId val="165803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15680"/>
        <c:crosses val="autoZero"/>
        <c:auto val="1"/>
        <c:lblAlgn val="ctr"/>
        <c:lblOffset val="100"/>
      </c:catAx>
      <c:valAx>
        <c:axId val="1662156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039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6248832"/>
        <c:axId val="166250752"/>
      </c:lineChart>
      <c:catAx>
        <c:axId val="166248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50752"/>
        <c:crosses val="autoZero"/>
        <c:auto val="1"/>
        <c:lblAlgn val="ctr"/>
        <c:lblOffset val="100"/>
      </c:catAx>
      <c:valAx>
        <c:axId val="1662507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488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6546048"/>
        <c:axId val="166556032"/>
      </c:lineChart>
      <c:catAx>
        <c:axId val="166546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56032"/>
        <c:crosses val="autoZero"/>
        <c:auto val="1"/>
        <c:lblAlgn val="ctr"/>
        <c:lblOffset val="200"/>
        <c:tickLblSkip val="1"/>
      </c:catAx>
      <c:valAx>
        <c:axId val="1665560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46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6588800"/>
        <c:axId val="166590336"/>
      </c:lineChart>
      <c:catAx>
        <c:axId val="16658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90336"/>
        <c:crosses val="autoZero"/>
        <c:auto val="1"/>
        <c:lblAlgn val="ctr"/>
        <c:lblOffset val="100"/>
      </c:catAx>
      <c:valAx>
        <c:axId val="166590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8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00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6930304"/>
        <c:axId val="166931840"/>
      </c:lineChart>
      <c:catAx>
        <c:axId val="16693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31840"/>
        <c:crosses val="autoZero"/>
        <c:auto val="1"/>
        <c:lblAlgn val="ctr"/>
        <c:lblOffset val="100"/>
      </c:catAx>
      <c:valAx>
        <c:axId val="166931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3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6985088"/>
        <c:axId val="167142912"/>
      </c:lineChart>
      <c:catAx>
        <c:axId val="1669850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42912"/>
        <c:crosses val="autoZero"/>
        <c:auto val="1"/>
        <c:lblAlgn val="ctr"/>
        <c:lblOffset val="100"/>
      </c:catAx>
      <c:valAx>
        <c:axId val="1671429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850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7315328"/>
        <c:axId val="167337984"/>
      </c:lineChart>
      <c:catAx>
        <c:axId val="167315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37984"/>
        <c:crosses val="autoZero"/>
        <c:auto val="1"/>
        <c:lblAlgn val="ctr"/>
        <c:lblOffset val="100"/>
      </c:catAx>
      <c:valAx>
        <c:axId val="1673379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153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7358848"/>
        <c:axId val="167360384"/>
      </c:lineChart>
      <c:catAx>
        <c:axId val="16735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60384"/>
        <c:crosses val="autoZero"/>
        <c:auto val="1"/>
        <c:lblAlgn val="ctr"/>
        <c:lblOffset val="200"/>
        <c:tickLblSkip val="1"/>
      </c:catAx>
      <c:valAx>
        <c:axId val="16736038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5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7647104"/>
        <c:axId val="167648640"/>
      </c:lineChart>
      <c:catAx>
        <c:axId val="16764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48640"/>
        <c:crosses val="autoZero"/>
        <c:auto val="1"/>
        <c:lblAlgn val="ctr"/>
        <c:lblOffset val="100"/>
      </c:catAx>
      <c:valAx>
        <c:axId val="167648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4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00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7665024"/>
        <c:axId val="167687296"/>
      </c:lineChart>
      <c:catAx>
        <c:axId val="167665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87296"/>
        <c:crosses val="autoZero"/>
        <c:auto val="1"/>
        <c:lblAlgn val="ctr"/>
        <c:lblOffset val="100"/>
      </c:catAx>
      <c:valAx>
        <c:axId val="167687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65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2613</v>
      </c>
      <c r="F2" s="418">
        <f>('UTILITY REPORT 1'!E3*'UTILITY REPORT 1'!D3)/'UTILITY REPORT 1'!F3</f>
        <v>0.40437810945273633</v>
      </c>
      <c r="G2" s="418">
        <f>IF('Utility summery'!M6&lt;0,"0",'Utility summery'!M6)</f>
        <v>130.81199999998208</v>
      </c>
      <c r="H2" s="423">
        <v>0</v>
      </c>
      <c r="I2" s="418">
        <f>IF('UTILITY REPORT 1'!G3&lt;0,"0",'UTILITY REPORT 1'!G3)</f>
        <v>64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2905</v>
      </c>
      <c r="F3" s="418">
        <f>('UTILITY REPORT 1'!E4*'UTILITY REPORT 1'!D4)/'UTILITY REPORT 1'!F4</f>
        <v>0.39502581755593802</v>
      </c>
      <c r="G3" s="418">
        <f>IF('Utility summery'!M7&lt;0,"0",'Utility summery'!M7)</f>
        <v>127.51200000004611</v>
      </c>
      <c r="H3" s="423">
        <v>0</v>
      </c>
      <c r="I3" s="418">
        <f>IF('UTILITY REPORT 1'!G4&lt;0,"0",'UTILITY REPORT 1'!G4)</f>
        <v>56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2495</v>
      </c>
      <c r="F4" s="418">
        <f>('UTILITY REPORT 1'!E5*'UTILITY REPORT 1'!D5)/'UTILITY REPORT 1'!F5</f>
        <v>0.40824048096192384</v>
      </c>
      <c r="G4" s="418">
        <f>IF('Utility summery'!M8&lt;0,"0",'Utility summery'!M8)</f>
        <v>68.947999999992319</v>
      </c>
      <c r="H4" s="423">
        <v>0</v>
      </c>
      <c r="I4" s="418">
        <f>IF('UTILITY REPORT 1'!G5&lt;0,"0",'UTILITY REPORT 1'!G5)</f>
        <v>65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2865</v>
      </c>
      <c r="F5" s="418">
        <f>('UTILITY REPORT 1'!E6*'UTILITY REPORT 1'!D6)/'UTILITY REPORT 1'!F6</f>
        <v>0.40021291448516577</v>
      </c>
      <c r="G5" s="418" t="str">
        <f>IF('Utility summery'!M9&lt;0,"0",'Utility summery'!M9)</f>
        <v>0</v>
      </c>
      <c r="H5" s="423">
        <v>0</v>
      </c>
      <c r="I5" s="418">
        <f>IF('UTILITY REPORT 1'!G6&lt;0,"0",'UTILITY REPORT 1'!G6)</f>
        <v>55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0</v>
      </c>
      <c r="F6" s="418" t="e">
        <f>('UTILITY REPORT 1'!E7*'UTILITY REPORT 1'!D7)/'UTILITY REPORT 1'!F7</f>
        <v>#DIV/0!</v>
      </c>
      <c r="G6" s="418">
        <f>IF('Utility summery'!M10&lt;0,"0",'Utility summery'!M10)</f>
        <v>0</v>
      </c>
      <c r="H6" s="423">
        <v>0</v>
      </c>
      <c r="I6" s="418" t="str">
        <f>IF('UTILITY REPORT 1'!G7&lt;0,"0",'UTILITY REPORT 1'!G7)</f>
        <v>0</v>
      </c>
      <c r="J6" s="423">
        <v>0</v>
      </c>
      <c r="K6" s="417">
        <f>'UTILITY REPORT 1'!C7</f>
        <v>0</v>
      </c>
      <c r="L6" s="419" t="e">
        <f>E6*F6+G6*H6+#REF!*#REF!+I6*J6</f>
        <v>#DIV/0!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0</v>
      </c>
      <c r="F7" s="418" t="e">
        <f>('UTILITY REPORT 1'!E8*'UTILITY REPORT 1'!D8)/'UTILITY REPORT 1'!F8</f>
        <v>#DIV/0!</v>
      </c>
      <c r="G7" s="418">
        <f>IF('Utility summery'!M11&lt;0,"0",'Utility summery'!M11)</f>
        <v>0</v>
      </c>
      <c r="H7" s="423">
        <v>0</v>
      </c>
      <c r="I7" s="418">
        <f>IF('UTILITY REPORT 1'!G8&lt;0,"0",'UTILITY REPORT 1'!G8)</f>
        <v>0</v>
      </c>
      <c r="J7" s="423">
        <v>0</v>
      </c>
      <c r="K7" s="417">
        <f>'UTILITY REPORT 1'!C8</f>
        <v>0</v>
      </c>
      <c r="L7" s="419" t="e">
        <f>E7*F7+G7*H7+#REF!*#REF!+I7*J7</f>
        <v>#DIV/0!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0</v>
      </c>
      <c r="F8" s="418" t="e">
        <f>('UTILITY REPORT 1'!E9*'UTILITY REPORT 1'!D9)/'UTILITY REPORT 1'!F9</f>
        <v>#DIV/0!</v>
      </c>
      <c r="G8" s="418">
        <f>IF('Utility summery'!M12&lt;0,"0",'Utility summery'!M12)</f>
        <v>0</v>
      </c>
      <c r="H8" s="423">
        <v>0</v>
      </c>
      <c r="I8" s="418">
        <f>IF('UTILITY REPORT 1'!G9&lt;0,"0",'UTILITY REPORT 1'!G9)</f>
        <v>0</v>
      </c>
      <c r="J8" s="423">
        <v>0</v>
      </c>
      <c r="K8" s="417">
        <f>'UTILITY REPORT 1'!C9</f>
        <v>0</v>
      </c>
      <c r="L8" s="419" t="e">
        <f>E8*F8+G8*H8+#REF!*#REF!+I8*J8</f>
        <v>#DIV/0!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0</v>
      </c>
      <c r="F9" s="418" t="e">
        <f>('UTILITY REPORT 1'!E10*'UTILITY REPORT 1'!D10)/'UTILITY REPORT 1'!F10</f>
        <v>#DIV/0!</v>
      </c>
      <c r="G9" s="418">
        <f>IF('Utility summery'!M13&lt;0,"0",'Utility summery'!M13)</f>
        <v>0</v>
      </c>
      <c r="H9" s="423">
        <v>0</v>
      </c>
      <c r="I9" s="418">
        <f>IF('UTILITY REPORT 1'!G10&lt;0,"0",'UTILITY REPORT 1'!G10)</f>
        <v>0</v>
      </c>
      <c r="J9" s="423">
        <v>0</v>
      </c>
      <c r="K9" s="417">
        <f>'UTILITY REPORT 1'!C10</f>
        <v>0</v>
      </c>
      <c r="L9" s="419" t="e">
        <f>E9*F9+G9*H9+#REF!*#REF!+I9*J9</f>
        <v>#DIV/0!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0</v>
      </c>
      <c r="F10" s="418" t="e">
        <f>('UTILITY REPORT 1'!E11*'UTILITY REPORT 1'!D11)/'UTILITY REPORT 1'!F11</f>
        <v>#DIV/0!</v>
      </c>
      <c r="G10" s="418">
        <f>IF('Utility summery'!M14&lt;0,"0",'Utility summery'!M14)</f>
        <v>0</v>
      </c>
      <c r="H10" s="423">
        <v>0</v>
      </c>
      <c r="I10" s="418">
        <f>IF('UTILITY REPORT 1'!G11&lt;0,"0",'UTILITY REPORT 1'!G11)</f>
        <v>0</v>
      </c>
      <c r="J10" s="423">
        <v>0</v>
      </c>
      <c r="K10" s="417">
        <f>'UTILITY REPORT 1'!C11</f>
        <v>0</v>
      </c>
      <c r="L10" s="419" t="e">
        <f>E10*F10+G10*H10+#REF!*#REF!+I10*J10</f>
        <v>#DIV/0!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0</v>
      </c>
      <c r="F11" s="418" t="e">
        <f>('UTILITY REPORT 1'!E12*'UTILITY REPORT 1'!D12)/'UTILITY REPORT 1'!F12</f>
        <v>#DIV/0!</v>
      </c>
      <c r="G11" s="418">
        <f>IF('Utility summery'!M15&lt;0,"0",'Utility summery'!M15)</f>
        <v>0</v>
      </c>
      <c r="H11" s="423">
        <v>0</v>
      </c>
      <c r="I11" s="418">
        <f>IF('UTILITY REPORT 1'!G12&lt;0,"0",'UTILITY REPORT 1'!G12)</f>
        <v>0</v>
      </c>
      <c r="J11" s="423">
        <v>0</v>
      </c>
      <c r="K11" s="417">
        <f>'UTILITY REPORT 1'!C12</f>
        <v>0</v>
      </c>
      <c r="L11" s="419" t="e">
        <f>E11*F11+G11*H11+#REF!*#REF!+I11*J11</f>
        <v>#DIV/0!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0</v>
      </c>
      <c r="F12" s="418" t="e">
        <f>('UTILITY REPORT 1'!E13*'UTILITY REPORT 1'!D13)/'UTILITY REPORT 1'!F13</f>
        <v>#DIV/0!</v>
      </c>
      <c r="G12" s="418">
        <f>IF('Utility summery'!M16&lt;0,"0",'Utility summery'!M16)</f>
        <v>0</v>
      </c>
      <c r="H12" s="423">
        <v>0</v>
      </c>
      <c r="I12" s="418">
        <f>IF('UTILITY REPORT 1'!G13&lt;0,"0",'UTILITY REPORT 1'!G13)</f>
        <v>0</v>
      </c>
      <c r="J12" s="423">
        <v>0</v>
      </c>
      <c r="K12" s="417">
        <f>'UTILITY REPORT 1'!C13</f>
        <v>0</v>
      </c>
      <c r="L12" s="419" t="e">
        <f>E12*F12+G12*H12+#REF!*#REF!+I12*J12</f>
        <v>#DIV/0!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0</v>
      </c>
      <c r="H13" s="423">
        <v>0</v>
      </c>
      <c r="I13" s="418">
        <f>IF('UTILITY REPORT 1'!G14&lt;0,"0",'UTILITY REPORT 1'!G14)</f>
        <v>0</v>
      </c>
      <c r="J13" s="423">
        <v>0</v>
      </c>
      <c r="K13" s="417">
        <f>'UTILITY REPORT 1'!C14</f>
        <v>0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0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0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0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4" sqref="D14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1</v>
      </c>
      <c r="D2" s="461">
        <v>2021</v>
      </c>
      <c r="E2" s="462">
        <f>'UTILITY REPORT 1'!I3</f>
        <v>69.680000000000007</v>
      </c>
      <c r="F2" s="462">
        <f>'UTILITY REPORT 1'!E3</f>
        <v>1056.6400000000001</v>
      </c>
      <c r="G2" s="463">
        <f>'UTILITY REPORT 1'!F3</f>
        <v>2613</v>
      </c>
      <c r="H2" s="462">
        <f>IF('Kit report'!F4&lt;0,"0",'Kit report'!F4)</f>
        <v>240</v>
      </c>
      <c r="I2" s="462">
        <f>IF('Kit report'!X4&lt;0,"0",'Kit report'!X4)</f>
        <v>319.99999999989086</v>
      </c>
      <c r="J2" s="462">
        <f>IF('Utility summery'!H6&lt;0,"0",'Utility summery'!H6)</f>
        <v>3</v>
      </c>
      <c r="K2" s="463">
        <f>IF('UTILITY REPORT 1'!H3&lt;0,"0",'UTILITY REPORT 1'!H3)</f>
        <v>40</v>
      </c>
      <c r="L2" s="462">
        <f>'Water-Meter'!K6</f>
        <v>2</v>
      </c>
      <c r="M2" s="463">
        <f>'Water-Meter'!H6</f>
        <v>0</v>
      </c>
      <c r="N2" s="463">
        <f>'Water-Meter'!Q6</f>
        <v>4</v>
      </c>
      <c r="O2" s="462" t="e">
        <f>K2*E2+H2*I2+#REF!*#REF!+J2*L2</f>
        <v>#REF!</v>
      </c>
      <c r="P2" s="462">
        <f>'Water-Meter'!E6</f>
        <v>64</v>
      </c>
      <c r="Q2" s="405">
        <f>IF('Water-Meter'!U6&lt;0,"0",'Water-Meter'!U6)</f>
        <v>0</v>
      </c>
      <c r="R2" s="405">
        <f>IF('Water-Meter'!X6&lt;0,"0",'Water-Meter'!X6)</f>
        <v>0</v>
      </c>
      <c r="S2" s="405">
        <f>IF('Water-Meter'!AA6&lt;0,"0",'Water-Meter'!AA6)</f>
        <v>6</v>
      </c>
      <c r="T2" s="405">
        <f>IF('Water-Meter'!AD6&lt;0,"0",'Water-Meter'!AD6)</f>
        <v>16</v>
      </c>
      <c r="U2" s="405">
        <f>IF('Water-Meter'!AG6&lt;0,"0",'Water-Meter'!AG6)</f>
        <v>0</v>
      </c>
      <c r="V2" s="405">
        <f>IF('Water-Meter'!AJ6&lt;0,"0",'Water-Meter'!AJ6)</f>
        <v>25</v>
      </c>
      <c r="W2" s="30">
        <f>'Water-Meter'!AN6</f>
        <v>47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1</v>
      </c>
      <c r="D3" s="461">
        <v>2021</v>
      </c>
      <c r="E3" s="456">
        <f>'UTILITY REPORT 1'!I4</f>
        <v>172.49</v>
      </c>
      <c r="F3" s="456">
        <f>'UTILITY REPORT 1'!E4</f>
        <v>1147.55</v>
      </c>
      <c r="G3" s="457">
        <f>'UTILITY REPORT 1'!F4</f>
        <v>2905</v>
      </c>
      <c r="H3" s="456">
        <f>IF('Kit report'!F5&lt;0,"0",'Kit report'!F5)</f>
        <v>287.99999999995634</v>
      </c>
      <c r="I3" s="456">
        <f>IF('Kit report'!X5&lt;0,"0",'Kit report'!X5)</f>
        <v>239.99999999996362</v>
      </c>
      <c r="J3" s="456">
        <f>IF('Utility summery'!H7&lt;0,"0",'Utility summery'!H7)</f>
        <v>23</v>
      </c>
      <c r="K3" s="457">
        <f>IF('UTILITY REPORT 1'!H4&lt;0,"0",'UTILITY REPORT 1'!H4)</f>
        <v>167</v>
      </c>
      <c r="L3" s="456">
        <f>'Water-Meter'!K7</f>
        <v>2</v>
      </c>
      <c r="M3" s="457">
        <f>'Water-Meter'!H7</f>
        <v>0</v>
      </c>
      <c r="N3" s="457">
        <f>'Water-Meter'!Q7</f>
        <v>2</v>
      </c>
      <c r="O3" s="456" t="e">
        <f>K3*E3+H3*I3+#REF!*#REF!+J3*L3</f>
        <v>#REF!</v>
      </c>
      <c r="P3" s="462">
        <f>'Water-Meter'!E7</f>
        <v>56</v>
      </c>
      <c r="Q3" s="242">
        <f>IF('Water-Meter'!U7&lt;0,"0",'Water-Meter'!U7)</f>
        <v>88</v>
      </c>
      <c r="R3" s="242">
        <f>IF('Water-Meter'!X7&lt;0,"0",'Water-Meter'!X7)</f>
        <v>0</v>
      </c>
      <c r="S3" s="242">
        <f>IF('Water-Meter'!AA7&lt;0,"0",'Water-Meter'!AA7)</f>
        <v>41</v>
      </c>
      <c r="T3" s="242">
        <f>IF('Water-Meter'!AD7&lt;0,"0",'Water-Meter'!AD7)</f>
        <v>16</v>
      </c>
      <c r="U3" s="242">
        <f>IF('Water-Meter'!AG7&lt;0,"0",'Water-Meter'!AG7)</f>
        <v>0</v>
      </c>
      <c r="V3" s="242">
        <f>IF('Water-Meter'!AJ7&lt;0,"0",'Water-Meter'!AJ7)</f>
        <v>27</v>
      </c>
      <c r="W3" s="30">
        <f>'Water-Meter'!AN7</f>
        <v>172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1</v>
      </c>
      <c r="D4" s="461">
        <v>2021</v>
      </c>
      <c r="E4" s="456">
        <f>'UTILITY REPORT 1'!I5</f>
        <v>50.24</v>
      </c>
      <c r="F4" s="456">
        <f>'UTILITY REPORT 1'!E5</f>
        <v>1018.56</v>
      </c>
      <c r="G4" s="457">
        <f>'UTILITY REPORT 1'!F5</f>
        <v>2495</v>
      </c>
      <c r="H4" s="456">
        <f>IF('Kit report'!F6&lt;0,"0",'Kit report'!F6)</f>
        <v>275.99999999991269</v>
      </c>
      <c r="I4" s="456">
        <f>IF('Kit report'!X6&lt;0,"0",'Kit report'!X6)</f>
        <v>140.00000000014552</v>
      </c>
      <c r="J4" s="456">
        <f>IF('Utility summery'!H8&lt;0,"0",'Utility summery'!H8)</f>
        <v>43</v>
      </c>
      <c r="K4" s="457">
        <f>IF('UTILITY REPORT 1'!H5&lt;0,"0",'UTILITY REPORT 1'!H5)</f>
        <v>0</v>
      </c>
      <c r="L4" s="456">
        <f>'Water-Meter'!K8</f>
        <v>3</v>
      </c>
      <c r="M4" s="457">
        <f>'Water-Meter'!H8</f>
        <v>0</v>
      </c>
      <c r="N4" s="457">
        <f>'Water-Meter'!Q8</f>
        <v>2</v>
      </c>
      <c r="O4" s="456" t="e">
        <f>K4*E4+H4*I4+#REF!*#REF!+J4*L4</f>
        <v>#REF!</v>
      </c>
      <c r="P4" s="462">
        <f>'Water-Meter'!E8</f>
        <v>65</v>
      </c>
      <c r="Q4" s="242">
        <f>IF('Water-Meter'!U8&lt;0,"0",'Water-Meter'!U8)</f>
        <v>87</v>
      </c>
      <c r="R4" s="242">
        <f>IF('Water-Meter'!X8&lt;0,"0",'Water-Meter'!X8)</f>
        <v>0</v>
      </c>
      <c r="S4" s="242">
        <f>IF('Water-Meter'!AA8&lt;0,"0",'Water-Meter'!AA8)</f>
        <v>32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26</v>
      </c>
      <c r="W4" s="30">
        <f>'Water-Meter'!AN8</f>
        <v>161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1</v>
      </c>
      <c r="D5" s="461">
        <v>2021</v>
      </c>
      <c r="E5" s="456">
        <f>'UTILITY REPORT 1'!I6</f>
        <v>80.03</v>
      </c>
      <c r="F5" s="456">
        <f>'UTILITY REPORT 1'!E6</f>
        <v>1146.6099999999999</v>
      </c>
      <c r="G5" s="457">
        <f>'UTILITY REPORT 1'!F6</f>
        <v>2865</v>
      </c>
      <c r="H5" s="456">
        <f>IF('Kit report'!F7&lt;0,"0",'Kit report'!F7)</f>
        <v>264.00000000008731</v>
      </c>
      <c r="I5" s="456">
        <f>IF('Kit report'!X7&lt;0,"0",'Kit report'!X7)</f>
        <v>259.99999999985448</v>
      </c>
      <c r="J5" s="456">
        <f>IF('Utility summery'!H9&lt;0,"0",'Utility summery'!H9)</f>
        <v>45</v>
      </c>
      <c r="K5" s="457">
        <f>IF('UTILITY REPORT 1'!H6&lt;0,"0",'UTILITY REPORT 1'!H6)</f>
        <v>139</v>
      </c>
      <c r="L5" s="456">
        <f>'Water-Meter'!K9</f>
        <v>3</v>
      </c>
      <c r="M5" s="457">
        <f>'Water-Meter'!H9</f>
        <v>0</v>
      </c>
      <c r="N5" s="457">
        <f>'Water-Meter'!Q9</f>
        <v>3</v>
      </c>
      <c r="O5" s="456" t="e">
        <f>K5*E5+H5*I5+#REF!*#REF!+J5*L5</f>
        <v>#REF!</v>
      </c>
      <c r="P5" s="462">
        <f>'Water-Meter'!E9</f>
        <v>55</v>
      </c>
      <c r="Q5" s="242">
        <f>IF('Water-Meter'!U9&lt;0,"0",'Water-Meter'!U9)</f>
        <v>81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26</v>
      </c>
      <c r="W5" s="30">
        <f>'Water-Meter'!AN9</f>
        <v>123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1</v>
      </c>
      <c r="D6" s="461">
        <v>2021</v>
      </c>
      <c r="E6" s="456">
        <f>'UTILITY REPORT 1'!I7</f>
        <v>0</v>
      </c>
      <c r="F6" s="456">
        <f>'UTILITY REPORT 1'!E7</f>
        <v>0</v>
      </c>
      <c r="G6" s="457">
        <f>'UTILITY REPORT 1'!F7</f>
        <v>0</v>
      </c>
      <c r="H6" s="456" t="str">
        <f>IF('Kit report'!F8&lt;0,"0",'Kit report'!F8)</f>
        <v>0</v>
      </c>
      <c r="I6" s="456" t="str">
        <f>IF('Kit report'!X8&lt;0,"0",'Kit report'!X8)</f>
        <v>0</v>
      </c>
      <c r="J6" s="456" t="str">
        <f>IF('Utility summery'!H10&lt;0,"0",'Utility summery'!H10)</f>
        <v>0</v>
      </c>
      <c r="K6" s="457" t="str">
        <f>IF('UTILITY REPORT 1'!H7&lt;0,"0",'UTILITY REPORT 1'!H7)</f>
        <v>0</v>
      </c>
      <c r="L6" s="456" t="str">
        <f>'Water-Meter'!K10</f>
        <v>0</v>
      </c>
      <c r="M6" s="457">
        <f>'Water-Meter'!H10</f>
        <v>0</v>
      </c>
      <c r="N6" s="457" t="str">
        <f>'Water-Meter'!Q10</f>
        <v>0</v>
      </c>
      <c r="O6" s="456" t="e">
        <f>K6*E6+H6*I6+#REF!*#REF!+J6*L6</f>
        <v>#REF!</v>
      </c>
      <c r="P6" s="462" t="str">
        <f>'Water-Meter'!E10</f>
        <v>0</v>
      </c>
      <c r="Q6" s="242" t="str">
        <f>IF('Water-Meter'!U10&lt;0,"0",'Water-Meter'!U10)</f>
        <v>0</v>
      </c>
      <c r="R6" s="242" t="str">
        <f>IF('Water-Meter'!X10&lt;0,"0",'Water-Meter'!X10)</f>
        <v>0</v>
      </c>
      <c r="S6" s="242" t="str">
        <f>IF('Water-Meter'!AA10&lt;0,"0",'Water-Meter'!AA10)</f>
        <v>0</v>
      </c>
      <c r="T6" s="242" t="str">
        <f>IF('Water-Meter'!AD10&lt;0,"0",'Water-Meter'!AD10)</f>
        <v>0</v>
      </c>
      <c r="U6" s="242" t="str">
        <f>IF('Water-Meter'!AG10&lt;0,"0",'Water-Meter'!AG10)</f>
        <v>0</v>
      </c>
      <c r="V6" s="242" t="str">
        <f>IF('Water-Meter'!AJ10&lt;0,"0",'Water-Meter'!AJ10)</f>
        <v>0</v>
      </c>
      <c r="W6" s="30">
        <f>'Water-Meter'!AN10</f>
        <v>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1</v>
      </c>
      <c r="D7" s="461">
        <v>2021</v>
      </c>
      <c r="E7" s="456">
        <f>'UTILITY REPORT 1'!I8</f>
        <v>0</v>
      </c>
      <c r="F7" s="456">
        <f>'UTILITY REPORT 1'!E8</f>
        <v>0</v>
      </c>
      <c r="G7" s="457">
        <f>'UTILITY REPORT 1'!F8</f>
        <v>0</v>
      </c>
      <c r="H7" s="456">
        <f>IF('Kit report'!F9&lt;0,"0",'Kit report'!F9)</f>
        <v>0</v>
      </c>
      <c r="I7" s="456">
        <f>IF('Kit report'!X9&lt;0,"0",'Kit report'!X9)</f>
        <v>0</v>
      </c>
      <c r="J7" s="456">
        <f>IF('Utility summery'!H11&lt;0,"0",'Utility summery'!H11)</f>
        <v>0</v>
      </c>
      <c r="K7" s="457">
        <f>IF('UTILITY REPORT 1'!H8&lt;0,"0",'UTILITY REPORT 1'!H8)</f>
        <v>0</v>
      </c>
      <c r="L7" s="456">
        <f>'Water-Meter'!K11</f>
        <v>0</v>
      </c>
      <c r="M7" s="457">
        <f>'Water-Meter'!H11</f>
        <v>0</v>
      </c>
      <c r="N7" s="457">
        <f>'Water-Meter'!Q11</f>
        <v>0</v>
      </c>
      <c r="O7" s="456" t="e">
        <f>K7*E7+H7*I7+#REF!*#REF!+J7*L7</f>
        <v>#REF!</v>
      </c>
      <c r="P7" s="462">
        <f>'Water-Meter'!E11</f>
        <v>0</v>
      </c>
      <c r="Q7" s="242">
        <f>IF('Water-Meter'!U11&lt;0,"0",'Water-Meter'!U11)</f>
        <v>0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0</v>
      </c>
      <c r="U7" s="242">
        <f>IF('Water-Meter'!AG11&lt;0,"0",'Water-Meter'!AG11)</f>
        <v>0</v>
      </c>
      <c r="V7" s="242">
        <f>IF('Water-Meter'!AJ11&lt;0,"0",'Water-Meter'!AJ11)</f>
        <v>0</v>
      </c>
      <c r="W7" s="30">
        <f>'Water-Meter'!AN11</f>
        <v>0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1</v>
      </c>
      <c r="D8" s="461">
        <v>2021</v>
      </c>
      <c r="E8" s="456">
        <f>'UTILITY REPORT 1'!I9</f>
        <v>0</v>
      </c>
      <c r="F8" s="456">
        <f>'UTILITY REPORT 1'!E9</f>
        <v>0</v>
      </c>
      <c r="G8" s="457">
        <f>'UTILITY REPORT 1'!F9</f>
        <v>0</v>
      </c>
      <c r="H8" s="456">
        <f>IF('Kit report'!F10&lt;0,"0",'Kit report'!F10)</f>
        <v>0</v>
      </c>
      <c r="I8" s="456">
        <f>IF('Kit report'!X10&lt;0,"0",'Kit report'!X10)</f>
        <v>0</v>
      </c>
      <c r="J8" s="456">
        <f>IF('Utility summery'!H12&lt;0,"0",'Utility summery'!H12)</f>
        <v>0</v>
      </c>
      <c r="K8" s="457">
        <f>IF('UTILITY REPORT 1'!H9&lt;0,"0",'UTILITY REPORT 1'!H9)</f>
        <v>0</v>
      </c>
      <c r="L8" s="456">
        <f>'Water-Meter'!K12</f>
        <v>0</v>
      </c>
      <c r="M8" s="457">
        <f>'Water-Meter'!H12</f>
        <v>0</v>
      </c>
      <c r="N8" s="457">
        <f>'Water-Meter'!Q12</f>
        <v>0</v>
      </c>
      <c r="O8" s="456" t="e">
        <f>K8*E8+H8*I8+#REF!*#REF!+J8*L8</f>
        <v>#REF!</v>
      </c>
      <c r="P8" s="462">
        <f>'Water-Meter'!E12</f>
        <v>0</v>
      </c>
      <c r="Q8" s="242">
        <f>IF('Water-Meter'!U12&lt;0,"0",'Water-Meter'!U12)</f>
        <v>0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0</v>
      </c>
      <c r="U8" s="242">
        <f>IF('Water-Meter'!AG12&lt;0,"0",'Water-Meter'!AG12)</f>
        <v>0</v>
      </c>
      <c r="V8" s="242">
        <f>IF('Water-Meter'!AJ12&lt;0,"0",'Water-Meter'!AJ12)</f>
        <v>0</v>
      </c>
      <c r="W8" s="30">
        <f>'Water-Meter'!AN12</f>
        <v>0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1</v>
      </c>
      <c r="D9" s="461">
        <v>2021</v>
      </c>
      <c r="E9" s="456">
        <f>'UTILITY REPORT 1'!I10</f>
        <v>0</v>
      </c>
      <c r="F9" s="456">
        <f>'UTILITY REPORT 1'!E10</f>
        <v>0</v>
      </c>
      <c r="G9" s="457">
        <f>'UTILITY REPORT 1'!F10</f>
        <v>0</v>
      </c>
      <c r="H9" s="456">
        <f>IF('Kit report'!F11&lt;0,"0",'Kit report'!F11)</f>
        <v>0</v>
      </c>
      <c r="I9" s="456">
        <f>IF('Kit report'!X11&lt;0,"0",'Kit report'!X11)</f>
        <v>0</v>
      </c>
      <c r="J9" s="456">
        <f>IF('Utility summery'!H13&lt;0,"0",'Utility summery'!H13)</f>
        <v>0</v>
      </c>
      <c r="K9" s="457">
        <f>IF('UTILITY REPORT 1'!H10&lt;0,"0",'UTILITY REPORT 1'!H10)</f>
        <v>0</v>
      </c>
      <c r="L9" s="456">
        <f>'Water-Meter'!K13</f>
        <v>0</v>
      </c>
      <c r="M9" s="457">
        <f>'Water-Meter'!H13</f>
        <v>0</v>
      </c>
      <c r="N9" s="457">
        <f>'Water-Meter'!Q13</f>
        <v>0</v>
      </c>
      <c r="O9" s="456" t="e">
        <f>K9*E9+H9*I9+#REF!*#REF!+J9*L9</f>
        <v>#REF!</v>
      </c>
      <c r="P9" s="462">
        <f>'Water-Meter'!E13</f>
        <v>0</v>
      </c>
      <c r="Q9" s="242">
        <f>IF('Water-Meter'!U13&lt;0,"0",'Water-Meter'!U13)</f>
        <v>0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0</v>
      </c>
      <c r="U9" s="242">
        <f>IF('Water-Meter'!AG13&lt;0,"0",'Water-Meter'!AG13)</f>
        <v>0</v>
      </c>
      <c r="V9" s="242">
        <f>IF('Water-Meter'!AJ13&lt;0,"0",'Water-Meter'!AJ13)</f>
        <v>0</v>
      </c>
      <c r="W9" s="30">
        <f>'Water-Meter'!AN13</f>
        <v>0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1</v>
      </c>
      <c r="D10" s="461">
        <v>2021</v>
      </c>
      <c r="E10" s="456">
        <f>'UTILITY REPORT 1'!I11</f>
        <v>0</v>
      </c>
      <c r="F10" s="456">
        <f>'UTILITY REPORT 1'!E11</f>
        <v>0</v>
      </c>
      <c r="G10" s="457">
        <f>'UTILITY REPORT 1'!F11</f>
        <v>0</v>
      </c>
      <c r="H10" s="456">
        <f>IF('Kit report'!F12&lt;0,"0",'Kit report'!F12)</f>
        <v>0</v>
      </c>
      <c r="I10" s="456">
        <f>IF('Kit report'!X12&lt;0,"0",'Kit report'!X12)</f>
        <v>0</v>
      </c>
      <c r="J10" s="456">
        <f>IF('Utility summery'!H14&lt;0,"0",'Utility summery'!H14)</f>
        <v>0</v>
      </c>
      <c r="K10" s="457">
        <f>IF('UTILITY REPORT 1'!H11&lt;0,"0",'UTILITY REPORT 1'!H11)</f>
        <v>0</v>
      </c>
      <c r="L10" s="456">
        <f>'Water-Meter'!K14</f>
        <v>0</v>
      </c>
      <c r="M10" s="457">
        <f>'Water-Meter'!H14</f>
        <v>0</v>
      </c>
      <c r="N10" s="457">
        <f>'Water-Meter'!Q14</f>
        <v>0</v>
      </c>
      <c r="O10" s="456" t="e">
        <f>K10*E10+H10*I10+#REF!*#REF!+J10*L10</f>
        <v>#REF!</v>
      </c>
      <c r="P10" s="462">
        <f>'Water-Meter'!E14</f>
        <v>0</v>
      </c>
      <c r="Q10" s="242">
        <f>IF('Water-Meter'!U14&lt;0,"0",'Water-Meter'!U14)</f>
        <v>0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0</v>
      </c>
      <c r="U10" s="242">
        <f>IF('Water-Meter'!AG14&lt;0,"0",'Water-Meter'!AG14)</f>
        <v>0</v>
      </c>
      <c r="V10" s="242">
        <f>IF('Water-Meter'!AJ14&lt;0,"0",'Water-Meter'!AJ14)</f>
        <v>0</v>
      </c>
      <c r="W10" s="30">
        <f>'Water-Meter'!AN14</f>
        <v>0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1</v>
      </c>
      <c r="D11" s="461">
        <v>2021</v>
      </c>
      <c r="E11" s="456">
        <f>'UTILITY REPORT 1'!I12</f>
        <v>0</v>
      </c>
      <c r="F11" s="456">
        <f>'UTILITY REPORT 1'!E12</f>
        <v>0</v>
      </c>
      <c r="G11" s="457">
        <f>'UTILITY REPORT 1'!F12</f>
        <v>0</v>
      </c>
      <c r="H11" s="456">
        <f>IF('Kit report'!F13&lt;0,"0",'Kit report'!F13)</f>
        <v>0</v>
      </c>
      <c r="I11" s="456">
        <f>IF('Kit report'!X13&lt;0,"0",'Kit report'!X13)</f>
        <v>0</v>
      </c>
      <c r="J11" s="456">
        <f>IF('Utility summery'!H15&lt;0,"0",'Utility summery'!H15)</f>
        <v>0</v>
      </c>
      <c r="K11" s="457">
        <f>IF('UTILITY REPORT 1'!H12&lt;0,"0",'UTILITY REPORT 1'!H12)</f>
        <v>0</v>
      </c>
      <c r="L11" s="456">
        <f>'Water-Meter'!K15</f>
        <v>0</v>
      </c>
      <c r="M11" s="457">
        <f>'Water-Meter'!H15</f>
        <v>0</v>
      </c>
      <c r="N11" s="457">
        <f>'Water-Meter'!Q15</f>
        <v>0</v>
      </c>
      <c r="O11" s="456" t="e">
        <f>K11*E11+H11*I11+#REF!*#REF!+J11*L11</f>
        <v>#REF!</v>
      </c>
      <c r="P11" s="462">
        <f>'Water-Meter'!E15</f>
        <v>0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0</v>
      </c>
      <c r="U11" s="242">
        <f>IF('Water-Meter'!AG15&lt;0,"0",'Water-Meter'!AG15)</f>
        <v>0</v>
      </c>
      <c r="V11" s="242">
        <f>IF('Water-Meter'!AJ15&lt;0,"0",'Water-Meter'!AJ15)</f>
        <v>0</v>
      </c>
      <c r="W11" s="30">
        <f>'Water-Meter'!AN15</f>
        <v>0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1</v>
      </c>
      <c r="D12" s="461">
        <v>2021</v>
      </c>
      <c r="E12" s="456">
        <f>'UTILITY REPORT 1'!I13</f>
        <v>0</v>
      </c>
      <c r="F12" s="456">
        <f>'UTILITY REPORT 1'!E13</f>
        <v>0</v>
      </c>
      <c r="G12" s="457">
        <f>'UTILITY REPORT 1'!F13</f>
        <v>0</v>
      </c>
      <c r="H12" s="456">
        <f>IF('Kit report'!F14&lt;0,"0",'Kit report'!F14)</f>
        <v>0</v>
      </c>
      <c r="I12" s="456">
        <f>IF('Kit report'!X14&lt;0,"0",'Kit report'!X14)</f>
        <v>0</v>
      </c>
      <c r="J12" s="456">
        <f>IF('Utility summery'!H16&lt;0,"0",'Utility summery'!H16)</f>
        <v>0</v>
      </c>
      <c r="K12" s="457">
        <f>IF('UTILITY REPORT 1'!H13&lt;0,"0",'UTILITY REPORT 1'!H13)</f>
        <v>0</v>
      </c>
      <c r="L12" s="456">
        <f>'Water-Meter'!K16</f>
        <v>0</v>
      </c>
      <c r="M12" s="457">
        <f>'Water-Meter'!H16</f>
        <v>0</v>
      </c>
      <c r="N12" s="457">
        <f>'Water-Meter'!Q16</f>
        <v>0</v>
      </c>
      <c r="O12" s="456" t="e">
        <f>K12*E12+H12*I12+#REF!*#REF!+J12*L12</f>
        <v>#REF!</v>
      </c>
      <c r="P12" s="462">
        <f>'Water-Meter'!E16</f>
        <v>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0</v>
      </c>
      <c r="U12" s="242">
        <f>IF('Water-Meter'!AG16&lt;0,"0",'Water-Meter'!AG16)</f>
        <v>0</v>
      </c>
      <c r="V12" s="242">
        <f>IF('Water-Meter'!AJ16&lt;0,"0",'Water-Meter'!AJ16)</f>
        <v>0</v>
      </c>
      <c r="W12" s="30">
        <f>'Water-Meter'!AN16</f>
        <v>0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1</v>
      </c>
      <c r="D13" s="461">
        <v>2021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>
        <f>IF('Kit report'!F15&lt;0,"0",'Kit report'!F15)</f>
        <v>0</v>
      </c>
      <c r="I13" s="456">
        <f>IF('Kit report'!X15&lt;0,"0",'Kit report'!X15)</f>
        <v>0</v>
      </c>
      <c r="J13" s="456">
        <f>IF('Utility summery'!H17&lt;0,"0",'Utility summery'!H17)</f>
        <v>0</v>
      </c>
      <c r="K13" s="457">
        <f>IF('UTILITY REPORT 1'!H14&lt;0,"0",'UTILITY REPORT 1'!H14)</f>
        <v>0</v>
      </c>
      <c r="L13" s="456">
        <f>'Water-Meter'!K17</f>
        <v>0</v>
      </c>
      <c r="M13" s="457">
        <f>'Water-Meter'!H17</f>
        <v>0</v>
      </c>
      <c r="N13" s="457">
        <f>'Water-Meter'!Q17</f>
        <v>0</v>
      </c>
      <c r="O13" s="456" t="e">
        <f>K13*E13+H13*I13+#REF!*#REF!+J13*L13</f>
        <v>#REF!</v>
      </c>
      <c r="P13" s="462">
        <f>'Water-Meter'!E17</f>
        <v>0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0</v>
      </c>
      <c r="U13" s="242">
        <f>IF('Water-Meter'!AG17&lt;0,"0",'Water-Meter'!AG17)</f>
        <v>0</v>
      </c>
      <c r="V13" s="242">
        <f>IF('Water-Meter'!AJ17&lt;0,"0",'Water-Meter'!AJ17)</f>
        <v>0</v>
      </c>
      <c r="W13" s="30">
        <f>'Water-Meter'!AN17</f>
        <v>0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1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1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1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1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1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1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1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1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1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1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1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1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1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1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1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1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1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1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1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7" t="s">
        <v>314</v>
      </c>
      <c r="B1" s="847"/>
      <c r="C1" s="847"/>
      <c r="D1" s="847"/>
      <c r="E1" s="847"/>
      <c r="F1" s="847"/>
      <c r="G1" s="847"/>
      <c r="H1" s="847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44256</v>
      </c>
      <c r="B3" s="404">
        <f>Gen!B11</f>
        <v>0</v>
      </c>
      <c r="C3" s="405">
        <f>'Summery Report'!E5</f>
        <v>0</v>
      </c>
      <c r="D3" s="406">
        <v>1</v>
      </c>
      <c r="E3" s="405">
        <f>Gen!S11</f>
        <v>1056.6400000000001</v>
      </c>
      <c r="F3" s="405">
        <f>Gen!T11</f>
        <v>2613</v>
      </c>
      <c r="G3" s="405">
        <f>'Water-Meter'!E6</f>
        <v>64</v>
      </c>
      <c r="H3" s="405">
        <f>'Utility report '!AC6</f>
        <v>40</v>
      </c>
      <c r="I3" s="405">
        <f>Gen!AJ11</f>
        <v>69.680000000000007</v>
      </c>
    </row>
    <row r="4" spans="1:9" ht="13.5">
      <c r="A4" s="402">
        <f>Gen!A12</f>
        <v>44257</v>
      </c>
      <c r="B4" s="404">
        <f>Gen!B12</f>
        <v>0</v>
      </c>
      <c r="C4" s="405">
        <f>'Summery Report'!E6</f>
        <v>0</v>
      </c>
      <c r="D4" s="406">
        <v>1</v>
      </c>
      <c r="E4" s="405">
        <f>Gen!S12</f>
        <v>1147.55</v>
      </c>
      <c r="F4" s="405">
        <f>Gen!T12</f>
        <v>2905</v>
      </c>
      <c r="G4" s="405">
        <f>'Water-Meter'!E7</f>
        <v>56</v>
      </c>
      <c r="H4" s="405">
        <f>'Utility report '!AC7</f>
        <v>167</v>
      </c>
      <c r="I4" s="405">
        <f>Gen!AJ12</f>
        <v>172.49</v>
      </c>
    </row>
    <row r="5" spans="1:9" ht="13.5">
      <c r="A5" s="402">
        <f>Gen!A13</f>
        <v>44258</v>
      </c>
      <c r="B5" s="404">
        <f>Gen!B13</f>
        <v>0</v>
      </c>
      <c r="C5" s="405">
        <f>'Summery Report'!E7</f>
        <v>0</v>
      </c>
      <c r="D5" s="406">
        <v>1</v>
      </c>
      <c r="E5" s="405">
        <f>Gen!S13</f>
        <v>1018.56</v>
      </c>
      <c r="F5" s="405">
        <f>Gen!T13</f>
        <v>2495</v>
      </c>
      <c r="G5" s="405">
        <f>'Water-Meter'!E8</f>
        <v>65</v>
      </c>
      <c r="H5" s="405">
        <f>'Utility report '!AC8</f>
        <v>0</v>
      </c>
      <c r="I5" s="405">
        <f>Gen!AJ13</f>
        <v>50.24</v>
      </c>
    </row>
    <row r="6" spans="1:9" ht="13.5">
      <c r="A6" s="402">
        <f>Gen!A14</f>
        <v>44259</v>
      </c>
      <c r="B6" s="404">
        <f>Gen!B14</f>
        <v>0</v>
      </c>
      <c r="C6" s="405">
        <f>'Summery Report'!E8</f>
        <v>0</v>
      </c>
      <c r="D6" s="406">
        <v>1</v>
      </c>
      <c r="E6" s="405">
        <f>Gen!S14</f>
        <v>1146.6099999999999</v>
      </c>
      <c r="F6" s="405">
        <f>Gen!T14</f>
        <v>2865</v>
      </c>
      <c r="G6" s="405">
        <f>'Water-Meter'!E9</f>
        <v>55</v>
      </c>
      <c r="H6" s="405">
        <f>'Utility report '!AC9</f>
        <v>139</v>
      </c>
      <c r="I6" s="405">
        <f>Gen!AJ14</f>
        <v>80.03</v>
      </c>
    </row>
    <row r="7" spans="1:9" ht="13.5">
      <c r="A7" s="402">
        <f>Gen!A15</f>
        <v>44260</v>
      </c>
      <c r="B7" s="404">
        <f>Gen!B15</f>
        <v>0</v>
      </c>
      <c r="C7" s="405">
        <f>'Summery Report'!E9</f>
        <v>0</v>
      </c>
      <c r="D7" s="406">
        <v>1</v>
      </c>
      <c r="E7" s="405">
        <f>Gen!S15</f>
        <v>0</v>
      </c>
      <c r="F7" s="405">
        <f>Gen!T15</f>
        <v>0</v>
      </c>
      <c r="G7" s="405" t="str">
        <f>'Water-Meter'!E10</f>
        <v>0</v>
      </c>
      <c r="H7" s="405">
        <f>'Utility report '!AC10</f>
        <v>-47654</v>
      </c>
      <c r="I7" s="405">
        <f>Gen!AJ15</f>
        <v>0</v>
      </c>
    </row>
    <row r="8" spans="1:9" ht="13.5">
      <c r="A8" s="402">
        <f>Gen!A16</f>
        <v>44261</v>
      </c>
      <c r="B8" s="404">
        <f>Gen!B16</f>
        <v>0</v>
      </c>
      <c r="C8" s="405">
        <f>'Summery Report'!E10</f>
        <v>0</v>
      </c>
      <c r="D8" s="406">
        <v>1</v>
      </c>
      <c r="E8" s="405">
        <f>Gen!S16</f>
        <v>0</v>
      </c>
      <c r="F8" s="405">
        <f>Gen!T16</f>
        <v>0</v>
      </c>
      <c r="G8" s="405">
        <f>'Water-Meter'!E11</f>
        <v>0</v>
      </c>
      <c r="H8" s="405">
        <f>'Utility report '!AC11</f>
        <v>0</v>
      </c>
      <c r="I8" s="405">
        <f>Gen!AJ16</f>
        <v>0</v>
      </c>
    </row>
    <row r="9" spans="1:9" ht="13.5">
      <c r="A9" s="402">
        <f>Gen!A17</f>
        <v>44262</v>
      </c>
      <c r="B9" s="404">
        <f>Gen!B17</f>
        <v>0</v>
      </c>
      <c r="C9" s="405">
        <f>'Summery Report'!E11</f>
        <v>0</v>
      </c>
      <c r="D9" s="406">
        <v>1</v>
      </c>
      <c r="E9" s="405">
        <f>Gen!S17</f>
        <v>0</v>
      </c>
      <c r="F9" s="405">
        <f>Gen!T17</f>
        <v>0</v>
      </c>
      <c r="G9" s="405">
        <f>'Water-Meter'!E12</f>
        <v>0</v>
      </c>
      <c r="H9" s="405">
        <f>'Utility report '!AC12</f>
        <v>0</v>
      </c>
      <c r="I9" s="405">
        <f>Gen!AJ17</f>
        <v>0</v>
      </c>
    </row>
    <row r="10" spans="1:9" ht="13.5">
      <c r="A10" s="402">
        <f>Gen!A18</f>
        <v>44263</v>
      </c>
      <c r="B10" s="404">
        <f>Gen!B18</f>
        <v>0</v>
      </c>
      <c r="C10" s="405">
        <f>'Summery Report'!E12</f>
        <v>0</v>
      </c>
      <c r="D10" s="406">
        <v>1</v>
      </c>
      <c r="E10" s="405">
        <f>Gen!S18</f>
        <v>0</v>
      </c>
      <c r="F10" s="405">
        <f>Gen!T18</f>
        <v>0</v>
      </c>
      <c r="G10" s="405">
        <f>'Water-Meter'!E13</f>
        <v>0</v>
      </c>
      <c r="H10" s="405">
        <f>'Utility report '!AC13</f>
        <v>0</v>
      </c>
      <c r="I10" s="405">
        <f>Gen!AJ18</f>
        <v>0</v>
      </c>
    </row>
    <row r="11" spans="1:9" ht="13.5">
      <c r="A11" s="402">
        <f>Gen!A19</f>
        <v>44264</v>
      </c>
      <c r="B11" s="404">
        <f>Gen!B19</f>
        <v>0</v>
      </c>
      <c r="C11" s="405">
        <f>'Summery Report'!E13</f>
        <v>0</v>
      </c>
      <c r="D11" s="406">
        <v>1</v>
      </c>
      <c r="E11" s="405">
        <f>Gen!S19</f>
        <v>0</v>
      </c>
      <c r="F11" s="405">
        <f>Gen!T19</f>
        <v>0</v>
      </c>
      <c r="G11" s="405">
        <f>'Water-Meter'!E14</f>
        <v>0</v>
      </c>
      <c r="H11" s="405">
        <f>'Utility report '!AC14</f>
        <v>0</v>
      </c>
      <c r="I11" s="405">
        <f>Gen!AJ19</f>
        <v>0</v>
      </c>
    </row>
    <row r="12" spans="1:9" ht="13.5">
      <c r="A12" s="402">
        <f>Gen!A20</f>
        <v>44265</v>
      </c>
      <c r="B12" s="404">
        <f>Gen!B20</f>
        <v>0</v>
      </c>
      <c r="C12" s="405">
        <f>'Summery Report'!E14</f>
        <v>0</v>
      </c>
      <c r="D12" s="406">
        <v>1</v>
      </c>
      <c r="E12" s="405">
        <f>Gen!S20</f>
        <v>0</v>
      </c>
      <c r="F12" s="405">
        <f>Gen!T20</f>
        <v>0</v>
      </c>
      <c r="G12" s="405">
        <f>'Water-Meter'!E15</f>
        <v>0</v>
      </c>
      <c r="H12" s="405">
        <f>'Utility report '!AC15</f>
        <v>0</v>
      </c>
      <c r="I12" s="405">
        <f>Gen!AJ20</f>
        <v>0</v>
      </c>
    </row>
    <row r="13" spans="1:9" ht="13.5">
      <c r="A13" s="402">
        <f>Gen!A21</f>
        <v>44266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0</v>
      </c>
      <c r="F13" s="405">
        <f>Gen!T21</f>
        <v>0</v>
      </c>
      <c r="G13" s="405">
        <f>'Water-Meter'!E16</f>
        <v>0</v>
      </c>
      <c r="H13" s="405">
        <f>'Utility report '!AC16</f>
        <v>0</v>
      </c>
      <c r="I13" s="405">
        <f>Gen!AJ21</f>
        <v>0</v>
      </c>
    </row>
    <row r="14" spans="1:9" ht="13.5">
      <c r="A14" s="402">
        <f>Gen!A22</f>
        <v>44267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0</v>
      </c>
      <c r="F14" s="405">
        <f>Gen!T22</f>
        <v>0</v>
      </c>
      <c r="G14" s="405">
        <f>'Water-Meter'!E17</f>
        <v>0</v>
      </c>
      <c r="H14" s="405">
        <f>'Utility report '!AC17</f>
        <v>0</v>
      </c>
      <c r="I14" s="405">
        <f>Gen!AJ22</f>
        <v>0</v>
      </c>
    </row>
    <row r="15" spans="1:9" ht="13.5">
      <c r="A15" s="402">
        <f>Gen!A23</f>
        <v>44268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44269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44270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44271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44272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44273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44274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44275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44276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44277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44278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44279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44280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44281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44282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44283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44284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44285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44286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6" t="s">
        <v>0</v>
      </c>
      <c r="B4" s="777" t="s">
        <v>141</v>
      </c>
      <c r="C4" s="778" t="s">
        <v>248</v>
      </c>
      <c r="D4" s="848" t="s">
        <v>135</v>
      </c>
      <c r="E4" s="848"/>
      <c r="F4" s="848"/>
      <c r="G4" s="849" t="s">
        <v>20</v>
      </c>
      <c r="H4" s="849"/>
      <c r="I4" s="849"/>
      <c r="J4" s="850" t="s">
        <v>54</v>
      </c>
      <c r="K4" s="850"/>
      <c r="L4" s="850"/>
      <c r="M4" s="850"/>
      <c r="N4" s="851" t="s">
        <v>143</v>
      </c>
      <c r="O4" s="851"/>
      <c r="P4" s="851"/>
      <c r="Q4" s="779"/>
      <c r="R4" s="779"/>
      <c r="S4" s="780"/>
    </row>
    <row r="5" spans="1:19" ht="25.5">
      <c r="A5" s="781"/>
      <c r="B5" s="782"/>
      <c r="C5" s="783"/>
      <c r="D5" s="784" t="s">
        <v>136</v>
      </c>
      <c r="E5" s="784" t="s">
        <v>137</v>
      </c>
      <c r="F5" s="784" t="s">
        <v>121</v>
      </c>
      <c r="G5" s="785" t="s">
        <v>138</v>
      </c>
      <c r="H5" s="785" t="s">
        <v>19</v>
      </c>
      <c r="I5" s="786" t="s">
        <v>139</v>
      </c>
      <c r="J5" s="787" t="s">
        <v>142</v>
      </c>
      <c r="K5" s="787" t="s">
        <v>140</v>
      </c>
      <c r="L5" s="787" t="s">
        <v>140</v>
      </c>
      <c r="M5" s="788" t="s">
        <v>18</v>
      </c>
      <c r="N5" s="789" t="s">
        <v>144</v>
      </c>
      <c r="O5" s="789" t="s">
        <v>146</v>
      </c>
      <c r="P5" s="790" t="s">
        <v>145</v>
      </c>
      <c r="Q5" s="791" t="s">
        <v>148</v>
      </c>
      <c r="R5" s="791" t="s">
        <v>147</v>
      </c>
      <c r="S5" s="792" t="s">
        <v>149</v>
      </c>
    </row>
    <row r="6" spans="1:19" ht="14.25">
      <c r="A6" s="450">
        <f>Gen!A11</f>
        <v>44256</v>
      </c>
      <c r="B6" s="6">
        <f>'Summery Report'!E5</f>
        <v>0</v>
      </c>
      <c r="C6" s="6">
        <f>Gen!U11</f>
        <v>0.40437810945273633</v>
      </c>
      <c r="D6" s="152">
        <f>Gen!T11</f>
        <v>2613</v>
      </c>
      <c r="E6" s="152">
        <f>Gen!AK11</f>
        <v>0</v>
      </c>
      <c r="F6" s="152">
        <f>Gen!AS11</f>
        <v>0</v>
      </c>
      <c r="G6" s="153">
        <f>'Utility report '!AC6</f>
        <v>40</v>
      </c>
      <c r="H6" s="153">
        <f>'Utility report '!AE6</f>
        <v>3</v>
      </c>
      <c r="I6" s="296">
        <f>'Water-Meter'!E6</f>
        <v>64</v>
      </c>
      <c r="J6" s="154">
        <f>'Lpg (2)'!B10</f>
        <v>28</v>
      </c>
      <c r="K6" s="154">
        <f>'Lpg (2)'!C10</f>
        <v>85</v>
      </c>
      <c r="L6" s="154">
        <f>'Lpg (2)'!D10</f>
        <v>85</v>
      </c>
      <c r="M6" s="449">
        <f>'Lpg (2)'!G10</f>
        <v>130.81199999998208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44257</v>
      </c>
      <c r="B7" s="6">
        <f>'Summery Report'!E6</f>
        <v>0</v>
      </c>
      <c r="C7" s="6">
        <f>Gen!U12</f>
        <v>0.39502581755593802</v>
      </c>
      <c r="D7" s="152">
        <f>Gen!T12</f>
        <v>2905</v>
      </c>
      <c r="E7" s="152">
        <f>Gen!AK12</f>
        <v>0</v>
      </c>
      <c r="F7" s="152">
        <f>Gen!AS12</f>
        <v>0</v>
      </c>
      <c r="G7" s="153">
        <f>'Utility report '!AC7</f>
        <v>167</v>
      </c>
      <c r="H7" s="153">
        <f>'Utility report '!AE7</f>
        <v>23</v>
      </c>
      <c r="I7" s="296">
        <f>'Water-Meter'!E7</f>
        <v>56</v>
      </c>
      <c r="J7" s="154">
        <f>'Lpg (2)'!B11</f>
        <v>25</v>
      </c>
      <c r="K7" s="154">
        <f>'Lpg (2)'!C11</f>
        <v>85</v>
      </c>
      <c r="L7" s="154">
        <f>'Lpg (2)'!D11</f>
        <v>85</v>
      </c>
      <c r="M7" s="449">
        <f>'Lpg (2)'!G11</f>
        <v>127.51200000004611</v>
      </c>
      <c r="N7" s="151">
        <f>D7*1.4</f>
        <v>4066.9999999999995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44258</v>
      </c>
      <c r="B8" s="6">
        <f>'Summery Report'!E7</f>
        <v>0</v>
      </c>
      <c r="C8" s="6">
        <f>Gen!U13</f>
        <v>0.40824048096192384</v>
      </c>
      <c r="D8" s="152">
        <f>Gen!T13</f>
        <v>2495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43</v>
      </c>
      <c r="I8" s="296">
        <f>'Water-Meter'!E8</f>
        <v>65</v>
      </c>
      <c r="J8" s="154">
        <f>'Lpg (2)'!B12</f>
        <v>23</v>
      </c>
      <c r="K8" s="154">
        <f>'Lpg (2)'!C12</f>
        <v>85</v>
      </c>
      <c r="L8" s="154">
        <f>'Lpg (2)'!D12</f>
        <v>85</v>
      </c>
      <c r="M8" s="449">
        <f>'Lpg (2)'!G12</f>
        <v>68.947999999992319</v>
      </c>
      <c r="N8" s="151">
        <f t="shared" ref="N8:O36" si="2">D8*1.4</f>
        <v>3493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44259</v>
      </c>
      <c r="B9" s="6">
        <f>'Summery Report'!E8</f>
        <v>0</v>
      </c>
      <c r="C9" s="6">
        <f>Gen!U14</f>
        <v>0.40021291448516577</v>
      </c>
      <c r="D9" s="152">
        <f>Gen!T14</f>
        <v>2865</v>
      </c>
      <c r="E9" s="152">
        <f>Gen!AK14</f>
        <v>0</v>
      </c>
      <c r="F9" s="152">
        <f>Gen!AS14</f>
        <v>0</v>
      </c>
      <c r="G9" s="153">
        <f>'Utility report '!AC9</f>
        <v>139</v>
      </c>
      <c r="H9" s="153">
        <f>'Utility report '!AE9</f>
        <v>45</v>
      </c>
      <c r="I9" s="296">
        <f>'Water-Meter'!E9</f>
        <v>55</v>
      </c>
      <c r="J9" s="154">
        <f>'Lpg (2)'!B13</f>
        <v>0</v>
      </c>
      <c r="K9" s="154">
        <f>'Lpg (2)'!C13</f>
        <v>0</v>
      </c>
      <c r="L9" s="154">
        <f>'Lpg (2)'!D13</f>
        <v>0</v>
      </c>
      <c r="M9" s="449">
        <f>'Lpg (2)'!G13</f>
        <v>-331268.87200000003</v>
      </c>
      <c r="N9" s="151">
        <f t="shared" si="2"/>
        <v>4010.9999999999995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44260</v>
      </c>
      <c r="B10" s="6">
        <f>'Summery Report'!E9</f>
        <v>0</v>
      </c>
      <c r="C10" s="6" t="e">
        <f>Gen!U15</f>
        <v>#DIV/0!</v>
      </c>
      <c r="D10" s="152">
        <f>Gen!T15</f>
        <v>0</v>
      </c>
      <c r="E10" s="152">
        <f>Gen!AK15</f>
        <v>0</v>
      </c>
      <c r="F10" s="152">
        <f>Gen!AS15</f>
        <v>0</v>
      </c>
      <c r="G10" s="153">
        <f>'Utility report '!AC10</f>
        <v>-47654</v>
      </c>
      <c r="H10" s="153">
        <f>'Utility report '!AE10</f>
        <v>-212352</v>
      </c>
      <c r="I10" s="296" t="str">
        <f>'Water-Meter'!E10</f>
        <v>0</v>
      </c>
      <c r="J10" s="154">
        <f>'Lpg (2)'!B14</f>
        <v>0</v>
      </c>
      <c r="K10" s="154">
        <f>'Lpg (2)'!C14</f>
        <v>0</v>
      </c>
      <c r="L10" s="154">
        <f>'Lpg (2)'!D14</f>
        <v>0</v>
      </c>
      <c r="M10" s="449">
        <f>'Lpg (2)'!G14</f>
        <v>0</v>
      </c>
      <c r="N10" s="151">
        <f t="shared" si="2"/>
        <v>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44261</v>
      </c>
      <c r="B11" s="6">
        <f>'Summery Report'!E10</f>
        <v>0</v>
      </c>
      <c r="C11" s="6" t="e">
        <f>Gen!U16</f>
        <v>#DIV/0!</v>
      </c>
      <c r="D11" s="152">
        <f>Gen!T16</f>
        <v>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0</v>
      </c>
      <c r="I11" s="296">
        <f>'Water-Meter'!E11</f>
        <v>0</v>
      </c>
      <c r="J11" s="154">
        <f>'Lpg (2)'!B15</f>
        <v>0</v>
      </c>
      <c r="K11" s="154">
        <f>'Lpg (2)'!C15</f>
        <v>0</v>
      </c>
      <c r="L11" s="154">
        <f>'Lpg (2)'!D15</f>
        <v>0</v>
      </c>
      <c r="M11" s="449">
        <f>'Lpg (2)'!G15</f>
        <v>0</v>
      </c>
      <c r="N11" s="151">
        <f t="shared" si="2"/>
        <v>0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44262</v>
      </c>
      <c r="B12" s="6">
        <f>'Summery Report'!E11</f>
        <v>0</v>
      </c>
      <c r="C12" s="6" t="e">
        <f>Gen!U17</f>
        <v>#DIV/0!</v>
      </c>
      <c r="D12" s="152">
        <f>Gen!T17</f>
        <v>0</v>
      </c>
      <c r="E12" s="152">
        <f>Gen!AK17</f>
        <v>0</v>
      </c>
      <c r="F12" s="152">
        <f>Gen!AS17</f>
        <v>0</v>
      </c>
      <c r="G12" s="153">
        <f>'Utility report '!AC12</f>
        <v>0</v>
      </c>
      <c r="H12" s="153">
        <f>'Utility report '!AE12</f>
        <v>0</v>
      </c>
      <c r="I12" s="296">
        <f>'Water-Meter'!E12</f>
        <v>0</v>
      </c>
      <c r="J12" s="154">
        <f>'Lpg (2)'!B16</f>
        <v>0</v>
      </c>
      <c r="K12" s="154">
        <f>'Lpg (2)'!C16</f>
        <v>0</v>
      </c>
      <c r="L12" s="154">
        <f>'Lpg (2)'!D16</f>
        <v>0</v>
      </c>
      <c r="M12" s="449">
        <f>'Lpg (2)'!G16</f>
        <v>0</v>
      </c>
      <c r="N12" s="151">
        <f t="shared" si="2"/>
        <v>0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44263</v>
      </c>
      <c r="B13" s="6">
        <f>'Summery Report'!E12</f>
        <v>0</v>
      </c>
      <c r="C13" s="6" t="e">
        <f>Gen!U18</f>
        <v>#DIV/0!</v>
      </c>
      <c r="D13" s="152">
        <f>Gen!T18</f>
        <v>0</v>
      </c>
      <c r="E13" s="152">
        <f>Gen!AK18</f>
        <v>0</v>
      </c>
      <c r="F13" s="152">
        <f>Gen!AS18</f>
        <v>0</v>
      </c>
      <c r="G13" s="153">
        <f>'Utility report '!AC13</f>
        <v>0</v>
      </c>
      <c r="H13" s="153">
        <f>'Utility report '!AE13</f>
        <v>0</v>
      </c>
      <c r="I13" s="296">
        <f>'Water-Meter'!E13</f>
        <v>0</v>
      </c>
      <c r="J13" s="154">
        <f>'Lpg (2)'!B17</f>
        <v>0</v>
      </c>
      <c r="K13" s="154">
        <f>'Lpg (2)'!C17</f>
        <v>0</v>
      </c>
      <c r="L13" s="154">
        <f>'Lpg (2)'!D17</f>
        <v>0</v>
      </c>
      <c r="M13" s="449">
        <f>'Lpg (2)'!G17</f>
        <v>0</v>
      </c>
      <c r="N13" s="151">
        <f t="shared" si="2"/>
        <v>0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44264</v>
      </c>
      <c r="B14" s="6">
        <f>'Summery Report'!E13</f>
        <v>0</v>
      </c>
      <c r="C14" s="6" t="e">
        <f>Gen!U19</f>
        <v>#DIV/0!</v>
      </c>
      <c r="D14" s="152">
        <f>Gen!T19</f>
        <v>0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0</v>
      </c>
      <c r="I14" s="296">
        <f>'Water-Meter'!E14</f>
        <v>0</v>
      </c>
      <c r="J14" s="154">
        <f>'Lpg (2)'!B18</f>
        <v>0</v>
      </c>
      <c r="K14" s="154">
        <f>'Lpg (2)'!C18</f>
        <v>0</v>
      </c>
      <c r="L14" s="154">
        <f>'Lpg (2)'!D18</f>
        <v>0</v>
      </c>
      <c r="M14" s="449">
        <f>'Lpg (2)'!G18</f>
        <v>0</v>
      </c>
      <c r="N14" s="151">
        <f t="shared" si="2"/>
        <v>0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44265</v>
      </c>
      <c r="B15" s="6">
        <f>'Summery Report'!E14</f>
        <v>0</v>
      </c>
      <c r="C15" s="6" t="e">
        <f>Gen!U20</f>
        <v>#DIV/0!</v>
      </c>
      <c r="D15" s="152">
        <f>Gen!T20</f>
        <v>0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0</v>
      </c>
      <c r="I15" s="296">
        <f>'Water-Meter'!E15</f>
        <v>0</v>
      </c>
      <c r="J15" s="154">
        <f>'Lpg (2)'!B19</f>
        <v>0</v>
      </c>
      <c r="K15" s="154">
        <f>'Lpg (2)'!C19</f>
        <v>0</v>
      </c>
      <c r="L15" s="154">
        <f>'Lpg (2)'!D19</f>
        <v>0</v>
      </c>
      <c r="M15" s="449">
        <f>'Lpg (2)'!G19</f>
        <v>0</v>
      </c>
      <c r="N15" s="151">
        <f t="shared" si="2"/>
        <v>0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44266</v>
      </c>
      <c r="B16" s="6">
        <f>'Summery Report'!E15</f>
        <v>0</v>
      </c>
      <c r="C16" s="6" t="e">
        <f>Gen!U21</f>
        <v>#DIV/0!</v>
      </c>
      <c r="D16" s="152">
        <f>Gen!T21</f>
        <v>0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0</v>
      </c>
      <c r="I16" s="296">
        <f>'Water-Meter'!E16</f>
        <v>0</v>
      </c>
      <c r="J16" s="154">
        <f>'Lpg (2)'!B20</f>
        <v>0</v>
      </c>
      <c r="K16" s="154">
        <f>'Lpg (2)'!C20</f>
        <v>0</v>
      </c>
      <c r="L16" s="154">
        <f>'Lpg (2)'!D20</f>
        <v>0</v>
      </c>
      <c r="M16" s="449">
        <f>'Lpg (2)'!G20</f>
        <v>0</v>
      </c>
      <c r="N16" s="151">
        <f t="shared" si="2"/>
        <v>0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44267</v>
      </c>
      <c r="B17" s="6">
        <f>'Summery Report'!E16</f>
        <v>0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0</v>
      </c>
      <c r="I17" s="296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0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44268</v>
      </c>
      <c r="B18" s="6">
        <f>'Summery Report'!E17</f>
        <v>0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44269</v>
      </c>
      <c r="B19" s="6">
        <f>'Summery Report'!E18</f>
        <v>0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44270</v>
      </c>
      <c r="B20" s="6">
        <f>'Summery Report'!E19</f>
        <v>0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44271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44272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44273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44274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44275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44276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44277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44278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44279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44280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44281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44282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44283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44284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44285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44286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8265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-47348</v>
      </c>
      <c r="H39" s="453">
        <f t="shared" si="3"/>
        <v>-212241</v>
      </c>
      <c r="I39" s="453">
        <f t="shared" si="3"/>
        <v>176</v>
      </c>
      <c r="J39" s="453">
        <f t="shared" si="3"/>
        <v>48</v>
      </c>
      <c r="K39" s="453">
        <f t="shared" si="3"/>
        <v>170</v>
      </c>
      <c r="L39" s="453">
        <f t="shared" si="3"/>
        <v>170</v>
      </c>
      <c r="M39" s="453">
        <f t="shared" si="3"/>
        <v>-331072.41200000001</v>
      </c>
      <c r="N39" s="453">
        <f t="shared" si="3"/>
        <v>11571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J1" activePane="topRight" state="frozen"/>
      <selection pane="topRight" activeCell="AD12" sqref="AD1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9">
        <f>A6</f>
        <v>44256</v>
      </c>
      <c r="B1" s="860"/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  <c r="O1" s="860"/>
      <c r="P1" s="860"/>
      <c r="Q1" s="860"/>
      <c r="R1" s="860"/>
      <c r="S1" s="860"/>
      <c r="T1" s="860"/>
      <c r="U1" s="860"/>
      <c r="V1" s="860"/>
      <c r="W1" s="860"/>
      <c r="X1" s="860"/>
      <c r="Y1" s="860"/>
      <c r="Z1" s="860"/>
      <c r="AA1" s="860"/>
      <c r="AB1" s="860"/>
      <c r="AC1" s="860"/>
      <c r="AD1" s="860"/>
      <c r="AE1" s="860"/>
      <c r="AF1" s="860"/>
      <c r="AG1" s="860"/>
      <c r="AH1" s="860"/>
      <c r="AI1" s="860"/>
      <c r="AJ1" s="860"/>
      <c r="AK1" s="861"/>
    </row>
    <row r="2" spans="1:37" ht="61.5" customHeight="1" thickBot="1">
      <c r="A2" s="137" t="s">
        <v>98</v>
      </c>
      <c r="B2" s="862" t="s">
        <v>99</v>
      </c>
      <c r="C2" s="863"/>
      <c r="D2" s="864"/>
      <c r="E2" s="138"/>
      <c r="F2" s="138"/>
      <c r="G2" s="138"/>
      <c r="H2" s="135" t="s">
        <v>124</v>
      </c>
      <c r="I2" s="747" t="s">
        <v>100</v>
      </c>
      <c r="J2" s="749" t="s">
        <v>122</v>
      </c>
      <c r="K2" s="750"/>
      <c r="L2" s="751" t="s">
        <v>123</v>
      </c>
      <c r="M2" s="620" t="s">
        <v>101</v>
      </c>
      <c r="N2" s="284" t="s">
        <v>102</v>
      </c>
      <c r="O2" s="852" t="s">
        <v>103</v>
      </c>
      <c r="P2" s="852"/>
      <c r="Q2" s="852"/>
      <c r="R2" s="852"/>
      <c r="S2" s="852"/>
      <c r="T2" s="852"/>
      <c r="U2" s="852"/>
      <c r="V2" s="852"/>
      <c r="W2" s="852"/>
      <c r="X2" s="852"/>
      <c r="Y2" s="852"/>
      <c r="Z2" s="852"/>
      <c r="AA2" s="284" t="s">
        <v>104</v>
      </c>
      <c r="AB2" s="862" t="s">
        <v>164</v>
      </c>
      <c r="AC2" s="864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65">
        <f>SUM(D3/B3)</f>
        <v>1.3262195121951219</v>
      </c>
      <c r="G3" s="866"/>
      <c r="H3" s="127">
        <f>Gen!C11</f>
        <v>44889.51</v>
      </c>
      <c r="I3" s="621"/>
      <c r="J3" s="752"/>
      <c r="K3" s="753" t="s">
        <v>165</v>
      </c>
      <c r="L3" s="752"/>
      <c r="M3" s="623" t="s">
        <v>111</v>
      </c>
      <c r="N3" s="752"/>
      <c r="O3" s="852" t="s">
        <v>112</v>
      </c>
      <c r="P3" s="852"/>
      <c r="Q3" s="852"/>
      <c r="R3" s="852"/>
      <c r="S3" s="853" t="s">
        <v>113</v>
      </c>
      <c r="T3" s="854"/>
      <c r="U3" s="854"/>
      <c r="V3" s="855"/>
      <c r="W3" s="856" t="s">
        <v>114</v>
      </c>
      <c r="X3" s="857"/>
      <c r="Y3" s="857"/>
      <c r="Z3" s="858"/>
      <c r="AA3" s="286" t="s">
        <v>115</v>
      </c>
      <c r="AB3" s="126" t="s">
        <v>111</v>
      </c>
      <c r="AD3" s="126">
        <v>0</v>
      </c>
      <c r="AE3" s="126" t="s">
        <v>116</v>
      </c>
      <c r="AF3" s="741" t="s">
        <v>117</v>
      </c>
      <c r="AG3" s="742" t="s">
        <v>117</v>
      </c>
      <c r="AH3" s="400" t="s">
        <v>117</v>
      </c>
      <c r="AI3" s="134" t="s">
        <v>118</v>
      </c>
      <c r="AJ3" s="743" t="s">
        <v>115</v>
      </c>
      <c r="AK3" s="744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8"/>
      <c r="J4" s="762"/>
      <c r="K4" s="289"/>
      <c r="L4" s="751"/>
      <c r="M4" s="754"/>
      <c r="N4" s="284"/>
      <c r="O4" s="755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5">
        <v>2000</v>
      </c>
      <c r="AG4" s="746">
        <v>1000</v>
      </c>
      <c r="AH4" s="620">
        <v>1000</v>
      </c>
      <c r="AI4" s="126">
        <f>SUM([2]Sheet1!$AA$36)</f>
        <v>950</v>
      </c>
      <c r="AJ4" s="622" t="s">
        <v>10</v>
      </c>
      <c r="AK4" s="126" t="s">
        <v>119</v>
      </c>
    </row>
    <row r="5" spans="1:37" ht="18.75">
      <c r="A5" s="757"/>
      <c r="B5" s="765"/>
      <c r="C5" s="766"/>
      <c r="D5" s="767"/>
      <c r="E5" s="767"/>
      <c r="F5" s="767"/>
      <c r="G5" s="767"/>
      <c r="H5" s="768"/>
      <c r="I5" s="768"/>
      <c r="J5" s="701"/>
      <c r="K5" s="719"/>
      <c r="L5" s="128"/>
      <c r="M5" s="470"/>
      <c r="N5" s="756"/>
      <c r="O5" s="700"/>
      <c r="P5" s="718">
        <v>19032</v>
      </c>
      <c r="Q5" s="729"/>
      <c r="R5" s="719"/>
      <c r="S5" s="700"/>
      <c r="T5" s="707">
        <v>17646</v>
      </c>
      <c r="U5" s="700"/>
      <c r="V5" s="719"/>
      <c r="W5" s="700"/>
      <c r="X5" s="712">
        <v>27404</v>
      </c>
      <c r="Y5" s="700"/>
      <c r="Z5" s="705"/>
      <c r="AA5" s="715"/>
      <c r="AB5" s="714">
        <v>47308</v>
      </c>
      <c r="AC5" s="700"/>
      <c r="AD5" s="697">
        <v>212238</v>
      </c>
      <c r="AE5" s="702"/>
      <c r="AF5" s="722">
        <v>0.85</v>
      </c>
      <c r="AG5" s="723">
        <v>0.85</v>
      </c>
      <c r="AH5" s="736">
        <v>0.85</v>
      </c>
      <c r="AI5" s="726"/>
      <c r="AJ5" s="715"/>
      <c r="AK5" s="715"/>
    </row>
    <row r="6" spans="1:37" ht="18.75">
      <c r="A6" s="758">
        <f>Gen!A11</f>
        <v>44256</v>
      </c>
      <c r="B6" s="425">
        <f>'Summery Report'!E5</f>
        <v>0</v>
      </c>
      <c r="C6" s="763">
        <f>Gen!B11</f>
        <v>0</v>
      </c>
      <c r="D6" s="725">
        <f>'Summery Report'!E5</f>
        <v>0</v>
      </c>
      <c r="E6" s="725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5">
        <f>Gen!C11</f>
        <v>44889.51</v>
      </c>
      <c r="I6" s="725">
        <f>Gen!E11</f>
        <v>0</v>
      </c>
      <c r="J6" s="764">
        <f>Gen!T11</f>
        <v>2613</v>
      </c>
      <c r="K6" s="769">
        <f>Gen!AK11</f>
        <v>0</v>
      </c>
      <c r="L6" s="760">
        <f t="shared" ref="L6:L13" si="1">SUM(J6:K6)</f>
        <v>2613</v>
      </c>
      <c r="M6" s="448">
        <f>'Water-Meter'!K46</f>
        <v>530.48161533212033</v>
      </c>
      <c r="N6" s="720">
        <f>'Water-Meter'!E6</f>
        <v>64</v>
      </c>
      <c r="O6" s="711"/>
      <c r="P6" s="718">
        <v>19032</v>
      </c>
      <c r="Q6" s="730">
        <f t="shared" ref="Q6:Q36" si="2">SUM(P6-P5)</f>
        <v>0</v>
      </c>
      <c r="R6" s="426">
        <f>SUM(Q6*O6)</f>
        <v>0</v>
      </c>
      <c r="S6" s="706">
        <v>6.5</v>
      </c>
      <c r="T6" s="707">
        <v>17646</v>
      </c>
      <c r="U6" s="730">
        <f>T6-T5</f>
        <v>0</v>
      </c>
      <c r="V6" s="427" t="s">
        <v>246</v>
      </c>
      <c r="W6" s="711">
        <v>1.9</v>
      </c>
      <c r="X6" s="712">
        <v>27428</v>
      </c>
      <c r="Y6" s="730">
        <f>X6-X5</f>
        <v>24</v>
      </c>
      <c r="Z6" s="713">
        <f t="shared" ref="Z6:AA6" si="3">Y6-Y5</f>
        <v>24</v>
      </c>
      <c r="AA6" s="716">
        <f t="shared" si="3"/>
        <v>24</v>
      </c>
      <c r="AB6" s="714">
        <v>47348</v>
      </c>
      <c r="AC6" s="695">
        <f>AB6-AB5</f>
        <v>40</v>
      </c>
      <c r="AD6" s="697">
        <v>212241</v>
      </c>
      <c r="AE6" s="178">
        <f>AD6-AD5</f>
        <v>3</v>
      </c>
      <c r="AF6" s="724">
        <f>'Lpg (2)'!B10*2000/85</f>
        <v>658.82352941176475</v>
      </c>
      <c r="AG6" s="266">
        <f>'Lpg (2)'!C10*1000/85</f>
        <v>1000</v>
      </c>
      <c r="AH6" s="737">
        <f>'Lpg (2)'!D10*1000/85</f>
        <v>1000</v>
      </c>
      <c r="AI6" s="727">
        <f>SUM(AF6*2000)+(AG6*1000)+(AH6*1000)</f>
        <v>3317647.0588235296</v>
      </c>
      <c r="AJ6" s="428">
        <f t="shared" ref="AJ6:AJ36" si="4">SUM(AI5-AI6)</f>
        <v>-3317647.0588235296</v>
      </c>
      <c r="AK6" s="132"/>
    </row>
    <row r="7" spans="1:37" ht="18.75">
      <c r="A7" s="758">
        <f>Gen!A12</f>
        <v>44257</v>
      </c>
      <c r="B7" s="425">
        <f>'Summery Report'!E6</f>
        <v>0</v>
      </c>
      <c r="C7" s="763">
        <f>Gen!B12</f>
        <v>0</v>
      </c>
      <c r="D7" s="725">
        <f>'Summery Report'!E6</f>
        <v>0</v>
      </c>
      <c r="E7" s="725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5">
        <f>Gen!C12</f>
        <v>43763.19</v>
      </c>
      <c r="I7" s="725">
        <f>Gen!E12</f>
        <v>0</v>
      </c>
      <c r="J7" s="764">
        <f>Gen!T12</f>
        <v>2905</v>
      </c>
      <c r="K7" s="769">
        <f>Gen!AK12</f>
        <v>0</v>
      </c>
      <c r="L7" s="760">
        <f t="shared" si="1"/>
        <v>2905</v>
      </c>
      <c r="M7" s="448">
        <f>'Water-Meter'!K47</f>
        <v>464.08624438167942</v>
      </c>
      <c r="N7" s="720">
        <f>'Water-Meter'!E7</f>
        <v>56</v>
      </c>
      <c r="O7" s="711"/>
      <c r="P7" s="718">
        <v>19032</v>
      </c>
      <c r="Q7" s="730">
        <f t="shared" si="2"/>
        <v>0</v>
      </c>
      <c r="R7" s="426">
        <f t="shared" ref="R7:R36" si="5">SUM(Q7*O7)</f>
        <v>0</v>
      </c>
      <c r="S7" s="706">
        <v>6.5</v>
      </c>
      <c r="T7" s="707">
        <v>17670</v>
      </c>
      <c r="U7" s="730">
        <f t="shared" ref="U7:U36" si="6">T7-T6</f>
        <v>24</v>
      </c>
      <c r="V7" s="427">
        <f t="shared" ref="V7:V9" si="7">SUM(U7*S7)</f>
        <v>156</v>
      </c>
      <c r="W7" s="711">
        <v>1.9</v>
      </c>
      <c r="X7" s="712">
        <v>27428</v>
      </c>
      <c r="Y7" s="730">
        <f t="shared" ref="Y7:Y36" si="8">X7-X6</f>
        <v>0</v>
      </c>
      <c r="Z7" s="710">
        <f t="shared" ref="Z7:Z36" si="9">SUM(Y7*W7)</f>
        <v>0</v>
      </c>
      <c r="AA7" s="717">
        <f t="shared" ref="AA7:AA36" si="10">SUM(Z7*X9)</f>
        <v>0</v>
      </c>
      <c r="AB7" s="714">
        <v>47515</v>
      </c>
      <c r="AC7" s="695">
        <f t="shared" ref="AC7:AC27" si="11">AB7-AB6</f>
        <v>167</v>
      </c>
      <c r="AD7" s="697">
        <v>212264</v>
      </c>
      <c r="AE7" s="178">
        <f>AD7-AD6</f>
        <v>23</v>
      </c>
      <c r="AF7" s="724">
        <f>'Lpg (2)'!B11*2000/85</f>
        <v>588.23529411764707</v>
      </c>
      <c r="AG7" s="266">
        <f>'Lpg (2)'!C11*1000/85</f>
        <v>1000</v>
      </c>
      <c r="AH7" s="737">
        <f>'Lpg (2)'!D11*1000/85</f>
        <v>1000</v>
      </c>
      <c r="AI7" s="727">
        <f t="shared" ref="AI7:AI14" si="12">SUM(AF6*2000)+(AG7*1000)+(AH7*1000)</f>
        <v>3317647.0588235296</v>
      </c>
      <c r="AJ7" s="428">
        <f t="shared" si="4"/>
        <v>0</v>
      </c>
      <c r="AK7" s="132"/>
    </row>
    <row r="8" spans="1:37" ht="18.75">
      <c r="A8" s="758">
        <f>Gen!A13</f>
        <v>44258</v>
      </c>
      <c r="B8" s="425">
        <f>'Summery Report'!E7</f>
        <v>0</v>
      </c>
      <c r="C8" s="763">
        <f>Gen!B13</f>
        <v>0</v>
      </c>
      <c r="D8" s="725">
        <f>'Summery Report'!E7</f>
        <v>0</v>
      </c>
      <c r="E8" s="725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5">
        <f>Gen!C13</f>
        <v>42443.15</v>
      </c>
      <c r="I8" s="725">
        <f>Gen!E13</f>
        <v>18000</v>
      </c>
      <c r="J8" s="764">
        <f>Gen!T13</f>
        <v>2495</v>
      </c>
      <c r="K8" s="769">
        <f>Gen!AK13</f>
        <v>0</v>
      </c>
      <c r="L8" s="760">
        <f t="shared" si="1"/>
        <v>2495</v>
      </c>
      <c r="M8" s="448">
        <f>'Water-Meter'!K48</f>
        <v>529.06499573733061</v>
      </c>
      <c r="N8" s="720">
        <f>'Water-Meter'!E8</f>
        <v>65</v>
      </c>
      <c r="O8" s="711"/>
      <c r="P8" s="718">
        <v>19032</v>
      </c>
      <c r="Q8" s="730">
        <f t="shared" si="2"/>
        <v>0</v>
      </c>
      <c r="R8" s="426">
        <f t="shared" si="5"/>
        <v>0</v>
      </c>
      <c r="S8" s="706">
        <v>6.5</v>
      </c>
      <c r="T8" s="707">
        <v>17670</v>
      </c>
      <c r="U8" s="730">
        <f t="shared" si="6"/>
        <v>0</v>
      </c>
      <c r="V8" s="427">
        <f t="shared" si="7"/>
        <v>0</v>
      </c>
      <c r="W8" s="711">
        <v>1.9</v>
      </c>
      <c r="X8" s="712">
        <v>27428</v>
      </c>
      <c r="Y8" s="730">
        <f t="shared" si="8"/>
        <v>0</v>
      </c>
      <c r="Z8" s="710">
        <f t="shared" si="9"/>
        <v>0</v>
      </c>
      <c r="AA8" s="717">
        <f t="shared" si="10"/>
        <v>0</v>
      </c>
      <c r="AB8" s="714">
        <v>47515</v>
      </c>
      <c r="AC8" s="695">
        <f t="shared" si="11"/>
        <v>0</v>
      </c>
      <c r="AD8" s="697">
        <v>212307</v>
      </c>
      <c r="AE8" s="178">
        <f t="shared" ref="AE8:AE37" si="15">AD8-AD7</f>
        <v>43</v>
      </c>
      <c r="AF8" s="724">
        <f>'Lpg (2)'!B12*2000/85</f>
        <v>541.17647058823525</v>
      </c>
      <c r="AG8" s="266">
        <f>'Lpg (2)'!C12*1000/85</f>
        <v>1000</v>
      </c>
      <c r="AH8" s="737">
        <f>'Lpg (2)'!D12*1000/85</f>
        <v>1000</v>
      </c>
      <c r="AI8" s="727">
        <f t="shared" si="12"/>
        <v>3176470.5882352944</v>
      </c>
      <c r="AJ8" s="428">
        <f t="shared" si="4"/>
        <v>141176.47058823518</v>
      </c>
      <c r="AK8" s="132"/>
    </row>
    <row r="9" spans="1:37" ht="18.75">
      <c r="A9" s="758">
        <f>Gen!A14</f>
        <v>44259</v>
      </c>
      <c r="B9" s="425">
        <f>'Summery Report'!E8</f>
        <v>0</v>
      </c>
      <c r="C9" s="763">
        <f>Gen!B14</f>
        <v>0</v>
      </c>
      <c r="D9" s="725">
        <f>'Summery Report'!E8</f>
        <v>0</v>
      </c>
      <c r="E9" s="725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5">
        <f>Gen!C14</f>
        <v>41374.35</v>
      </c>
      <c r="I9" s="725">
        <f>Gen!E14</f>
        <v>0</v>
      </c>
      <c r="J9" s="764">
        <f>Gen!T14</f>
        <v>2865</v>
      </c>
      <c r="K9" s="769">
        <f>Gen!AK14</f>
        <v>0</v>
      </c>
      <c r="L9" s="760">
        <f t="shared" si="1"/>
        <v>2865</v>
      </c>
      <c r="M9" s="448">
        <f>'Water-Meter'!K49</f>
        <v>565.25712290106844</v>
      </c>
      <c r="N9" s="720">
        <f>'Water-Meter'!E9</f>
        <v>55</v>
      </c>
      <c r="O9" s="711"/>
      <c r="P9" s="718">
        <v>19032</v>
      </c>
      <c r="Q9" s="730">
        <f t="shared" si="2"/>
        <v>0</v>
      </c>
      <c r="R9" s="426">
        <f t="shared" si="5"/>
        <v>0</v>
      </c>
      <c r="S9" s="706">
        <v>6.5</v>
      </c>
      <c r="T9" s="707">
        <v>17691</v>
      </c>
      <c r="U9" s="730">
        <f t="shared" si="6"/>
        <v>21</v>
      </c>
      <c r="V9" s="427">
        <f t="shared" si="7"/>
        <v>136.5</v>
      </c>
      <c r="W9" s="711">
        <v>1.9</v>
      </c>
      <c r="X9" s="712">
        <v>27430</v>
      </c>
      <c r="Y9" s="730">
        <f t="shared" si="8"/>
        <v>2</v>
      </c>
      <c r="Z9" s="710">
        <f t="shared" si="9"/>
        <v>3.8</v>
      </c>
      <c r="AA9" s="717">
        <f t="shared" si="10"/>
        <v>0</v>
      </c>
      <c r="AB9" s="714">
        <v>47654</v>
      </c>
      <c r="AC9" s="695">
        <f t="shared" si="11"/>
        <v>139</v>
      </c>
      <c r="AD9" s="697">
        <v>212352</v>
      </c>
      <c r="AE9" s="178">
        <f t="shared" si="15"/>
        <v>45</v>
      </c>
      <c r="AF9" s="724">
        <f>'Lpg (2)'!B13*2000/85</f>
        <v>0</v>
      </c>
      <c r="AG9" s="266">
        <f>'Lpg (2)'!C13*1000/85</f>
        <v>0</v>
      </c>
      <c r="AH9" s="737">
        <f>'Lpg (2)'!D13*1000/85</f>
        <v>0</v>
      </c>
      <c r="AI9" s="727">
        <f t="shared" si="12"/>
        <v>1082352.9411764706</v>
      </c>
      <c r="AJ9" s="428">
        <f t="shared" si="4"/>
        <v>2094117.6470588238</v>
      </c>
      <c r="AK9" s="132"/>
    </row>
    <row r="10" spans="1:37" ht="18.75">
      <c r="A10" s="758">
        <f>Gen!A15</f>
        <v>44260</v>
      </c>
      <c r="B10" s="425">
        <f>'Summery Report'!E9</f>
        <v>0</v>
      </c>
      <c r="C10" s="763">
        <f>Gen!B15</f>
        <v>0</v>
      </c>
      <c r="D10" s="725">
        <f>'Summery Report'!E9</f>
        <v>0</v>
      </c>
      <c r="E10" s="725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5">
        <f>Gen!C15</f>
        <v>40147.71</v>
      </c>
      <c r="I10" s="725">
        <f>Gen!E15</f>
        <v>0</v>
      </c>
      <c r="J10" s="764">
        <f>Gen!T15</f>
        <v>0</v>
      </c>
      <c r="K10" s="769">
        <f>Gen!AK15</f>
        <v>0</v>
      </c>
      <c r="L10" s="760">
        <f t="shared" si="1"/>
        <v>0</v>
      </c>
      <c r="M10" s="448">
        <f>'Water-Meter'!K50</f>
        <v>545.22346355366722</v>
      </c>
      <c r="N10" s="720" t="str">
        <f>'Water-Meter'!E10</f>
        <v>0</v>
      </c>
      <c r="O10" s="711"/>
      <c r="P10" s="718"/>
      <c r="Q10" s="730">
        <f t="shared" si="2"/>
        <v>-19032</v>
      </c>
      <c r="R10" s="426">
        <f t="shared" si="5"/>
        <v>0</v>
      </c>
      <c r="S10" s="706"/>
      <c r="T10" s="707"/>
      <c r="U10" s="730">
        <f t="shared" si="6"/>
        <v>-17691</v>
      </c>
      <c r="V10" s="427">
        <f t="shared" ref="V10:V16" si="16">SUM(U10*S10)</f>
        <v>0</v>
      </c>
      <c r="W10" s="711"/>
      <c r="X10" s="712"/>
      <c r="Y10" s="730">
        <f t="shared" si="8"/>
        <v>-27430</v>
      </c>
      <c r="Z10" s="710">
        <f t="shared" si="9"/>
        <v>0</v>
      </c>
      <c r="AA10" s="717">
        <f t="shared" si="10"/>
        <v>0</v>
      </c>
      <c r="AB10" s="714"/>
      <c r="AC10" s="695">
        <f t="shared" si="11"/>
        <v>-47654</v>
      </c>
      <c r="AD10" s="697"/>
      <c r="AE10" s="178">
        <f t="shared" si="15"/>
        <v>-212352</v>
      </c>
      <c r="AF10" s="724">
        <f>'Lpg (2)'!B14*2000/85</f>
        <v>0</v>
      </c>
      <c r="AG10" s="266">
        <f>'Lpg (2)'!C14*1000/85</f>
        <v>0</v>
      </c>
      <c r="AH10" s="737">
        <f>'Lpg (2)'!D14*1000/85</f>
        <v>0</v>
      </c>
      <c r="AI10" s="727">
        <f t="shared" si="12"/>
        <v>0</v>
      </c>
      <c r="AJ10" s="428">
        <f t="shared" si="4"/>
        <v>1082352.9411764706</v>
      </c>
      <c r="AK10" s="132"/>
    </row>
    <row r="11" spans="1:37" ht="18.75">
      <c r="A11" s="758">
        <f>Gen!A16</f>
        <v>44261</v>
      </c>
      <c r="B11" s="425">
        <f>'Summery Report'!E10</f>
        <v>0</v>
      </c>
      <c r="C11" s="763">
        <f>Gen!B16</f>
        <v>0</v>
      </c>
      <c r="D11" s="725">
        <f>'Summery Report'!E10</f>
        <v>0</v>
      </c>
      <c r="E11" s="725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5">
        <f>Gen!C16</f>
        <v>40147.71</v>
      </c>
      <c r="I11" s="725">
        <f>Gen!E16</f>
        <v>0</v>
      </c>
      <c r="J11" s="764">
        <f>Gen!T16</f>
        <v>0</v>
      </c>
      <c r="K11" s="769">
        <f>Gen!AK16</f>
        <v>0</v>
      </c>
      <c r="L11" s="760">
        <f t="shared" si="1"/>
        <v>0</v>
      </c>
      <c r="M11" s="448">
        <f>'Water-Meter'!K51</f>
        <v>0</v>
      </c>
      <c r="N11" s="720">
        <f>'Water-Meter'!E11</f>
        <v>0</v>
      </c>
      <c r="O11" s="711"/>
      <c r="P11" s="718"/>
      <c r="Q11" s="730">
        <f t="shared" si="2"/>
        <v>0</v>
      </c>
      <c r="R11" s="426">
        <f t="shared" si="5"/>
        <v>0</v>
      </c>
      <c r="S11" s="706"/>
      <c r="T11" s="707"/>
      <c r="U11" s="730">
        <f t="shared" si="6"/>
        <v>0</v>
      </c>
      <c r="V11" s="427">
        <f t="shared" si="16"/>
        <v>0</v>
      </c>
      <c r="W11" s="711"/>
      <c r="X11" s="712"/>
      <c r="Y11" s="730">
        <f t="shared" si="8"/>
        <v>0</v>
      </c>
      <c r="Z11" s="710">
        <f t="shared" si="9"/>
        <v>0</v>
      </c>
      <c r="AA11" s="717">
        <f t="shared" si="10"/>
        <v>0</v>
      </c>
      <c r="AB11" s="714"/>
      <c r="AC11" s="695">
        <f t="shared" si="11"/>
        <v>0</v>
      </c>
      <c r="AD11" s="697"/>
      <c r="AE11" s="178">
        <f t="shared" si="15"/>
        <v>0</v>
      </c>
      <c r="AF11" s="724">
        <f>'Lpg (2)'!B15*2000/85</f>
        <v>0</v>
      </c>
      <c r="AG11" s="266">
        <f>'Lpg (2)'!C15*1000/85</f>
        <v>0</v>
      </c>
      <c r="AH11" s="737">
        <f>'Lpg (2)'!D15*1000/85</f>
        <v>0</v>
      </c>
      <c r="AI11" s="727">
        <f t="shared" si="12"/>
        <v>0</v>
      </c>
      <c r="AJ11" s="428">
        <f t="shared" si="4"/>
        <v>0</v>
      </c>
      <c r="AK11" s="132"/>
    </row>
    <row r="12" spans="1:37" ht="18.75">
      <c r="A12" s="758">
        <f>Gen!A17</f>
        <v>44262</v>
      </c>
      <c r="B12" s="425">
        <f>'Summery Report'!E11</f>
        <v>0</v>
      </c>
      <c r="C12" s="763">
        <f>Gen!B17</f>
        <v>0</v>
      </c>
      <c r="D12" s="725">
        <f>'Summery Report'!E11</f>
        <v>0</v>
      </c>
      <c r="E12" s="725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5">
        <f>Gen!C17</f>
        <v>40147.71</v>
      </c>
      <c r="I12" s="725">
        <f>Gen!E17</f>
        <v>0</v>
      </c>
      <c r="J12" s="764">
        <f>Gen!T17</f>
        <v>0</v>
      </c>
      <c r="K12" s="769">
        <f>Gen!AK17</f>
        <v>0</v>
      </c>
      <c r="L12" s="760">
        <f t="shared" si="1"/>
        <v>0</v>
      </c>
      <c r="M12" s="448">
        <f>'Water-Meter'!K52</f>
        <v>0</v>
      </c>
      <c r="N12" s="720">
        <f>'Water-Meter'!E12</f>
        <v>0</v>
      </c>
      <c r="O12" s="711"/>
      <c r="P12" s="718"/>
      <c r="Q12" s="730">
        <f t="shared" si="2"/>
        <v>0</v>
      </c>
      <c r="R12" s="426">
        <f t="shared" si="5"/>
        <v>0</v>
      </c>
      <c r="S12" s="706"/>
      <c r="T12" s="707"/>
      <c r="U12" s="730">
        <f t="shared" si="6"/>
        <v>0</v>
      </c>
      <c r="V12" s="427">
        <f t="shared" si="16"/>
        <v>0</v>
      </c>
      <c r="W12" s="706"/>
      <c r="X12" s="712"/>
      <c r="Y12" s="730">
        <f t="shared" si="8"/>
        <v>0</v>
      </c>
      <c r="Z12" s="710">
        <f t="shared" si="9"/>
        <v>0</v>
      </c>
      <c r="AA12" s="717">
        <f t="shared" si="10"/>
        <v>0</v>
      </c>
      <c r="AB12" s="714"/>
      <c r="AC12" s="695">
        <f t="shared" si="11"/>
        <v>0</v>
      </c>
      <c r="AD12" s="697"/>
      <c r="AE12" s="178">
        <f t="shared" si="15"/>
        <v>0</v>
      </c>
      <c r="AF12" s="724">
        <f>'Lpg (2)'!B16*2000/85</f>
        <v>0</v>
      </c>
      <c r="AG12" s="266">
        <f>'Lpg (2)'!C16*1000/85</f>
        <v>0</v>
      </c>
      <c r="AH12" s="737">
        <f>'Lpg (2)'!D16*1000/85</f>
        <v>0</v>
      </c>
      <c r="AI12" s="727">
        <f t="shared" si="12"/>
        <v>0</v>
      </c>
      <c r="AJ12" s="428">
        <f t="shared" si="4"/>
        <v>0</v>
      </c>
      <c r="AK12" s="132"/>
    </row>
    <row r="13" spans="1:37" ht="18.75">
      <c r="A13" s="758">
        <f>Gen!A18</f>
        <v>44263</v>
      </c>
      <c r="B13" s="425">
        <f>'Summery Report'!E12</f>
        <v>0</v>
      </c>
      <c r="C13" s="763">
        <f>Gen!B18</f>
        <v>0</v>
      </c>
      <c r="D13" s="725">
        <f>'Summery Report'!E12</f>
        <v>0</v>
      </c>
      <c r="E13" s="725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5">
        <f>Gen!C18</f>
        <v>40147.71</v>
      </c>
      <c r="I13" s="725">
        <f>Gen!E18</f>
        <v>0</v>
      </c>
      <c r="J13" s="764">
        <f>Gen!T18</f>
        <v>0</v>
      </c>
      <c r="K13" s="769">
        <f>Gen!AK18</f>
        <v>0</v>
      </c>
      <c r="L13" s="760">
        <f t="shared" si="1"/>
        <v>0</v>
      </c>
      <c r="M13" s="448">
        <f>'Water-Meter'!K53</f>
        <v>0</v>
      </c>
      <c r="N13" s="720">
        <f>'Water-Meter'!E13</f>
        <v>0</v>
      </c>
      <c r="O13" s="711"/>
      <c r="P13" s="718"/>
      <c r="Q13" s="730">
        <f t="shared" si="2"/>
        <v>0</v>
      </c>
      <c r="R13" s="426">
        <f t="shared" si="5"/>
        <v>0</v>
      </c>
      <c r="S13" s="706"/>
      <c r="T13" s="707"/>
      <c r="U13" s="730">
        <f t="shared" si="6"/>
        <v>0</v>
      </c>
      <c r="V13" s="427">
        <f t="shared" si="16"/>
        <v>0</v>
      </c>
      <c r="W13" s="706"/>
      <c r="X13" s="712"/>
      <c r="Y13" s="730">
        <f t="shared" si="8"/>
        <v>0</v>
      </c>
      <c r="Z13" s="710">
        <f t="shared" si="9"/>
        <v>0</v>
      </c>
      <c r="AA13" s="717">
        <f t="shared" si="10"/>
        <v>0</v>
      </c>
      <c r="AB13" s="714"/>
      <c r="AC13" s="695">
        <f t="shared" si="11"/>
        <v>0</v>
      </c>
      <c r="AD13" s="697"/>
      <c r="AE13" s="178">
        <f t="shared" si="15"/>
        <v>0</v>
      </c>
      <c r="AF13" s="724">
        <f>'Lpg (2)'!B17*2000/85</f>
        <v>0</v>
      </c>
      <c r="AG13" s="266">
        <f>'Lpg (2)'!C17*1000/85</f>
        <v>0</v>
      </c>
      <c r="AH13" s="737">
        <f>'Lpg (2)'!D17*1000/85</f>
        <v>0</v>
      </c>
      <c r="AI13" s="727">
        <f t="shared" si="12"/>
        <v>0</v>
      </c>
      <c r="AJ13" s="428">
        <f t="shared" si="4"/>
        <v>0</v>
      </c>
      <c r="AK13" s="132"/>
    </row>
    <row r="14" spans="1:37" ht="18.75">
      <c r="A14" s="758">
        <f>Gen!A19</f>
        <v>44264</v>
      </c>
      <c r="B14" s="425">
        <f>'Summery Report'!E13</f>
        <v>0</v>
      </c>
      <c r="C14" s="763">
        <f>Gen!B19</f>
        <v>0</v>
      </c>
      <c r="D14" s="725">
        <f>'Summery Report'!E13</f>
        <v>0</v>
      </c>
      <c r="E14" s="725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5">
        <f>Gen!C19</f>
        <v>40147.71</v>
      </c>
      <c r="I14" s="725">
        <f>Gen!E19</f>
        <v>0</v>
      </c>
      <c r="J14" s="764">
        <f>Gen!T19</f>
        <v>0</v>
      </c>
      <c r="K14" s="769">
        <f>Gen!AK19</f>
        <v>0</v>
      </c>
      <c r="L14" s="760">
        <f t="shared" ref="L14:L37" si="17">SUM(J14:K14)</f>
        <v>0</v>
      </c>
      <c r="M14" s="448">
        <f>'Water-Meter'!K54</f>
        <v>0</v>
      </c>
      <c r="N14" s="720">
        <f>'Water-Meter'!E14</f>
        <v>0</v>
      </c>
      <c r="O14" s="711"/>
      <c r="P14" s="718"/>
      <c r="Q14" s="730">
        <f t="shared" si="2"/>
        <v>0</v>
      </c>
      <c r="R14" s="426">
        <f t="shared" si="5"/>
        <v>0</v>
      </c>
      <c r="S14" s="706"/>
      <c r="T14" s="707"/>
      <c r="U14" s="730">
        <f t="shared" si="6"/>
        <v>0</v>
      </c>
      <c r="V14" s="427">
        <f t="shared" si="16"/>
        <v>0</v>
      </c>
      <c r="W14" s="706"/>
      <c r="X14" s="712"/>
      <c r="Y14" s="730">
        <f t="shared" si="8"/>
        <v>0</v>
      </c>
      <c r="Z14" s="710">
        <f t="shared" si="9"/>
        <v>0</v>
      </c>
      <c r="AA14" s="717">
        <f t="shared" si="10"/>
        <v>0</v>
      </c>
      <c r="AB14" s="714"/>
      <c r="AC14" s="695">
        <f t="shared" si="11"/>
        <v>0</v>
      </c>
      <c r="AD14" s="697"/>
      <c r="AE14" s="178">
        <f t="shared" si="15"/>
        <v>0</v>
      </c>
      <c r="AF14" s="724">
        <f>'Lpg (2)'!B18*2000/85</f>
        <v>0</v>
      </c>
      <c r="AG14" s="266">
        <f>'Lpg (2)'!C18*1000/85</f>
        <v>0</v>
      </c>
      <c r="AH14" s="737">
        <f>'Lpg (2)'!D18*1000/85</f>
        <v>0</v>
      </c>
      <c r="AI14" s="727">
        <f t="shared" si="12"/>
        <v>0</v>
      </c>
      <c r="AJ14" s="428">
        <f t="shared" si="4"/>
        <v>0</v>
      </c>
      <c r="AK14" s="132"/>
    </row>
    <row r="15" spans="1:37" ht="18.75">
      <c r="A15" s="758">
        <f>Gen!A20</f>
        <v>44265</v>
      </c>
      <c r="B15" s="425">
        <f>'Summery Report'!E14</f>
        <v>0</v>
      </c>
      <c r="C15" s="763">
        <f>Gen!B20</f>
        <v>0</v>
      </c>
      <c r="D15" s="725">
        <f>'Summery Report'!E14</f>
        <v>0</v>
      </c>
      <c r="E15" s="725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5">
        <f>Gen!C20</f>
        <v>40147.71</v>
      </c>
      <c r="I15" s="725">
        <f>Gen!E20</f>
        <v>0</v>
      </c>
      <c r="J15" s="764">
        <f>Gen!T20</f>
        <v>0</v>
      </c>
      <c r="K15" s="769">
        <f>Gen!AK20</f>
        <v>0</v>
      </c>
      <c r="L15" s="760">
        <f t="shared" si="17"/>
        <v>0</v>
      </c>
      <c r="M15" s="448">
        <f>'Water-Meter'!K55</f>
        <v>0</v>
      </c>
      <c r="N15" s="720">
        <f>'Water-Meter'!E15</f>
        <v>0</v>
      </c>
      <c r="O15" s="711"/>
      <c r="P15" s="718"/>
      <c r="Q15" s="730">
        <f t="shared" si="2"/>
        <v>0</v>
      </c>
      <c r="R15" s="426">
        <f t="shared" si="5"/>
        <v>0</v>
      </c>
      <c r="S15" s="706"/>
      <c r="T15" s="707"/>
      <c r="U15" s="730">
        <f t="shared" si="6"/>
        <v>0</v>
      </c>
      <c r="V15" s="427">
        <f t="shared" si="16"/>
        <v>0</v>
      </c>
      <c r="W15" s="706"/>
      <c r="X15" s="712"/>
      <c r="Y15" s="730">
        <f t="shared" si="8"/>
        <v>0</v>
      </c>
      <c r="Z15" s="710">
        <f t="shared" si="9"/>
        <v>0</v>
      </c>
      <c r="AA15" s="717">
        <f t="shared" si="10"/>
        <v>0</v>
      </c>
      <c r="AB15" s="714"/>
      <c r="AC15" s="695">
        <f t="shared" si="11"/>
        <v>0</v>
      </c>
      <c r="AD15" s="697"/>
      <c r="AE15" s="178">
        <f>AD15-AD14</f>
        <v>0</v>
      </c>
      <c r="AF15" s="724">
        <f>'Lpg (2)'!B19*2000/85</f>
        <v>0</v>
      </c>
      <c r="AG15" s="266">
        <f>'Lpg (2)'!C19*1000/85</f>
        <v>0</v>
      </c>
      <c r="AH15" s="737">
        <f>'Lpg (2)'!D19*1000/85</f>
        <v>0</v>
      </c>
      <c r="AI15" s="727">
        <f t="shared" ref="AI15:AI35" si="18">SUM(AF15*2000)+(AG15*1000)+(AH15*1000)</f>
        <v>0</v>
      </c>
      <c r="AJ15" s="428">
        <f t="shared" si="4"/>
        <v>0</v>
      </c>
      <c r="AK15" s="132"/>
    </row>
    <row r="16" spans="1:37" ht="18.75">
      <c r="A16" s="758">
        <f>Gen!A21</f>
        <v>44266</v>
      </c>
      <c r="B16" s="425">
        <f>'Summery Report'!E15</f>
        <v>0</v>
      </c>
      <c r="C16" s="763">
        <f>Gen!B21</f>
        <v>0</v>
      </c>
      <c r="D16" s="725">
        <f>'Summery Report'!E15</f>
        <v>0</v>
      </c>
      <c r="E16" s="725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5">
        <f>Gen!C21</f>
        <v>40147.71</v>
      </c>
      <c r="I16" s="725">
        <f>Gen!E21</f>
        <v>0</v>
      </c>
      <c r="J16" s="764">
        <f>Gen!T21</f>
        <v>0</v>
      </c>
      <c r="K16" s="769">
        <f>Gen!AK21</f>
        <v>0</v>
      </c>
      <c r="L16" s="760">
        <f t="shared" si="17"/>
        <v>0</v>
      </c>
      <c r="M16" s="448">
        <f>'Water-Meter'!K56</f>
        <v>0</v>
      </c>
      <c r="N16" s="720">
        <f>'Water-Meter'!E16</f>
        <v>0</v>
      </c>
      <c r="O16" s="711"/>
      <c r="P16" s="718"/>
      <c r="Q16" s="730">
        <f t="shared" si="2"/>
        <v>0</v>
      </c>
      <c r="R16" s="426">
        <f t="shared" si="5"/>
        <v>0</v>
      </c>
      <c r="S16" s="706"/>
      <c r="T16" s="707"/>
      <c r="U16" s="730">
        <f t="shared" si="6"/>
        <v>0</v>
      </c>
      <c r="V16" s="427">
        <f t="shared" si="16"/>
        <v>0</v>
      </c>
      <c r="W16" s="706"/>
      <c r="X16" s="712"/>
      <c r="Y16" s="730">
        <f t="shared" si="8"/>
        <v>0</v>
      </c>
      <c r="Z16" s="710">
        <f t="shared" si="9"/>
        <v>0</v>
      </c>
      <c r="AA16" s="717">
        <f t="shared" si="10"/>
        <v>0</v>
      </c>
      <c r="AB16" s="714"/>
      <c r="AC16" s="695">
        <f t="shared" si="11"/>
        <v>0</v>
      </c>
      <c r="AD16" s="697"/>
      <c r="AE16" s="178">
        <f t="shared" si="15"/>
        <v>0</v>
      </c>
      <c r="AF16" s="724">
        <f>'Lpg (2)'!B20*2000/85</f>
        <v>0</v>
      </c>
      <c r="AG16" s="266">
        <f>'Lpg (2)'!C20*1000/85</f>
        <v>0</v>
      </c>
      <c r="AH16" s="737">
        <f>'Lpg (2)'!D20*1000/85</f>
        <v>0</v>
      </c>
      <c r="AI16" s="727">
        <f t="shared" si="18"/>
        <v>0</v>
      </c>
      <c r="AJ16" s="428">
        <f t="shared" si="4"/>
        <v>0</v>
      </c>
      <c r="AK16" s="132"/>
    </row>
    <row r="17" spans="1:37" ht="18.75">
      <c r="A17" s="758">
        <f>Gen!A22</f>
        <v>44267</v>
      </c>
      <c r="B17" s="425">
        <f>'Summery Report'!E16</f>
        <v>0</v>
      </c>
      <c r="C17" s="763">
        <f>Gen!B22</f>
        <v>0</v>
      </c>
      <c r="D17" s="725">
        <f>'Summery Report'!E16</f>
        <v>0</v>
      </c>
      <c r="E17" s="725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5">
        <f>Gen!C22</f>
        <v>40147.71</v>
      </c>
      <c r="I17" s="725">
        <f>Gen!E22</f>
        <v>0</v>
      </c>
      <c r="J17" s="764">
        <f>Gen!T22</f>
        <v>0</v>
      </c>
      <c r="K17" s="769">
        <f>Gen!AK22</f>
        <v>0</v>
      </c>
      <c r="L17" s="760">
        <f t="shared" si="17"/>
        <v>0</v>
      </c>
      <c r="M17" s="448">
        <f>'Water-Meter'!K57</f>
        <v>0</v>
      </c>
      <c r="N17" s="720">
        <f>'Water-Meter'!E17</f>
        <v>0</v>
      </c>
      <c r="O17" s="711"/>
      <c r="P17" s="718"/>
      <c r="Q17" s="730">
        <f>SUM(P18-P16)</f>
        <v>0</v>
      </c>
      <c r="R17" s="426">
        <f t="shared" si="5"/>
        <v>0</v>
      </c>
      <c r="S17" s="706"/>
      <c r="T17" s="707"/>
      <c r="U17" s="730">
        <f t="shared" si="6"/>
        <v>0</v>
      </c>
      <c r="V17" s="427">
        <f t="shared" ref="V17:V36" si="19">SUM(U17*S17)</f>
        <v>0</v>
      </c>
      <c r="W17" s="706"/>
      <c r="X17" s="712"/>
      <c r="Y17" s="730">
        <f t="shared" si="8"/>
        <v>0</v>
      </c>
      <c r="Z17" s="710">
        <f t="shared" si="9"/>
        <v>0</v>
      </c>
      <c r="AA17" s="717">
        <f t="shared" si="10"/>
        <v>0</v>
      </c>
      <c r="AB17" s="714"/>
      <c r="AC17" s="695">
        <f t="shared" si="11"/>
        <v>0</v>
      </c>
      <c r="AD17" s="697"/>
      <c r="AE17" s="178">
        <f t="shared" si="15"/>
        <v>0</v>
      </c>
      <c r="AF17" s="724">
        <f>'Lpg (2)'!B21*2000/85</f>
        <v>0</v>
      </c>
      <c r="AG17" s="266">
        <f>'Lpg (2)'!C21*1000/85</f>
        <v>0</v>
      </c>
      <c r="AH17" s="737">
        <f>'Lpg (2)'!D21*1000/85</f>
        <v>0</v>
      </c>
      <c r="AI17" s="727">
        <f t="shared" si="18"/>
        <v>0</v>
      </c>
      <c r="AJ17" s="428">
        <f t="shared" si="4"/>
        <v>0</v>
      </c>
      <c r="AK17" s="132"/>
    </row>
    <row r="18" spans="1:37" ht="18.75">
      <c r="A18" s="758">
        <f>Gen!A23</f>
        <v>44268</v>
      </c>
      <c r="B18" s="425">
        <f>'Summery Report'!E17</f>
        <v>0</v>
      </c>
      <c r="C18" s="763">
        <f>Gen!B23</f>
        <v>0</v>
      </c>
      <c r="D18" s="725">
        <f>'Summery Report'!E17</f>
        <v>0</v>
      </c>
      <c r="E18" s="725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5">
        <f>Gen!C23</f>
        <v>40147.71</v>
      </c>
      <c r="I18" s="725">
        <f>Gen!E23</f>
        <v>0</v>
      </c>
      <c r="J18" s="764">
        <f>Gen!T23</f>
        <v>0</v>
      </c>
      <c r="K18" s="769">
        <f>Gen!AK23</f>
        <v>0</v>
      </c>
      <c r="L18" s="760">
        <f t="shared" si="17"/>
        <v>0</v>
      </c>
      <c r="M18" s="448">
        <f>'Water-Meter'!K58</f>
        <v>0</v>
      </c>
      <c r="N18" s="720">
        <f>'Water-Meter'!E18</f>
        <v>0</v>
      </c>
      <c r="O18" s="711"/>
      <c r="P18" s="718"/>
      <c r="Q18" s="730"/>
      <c r="R18" s="426">
        <f t="shared" si="5"/>
        <v>0</v>
      </c>
      <c r="S18" s="706"/>
      <c r="T18" s="707"/>
      <c r="U18" s="730">
        <f t="shared" si="6"/>
        <v>0</v>
      </c>
      <c r="V18" s="427">
        <f t="shared" si="19"/>
        <v>0</v>
      </c>
      <c r="W18" s="706"/>
      <c r="X18" s="712"/>
      <c r="Y18" s="730">
        <f t="shared" si="8"/>
        <v>0</v>
      </c>
      <c r="Z18" s="710">
        <f t="shared" si="9"/>
        <v>0</v>
      </c>
      <c r="AA18" s="717">
        <f t="shared" si="10"/>
        <v>0</v>
      </c>
      <c r="AB18" s="714"/>
      <c r="AC18" s="695">
        <f t="shared" si="11"/>
        <v>0</v>
      </c>
      <c r="AD18" s="697"/>
      <c r="AE18" s="178">
        <f t="shared" si="15"/>
        <v>0</v>
      </c>
      <c r="AF18" s="724">
        <f>'Lpg (2)'!B22*2000/85</f>
        <v>0</v>
      </c>
      <c r="AG18" s="266">
        <f>'Lpg (2)'!C22*1000/85</f>
        <v>0</v>
      </c>
      <c r="AH18" s="737">
        <f>'Lpg (2)'!D22*1000/85</f>
        <v>0</v>
      </c>
      <c r="AI18" s="727">
        <f t="shared" si="18"/>
        <v>0</v>
      </c>
      <c r="AJ18" s="428">
        <f t="shared" si="4"/>
        <v>0</v>
      </c>
      <c r="AK18" s="132"/>
    </row>
    <row r="19" spans="1:37" ht="18.75">
      <c r="A19" s="758">
        <f>Gen!A24</f>
        <v>44269</v>
      </c>
      <c r="B19" s="425">
        <f>'Summery Report'!E18</f>
        <v>0</v>
      </c>
      <c r="C19" s="763">
        <f>Gen!B24</f>
        <v>0</v>
      </c>
      <c r="D19" s="725">
        <f>'Summery Report'!E18</f>
        <v>0</v>
      </c>
      <c r="E19" s="725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5">
        <f>Gen!C24</f>
        <v>40147.71</v>
      </c>
      <c r="I19" s="725">
        <f>Gen!E24</f>
        <v>15000</v>
      </c>
      <c r="J19" s="764">
        <f>Gen!T24</f>
        <v>0</v>
      </c>
      <c r="K19" s="769">
        <f>Gen!AK24</f>
        <v>0</v>
      </c>
      <c r="L19" s="760">
        <f t="shared" si="17"/>
        <v>0</v>
      </c>
      <c r="M19" s="448">
        <f>'Water-Meter'!K59</f>
        <v>0</v>
      </c>
      <c r="N19" s="720">
        <f>'Water-Meter'!E19</f>
        <v>0</v>
      </c>
      <c r="O19" s="711"/>
      <c r="P19" s="718"/>
      <c r="Q19" s="730"/>
      <c r="R19" s="426">
        <f t="shared" si="5"/>
        <v>0</v>
      </c>
      <c r="S19" s="706"/>
      <c r="T19" s="707"/>
      <c r="U19" s="730">
        <f t="shared" si="6"/>
        <v>0</v>
      </c>
      <c r="V19" s="427">
        <f t="shared" si="19"/>
        <v>0</v>
      </c>
      <c r="W19" s="706"/>
      <c r="X19" s="712"/>
      <c r="Y19" s="730">
        <f t="shared" si="8"/>
        <v>0</v>
      </c>
      <c r="Z19" s="710">
        <f t="shared" si="9"/>
        <v>0</v>
      </c>
      <c r="AA19" s="717">
        <f t="shared" si="10"/>
        <v>0</v>
      </c>
      <c r="AB19" s="714"/>
      <c r="AC19" s="695">
        <f t="shared" si="11"/>
        <v>0</v>
      </c>
      <c r="AD19" s="697"/>
      <c r="AE19" s="178">
        <f t="shared" si="15"/>
        <v>0</v>
      </c>
      <c r="AF19" s="724">
        <f>'Lpg (2)'!B23*2000/85</f>
        <v>0</v>
      </c>
      <c r="AG19" s="266">
        <f>'Lpg (2)'!C23*1000/85</f>
        <v>0</v>
      </c>
      <c r="AH19" s="737">
        <f>'Lpg (2)'!D23*1000/85</f>
        <v>0</v>
      </c>
      <c r="AI19" s="727">
        <f t="shared" si="18"/>
        <v>0</v>
      </c>
      <c r="AJ19" s="428">
        <f t="shared" si="4"/>
        <v>0</v>
      </c>
      <c r="AK19" s="132"/>
    </row>
    <row r="20" spans="1:37" ht="18.75">
      <c r="A20" s="758">
        <f>Gen!A25</f>
        <v>44270</v>
      </c>
      <c r="B20" s="425">
        <f>'Summery Report'!E19</f>
        <v>0</v>
      </c>
      <c r="C20" s="763">
        <f>Gen!B25</f>
        <v>0</v>
      </c>
      <c r="D20" s="725">
        <f>'Summery Report'!E19</f>
        <v>0</v>
      </c>
      <c r="E20" s="725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5">
        <f>Gen!C25</f>
        <v>40147.71</v>
      </c>
      <c r="I20" s="725">
        <f>Gen!E25</f>
        <v>0</v>
      </c>
      <c r="J20" s="764">
        <f>Gen!T25</f>
        <v>0</v>
      </c>
      <c r="K20" s="769">
        <f>Gen!AK25</f>
        <v>0</v>
      </c>
      <c r="L20" s="760">
        <f t="shared" si="17"/>
        <v>0</v>
      </c>
      <c r="M20" s="448">
        <f>'Water-Meter'!K60</f>
        <v>0</v>
      </c>
      <c r="N20" s="720">
        <f>'Water-Meter'!E20</f>
        <v>0</v>
      </c>
      <c r="O20" s="711"/>
      <c r="P20" s="718"/>
      <c r="Q20" s="730">
        <f t="shared" si="2"/>
        <v>0</v>
      </c>
      <c r="R20" s="426">
        <f t="shared" si="5"/>
        <v>0</v>
      </c>
      <c r="S20" s="706"/>
      <c r="T20" s="707"/>
      <c r="U20" s="730">
        <f t="shared" si="6"/>
        <v>0</v>
      </c>
      <c r="V20" s="427">
        <f t="shared" si="19"/>
        <v>0</v>
      </c>
      <c r="W20" s="706"/>
      <c r="X20" s="712"/>
      <c r="Y20" s="730">
        <f t="shared" si="8"/>
        <v>0</v>
      </c>
      <c r="Z20" s="710">
        <f t="shared" si="9"/>
        <v>0</v>
      </c>
      <c r="AA20" s="717">
        <f t="shared" si="10"/>
        <v>0</v>
      </c>
      <c r="AB20" s="714"/>
      <c r="AC20" s="695">
        <f t="shared" si="11"/>
        <v>0</v>
      </c>
      <c r="AD20" s="697"/>
      <c r="AE20" s="178">
        <f t="shared" si="15"/>
        <v>0</v>
      </c>
      <c r="AF20" s="724">
        <f>'Lpg (2)'!B24*2000/85</f>
        <v>0</v>
      </c>
      <c r="AG20" s="266">
        <f>'Lpg (2)'!C24*1000/85</f>
        <v>0</v>
      </c>
      <c r="AH20" s="737">
        <f>'Lpg (2)'!D24*1000/85</f>
        <v>0</v>
      </c>
      <c r="AI20" s="727">
        <f t="shared" si="18"/>
        <v>0</v>
      </c>
      <c r="AJ20" s="428">
        <f t="shared" si="4"/>
        <v>0</v>
      </c>
      <c r="AK20" s="132"/>
    </row>
    <row r="21" spans="1:37" ht="18.75">
      <c r="A21" s="758">
        <f>Gen!A26</f>
        <v>44271</v>
      </c>
      <c r="B21" s="425">
        <f>'Summery Report'!E20</f>
        <v>0</v>
      </c>
      <c r="C21" s="763">
        <f>Gen!B26</f>
        <v>0</v>
      </c>
      <c r="D21" s="725">
        <f>'Summery Report'!E20</f>
        <v>0</v>
      </c>
      <c r="E21" s="725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5">
        <f>Gen!C26</f>
        <v>40147.71</v>
      </c>
      <c r="I21" s="725">
        <f>Gen!E26</f>
        <v>0</v>
      </c>
      <c r="J21" s="764">
        <f>Gen!T26</f>
        <v>0</v>
      </c>
      <c r="K21" s="769">
        <f>Gen!AK26</f>
        <v>0</v>
      </c>
      <c r="L21" s="760">
        <f t="shared" si="17"/>
        <v>0</v>
      </c>
      <c r="M21" s="448">
        <f>'Water-Meter'!K61</f>
        <v>0</v>
      </c>
      <c r="N21" s="720">
        <f>'Water-Meter'!E21</f>
        <v>0</v>
      </c>
      <c r="O21" s="711"/>
      <c r="P21" s="718"/>
      <c r="Q21" s="730">
        <f t="shared" si="2"/>
        <v>0</v>
      </c>
      <c r="R21" s="426">
        <f t="shared" si="5"/>
        <v>0</v>
      </c>
      <c r="S21" s="706"/>
      <c r="T21" s="707"/>
      <c r="U21" s="730">
        <f>T22-T20</f>
        <v>0</v>
      </c>
      <c r="V21" s="427">
        <f t="shared" si="19"/>
        <v>0</v>
      </c>
      <c r="W21" s="706"/>
      <c r="X21" s="712"/>
      <c r="Y21" s="730">
        <f t="shared" si="8"/>
        <v>0</v>
      </c>
      <c r="Z21" s="710">
        <f t="shared" si="9"/>
        <v>0</v>
      </c>
      <c r="AA21" s="717">
        <f t="shared" si="10"/>
        <v>0</v>
      </c>
      <c r="AB21" s="714"/>
      <c r="AC21" s="695">
        <f t="shared" si="11"/>
        <v>0</v>
      </c>
      <c r="AD21" s="697"/>
      <c r="AE21" s="178">
        <f t="shared" si="15"/>
        <v>0</v>
      </c>
      <c r="AF21" s="724">
        <f>'Lpg (2)'!B25*2000/85</f>
        <v>0</v>
      </c>
      <c r="AG21" s="266">
        <f>'Lpg (2)'!C25*1000/85</f>
        <v>0</v>
      </c>
      <c r="AH21" s="737">
        <f>'Lpg (2)'!D25*1000/85</f>
        <v>0</v>
      </c>
      <c r="AI21" s="727">
        <f t="shared" si="18"/>
        <v>0</v>
      </c>
      <c r="AJ21" s="428">
        <f t="shared" si="4"/>
        <v>0</v>
      </c>
      <c r="AK21" s="132"/>
    </row>
    <row r="22" spans="1:37" ht="18.75">
      <c r="A22" s="758">
        <f>Gen!A27</f>
        <v>44272</v>
      </c>
      <c r="B22" s="425">
        <f>'Summery Report'!E21</f>
        <v>0</v>
      </c>
      <c r="C22" s="763">
        <f>Gen!B27</f>
        <v>0</v>
      </c>
      <c r="D22" s="725">
        <f>'Summery Report'!E21</f>
        <v>0</v>
      </c>
      <c r="E22" s="725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5">
        <f>Gen!C27</f>
        <v>40147.71</v>
      </c>
      <c r="I22" s="725">
        <f>Gen!E27</f>
        <v>0</v>
      </c>
      <c r="J22" s="764">
        <f>Gen!T27</f>
        <v>0</v>
      </c>
      <c r="K22" s="769">
        <f>Gen!AK27</f>
        <v>0</v>
      </c>
      <c r="L22" s="760">
        <f t="shared" si="17"/>
        <v>0</v>
      </c>
      <c r="M22" s="448">
        <f>'Water-Meter'!K62</f>
        <v>0</v>
      </c>
      <c r="N22" s="720">
        <f>'Water-Meter'!E22</f>
        <v>0</v>
      </c>
      <c r="O22" s="711"/>
      <c r="P22" s="718"/>
      <c r="Q22" s="730">
        <f t="shared" si="2"/>
        <v>0</v>
      </c>
      <c r="R22" s="426">
        <f t="shared" si="5"/>
        <v>0</v>
      </c>
      <c r="S22" s="706"/>
      <c r="T22" s="707"/>
      <c r="U22" s="730">
        <f t="shared" ref="U22:U23" si="20">T23-T21</f>
        <v>0</v>
      </c>
      <c r="V22" s="427">
        <f t="shared" si="19"/>
        <v>0</v>
      </c>
      <c r="W22" s="706"/>
      <c r="X22" s="712"/>
      <c r="Y22" s="730">
        <f t="shared" si="8"/>
        <v>0</v>
      </c>
      <c r="Z22" s="710">
        <f t="shared" si="9"/>
        <v>0</v>
      </c>
      <c r="AA22" s="717">
        <f t="shared" si="10"/>
        <v>0</v>
      </c>
      <c r="AB22" s="714"/>
      <c r="AC22" s="695">
        <f t="shared" si="11"/>
        <v>0</v>
      </c>
      <c r="AD22" s="697"/>
      <c r="AE22" s="178">
        <f t="shared" si="15"/>
        <v>0</v>
      </c>
      <c r="AF22" s="724">
        <f>'Lpg (2)'!B26*2000/85</f>
        <v>0</v>
      </c>
      <c r="AG22" s="266">
        <f>'Lpg (2)'!C26*1000/85</f>
        <v>0</v>
      </c>
      <c r="AH22" s="737">
        <f>'Lpg (2)'!D26*1000/85</f>
        <v>0</v>
      </c>
      <c r="AI22" s="727">
        <f t="shared" si="18"/>
        <v>0</v>
      </c>
      <c r="AJ22" s="428">
        <f t="shared" si="4"/>
        <v>0</v>
      </c>
      <c r="AK22" s="132"/>
    </row>
    <row r="23" spans="1:37" ht="18.75">
      <c r="A23" s="758">
        <f>Gen!A28</f>
        <v>44273</v>
      </c>
      <c r="B23" s="425">
        <f>'Summery Report'!E22</f>
        <v>0</v>
      </c>
      <c r="C23" s="763">
        <f>Gen!B28</f>
        <v>0</v>
      </c>
      <c r="D23" s="725">
        <f>'Summery Report'!E22</f>
        <v>0</v>
      </c>
      <c r="E23" s="725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5">
        <f>Gen!C28</f>
        <v>40147.71</v>
      </c>
      <c r="I23" s="725">
        <f>Gen!E28</f>
        <v>0</v>
      </c>
      <c r="J23" s="764">
        <f>Gen!T28</f>
        <v>0</v>
      </c>
      <c r="K23" s="769">
        <f>Gen!AK28</f>
        <v>0</v>
      </c>
      <c r="L23" s="760">
        <f t="shared" si="17"/>
        <v>0</v>
      </c>
      <c r="M23" s="448">
        <f>'Water-Meter'!K63</f>
        <v>0</v>
      </c>
      <c r="N23" s="720">
        <f>'Water-Meter'!E23</f>
        <v>0</v>
      </c>
      <c r="O23" s="711"/>
      <c r="P23" s="718"/>
      <c r="Q23" s="730">
        <f t="shared" si="2"/>
        <v>0</v>
      </c>
      <c r="R23" s="426">
        <f t="shared" si="5"/>
        <v>0</v>
      </c>
      <c r="S23" s="706"/>
      <c r="T23" s="707"/>
      <c r="U23" s="730">
        <f t="shared" si="20"/>
        <v>0</v>
      </c>
      <c r="V23" s="427">
        <f t="shared" si="19"/>
        <v>0</v>
      </c>
      <c r="W23" s="706"/>
      <c r="X23" s="712"/>
      <c r="Y23" s="730">
        <f t="shared" si="8"/>
        <v>0</v>
      </c>
      <c r="Z23" s="710">
        <f t="shared" si="9"/>
        <v>0</v>
      </c>
      <c r="AA23" s="717">
        <f t="shared" si="10"/>
        <v>0</v>
      </c>
      <c r="AB23" s="714"/>
      <c r="AC23" s="695">
        <f t="shared" si="11"/>
        <v>0</v>
      </c>
      <c r="AD23" s="698"/>
      <c r="AE23" s="178">
        <f t="shared" si="15"/>
        <v>0</v>
      </c>
      <c r="AF23" s="724">
        <f>'Lpg (2)'!B27*2000/85</f>
        <v>0</v>
      </c>
      <c r="AG23" s="266">
        <f>'Lpg (2)'!C27*1000/85</f>
        <v>0</v>
      </c>
      <c r="AH23" s="737">
        <f>'Lpg (2)'!D27*1000/85</f>
        <v>0</v>
      </c>
      <c r="AI23" s="727">
        <f t="shared" si="18"/>
        <v>0</v>
      </c>
      <c r="AJ23" s="428">
        <f t="shared" si="4"/>
        <v>0</v>
      </c>
      <c r="AK23" s="132"/>
    </row>
    <row r="24" spans="1:37" ht="18.75">
      <c r="A24" s="758">
        <f>Gen!A29</f>
        <v>44274</v>
      </c>
      <c r="B24" s="425">
        <f>'Summery Report'!E23</f>
        <v>0</v>
      </c>
      <c r="C24" s="763">
        <f>Gen!B29</f>
        <v>0</v>
      </c>
      <c r="D24" s="725">
        <f>'Summery Report'!E23</f>
        <v>0</v>
      </c>
      <c r="E24" s="725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5">
        <f>Gen!C29</f>
        <v>40147.71</v>
      </c>
      <c r="I24" s="725">
        <f>Gen!E29</f>
        <v>0</v>
      </c>
      <c r="J24" s="764">
        <f>Gen!T29</f>
        <v>0</v>
      </c>
      <c r="K24" s="769">
        <f>Gen!AK29</f>
        <v>0</v>
      </c>
      <c r="L24" s="760">
        <f t="shared" si="17"/>
        <v>0</v>
      </c>
      <c r="M24" s="448">
        <f>'Water-Meter'!K64</f>
        <v>0</v>
      </c>
      <c r="N24" s="720">
        <f>'Water-Meter'!E24</f>
        <v>0</v>
      </c>
      <c r="O24" s="711"/>
      <c r="P24" s="718"/>
      <c r="Q24" s="730">
        <f t="shared" si="2"/>
        <v>0</v>
      </c>
      <c r="R24" s="426">
        <f t="shared" si="5"/>
        <v>0</v>
      </c>
      <c r="S24" s="706"/>
      <c r="T24" s="707"/>
      <c r="U24" s="730">
        <f t="shared" si="6"/>
        <v>0</v>
      </c>
      <c r="V24" s="427">
        <f t="shared" si="19"/>
        <v>0</v>
      </c>
      <c r="W24" s="706"/>
      <c r="X24" s="712"/>
      <c r="Y24" s="730">
        <f t="shared" si="8"/>
        <v>0</v>
      </c>
      <c r="Z24" s="710">
        <f t="shared" si="9"/>
        <v>0</v>
      </c>
      <c r="AA24" s="717">
        <f t="shared" si="10"/>
        <v>0</v>
      </c>
      <c r="AB24" s="714"/>
      <c r="AC24" s="695">
        <f t="shared" si="11"/>
        <v>0</v>
      </c>
      <c r="AD24" s="698"/>
      <c r="AE24" s="178">
        <f t="shared" si="15"/>
        <v>0</v>
      </c>
      <c r="AF24" s="724">
        <f>'Lpg (2)'!B28*2000/85</f>
        <v>0</v>
      </c>
      <c r="AG24" s="266">
        <f>'Lpg (2)'!C28*1000/85</f>
        <v>0</v>
      </c>
      <c r="AH24" s="737">
        <f>'Lpg (2)'!D28*1000/85</f>
        <v>0</v>
      </c>
      <c r="AI24" s="727">
        <f t="shared" si="18"/>
        <v>0</v>
      </c>
      <c r="AJ24" s="428">
        <f t="shared" si="4"/>
        <v>0</v>
      </c>
      <c r="AK24" s="132"/>
    </row>
    <row r="25" spans="1:37" ht="18.75">
      <c r="A25" s="758">
        <f>Gen!A30</f>
        <v>44275</v>
      </c>
      <c r="B25" s="425">
        <f>'Summery Report'!E24</f>
        <v>0</v>
      </c>
      <c r="C25" s="763">
        <f>Gen!B30</f>
        <v>0</v>
      </c>
      <c r="D25" s="725">
        <f>'Summery Report'!E24</f>
        <v>0</v>
      </c>
      <c r="E25" s="725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5">
        <f>Gen!C30</f>
        <v>40147.71</v>
      </c>
      <c r="I25" s="725">
        <f>Gen!E30</f>
        <v>0</v>
      </c>
      <c r="J25" s="764">
        <f>Gen!T30</f>
        <v>0</v>
      </c>
      <c r="K25" s="769">
        <f>Gen!AK30</f>
        <v>0</v>
      </c>
      <c r="L25" s="760">
        <f t="shared" si="17"/>
        <v>0</v>
      </c>
      <c r="M25" s="448">
        <f>'Water-Meter'!K65</f>
        <v>0</v>
      </c>
      <c r="N25" s="720">
        <f>'Water-Meter'!E25</f>
        <v>0</v>
      </c>
      <c r="O25" s="711"/>
      <c r="P25" s="718"/>
      <c r="Q25" s="730">
        <f t="shared" si="2"/>
        <v>0</v>
      </c>
      <c r="R25" s="426">
        <f t="shared" si="5"/>
        <v>0</v>
      </c>
      <c r="S25" s="706"/>
      <c r="T25" s="707"/>
      <c r="U25" s="730">
        <f t="shared" si="6"/>
        <v>0</v>
      </c>
      <c r="V25" s="427">
        <f t="shared" si="19"/>
        <v>0</v>
      </c>
      <c r="W25" s="706"/>
      <c r="X25" s="712"/>
      <c r="Y25" s="730">
        <f t="shared" si="8"/>
        <v>0</v>
      </c>
      <c r="Z25" s="710">
        <f t="shared" si="9"/>
        <v>0</v>
      </c>
      <c r="AA25" s="717">
        <f t="shared" si="10"/>
        <v>0</v>
      </c>
      <c r="AB25" s="714"/>
      <c r="AC25" s="695">
        <f t="shared" si="11"/>
        <v>0</v>
      </c>
      <c r="AD25" s="698"/>
      <c r="AE25" s="178">
        <f t="shared" si="15"/>
        <v>0</v>
      </c>
      <c r="AF25" s="724">
        <f>'Lpg (2)'!B29*2000/85</f>
        <v>0</v>
      </c>
      <c r="AG25" s="266">
        <f>'Lpg (2)'!C29*1000/85</f>
        <v>0</v>
      </c>
      <c r="AH25" s="737">
        <f>'Lpg (2)'!D29*1000/85</f>
        <v>0</v>
      </c>
      <c r="AI25" s="727">
        <f t="shared" si="18"/>
        <v>0</v>
      </c>
      <c r="AJ25" s="428">
        <f t="shared" si="4"/>
        <v>0</v>
      </c>
      <c r="AK25" s="132"/>
    </row>
    <row r="26" spans="1:37" ht="18.75">
      <c r="A26" s="758">
        <f>Gen!A31</f>
        <v>44276</v>
      </c>
      <c r="B26" s="425">
        <f>'Summery Report'!E25</f>
        <v>0</v>
      </c>
      <c r="C26" s="763">
        <f>Gen!B31</f>
        <v>0</v>
      </c>
      <c r="D26" s="725">
        <f>'Summery Report'!E25</f>
        <v>0</v>
      </c>
      <c r="E26" s="725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5">
        <f>Gen!C31</f>
        <v>40147.71</v>
      </c>
      <c r="I26" s="725">
        <f>Gen!E31</f>
        <v>0</v>
      </c>
      <c r="J26" s="764">
        <f>Gen!T31</f>
        <v>0</v>
      </c>
      <c r="K26" s="769">
        <f>Gen!AK31</f>
        <v>0</v>
      </c>
      <c r="L26" s="760">
        <f t="shared" si="17"/>
        <v>0</v>
      </c>
      <c r="M26" s="448">
        <f>'Water-Meter'!K66</f>
        <v>0</v>
      </c>
      <c r="N26" s="720">
        <f>'Water-Meter'!E26</f>
        <v>0</v>
      </c>
      <c r="O26" s="711"/>
      <c r="P26" s="718"/>
      <c r="Q26" s="730">
        <f t="shared" si="2"/>
        <v>0</v>
      </c>
      <c r="R26" s="426">
        <f t="shared" si="5"/>
        <v>0</v>
      </c>
      <c r="S26" s="706"/>
      <c r="T26" s="707"/>
      <c r="U26" s="730">
        <f t="shared" si="6"/>
        <v>0</v>
      </c>
      <c r="V26" s="427">
        <f t="shared" si="19"/>
        <v>0</v>
      </c>
      <c r="W26" s="706"/>
      <c r="X26" s="712"/>
      <c r="Y26" s="730">
        <f t="shared" si="8"/>
        <v>0</v>
      </c>
      <c r="Z26" s="710">
        <f t="shared" si="9"/>
        <v>0</v>
      </c>
      <c r="AA26" s="717">
        <f t="shared" si="10"/>
        <v>0</v>
      </c>
      <c r="AB26" s="714"/>
      <c r="AC26" s="695">
        <f t="shared" si="11"/>
        <v>0</v>
      </c>
      <c r="AD26" s="698"/>
      <c r="AE26" s="178">
        <f t="shared" si="15"/>
        <v>0</v>
      </c>
      <c r="AF26" s="724">
        <f>'Lpg (2)'!B30*2000/85</f>
        <v>0</v>
      </c>
      <c r="AG26" s="266">
        <f>'Lpg (2)'!C30*1000/85</f>
        <v>0</v>
      </c>
      <c r="AH26" s="737">
        <f>'Lpg (2)'!D30*1000/85</f>
        <v>0</v>
      </c>
      <c r="AI26" s="727">
        <f t="shared" si="18"/>
        <v>0</v>
      </c>
      <c r="AJ26" s="428">
        <f t="shared" si="4"/>
        <v>0</v>
      </c>
      <c r="AK26" s="132"/>
    </row>
    <row r="27" spans="1:37" ht="18.75">
      <c r="A27" s="758">
        <f>Gen!A32</f>
        <v>44277</v>
      </c>
      <c r="B27" s="425">
        <f>'Summery Report'!E26</f>
        <v>0</v>
      </c>
      <c r="C27" s="763">
        <f>Gen!B32</f>
        <v>0</v>
      </c>
      <c r="D27" s="725">
        <f>'Summery Report'!E26</f>
        <v>0</v>
      </c>
      <c r="E27" s="725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5">
        <f>Gen!C32</f>
        <v>40147.71</v>
      </c>
      <c r="I27" s="725">
        <f>Gen!E32</f>
        <v>0</v>
      </c>
      <c r="J27" s="764">
        <f>Gen!T32</f>
        <v>0</v>
      </c>
      <c r="K27" s="769">
        <f>Gen!AK32</f>
        <v>0</v>
      </c>
      <c r="L27" s="760">
        <f t="shared" si="17"/>
        <v>0</v>
      </c>
      <c r="M27" s="448">
        <f>'Water-Meter'!K67</f>
        <v>0</v>
      </c>
      <c r="N27" s="720">
        <f>'Water-Meter'!E27</f>
        <v>0</v>
      </c>
      <c r="O27" s="711"/>
      <c r="P27" s="718"/>
      <c r="Q27" s="730">
        <f t="shared" si="2"/>
        <v>0</v>
      </c>
      <c r="R27" s="426">
        <f t="shared" si="5"/>
        <v>0</v>
      </c>
      <c r="S27" s="706"/>
      <c r="T27" s="707"/>
      <c r="U27" s="730">
        <f t="shared" si="6"/>
        <v>0</v>
      </c>
      <c r="V27" s="427">
        <f t="shared" si="19"/>
        <v>0</v>
      </c>
      <c r="W27" s="706"/>
      <c r="X27" s="712"/>
      <c r="Y27" s="730">
        <f t="shared" si="8"/>
        <v>0</v>
      </c>
      <c r="Z27" s="710">
        <f t="shared" si="9"/>
        <v>0</v>
      </c>
      <c r="AA27" s="717">
        <f t="shared" si="10"/>
        <v>0</v>
      </c>
      <c r="AB27" s="714"/>
      <c r="AC27" s="695">
        <f t="shared" si="11"/>
        <v>0</v>
      </c>
      <c r="AD27" s="698"/>
      <c r="AE27" s="178">
        <f t="shared" si="15"/>
        <v>0</v>
      </c>
      <c r="AF27" s="724">
        <f>'Lpg (2)'!B31*2000/85</f>
        <v>0</v>
      </c>
      <c r="AG27" s="266">
        <f>'Lpg (2)'!C31*1000/85</f>
        <v>0</v>
      </c>
      <c r="AH27" s="737">
        <f>'Lpg (2)'!D31*1000/85</f>
        <v>0</v>
      </c>
      <c r="AI27" s="727">
        <f t="shared" si="18"/>
        <v>0</v>
      </c>
      <c r="AJ27" s="428">
        <f t="shared" si="4"/>
        <v>0</v>
      </c>
      <c r="AK27" s="132"/>
    </row>
    <row r="28" spans="1:37" ht="18.75">
      <c r="A28" s="758">
        <f>Gen!A33</f>
        <v>44278</v>
      </c>
      <c r="B28" s="425">
        <f>'Summery Report'!E27</f>
        <v>0</v>
      </c>
      <c r="C28" s="763">
        <f>Gen!B33</f>
        <v>0</v>
      </c>
      <c r="D28" s="725">
        <f>'Summery Report'!E27</f>
        <v>0</v>
      </c>
      <c r="E28" s="725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5">
        <f>Gen!C33</f>
        <v>40147.71</v>
      </c>
      <c r="I28" s="725">
        <f>Gen!E33</f>
        <v>0</v>
      </c>
      <c r="J28" s="764">
        <f>Gen!T33</f>
        <v>0</v>
      </c>
      <c r="K28" s="769">
        <f>Gen!AK33</f>
        <v>0</v>
      </c>
      <c r="L28" s="760">
        <f t="shared" si="17"/>
        <v>0</v>
      </c>
      <c r="M28" s="448">
        <f>'Water-Meter'!K68</f>
        <v>0</v>
      </c>
      <c r="N28" s="720">
        <f>'Water-Meter'!E28</f>
        <v>0</v>
      </c>
      <c r="O28" s="711"/>
      <c r="P28" s="718"/>
      <c r="Q28" s="730">
        <f t="shared" si="2"/>
        <v>0</v>
      </c>
      <c r="R28" s="426">
        <f t="shared" si="5"/>
        <v>0</v>
      </c>
      <c r="S28" s="706"/>
      <c r="T28" s="707"/>
      <c r="U28" s="730">
        <f t="shared" si="6"/>
        <v>0</v>
      </c>
      <c r="V28" s="427">
        <f t="shared" si="19"/>
        <v>0</v>
      </c>
      <c r="W28" s="706"/>
      <c r="X28" s="712"/>
      <c r="Y28" s="730">
        <f t="shared" si="8"/>
        <v>0</v>
      </c>
      <c r="Z28" s="710">
        <f t="shared" si="9"/>
        <v>0</v>
      </c>
      <c r="AA28" s="717">
        <f t="shared" si="10"/>
        <v>0</v>
      </c>
      <c r="AB28" s="714"/>
      <c r="AC28" s="695">
        <f t="shared" ref="AC28:AC37" si="21">SUM(AB28-AB27)</f>
        <v>0</v>
      </c>
      <c r="AD28" s="698"/>
      <c r="AE28" s="178">
        <f t="shared" si="15"/>
        <v>0</v>
      </c>
      <c r="AF28" s="724">
        <f>'Lpg (2)'!B32*2000/85</f>
        <v>0</v>
      </c>
      <c r="AG28" s="266">
        <f>'Lpg (2)'!C32*1000/85</f>
        <v>0</v>
      </c>
      <c r="AH28" s="737">
        <f>'Lpg (2)'!D32*1000/85</f>
        <v>0</v>
      </c>
      <c r="AI28" s="727">
        <f t="shared" si="18"/>
        <v>0</v>
      </c>
      <c r="AJ28" s="428">
        <f t="shared" si="4"/>
        <v>0</v>
      </c>
      <c r="AK28" s="132"/>
    </row>
    <row r="29" spans="1:37" ht="18.75">
      <c r="A29" s="758">
        <f>Gen!A34</f>
        <v>44279</v>
      </c>
      <c r="B29" s="425">
        <f>'Summery Report'!E28</f>
        <v>0</v>
      </c>
      <c r="C29" s="763">
        <f>Gen!B34</f>
        <v>0</v>
      </c>
      <c r="D29" s="725">
        <f>'Summery Report'!E28</f>
        <v>0</v>
      </c>
      <c r="E29" s="725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5">
        <f>Gen!C34</f>
        <v>40147.71</v>
      </c>
      <c r="I29" s="725">
        <f>Gen!E34</f>
        <v>0</v>
      </c>
      <c r="J29" s="764">
        <f>Gen!T34</f>
        <v>0</v>
      </c>
      <c r="K29" s="769">
        <f>Gen!AK34</f>
        <v>0</v>
      </c>
      <c r="L29" s="760">
        <f t="shared" si="17"/>
        <v>0</v>
      </c>
      <c r="M29" s="448">
        <f>'Water-Meter'!K69</f>
        <v>0</v>
      </c>
      <c r="N29" s="720">
        <f>'Water-Meter'!E29</f>
        <v>0</v>
      </c>
      <c r="O29" s="711"/>
      <c r="P29" s="718"/>
      <c r="Q29" s="730">
        <f t="shared" si="2"/>
        <v>0</v>
      </c>
      <c r="R29" s="426">
        <f t="shared" si="5"/>
        <v>0</v>
      </c>
      <c r="S29" s="706"/>
      <c r="T29" s="707"/>
      <c r="U29" s="730">
        <f t="shared" si="6"/>
        <v>0</v>
      </c>
      <c r="V29" s="427">
        <f t="shared" si="19"/>
        <v>0</v>
      </c>
      <c r="W29" s="706"/>
      <c r="X29" s="712"/>
      <c r="Y29" s="730">
        <f t="shared" si="8"/>
        <v>0</v>
      </c>
      <c r="Z29" s="710">
        <f t="shared" si="9"/>
        <v>0</v>
      </c>
      <c r="AA29" s="717">
        <f t="shared" si="10"/>
        <v>0</v>
      </c>
      <c r="AB29" s="714"/>
      <c r="AC29" s="695">
        <f t="shared" si="21"/>
        <v>0</v>
      </c>
      <c r="AD29" s="698"/>
      <c r="AE29" s="178">
        <f t="shared" si="15"/>
        <v>0</v>
      </c>
      <c r="AF29" s="724">
        <f>'Lpg (2)'!B33*2000/85</f>
        <v>0</v>
      </c>
      <c r="AG29" s="266">
        <f>'Lpg (2)'!C33*1000/85</f>
        <v>0</v>
      </c>
      <c r="AH29" s="737">
        <f>'Lpg (2)'!D33*1000/85</f>
        <v>0</v>
      </c>
      <c r="AI29" s="727">
        <f t="shared" si="18"/>
        <v>0</v>
      </c>
      <c r="AJ29" s="428">
        <f t="shared" si="4"/>
        <v>0</v>
      </c>
      <c r="AK29" s="132"/>
    </row>
    <row r="30" spans="1:37" ht="18.75">
      <c r="A30" s="758">
        <f>Gen!A35</f>
        <v>44280</v>
      </c>
      <c r="B30" s="425">
        <f>'Summery Report'!E29</f>
        <v>0</v>
      </c>
      <c r="C30" s="763">
        <f>Gen!B35</f>
        <v>0</v>
      </c>
      <c r="D30" s="725">
        <f>'Summery Report'!E29</f>
        <v>0</v>
      </c>
      <c r="E30" s="725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5">
        <f>Gen!C35</f>
        <v>40147.71</v>
      </c>
      <c r="I30" s="725">
        <f>Gen!E35</f>
        <v>18000</v>
      </c>
      <c r="J30" s="764">
        <f>Gen!T35</f>
        <v>0</v>
      </c>
      <c r="K30" s="769">
        <f>Gen!AK35</f>
        <v>0</v>
      </c>
      <c r="L30" s="760">
        <f t="shared" si="17"/>
        <v>0</v>
      </c>
      <c r="M30" s="448">
        <f>'Water-Meter'!K70</f>
        <v>0</v>
      </c>
      <c r="N30" s="720">
        <f>'Water-Meter'!E30</f>
        <v>0</v>
      </c>
      <c r="O30" s="711"/>
      <c r="P30" s="718"/>
      <c r="Q30" s="730">
        <f t="shared" si="2"/>
        <v>0</v>
      </c>
      <c r="R30" s="426">
        <f t="shared" si="5"/>
        <v>0</v>
      </c>
      <c r="S30" s="706"/>
      <c r="T30" s="707"/>
      <c r="U30" s="730">
        <f t="shared" si="6"/>
        <v>0</v>
      </c>
      <c r="V30" s="427">
        <f t="shared" si="19"/>
        <v>0</v>
      </c>
      <c r="W30" s="706"/>
      <c r="X30" s="712"/>
      <c r="Y30" s="730">
        <f t="shared" si="8"/>
        <v>0</v>
      </c>
      <c r="Z30" s="710">
        <f t="shared" si="9"/>
        <v>0</v>
      </c>
      <c r="AA30" s="717">
        <f t="shared" si="10"/>
        <v>0</v>
      </c>
      <c r="AB30" s="714"/>
      <c r="AC30" s="695">
        <f t="shared" si="21"/>
        <v>0</v>
      </c>
      <c r="AD30" s="698"/>
      <c r="AE30" s="178">
        <f t="shared" si="15"/>
        <v>0</v>
      </c>
      <c r="AF30" s="724">
        <f>'Lpg (2)'!B34*2000/85</f>
        <v>0</v>
      </c>
      <c r="AG30" s="266">
        <f>'Lpg (2)'!C34*1000/85</f>
        <v>0</v>
      </c>
      <c r="AH30" s="737">
        <f>'Lpg (2)'!D34*1000/85</f>
        <v>0</v>
      </c>
      <c r="AI30" s="727">
        <f t="shared" si="18"/>
        <v>0</v>
      </c>
      <c r="AJ30" s="428">
        <f t="shared" si="4"/>
        <v>0</v>
      </c>
      <c r="AK30" s="132"/>
    </row>
    <row r="31" spans="1:37" ht="18.75">
      <c r="A31" s="758">
        <f>Gen!A36</f>
        <v>44281</v>
      </c>
      <c r="B31" s="425">
        <f>'Summery Report'!E30</f>
        <v>0</v>
      </c>
      <c r="C31" s="763">
        <f>Gen!B36</f>
        <v>0</v>
      </c>
      <c r="D31" s="725">
        <f>'Summery Report'!E30</f>
        <v>0</v>
      </c>
      <c r="E31" s="725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5">
        <f>Gen!C36</f>
        <v>40147.71</v>
      </c>
      <c r="I31" s="725">
        <f>Gen!E36</f>
        <v>0</v>
      </c>
      <c r="J31" s="764">
        <f>Gen!T36</f>
        <v>0</v>
      </c>
      <c r="K31" s="769">
        <f>Gen!AK36</f>
        <v>0</v>
      </c>
      <c r="L31" s="760">
        <f t="shared" si="17"/>
        <v>0</v>
      </c>
      <c r="M31" s="448">
        <f>'Water-Meter'!K71</f>
        <v>0</v>
      </c>
      <c r="N31" s="720">
        <f>'Water-Meter'!E31</f>
        <v>0</v>
      </c>
      <c r="O31" s="711"/>
      <c r="P31" s="718"/>
      <c r="Q31" s="730">
        <f t="shared" si="2"/>
        <v>0</v>
      </c>
      <c r="R31" s="426">
        <f t="shared" si="5"/>
        <v>0</v>
      </c>
      <c r="S31" s="706"/>
      <c r="T31" s="707"/>
      <c r="U31" s="730">
        <f t="shared" si="6"/>
        <v>0</v>
      </c>
      <c r="V31" s="427">
        <f t="shared" si="19"/>
        <v>0</v>
      </c>
      <c r="W31" s="706"/>
      <c r="X31" s="712"/>
      <c r="Y31" s="730">
        <f t="shared" si="8"/>
        <v>0</v>
      </c>
      <c r="Z31" s="710">
        <f t="shared" si="9"/>
        <v>0</v>
      </c>
      <c r="AA31" s="717">
        <f t="shared" si="10"/>
        <v>0</v>
      </c>
      <c r="AB31" s="714"/>
      <c r="AC31" s="695">
        <f t="shared" si="21"/>
        <v>0</v>
      </c>
      <c r="AD31" s="698"/>
      <c r="AE31" s="178">
        <f t="shared" si="15"/>
        <v>0</v>
      </c>
      <c r="AF31" s="724">
        <f>'Lpg (2)'!B35*2000/85</f>
        <v>0</v>
      </c>
      <c r="AG31" s="266">
        <f>'Lpg (2)'!C35*1000/85</f>
        <v>0</v>
      </c>
      <c r="AH31" s="737">
        <f>'Lpg (2)'!D35*1000/85</f>
        <v>0</v>
      </c>
      <c r="AI31" s="727">
        <f t="shared" si="18"/>
        <v>0</v>
      </c>
      <c r="AJ31" s="428">
        <f t="shared" si="4"/>
        <v>0</v>
      </c>
      <c r="AK31" s="132"/>
    </row>
    <row r="32" spans="1:37" ht="18.75">
      <c r="A32" s="758">
        <f>Gen!A37</f>
        <v>44282</v>
      </c>
      <c r="B32" s="425">
        <f>'Summery Report'!E31</f>
        <v>0</v>
      </c>
      <c r="C32" s="763">
        <f>Gen!B37</f>
        <v>0</v>
      </c>
      <c r="D32" s="725">
        <f>'Summery Report'!E31</f>
        <v>0</v>
      </c>
      <c r="E32" s="725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5">
        <f>Gen!C37</f>
        <v>40147.71</v>
      </c>
      <c r="I32" s="725">
        <f>Gen!E37</f>
        <v>0</v>
      </c>
      <c r="J32" s="764">
        <f>Gen!T37</f>
        <v>0</v>
      </c>
      <c r="K32" s="769">
        <f>Gen!AK37</f>
        <v>0</v>
      </c>
      <c r="L32" s="760">
        <f t="shared" si="17"/>
        <v>0</v>
      </c>
      <c r="M32" s="448">
        <f>'Water-Meter'!K72</f>
        <v>0</v>
      </c>
      <c r="N32" s="720">
        <f>'Water-Meter'!E32</f>
        <v>0</v>
      </c>
      <c r="O32" s="711"/>
      <c r="P32" s="718"/>
      <c r="Q32" s="730">
        <f t="shared" si="2"/>
        <v>0</v>
      </c>
      <c r="R32" s="426">
        <f t="shared" si="5"/>
        <v>0</v>
      </c>
      <c r="S32" s="706"/>
      <c r="T32" s="707"/>
      <c r="U32" s="730">
        <f t="shared" si="6"/>
        <v>0</v>
      </c>
      <c r="V32" s="427">
        <f t="shared" si="19"/>
        <v>0</v>
      </c>
      <c r="W32" s="706"/>
      <c r="X32" s="712"/>
      <c r="Y32" s="730">
        <f t="shared" si="8"/>
        <v>0</v>
      </c>
      <c r="Z32" s="710">
        <f t="shared" si="9"/>
        <v>0</v>
      </c>
      <c r="AA32" s="717">
        <f t="shared" si="10"/>
        <v>0</v>
      </c>
      <c r="AB32" s="714"/>
      <c r="AC32" s="695">
        <f t="shared" si="21"/>
        <v>0</v>
      </c>
      <c r="AD32" s="698"/>
      <c r="AE32" s="178">
        <f t="shared" si="15"/>
        <v>0</v>
      </c>
      <c r="AF32" s="724">
        <f>'Lpg (2)'!B36*2000/85</f>
        <v>0</v>
      </c>
      <c r="AG32" s="266">
        <f>'Lpg (2)'!C36*1000/85</f>
        <v>0</v>
      </c>
      <c r="AH32" s="737">
        <f>'Lpg (2)'!D36*1000/85</f>
        <v>0</v>
      </c>
      <c r="AI32" s="727">
        <f t="shared" si="18"/>
        <v>0</v>
      </c>
      <c r="AJ32" s="428">
        <f t="shared" si="4"/>
        <v>0</v>
      </c>
      <c r="AK32" s="132"/>
    </row>
    <row r="33" spans="1:37" ht="18.75">
      <c r="A33" s="758">
        <f>Gen!A38</f>
        <v>44283</v>
      </c>
      <c r="B33" s="425">
        <f>'Summery Report'!E32</f>
        <v>0</v>
      </c>
      <c r="C33" s="763">
        <f>Gen!B38</f>
        <v>0</v>
      </c>
      <c r="D33" s="725">
        <f>'Summery Report'!E32</f>
        <v>0</v>
      </c>
      <c r="E33" s="725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5">
        <f>Gen!C38</f>
        <v>40147.71</v>
      </c>
      <c r="I33" s="725">
        <f>Gen!E38</f>
        <v>15000</v>
      </c>
      <c r="J33" s="764">
        <f>Gen!T38</f>
        <v>0</v>
      </c>
      <c r="K33" s="769">
        <f>Gen!AK38</f>
        <v>0</v>
      </c>
      <c r="L33" s="760">
        <f t="shared" si="17"/>
        <v>0</v>
      </c>
      <c r="M33" s="448">
        <f>'Water-Meter'!K73</f>
        <v>0</v>
      </c>
      <c r="N33" s="720">
        <f>'Water-Meter'!E33</f>
        <v>0</v>
      </c>
      <c r="O33" s="711"/>
      <c r="P33" s="718"/>
      <c r="Q33" s="730">
        <f t="shared" si="2"/>
        <v>0</v>
      </c>
      <c r="R33" s="426">
        <f t="shared" si="5"/>
        <v>0</v>
      </c>
      <c r="S33" s="706"/>
      <c r="T33" s="707"/>
      <c r="U33" s="730">
        <f t="shared" si="6"/>
        <v>0</v>
      </c>
      <c r="V33" s="427">
        <f t="shared" si="19"/>
        <v>0</v>
      </c>
      <c r="W33" s="706"/>
      <c r="X33" s="712"/>
      <c r="Y33" s="730">
        <f t="shared" si="8"/>
        <v>0</v>
      </c>
      <c r="Z33" s="710">
        <f t="shared" si="9"/>
        <v>0</v>
      </c>
      <c r="AA33" s="717">
        <f t="shared" si="10"/>
        <v>0</v>
      </c>
      <c r="AB33" s="714"/>
      <c r="AC33" s="695">
        <f t="shared" si="21"/>
        <v>0</v>
      </c>
      <c r="AD33" s="698"/>
      <c r="AE33" s="178">
        <f t="shared" si="15"/>
        <v>0</v>
      </c>
      <c r="AF33" s="724">
        <f>'Lpg (2)'!B37*2000/85</f>
        <v>0</v>
      </c>
      <c r="AG33" s="266">
        <f>'Lpg (2)'!C37*1000/85</f>
        <v>0</v>
      </c>
      <c r="AH33" s="737">
        <f>'Lpg (2)'!D37*1000/85</f>
        <v>0</v>
      </c>
      <c r="AI33" s="727">
        <f t="shared" si="18"/>
        <v>0</v>
      </c>
      <c r="AJ33" s="428">
        <f t="shared" si="4"/>
        <v>0</v>
      </c>
      <c r="AK33" s="132"/>
    </row>
    <row r="34" spans="1:37" ht="18.75">
      <c r="A34" s="758">
        <f>Gen!A39</f>
        <v>44284</v>
      </c>
      <c r="B34" s="425">
        <f>'Summery Report'!E33</f>
        <v>0</v>
      </c>
      <c r="C34" s="763">
        <f>Gen!B39</f>
        <v>0</v>
      </c>
      <c r="D34" s="725">
        <f>'Summery Report'!E33</f>
        <v>0</v>
      </c>
      <c r="E34" s="725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5">
        <f>Gen!C39</f>
        <v>40147.71</v>
      </c>
      <c r="I34" s="725">
        <f>Gen!E39</f>
        <v>0</v>
      </c>
      <c r="J34" s="764">
        <f>Gen!T39</f>
        <v>0</v>
      </c>
      <c r="K34" s="769">
        <f>Gen!AK39</f>
        <v>0</v>
      </c>
      <c r="L34" s="760">
        <f t="shared" si="17"/>
        <v>0</v>
      </c>
      <c r="M34" s="448">
        <f>'Water-Meter'!K74</f>
        <v>0</v>
      </c>
      <c r="N34" s="720">
        <f>'Water-Meter'!E34</f>
        <v>0</v>
      </c>
      <c r="O34" s="711"/>
      <c r="P34" s="718"/>
      <c r="Q34" s="730">
        <f t="shared" si="2"/>
        <v>0</v>
      </c>
      <c r="R34" s="426">
        <f t="shared" si="5"/>
        <v>0</v>
      </c>
      <c r="S34" s="706"/>
      <c r="T34" s="707"/>
      <c r="U34" s="730">
        <f t="shared" si="6"/>
        <v>0</v>
      </c>
      <c r="V34" s="427">
        <f t="shared" si="19"/>
        <v>0</v>
      </c>
      <c r="W34" s="706"/>
      <c r="X34" s="712"/>
      <c r="Y34" s="730">
        <f t="shared" si="8"/>
        <v>0</v>
      </c>
      <c r="Z34" s="710">
        <f t="shared" si="9"/>
        <v>0</v>
      </c>
      <c r="AA34" s="717">
        <f t="shared" si="10"/>
        <v>0</v>
      </c>
      <c r="AB34" s="714"/>
      <c r="AC34" s="695">
        <f t="shared" si="21"/>
        <v>0</v>
      </c>
      <c r="AD34" s="698"/>
      <c r="AE34" s="178">
        <f t="shared" si="15"/>
        <v>0</v>
      </c>
      <c r="AF34" s="724">
        <f>'Lpg (2)'!B38*2000/85</f>
        <v>0</v>
      </c>
      <c r="AG34" s="266">
        <f>'Lpg (2)'!C38*1000/85</f>
        <v>0</v>
      </c>
      <c r="AH34" s="737">
        <f>'Lpg (2)'!D38*1000/85</f>
        <v>0</v>
      </c>
      <c r="AI34" s="727">
        <f t="shared" si="18"/>
        <v>0</v>
      </c>
      <c r="AJ34" s="428">
        <f t="shared" si="4"/>
        <v>0</v>
      </c>
      <c r="AK34" s="132"/>
    </row>
    <row r="35" spans="1:37" ht="18.75">
      <c r="A35" s="758">
        <f>Gen!A40</f>
        <v>44285</v>
      </c>
      <c r="B35" s="425">
        <f>'Summery Report'!E34</f>
        <v>0</v>
      </c>
      <c r="C35" s="763">
        <f>Gen!B40</f>
        <v>0</v>
      </c>
      <c r="D35" s="725">
        <f>'Summery Report'!E34</f>
        <v>0</v>
      </c>
      <c r="E35" s="725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5">
        <f>Gen!C40</f>
        <v>40147.71</v>
      </c>
      <c r="I35" s="725">
        <f>Gen!E40</f>
        <v>0</v>
      </c>
      <c r="J35" s="764">
        <f>Gen!T40</f>
        <v>0</v>
      </c>
      <c r="K35" s="769">
        <f>Gen!AK40</f>
        <v>0</v>
      </c>
      <c r="L35" s="760">
        <f t="shared" si="17"/>
        <v>0</v>
      </c>
      <c r="M35" s="448">
        <f>'Water-Meter'!K75</f>
        <v>0</v>
      </c>
      <c r="N35" s="720">
        <f>'Water-Meter'!E35</f>
        <v>0</v>
      </c>
      <c r="O35" s="711"/>
      <c r="P35" s="718"/>
      <c r="Q35" s="730">
        <f t="shared" si="2"/>
        <v>0</v>
      </c>
      <c r="R35" s="426">
        <f t="shared" si="5"/>
        <v>0</v>
      </c>
      <c r="S35" s="706"/>
      <c r="T35" s="707"/>
      <c r="U35" s="730">
        <f t="shared" si="6"/>
        <v>0</v>
      </c>
      <c r="V35" s="427">
        <f t="shared" si="19"/>
        <v>0</v>
      </c>
      <c r="W35" s="706"/>
      <c r="X35" s="712"/>
      <c r="Y35" s="730">
        <f t="shared" si="8"/>
        <v>0</v>
      </c>
      <c r="Z35" s="710">
        <f t="shared" si="9"/>
        <v>0</v>
      </c>
      <c r="AA35" s="717">
        <f t="shared" si="10"/>
        <v>0</v>
      </c>
      <c r="AB35" s="714"/>
      <c r="AC35" s="695">
        <f t="shared" si="21"/>
        <v>0</v>
      </c>
      <c r="AD35" s="698"/>
      <c r="AE35" s="178">
        <f t="shared" si="15"/>
        <v>0</v>
      </c>
      <c r="AF35" s="724">
        <f>'Lpg (2)'!B39*2000/85</f>
        <v>0</v>
      </c>
      <c r="AG35" s="266">
        <f>'Lpg (2)'!C39*1000/85</f>
        <v>0</v>
      </c>
      <c r="AH35" s="737">
        <f>'Lpg (2)'!D39*1000/85</f>
        <v>0</v>
      </c>
      <c r="AI35" s="727">
        <f t="shared" si="18"/>
        <v>0</v>
      </c>
      <c r="AJ35" s="428">
        <f t="shared" si="4"/>
        <v>0</v>
      </c>
      <c r="AK35" s="132"/>
    </row>
    <row r="36" spans="1:37" ht="18.75">
      <c r="A36" s="758">
        <f>Gen!A41</f>
        <v>44286</v>
      </c>
      <c r="B36" s="425">
        <f>'Summery Report'!E35</f>
        <v>0</v>
      </c>
      <c r="C36" s="763">
        <f>Gen!B41</f>
        <v>0</v>
      </c>
      <c r="D36" s="725">
        <f>'Summery Report'!E35</f>
        <v>0</v>
      </c>
      <c r="E36" s="725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5">
        <f>Gen!C41</f>
        <v>40147.71</v>
      </c>
      <c r="I36" s="725">
        <f>Gen!E41</f>
        <v>0</v>
      </c>
      <c r="J36" s="764">
        <f>Gen!T41</f>
        <v>0</v>
      </c>
      <c r="K36" s="769">
        <f>Gen!AK41</f>
        <v>0</v>
      </c>
      <c r="L36" s="760">
        <f t="shared" si="17"/>
        <v>0</v>
      </c>
      <c r="M36" s="448">
        <f>'Water-Meter'!K76</f>
        <v>0</v>
      </c>
      <c r="N36" s="720">
        <f>'Water-Meter'!E36</f>
        <v>0</v>
      </c>
      <c r="O36" s="711"/>
      <c r="P36" s="718"/>
      <c r="Q36" s="730">
        <f t="shared" si="2"/>
        <v>0</v>
      </c>
      <c r="R36" s="426">
        <f t="shared" si="5"/>
        <v>0</v>
      </c>
      <c r="S36" s="706"/>
      <c r="T36" s="707"/>
      <c r="U36" s="730">
        <f t="shared" si="6"/>
        <v>0</v>
      </c>
      <c r="V36" s="427">
        <f t="shared" si="19"/>
        <v>0</v>
      </c>
      <c r="W36" s="706"/>
      <c r="X36" s="712"/>
      <c r="Y36" s="730">
        <f t="shared" si="8"/>
        <v>0</v>
      </c>
      <c r="Z36" s="710">
        <f t="shared" si="9"/>
        <v>0</v>
      </c>
      <c r="AA36" s="717">
        <f t="shared" si="10"/>
        <v>0</v>
      </c>
      <c r="AB36" s="714"/>
      <c r="AC36" s="695">
        <f t="shared" si="21"/>
        <v>0</v>
      </c>
      <c r="AD36" s="698"/>
      <c r="AE36" s="178">
        <f t="shared" si="15"/>
        <v>0</v>
      </c>
      <c r="AF36" s="724">
        <f>'Lpg (2)'!B40*2000/85</f>
        <v>0</v>
      </c>
      <c r="AG36" s="266">
        <f>'Lpg (2)'!C40*1000/85</f>
        <v>0</v>
      </c>
      <c r="AH36" s="737">
        <f>'Lpg (2)'!D40*1000/85</f>
        <v>0</v>
      </c>
      <c r="AI36" s="727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9">
        <f>Gen!A42</f>
        <v>0</v>
      </c>
      <c r="B37" s="770">
        <v>0</v>
      </c>
      <c r="C37" s="771"/>
      <c r="D37" s="771"/>
      <c r="E37" s="771"/>
      <c r="F37" s="771"/>
      <c r="G37" s="771"/>
      <c r="H37" s="772"/>
      <c r="I37" s="773"/>
      <c r="J37" s="774">
        <f>SUM(J6:J36)</f>
        <v>10878</v>
      </c>
      <c r="K37" s="775"/>
      <c r="L37" s="761">
        <f t="shared" si="17"/>
        <v>10878</v>
      </c>
      <c r="M37" s="448">
        <f>'Water-Meter'!K77</f>
        <v>0</v>
      </c>
      <c r="N37" s="721">
        <f>'Water-Meter'!E37</f>
        <v>0</v>
      </c>
      <c r="O37" s="708"/>
      <c r="P37" s="709"/>
      <c r="Q37" s="731">
        <f t="shared" ref="Q37" si="22">SUM(P37-P36)</f>
        <v>0</v>
      </c>
      <c r="R37" s="732">
        <f t="shared" ref="R37" si="23">SUM(Q37*O37)</f>
        <v>0</v>
      </c>
      <c r="S37" s="708"/>
      <c r="T37" s="709"/>
      <c r="U37" s="731">
        <f t="shared" ref="U37" si="24">T37-T36</f>
        <v>0</v>
      </c>
      <c r="V37" s="733">
        <f t="shared" ref="V37" si="25">SUM(U37*S37)</f>
        <v>0</v>
      </c>
      <c r="W37" s="708"/>
      <c r="X37" s="709"/>
      <c r="Y37" s="731">
        <f t="shared" ref="Y37" si="26">X37-X36</f>
        <v>0</v>
      </c>
      <c r="Z37" s="734">
        <f t="shared" ref="Z37" si="27">SUM(Y37*W37)</f>
        <v>0</v>
      </c>
      <c r="AA37" s="735">
        <f t="shared" ref="AA37" si="28">SUM(Z37*X39)</f>
        <v>0</v>
      </c>
      <c r="AB37" s="703"/>
      <c r="AC37" s="696">
        <f t="shared" si="21"/>
        <v>0</v>
      </c>
      <c r="AD37" s="699"/>
      <c r="AE37" s="704">
        <f t="shared" si="15"/>
        <v>0</v>
      </c>
      <c r="AF37" s="738">
        <f>'Lpg (2)'!B41*2000/85</f>
        <v>0</v>
      </c>
      <c r="AG37" s="739">
        <f>'Lpg (2)'!C41*1000/85</f>
        <v>0</v>
      </c>
      <c r="AH37" s="740">
        <f>'Lpg (2)'!D41*1000/85</f>
        <v>0</v>
      </c>
      <c r="AI37" s="728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0" sqref="W10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7" t="s">
        <v>150</v>
      </c>
      <c r="C1" s="868"/>
      <c r="D1" s="868"/>
      <c r="E1" s="868"/>
      <c r="F1" s="869"/>
      <c r="G1" s="157"/>
      <c r="H1" s="867" t="s">
        <v>151</v>
      </c>
      <c r="I1" s="868"/>
      <c r="J1" s="868"/>
      <c r="K1" s="868"/>
      <c r="L1" s="869"/>
      <c r="M1" s="867" t="s">
        <v>170</v>
      </c>
      <c r="N1" s="868"/>
      <c r="O1" s="868"/>
      <c r="P1" s="868"/>
      <c r="Q1" s="869"/>
      <c r="R1" s="157"/>
      <c r="T1" s="867" t="s">
        <v>166</v>
      </c>
      <c r="U1" s="868"/>
      <c r="V1" s="868"/>
      <c r="W1" s="868"/>
      <c r="X1" s="869"/>
      <c r="Y1" s="867" t="s">
        <v>169</v>
      </c>
      <c r="Z1" s="868"/>
      <c r="AA1" s="868"/>
      <c r="AB1" s="868"/>
      <c r="AC1" s="869"/>
    </row>
    <row r="2" spans="1:29" ht="45.75" thickBot="1">
      <c r="A2" s="583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0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4">
        <f>Gen!A11</f>
        <v>44256</v>
      </c>
      <c r="B3" s="870" t="s">
        <v>156</v>
      </c>
      <c r="C3" s="871"/>
      <c r="D3" s="166"/>
      <c r="E3" s="578">
        <v>9136.6</v>
      </c>
      <c r="F3" s="585" t="s">
        <v>157</v>
      </c>
      <c r="G3" s="586"/>
      <c r="H3" s="870" t="s">
        <v>156</v>
      </c>
      <c r="I3" s="871"/>
      <c r="J3" s="612">
        <f>'Water-Meter'!G5</f>
        <v>0</v>
      </c>
      <c r="K3" s="587">
        <f>'Water-Meter'!G5</f>
        <v>0</v>
      </c>
      <c r="L3" s="241"/>
      <c r="M3" s="870" t="s">
        <v>156</v>
      </c>
      <c r="N3" s="871"/>
      <c r="O3" s="166"/>
      <c r="P3" s="588">
        <f>'Water-Meter'!J5</f>
        <v>8294</v>
      </c>
      <c r="Q3" s="165"/>
      <c r="R3" s="241"/>
      <c r="S3" s="641"/>
      <c r="T3" s="870" t="s">
        <v>156</v>
      </c>
      <c r="U3" s="871"/>
      <c r="V3" s="166"/>
      <c r="W3" s="579">
        <v>8028.6</v>
      </c>
      <c r="X3" s="589">
        <f t="shared" ref="X3:X35" si="0">(W3-V3)*200</f>
        <v>1605720</v>
      </c>
      <c r="Y3" s="870" t="s">
        <v>156</v>
      </c>
      <c r="Z3" s="871"/>
      <c r="AA3" s="166"/>
      <c r="AB3" s="169"/>
      <c r="AC3" s="170"/>
    </row>
    <row r="4" spans="1:29" ht="19.5" thickBot="1">
      <c r="A4" s="642">
        <f>Gen!B11</f>
        <v>0</v>
      </c>
      <c r="B4" s="590">
        <f>Gen!A11</f>
        <v>44256</v>
      </c>
      <c r="C4" s="591"/>
      <c r="D4" s="592">
        <f t="shared" ref="D4:D23" si="1">E3</f>
        <v>9136.6</v>
      </c>
      <c r="E4" s="578">
        <v>9138.6</v>
      </c>
      <c r="F4" s="592">
        <f t="shared" ref="F4:F15" si="2">SUM(E4-D4)*120</f>
        <v>240</v>
      </c>
      <c r="G4" s="591"/>
      <c r="H4" s="629">
        <f>B4</f>
        <v>44256</v>
      </c>
      <c r="I4" s="591"/>
      <c r="J4" s="630">
        <f>'Water-Meter'!G6</f>
        <v>0</v>
      </c>
      <c r="K4" s="631">
        <f>'Water-Meter'!G6</f>
        <v>0</v>
      </c>
      <c r="L4" s="591">
        <f t="shared" ref="L4:L34" si="3">SUM(K4-J4)</f>
        <v>0</v>
      </c>
      <c r="M4" s="629">
        <f>H4</f>
        <v>44256</v>
      </c>
      <c r="N4" s="591"/>
      <c r="O4" s="60"/>
      <c r="P4" s="598">
        <f>'Water-Meter'!J6</f>
        <v>8296</v>
      </c>
      <c r="Q4" s="591">
        <f>N4-O3</f>
        <v>0</v>
      </c>
      <c r="R4" s="632">
        <f t="shared" ref="R4:R20" si="4">SUM(Q4/1615)</f>
        <v>0</v>
      </c>
      <c r="S4" s="633">
        <f>Gen!T11</f>
        <v>2613</v>
      </c>
      <c r="T4" s="629">
        <f>M4</f>
        <v>44256</v>
      </c>
      <c r="U4" s="591"/>
      <c r="V4" s="592">
        <f t="shared" ref="V4:V33" si="5">W3</f>
        <v>8028.6</v>
      </c>
      <c r="W4" s="579">
        <v>8030.2</v>
      </c>
      <c r="X4" s="592">
        <f t="shared" si="0"/>
        <v>319.99999999989086</v>
      </c>
      <c r="Y4" s="629">
        <f>T4</f>
        <v>44256</v>
      </c>
      <c r="Z4" s="591"/>
      <c r="AA4" s="591"/>
      <c r="AB4" s="598">
        <f>'Water-Meter'!P6</f>
        <v>21005</v>
      </c>
      <c r="AC4" s="599">
        <f>AA4-AB3</f>
        <v>0</v>
      </c>
    </row>
    <row r="5" spans="1:29" ht="19.5" thickBot="1">
      <c r="A5" s="643">
        <f>Gen!B12</f>
        <v>0</v>
      </c>
      <c r="B5" s="593">
        <f>Gen!A12</f>
        <v>44257</v>
      </c>
      <c r="C5" s="577"/>
      <c r="D5" s="582">
        <f t="shared" si="1"/>
        <v>9138.6</v>
      </c>
      <c r="E5" s="578">
        <v>9141</v>
      </c>
      <c r="F5" s="582">
        <f t="shared" si="2"/>
        <v>287.99999999995634</v>
      </c>
      <c r="G5" s="577"/>
      <c r="H5" s="624">
        <f t="shared" ref="H5:H35" si="6">B5</f>
        <v>44257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7">H5</f>
        <v>44257</v>
      </c>
      <c r="N5" s="577"/>
      <c r="O5" s="6"/>
      <c r="P5" s="581">
        <f>'Water-Meter'!J7</f>
        <v>8298</v>
      </c>
      <c r="Q5" s="577">
        <f t="shared" ref="Q5:Q20" si="8">N5-O4</f>
        <v>0</v>
      </c>
      <c r="R5" s="627">
        <f t="shared" si="4"/>
        <v>0</v>
      </c>
      <c r="S5" s="628">
        <f>Gen!T12</f>
        <v>2905</v>
      </c>
      <c r="T5" s="629">
        <f t="shared" ref="T5:T34" si="9">M5</f>
        <v>44257</v>
      </c>
      <c r="U5" s="577"/>
      <c r="V5" s="582">
        <f t="shared" si="5"/>
        <v>8030.2</v>
      </c>
      <c r="W5" s="579">
        <v>8031.4</v>
      </c>
      <c r="X5" s="582">
        <f t="shared" si="0"/>
        <v>239.99999999996362</v>
      </c>
      <c r="Y5" s="624">
        <f t="shared" ref="Y5:Y30" si="10">T5</f>
        <v>44257</v>
      </c>
      <c r="Z5" s="577"/>
      <c r="AA5" s="577"/>
      <c r="AB5" s="581">
        <f>'Water-Meter'!P7</f>
        <v>21007</v>
      </c>
      <c r="AC5" s="634">
        <f t="shared" ref="AC5:AC35" si="11">AA5-AB4</f>
        <v>-21005</v>
      </c>
    </row>
    <row r="6" spans="1:29" ht="19.5" thickBot="1">
      <c r="A6" s="643">
        <f>Gen!B13</f>
        <v>0</v>
      </c>
      <c r="B6" s="593">
        <f>Gen!A13</f>
        <v>44258</v>
      </c>
      <c r="C6" s="577"/>
      <c r="D6" s="582">
        <f t="shared" si="1"/>
        <v>9141</v>
      </c>
      <c r="E6" s="578">
        <v>9143.2999999999993</v>
      </c>
      <c r="F6" s="582">
        <f t="shared" si="2"/>
        <v>275.99999999991269</v>
      </c>
      <c r="G6" s="577"/>
      <c r="H6" s="624">
        <f t="shared" si="6"/>
        <v>44258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7"/>
        <v>44258</v>
      </c>
      <c r="N6" s="577"/>
      <c r="O6" s="6"/>
      <c r="P6" s="581">
        <f>'Water-Meter'!J8</f>
        <v>8301</v>
      </c>
      <c r="Q6" s="577">
        <f t="shared" si="8"/>
        <v>0</v>
      </c>
      <c r="R6" s="627">
        <f t="shared" si="4"/>
        <v>0</v>
      </c>
      <c r="S6" s="628">
        <f>Gen!T13</f>
        <v>2495</v>
      </c>
      <c r="T6" s="629">
        <f t="shared" si="9"/>
        <v>44258</v>
      </c>
      <c r="U6" s="577"/>
      <c r="V6" s="582">
        <f t="shared" si="5"/>
        <v>8031.4</v>
      </c>
      <c r="W6" s="579">
        <v>8032.1</v>
      </c>
      <c r="X6" s="582">
        <f t="shared" si="0"/>
        <v>140.00000000014552</v>
      </c>
      <c r="Y6" s="624">
        <f t="shared" si="10"/>
        <v>44258</v>
      </c>
      <c r="Z6" s="577"/>
      <c r="AA6" s="577"/>
      <c r="AB6" s="581">
        <f>'Water-Meter'!P8</f>
        <v>21009</v>
      </c>
      <c r="AC6" s="634">
        <f t="shared" si="11"/>
        <v>-21007</v>
      </c>
    </row>
    <row r="7" spans="1:29" ht="19.5" thickBot="1">
      <c r="A7" s="643">
        <f>Gen!B14</f>
        <v>0</v>
      </c>
      <c r="B7" s="593">
        <f>Gen!A14</f>
        <v>44259</v>
      </c>
      <c r="C7" s="577"/>
      <c r="D7" s="582">
        <f t="shared" si="1"/>
        <v>9143.2999999999993</v>
      </c>
      <c r="E7" s="578">
        <v>9145.5</v>
      </c>
      <c r="F7" s="582">
        <f t="shared" si="2"/>
        <v>264.00000000008731</v>
      </c>
      <c r="G7" s="577"/>
      <c r="H7" s="624">
        <f t="shared" si="6"/>
        <v>44259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7"/>
        <v>44259</v>
      </c>
      <c r="N7" s="577"/>
      <c r="O7" s="6"/>
      <c r="P7" s="581">
        <f>'Water-Meter'!J9</f>
        <v>8304</v>
      </c>
      <c r="Q7" s="577">
        <f t="shared" si="8"/>
        <v>0</v>
      </c>
      <c r="R7" s="627">
        <f t="shared" si="4"/>
        <v>0</v>
      </c>
      <c r="S7" s="628">
        <f>Gen!T14</f>
        <v>2865</v>
      </c>
      <c r="T7" s="629">
        <f t="shared" si="9"/>
        <v>44259</v>
      </c>
      <c r="U7" s="577"/>
      <c r="V7" s="582">
        <f t="shared" si="5"/>
        <v>8032.1</v>
      </c>
      <c r="W7" s="579">
        <v>8033.4</v>
      </c>
      <c r="X7" s="582">
        <f t="shared" si="0"/>
        <v>259.99999999985448</v>
      </c>
      <c r="Y7" s="624">
        <f t="shared" si="10"/>
        <v>44259</v>
      </c>
      <c r="Z7" s="577"/>
      <c r="AA7" s="577"/>
      <c r="AB7" s="581">
        <f>'Water-Meter'!P9</f>
        <v>21012</v>
      </c>
      <c r="AC7" s="634">
        <f t="shared" si="11"/>
        <v>-21009</v>
      </c>
    </row>
    <row r="8" spans="1:29" ht="19.5" thickBot="1">
      <c r="A8" s="643">
        <f>Gen!B15</f>
        <v>0</v>
      </c>
      <c r="B8" s="593">
        <f>Gen!A15</f>
        <v>44260</v>
      </c>
      <c r="C8" s="577"/>
      <c r="D8" s="582">
        <f t="shared" si="1"/>
        <v>9145.5</v>
      </c>
      <c r="E8" s="578"/>
      <c r="F8" s="582">
        <f t="shared" si="2"/>
        <v>-1097460</v>
      </c>
      <c r="G8" s="577"/>
      <c r="H8" s="624">
        <f t="shared" si="6"/>
        <v>44260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7"/>
        <v>44260</v>
      </c>
      <c r="N8" s="577"/>
      <c r="O8" s="6"/>
      <c r="P8" s="581">
        <f>'Water-Meter'!J10</f>
        <v>0</v>
      </c>
      <c r="Q8" s="577">
        <f t="shared" si="8"/>
        <v>0</v>
      </c>
      <c r="R8" s="627">
        <f t="shared" si="4"/>
        <v>0</v>
      </c>
      <c r="S8" s="628">
        <f>Gen!T15</f>
        <v>0</v>
      </c>
      <c r="T8" s="629">
        <f t="shared" si="9"/>
        <v>44260</v>
      </c>
      <c r="U8" s="577"/>
      <c r="V8" s="582">
        <f t="shared" si="5"/>
        <v>8033.4</v>
      </c>
      <c r="W8" s="579"/>
      <c r="X8" s="582">
        <f t="shared" si="0"/>
        <v>-1606680</v>
      </c>
      <c r="Y8" s="624">
        <f t="shared" si="10"/>
        <v>44260</v>
      </c>
      <c r="Z8" s="577"/>
      <c r="AA8" s="577"/>
      <c r="AB8" s="581">
        <f>'Water-Meter'!P10</f>
        <v>0</v>
      </c>
      <c r="AC8" s="634">
        <f t="shared" si="11"/>
        <v>-21012</v>
      </c>
    </row>
    <row r="9" spans="1:29" ht="19.5" thickBot="1">
      <c r="A9" s="643">
        <f>Gen!B16</f>
        <v>0</v>
      </c>
      <c r="B9" s="593">
        <f>Gen!A16</f>
        <v>44261</v>
      </c>
      <c r="C9" s="577"/>
      <c r="D9" s="582">
        <f t="shared" si="1"/>
        <v>0</v>
      </c>
      <c r="E9" s="578"/>
      <c r="F9" s="582">
        <f t="shared" si="2"/>
        <v>0</v>
      </c>
      <c r="G9" s="577"/>
      <c r="H9" s="624">
        <f t="shared" si="6"/>
        <v>44261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7"/>
        <v>44261</v>
      </c>
      <c r="N9" s="577"/>
      <c r="O9" s="6"/>
      <c r="P9" s="581">
        <f>'Water-Meter'!J11</f>
        <v>0</v>
      </c>
      <c r="Q9" s="577">
        <f t="shared" si="8"/>
        <v>0</v>
      </c>
      <c r="R9" s="627">
        <f t="shared" si="4"/>
        <v>0</v>
      </c>
      <c r="S9" s="628">
        <f>Gen!T16</f>
        <v>0</v>
      </c>
      <c r="T9" s="629">
        <f t="shared" si="9"/>
        <v>44261</v>
      </c>
      <c r="U9" s="577"/>
      <c r="V9" s="582">
        <f t="shared" si="5"/>
        <v>0</v>
      </c>
      <c r="W9" s="579"/>
      <c r="X9" s="582">
        <f t="shared" si="0"/>
        <v>0</v>
      </c>
      <c r="Y9" s="624">
        <f t="shared" si="10"/>
        <v>44261</v>
      </c>
      <c r="Z9" s="577"/>
      <c r="AA9" s="577"/>
      <c r="AB9" s="581">
        <f>'Water-Meter'!P11</f>
        <v>0</v>
      </c>
      <c r="AC9" s="634">
        <f t="shared" si="11"/>
        <v>0</v>
      </c>
    </row>
    <row r="10" spans="1:29" ht="19.5" thickBot="1">
      <c r="A10" s="643">
        <f>Gen!B17</f>
        <v>0</v>
      </c>
      <c r="B10" s="593">
        <f>Gen!A17</f>
        <v>44262</v>
      </c>
      <c r="C10" s="577"/>
      <c r="D10" s="582">
        <f t="shared" si="1"/>
        <v>0</v>
      </c>
      <c r="E10" s="578"/>
      <c r="F10" s="582">
        <f t="shared" si="2"/>
        <v>0</v>
      </c>
      <c r="G10" s="577"/>
      <c r="H10" s="624">
        <f t="shared" si="6"/>
        <v>44262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7"/>
        <v>44262</v>
      </c>
      <c r="N10" s="577"/>
      <c r="O10" s="6"/>
      <c r="P10" s="581">
        <f>'Water-Meter'!J12</f>
        <v>0</v>
      </c>
      <c r="Q10" s="577">
        <f t="shared" si="8"/>
        <v>0</v>
      </c>
      <c r="R10" s="627">
        <f t="shared" si="4"/>
        <v>0</v>
      </c>
      <c r="S10" s="628">
        <f>Gen!T17</f>
        <v>0</v>
      </c>
      <c r="T10" s="629">
        <f t="shared" si="9"/>
        <v>44262</v>
      </c>
      <c r="U10" s="577"/>
      <c r="V10" s="582">
        <f t="shared" si="5"/>
        <v>0</v>
      </c>
      <c r="W10" s="579"/>
      <c r="X10" s="582">
        <f t="shared" si="0"/>
        <v>0</v>
      </c>
      <c r="Y10" s="624">
        <f t="shared" si="10"/>
        <v>44262</v>
      </c>
      <c r="Z10" s="577"/>
      <c r="AA10" s="577"/>
      <c r="AB10" s="581">
        <f>'Water-Meter'!P12</f>
        <v>0</v>
      </c>
      <c r="AC10" s="634">
        <f t="shared" si="11"/>
        <v>0</v>
      </c>
    </row>
    <row r="11" spans="1:29" ht="19.5" thickBot="1">
      <c r="A11" s="643">
        <f>Gen!B18</f>
        <v>0</v>
      </c>
      <c r="B11" s="593">
        <f>Gen!A18</f>
        <v>44263</v>
      </c>
      <c r="C11" s="577"/>
      <c r="D11" s="582">
        <f t="shared" si="1"/>
        <v>0</v>
      </c>
      <c r="E11" s="578"/>
      <c r="F11" s="582">
        <f t="shared" si="2"/>
        <v>0</v>
      </c>
      <c r="G11" s="577"/>
      <c r="H11" s="624">
        <f t="shared" si="6"/>
        <v>44263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7"/>
        <v>44263</v>
      </c>
      <c r="N11" s="577"/>
      <c r="O11" s="6"/>
      <c r="P11" s="581">
        <f>'Water-Meter'!J13</f>
        <v>0</v>
      </c>
      <c r="Q11" s="577">
        <f t="shared" si="8"/>
        <v>0</v>
      </c>
      <c r="R11" s="627">
        <f t="shared" si="4"/>
        <v>0</v>
      </c>
      <c r="S11" s="628">
        <f>Gen!T18</f>
        <v>0</v>
      </c>
      <c r="T11" s="629">
        <f t="shared" si="9"/>
        <v>44263</v>
      </c>
      <c r="U11" s="577"/>
      <c r="V11" s="582">
        <f t="shared" si="5"/>
        <v>0</v>
      </c>
      <c r="W11" s="579"/>
      <c r="X11" s="582">
        <f t="shared" si="0"/>
        <v>0</v>
      </c>
      <c r="Y11" s="624">
        <f t="shared" si="10"/>
        <v>44263</v>
      </c>
      <c r="Z11" s="577"/>
      <c r="AA11" s="577"/>
      <c r="AB11" s="581">
        <f>'Water-Meter'!P13</f>
        <v>0</v>
      </c>
      <c r="AC11" s="634">
        <f t="shared" si="11"/>
        <v>0</v>
      </c>
    </row>
    <row r="12" spans="1:29" ht="19.5" thickBot="1">
      <c r="A12" s="643">
        <f>Gen!B19</f>
        <v>0</v>
      </c>
      <c r="B12" s="593">
        <f>Gen!A19</f>
        <v>44264</v>
      </c>
      <c r="C12" s="577"/>
      <c r="D12" s="582">
        <f t="shared" si="1"/>
        <v>0</v>
      </c>
      <c r="E12" s="578"/>
      <c r="F12" s="582">
        <f t="shared" si="2"/>
        <v>0</v>
      </c>
      <c r="G12" s="577"/>
      <c r="H12" s="624">
        <f t="shared" si="6"/>
        <v>44264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7"/>
        <v>44264</v>
      </c>
      <c r="N12" s="577"/>
      <c r="O12" s="6"/>
      <c r="P12" s="581">
        <f>'Water-Meter'!J14</f>
        <v>0</v>
      </c>
      <c r="Q12" s="577">
        <f t="shared" si="8"/>
        <v>0</v>
      </c>
      <c r="R12" s="627">
        <f t="shared" si="4"/>
        <v>0</v>
      </c>
      <c r="S12" s="628">
        <f>Gen!T19</f>
        <v>0</v>
      </c>
      <c r="T12" s="629">
        <f t="shared" si="9"/>
        <v>44264</v>
      </c>
      <c r="U12" s="577"/>
      <c r="V12" s="582">
        <f t="shared" si="5"/>
        <v>0</v>
      </c>
      <c r="W12" s="579"/>
      <c r="X12" s="582">
        <f t="shared" si="0"/>
        <v>0</v>
      </c>
      <c r="Y12" s="624">
        <f t="shared" si="10"/>
        <v>44264</v>
      </c>
      <c r="Z12" s="577"/>
      <c r="AA12" s="577"/>
      <c r="AB12" s="581">
        <f>'Water-Meter'!P14</f>
        <v>0</v>
      </c>
      <c r="AC12" s="634">
        <f t="shared" si="11"/>
        <v>0</v>
      </c>
    </row>
    <row r="13" spans="1:29" ht="19.5" thickBot="1">
      <c r="A13" s="643">
        <f>Gen!B20</f>
        <v>0</v>
      </c>
      <c r="B13" s="593">
        <f>Gen!A20</f>
        <v>44265</v>
      </c>
      <c r="C13" s="577"/>
      <c r="D13" s="582">
        <f t="shared" si="1"/>
        <v>0</v>
      </c>
      <c r="E13" s="578"/>
      <c r="F13" s="582">
        <f t="shared" si="2"/>
        <v>0</v>
      </c>
      <c r="G13" s="577"/>
      <c r="H13" s="624">
        <f t="shared" si="6"/>
        <v>44265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7"/>
        <v>44265</v>
      </c>
      <c r="N13" s="577"/>
      <c r="O13" s="6"/>
      <c r="P13" s="581">
        <f>'Water-Meter'!J15</f>
        <v>0</v>
      </c>
      <c r="Q13" s="577">
        <f t="shared" si="8"/>
        <v>0</v>
      </c>
      <c r="R13" s="627">
        <f t="shared" si="4"/>
        <v>0</v>
      </c>
      <c r="S13" s="628">
        <f>Gen!T20</f>
        <v>0</v>
      </c>
      <c r="T13" s="629">
        <f t="shared" si="9"/>
        <v>44265</v>
      </c>
      <c r="U13" s="577"/>
      <c r="V13" s="582">
        <f t="shared" si="5"/>
        <v>0</v>
      </c>
      <c r="W13" s="579"/>
      <c r="X13" s="582">
        <f t="shared" si="0"/>
        <v>0</v>
      </c>
      <c r="Y13" s="624">
        <f t="shared" si="10"/>
        <v>44265</v>
      </c>
      <c r="Z13" s="577"/>
      <c r="AA13" s="577"/>
      <c r="AB13" s="581">
        <f>'Water-Meter'!P15</f>
        <v>0</v>
      </c>
      <c r="AC13" s="634">
        <f t="shared" si="11"/>
        <v>0</v>
      </c>
    </row>
    <row r="14" spans="1:29" ht="19.5" thickBot="1">
      <c r="A14" s="643">
        <f>Gen!B21</f>
        <v>0</v>
      </c>
      <c r="B14" s="593">
        <f>Gen!A21</f>
        <v>44266</v>
      </c>
      <c r="C14" s="577"/>
      <c r="D14" s="582">
        <f t="shared" si="1"/>
        <v>0</v>
      </c>
      <c r="E14" s="578"/>
      <c r="F14" s="582">
        <f t="shared" si="2"/>
        <v>0</v>
      </c>
      <c r="G14" s="577"/>
      <c r="H14" s="624">
        <f t="shared" si="6"/>
        <v>44266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7"/>
        <v>44266</v>
      </c>
      <c r="N14" s="577"/>
      <c r="O14" s="6"/>
      <c r="P14" s="581">
        <f>'Water-Meter'!J16</f>
        <v>0</v>
      </c>
      <c r="Q14" s="577">
        <v>8095</v>
      </c>
      <c r="R14" s="627">
        <f t="shared" si="4"/>
        <v>5.0123839009287927</v>
      </c>
      <c r="S14" s="628">
        <f>Gen!T21</f>
        <v>0</v>
      </c>
      <c r="T14" s="629">
        <f t="shared" si="9"/>
        <v>44266</v>
      </c>
      <c r="U14" s="577"/>
      <c r="V14" s="582">
        <f t="shared" si="5"/>
        <v>0</v>
      </c>
      <c r="W14" s="579"/>
      <c r="X14" s="582">
        <f t="shared" si="0"/>
        <v>0</v>
      </c>
      <c r="Y14" s="624">
        <f t="shared" si="10"/>
        <v>44266</v>
      </c>
      <c r="Z14" s="577"/>
      <c r="AA14" s="577"/>
      <c r="AB14" s="581">
        <f>'Water-Meter'!P16</f>
        <v>0</v>
      </c>
      <c r="AC14" s="634">
        <v>20490</v>
      </c>
    </row>
    <row r="15" spans="1:29" ht="19.5" thickBot="1">
      <c r="A15" s="643">
        <f>Gen!B22</f>
        <v>0</v>
      </c>
      <c r="B15" s="593">
        <f>Gen!A22</f>
        <v>44267</v>
      </c>
      <c r="C15" s="577"/>
      <c r="D15" s="582">
        <f t="shared" si="1"/>
        <v>0</v>
      </c>
      <c r="E15" s="578"/>
      <c r="F15" s="582">
        <f t="shared" si="2"/>
        <v>0</v>
      </c>
      <c r="G15" s="577"/>
      <c r="H15" s="624">
        <f t="shared" si="6"/>
        <v>44267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7"/>
        <v>44267</v>
      </c>
      <c r="N15" s="577"/>
      <c r="O15" s="6"/>
      <c r="P15" s="581">
        <f>'Water-Meter'!J17</f>
        <v>0</v>
      </c>
      <c r="Q15" s="577">
        <f t="shared" si="8"/>
        <v>0</v>
      </c>
      <c r="R15" s="627">
        <f t="shared" si="4"/>
        <v>0</v>
      </c>
      <c r="S15" s="628">
        <f>Gen!T22</f>
        <v>0</v>
      </c>
      <c r="T15" s="629">
        <f t="shared" si="9"/>
        <v>44267</v>
      </c>
      <c r="U15" s="577"/>
      <c r="V15" s="582">
        <f t="shared" si="5"/>
        <v>0</v>
      </c>
      <c r="W15" s="579"/>
      <c r="X15" s="582">
        <f t="shared" si="0"/>
        <v>0</v>
      </c>
      <c r="Y15" s="624">
        <f t="shared" si="10"/>
        <v>44267</v>
      </c>
      <c r="Z15" s="577"/>
      <c r="AA15" s="577"/>
      <c r="AB15" s="581">
        <f>'Water-Meter'!P17</f>
        <v>0</v>
      </c>
      <c r="AC15" s="634">
        <f t="shared" si="11"/>
        <v>0</v>
      </c>
    </row>
    <row r="16" spans="1:29" ht="19.5" thickBot="1">
      <c r="A16" s="643">
        <f>Gen!B23</f>
        <v>0</v>
      </c>
      <c r="B16" s="593">
        <f>Gen!A23</f>
        <v>44268</v>
      </c>
      <c r="C16" s="577"/>
      <c r="D16" s="582">
        <f t="shared" si="1"/>
        <v>0</v>
      </c>
      <c r="E16" s="578"/>
      <c r="F16" s="582">
        <f>SUM(E16-D16)*120</f>
        <v>0</v>
      </c>
      <c r="G16" s="577"/>
      <c r="H16" s="624">
        <f t="shared" si="6"/>
        <v>44268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7"/>
        <v>44268</v>
      </c>
      <c r="N16" s="577"/>
      <c r="O16" s="6"/>
      <c r="P16" s="581">
        <f>'Water-Meter'!J18</f>
        <v>0</v>
      </c>
      <c r="Q16" s="577">
        <f t="shared" si="8"/>
        <v>0</v>
      </c>
      <c r="R16" s="627">
        <f t="shared" si="4"/>
        <v>0</v>
      </c>
      <c r="S16" s="628">
        <f>Gen!T23</f>
        <v>0</v>
      </c>
      <c r="T16" s="629">
        <f t="shared" si="9"/>
        <v>44268</v>
      </c>
      <c r="U16" s="577"/>
      <c r="V16" s="582">
        <f t="shared" si="5"/>
        <v>0</v>
      </c>
      <c r="W16" s="579"/>
      <c r="X16" s="582">
        <f t="shared" si="0"/>
        <v>0</v>
      </c>
      <c r="Y16" s="624">
        <f t="shared" si="10"/>
        <v>44268</v>
      </c>
      <c r="Z16" s="577"/>
      <c r="AA16" s="577"/>
      <c r="AB16" s="581">
        <f>'Water-Meter'!P18</f>
        <v>0</v>
      </c>
      <c r="AC16" s="634">
        <f t="shared" si="11"/>
        <v>0</v>
      </c>
    </row>
    <row r="17" spans="1:29" ht="19.5" thickBot="1">
      <c r="A17" s="643">
        <f>Gen!B24</f>
        <v>0</v>
      </c>
      <c r="B17" s="593">
        <f>Gen!A24</f>
        <v>44269</v>
      </c>
      <c r="C17" s="577"/>
      <c r="D17" s="582">
        <f t="shared" si="1"/>
        <v>0</v>
      </c>
      <c r="E17" s="578"/>
      <c r="F17" s="582">
        <f>SUM(E17-D17)*120</f>
        <v>0</v>
      </c>
      <c r="G17" s="577"/>
      <c r="H17" s="624">
        <f t="shared" si="6"/>
        <v>44269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7"/>
        <v>44269</v>
      </c>
      <c r="N17" s="577"/>
      <c r="O17" s="6"/>
      <c r="P17" s="581">
        <f>'Water-Meter'!J19</f>
        <v>0</v>
      </c>
      <c r="Q17" s="577">
        <f t="shared" si="8"/>
        <v>0</v>
      </c>
      <c r="R17" s="627">
        <f t="shared" si="4"/>
        <v>0</v>
      </c>
      <c r="S17" s="628">
        <f>Gen!T24</f>
        <v>0</v>
      </c>
      <c r="T17" s="629">
        <f t="shared" si="9"/>
        <v>44269</v>
      </c>
      <c r="U17" s="577"/>
      <c r="V17" s="582">
        <f t="shared" si="5"/>
        <v>0</v>
      </c>
      <c r="W17" s="579"/>
      <c r="X17" s="582">
        <f t="shared" si="0"/>
        <v>0</v>
      </c>
      <c r="Y17" s="624">
        <f t="shared" si="10"/>
        <v>44269</v>
      </c>
      <c r="Z17" s="577"/>
      <c r="AA17" s="577"/>
      <c r="AB17" s="581">
        <f>'Water-Meter'!P19</f>
        <v>0</v>
      </c>
      <c r="AC17" s="634">
        <f t="shared" si="11"/>
        <v>0</v>
      </c>
    </row>
    <row r="18" spans="1:29" ht="19.5" thickBot="1">
      <c r="A18" s="643">
        <f>Gen!B25</f>
        <v>0</v>
      </c>
      <c r="B18" s="593">
        <f>Gen!A25</f>
        <v>44270</v>
      </c>
      <c r="C18" s="577"/>
      <c r="D18" s="582">
        <f t="shared" si="1"/>
        <v>0</v>
      </c>
      <c r="E18" s="578"/>
      <c r="F18" s="582">
        <f t="shared" ref="F18:F22" si="12">SUM(E18-D18)*120</f>
        <v>0</v>
      </c>
      <c r="G18" s="577"/>
      <c r="H18" s="624">
        <f t="shared" si="6"/>
        <v>44270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7"/>
        <v>44270</v>
      </c>
      <c r="N18" s="577"/>
      <c r="O18" s="6">
        <f>'Water-Meter'!J20</f>
        <v>0</v>
      </c>
      <c r="P18" s="581">
        <f>'Water-Meter'!J20</f>
        <v>0</v>
      </c>
      <c r="Q18" s="577">
        <f t="shared" si="8"/>
        <v>0</v>
      </c>
      <c r="R18" s="627">
        <f t="shared" si="4"/>
        <v>0</v>
      </c>
      <c r="S18" s="628">
        <f>Gen!T25</f>
        <v>0</v>
      </c>
      <c r="T18" s="629">
        <f t="shared" si="9"/>
        <v>44270</v>
      </c>
      <c r="U18" s="577"/>
      <c r="V18" s="582">
        <f t="shared" si="5"/>
        <v>0</v>
      </c>
      <c r="W18" s="579"/>
      <c r="X18" s="582">
        <f t="shared" si="0"/>
        <v>0</v>
      </c>
      <c r="Y18" s="624">
        <f t="shared" si="10"/>
        <v>44270</v>
      </c>
      <c r="Z18" s="577"/>
      <c r="AA18" s="577"/>
      <c r="AB18" s="581">
        <f>'Water-Meter'!P20</f>
        <v>0</v>
      </c>
      <c r="AC18" s="634">
        <f t="shared" si="11"/>
        <v>0</v>
      </c>
    </row>
    <row r="19" spans="1:29" ht="19.5" thickBot="1">
      <c r="A19" s="643">
        <f>Gen!B26</f>
        <v>0</v>
      </c>
      <c r="B19" s="593">
        <f>Gen!A26</f>
        <v>44271</v>
      </c>
      <c r="C19" s="580"/>
      <c r="D19" s="582">
        <f t="shared" si="1"/>
        <v>0</v>
      </c>
      <c r="E19" s="578"/>
      <c r="F19" s="582">
        <f t="shared" si="12"/>
        <v>0</v>
      </c>
      <c r="G19" s="577"/>
      <c r="H19" s="624">
        <f t="shared" si="6"/>
        <v>44271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7"/>
        <v>44271</v>
      </c>
      <c r="N19" s="580"/>
      <c r="O19" s="6">
        <f>'Water-Meter'!J21</f>
        <v>0</v>
      </c>
      <c r="P19" s="581">
        <f>'Water-Meter'!J21</f>
        <v>0</v>
      </c>
      <c r="Q19" s="577">
        <f t="shared" si="8"/>
        <v>0</v>
      </c>
      <c r="R19" s="627">
        <f t="shared" si="4"/>
        <v>0</v>
      </c>
      <c r="S19" s="628">
        <f>Gen!T26</f>
        <v>0</v>
      </c>
      <c r="T19" s="629">
        <f t="shared" si="9"/>
        <v>44271</v>
      </c>
      <c r="U19" s="580"/>
      <c r="V19" s="582">
        <f t="shared" si="5"/>
        <v>0</v>
      </c>
      <c r="W19" s="579"/>
      <c r="X19" s="582">
        <f t="shared" si="0"/>
        <v>0</v>
      </c>
      <c r="Y19" s="624">
        <f t="shared" si="10"/>
        <v>44271</v>
      </c>
      <c r="Z19" s="580"/>
      <c r="AA19" s="577"/>
      <c r="AB19" s="581">
        <f>'Water-Meter'!P21</f>
        <v>0</v>
      </c>
      <c r="AC19" s="634">
        <f t="shared" si="11"/>
        <v>0</v>
      </c>
    </row>
    <row r="20" spans="1:29" ht="19.5" thickBot="1">
      <c r="A20" s="643">
        <f>Gen!B27</f>
        <v>0</v>
      </c>
      <c r="B20" s="593">
        <f>Gen!A27</f>
        <v>44272</v>
      </c>
      <c r="C20" s="580"/>
      <c r="D20" s="582">
        <f t="shared" si="1"/>
        <v>0</v>
      </c>
      <c r="E20" s="578"/>
      <c r="F20" s="582">
        <f t="shared" si="12"/>
        <v>0</v>
      </c>
      <c r="G20" s="577"/>
      <c r="H20" s="624">
        <f t="shared" si="6"/>
        <v>44272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7"/>
        <v>44272</v>
      </c>
      <c r="N20" s="580"/>
      <c r="O20" s="6">
        <f>'Water-Meter'!J22</f>
        <v>0</v>
      </c>
      <c r="P20" s="581">
        <f>'Water-Meter'!J22</f>
        <v>0</v>
      </c>
      <c r="Q20" s="577">
        <f t="shared" si="8"/>
        <v>0</v>
      </c>
      <c r="R20" s="627">
        <f t="shared" si="4"/>
        <v>0</v>
      </c>
      <c r="S20" s="628">
        <f>Gen!T27</f>
        <v>0</v>
      </c>
      <c r="T20" s="629">
        <f t="shared" si="9"/>
        <v>44272</v>
      </c>
      <c r="U20" s="580"/>
      <c r="V20" s="582">
        <f t="shared" si="5"/>
        <v>0</v>
      </c>
      <c r="W20" s="579"/>
      <c r="X20" s="582">
        <f t="shared" si="0"/>
        <v>0</v>
      </c>
      <c r="Y20" s="624">
        <f t="shared" si="10"/>
        <v>44272</v>
      </c>
      <c r="Z20" s="580"/>
      <c r="AA20" s="577"/>
      <c r="AB20" s="581">
        <f>'Water-Meter'!P22</f>
        <v>0</v>
      </c>
      <c r="AC20" s="634">
        <f t="shared" si="11"/>
        <v>0</v>
      </c>
    </row>
    <row r="21" spans="1:29" ht="19.5" thickBot="1">
      <c r="A21" s="643">
        <f>Gen!B28</f>
        <v>0</v>
      </c>
      <c r="B21" s="593">
        <f>Gen!A28</f>
        <v>44273</v>
      </c>
      <c r="C21" s="580"/>
      <c r="D21" s="582">
        <f t="shared" si="1"/>
        <v>0</v>
      </c>
      <c r="E21" s="578"/>
      <c r="F21" s="582">
        <f t="shared" si="12"/>
        <v>0</v>
      </c>
      <c r="G21" s="577"/>
      <c r="H21" s="624">
        <f t="shared" si="6"/>
        <v>44273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7"/>
        <v>44273</v>
      </c>
      <c r="N21" s="580"/>
      <c r="O21" s="6">
        <f>'Water-Meter'!J23</f>
        <v>0</v>
      </c>
      <c r="P21" s="581">
        <f>'Water-Meter'!J23</f>
        <v>0</v>
      </c>
      <c r="Q21" s="577">
        <f t="shared" ref="Q21:Q35" si="13">N21-O20</f>
        <v>0</v>
      </c>
      <c r="R21" s="627">
        <f t="shared" ref="R21:R35" si="14">SUM(Q21/1615)</f>
        <v>0</v>
      </c>
      <c r="S21" s="628">
        <f>Gen!T28</f>
        <v>0</v>
      </c>
      <c r="T21" s="629">
        <f t="shared" si="9"/>
        <v>44273</v>
      </c>
      <c r="U21" s="580"/>
      <c r="V21" s="582">
        <f t="shared" si="5"/>
        <v>0</v>
      </c>
      <c r="W21" s="579"/>
      <c r="X21" s="582">
        <f t="shared" si="0"/>
        <v>0</v>
      </c>
      <c r="Y21" s="624">
        <f t="shared" si="10"/>
        <v>44273</v>
      </c>
      <c r="Z21" s="580"/>
      <c r="AA21" s="577"/>
      <c r="AB21" s="581">
        <f>'Water-Meter'!P23</f>
        <v>0</v>
      </c>
      <c r="AC21" s="634">
        <f t="shared" si="11"/>
        <v>0</v>
      </c>
    </row>
    <row r="22" spans="1:29" ht="19.5" thickBot="1">
      <c r="A22" s="643">
        <f>Gen!B29</f>
        <v>0</v>
      </c>
      <c r="B22" s="593">
        <f>Gen!A29</f>
        <v>44274</v>
      </c>
      <c r="C22" s="577"/>
      <c r="D22" s="582">
        <f t="shared" si="1"/>
        <v>0</v>
      </c>
      <c r="E22" s="578"/>
      <c r="F22" s="582">
        <f t="shared" si="12"/>
        <v>0</v>
      </c>
      <c r="G22" s="577"/>
      <c r="H22" s="624">
        <f t="shared" si="6"/>
        <v>44274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7"/>
        <v>44274</v>
      </c>
      <c r="N22" s="577"/>
      <c r="O22" s="6">
        <f>'Water-Meter'!J24</f>
        <v>0</v>
      </c>
      <c r="P22" s="581">
        <f>'Water-Meter'!J24</f>
        <v>0</v>
      </c>
      <c r="Q22" s="577">
        <f t="shared" si="13"/>
        <v>0</v>
      </c>
      <c r="R22" s="627">
        <f t="shared" si="14"/>
        <v>0</v>
      </c>
      <c r="S22" s="628">
        <f>Gen!T29</f>
        <v>0</v>
      </c>
      <c r="T22" s="629">
        <f t="shared" si="9"/>
        <v>44274</v>
      </c>
      <c r="U22" s="577"/>
      <c r="V22" s="582">
        <f t="shared" si="5"/>
        <v>0</v>
      </c>
      <c r="W22" s="579"/>
      <c r="X22" s="582">
        <f t="shared" si="0"/>
        <v>0</v>
      </c>
      <c r="Y22" s="624">
        <f t="shared" si="10"/>
        <v>44274</v>
      </c>
      <c r="Z22" s="577"/>
      <c r="AA22" s="577"/>
      <c r="AB22" s="581">
        <f>'Water-Meter'!P24</f>
        <v>0</v>
      </c>
      <c r="AC22" s="634">
        <f t="shared" si="11"/>
        <v>0</v>
      </c>
    </row>
    <row r="23" spans="1:29" ht="19.5" thickBot="1">
      <c r="A23" s="643">
        <f>Gen!B30</f>
        <v>0</v>
      </c>
      <c r="B23" s="593">
        <f>Gen!A30</f>
        <v>44275</v>
      </c>
      <c r="C23" s="580"/>
      <c r="D23" s="582">
        <f t="shared" si="1"/>
        <v>0</v>
      </c>
      <c r="E23" s="578"/>
      <c r="F23" s="582">
        <f t="shared" ref="F23:F34" si="15">SUM(E23-D23)*120</f>
        <v>0</v>
      </c>
      <c r="G23" s="577"/>
      <c r="H23" s="624">
        <f t="shared" si="6"/>
        <v>44275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7"/>
        <v>44275</v>
      </c>
      <c r="N23" s="580"/>
      <c r="O23" s="6">
        <f>'Water-Meter'!J25</f>
        <v>0</v>
      </c>
      <c r="P23" s="581">
        <f>'Water-Meter'!J25</f>
        <v>0</v>
      </c>
      <c r="Q23" s="577">
        <f t="shared" si="13"/>
        <v>0</v>
      </c>
      <c r="R23" s="627">
        <f t="shared" si="14"/>
        <v>0</v>
      </c>
      <c r="S23" s="628">
        <f>Gen!T30</f>
        <v>0</v>
      </c>
      <c r="T23" s="629">
        <f t="shared" si="9"/>
        <v>44275</v>
      </c>
      <c r="U23" s="580"/>
      <c r="V23" s="582">
        <f t="shared" si="5"/>
        <v>0</v>
      </c>
      <c r="W23" s="579"/>
      <c r="X23" s="582">
        <f t="shared" si="0"/>
        <v>0</v>
      </c>
      <c r="Y23" s="624">
        <f t="shared" si="10"/>
        <v>44275</v>
      </c>
      <c r="Z23" s="580"/>
      <c r="AA23" s="577"/>
      <c r="AB23" s="581">
        <f>'Water-Meter'!P25</f>
        <v>0</v>
      </c>
      <c r="AC23" s="634">
        <f t="shared" si="11"/>
        <v>0</v>
      </c>
    </row>
    <row r="24" spans="1:29" ht="19.5" thickBot="1">
      <c r="A24" s="643">
        <f>Gen!B31</f>
        <v>0</v>
      </c>
      <c r="B24" s="593">
        <f>Gen!A31</f>
        <v>44276</v>
      </c>
      <c r="C24" s="580"/>
      <c r="D24" s="582">
        <f t="shared" ref="D24:D35" si="16">SUM(E23)</f>
        <v>0</v>
      </c>
      <c r="E24" s="578"/>
      <c r="F24" s="582">
        <f t="shared" si="15"/>
        <v>0</v>
      </c>
      <c r="G24" s="577"/>
      <c r="H24" s="624">
        <f t="shared" si="6"/>
        <v>44276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7"/>
        <v>44276</v>
      </c>
      <c r="N24" s="580"/>
      <c r="O24" s="6">
        <f>'Water-Meter'!J26</f>
        <v>0</v>
      </c>
      <c r="P24" s="581">
        <f>'Water-Meter'!J26</f>
        <v>0</v>
      </c>
      <c r="Q24" s="577">
        <f t="shared" si="13"/>
        <v>0</v>
      </c>
      <c r="R24" s="627">
        <f t="shared" si="14"/>
        <v>0</v>
      </c>
      <c r="S24" s="628">
        <f>Gen!T31</f>
        <v>0</v>
      </c>
      <c r="T24" s="629">
        <f t="shared" si="9"/>
        <v>44276</v>
      </c>
      <c r="U24" s="580"/>
      <c r="V24" s="582">
        <f t="shared" si="5"/>
        <v>0</v>
      </c>
      <c r="W24" s="579"/>
      <c r="X24" s="582">
        <f t="shared" si="0"/>
        <v>0</v>
      </c>
      <c r="Y24" s="624">
        <f t="shared" si="10"/>
        <v>44276</v>
      </c>
      <c r="Z24" s="580"/>
      <c r="AA24" s="577"/>
      <c r="AB24" s="581">
        <f>'Water-Meter'!P26</f>
        <v>0</v>
      </c>
      <c r="AC24" s="634">
        <f t="shared" si="11"/>
        <v>0</v>
      </c>
    </row>
    <row r="25" spans="1:29" ht="19.5" thickBot="1">
      <c r="A25" s="643">
        <f>Gen!B32</f>
        <v>0</v>
      </c>
      <c r="B25" s="593">
        <f>Gen!A32</f>
        <v>44277</v>
      </c>
      <c r="C25" s="580"/>
      <c r="D25" s="582">
        <f t="shared" si="16"/>
        <v>0</v>
      </c>
      <c r="E25" s="578"/>
      <c r="F25" s="582">
        <f t="shared" si="15"/>
        <v>0</v>
      </c>
      <c r="G25" s="577"/>
      <c r="H25" s="624">
        <f t="shared" si="6"/>
        <v>44277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7"/>
        <v>44277</v>
      </c>
      <c r="N25" s="580"/>
      <c r="O25" s="6">
        <f>'Water-Meter'!J27</f>
        <v>0</v>
      </c>
      <c r="P25" s="581">
        <f>'Water-Meter'!J27</f>
        <v>0</v>
      </c>
      <c r="Q25" s="577">
        <f t="shared" si="13"/>
        <v>0</v>
      </c>
      <c r="R25" s="627">
        <f t="shared" si="14"/>
        <v>0</v>
      </c>
      <c r="S25" s="628">
        <f>Gen!T32</f>
        <v>0</v>
      </c>
      <c r="T25" s="629">
        <f t="shared" si="9"/>
        <v>44277</v>
      </c>
      <c r="U25" s="580"/>
      <c r="V25" s="582">
        <f t="shared" si="5"/>
        <v>0</v>
      </c>
      <c r="W25" s="579"/>
      <c r="X25" s="582">
        <f t="shared" si="0"/>
        <v>0</v>
      </c>
      <c r="Y25" s="624">
        <f t="shared" si="10"/>
        <v>44277</v>
      </c>
      <c r="Z25" s="580"/>
      <c r="AA25" s="577"/>
      <c r="AB25" s="581">
        <f>'Water-Meter'!P27</f>
        <v>0</v>
      </c>
      <c r="AC25" s="634">
        <f t="shared" si="11"/>
        <v>0</v>
      </c>
    </row>
    <row r="26" spans="1:29" ht="19.5" thickBot="1">
      <c r="A26" s="643">
        <f>Gen!B33</f>
        <v>0</v>
      </c>
      <c r="B26" s="593">
        <f>Gen!A33</f>
        <v>44278</v>
      </c>
      <c r="C26" s="580"/>
      <c r="D26" s="582">
        <f t="shared" si="16"/>
        <v>0</v>
      </c>
      <c r="E26" s="578"/>
      <c r="F26" s="582">
        <f t="shared" si="15"/>
        <v>0</v>
      </c>
      <c r="G26" s="577"/>
      <c r="H26" s="624">
        <f t="shared" si="6"/>
        <v>44278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7"/>
        <v>44278</v>
      </c>
      <c r="N26" s="580"/>
      <c r="O26" s="6">
        <f>'Water-Meter'!J28</f>
        <v>0</v>
      </c>
      <c r="P26" s="581">
        <f>'Water-Meter'!J28</f>
        <v>0</v>
      </c>
      <c r="Q26" s="577">
        <f t="shared" si="13"/>
        <v>0</v>
      </c>
      <c r="R26" s="627">
        <f t="shared" si="14"/>
        <v>0</v>
      </c>
      <c r="S26" s="628">
        <f>Gen!T33</f>
        <v>0</v>
      </c>
      <c r="T26" s="629">
        <f t="shared" si="9"/>
        <v>44278</v>
      </c>
      <c r="U26" s="580"/>
      <c r="V26" s="582">
        <f t="shared" si="5"/>
        <v>0</v>
      </c>
      <c r="W26" s="579"/>
      <c r="X26" s="582">
        <f t="shared" si="0"/>
        <v>0</v>
      </c>
      <c r="Y26" s="624">
        <f t="shared" si="10"/>
        <v>44278</v>
      </c>
      <c r="Z26" s="580"/>
      <c r="AA26" s="577"/>
      <c r="AB26" s="581">
        <f>'Water-Meter'!P28</f>
        <v>0</v>
      </c>
      <c r="AC26" s="634">
        <f t="shared" si="11"/>
        <v>0</v>
      </c>
    </row>
    <row r="27" spans="1:29" ht="19.5" thickBot="1">
      <c r="A27" s="643">
        <f>Gen!B34</f>
        <v>0</v>
      </c>
      <c r="B27" s="593">
        <f>Gen!A34</f>
        <v>44279</v>
      </c>
      <c r="C27" s="580"/>
      <c r="D27" s="582">
        <f t="shared" si="16"/>
        <v>0</v>
      </c>
      <c r="E27" s="578"/>
      <c r="F27" s="582">
        <f t="shared" si="15"/>
        <v>0</v>
      </c>
      <c r="G27" s="577"/>
      <c r="H27" s="624">
        <f t="shared" si="6"/>
        <v>44279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7"/>
        <v>44279</v>
      </c>
      <c r="N27" s="580"/>
      <c r="O27" s="6">
        <f>'Water-Meter'!J29</f>
        <v>0</v>
      </c>
      <c r="P27" s="581">
        <f>'Water-Meter'!J29</f>
        <v>0</v>
      </c>
      <c r="Q27" s="577">
        <f t="shared" si="13"/>
        <v>0</v>
      </c>
      <c r="R27" s="627">
        <f t="shared" si="14"/>
        <v>0</v>
      </c>
      <c r="S27" s="628">
        <f>Gen!T34</f>
        <v>0</v>
      </c>
      <c r="T27" s="629">
        <f t="shared" si="9"/>
        <v>44279</v>
      </c>
      <c r="U27" s="580"/>
      <c r="V27" s="582">
        <f t="shared" si="5"/>
        <v>0</v>
      </c>
      <c r="W27" s="579"/>
      <c r="X27" s="582">
        <f t="shared" si="0"/>
        <v>0</v>
      </c>
      <c r="Y27" s="624">
        <f t="shared" si="10"/>
        <v>44279</v>
      </c>
      <c r="Z27" s="580"/>
      <c r="AA27" s="577"/>
      <c r="AB27" s="581">
        <f>'Water-Meter'!P29</f>
        <v>0</v>
      </c>
      <c r="AC27" s="634">
        <f t="shared" si="11"/>
        <v>0</v>
      </c>
    </row>
    <row r="28" spans="1:29" ht="19.5" thickBot="1">
      <c r="A28" s="643">
        <f>Gen!B35</f>
        <v>0</v>
      </c>
      <c r="B28" s="593">
        <f>Gen!A35</f>
        <v>44280</v>
      </c>
      <c r="C28" s="580"/>
      <c r="D28" s="582">
        <f t="shared" si="16"/>
        <v>0</v>
      </c>
      <c r="E28" s="578"/>
      <c r="F28" s="582">
        <f t="shared" si="15"/>
        <v>0</v>
      </c>
      <c r="G28" s="577"/>
      <c r="H28" s="624">
        <f t="shared" si="6"/>
        <v>44280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7"/>
        <v>44280</v>
      </c>
      <c r="N28" s="580"/>
      <c r="O28" s="6">
        <f>'Water-Meter'!J30</f>
        <v>0</v>
      </c>
      <c r="P28" s="581">
        <f>'Water-Meter'!J30</f>
        <v>0</v>
      </c>
      <c r="Q28" s="577">
        <f t="shared" si="13"/>
        <v>0</v>
      </c>
      <c r="R28" s="627">
        <f t="shared" si="14"/>
        <v>0</v>
      </c>
      <c r="S28" s="628">
        <f>Gen!T35</f>
        <v>0</v>
      </c>
      <c r="T28" s="629">
        <f t="shared" si="9"/>
        <v>44280</v>
      </c>
      <c r="U28" s="580"/>
      <c r="V28" s="582">
        <f t="shared" si="5"/>
        <v>0</v>
      </c>
      <c r="W28" s="579"/>
      <c r="X28" s="582">
        <f t="shared" si="0"/>
        <v>0</v>
      </c>
      <c r="Y28" s="624">
        <f t="shared" si="10"/>
        <v>44280</v>
      </c>
      <c r="Z28" s="580"/>
      <c r="AA28" s="577"/>
      <c r="AB28" s="581">
        <f>'Water-Meter'!P30</f>
        <v>0</v>
      </c>
      <c r="AC28" s="634">
        <f t="shared" si="11"/>
        <v>0</v>
      </c>
    </row>
    <row r="29" spans="1:29" ht="19.5" thickBot="1">
      <c r="A29" s="643">
        <f>Gen!B36</f>
        <v>0</v>
      </c>
      <c r="B29" s="593">
        <f>Gen!A36</f>
        <v>44281</v>
      </c>
      <c r="C29" s="580"/>
      <c r="D29" s="582">
        <f t="shared" si="16"/>
        <v>0</v>
      </c>
      <c r="E29" s="578"/>
      <c r="F29" s="582">
        <f t="shared" si="15"/>
        <v>0</v>
      </c>
      <c r="G29" s="577"/>
      <c r="H29" s="624">
        <f t="shared" si="6"/>
        <v>44281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7"/>
        <v>44281</v>
      </c>
      <c r="N29" s="580"/>
      <c r="O29" s="6">
        <f>'Water-Meter'!J31</f>
        <v>0</v>
      </c>
      <c r="P29" s="581">
        <f>'Water-Meter'!J31</f>
        <v>0</v>
      </c>
      <c r="Q29" s="577">
        <f t="shared" si="13"/>
        <v>0</v>
      </c>
      <c r="R29" s="627">
        <f t="shared" si="14"/>
        <v>0</v>
      </c>
      <c r="S29" s="628">
        <f>Gen!T36</f>
        <v>0</v>
      </c>
      <c r="T29" s="629">
        <f t="shared" si="9"/>
        <v>44281</v>
      </c>
      <c r="U29" s="580"/>
      <c r="V29" s="582">
        <f t="shared" si="5"/>
        <v>0</v>
      </c>
      <c r="W29" s="579"/>
      <c r="X29" s="582">
        <f t="shared" si="0"/>
        <v>0</v>
      </c>
      <c r="Y29" s="624">
        <f t="shared" si="10"/>
        <v>44281</v>
      </c>
      <c r="Z29" s="580"/>
      <c r="AA29" s="577"/>
      <c r="AB29" s="581">
        <f>'Water-Meter'!P31</f>
        <v>0</v>
      </c>
      <c r="AC29" s="634">
        <f t="shared" si="11"/>
        <v>0</v>
      </c>
    </row>
    <row r="30" spans="1:29" ht="19.5" thickBot="1">
      <c r="A30" s="643">
        <f>Gen!B37</f>
        <v>0</v>
      </c>
      <c r="B30" s="593">
        <f>Gen!A37</f>
        <v>44282</v>
      </c>
      <c r="C30" s="580"/>
      <c r="D30" s="582">
        <f t="shared" si="16"/>
        <v>0</v>
      </c>
      <c r="E30" s="578"/>
      <c r="F30" s="582">
        <f t="shared" si="15"/>
        <v>0</v>
      </c>
      <c r="G30" s="577"/>
      <c r="H30" s="624">
        <f t="shared" si="6"/>
        <v>44282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7"/>
        <v>44282</v>
      </c>
      <c r="N30" s="580"/>
      <c r="O30" s="6">
        <f>'Water-Meter'!J32</f>
        <v>0</v>
      </c>
      <c r="P30" s="581">
        <f>'Water-Meter'!J32</f>
        <v>0</v>
      </c>
      <c r="Q30" s="577">
        <f t="shared" si="13"/>
        <v>0</v>
      </c>
      <c r="R30" s="627">
        <f t="shared" si="14"/>
        <v>0</v>
      </c>
      <c r="S30" s="628">
        <f>Gen!T37</f>
        <v>0</v>
      </c>
      <c r="T30" s="629">
        <f t="shared" si="9"/>
        <v>44282</v>
      </c>
      <c r="U30" s="580"/>
      <c r="V30" s="582">
        <f t="shared" si="5"/>
        <v>0</v>
      </c>
      <c r="W30" s="579"/>
      <c r="X30" s="582">
        <f t="shared" si="0"/>
        <v>0</v>
      </c>
      <c r="Y30" s="624">
        <f t="shared" si="10"/>
        <v>44282</v>
      </c>
      <c r="Z30" s="580"/>
      <c r="AA30" s="577"/>
      <c r="AB30" s="581">
        <f>'Water-Meter'!P32</f>
        <v>0</v>
      </c>
      <c r="AC30" s="634">
        <f t="shared" si="11"/>
        <v>0</v>
      </c>
    </row>
    <row r="31" spans="1:29" ht="19.5" thickBot="1">
      <c r="A31" s="643">
        <f>Gen!B38</f>
        <v>0</v>
      </c>
      <c r="B31" s="593">
        <f>Gen!A38</f>
        <v>44283</v>
      </c>
      <c r="C31" s="580"/>
      <c r="D31" s="582">
        <f t="shared" si="16"/>
        <v>0</v>
      </c>
      <c r="E31" s="578"/>
      <c r="F31" s="582">
        <f t="shared" si="15"/>
        <v>0</v>
      </c>
      <c r="G31" s="577"/>
      <c r="H31" s="624">
        <f t="shared" si="6"/>
        <v>44283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7"/>
        <v>44283</v>
      </c>
      <c r="N31" s="580"/>
      <c r="O31" s="6">
        <f>'Water-Meter'!J33</f>
        <v>0</v>
      </c>
      <c r="P31" s="581">
        <f>'Water-Meter'!J33</f>
        <v>0</v>
      </c>
      <c r="Q31" s="577">
        <f t="shared" si="13"/>
        <v>0</v>
      </c>
      <c r="R31" s="627">
        <f t="shared" si="14"/>
        <v>0</v>
      </c>
      <c r="S31" s="628">
        <f>Gen!T38</f>
        <v>0</v>
      </c>
      <c r="T31" s="629">
        <f t="shared" si="9"/>
        <v>44283</v>
      </c>
      <c r="U31" s="580"/>
      <c r="V31" s="582">
        <f t="shared" si="5"/>
        <v>0</v>
      </c>
      <c r="W31" s="579"/>
      <c r="X31" s="582">
        <f t="shared" si="0"/>
        <v>0</v>
      </c>
      <c r="Y31" s="624">
        <f>T31</f>
        <v>44283</v>
      </c>
      <c r="Z31" s="580"/>
      <c r="AA31" s="577"/>
      <c r="AB31" s="581">
        <f>'Water-Meter'!P33</f>
        <v>0</v>
      </c>
      <c r="AC31" s="634">
        <f t="shared" si="11"/>
        <v>0</v>
      </c>
    </row>
    <row r="32" spans="1:29" ht="19.5" thickBot="1">
      <c r="A32" s="643">
        <f>Gen!B39</f>
        <v>0</v>
      </c>
      <c r="B32" s="593">
        <f>Gen!A39</f>
        <v>44284</v>
      </c>
      <c r="C32" s="580"/>
      <c r="D32" s="582">
        <f t="shared" si="16"/>
        <v>0</v>
      </c>
      <c r="E32" s="578"/>
      <c r="F32" s="582">
        <f t="shared" si="15"/>
        <v>0</v>
      </c>
      <c r="G32" s="577"/>
      <c r="H32" s="624">
        <f t="shared" si="6"/>
        <v>44284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7"/>
        <v>44284</v>
      </c>
      <c r="N32" s="580"/>
      <c r="O32" s="6">
        <f>'Water-Meter'!J34</f>
        <v>0</v>
      </c>
      <c r="P32" s="581">
        <f>'Water-Meter'!J34</f>
        <v>0</v>
      </c>
      <c r="Q32" s="577">
        <f t="shared" si="13"/>
        <v>0</v>
      </c>
      <c r="R32" s="627">
        <f t="shared" si="14"/>
        <v>0</v>
      </c>
      <c r="S32" s="628">
        <f>Gen!T39</f>
        <v>0</v>
      </c>
      <c r="T32" s="629">
        <f t="shared" si="9"/>
        <v>44284</v>
      </c>
      <c r="U32" s="580"/>
      <c r="V32" s="582">
        <f t="shared" si="5"/>
        <v>0</v>
      </c>
      <c r="W32" s="579"/>
      <c r="X32" s="582">
        <f t="shared" si="0"/>
        <v>0</v>
      </c>
      <c r="Y32" s="624">
        <f t="shared" ref="Y32:Y35" si="17">T32</f>
        <v>44284</v>
      </c>
      <c r="Z32" s="580"/>
      <c r="AA32" s="577"/>
      <c r="AB32" s="581">
        <f>'Water-Meter'!P34</f>
        <v>0</v>
      </c>
      <c r="AC32" s="634">
        <f t="shared" si="11"/>
        <v>0</v>
      </c>
    </row>
    <row r="33" spans="1:29" ht="19.5" thickBot="1">
      <c r="A33" s="643">
        <f>Gen!B40</f>
        <v>0</v>
      </c>
      <c r="B33" s="593">
        <f>Gen!A40</f>
        <v>44285</v>
      </c>
      <c r="C33" s="580"/>
      <c r="D33" s="582">
        <f t="shared" si="16"/>
        <v>0</v>
      </c>
      <c r="E33" s="578"/>
      <c r="F33" s="582">
        <f t="shared" si="15"/>
        <v>0</v>
      </c>
      <c r="G33" s="577"/>
      <c r="H33" s="624">
        <f t="shared" si="6"/>
        <v>44285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7"/>
        <v>44285</v>
      </c>
      <c r="N33" s="580"/>
      <c r="O33" s="6">
        <f>'Water-Meter'!J35</f>
        <v>0</v>
      </c>
      <c r="P33" s="581">
        <f>'Water-Meter'!J35</f>
        <v>0</v>
      </c>
      <c r="Q33" s="577">
        <f t="shared" si="13"/>
        <v>0</v>
      </c>
      <c r="R33" s="627">
        <f t="shared" si="14"/>
        <v>0</v>
      </c>
      <c r="S33" s="628">
        <f>Gen!T40</f>
        <v>0</v>
      </c>
      <c r="T33" s="629">
        <f t="shared" si="9"/>
        <v>44285</v>
      </c>
      <c r="U33" s="580"/>
      <c r="V33" s="582">
        <f t="shared" si="5"/>
        <v>0</v>
      </c>
      <c r="W33" s="579"/>
      <c r="X33" s="582">
        <f t="shared" si="0"/>
        <v>0</v>
      </c>
      <c r="Y33" s="624">
        <f t="shared" si="17"/>
        <v>44285</v>
      </c>
      <c r="Z33" s="580"/>
      <c r="AA33" s="577"/>
      <c r="AB33" s="581">
        <f>'Water-Meter'!P35</f>
        <v>0</v>
      </c>
      <c r="AC33" s="634">
        <f t="shared" si="11"/>
        <v>0</v>
      </c>
    </row>
    <row r="34" spans="1:29" ht="18.75">
      <c r="A34" s="643">
        <f>Gen!B41</f>
        <v>0</v>
      </c>
      <c r="B34" s="593">
        <f>Gen!A41</f>
        <v>44286</v>
      </c>
      <c r="C34" s="6"/>
      <c r="D34" s="582">
        <f t="shared" si="16"/>
        <v>0</v>
      </c>
      <c r="E34" s="578"/>
      <c r="F34" s="582">
        <f t="shared" si="15"/>
        <v>0</v>
      </c>
      <c r="G34" s="6"/>
      <c r="H34" s="624">
        <f t="shared" si="6"/>
        <v>44286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7"/>
        <v>44286</v>
      </c>
      <c r="N34" s="6"/>
      <c r="O34" s="6">
        <f>'Water-Meter'!J36</f>
        <v>0</v>
      </c>
      <c r="P34" s="581">
        <f>'Water-Meter'!J36</f>
        <v>0</v>
      </c>
      <c r="Q34" s="577">
        <f t="shared" si="13"/>
        <v>0</v>
      </c>
      <c r="R34" s="627">
        <f t="shared" si="14"/>
        <v>0</v>
      </c>
      <c r="S34" s="628">
        <f>Gen!T41</f>
        <v>0</v>
      </c>
      <c r="T34" s="629">
        <f t="shared" si="9"/>
        <v>44286</v>
      </c>
      <c r="U34" s="6"/>
      <c r="V34" s="582">
        <f t="shared" ref="V34:V35" si="18">SUM(W33)</f>
        <v>0</v>
      </c>
      <c r="W34" s="579"/>
      <c r="X34" s="582">
        <f t="shared" si="0"/>
        <v>0</v>
      </c>
      <c r="Y34" s="624">
        <f t="shared" si="17"/>
        <v>44286</v>
      </c>
      <c r="Z34" s="6"/>
      <c r="AA34" s="577"/>
      <c r="AB34" s="581">
        <f>'Water-Meter'!P36</f>
        <v>0</v>
      </c>
      <c r="AC34" s="634">
        <f t="shared" si="11"/>
        <v>0</v>
      </c>
    </row>
    <row r="35" spans="1:29" ht="20.25" customHeight="1" thickBot="1">
      <c r="A35" s="644" t="e">
        <f>[1]Gen!B42</f>
        <v>#REF!</v>
      </c>
      <c r="B35" s="594" t="e">
        <f>[1]Gen!A42</f>
        <v>#REF!</v>
      </c>
      <c r="C35" s="7"/>
      <c r="D35" s="595">
        <f t="shared" si="16"/>
        <v>0</v>
      </c>
      <c r="E35" s="596"/>
      <c r="F35" s="597">
        <f>SUM(F4:F6)</f>
        <v>803.99999999986903</v>
      </c>
      <c r="G35" s="7"/>
      <c r="H35" s="635" t="e">
        <f t="shared" si="6"/>
        <v>#REF!</v>
      </c>
      <c r="I35" s="7"/>
      <c r="J35" s="600">
        <f t="shared" ref="J35" si="19">SUM(K34)</f>
        <v>0</v>
      </c>
      <c r="K35" s="636">
        <f>'Water-Meter'!G37</f>
        <v>0</v>
      </c>
      <c r="L35" s="7">
        <f>SUM(L5:L34)</f>
        <v>0</v>
      </c>
      <c r="M35" s="635" t="e">
        <f t="shared" si="7"/>
        <v>#REF!</v>
      </c>
      <c r="N35" s="7"/>
      <c r="O35" s="600"/>
      <c r="P35" s="601">
        <f>'Water-Meter'!J37</f>
        <v>0</v>
      </c>
      <c r="Q35" s="600">
        <f t="shared" si="13"/>
        <v>0</v>
      </c>
      <c r="R35" s="637">
        <f t="shared" si="14"/>
        <v>0</v>
      </c>
      <c r="S35" s="638">
        <f>Gen!T42</f>
        <v>0</v>
      </c>
      <c r="T35" s="635" t="e">
        <f t="shared" ref="T35" si="20">M35</f>
        <v>#REF!</v>
      </c>
      <c r="U35" s="7"/>
      <c r="V35" s="595">
        <f t="shared" si="18"/>
        <v>0</v>
      </c>
      <c r="W35" s="602"/>
      <c r="X35" s="595">
        <f t="shared" si="0"/>
        <v>0</v>
      </c>
      <c r="Y35" s="635" t="e">
        <f t="shared" si="17"/>
        <v>#REF!</v>
      </c>
      <c r="Z35" s="7"/>
      <c r="AA35" s="600"/>
      <c r="AB35" s="601">
        <f>'Water-Meter'!P37</f>
        <v>0</v>
      </c>
      <c r="AC35" s="639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700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4" sqref="P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72">
        <f>A5</f>
        <v>44256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</row>
    <row r="2" spans="1:13">
      <c r="A2" s="873"/>
      <c r="B2" s="873"/>
      <c r="C2" s="873"/>
      <c r="D2" s="873"/>
      <c r="E2" s="873"/>
      <c r="F2" s="873"/>
      <c r="G2" s="873"/>
      <c r="H2" s="873"/>
      <c r="I2" s="873"/>
      <c r="J2" s="873"/>
      <c r="K2" s="873"/>
      <c r="L2" s="873"/>
    </row>
    <row r="3" spans="1:13" ht="50.25" customHeight="1" thickBot="1">
      <c r="A3" s="665"/>
      <c r="B3" s="666"/>
      <c r="C3" s="75"/>
      <c r="D3" s="75"/>
      <c r="E3" s="75"/>
      <c r="F3" s="75"/>
      <c r="G3" s="75"/>
      <c r="H3" s="75"/>
      <c r="I3" s="75"/>
      <c r="J3" s="75"/>
      <c r="K3" s="75"/>
      <c r="L3" s="667"/>
    </row>
    <row r="4" spans="1:13" s="50" customFormat="1" ht="50.25" customHeight="1" thickBot="1">
      <c r="A4" s="668" t="s">
        <v>0</v>
      </c>
      <c r="B4" s="669" t="s">
        <v>66</v>
      </c>
      <c r="C4" s="670" t="s">
        <v>50</v>
      </c>
      <c r="D4" s="671" t="s">
        <v>64</v>
      </c>
      <c r="E4" s="671" t="s">
        <v>65</v>
      </c>
      <c r="F4" s="672" t="s">
        <v>42</v>
      </c>
      <c r="G4" s="671" t="s">
        <v>203</v>
      </c>
      <c r="H4" s="671" t="s">
        <v>206</v>
      </c>
      <c r="I4" s="671" t="s">
        <v>204</v>
      </c>
      <c r="J4" s="671" t="s">
        <v>205</v>
      </c>
      <c r="K4" s="672" t="s">
        <v>51</v>
      </c>
      <c r="L4" s="673" t="s">
        <v>76</v>
      </c>
    </row>
    <row r="5" spans="1:13">
      <c r="A5" s="662">
        <f>Gen!A11</f>
        <v>44256</v>
      </c>
      <c r="B5" s="645">
        <f>'Daily report Gen'!Z6</f>
        <v>24</v>
      </c>
      <c r="C5" s="646">
        <f>Gen!B11</f>
        <v>0</v>
      </c>
      <c r="D5" s="647">
        <f t="shared" ref="D5:D36" si="0">E5</f>
        <v>0</v>
      </c>
      <c r="E5" s="648"/>
      <c r="F5" s="70">
        <f>Gen!U11</f>
        <v>0.40437810945273633</v>
      </c>
      <c r="G5" s="649">
        <f>Gen!T9</f>
        <v>0</v>
      </c>
      <c r="H5" s="649">
        <f>Gen!AK11</f>
        <v>0</v>
      </c>
      <c r="I5" s="649">
        <f t="shared" ref="I5:I36" si="1">SUM(G5:H5)</f>
        <v>0</v>
      </c>
      <c r="J5" s="650">
        <f>Gen!C11</f>
        <v>44889.51</v>
      </c>
      <c r="K5" s="651">
        <f>'Water-Meter'!E6</f>
        <v>64</v>
      </c>
      <c r="L5" s="652">
        <f>'Lpg (2)'!G10</f>
        <v>130.81199999998208</v>
      </c>
      <c r="M5" s="79" t="e">
        <f>SUM(#REF!-#REF!)</f>
        <v>#REF!</v>
      </c>
    </row>
    <row r="6" spans="1:13">
      <c r="A6" s="663">
        <f>Gen!A12</f>
        <v>44257</v>
      </c>
      <c r="B6" s="653">
        <f>'Daily report Gen'!Z7</f>
        <v>25</v>
      </c>
      <c r="C6" s="87">
        <f>Gen!B12</f>
        <v>0</v>
      </c>
      <c r="D6" s="434">
        <f t="shared" si="0"/>
        <v>0</v>
      </c>
      <c r="E6" s="74"/>
      <c r="F6" s="70">
        <f>Gen!U12</f>
        <v>0.39502581755593802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43763.19</v>
      </c>
      <c r="K6" s="295">
        <f>'Water-Meter'!E7</f>
        <v>56</v>
      </c>
      <c r="L6" s="654">
        <f>'Lpg (2)'!G11</f>
        <v>127.51200000004611</v>
      </c>
      <c r="M6" s="79" t="e">
        <f>SUM(#REF!-#REF!)</f>
        <v>#REF!</v>
      </c>
    </row>
    <row r="7" spans="1:13">
      <c r="A7" s="663">
        <f>Gen!A13</f>
        <v>44258</v>
      </c>
      <c r="B7" s="653">
        <f>'Daily report Gen'!Z8</f>
        <v>24</v>
      </c>
      <c r="C7" s="87">
        <f>Gen!B13</f>
        <v>0</v>
      </c>
      <c r="D7" s="434">
        <f t="shared" si="0"/>
        <v>0</v>
      </c>
      <c r="E7" s="74"/>
      <c r="F7" s="70">
        <f>Gen!U13</f>
        <v>0.40824048096192384</v>
      </c>
      <c r="G7" s="85">
        <f>Gen!T11</f>
        <v>2613</v>
      </c>
      <c r="H7" s="85">
        <f>Gen!AK13</f>
        <v>0</v>
      </c>
      <c r="I7" s="85">
        <f t="shared" si="1"/>
        <v>2613</v>
      </c>
      <c r="J7" s="446">
        <f>Gen!C13</f>
        <v>42443.15</v>
      </c>
      <c r="K7" s="295">
        <f>'Water-Meter'!E8</f>
        <v>65</v>
      </c>
      <c r="L7" s="654">
        <f>'Lpg (2)'!G12</f>
        <v>68.947999999992319</v>
      </c>
      <c r="M7" s="79" t="e">
        <f>SUM(#REF!-#REF!)</f>
        <v>#REF!</v>
      </c>
    </row>
    <row r="8" spans="1:13">
      <c r="A8" s="663">
        <f>Gen!A14</f>
        <v>44259</v>
      </c>
      <c r="B8" s="653">
        <f>'Daily report Gen'!Z9</f>
        <v>24</v>
      </c>
      <c r="C8" s="87">
        <f>Gen!B14</f>
        <v>0</v>
      </c>
      <c r="D8" s="434">
        <f>E8</f>
        <v>0</v>
      </c>
      <c r="E8" s="74"/>
      <c r="F8" s="70">
        <f>Gen!U14</f>
        <v>0.40021291448516577</v>
      </c>
      <c r="G8" s="85">
        <f>Gen!T12</f>
        <v>2905</v>
      </c>
      <c r="H8" s="85">
        <f>Gen!AK14</f>
        <v>0</v>
      </c>
      <c r="I8" s="85">
        <f t="shared" si="1"/>
        <v>2905</v>
      </c>
      <c r="J8" s="446">
        <f>Gen!C14</f>
        <v>41374.35</v>
      </c>
      <c r="K8" s="295">
        <f>'Water-Meter'!E9</f>
        <v>55</v>
      </c>
      <c r="L8" s="654">
        <f>'Lpg (2)'!G13</f>
        <v>-331268.87200000003</v>
      </c>
      <c r="M8" s="79" t="e">
        <f>SUM(#REF!-#REF!)</f>
        <v>#REF!</v>
      </c>
    </row>
    <row r="9" spans="1:13">
      <c r="A9" s="663">
        <f>Gen!A15</f>
        <v>44260</v>
      </c>
      <c r="B9" s="653">
        <f>'Daily report Gen'!Z10</f>
        <v>-158258</v>
      </c>
      <c r="C9" s="87">
        <f>Gen!B15</f>
        <v>0</v>
      </c>
      <c r="D9" s="434">
        <f t="shared" si="0"/>
        <v>0</v>
      </c>
      <c r="E9" s="74"/>
      <c r="F9" s="70" t="e">
        <f>Gen!U15</f>
        <v>#DIV/0!</v>
      </c>
      <c r="G9" s="85">
        <f>Gen!T13</f>
        <v>2495</v>
      </c>
      <c r="H9" s="85">
        <f>Gen!AK15</f>
        <v>0</v>
      </c>
      <c r="I9" s="85">
        <f t="shared" si="1"/>
        <v>2495</v>
      </c>
      <c r="J9" s="446">
        <f>Gen!C15</f>
        <v>40147.71</v>
      </c>
      <c r="K9" s="295" t="str">
        <f>'Water-Meter'!E10</f>
        <v>0</v>
      </c>
      <c r="L9" s="654">
        <f>'Lpg (2)'!G14</f>
        <v>0</v>
      </c>
      <c r="M9" s="79" t="e">
        <f>SUM(#REF!-#REF!)</f>
        <v>#REF!</v>
      </c>
    </row>
    <row r="10" spans="1:13">
      <c r="A10" s="663">
        <f>Gen!A16</f>
        <v>44261</v>
      </c>
      <c r="B10" s="653">
        <f>'Daily report Gen'!Z11</f>
        <v>0</v>
      </c>
      <c r="C10" s="87">
        <f>Gen!B16</f>
        <v>0</v>
      </c>
      <c r="D10" s="434">
        <f t="shared" si="0"/>
        <v>0</v>
      </c>
      <c r="E10" s="74"/>
      <c r="F10" s="70" t="e">
        <f>Gen!U16</f>
        <v>#DIV/0!</v>
      </c>
      <c r="G10" s="85">
        <f>Gen!T14</f>
        <v>2865</v>
      </c>
      <c r="H10" s="85">
        <f>Gen!AK16</f>
        <v>0</v>
      </c>
      <c r="I10" s="85">
        <f t="shared" si="1"/>
        <v>2865</v>
      </c>
      <c r="J10" s="446">
        <f>Gen!C16</f>
        <v>40147.71</v>
      </c>
      <c r="K10" s="295">
        <f>'Water-Meter'!E11</f>
        <v>0</v>
      </c>
      <c r="L10" s="654">
        <f>'Lpg (2)'!G15</f>
        <v>0</v>
      </c>
      <c r="M10" s="79" t="e">
        <f>SUM(#REF!-#REF!)</f>
        <v>#REF!</v>
      </c>
    </row>
    <row r="11" spans="1:13">
      <c r="A11" s="663">
        <f>Gen!A17</f>
        <v>44262</v>
      </c>
      <c r="B11" s="653">
        <f>'Daily report Gen'!Z12</f>
        <v>0</v>
      </c>
      <c r="C11" s="87">
        <f>Gen!B17</f>
        <v>0</v>
      </c>
      <c r="D11" s="434">
        <f t="shared" si="0"/>
        <v>0</v>
      </c>
      <c r="E11" s="74"/>
      <c r="F11" s="70" t="e">
        <f>Gen!U17</f>
        <v>#DIV/0!</v>
      </c>
      <c r="G11" s="85">
        <f>Gen!T15</f>
        <v>0</v>
      </c>
      <c r="H11" s="85">
        <f>Gen!AK17</f>
        <v>0</v>
      </c>
      <c r="I11" s="85">
        <f t="shared" si="1"/>
        <v>0</v>
      </c>
      <c r="J11" s="446">
        <f>Gen!C17</f>
        <v>40147.71</v>
      </c>
      <c r="K11" s="295">
        <f>'Water-Meter'!E12</f>
        <v>0</v>
      </c>
      <c r="L11" s="654">
        <f>'Lpg (2)'!G16</f>
        <v>0</v>
      </c>
      <c r="M11" s="79" t="e">
        <f>SUM(#REF!-#REF!)</f>
        <v>#REF!</v>
      </c>
    </row>
    <row r="12" spans="1:13">
      <c r="A12" s="663">
        <f>Gen!A18</f>
        <v>44263</v>
      </c>
      <c r="B12" s="653">
        <f>'Daily report Gen'!Z13</f>
        <v>0</v>
      </c>
      <c r="C12" s="87">
        <f>Gen!B18</f>
        <v>0</v>
      </c>
      <c r="D12" s="434">
        <f t="shared" si="0"/>
        <v>0</v>
      </c>
      <c r="E12" s="74"/>
      <c r="F12" s="70" t="e">
        <f>Gen!U18</f>
        <v>#DIV/0!</v>
      </c>
      <c r="G12" s="85">
        <f>Gen!T16</f>
        <v>0</v>
      </c>
      <c r="H12" s="85">
        <f>Gen!AK18</f>
        <v>0</v>
      </c>
      <c r="I12" s="85">
        <f t="shared" si="1"/>
        <v>0</v>
      </c>
      <c r="J12" s="446">
        <f>Gen!C18</f>
        <v>40147.71</v>
      </c>
      <c r="K12" s="295">
        <f>'Water-Meter'!E13</f>
        <v>0</v>
      </c>
      <c r="L12" s="654">
        <f>'Lpg (2)'!G17</f>
        <v>0</v>
      </c>
      <c r="M12" s="79" t="e">
        <f>SUM(#REF!-#REF!)</f>
        <v>#REF!</v>
      </c>
    </row>
    <row r="13" spans="1:13">
      <c r="A13" s="663">
        <f>Gen!A19</f>
        <v>44264</v>
      </c>
      <c r="B13" s="653" t="e">
        <f>'Daily report Gen'!Z14</f>
        <v>#REF!</v>
      </c>
      <c r="C13" s="87">
        <f>Gen!B19</f>
        <v>0</v>
      </c>
      <c r="D13" s="434">
        <f t="shared" si="0"/>
        <v>0</v>
      </c>
      <c r="E13" s="74"/>
      <c r="F13" s="70" t="e">
        <f>Gen!U19</f>
        <v>#DIV/0!</v>
      </c>
      <c r="G13" s="85">
        <f>Gen!T17</f>
        <v>0</v>
      </c>
      <c r="H13" s="85">
        <f>Gen!AK19</f>
        <v>0</v>
      </c>
      <c r="I13" s="85">
        <f t="shared" si="1"/>
        <v>0</v>
      </c>
      <c r="J13" s="446">
        <f>Gen!C19</f>
        <v>40147.71</v>
      </c>
      <c r="K13" s="295">
        <f>'Water-Meter'!E14</f>
        <v>0</v>
      </c>
      <c r="L13" s="654">
        <f>'Lpg (2)'!G18</f>
        <v>0</v>
      </c>
      <c r="M13" s="79" t="e">
        <f>SUM(#REF!-#REF!)</f>
        <v>#REF!</v>
      </c>
    </row>
    <row r="14" spans="1:13">
      <c r="A14" s="663">
        <f>Gen!A20</f>
        <v>44265</v>
      </c>
      <c r="B14" s="653" t="e">
        <f>'Daily report Gen'!Z15</f>
        <v>#REF!</v>
      </c>
      <c r="C14" s="87">
        <f>Gen!B20</f>
        <v>0</v>
      </c>
      <c r="D14" s="434">
        <f t="shared" si="0"/>
        <v>0</v>
      </c>
      <c r="E14" s="74"/>
      <c r="F14" s="70" t="e">
        <f>Gen!U20</f>
        <v>#DIV/0!</v>
      </c>
      <c r="G14" s="85">
        <f>Gen!T18</f>
        <v>0</v>
      </c>
      <c r="H14" s="85">
        <f>Gen!AK20</f>
        <v>0</v>
      </c>
      <c r="I14" s="85">
        <f t="shared" si="1"/>
        <v>0</v>
      </c>
      <c r="J14" s="446">
        <f>Gen!C20</f>
        <v>40147.71</v>
      </c>
      <c r="K14" s="295">
        <f>'Water-Meter'!E15</f>
        <v>0</v>
      </c>
      <c r="L14" s="654">
        <f>'Lpg (2)'!G19</f>
        <v>0</v>
      </c>
      <c r="M14" s="79" t="e">
        <f>SUM(#REF!-#REF!)</f>
        <v>#REF!</v>
      </c>
    </row>
    <row r="15" spans="1:13">
      <c r="A15" s="663">
        <f>Gen!A21</f>
        <v>44266</v>
      </c>
      <c r="B15" s="653">
        <f>'Daily report Gen'!Z16</f>
        <v>0</v>
      </c>
      <c r="C15" s="87">
        <f>Gen!B21</f>
        <v>0</v>
      </c>
      <c r="D15" s="434">
        <f t="shared" si="0"/>
        <v>0</v>
      </c>
      <c r="E15" s="74"/>
      <c r="F15" s="70" t="e">
        <f>Gen!U21</f>
        <v>#DIV/0!</v>
      </c>
      <c r="G15" s="85">
        <f>Gen!T19</f>
        <v>0</v>
      </c>
      <c r="H15" s="85">
        <f>Gen!AK21</f>
        <v>0</v>
      </c>
      <c r="I15" s="85">
        <f t="shared" si="1"/>
        <v>0</v>
      </c>
      <c r="J15" s="446">
        <f>Gen!C21</f>
        <v>40147.71</v>
      </c>
      <c r="K15" s="295">
        <f>'Water-Meter'!E16</f>
        <v>0</v>
      </c>
      <c r="L15" s="654">
        <f>'Lpg (2)'!G20</f>
        <v>0</v>
      </c>
      <c r="M15" s="79" t="e">
        <f>SUM(#REF!-#REF!)</f>
        <v>#REF!</v>
      </c>
    </row>
    <row r="16" spans="1:13">
      <c r="A16" s="663">
        <f>Gen!A22</f>
        <v>44267</v>
      </c>
      <c r="B16" s="653">
        <f>'Daily report Gen'!Z17</f>
        <v>0</v>
      </c>
      <c r="C16" s="87">
        <f>Gen!B22</f>
        <v>0</v>
      </c>
      <c r="D16" s="434">
        <f t="shared" si="0"/>
        <v>0</v>
      </c>
      <c r="E16" s="74"/>
      <c r="F16" s="70" t="e">
        <f>Gen!U22</f>
        <v>#DIV/0!</v>
      </c>
      <c r="G16" s="85">
        <f>Gen!T20</f>
        <v>0</v>
      </c>
      <c r="H16" s="85">
        <f>Gen!AK22</f>
        <v>0</v>
      </c>
      <c r="I16" s="85">
        <f t="shared" si="1"/>
        <v>0</v>
      </c>
      <c r="J16" s="446">
        <f>Gen!C22</f>
        <v>40147.71</v>
      </c>
      <c r="K16" s="295">
        <f>'Water-Meter'!E17</f>
        <v>0</v>
      </c>
      <c r="L16" s="654">
        <f>'Lpg (2)'!G21</f>
        <v>0</v>
      </c>
      <c r="M16" s="79" t="e">
        <f>SUM(#REF!-#REF!)</f>
        <v>#REF!</v>
      </c>
    </row>
    <row r="17" spans="1:13">
      <c r="A17" s="663">
        <f>Gen!A23</f>
        <v>44268</v>
      </c>
      <c r="B17" s="653">
        <f>'Daily report Gen'!Z18</f>
        <v>0</v>
      </c>
      <c r="C17" s="87">
        <f>Gen!B23</f>
        <v>0</v>
      </c>
      <c r="D17" s="434">
        <f t="shared" si="0"/>
        <v>0</v>
      </c>
      <c r="E17" s="74"/>
      <c r="F17" s="70" t="e">
        <f>Gen!U23</f>
        <v>#DIV/0!</v>
      </c>
      <c r="G17" s="85">
        <f>Gen!T21</f>
        <v>0</v>
      </c>
      <c r="H17" s="85">
        <f>Gen!AK23</f>
        <v>0</v>
      </c>
      <c r="I17" s="85">
        <f t="shared" si="1"/>
        <v>0</v>
      </c>
      <c r="J17" s="446">
        <f>Gen!C23</f>
        <v>40147.71</v>
      </c>
      <c r="K17" s="295">
        <f>'Water-Meter'!E18</f>
        <v>0</v>
      </c>
      <c r="L17" s="654">
        <f>'Lpg (2)'!G22</f>
        <v>0</v>
      </c>
      <c r="M17" s="79" t="e">
        <f>SUM(#REF!-#REF!)</f>
        <v>#REF!</v>
      </c>
    </row>
    <row r="18" spans="1:13">
      <c r="A18" s="663">
        <f>Gen!A24</f>
        <v>44269</v>
      </c>
      <c r="B18" s="653">
        <f>'Daily report Gen'!Z19</f>
        <v>0</v>
      </c>
      <c r="C18" s="87">
        <f>Gen!B24</f>
        <v>0</v>
      </c>
      <c r="D18" s="434">
        <f t="shared" si="0"/>
        <v>0</v>
      </c>
      <c r="E18" s="74"/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40147.71</v>
      </c>
      <c r="K18" s="295">
        <f>'Water-Meter'!E19</f>
        <v>0</v>
      </c>
      <c r="L18" s="654">
        <f>'Lpg (2)'!G23</f>
        <v>0</v>
      </c>
      <c r="M18" s="79" t="e">
        <f>SUM(#REF!-#REF!)</f>
        <v>#REF!</v>
      </c>
    </row>
    <row r="19" spans="1:13">
      <c r="A19" s="663">
        <f>Gen!A25</f>
        <v>44270</v>
      </c>
      <c r="B19" s="653">
        <f>'Daily report Gen'!Z20</f>
        <v>0</v>
      </c>
      <c r="C19" s="87">
        <f>Gen!B25</f>
        <v>0</v>
      </c>
      <c r="D19" s="434">
        <f t="shared" si="0"/>
        <v>0</v>
      </c>
      <c r="E19" s="74"/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40147.71</v>
      </c>
      <c r="K19" s="295">
        <f>'Water-Meter'!E20</f>
        <v>0</v>
      </c>
      <c r="L19" s="654">
        <f>'Lpg (2)'!G24</f>
        <v>0</v>
      </c>
      <c r="M19" s="79" t="e">
        <f>SUM(#REF!-#REF!)</f>
        <v>#REF!</v>
      </c>
    </row>
    <row r="20" spans="1:13">
      <c r="A20" s="663">
        <f>Gen!A26</f>
        <v>44271</v>
      </c>
      <c r="B20" s="653">
        <f>'Daily report Gen'!Z21</f>
        <v>0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40147.71</v>
      </c>
      <c r="K20" s="295">
        <f>'Water-Meter'!E21</f>
        <v>0</v>
      </c>
      <c r="L20" s="654">
        <f>'Lpg (2)'!G25</f>
        <v>0</v>
      </c>
      <c r="M20" s="79" t="e">
        <f>SUM(#REF!-#REF!)</f>
        <v>#REF!</v>
      </c>
    </row>
    <row r="21" spans="1:13">
      <c r="A21" s="663">
        <f>Gen!A27</f>
        <v>44272</v>
      </c>
      <c r="B21" s="653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40147.71</v>
      </c>
      <c r="K21" s="295">
        <f>'Water-Meter'!E22</f>
        <v>0</v>
      </c>
      <c r="L21" s="654">
        <f>'Lpg (2)'!G26</f>
        <v>0</v>
      </c>
      <c r="M21" s="79" t="e">
        <f>SUM(#REF!-#REF!)</f>
        <v>#REF!</v>
      </c>
    </row>
    <row r="22" spans="1:13">
      <c r="A22" s="663">
        <f>Gen!A28</f>
        <v>44273</v>
      </c>
      <c r="B22" s="653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40147.71</v>
      </c>
      <c r="K22" s="295">
        <f>'Water-Meter'!E23</f>
        <v>0</v>
      </c>
      <c r="L22" s="654">
        <f>'Lpg (2)'!G27</f>
        <v>0</v>
      </c>
      <c r="M22" s="79" t="e">
        <f>SUM(#REF!-#REF!)</f>
        <v>#REF!</v>
      </c>
    </row>
    <row r="23" spans="1:13">
      <c r="A23" s="663">
        <f>Gen!A29</f>
        <v>44274</v>
      </c>
      <c r="B23" s="653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40147.71</v>
      </c>
      <c r="K23" s="295">
        <f>'Water-Meter'!E24</f>
        <v>0</v>
      </c>
      <c r="L23" s="654">
        <f>'Lpg (2)'!G28</f>
        <v>0</v>
      </c>
      <c r="M23" s="79" t="e">
        <f>SUM(#REF!-#REF!)</f>
        <v>#REF!</v>
      </c>
    </row>
    <row r="24" spans="1:13">
      <c r="A24" s="663">
        <f>Gen!A30</f>
        <v>44275</v>
      </c>
      <c r="B24" s="653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40147.71</v>
      </c>
      <c r="K24" s="295">
        <f>'Water-Meter'!E25</f>
        <v>0</v>
      </c>
      <c r="L24" s="654">
        <f>'Lpg (2)'!G29</f>
        <v>0</v>
      </c>
      <c r="M24" s="79" t="e">
        <f>SUM(#REF!-#REF!)</f>
        <v>#REF!</v>
      </c>
    </row>
    <row r="25" spans="1:13">
      <c r="A25" s="663">
        <f>Gen!A31</f>
        <v>44276</v>
      </c>
      <c r="B25" s="653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40147.71</v>
      </c>
      <c r="K25" s="295">
        <f>'Water-Meter'!E26</f>
        <v>0</v>
      </c>
      <c r="L25" s="654">
        <f>'Lpg (2)'!G30</f>
        <v>0</v>
      </c>
      <c r="M25" s="79" t="e">
        <f>SUM(#REF!-#REF!)</f>
        <v>#REF!</v>
      </c>
    </row>
    <row r="26" spans="1:13">
      <c r="A26" s="663">
        <f>Gen!A32</f>
        <v>44277</v>
      </c>
      <c r="B26" s="653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40147.71</v>
      </c>
      <c r="K26" s="295">
        <f>'Water-Meter'!E27</f>
        <v>0</v>
      </c>
      <c r="L26" s="654">
        <f>'Lpg (2)'!G31</f>
        <v>0</v>
      </c>
      <c r="M26" s="79" t="e">
        <f>SUM(#REF!-#REF!)</f>
        <v>#REF!</v>
      </c>
    </row>
    <row r="27" spans="1:13">
      <c r="A27" s="663">
        <f>Gen!A33</f>
        <v>44278</v>
      </c>
      <c r="B27" s="653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40147.71</v>
      </c>
      <c r="K27" s="295">
        <f>'Water-Meter'!E28</f>
        <v>0</v>
      </c>
      <c r="L27" s="654">
        <f>'Lpg (2)'!G32</f>
        <v>0</v>
      </c>
      <c r="M27" s="79" t="e">
        <f>SUM(#REF!-#REF!)</f>
        <v>#REF!</v>
      </c>
    </row>
    <row r="28" spans="1:13">
      <c r="A28" s="663">
        <f>Gen!A34</f>
        <v>44279</v>
      </c>
      <c r="B28" s="653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40147.71</v>
      </c>
      <c r="K28" s="295">
        <f>'Water-Meter'!E29</f>
        <v>0</v>
      </c>
      <c r="L28" s="654">
        <f>'Lpg (2)'!G33</f>
        <v>0</v>
      </c>
      <c r="M28" s="79" t="e">
        <f>SUM(#REF!-#REF!)</f>
        <v>#REF!</v>
      </c>
    </row>
    <row r="29" spans="1:13">
      <c r="A29" s="663">
        <f>Gen!A35</f>
        <v>44280</v>
      </c>
      <c r="B29" s="653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40147.71</v>
      </c>
      <c r="K29" s="295">
        <f>'Water-Meter'!E30</f>
        <v>0</v>
      </c>
      <c r="L29" s="654">
        <f>'Lpg (2)'!G34</f>
        <v>0</v>
      </c>
      <c r="M29" s="79" t="e">
        <f>SUM(#REF!-#REF!)</f>
        <v>#REF!</v>
      </c>
    </row>
    <row r="30" spans="1:13">
      <c r="A30" s="663">
        <f>Gen!A36</f>
        <v>44281</v>
      </c>
      <c r="B30" s="653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40147.71</v>
      </c>
      <c r="K30" s="295">
        <f>'Water-Meter'!E31</f>
        <v>0</v>
      </c>
      <c r="L30" s="654">
        <f>'Lpg (2)'!G35</f>
        <v>0</v>
      </c>
      <c r="M30" s="79" t="e">
        <f>SUM(#REF!-#REF!)</f>
        <v>#REF!</v>
      </c>
    </row>
    <row r="31" spans="1:13">
      <c r="A31" s="663">
        <f>Gen!A37</f>
        <v>44282</v>
      </c>
      <c r="B31" s="653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40147.71</v>
      </c>
      <c r="K31" s="295">
        <f>'Water-Meter'!E32</f>
        <v>0</v>
      </c>
      <c r="L31" s="654">
        <f>'Lpg (2)'!G36</f>
        <v>0</v>
      </c>
      <c r="M31" s="79" t="e">
        <f>SUM(#REF!-#REF!)</f>
        <v>#REF!</v>
      </c>
    </row>
    <row r="32" spans="1:13">
      <c r="A32" s="663">
        <f>Gen!A38</f>
        <v>44283</v>
      </c>
      <c r="B32" s="653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40147.71</v>
      </c>
      <c r="K32" s="295">
        <f>'Water-Meter'!E33</f>
        <v>0</v>
      </c>
      <c r="L32" s="654">
        <f>'Lpg (2)'!G37</f>
        <v>0</v>
      </c>
      <c r="M32" s="79" t="e">
        <f>SUM(#REF!-#REF!)</f>
        <v>#REF!</v>
      </c>
    </row>
    <row r="33" spans="1:13">
      <c r="A33" s="663">
        <f>Gen!A39</f>
        <v>44284</v>
      </c>
      <c r="B33" s="653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40147.71</v>
      </c>
      <c r="K33" s="295">
        <f>'Water-Meter'!E34</f>
        <v>0</v>
      </c>
      <c r="L33" s="654">
        <f>'Lpg (2)'!G38</f>
        <v>0</v>
      </c>
      <c r="M33" s="79" t="e">
        <f>SUM(#REF!-#REF!)</f>
        <v>#REF!</v>
      </c>
    </row>
    <row r="34" spans="1:13">
      <c r="A34" s="663">
        <f>Gen!A40</f>
        <v>44285</v>
      </c>
      <c r="B34" s="653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40147.71</v>
      </c>
      <c r="K34" s="295">
        <f>'Water-Meter'!E35</f>
        <v>0</v>
      </c>
      <c r="L34" s="654">
        <f>'Lpg (2)'!G39</f>
        <v>0</v>
      </c>
      <c r="M34" s="79" t="e">
        <f>SUM(#REF!-#REF!)</f>
        <v>#REF!</v>
      </c>
    </row>
    <row r="35" spans="1:13">
      <c r="A35" s="663">
        <f>Gen!A41</f>
        <v>44286</v>
      </c>
      <c r="B35" s="653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40147.71</v>
      </c>
      <c r="K35" s="295">
        <f>'Water-Meter'!E36</f>
        <v>0</v>
      </c>
      <c r="L35" s="654">
        <f>'Lpg (2)'!G40</f>
        <v>0</v>
      </c>
      <c r="M35" s="79" t="e">
        <f>SUM(#REF!-#REF!)</f>
        <v>#REF!</v>
      </c>
    </row>
    <row r="36" spans="1:13" ht="13.5" thickBot="1">
      <c r="A36" s="664">
        <f>Gen!A42</f>
        <v>0</v>
      </c>
      <c r="B36" s="655">
        <f>'Daily report Gen'!Z37</f>
        <v>0</v>
      </c>
      <c r="C36" s="656">
        <f>Gen!B42</f>
        <v>0</v>
      </c>
      <c r="D36" s="657">
        <f t="shared" si="0"/>
        <v>0</v>
      </c>
      <c r="E36" s="658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9">
        <f>Gen!C42</f>
        <v>40147.71</v>
      </c>
      <c r="K36" s="660">
        <f>'Water-Meter'!E37</f>
        <v>0</v>
      </c>
      <c r="L36" s="661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12" sqref="AB1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4">
        <f>A6</f>
        <v>44256</v>
      </c>
      <c r="B1" s="875"/>
      <c r="C1" s="875"/>
      <c r="D1" s="875"/>
      <c r="E1" s="875"/>
      <c r="F1" s="875"/>
      <c r="G1" s="875"/>
      <c r="H1" s="875"/>
      <c r="I1" s="875"/>
      <c r="J1" s="875"/>
      <c r="K1" s="875"/>
      <c r="L1" s="875"/>
      <c r="M1" s="875"/>
      <c r="N1" s="875"/>
      <c r="O1" s="875"/>
      <c r="P1" s="875"/>
      <c r="Q1" s="875"/>
      <c r="R1" s="875"/>
      <c r="S1" s="875"/>
      <c r="T1" s="875"/>
      <c r="U1" s="875"/>
      <c r="V1" s="875"/>
      <c r="W1" s="875"/>
      <c r="X1" s="875"/>
      <c r="Y1" s="875"/>
      <c r="Z1" s="875"/>
      <c r="AA1" s="875"/>
      <c r="AB1" s="875"/>
      <c r="AC1" s="19"/>
    </row>
    <row r="2" spans="1:29" ht="12" customHeight="1" thickBot="1">
      <c r="A2" s="875"/>
      <c r="B2" s="875"/>
      <c r="C2" s="875"/>
      <c r="D2" s="875"/>
      <c r="E2" s="875"/>
      <c r="F2" s="875"/>
      <c r="G2" s="875"/>
      <c r="H2" s="875"/>
      <c r="I2" s="875"/>
      <c r="J2" s="875"/>
      <c r="K2" s="875"/>
      <c r="L2" s="875"/>
      <c r="M2" s="875"/>
      <c r="N2" s="875"/>
      <c r="O2" s="875"/>
      <c r="P2" s="875"/>
      <c r="Q2" s="875"/>
      <c r="R2" s="875"/>
      <c r="S2" s="875"/>
      <c r="T2" s="875"/>
      <c r="U2" s="875"/>
      <c r="V2" s="875"/>
      <c r="W2" s="875"/>
      <c r="X2" s="875"/>
      <c r="Y2" s="875"/>
      <c r="Z2" s="875"/>
      <c r="AA2" s="875"/>
      <c r="AB2" s="875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76" t="s">
        <v>298</v>
      </c>
      <c r="L3" s="877"/>
      <c r="M3" s="878"/>
      <c r="N3" s="876" t="s">
        <v>299</v>
      </c>
      <c r="O3" s="877"/>
      <c r="P3" s="878"/>
      <c r="Q3" s="876" t="s">
        <v>300</v>
      </c>
      <c r="R3" s="877"/>
      <c r="S3" s="878"/>
      <c r="T3" s="876" t="s">
        <v>301</v>
      </c>
      <c r="U3" s="877"/>
      <c r="V3" s="878"/>
      <c r="W3" s="876" t="s">
        <v>302</v>
      </c>
      <c r="X3" s="877"/>
      <c r="Y3" s="878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8" t="s">
        <v>191</v>
      </c>
      <c r="R4" s="339" t="s">
        <v>192</v>
      </c>
      <c r="S4" s="829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1"/>
      <c r="B5" s="674"/>
      <c r="C5" s="793">
        <v>22616.51</v>
      </c>
      <c r="D5" s="675">
        <v>22273</v>
      </c>
      <c r="E5" s="676"/>
      <c r="F5" s="676"/>
      <c r="G5" s="676"/>
      <c r="H5" s="676"/>
      <c r="I5" s="305">
        <v>31701.4</v>
      </c>
      <c r="J5" s="678">
        <v>21113.200000000001</v>
      </c>
      <c r="K5" s="684"/>
      <c r="L5" s="305">
        <v>35899</v>
      </c>
      <c r="M5" s="685"/>
      <c r="N5" s="675"/>
      <c r="O5" s="827">
        <v>30832</v>
      </c>
      <c r="P5" s="686"/>
      <c r="Q5" s="675"/>
      <c r="R5" s="305">
        <v>36102</v>
      </c>
      <c r="S5" s="686"/>
      <c r="T5" s="675"/>
      <c r="U5" s="827">
        <v>33343</v>
      </c>
      <c r="V5" s="686"/>
      <c r="W5" s="675"/>
      <c r="X5" s="675">
        <v>21985</v>
      </c>
      <c r="Y5" s="686"/>
      <c r="Z5" s="686"/>
      <c r="AA5" s="675"/>
      <c r="AB5" s="675"/>
      <c r="AC5" s="687"/>
    </row>
    <row r="6" spans="1:29" ht="20.100000000000001" customHeight="1" thickBot="1">
      <c r="A6" s="682">
        <f>Gen!A11</f>
        <v>44256</v>
      </c>
      <c r="B6" s="677"/>
      <c r="C6" s="793">
        <v>22616.51</v>
      </c>
      <c r="D6" s="675">
        <v>22273</v>
      </c>
      <c r="E6" s="491"/>
      <c r="F6" s="305"/>
      <c r="G6" s="305">
        <v>69.680000000000007</v>
      </c>
      <c r="H6" s="305"/>
      <c r="I6" s="305">
        <v>31701.4</v>
      </c>
      <c r="J6" s="678">
        <v>21113.200000000001</v>
      </c>
      <c r="K6" s="688">
        <f>L5</f>
        <v>35899</v>
      </c>
      <c r="L6" s="305">
        <v>35923</v>
      </c>
      <c r="M6" s="304">
        <f>L6-K6</f>
        <v>24</v>
      </c>
      <c r="N6" s="306">
        <f>O5</f>
        <v>30832</v>
      </c>
      <c r="O6" s="827">
        <v>30832</v>
      </c>
      <c r="P6" s="304">
        <f>O6-N6</f>
        <v>0</v>
      </c>
      <c r="Q6" s="304">
        <f>R5</f>
        <v>36102</v>
      </c>
      <c r="R6" s="305">
        <v>36102</v>
      </c>
      <c r="S6" s="304">
        <f>R6-Q6</f>
        <v>0</v>
      </c>
      <c r="T6" s="304">
        <f>U5</f>
        <v>33343</v>
      </c>
      <c r="U6" s="827">
        <v>33343</v>
      </c>
      <c r="V6" s="304">
        <f>U6-T6</f>
        <v>0</v>
      </c>
      <c r="W6" s="306">
        <f>X5</f>
        <v>21985</v>
      </c>
      <c r="X6" s="675">
        <v>21985</v>
      </c>
      <c r="Y6" s="304">
        <f>X6-W6</f>
        <v>0</v>
      </c>
      <c r="Z6" s="307">
        <f>Y6+V6+S6+P6+M6</f>
        <v>24</v>
      </c>
      <c r="AA6" s="125">
        <v>215</v>
      </c>
      <c r="AB6" s="125">
        <v>120</v>
      </c>
      <c r="AC6" s="689">
        <f>Gen!AR11</f>
        <v>1126.3200000000002</v>
      </c>
    </row>
    <row r="7" spans="1:29" ht="20.100000000000001" customHeight="1" thickBot="1">
      <c r="A7" s="682">
        <f>Gen!A12</f>
        <v>44257</v>
      </c>
      <c r="B7" s="677"/>
      <c r="C7" s="793">
        <v>21490.19</v>
      </c>
      <c r="D7" s="675">
        <v>22273</v>
      </c>
      <c r="E7" s="491"/>
      <c r="F7" s="305"/>
      <c r="G7" s="305">
        <v>172.49</v>
      </c>
      <c r="H7" s="305"/>
      <c r="I7" s="305">
        <v>31705.7</v>
      </c>
      <c r="J7" s="678">
        <v>21116.1</v>
      </c>
      <c r="K7" s="688">
        <f t="shared" ref="K7:K37" si="0">L6</f>
        <v>35923</v>
      </c>
      <c r="L7" s="305">
        <v>35923</v>
      </c>
      <c r="M7" s="304">
        <f t="shared" ref="M7:M37" si="1">L7-K7</f>
        <v>0</v>
      </c>
      <c r="N7" s="306">
        <f t="shared" ref="N7:N37" si="2">O6</f>
        <v>30832</v>
      </c>
      <c r="O7" s="125">
        <v>30857</v>
      </c>
      <c r="P7" s="304">
        <f t="shared" ref="P7:P37" si="3">O7-N7</f>
        <v>25</v>
      </c>
      <c r="Q7" s="304">
        <f t="shared" ref="Q7:Q37" si="4">R6</f>
        <v>36102</v>
      </c>
      <c r="R7" s="305">
        <v>36102</v>
      </c>
      <c r="S7" s="304">
        <f t="shared" ref="S7:S37" si="5">R7-Q7</f>
        <v>0</v>
      </c>
      <c r="T7" s="304">
        <f t="shared" ref="T7:T37" si="6">U6</f>
        <v>33343</v>
      </c>
      <c r="U7" s="827">
        <v>33343</v>
      </c>
      <c r="V7" s="304">
        <f t="shared" ref="V7:V37" si="7">U7-T7</f>
        <v>0</v>
      </c>
      <c r="W7" s="306">
        <f t="shared" ref="W7:W37" si="8">X6</f>
        <v>21985</v>
      </c>
      <c r="X7" s="675">
        <v>21985</v>
      </c>
      <c r="Y7" s="304">
        <f t="shared" ref="Y7:Y37" si="9">X7-W7</f>
        <v>0</v>
      </c>
      <c r="Z7" s="307">
        <f t="shared" ref="Z7:Z25" si="10">Y7+V7+S7+P7+M7</f>
        <v>25</v>
      </c>
      <c r="AA7" s="125">
        <v>210</v>
      </c>
      <c r="AB7" s="125">
        <v>119</v>
      </c>
      <c r="AC7" s="689">
        <f>Gen!AR12</f>
        <v>1320.04</v>
      </c>
    </row>
    <row r="8" spans="1:29" ht="20.100000000000001" customHeight="1" thickBot="1">
      <c r="A8" s="682">
        <f>Gen!A13</f>
        <v>44258</v>
      </c>
      <c r="B8" s="677"/>
      <c r="C8" s="793">
        <v>20170.150000000001</v>
      </c>
      <c r="D8" s="675">
        <v>22273</v>
      </c>
      <c r="E8" s="491"/>
      <c r="F8" s="793"/>
      <c r="G8" s="305">
        <v>50.24</v>
      </c>
      <c r="H8" s="305"/>
      <c r="I8" s="305">
        <v>31710.1</v>
      </c>
      <c r="J8" s="678">
        <v>21119.7</v>
      </c>
      <c r="K8" s="688">
        <f t="shared" si="0"/>
        <v>35923</v>
      </c>
      <c r="L8" s="305">
        <v>35923</v>
      </c>
      <c r="M8" s="304">
        <f t="shared" si="1"/>
        <v>0</v>
      </c>
      <c r="N8" s="306">
        <f t="shared" si="2"/>
        <v>30857</v>
      </c>
      <c r="O8" s="125">
        <v>30857</v>
      </c>
      <c r="P8" s="304">
        <f t="shared" si="3"/>
        <v>0</v>
      </c>
      <c r="Q8" s="304">
        <f t="shared" si="4"/>
        <v>36102</v>
      </c>
      <c r="R8" s="305">
        <v>36102</v>
      </c>
      <c r="S8" s="304">
        <f t="shared" si="5"/>
        <v>0</v>
      </c>
      <c r="T8" s="304">
        <f t="shared" si="6"/>
        <v>33343</v>
      </c>
      <c r="U8" s="125">
        <v>33367</v>
      </c>
      <c r="V8" s="304">
        <f t="shared" si="7"/>
        <v>24</v>
      </c>
      <c r="W8" s="306">
        <f t="shared" si="8"/>
        <v>21985</v>
      </c>
      <c r="X8" s="675">
        <v>21985</v>
      </c>
      <c r="Y8" s="304">
        <f t="shared" si="9"/>
        <v>0</v>
      </c>
      <c r="Z8" s="307">
        <f t="shared" si="10"/>
        <v>24</v>
      </c>
      <c r="AA8" s="125">
        <v>215</v>
      </c>
      <c r="AB8" s="125">
        <v>120</v>
      </c>
      <c r="AC8" s="689">
        <f>Gen!AR13</f>
        <v>1068.8</v>
      </c>
    </row>
    <row r="9" spans="1:29" ht="20.100000000000001" customHeight="1" thickBot="1">
      <c r="A9" s="682">
        <f>Gen!A14</f>
        <v>44259</v>
      </c>
      <c r="B9" s="677"/>
      <c r="C9" s="793">
        <v>19101.349999999999</v>
      </c>
      <c r="D9" s="675">
        <v>22273</v>
      </c>
      <c r="E9" s="491"/>
      <c r="F9" s="794"/>
      <c r="G9" s="305">
        <v>80.03</v>
      </c>
      <c r="H9" s="305"/>
      <c r="I9" s="305">
        <v>31714.400000000001</v>
      </c>
      <c r="J9" s="678">
        <v>21122.6</v>
      </c>
      <c r="K9" s="688">
        <f t="shared" si="0"/>
        <v>35923</v>
      </c>
      <c r="L9" s="305">
        <v>35923</v>
      </c>
      <c r="M9" s="304">
        <f t="shared" si="1"/>
        <v>0</v>
      </c>
      <c r="N9" s="306">
        <f t="shared" si="2"/>
        <v>30857</v>
      </c>
      <c r="O9" s="125">
        <v>30857</v>
      </c>
      <c r="P9" s="304">
        <f t="shared" si="3"/>
        <v>0</v>
      </c>
      <c r="Q9" s="304">
        <f t="shared" si="4"/>
        <v>36102</v>
      </c>
      <c r="R9" s="305">
        <v>36102</v>
      </c>
      <c r="S9" s="304">
        <f t="shared" si="5"/>
        <v>0</v>
      </c>
      <c r="T9" s="304">
        <f t="shared" si="6"/>
        <v>33367</v>
      </c>
      <c r="U9" s="125">
        <v>33367</v>
      </c>
      <c r="V9" s="304">
        <f t="shared" si="7"/>
        <v>0</v>
      </c>
      <c r="W9" s="306">
        <f t="shared" si="8"/>
        <v>21985</v>
      </c>
      <c r="X9" s="305">
        <v>22009</v>
      </c>
      <c r="Y9" s="304">
        <f t="shared" si="9"/>
        <v>24</v>
      </c>
      <c r="Z9" s="307">
        <f t="shared" si="10"/>
        <v>24</v>
      </c>
      <c r="AA9" s="125">
        <v>230</v>
      </c>
      <c r="AB9" s="125">
        <v>130</v>
      </c>
      <c r="AC9" s="689">
        <f>Gen!AR14</f>
        <v>1226.6399999999999</v>
      </c>
    </row>
    <row r="10" spans="1:29" ht="20.100000000000001" customHeight="1">
      <c r="A10" s="682">
        <f>Gen!A15</f>
        <v>44260</v>
      </c>
      <c r="B10" s="677"/>
      <c r="C10" s="793">
        <v>17874.71</v>
      </c>
      <c r="D10" s="675">
        <v>22273</v>
      </c>
      <c r="E10" s="491"/>
      <c r="F10" s="305"/>
      <c r="G10" s="305"/>
      <c r="H10" s="305"/>
      <c r="I10" s="305">
        <v>31719.1</v>
      </c>
      <c r="J10" s="678">
        <v>21126.1</v>
      </c>
      <c r="K10" s="688">
        <f t="shared" si="0"/>
        <v>35923</v>
      </c>
      <c r="L10" s="305"/>
      <c r="M10" s="304">
        <f t="shared" si="1"/>
        <v>-35923</v>
      </c>
      <c r="N10" s="306">
        <f t="shared" si="2"/>
        <v>30857</v>
      </c>
      <c r="O10" s="125"/>
      <c r="P10" s="304">
        <f t="shared" si="3"/>
        <v>-30857</v>
      </c>
      <c r="Q10" s="304">
        <f t="shared" si="4"/>
        <v>36102</v>
      </c>
      <c r="R10" s="125"/>
      <c r="S10" s="304">
        <f t="shared" si="5"/>
        <v>-36102</v>
      </c>
      <c r="T10" s="304">
        <f t="shared" si="6"/>
        <v>33367</v>
      </c>
      <c r="U10" s="125"/>
      <c r="V10" s="304">
        <f t="shared" si="7"/>
        <v>-33367</v>
      </c>
      <c r="W10" s="306">
        <f t="shared" si="8"/>
        <v>22009</v>
      </c>
      <c r="X10" s="305"/>
      <c r="Y10" s="304">
        <f t="shared" si="9"/>
        <v>-22009</v>
      </c>
      <c r="Z10" s="307">
        <f t="shared" si="10"/>
        <v>-158258</v>
      </c>
      <c r="AA10" s="125"/>
      <c r="AB10" s="125"/>
      <c r="AC10" s="689">
        <f>Gen!AR15</f>
        <v>0</v>
      </c>
    </row>
    <row r="11" spans="1:29" ht="20.100000000000001" customHeight="1">
      <c r="A11" s="682">
        <f>Gen!A16</f>
        <v>44261</v>
      </c>
      <c r="B11" s="677"/>
      <c r="C11" s="793"/>
      <c r="D11" s="794"/>
      <c r="E11" s="491"/>
      <c r="F11" s="305"/>
      <c r="G11" s="305"/>
      <c r="H11" s="305"/>
      <c r="I11" s="305"/>
      <c r="J11" s="678"/>
      <c r="K11" s="688">
        <f t="shared" si="0"/>
        <v>0</v>
      </c>
      <c r="L11" s="305"/>
      <c r="M11" s="304">
        <f t="shared" si="1"/>
        <v>0</v>
      </c>
      <c r="N11" s="306">
        <f t="shared" si="2"/>
        <v>0</v>
      </c>
      <c r="O11" s="125"/>
      <c r="P11" s="304">
        <f t="shared" si="3"/>
        <v>0</v>
      </c>
      <c r="Q11" s="304">
        <f t="shared" si="4"/>
        <v>0</v>
      </c>
      <c r="R11" s="125"/>
      <c r="S11" s="304">
        <f t="shared" si="5"/>
        <v>0</v>
      </c>
      <c r="T11" s="304">
        <f t="shared" si="6"/>
        <v>0</v>
      </c>
      <c r="U11" s="125"/>
      <c r="V11" s="304">
        <f t="shared" si="7"/>
        <v>0</v>
      </c>
      <c r="W11" s="306">
        <f t="shared" si="8"/>
        <v>0</v>
      </c>
      <c r="X11" s="305"/>
      <c r="Y11" s="304">
        <f t="shared" si="9"/>
        <v>0</v>
      </c>
      <c r="Z11" s="307">
        <f t="shared" si="10"/>
        <v>0</v>
      </c>
      <c r="AA11" s="125"/>
      <c r="AB11" s="125"/>
      <c r="AC11" s="689">
        <f>Gen!AR16</f>
        <v>0</v>
      </c>
    </row>
    <row r="12" spans="1:29" ht="20.100000000000001" customHeight="1">
      <c r="A12" s="682">
        <f>Gen!A17</f>
        <v>44262</v>
      </c>
      <c r="B12" s="677"/>
      <c r="C12" s="793"/>
      <c r="D12" s="794"/>
      <c r="E12" s="491"/>
      <c r="F12" s="305"/>
      <c r="G12" s="305"/>
      <c r="H12" s="305"/>
      <c r="I12" s="305"/>
      <c r="J12" s="678"/>
      <c r="K12" s="688">
        <f t="shared" si="0"/>
        <v>0</v>
      </c>
      <c r="L12" s="305"/>
      <c r="M12" s="304">
        <f t="shared" si="1"/>
        <v>0</v>
      </c>
      <c r="N12" s="306">
        <f t="shared" si="2"/>
        <v>0</v>
      </c>
      <c r="O12" s="125"/>
      <c r="P12" s="304">
        <f t="shared" si="3"/>
        <v>0</v>
      </c>
      <c r="Q12" s="304">
        <f t="shared" si="4"/>
        <v>0</v>
      </c>
      <c r="R12" s="125"/>
      <c r="S12" s="304">
        <f t="shared" si="5"/>
        <v>0</v>
      </c>
      <c r="T12" s="304">
        <f t="shared" si="6"/>
        <v>0</v>
      </c>
      <c r="U12" s="305"/>
      <c r="V12" s="304">
        <f t="shared" si="7"/>
        <v>0</v>
      </c>
      <c r="W12" s="306">
        <f t="shared" si="8"/>
        <v>0</v>
      </c>
      <c r="X12" s="305"/>
      <c r="Y12" s="304">
        <f t="shared" si="9"/>
        <v>0</v>
      </c>
      <c r="Z12" s="307">
        <f t="shared" si="10"/>
        <v>0</v>
      </c>
      <c r="AA12" s="125"/>
      <c r="AB12" s="125"/>
      <c r="AC12" s="689">
        <f>Gen!AR17</f>
        <v>0</v>
      </c>
    </row>
    <row r="13" spans="1:29" ht="20.100000000000001" customHeight="1">
      <c r="A13" s="682">
        <f>Gen!A18</f>
        <v>44263</v>
      </c>
      <c r="B13" s="677"/>
      <c r="C13" s="793"/>
      <c r="D13" s="794"/>
      <c r="E13" s="491"/>
      <c r="F13" s="305"/>
      <c r="G13" s="305"/>
      <c r="H13" s="305"/>
      <c r="I13" s="305"/>
      <c r="J13" s="678"/>
      <c r="K13" s="688">
        <f t="shared" si="0"/>
        <v>0</v>
      </c>
      <c r="L13" s="305"/>
      <c r="M13" s="304">
        <f t="shared" si="1"/>
        <v>0</v>
      </c>
      <c r="N13" s="306">
        <f t="shared" si="2"/>
        <v>0</v>
      </c>
      <c r="O13" s="834"/>
      <c r="P13" s="304">
        <f>O14-N13</f>
        <v>0</v>
      </c>
      <c r="Q13" s="304">
        <f t="shared" si="4"/>
        <v>0</v>
      </c>
      <c r="R13" s="125"/>
      <c r="S13" s="304">
        <f t="shared" si="5"/>
        <v>0</v>
      </c>
      <c r="T13" s="304">
        <f t="shared" si="6"/>
        <v>0</v>
      </c>
      <c r="U13" s="305"/>
      <c r="V13" s="304">
        <f t="shared" si="7"/>
        <v>0</v>
      </c>
      <c r="W13" s="306">
        <f t="shared" si="8"/>
        <v>0</v>
      </c>
      <c r="X13" s="305"/>
      <c r="Y13" s="304">
        <f t="shared" si="9"/>
        <v>0</v>
      </c>
      <c r="Z13" s="307">
        <f t="shared" si="10"/>
        <v>0</v>
      </c>
      <c r="AA13" s="125"/>
      <c r="AB13" s="125"/>
      <c r="AC13" s="689">
        <f>Gen!AR18</f>
        <v>0</v>
      </c>
    </row>
    <row r="14" spans="1:29" ht="20.100000000000001" customHeight="1">
      <c r="A14" s="682">
        <f>Gen!A19</f>
        <v>44264</v>
      </c>
      <c r="B14" s="677"/>
      <c r="C14" s="793"/>
      <c r="D14" s="794"/>
      <c r="E14" s="491"/>
      <c r="F14" s="305"/>
      <c r="G14" s="305"/>
      <c r="H14" s="305"/>
      <c r="I14" s="305"/>
      <c r="J14" s="678"/>
      <c r="K14" s="688">
        <f t="shared" si="0"/>
        <v>0</v>
      </c>
      <c r="L14" s="305"/>
      <c r="M14" s="304">
        <f t="shared" si="1"/>
        <v>0</v>
      </c>
      <c r="N14" s="306">
        <f>O14</f>
        <v>0</v>
      </c>
      <c r="O14" s="125"/>
      <c r="P14" s="304" t="e">
        <f>#REF!-N14</f>
        <v>#REF!</v>
      </c>
      <c r="Q14" s="304">
        <f t="shared" si="4"/>
        <v>0</v>
      </c>
      <c r="R14" s="125"/>
      <c r="S14" s="304">
        <f t="shared" si="5"/>
        <v>0</v>
      </c>
      <c r="T14" s="304">
        <f t="shared" si="6"/>
        <v>0</v>
      </c>
      <c r="U14" s="305"/>
      <c r="V14" s="304">
        <f t="shared" si="7"/>
        <v>0</v>
      </c>
      <c r="W14" s="306">
        <f t="shared" si="8"/>
        <v>0</v>
      </c>
      <c r="X14" s="305"/>
      <c r="Y14" s="304">
        <f t="shared" si="9"/>
        <v>0</v>
      </c>
      <c r="Z14" s="307" t="e">
        <f t="shared" si="10"/>
        <v>#REF!</v>
      </c>
      <c r="AA14" s="125"/>
      <c r="AB14" s="125"/>
      <c r="AC14" s="689">
        <f>Gen!AR19</f>
        <v>0</v>
      </c>
    </row>
    <row r="15" spans="1:29" ht="20.100000000000001" customHeight="1">
      <c r="A15" s="682">
        <f>Gen!A20</f>
        <v>44265</v>
      </c>
      <c r="B15" s="677"/>
      <c r="C15" s="793"/>
      <c r="D15" s="794"/>
      <c r="E15" s="491"/>
      <c r="F15" s="305"/>
      <c r="G15" s="305"/>
      <c r="H15" s="305"/>
      <c r="I15" s="305"/>
      <c r="J15" s="678"/>
      <c r="K15" s="688">
        <f t="shared" si="0"/>
        <v>0</v>
      </c>
      <c r="L15" s="305"/>
      <c r="M15" s="304">
        <f t="shared" si="1"/>
        <v>0</v>
      </c>
      <c r="N15" s="306" t="e">
        <f>#REF!</f>
        <v>#REF!</v>
      </c>
      <c r="O15" s="125"/>
      <c r="P15" s="304" t="e">
        <f t="shared" si="3"/>
        <v>#REF!</v>
      </c>
      <c r="Q15" s="304">
        <f t="shared" si="4"/>
        <v>0</v>
      </c>
      <c r="R15" s="125"/>
      <c r="S15" s="304">
        <f t="shared" si="5"/>
        <v>0</v>
      </c>
      <c r="T15" s="304">
        <f t="shared" si="6"/>
        <v>0</v>
      </c>
      <c r="U15" s="305"/>
      <c r="V15" s="304">
        <f t="shared" si="7"/>
        <v>0</v>
      </c>
      <c r="W15" s="306">
        <f t="shared" si="8"/>
        <v>0</v>
      </c>
      <c r="X15" s="305"/>
      <c r="Y15" s="304">
        <f t="shared" si="9"/>
        <v>0</v>
      </c>
      <c r="Z15" s="307" t="e">
        <f t="shared" si="10"/>
        <v>#REF!</v>
      </c>
      <c r="AA15" s="125"/>
      <c r="AB15" s="125"/>
      <c r="AC15" s="689">
        <f>Gen!AR20</f>
        <v>0</v>
      </c>
    </row>
    <row r="16" spans="1:29" ht="20.100000000000001" customHeight="1">
      <c r="A16" s="682">
        <f>Gen!A21</f>
        <v>44266</v>
      </c>
      <c r="B16" s="677"/>
      <c r="C16" s="793"/>
      <c r="D16" s="794"/>
      <c r="E16" s="491"/>
      <c r="F16" s="305"/>
      <c r="G16" s="305"/>
      <c r="H16" s="305"/>
      <c r="I16" s="305"/>
      <c r="J16" s="678"/>
      <c r="K16" s="688">
        <f t="shared" si="0"/>
        <v>0</v>
      </c>
      <c r="L16" s="305"/>
      <c r="M16" s="304">
        <f>L16-K16</f>
        <v>0</v>
      </c>
      <c r="N16" s="306">
        <f t="shared" si="2"/>
        <v>0</v>
      </c>
      <c r="O16" s="125"/>
      <c r="P16" s="304">
        <f t="shared" si="3"/>
        <v>0</v>
      </c>
      <c r="Q16" s="304">
        <f t="shared" si="4"/>
        <v>0</v>
      </c>
      <c r="R16" s="125"/>
      <c r="S16" s="304">
        <f t="shared" si="5"/>
        <v>0</v>
      </c>
      <c r="T16" s="304">
        <f t="shared" si="6"/>
        <v>0</v>
      </c>
      <c r="U16" s="305"/>
      <c r="V16" s="304">
        <f t="shared" si="7"/>
        <v>0</v>
      </c>
      <c r="W16" s="306">
        <f t="shared" si="8"/>
        <v>0</v>
      </c>
      <c r="X16" s="305"/>
      <c r="Y16" s="304">
        <f t="shared" si="9"/>
        <v>0</v>
      </c>
      <c r="Z16" s="307">
        <f t="shared" si="10"/>
        <v>0</v>
      </c>
      <c r="AA16" s="125"/>
      <c r="AB16" s="125"/>
      <c r="AC16" s="689">
        <f>Gen!AR21</f>
        <v>0</v>
      </c>
    </row>
    <row r="17" spans="1:29" ht="20.100000000000001" customHeight="1">
      <c r="A17" s="682">
        <f>Gen!A22</f>
        <v>44267</v>
      </c>
      <c r="B17" s="677"/>
      <c r="C17" s="793"/>
      <c r="D17" s="794"/>
      <c r="E17" s="491"/>
      <c r="F17" s="305"/>
      <c r="G17" s="305"/>
      <c r="H17" s="305"/>
      <c r="I17" s="305"/>
      <c r="J17" s="678"/>
      <c r="K17" s="688">
        <f>L16</f>
        <v>0</v>
      </c>
      <c r="L17" s="305"/>
      <c r="M17" s="304">
        <f>L17-K17</f>
        <v>0</v>
      </c>
      <c r="N17" s="306">
        <f t="shared" si="2"/>
        <v>0</v>
      </c>
      <c r="O17" s="125"/>
      <c r="P17" s="304">
        <f t="shared" si="3"/>
        <v>0</v>
      </c>
      <c r="Q17" s="304">
        <f t="shared" si="4"/>
        <v>0</v>
      </c>
      <c r="R17" s="125"/>
      <c r="S17" s="304">
        <f t="shared" si="5"/>
        <v>0</v>
      </c>
      <c r="T17" s="304">
        <f t="shared" si="6"/>
        <v>0</v>
      </c>
      <c r="U17" s="305"/>
      <c r="V17" s="304">
        <f t="shared" si="7"/>
        <v>0</v>
      </c>
      <c r="W17" s="306">
        <f t="shared" si="8"/>
        <v>0</v>
      </c>
      <c r="X17" s="305"/>
      <c r="Y17" s="304">
        <f t="shared" si="9"/>
        <v>0</v>
      </c>
      <c r="Z17" s="307">
        <f t="shared" si="10"/>
        <v>0</v>
      </c>
      <c r="AA17" s="125"/>
      <c r="AB17" s="125"/>
      <c r="AC17" s="689">
        <f>Gen!AR22</f>
        <v>0</v>
      </c>
    </row>
    <row r="18" spans="1:29" ht="20.100000000000001" customHeight="1">
      <c r="A18" s="682">
        <f>Gen!A23</f>
        <v>44268</v>
      </c>
      <c r="B18" s="677"/>
      <c r="C18" s="793"/>
      <c r="D18" s="794"/>
      <c r="E18" s="305"/>
      <c r="F18" s="305"/>
      <c r="G18" s="305"/>
      <c r="H18" s="305"/>
      <c r="I18" s="305"/>
      <c r="J18" s="678"/>
      <c r="K18" s="688">
        <f>L17</f>
        <v>0</v>
      </c>
      <c r="L18" s="305"/>
      <c r="M18" s="304">
        <f t="shared" si="1"/>
        <v>0</v>
      </c>
      <c r="N18" s="306">
        <f t="shared" si="2"/>
        <v>0</v>
      </c>
      <c r="O18" s="125"/>
      <c r="P18" s="304">
        <f t="shared" si="3"/>
        <v>0</v>
      </c>
      <c r="Q18" s="304">
        <f t="shared" si="4"/>
        <v>0</v>
      </c>
      <c r="R18" s="125"/>
      <c r="S18" s="304">
        <f t="shared" si="5"/>
        <v>0</v>
      </c>
      <c r="T18" s="304">
        <f t="shared" si="6"/>
        <v>0</v>
      </c>
      <c r="U18" s="305"/>
      <c r="V18" s="304">
        <f t="shared" si="7"/>
        <v>0</v>
      </c>
      <c r="W18" s="306">
        <f t="shared" si="8"/>
        <v>0</v>
      </c>
      <c r="X18" s="305"/>
      <c r="Y18" s="304">
        <f t="shared" si="9"/>
        <v>0</v>
      </c>
      <c r="Z18" s="307">
        <f t="shared" si="10"/>
        <v>0</v>
      </c>
      <c r="AA18" s="125"/>
      <c r="AB18" s="125"/>
      <c r="AC18" s="689">
        <f>Gen!AR23</f>
        <v>0</v>
      </c>
    </row>
    <row r="19" spans="1:29" ht="20.100000000000001" customHeight="1">
      <c r="A19" s="682">
        <f>Gen!A24</f>
        <v>44269</v>
      </c>
      <c r="B19" s="677"/>
      <c r="C19" s="793"/>
      <c r="D19" s="794"/>
      <c r="E19" s="305"/>
      <c r="F19" s="305"/>
      <c r="G19" s="305"/>
      <c r="H19" s="305"/>
      <c r="I19" s="305"/>
      <c r="J19" s="678"/>
      <c r="K19" s="688">
        <f t="shared" si="0"/>
        <v>0</v>
      </c>
      <c r="L19" s="305"/>
      <c r="M19" s="304">
        <f t="shared" si="1"/>
        <v>0</v>
      </c>
      <c r="N19" s="306">
        <f t="shared" si="2"/>
        <v>0</v>
      </c>
      <c r="O19" s="125"/>
      <c r="P19" s="304">
        <f t="shared" si="3"/>
        <v>0</v>
      </c>
      <c r="Q19" s="304">
        <f t="shared" si="4"/>
        <v>0</v>
      </c>
      <c r="R19" s="125"/>
      <c r="S19" s="304">
        <f t="shared" si="5"/>
        <v>0</v>
      </c>
      <c r="T19" s="304">
        <f t="shared" si="6"/>
        <v>0</v>
      </c>
      <c r="U19" s="305"/>
      <c r="V19" s="304">
        <f t="shared" si="7"/>
        <v>0</v>
      </c>
      <c r="W19" s="306">
        <f t="shared" si="8"/>
        <v>0</v>
      </c>
      <c r="X19" s="305"/>
      <c r="Y19" s="304">
        <f t="shared" si="9"/>
        <v>0</v>
      </c>
      <c r="Z19" s="307">
        <f t="shared" si="10"/>
        <v>0</v>
      </c>
      <c r="AA19" s="125"/>
      <c r="AB19" s="125"/>
      <c r="AC19" s="689">
        <f>Gen!AR24</f>
        <v>0</v>
      </c>
    </row>
    <row r="20" spans="1:29" ht="20.100000000000001" customHeight="1">
      <c r="A20" s="682">
        <f>Gen!A25</f>
        <v>44270</v>
      </c>
      <c r="B20" s="677"/>
      <c r="C20" s="793"/>
      <c r="D20" s="794"/>
      <c r="E20" s="305"/>
      <c r="F20" s="305"/>
      <c r="G20" s="305"/>
      <c r="H20" s="305"/>
      <c r="I20" s="305"/>
      <c r="J20" s="678"/>
      <c r="K20" s="688">
        <f t="shared" si="0"/>
        <v>0</v>
      </c>
      <c r="L20" s="305"/>
      <c r="M20" s="304">
        <f t="shared" si="1"/>
        <v>0</v>
      </c>
      <c r="N20" s="306">
        <f t="shared" si="2"/>
        <v>0</v>
      </c>
      <c r="O20" s="12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305"/>
      <c r="Y20" s="304">
        <f t="shared" si="9"/>
        <v>0</v>
      </c>
      <c r="Z20" s="307">
        <f t="shared" si="10"/>
        <v>0</v>
      </c>
      <c r="AA20" s="125"/>
      <c r="AB20" s="125"/>
      <c r="AC20" s="689">
        <f>Gen!AR25</f>
        <v>0</v>
      </c>
    </row>
    <row r="21" spans="1:29" ht="20.100000000000001" customHeight="1">
      <c r="A21" s="682">
        <f>Gen!A26</f>
        <v>44271</v>
      </c>
      <c r="B21" s="677"/>
      <c r="C21" s="793"/>
      <c r="D21" s="794"/>
      <c r="E21" s="305"/>
      <c r="F21" s="305"/>
      <c r="G21" s="305"/>
      <c r="H21" s="305"/>
      <c r="I21" s="305"/>
      <c r="J21" s="678"/>
      <c r="K21" s="688">
        <f t="shared" si="0"/>
        <v>0</v>
      </c>
      <c r="L21" s="305"/>
      <c r="M21" s="304">
        <f t="shared" si="1"/>
        <v>0</v>
      </c>
      <c r="N21" s="306">
        <f t="shared" si="2"/>
        <v>0</v>
      </c>
      <c r="O21" s="12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89">
        <f>Gen!AR26</f>
        <v>0</v>
      </c>
    </row>
    <row r="22" spans="1:29" ht="18.75" customHeight="1">
      <c r="A22" s="682">
        <f>Gen!A27</f>
        <v>44272</v>
      </c>
      <c r="B22" s="677"/>
      <c r="C22" s="793"/>
      <c r="D22" s="794"/>
      <c r="E22" s="305"/>
      <c r="F22" s="305"/>
      <c r="G22" s="305"/>
      <c r="H22" s="305"/>
      <c r="I22" s="305"/>
      <c r="J22" s="678"/>
      <c r="K22" s="688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9">
        <f>Gen!AR27</f>
        <v>0</v>
      </c>
    </row>
    <row r="23" spans="1:29" ht="20.100000000000001" customHeight="1">
      <c r="A23" s="682">
        <f>Gen!A28</f>
        <v>44273</v>
      </c>
      <c r="B23" s="677"/>
      <c r="C23" s="793"/>
      <c r="D23" s="794"/>
      <c r="E23" s="491"/>
      <c r="F23" s="305"/>
      <c r="G23" s="305"/>
      <c r="H23" s="305"/>
      <c r="I23" s="305"/>
      <c r="J23" s="678"/>
      <c r="K23" s="688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9">
        <f>Gen!AR28</f>
        <v>0</v>
      </c>
    </row>
    <row r="24" spans="1:29" ht="20.100000000000001" customHeight="1">
      <c r="A24" s="682">
        <f>Gen!A29</f>
        <v>44274</v>
      </c>
      <c r="B24" s="677"/>
      <c r="C24" s="793"/>
      <c r="D24" s="794"/>
      <c r="E24" s="305"/>
      <c r="F24" s="305"/>
      <c r="G24" s="305"/>
      <c r="H24" s="305"/>
      <c r="I24" s="305"/>
      <c r="J24" s="678"/>
      <c r="K24" s="688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9">
        <f>Gen!AR29</f>
        <v>0</v>
      </c>
    </row>
    <row r="25" spans="1:29" ht="18.75" customHeight="1">
      <c r="A25" s="682">
        <f>Gen!A30</f>
        <v>44275</v>
      </c>
      <c r="B25" s="677"/>
      <c r="C25" s="793"/>
      <c r="D25" s="794"/>
      <c r="E25" s="305"/>
      <c r="F25" s="305"/>
      <c r="G25" s="305"/>
      <c r="H25" s="305"/>
      <c r="I25" s="305"/>
      <c r="J25" s="678"/>
      <c r="K25" s="688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9">
        <f>Gen!AR30</f>
        <v>0</v>
      </c>
    </row>
    <row r="26" spans="1:29" ht="20.100000000000001" customHeight="1">
      <c r="A26" s="682">
        <f>Gen!A31</f>
        <v>44276</v>
      </c>
      <c r="B26" s="677"/>
      <c r="C26" s="793"/>
      <c r="D26" s="794"/>
      <c r="E26" s="305"/>
      <c r="F26" s="305"/>
      <c r="G26" s="305"/>
      <c r="H26" s="305"/>
      <c r="I26" s="305"/>
      <c r="J26" s="678"/>
      <c r="K26" s="688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1">Y26+V26+S26+P26+M26</f>
        <v>0</v>
      </c>
      <c r="AA26" s="125"/>
      <c r="AB26" s="125"/>
      <c r="AC26" s="689">
        <f>Gen!AR31</f>
        <v>0</v>
      </c>
    </row>
    <row r="27" spans="1:29" ht="20.100000000000001" customHeight="1">
      <c r="A27" s="682">
        <f>Gen!A32</f>
        <v>44277</v>
      </c>
      <c r="B27" s="677"/>
      <c r="C27" s="793"/>
      <c r="D27" s="794"/>
      <c r="E27" s="305"/>
      <c r="F27" s="305"/>
      <c r="G27" s="305"/>
      <c r="H27" s="305"/>
      <c r="I27" s="305"/>
      <c r="J27" s="678"/>
      <c r="K27" s="688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1"/>
        <v>0</v>
      </c>
      <c r="AA27" s="125"/>
      <c r="AB27" s="125"/>
      <c r="AC27" s="689">
        <f>Gen!AR32</f>
        <v>0</v>
      </c>
    </row>
    <row r="28" spans="1:29" ht="20.100000000000001" customHeight="1">
      <c r="A28" s="682">
        <f>Gen!A33</f>
        <v>44278</v>
      </c>
      <c r="B28" s="677"/>
      <c r="C28" s="793"/>
      <c r="D28" s="794"/>
      <c r="E28" s="305"/>
      <c r="F28" s="305"/>
      <c r="G28" s="305"/>
      <c r="H28" s="305"/>
      <c r="I28" s="305"/>
      <c r="J28" s="678"/>
      <c r="K28" s="68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1"/>
        <v>0</v>
      </c>
      <c r="AA28" s="125"/>
      <c r="AB28" s="125"/>
      <c r="AC28" s="689">
        <f>Gen!AR33</f>
        <v>0</v>
      </c>
    </row>
    <row r="29" spans="1:29" ht="20.100000000000001" customHeight="1">
      <c r="A29" s="682">
        <f>Gen!A34</f>
        <v>44279</v>
      </c>
      <c r="B29" s="677"/>
      <c r="C29" s="793"/>
      <c r="D29" s="794"/>
      <c r="E29" s="305"/>
      <c r="F29" s="305"/>
      <c r="G29" s="305"/>
      <c r="H29" s="305"/>
      <c r="I29" s="305"/>
      <c r="J29" s="678"/>
      <c r="K29" s="688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1"/>
        <v>0</v>
      </c>
      <c r="AA29" s="125"/>
      <c r="AB29" s="125"/>
      <c r="AC29" s="689">
        <f>Gen!AR34</f>
        <v>0</v>
      </c>
    </row>
    <row r="30" spans="1:29" ht="20.100000000000001" customHeight="1">
      <c r="A30" s="682">
        <f>Gen!A35</f>
        <v>44280</v>
      </c>
      <c r="B30" s="677"/>
      <c r="C30" s="793"/>
      <c r="D30" s="794"/>
      <c r="E30" s="305"/>
      <c r="F30" s="305"/>
      <c r="G30" s="305"/>
      <c r="H30" s="305"/>
      <c r="I30" s="305"/>
      <c r="J30" s="678"/>
      <c r="K30" s="688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89">
        <f>Gen!AR35</f>
        <v>0</v>
      </c>
    </row>
    <row r="31" spans="1:29" ht="20.100000000000001" customHeight="1">
      <c r="A31" s="682">
        <f>Gen!A36</f>
        <v>44281</v>
      </c>
      <c r="B31" s="677"/>
      <c r="C31" s="793"/>
      <c r="D31" s="794"/>
      <c r="E31" s="305"/>
      <c r="F31" s="305"/>
      <c r="G31" s="305"/>
      <c r="H31" s="305"/>
      <c r="I31" s="305"/>
      <c r="J31" s="678"/>
      <c r="K31" s="688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89">
        <f>Gen!AR36</f>
        <v>0</v>
      </c>
    </row>
    <row r="32" spans="1:29" ht="20.100000000000001" customHeight="1">
      <c r="A32" s="682">
        <f>Gen!A37</f>
        <v>44282</v>
      </c>
      <c r="B32" s="677"/>
      <c r="C32" s="793"/>
      <c r="D32" s="794"/>
      <c r="E32" s="305"/>
      <c r="F32" s="305"/>
      <c r="G32" s="305"/>
      <c r="H32" s="305"/>
      <c r="I32" s="305"/>
      <c r="J32" s="678"/>
      <c r="K32" s="688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89">
        <f>Gen!AR37</f>
        <v>0</v>
      </c>
    </row>
    <row r="33" spans="1:29" ht="20.100000000000001" customHeight="1">
      <c r="A33" s="682">
        <f>Gen!A38</f>
        <v>44283</v>
      </c>
      <c r="B33" s="677"/>
      <c r="C33" s="793"/>
      <c r="D33" s="794"/>
      <c r="E33" s="305"/>
      <c r="F33" s="305"/>
      <c r="G33" s="305"/>
      <c r="H33" s="305"/>
      <c r="I33" s="305"/>
      <c r="J33" s="678"/>
      <c r="K33" s="688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89">
        <f>Gen!AR38</f>
        <v>0</v>
      </c>
    </row>
    <row r="34" spans="1:29" ht="20.100000000000001" customHeight="1">
      <c r="A34" s="682">
        <f>Gen!A39</f>
        <v>44284</v>
      </c>
      <c r="B34" s="677"/>
      <c r="C34" s="793"/>
      <c r="D34" s="794"/>
      <c r="E34" s="305"/>
      <c r="F34" s="305"/>
      <c r="G34" s="305"/>
      <c r="H34" s="305"/>
      <c r="I34" s="305"/>
      <c r="J34" s="678"/>
      <c r="K34" s="688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1"/>
        <v>#REF!</v>
      </c>
      <c r="AA34" s="125"/>
      <c r="AB34" s="125"/>
      <c r="AC34" s="689">
        <f>Gen!AR39</f>
        <v>0</v>
      </c>
    </row>
    <row r="35" spans="1:29" ht="20.100000000000001" customHeight="1">
      <c r="A35" s="682">
        <f>Gen!A40</f>
        <v>44285</v>
      </c>
      <c r="B35" s="677"/>
      <c r="C35" s="793"/>
      <c r="D35" s="794"/>
      <c r="E35" s="305"/>
      <c r="F35" s="305"/>
      <c r="G35" s="305"/>
      <c r="H35" s="305"/>
      <c r="I35" s="305"/>
      <c r="J35" s="678"/>
      <c r="K35" s="688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1"/>
        <v>#REF!</v>
      </c>
      <c r="AA35" s="125"/>
      <c r="AB35" s="125"/>
      <c r="AC35" s="689">
        <f>Gen!AR40</f>
        <v>0</v>
      </c>
    </row>
    <row r="36" spans="1:29" ht="20.100000000000001" customHeight="1" thickBot="1">
      <c r="A36" s="683">
        <f>Gen!A41</f>
        <v>44286</v>
      </c>
      <c r="B36" s="677"/>
      <c r="C36" s="793"/>
      <c r="D36" s="794"/>
      <c r="E36" s="305"/>
      <c r="F36" s="305"/>
      <c r="G36" s="305"/>
      <c r="H36" s="305"/>
      <c r="I36" s="305"/>
      <c r="J36" s="678"/>
      <c r="K36" s="688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89">
        <f>Gen!AR41</f>
        <v>0</v>
      </c>
    </row>
    <row r="37" spans="1:29" ht="21" customHeight="1" thickBot="1">
      <c r="A37" s="683">
        <f>Gen!A42</f>
        <v>0</v>
      </c>
      <c r="B37" s="677">
        <f>Gen!B42</f>
        <v>0</v>
      </c>
      <c r="C37" s="679"/>
      <c r="D37" s="679"/>
      <c r="E37" s="679"/>
      <c r="F37" s="679"/>
      <c r="G37" s="679"/>
      <c r="H37" s="679"/>
      <c r="I37" s="679"/>
      <c r="J37" s="680"/>
      <c r="K37" s="690">
        <f t="shared" si="0"/>
        <v>0</v>
      </c>
      <c r="L37" s="679"/>
      <c r="M37" s="691">
        <f t="shared" si="1"/>
        <v>0</v>
      </c>
      <c r="N37" s="692">
        <f t="shared" si="2"/>
        <v>0</v>
      </c>
      <c r="O37" s="679"/>
      <c r="P37" s="691">
        <f t="shared" si="3"/>
        <v>0</v>
      </c>
      <c r="Q37" s="691">
        <f t="shared" si="4"/>
        <v>0</v>
      </c>
      <c r="R37" s="679"/>
      <c r="S37" s="691">
        <f t="shared" si="5"/>
        <v>0</v>
      </c>
      <c r="T37" s="691">
        <f t="shared" si="6"/>
        <v>0</v>
      </c>
      <c r="U37" s="679"/>
      <c r="V37" s="691">
        <f t="shared" si="7"/>
        <v>0</v>
      </c>
      <c r="W37" s="692">
        <f t="shared" si="8"/>
        <v>0</v>
      </c>
      <c r="X37" s="305"/>
      <c r="Y37" s="691">
        <f t="shared" si="9"/>
        <v>0</v>
      </c>
      <c r="Z37" s="693">
        <f t="shared" si="11"/>
        <v>0</v>
      </c>
      <c r="AA37" s="694"/>
      <c r="AB37" s="694"/>
      <c r="AC37" s="689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workbookViewId="0">
      <pane xSplit="1" topLeftCell="W1" activePane="topRight" state="frozen"/>
      <selection pane="topRight" activeCell="AA28" sqref="AA28:AA29"/>
    </sheetView>
  </sheetViews>
  <sheetFormatPr defaultColWidth="9.140625" defaultRowHeight="11.25"/>
  <cols>
    <col min="1" max="1" width="9.85546875" style="795" customWidth="1"/>
    <col min="2" max="2" width="9.5703125" style="795" customWidth="1"/>
    <col min="3" max="3" width="9.85546875" style="795" bestFit="1" customWidth="1"/>
    <col min="4" max="4" width="9.140625" style="795" customWidth="1"/>
    <col min="5" max="5" width="10.140625" style="795" customWidth="1"/>
    <col min="6" max="6" width="10.7109375" style="795" customWidth="1"/>
    <col min="7" max="7" width="11.28515625" style="795" customWidth="1"/>
    <col min="8" max="8" width="9.7109375" style="795" customWidth="1"/>
    <col min="9" max="9" width="8" style="795" customWidth="1"/>
    <col min="10" max="10" width="8.7109375" style="795" customWidth="1"/>
    <col min="11" max="11" width="8.85546875" style="795" bestFit="1" customWidth="1"/>
    <col min="12" max="12" width="10.140625" style="795" customWidth="1"/>
    <col min="13" max="13" width="10.85546875" style="795" customWidth="1"/>
    <col min="14" max="14" width="11.42578125" style="795" customWidth="1"/>
    <col min="15" max="15" width="10.140625" style="795" customWidth="1"/>
    <col min="16" max="16" width="11.140625" style="795" customWidth="1"/>
    <col min="17" max="17" width="10.7109375" style="795" customWidth="1"/>
    <col min="18" max="18" width="13.140625" style="795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88"/>
      <c r="B1" s="888"/>
    </row>
    <row r="2" spans="1:46" ht="26.25">
      <c r="A2" s="888"/>
      <c r="B2" s="888"/>
      <c r="D2" s="889">
        <f>A11</f>
        <v>44256</v>
      </c>
      <c r="E2" s="889"/>
      <c r="F2" s="890"/>
      <c r="G2" s="890"/>
      <c r="H2" s="890"/>
      <c r="I2" s="890"/>
      <c r="J2" s="890"/>
      <c r="K2" s="890"/>
      <c r="L2" s="890"/>
      <c r="M2" s="890"/>
      <c r="N2" s="890"/>
      <c r="O2" s="890"/>
      <c r="P2" s="890"/>
      <c r="Q2" s="890"/>
      <c r="R2" s="890"/>
      <c r="S2" s="890"/>
      <c r="T2" s="890"/>
      <c r="U2" s="890"/>
      <c r="V2" s="890"/>
      <c r="W2" s="890"/>
      <c r="X2" s="890"/>
      <c r="Y2" s="890"/>
      <c r="Z2" s="890"/>
      <c r="AA2" s="890"/>
      <c r="AB2" s="890"/>
      <c r="AC2" s="890"/>
      <c r="AD2" s="890"/>
      <c r="AE2" s="890"/>
      <c r="AF2" s="890"/>
      <c r="AG2" s="890"/>
      <c r="AH2" s="890"/>
      <c r="AI2" s="890"/>
      <c r="AJ2" s="890"/>
      <c r="AK2" s="890"/>
      <c r="AL2" s="890"/>
      <c r="AM2" s="890"/>
      <c r="AN2" s="890"/>
      <c r="AO2" s="890"/>
      <c r="AP2" s="890"/>
      <c r="AQ2" s="890"/>
      <c r="AR2" s="890"/>
      <c r="AS2" s="890"/>
      <c r="AT2" s="890"/>
    </row>
    <row r="3" spans="1:46" ht="12.75" customHeight="1">
      <c r="A3" s="888"/>
      <c r="B3" s="888"/>
      <c r="H3" s="891"/>
      <c r="I3" s="891"/>
      <c r="J3" s="891"/>
      <c r="K3" s="181"/>
      <c r="Q3" s="181"/>
    </row>
    <row r="4" spans="1:46" ht="11.25" customHeight="1">
      <c r="A4" s="888"/>
      <c r="B4" s="888"/>
      <c r="H4" s="891"/>
      <c r="I4" s="891"/>
      <c r="J4" s="891"/>
      <c r="K4" s="181"/>
      <c r="Q4" s="181"/>
    </row>
    <row r="5" spans="1:46" ht="12" thickBot="1">
      <c r="A5" s="888"/>
      <c r="B5" s="888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88"/>
      <c r="B6" s="888"/>
      <c r="C6" s="186"/>
      <c r="F6" s="892" t="s">
        <v>57</v>
      </c>
      <c r="G6" s="893"/>
      <c r="H6" s="893"/>
      <c r="I6" s="893"/>
      <c r="J6" s="893"/>
      <c r="K6" s="893"/>
      <c r="L6" s="894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95" t="s">
        <v>201</v>
      </c>
      <c r="G7" s="896"/>
      <c r="H7" s="896"/>
      <c r="I7" s="896"/>
      <c r="J7" s="896"/>
      <c r="K7" s="896"/>
      <c r="L7" s="897"/>
      <c r="M7" s="898" t="s">
        <v>40</v>
      </c>
      <c r="N7" s="899"/>
      <c r="O7" s="899"/>
      <c r="P7" s="899"/>
      <c r="Q7" s="899"/>
      <c r="R7" s="900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796" t="s">
        <v>2</v>
      </c>
      <c r="D8" s="797" t="s">
        <v>38</v>
      </c>
      <c r="E8" s="797" t="s">
        <v>96</v>
      </c>
      <c r="F8" s="798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0">
        <v>44889.51</v>
      </c>
      <c r="D9" s="799"/>
      <c r="E9" s="800"/>
      <c r="F9" s="801"/>
      <c r="G9" s="802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3"/>
      <c r="D10" s="804"/>
      <c r="E10" s="805"/>
      <c r="F10" s="299"/>
      <c r="G10" s="806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6">
        <v>44256</v>
      </c>
      <c r="B11" s="831"/>
      <c r="C11" s="807">
        <f>SUM(C9+D11)</f>
        <v>44889.51</v>
      </c>
      <c r="D11" s="808"/>
      <c r="E11" s="805"/>
      <c r="F11" s="299"/>
      <c r="G11" s="806">
        <v>1056.6400000000001</v>
      </c>
      <c r="H11" s="204"/>
      <c r="I11" s="205"/>
      <c r="J11" s="204"/>
      <c r="K11" s="204"/>
      <c r="L11" s="299"/>
      <c r="M11" s="206">
        <v>2613</v>
      </c>
      <c r="N11" s="207"/>
      <c r="O11" s="206"/>
      <c r="P11" s="206"/>
      <c r="Q11" s="206"/>
      <c r="R11" s="563"/>
      <c r="S11" s="571">
        <f t="shared" si="0"/>
        <v>1056.6400000000001</v>
      </c>
      <c r="T11" s="218">
        <f t="shared" si="1"/>
        <v>2613</v>
      </c>
      <c r="U11" s="572">
        <f t="shared" ref="U11:U41" si="4">S11/T11</f>
        <v>0.40437810945273633</v>
      </c>
      <c r="V11" s="211"/>
      <c r="W11" s="219">
        <v>48.84</v>
      </c>
      <c r="X11" s="197">
        <v>20.84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69.680000000000007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1126.3200000000002</v>
      </c>
      <c r="AS11" s="221">
        <f>AR11*AU11</f>
        <v>0</v>
      </c>
      <c r="AT11" s="283">
        <f t="shared" ref="AT11:AT43" si="5">C11</f>
        <v>44889.51</v>
      </c>
    </row>
    <row r="12" spans="1:46" ht="13.5" customHeight="1">
      <c r="A12" s="576">
        <v>44257</v>
      </c>
      <c r="B12" s="832"/>
      <c r="C12" s="807">
        <f t="shared" ref="C12:C43" si="6">SUM(C11-AR11+D12)</f>
        <v>43763.19</v>
      </c>
      <c r="D12" s="808"/>
      <c r="E12" s="805"/>
      <c r="F12" s="526"/>
      <c r="G12" s="806"/>
      <c r="H12" s="204">
        <v>1147.55</v>
      </c>
      <c r="I12" s="223"/>
      <c r="J12" s="204"/>
      <c r="K12" s="204"/>
      <c r="L12" s="299"/>
      <c r="M12" s="298"/>
      <c r="N12" s="206">
        <v>2905</v>
      </c>
      <c r="O12" s="206"/>
      <c r="P12" s="206"/>
      <c r="Q12" s="206"/>
      <c r="R12" s="563"/>
      <c r="S12" s="571">
        <f t="shared" si="0"/>
        <v>1147.55</v>
      </c>
      <c r="T12" s="218">
        <f t="shared" si="1"/>
        <v>2905</v>
      </c>
      <c r="U12" s="572">
        <f t="shared" si="4"/>
        <v>0.39502581755593802</v>
      </c>
      <c r="V12" s="211"/>
      <c r="W12" s="219">
        <v>35.630000000000003</v>
      </c>
      <c r="X12" s="197"/>
      <c r="Y12" s="219"/>
      <c r="Z12" s="204"/>
      <c r="AA12" s="273"/>
      <c r="AB12" s="219"/>
      <c r="AC12" s="219"/>
      <c r="AD12" s="219">
        <v>136.86000000000001</v>
      </c>
      <c r="AE12" s="219"/>
      <c r="AF12" s="219"/>
      <c r="AG12" s="219"/>
      <c r="AH12" s="219"/>
      <c r="AI12" s="386"/>
      <c r="AJ12" s="271">
        <f t="shared" si="3"/>
        <v>172.49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1320.04</v>
      </c>
      <c r="AS12" s="221">
        <f t="shared" ref="AS12:AS44" si="7">AR12*AU12</f>
        <v>0</v>
      </c>
      <c r="AT12" s="283">
        <f t="shared" si="5"/>
        <v>43763.19</v>
      </c>
    </row>
    <row r="13" spans="1:46" ht="13.5" customHeight="1">
      <c r="A13" s="576">
        <v>44258</v>
      </c>
      <c r="B13" s="833"/>
      <c r="C13" s="807">
        <f t="shared" si="6"/>
        <v>42443.15</v>
      </c>
      <c r="D13" s="808"/>
      <c r="E13" s="805">
        <v>18000</v>
      </c>
      <c r="F13" s="825" t="s">
        <v>317</v>
      </c>
      <c r="G13" s="806"/>
      <c r="H13" s="204"/>
      <c r="I13" s="223"/>
      <c r="J13" s="204"/>
      <c r="K13" s="204">
        <v>1018.56</v>
      </c>
      <c r="L13" s="299"/>
      <c r="M13" s="298"/>
      <c r="N13" s="206"/>
      <c r="O13" s="206"/>
      <c r="P13" s="206"/>
      <c r="Q13" s="206">
        <v>2495</v>
      </c>
      <c r="R13" s="563"/>
      <c r="S13" s="571">
        <f t="shared" si="0"/>
        <v>1018.56</v>
      </c>
      <c r="T13" s="218">
        <f t="shared" si="1"/>
        <v>2495</v>
      </c>
      <c r="U13" s="572">
        <f t="shared" si="4"/>
        <v>0.40824048096192384</v>
      </c>
      <c r="V13" s="211"/>
      <c r="W13" s="219"/>
      <c r="X13" s="197">
        <v>15.86</v>
      </c>
      <c r="Y13" s="219"/>
      <c r="Z13" s="204"/>
      <c r="AA13" s="273"/>
      <c r="AB13" s="219">
        <v>34.380000000000003</v>
      </c>
      <c r="AC13" s="219"/>
      <c r="AD13" s="219"/>
      <c r="AE13" s="219"/>
      <c r="AF13" s="219"/>
      <c r="AG13" s="219"/>
      <c r="AH13" s="219"/>
      <c r="AI13" s="386"/>
      <c r="AJ13" s="271">
        <f t="shared" si="3"/>
        <v>50.24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1068.8</v>
      </c>
      <c r="AS13" s="221">
        <f t="shared" si="7"/>
        <v>0</v>
      </c>
      <c r="AT13" s="283">
        <f t="shared" si="5"/>
        <v>42443.15</v>
      </c>
    </row>
    <row r="14" spans="1:46" ht="13.5" customHeight="1">
      <c r="A14" s="576">
        <v>44259</v>
      </c>
      <c r="B14" s="833"/>
      <c r="C14" s="807">
        <f t="shared" si="6"/>
        <v>41374.35</v>
      </c>
      <c r="D14" s="808"/>
      <c r="E14" s="805"/>
      <c r="F14" s="809"/>
      <c r="G14" s="806"/>
      <c r="H14" s="204"/>
      <c r="I14" s="223"/>
      <c r="J14" s="204"/>
      <c r="K14" s="204"/>
      <c r="L14" s="299">
        <v>1146.6099999999999</v>
      </c>
      <c r="M14" s="298"/>
      <c r="N14" s="206"/>
      <c r="O14" s="206"/>
      <c r="P14" s="206"/>
      <c r="Q14" s="206"/>
      <c r="R14" s="563">
        <v>2865</v>
      </c>
      <c r="S14" s="571">
        <f t="shared" si="0"/>
        <v>1146.6099999999999</v>
      </c>
      <c r="T14" s="218">
        <f t="shared" si="1"/>
        <v>2865</v>
      </c>
      <c r="U14" s="572">
        <f t="shared" si="4"/>
        <v>0.40021291448516577</v>
      </c>
      <c r="V14" s="211"/>
      <c r="W14" s="219"/>
      <c r="X14" s="197">
        <v>23.15</v>
      </c>
      <c r="Y14" s="219"/>
      <c r="Z14" s="204"/>
      <c r="AA14" s="273"/>
      <c r="AB14" s="219"/>
      <c r="AC14" s="219">
        <v>56.88</v>
      </c>
      <c r="AD14" s="219"/>
      <c r="AE14" s="219"/>
      <c r="AF14" s="219"/>
      <c r="AG14" s="219"/>
      <c r="AH14" s="219"/>
      <c r="AI14" s="386"/>
      <c r="AJ14" s="271">
        <f t="shared" si="3"/>
        <v>80.03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1226.6399999999999</v>
      </c>
      <c r="AS14" s="221">
        <f t="shared" si="7"/>
        <v>0</v>
      </c>
      <c r="AT14" s="283">
        <f t="shared" si="5"/>
        <v>41374.35</v>
      </c>
    </row>
    <row r="15" spans="1:46" ht="13.5" customHeight="1">
      <c r="A15" s="576">
        <v>44260</v>
      </c>
      <c r="B15" s="833"/>
      <c r="C15" s="807">
        <f t="shared" si="6"/>
        <v>40147.71</v>
      </c>
      <c r="D15" s="808"/>
      <c r="E15" s="805"/>
      <c r="F15" s="809"/>
      <c r="G15" s="806"/>
      <c r="H15" s="204"/>
      <c r="I15" s="223"/>
      <c r="J15" s="204"/>
      <c r="K15" s="204"/>
      <c r="L15" s="299"/>
      <c r="M15" s="298"/>
      <c r="N15" s="206"/>
      <c r="O15" s="206"/>
      <c r="P15" s="206"/>
      <c r="Q15" s="206"/>
      <c r="R15" s="563"/>
      <c r="S15" s="571">
        <f t="shared" si="0"/>
        <v>0</v>
      </c>
      <c r="T15" s="218">
        <f t="shared" si="1"/>
        <v>0</v>
      </c>
      <c r="U15" s="572" t="e">
        <f t="shared" si="4"/>
        <v>#DIV/0!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/>
      <c r="AI15" s="386"/>
      <c r="AJ15" s="271">
        <f t="shared" si="3"/>
        <v>0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0</v>
      </c>
      <c r="AS15" s="221">
        <f t="shared" si="7"/>
        <v>0</v>
      </c>
      <c r="AT15" s="283">
        <f t="shared" si="5"/>
        <v>40147.71</v>
      </c>
    </row>
    <row r="16" spans="1:46" ht="13.5" customHeight="1">
      <c r="A16" s="576">
        <v>44261</v>
      </c>
      <c r="B16" s="833"/>
      <c r="C16" s="807">
        <f t="shared" si="6"/>
        <v>40147.71</v>
      </c>
      <c r="D16" s="808"/>
      <c r="E16" s="805"/>
      <c r="F16" s="809"/>
      <c r="G16" s="806"/>
      <c r="H16" s="204"/>
      <c r="I16" s="223"/>
      <c r="J16" s="204"/>
      <c r="K16" s="204"/>
      <c r="L16" s="299"/>
      <c r="M16" s="298"/>
      <c r="N16" s="206"/>
      <c r="O16" s="206"/>
      <c r="P16" s="206"/>
      <c r="Q16" s="206"/>
      <c r="R16" s="563"/>
      <c r="S16" s="571">
        <f t="shared" si="0"/>
        <v>0</v>
      </c>
      <c r="T16" s="218">
        <f t="shared" si="1"/>
        <v>0</v>
      </c>
      <c r="U16" s="572" t="e">
        <f t="shared" si="4"/>
        <v>#DIV/0!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0</v>
      </c>
      <c r="AS16" s="221">
        <f t="shared" si="7"/>
        <v>0</v>
      </c>
      <c r="AT16" s="283">
        <f t="shared" si="5"/>
        <v>40147.71</v>
      </c>
    </row>
    <row r="17" spans="1:46" ht="13.5" customHeight="1">
      <c r="A17" s="576">
        <v>44262</v>
      </c>
      <c r="B17" s="833"/>
      <c r="C17" s="807">
        <f t="shared" si="6"/>
        <v>40147.71</v>
      </c>
      <c r="D17" s="808"/>
      <c r="E17" s="805"/>
      <c r="F17" s="809"/>
      <c r="G17" s="806"/>
      <c r="H17" s="204"/>
      <c r="I17" s="223"/>
      <c r="J17" s="204"/>
      <c r="K17" s="204"/>
      <c r="L17" s="299"/>
      <c r="M17" s="298"/>
      <c r="N17" s="206"/>
      <c r="O17" s="206"/>
      <c r="P17" s="206"/>
      <c r="Q17" s="206"/>
      <c r="R17" s="563"/>
      <c r="S17" s="571">
        <f t="shared" si="0"/>
        <v>0</v>
      </c>
      <c r="T17" s="218">
        <f t="shared" si="1"/>
        <v>0</v>
      </c>
      <c r="U17" s="572" t="e">
        <f t="shared" si="4"/>
        <v>#DIV/0!</v>
      </c>
      <c r="V17" s="211"/>
      <c r="W17" s="219"/>
      <c r="X17" s="197"/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0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0</v>
      </c>
      <c r="AS17" s="221">
        <f t="shared" si="7"/>
        <v>0</v>
      </c>
      <c r="AT17" s="283">
        <f t="shared" si="5"/>
        <v>40147.71</v>
      </c>
    </row>
    <row r="18" spans="1:46" ht="13.5" customHeight="1">
      <c r="A18" s="576">
        <v>44263</v>
      </c>
      <c r="B18" s="833"/>
      <c r="C18" s="807">
        <f t="shared" si="6"/>
        <v>40147.71</v>
      </c>
      <c r="D18" s="808"/>
      <c r="E18" s="805"/>
      <c r="F18" s="809"/>
      <c r="G18" s="806"/>
      <c r="H18" s="204"/>
      <c r="I18" s="223"/>
      <c r="J18" s="204"/>
      <c r="K18" s="204"/>
      <c r="L18" s="299"/>
      <c r="M18" s="298"/>
      <c r="N18" s="206"/>
      <c r="O18" s="206"/>
      <c r="P18" s="206"/>
      <c r="Q18" s="206"/>
      <c r="R18" s="563"/>
      <c r="S18" s="571">
        <f t="shared" si="0"/>
        <v>0</v>
      </c>
      <c r="T18" s="218">
        <f t="shared" si="1"/>
        <v>0</v>
      </c>
      <c r="U18" s="572" t="e">
        <f t="shared" si="4"/>
        <v>#DIV/0!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0</v>
      </c>
      <c r="AS18" s="221">
        <f t="shared" si="7"/>
        <v>0</v>
      </c>
      <c r="AT18" s="283">
        <f t="shared" si="5"/>
        <v>40147.71</v>
      </c>
    </row>
    <row r="19" spans="1:46" ht="13.5" customHeight="1">
      <c r="A19" s="576">
        <v>44264</v>
      </c>
      <c r="B19" s="833"/>
      <c r="C19" s="807">
        <f t="shared" si="6"/>
        <v>40147.71</v>
      </c>
      <c r="D19" s="808"/>
      <c r="E19" s="805"/>
      <c r="F19" s="809"/>
      <c r="G19" s="806"/>
      <c r="H19" s="204"/>
      <c r="I19" s="223"/>
      <c r="J19" s="204"/>
      <c r="K19" s="204"/>
      <c r="L19" s="299"/>
      <c r="M19" s="298"/>
      <c r="N19" s="206"/>
      <c r="O19" s="206"/>
      <c r="P19" s="206"/>
      <c r="Q19" s="206"/>
      <c r="R19" s="563"/>
      <c r="S19" s="571">
        <f t="shared" si="0"/>
        <v>0</v>
      </c>
      <c r="T19" s="218">
        <f t="shared" si="1"/>
        <v>0</v>
      </c>
      <c r="U19" s="572" t="e">
        <f t="shared" si="4"/>
        <v>#DIV/0!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0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0</v>
      </c>
      <c r="AS19" s="221">
        <f t="shared" si="7"/>
        <v>0</v>
      </c>
      <c r="AT19" s="283">
        <f t="shared" si="5"/>
        <v>40147.71</v>
      </c>
    </row>
    <row r="20" spans="1:46" ht="15.75">
      <c r="A20" s="576">
        <v>44265</v>
      </c>
      <c r="B20" s="833"/>
      <c r="C20" s="807">
        <f t="shared" si="6"/>
        <v>40147.71</v>
      </c>
      <c r="D20" s="808"/>
      <c r="E20" s="805"/>
      <c r="F20" s="809"/>
      <c r="G20" s="806"/>
      <c r="H20" s="219"/>
      <c r="I20" s="223"/>
      <c r="J20" s="204"/>
      <c r="K20" s="204"/>
      <c r="L20" s="526"/>
      <c r="M20" s="298"/>
      <c r="N20" s="206"/>
      <c r="O20" s="206"/>
      <c r="P20" s="206"/>
      <c r="Q20" s="206"/>
      <c r="R20" s="564"/>
      <c r="S20" s="571">
        <f t="shared" si="0"/>
        <v>0</v>
      </c>
      <c r="T20" s="218">
        <f t="shared" si="1"/>
        <v>0</v>
      </c>
      <c r="U20" s="572" t="e">
        <f t="shared" si="4"/>
        <v>#DIV/0!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0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0</v>
      </c>
      <c r="AS20" s="221">
        <f t="shared" si="7"/>
        <v>0</v>
      </c>
      <c r="AT20" s="283">
        <f t="shared" si="5"/>
        <v>40147.71</v>
      </c>
    </row>
    <row r="21" spans="1:46" ht="15.75">
      <c r="A21" s="576">
        <v>44266</v>
      </c>
      <c r="B21" s="833"/>
      <c r="C21" s="807">
        <f t="shared" si="6"/>
        <v>40147.71</v>
      </c>
      <c r="D21" s="808"/>
      <c r="E21" s="805"/>
      <c r="F21" s="809"/>
      <c r="G21" s="806"/>
      <c r="H21" s="219"/>
      <c r="I21" s="223"/>
      <c r="J21" s="204"/>
      <c r="K21" s="204"/>
      <c r="L21" s="495"/>
      <c r="M21" s="298"/>
      <c r="N21" s="298"/>
      <c r="O21" s="206"/>
      <c r="P21" s="206"/>
      <c r="Q21" s="206"/>
      <c r="R21" s="563"/>
      <c r="S21" s="571">
        <f t="shared" si="0"/>
        <v>0</v>
      </c>
      <c r="T21" s="218">
        <f t="shared" si="1"/>
        <v>0</v>
      </c>
      <c r="U21" s="572" t="e">
        <f t="shared" si="4"/>
        <v>#DIV/0!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0</v>
      </c>
      <c r="AK21" s="213"/>
      <c r="AL21" s="214"/>
      <c r="AM21" s="220"/>
      <c r="AN21" s="225"/>
      <c r="AO21" s="225"/>
      <c r="AP21" s="225"/>
      <c r="AQ21" s="226"/>
      <c r="AR21" s="215">
        <f>SUM(AJ21+S21)</f>
        <v>0</v>
      </c>
      <c r="AS21" s="221">
        <f t="shared" si="7"/>
        <v>0</v>
      </c>
      <c r="AT21" s="283">
        <f t="shared" si="5"/>
        <v>40147.71</v>
      </c>
    </row>
    <row r="22" spans="1:46" ht="15.75">
      <c r="A22" s="576">
        <v>44267</v>
      </c>
      <c r="B22" s="833"/>
      <c r="C22" s="807">
        <f t="shared" si="6"/>
        <v>40147.71</v>
      </c>
      <c r="D22" s="808"/>
      <c r="E22" s="805"/>
      <c r="F22" s="810"/>
      <c r="G22" s="806"/>
      <c r="H22" s="204"/>
      <c r="I22" s="223"/>
      <c r="J22" s="204"/>
      <c r="K22" s="204"/>
      <c r="L22" s="526"/>
      <c r="M22" s="298"/>
      <c r="N22" s="298"/>
      <c r="O22" s="206"/>
      <c r="P22" s="206"/>
      <c r="Q22" s="206"/>
      <c r="R22" s="563"/>
      <c r="S22" s="571">
        <f t="shared" si="0"/>
        <v>0</v>
      </c>
      <c r="T22" s="218">
        <f t="shared" si="1"/>
        <v>0</v>
      </c>
      <c r="U22" s="572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40147.71</v>
      </c>
    </row>
    <row r="23" spans="1:46" ht="13.5" customHeight="1">
      <c r="A23" s="576">
        <v>44268</v>
      </c>
      <c r="B23" s="833"/>
      <c r="C23" s="807">
        <f t="shared" si="6"/>
        <v>40147.71</v>
      </c>
      <c r="D23" s="808"/>
      <c r="E23" s="805"/>
      <c r="F23" s="810"/>
      <c r="G23" s="806"/>
      <c r="H23" s="219"/>
      <c r="I23" s="223"/>
      <c r="J23" s="204"/>
      <c r="K23" s="204"/>
      <c r="L23" s="526"/>
      <c r="M23" s="298"/>
      <c r="N23" s="206"/>
      <c r="O23" s="206"/>
      <c r="P23" s="206"/>
      <c r="Q23" s="206"/>
      <c r="R23" s="563"/>
      <c r="S23" s="571">
        <f t="shared" si="0"/>
        <v>0</v>
      </c>
      <c r="T23" s="218">
        <f t="shared" si="1"/>
        <v>0</v>
      </c>
      <c r="U23" s="572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40147.71</v>
      </c>
    </row>
    <row r="24" spans="1:46" ht="15.75">
      <c r="A24" s="576">
        <v>44269</v>
      </c>
      <c r="B24" s="833"/>
      <c r="C24" s="807">
        <f t="shared" si="6"/>
        <v>40147.71</v>
      </c>
      <c r="D24" s="811"/>
      <c r="E24" s="805">
        <v>15000</v>
      </c>
      <c r="F24" s="826" t="s">
        <v>318</v>
      </c>
      <c r="G24" s="806"/>
      <c r="H24" s="204"/>
      <c r="I24" s="223"/>
      <c r="J24" s="204"/>
      <c r="K24" s="204"/>
      <c r="L24" s="526"/>
      <c r="M24" s="298"/>
      <c r="N24" s="298"/>
      <c r="O24" s="206"/>
      <c r="P24" s="206"/>
      <c r="Q24" s="206"/>
      <c r="R24" s="563"/>
      <c r="S24" s="571">
        <f t="shared" si="0"/>
        <v>0</v>
      </c>
      <c r="T24" s="218">
        <f t="shared" si="1"/>
        <v>0</v>
      </c>
      <c r="U24" s="572" t="e">
        <f t="shared" si="4"/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0</v>
      </c>
      <c r="AS24" s="221">
        <f t="shared" si="7"/>
        <v>0</v>
      </c>
      <c r="AT24" s="283">
        <f t="shared" si="5"/>
        <v>40147.71</v>
      </c>
    </row>
    <row r="25" spans="1:46" ht="15.75">
      <c r="A25" s="576">
        <v>44270</v>
      </c>
      <c r="B25" s="833"/>
      <c r="C25" s="807">
        <f t="shared" si="6"/>
        <v>40147.71</v>
      </c>
      <c r="D25" s="808"/>
      <c r="E25" s="805"/>
      <c r="F25" s="809"/>
      <c r="G25" s="806"/>
      <c r="H25" s="219"/>
      <c r="I25" s="223"/>
      <c r="J25" s="204"/>
      <c r="K25" s="204"/>
      <c r="L25" s="526"/>
      <c r="M25" s="298"/>
      <c r="N25" s="206"/>
      <c r="O25" s="206"/>
      <c r="P25" s="206"/>
      <c r="Q25" s="206"/>
      <c r="R25" s="563"/>
      <c r="S25" s="571">
        <f t="shared" si="0"/>
        <v>0</v>
      </c>
      <c r="T25" s="218">
        <f t="shared" si="1"/>
        <v>0</v>
      </c>
      <c r="U25" s="572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40147.71</v>
      </c>
    </row>
    <row r="26" spans="1:46" ht="15.75">
      <c r="A26" s="576">
        <v>44271</v>
      </c>
      <c r="B26" s="833"/>
      <c r="C26" s="807">
        <f t="shared" si="6"/>
        <v>40147.71</v>
      </c>
      <c r="D26" s="808"/>
      <c r="E26" s="805"/>
      <c r="F26" s="810"/>
      <c r="G26" s="806"/>
      <c r="H26" s="219"/>
      <c r="I26" s="223"/>
      <c r="J26" s="204"/>
      <c r="K26" s="204"/>
      <c r="L26" s="526"/>
      <c r="M26" s="298"/>
      <c r="N26" s="206"/>
      <c r="O26" s="206"/>
      <c r="P26" s="206"/>
      <c r="Q26" s="206"/>
      <c r="R26" s="563"/>
      <c r="S26" s="571">
        <f t="shared" si="0"/>
        <v>0</v>
      </c>
      <c r="T26" s="218">
        <f t="shared" si="1"/>
        <v>0</v>
      </c>
      <c r="U26" s="572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40147.71</v>
      </c>
    </row>
    <row r="27" spans="1:46" ht="15.75">
      <c r="A27" s="576">
        <v>44272</v>
      </c>
      <c r="B27" s="833"/>
      <c r="C27" s="807">
        <f t="shared" si="6"/>
        <v>40147.71</v>
      </c>
      <c r="D27" s="808"/>
      <c r="E27" s="805"/>
      <c r="F27" s="809"/>
      <c r="G27" s="806"/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0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40147.71</v>
      </c>
    </row>
    <row r="28" spans="1:46" ht="15.75">
      <c r="A28" s="576">
        <v>44273</v>
      </c>
      <c r="B28" s="833"/>
      <c r="C28" s="807">
        <f t="shared" si="6"/>
        <v>40147.71</v>
      </c>
      <c r="D28" s="808"/>
      <c r="E28" s="805"/>
      <c r="F28" s="809"/>
      <c r="G28" s="806"/>
      <c r="H28" s="219"/>
      <c r="I28" s="205"/>
      <c r="J28" s="204"/>
      <c r="K28" s="204"/>
      <c r="L28" s="526"/>
      <c r="M28" s="298"/>
      <c r="N28" s="206"/>
      <c r="O28" s="206"/>
      <c r="P28" s="206"/>
      <c r="Q28" s="206"/>
      <c r="R28" s="563"/>
      <c r="S28" s="571">
        <f t="shared" si="0"/>
        <v>0</v>
      </c>
      <c r="T28" s="218">
        <f t="shared" si="1"/>
        <v>0</v>
      </c>
      <c r="U28" s="572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40147.71</v>
      </c>
    </row>
    <row r="29" spans="1:46" ht="15.75">
      <c r="A29" s="576">
        <v>44274</v>
      </c>
      <c r="B29" s="833"/>
      <c r="C29" s="807">
        <f t="shared" si="6"/>
        <v>40147.71</v>
      </c>
      <c r="D29" s="808"/>
      <c r="E29" s="805"/>
      <c r="F29" s="809"/>
      <c r="G29" s="806"/>
      <c r="H29" s="219"/>
      <c r="I29" s="205"/>
      <c r="J29" s="204"/>
      <c r="K29" s="204"/>
      <c r="L29" s="526"/>
      <c r="M29" s="298"/>
      <c r="N29" s="206"/>
      <c r="O29" s="206"/>
      <c r="P29" s="206"/>
      <c r="Q29" s="206"/>
      <c r="R29" s="563"/>
      <c r="S29" s="571">
        <f t="shared" si="0"/>
        <v>0</v>
      </c>
      <c r="T29" s="218">
        <f t="shared" si="1"/>
        <v>0</v>
      </c>
      <c r="U29" s="572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40147.71</v>
      </c>
    </row>
    <row r="30" spans="1:46" ht="15.75">
      <c r="A30" s="576">
        <v>44275</v>
      </c>
      <c r="B30" s="833"/>
      <c r="C30" s="807">
        <f t="shared" si="6"/>
        <v>40147.71</v>
      </c>
      <c r="D30" s="808"/>
      <c r="E30" s="805"/>
      <c r="F30" s="809"/>
      <c r="G30" s="806"/>
      <c r="H30" s="219"/>
      <c r="I30" s="205"/>
      <c r="J30" s="204"/>
      <c r="K30" s="204"/>
      <c r="L30" s="526"/>
      <c r="M30" s="298"/>
      <c r="N30" s="206"/>
      <c r="O30" s="206"/>
      <c r="P30" s="206"/>
      <c r="Q30" s="206"/>
      <c r="R30" s="563"/>
      <c r="S30" s="571">
        <f t="shared" si="0"/>
        <v>0</v>
      </c>
      <c r="T30" s="218">
        <f t="shared" si="1"/>
        <v>0</v>
      </c>
      <c r="U30" s="572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40147.71</v>
      </c>
    </row>
    <row r="31" spans="1:46" ht="15.75">
      <c r="A31" s="576">
        <v>44276</v>
      </c>
      <c r="B31" s="833"/>
      <c r="C31" s="807">
        <f t="shared" si="6"/>
        <v>40147.71</v>
      </c>
      <c r="D31" s="808"/>
      <c r="E31" s="805"/>
      <c r="F31" s="809"/>
      <c r="G31" s="806"/>
      <c r="H31" s="219"/>
      <c r="I31" s="205"/>
      <c r="J31" s="204"/>
      <c r="K31" s="204"/>
      <c r="L31" s="526"/>
      <c r="M31" s="298"/>
      <c r="N31" s="206"/>
      <c r="O31" s="206"/>
      <c r="P31" s="206"/>
      <c r="Q31" s="206"/>
      <c r="R31" s="563"/>
      <c r="S31" s="571">
        <f t="shared" si="0"/>
        <v>0</v>
      </c>
      <c r="T31" s="218">
        <f t="shared" si="1"/>
        <v>0</v>
      </c>
      <c r="U31" s="572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40147.71</v>
      </c>
    </row>
    <row r="32" spans="1:46" ht="15.75">
      <c r="A32" s="576">
        <v>44277</v>
      </c>
      <c r="B32" s="833"/>
      <c r="C32" s="807">
        <f t="shared" si="6"/>
        <v>40147.71</v>
      </c>
      <c r="D32" s="808"/>
      <c r="E32" s="805"/>
      <c r="F32" s="809"/>
      <c r="G32" s="806"/>
      <c r="H32" s="219"/>
      <c r="I32" s="205"/>
      <c r="J32" s="204"/>
      <c r="K32" s="204"/>
      <c r="L32" s="526"/>
      <c r="M32" s="298"/>
      <c r="N32" s="206"/>
      <c r="O32" s="206"/>
      <c r="P32" s="206"/>
      <c r="Q32" s="206"/>
      <c r="R32" s="563"/>
      <c r="S32" s="571">
        <f t="shared" si="0"/>
        <v>0</v>
      </c>
      <c r="T32" s="218">
        <f t="shared" si="1"/>
        <v>0</v>
      </c>
      <c r="U32" s="572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40147.71</v>
      </c>
    </row>
    <row r="33" spans="1:46" ht="15.75">
      <c r="A33" s="576">
        <v>44278</v>
      </c>
      <c r="B33" s="833"/>
      <c r="C33" s="807">
        <f t="shared" si="6"/>
        <v>40147.71</v>
      </c>
      <c r="D33" s="808"/>
      <c r="E33" s="805"/>
      <c r="F33" s="809"/>
      <c r="G33" s="806"/>
      <c r="H33" s="219"/>
      <c r="I33" s="205"/>
      <c r="J33" s="204"/>
      <c r="K33" s="204"/>
      <c r="L33" s="526"/>
      <c r="M33" s="298"/>
      <c r="N33" s="206"/>
      <c r="O33" s="206"/>
      <c r="P33" s="206"/>
      <c r="Q33" s="206"/>
      <c r="R33" s="563"/>
      <c r="S33" s="571">
        <f t="shared" si="0"/>
        <v>0</v>
      </c>
      <c r="T33" s="218">
        <f t="shared" si="1"/>
        <v>0</v>
      </c>
      <c r="U33" s="572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40147.71</v>
      </c>
    </row>
    <row r="34" spans="1:46" ht="15.75">
      <c r="A34" s="576">
        <v>44279</v>
      </c>
      <c r="B34" s="833"/>
      <c r="C34" s="807">
        <f t="shared" si="6"/>
        <v>40147.71</v>
      </c>
      <c r="D34" s="808"/>
      <c r="E34" s="805"/>
      <c r="F34" s="809"/>
      <c r="G34" s="806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40147.71</v>
      </c>
    </row>
    <row r="35" spans="1:46" ht="15.75">
      <c r="A35" s="576">
        <v>44280</v>
      </c>
      <c r="B35" s="833"/>
      <c r="C35" s="807">
        <f t="shared" si="6"/>
        <v>40147.71</v>
      </c>
      <c r="D35" s="808"/>
      <c r="E35" s="805">
        <v>18000</v>
      </c>
      <c r="F35" s="825" t="s">
        <v>317</v>
      </c>
      <c r="G35" s="806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40147.71</v>
      </c>
    </row>
    <row r="36" spans="1:46" ht="15.75">
      <c r="A36" s="576">
        <v>44281</v>
      </c>
      <c r="B36" s="833"/>
      <c r="C36" s="807">
        <f t="shared" si="6"/>
        <v>40147.71</v>
      </c>
      <c r="D36" s="808"/>
      <c r="E36" s="805"/>
      <c r="F36" s="809"/>
      <c r="G36" s="806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40147.71</v>
      </c>
    </row>
    <row r="37" spans="1:46" ht="15.75">
      <c r="A37" s="576">
        <v>44282</v>
      </c>
      <c r="B37" s="833"/>
      <c r="C37" s="807">
        <f t="shared" si="6"/>
        <v>40147.71</v>
      </c>
      <c r="D37" s="808"/>
      <c r="E37" s="805"/>
      <c r="F37" s="526"/>
      <c r="G37" s="806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40147.71</v>
      </c>
    </row>
    <row r="38" spans="1:46" ht="15.75">
      <c r="A38" s="576">
        <v>44283</v>
      </c>
      <c r="B38" s="833"/>
      <c r="C38" s="807">
        <f t="shared" si="6"/>
        <v>40147.71</v>
      </c>
      <c r="D38" s="808"/>
      <c r="E38" s="805">
        <v>15000</v>
      </c>
      <c r="F38" s="826" t="s">
        <v>318</v>
      </c>
      <c r="G38" s="806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40147.71</v>
      </c>
    </row>
    <row r="39" spans="1:46" ht="15.75">
      <c r="A39" s="576">
        <v>44284</v>
      </c>
      <c r="B39" s="833"/>
      <c r="C39" s="807">
        <f t="shared" si="6"/>
        <v>40147.71</v>
      </c>
      <c r="D39" s="808"/>
      <c r="E39" s="805"/>
      <c r="F39" s="526"/>
      <c r="G39" s="806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40147.71</v>
      </c>
    </row>
    <row r="40" spans="1:46" ht="15.75">
      <c r="A40" s="576">
        <v>44285</v>
      </c>
      <c r="B40" s="833"/>
      <c r="C40" s="807">
        <f t="shared" si="6"/>
        <v>40147.71</v>
      </c>
      <c r="D40" s="808"/>
      <c r="E40" s="805"/>
      <c r="F40" s="299"/>
      <c r="G40" s="806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40147.71</v>
      </c>
    </row>
    <row r="41" spans="1:46" ht="15.75">
      <c r="A41" s="576">
        <v>44286</v>
      </c>
      <c r="B41" s="833"/>
      <c r="C41" s="807">
        <f t="shared" si="6"/>
        <v>40147.71</v>
      </c>
      <c r="D41" s="808"/>
      <c r="E41" s="805"/>
      <c r="F41" s="299"/>
      <c r="G41" s="806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40147.71</v>
      </c>
    </row>
    <row r="42" spans="1:46" ht="14.25">
      <c r="A42" s="576"/>
      <c r="B42" s="575"/>
      <c r="C42" s="807">
        <f t="shared" si="6"/>
        <v>40147.71</v>
      </c>
      <c r="D42" s="812"/>
      <c r="E42" s="805"/>
      <c r="F42" s="299"/>
      <c r="G42" s="806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40147.71</v>
      </c>
    </row>
    <row r="43" spans="1:46" ht="14.25">
      <c r="A43" s="496" t="s">
        <v>25</v>
      </c>
      <c r="B43" s="469" t="e">
        <f>AVERAGE(B11:B42)</f>
        <v>#DIV/0!</v>
      </c>
      <c r="C43" s="803">
        <f t="shared" si="6"/>
        <v>40147.71</v>
      </c>
      <c r="D43" s="812"/>
      <c r="E43" s="805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40147.71</v>
      </c>
    </row>
    <row r="44" spans="1:46" ht="15" thickBot="1">
      <c r="A44" s="497"/>
      <c r="B44" s="498"/>
      <c r="C44" s="813"/>
      <c r="D44" s="814"/>
      <c r="E44" s="815"/>
      <c r="F44" s="816"/>
      <c r="G44" s="817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18"/>
      <c r="D45" s="308">
        <f>SUM(D11:D44)</f>
        <v>0</v>
      </c>
      <c r="E45" s="313">
        <f>SUM(E11:E42)</f>
        <v>66000</v>
      </c>
      <c r="F45" s="819">
        <f t="shared" ref="F45:O45" si="8">SUM(F11:F44)</f>
        <v>0</v>
      </c>
      <c r="G45" s="313">
        <f t="shared" si="8"/>
        <v>1056.6400000000001</v>
      </c>
      <c r="H45" s="308">
        <f t="shared" si="8"/>
        <v>1147.55</v>
      </c>
      <c r="I45" s="313">
        <f t="shared" si="8"/>
        <v>0</v>
      </c>
      <c r="J45" s="308">
        <f t="shared" si="8"/>
        <v>0</v>
      </c>
      <c r="K45" s="313">
        <f t="shared" si="8"/>
        <v>1018.56</v>
      </c>
      <c r="L45" s="308">
        <f t="shared" si="8"/>
        <v>1146.6099999999999</v>
      </c>
      <c r="M45" s="313">
        <f t="shared" si="8"/>
        <v>2613</v>
      </c>
      <c r="N45" s="554">
        <f t="shared" si="8"/>
        <v>2905</v>
      </c>
      <c r="O45" s="313">
        <f t="shared" si="8"/>
        <v>0</v>
      </c>
      <c r="P45" s="308">
        <f>SUM(P11:P43)</f>
        <v>0</v>
      </c>
      <c r="Q45" s="313">
        <f>SUM(Q11:Q44)</f>
        <v>2495</v>
      </c>
      <c r="R45" s="308">
        <f>SUM(R11:R44)</f>
        <v>2865</v>
      </c>
      <c r="S45" s="552">
        <f>SUM(G45:L45)</f>
        <v>4369.3599999999997</v>
      </c>
      <c r="T45" s="308">
        <f>SUM(M45:R45)</f>
        <v>10878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84.47</v>
      </c>
      <c r="X45" s="547">
        <f t="shared" si="9"/>
        <v>59.85</v>
      </c>
      <c r="Y45" s="234">
        <f t="shared" si="9"/>
        <v>0</v>
      </c>
      <c r="Z45" s="547">
        <f t="shared" si="9"/>
        <v>0</v>
      </c>
      <c r="AA45" s="234">
        <f t="shared" si="9"/>
        <v>0</v>
      </c>
      <c r="AB45" s="547">
        <f t="shared" si="9"/>
        <v>34.380000000000003</v>
      </c>
      <c r="AC45" s="234">
        <f>SUM(AC10:AC44)</f>
        <v>56.88</v>
      </c>
      <c r="AD45" s="547">
        <f>SUM(AD10:AD44)</f>
        <v>136.86000000000001</v>
      </c>
      <c r="AE45" s="234">
        <f>SUM(AE9:AE44)</f>
        <v>0</v>
      </c>
      <c r="AF45" s="547">
        <f>SUM(AF9:AF44)</f>
        <v>0</v>
      </c>
      <c r="AG45" s="234">
        <f>SUM(AG9:AG44)</f>
        <v>0</v>
      </c>
      <c r="AH45" s="547">
        <f>SUM(AH9:AH43)</f>
        <v>0</v>
      </c>
      <c r="AI45" s="234">
        <f>SUM(AI9:AI39)</f>
        <v>0</v>
      </c>
      <c r="AJ45" s="547">
        <f>SUM(AJ9:AJ44)</f>
        <v>372.44000000000005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4741.7999999999993</v>
      </c>
      <c r="AS45" s="550">
        <f>SUM(AS11:AS44)</f>
        <v>0</v>
      </c>
      <c r="AT45" s="551"/>
    </row>
    <row r="46" spans="1:46" ht="14.25" thickBot="1">
      <c r="A46" s="795" t="s">
        <v>67</v>
      </c>
      <c r="S46" s="603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0">
        <f>AVERAGE(S11:S41)</f>
        <v>140.94709677419354</v>
      </c>
      <c r="T47" s="316">
        <f>S45*2315</f>
        <v>10115068.399999999</v>
      </c>
      <c r="U47" s="317" t="s">
        <v>244</v>
      </c>
      <c r="AR47" s="523">
        <f>AR45*2143</f>
        <v>10161677.399999999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5" t="s">
        <v>253</v>
      </c>
      <c r="T48" s="316">
        <f>T47/2289</f>
        <v>4418.9901266928782</v>
      </c>
      <c r="U48" s="317" t="s">
        <v>245</v>
      </c>
      <c r="W48" s="191"/>
      <c r="X48" s="191"/>
      <c r="Y48" s="191"/>
      <c r="Z48" s="191"/>
      <c r="AA48" s="191"/>
      <c r="AR48" s="316">
        <f>AR47/2289</f>
        <v>4439.3522935779811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01" t="s">
        <v>241</v>
      </c>
      <c r="C50" s="902"/>
      <c r="D50" s="902"/>
      <c r="E50" s="902"/>
      <c r="F50" s="903"/>
      <c r="H50" s="879" t="s">
        <v>213</v>
      </c>
      <c r="I50" s="880"/>
      <c r="J50" s="880"/>
      <c r="K50" s="880"/>
      <c r="L50" s="881"/>
      <c r="N50" s="882" t="s">
        <v>309</v>
      </c>
      <c r="O50" s="883"/>
      <c r="P50" s="883"/>
      <c r="Q50" s="883"/>
      <c r="R50" s="884"/>
      <c r="T50" s="885" t="s">
        <v>226</v>
      </c>
      <c r="U50" s="886"/>
      <c r="V50" s="886"/>
      <c r="W50" s="886"/>
      <c r="X50" s="886"/>
      <c r="Y50" s="887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5" t="s">
        <v>196</v>
      </c>
      <c r="V51" s="617" t="s">
        <v>227</v>
      </c>
      <c r="W51" s="616" t="s">
        <v>212</v>
      </c>
      <c r="X51" s="346" t="s">
        <v>228</v>
      </c>
      <c r="Y51" s="347" t="s">
        <v>229</v>
      </c>
    </row>
    <row r="52" spans="2:46" ht="11.25" customHeight="1" thickBot="1">
      <c r="B52" s="499"/>
      <c r="C52" s="499"/>
      <c r="D52" s="501"/>
      <c r="E52" s="500"/>
      <c r="F52" s="527"/>
      <c r="H52" s="530"/>
      <c r="I52" s="507"/>
      <c r="J52" s="507"/>
      <c r="K52" s="507"/>
      <c r="L52" s="531"/>
      <c r="N52" s="348"/>
      <c r="O52" s="507"/>
      <c r="P52" s="525"/>
      <c r="Q52" s="525"/>
      <c r="R52" s="511"/>
      <c r="T52" s="348"/>
      <c r="U52" s="532"/>
      <c r="V52" s="613"/>
      <c r="W52" s="533"/>
      <c r="X52" s="533"/>
      <c r="Y52" s="534"/>
    </row>
    <row r="53" spans="2:46" ht="11.25" customHeight="1">
      <c r="B53" s="499"/>
      <c r="C53" s="499"/>
      <c r="D53" s="501"/>
      <c r="E53" s="500"/>
      <c r="F53" s="527"/>
      <c r="H53" s="821"/>
      <c r="I53" s="822"/>
      <c r="J53" s="822"/>
      <c r="K53" s="822"/>
      <c r="L53" s="527"/>
      <c r="N53" s="499"/>
      <c r="O53" s="822"/>
      <c r="P53" s="823"/>
      <c r="Q53" s="823"/>
      <c r="R53" s="511"/>
      <c r="T53" s="499"/>
      <c r="U53" s="200"/>
      <c r="V53" s="613"/>
      <c r="W53" s="500"/>
      <c r="X53" s="500"/>
      <c r="Y53" s="824"/>
    </row>
    <row r="54" spans="2:46" ht="11.25" customHeight="1">
      <c r="B54" s="499"/>
      <c r="C54" s="499"/>
      <c r="D54" s="501"/>
      <c r="E54" s="500"/>
      <c r="F54" s="527"/>
      <c r="H54" s="516"/>
      <c r="I54" s="265"/>
      <c r="J54" s="265"/>
      <c r="K54" s="265"/>
      <c r="L54" s="527"/>
      <c r="N54" s="341"/>
      <c r="O54" s="265"/>
      <c r="P54" s="420"/>
      <c r="Q54" s="420"/>
      <c r="R54" s="512"/>
      <c r="T54" s="341"/>
      <c r="U54" s="386"/>
      <c r="V54" s="614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4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4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4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4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4"/>
      <c r="W59" s="302"/>
      <c r="X59" s="302"/>
      <c r="Y59" s="535"/>
    </row>
    <row r="60" spans="2:46" ht="11.25" customHeight="1">
      <c r="B60" s="341"/>
      <c r="C60" s="499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4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4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4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7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4"/>
      <c r="W63" s="302"/>
      <c r="X63" s="302"/>
      <c r="Y63" s="535"/>
    </row>
    <row r="64" spans="2:46" ht="11.25" customHeight="1">
      <c r="B64" s="341"/>
      <c r="C64" s="499"/>
      <c r="D64" s="382"/>
      <c r="E64" s="302"/>
      <c r="F64" s="527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4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7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4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7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4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7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4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7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4"/>
      <c r="W68" s="302"/>
      <c r="X68" s="302"/>
      <c r="Y68" s="535"/>
    </row>
    <row r="69" spans="2:25" ht="11.25" customHeight="1">
      <c r="B69" s="341"/>
      <c r="C69" s="499"/>
      <c r="D69" s="382"/>
      <c r="E69" s="302"/>
      <c r="F69" s="527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4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7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4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4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4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4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4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4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4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3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44256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44257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44258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44259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44260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44261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44262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44263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44264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44265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44266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44267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44268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44269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44270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44271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44272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44273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44274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44275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44276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44277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44278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44279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44280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44281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44282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44283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44284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44285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44286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19" sqref="F1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06"/>
      <c r="D6" s="907"/>
      <c r="E6" s="908"/>
      <c r="F6" s="908"/>
      <c r="G6" s="48" t="s">
        <v>4</v>
      </c>
      <c r="H6" s="46" t="s">
        <v>14</v>
      </c>
      <c r="I6" s="41"/>
      <c r="J6" s="113"/>
    </row>
    <row r="7" spans="1:15" ht="18" customHeight="1">
      <c r="A7" s="909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10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>
        <v>30</v>
      </c>
      <c r="C9" s="268">
        <v>85</v>
      </c>
      <c r="D9" s="268">
        <v>85</v>
      </c>
      <c r="E9" s="268"/>
      <c r="F9" s="268">
        <v>75214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44256</v>
      </c>
      <c r="B10" s="268">
        <v>28</v>
      </c>
      <c r="C10" s="268">
        <v>85</v>
      </c>
      <c r="D10" s="268">
        <v>85</v>
      </c>
      <c r="E10" s="268"/>
      <c r="F10" s="268">
        <v>75243.73</v>
      </c>
      <c r="G10" s="268">
        <f t="shared" ref="G10:G41" si="0">(F10-F9)*4.4</f>
        <v>130.81199999998208</v>
      </c>
      <c r="H10" s="111">
        <f>[4]Gen!B11</f>
        <v>7.6999999999999999E-2</v>
      </c>
      <c r="I10" s="6">
        <f>SUM(F10/H10)</f>
        <v>977191.29870129866</v>
      </c>
      <c r="J10" s="116">
        <f t="shared" ref="J10:J40" si="1">SUM(G10/I10)</f>
        <v>1.338652934935392E-4</v>
      </c>
      <c r="N10" s="156"/>
      <c r="O10" s="156"/>
    </row>
    <row r="11" spans="1:15" ht="18.75">
      <c r="A11" s="94">
        <f>Gen!A12</f>
        <v>44257</v>
      </c>
      <c r="B11" s="268">
        <v>25</v>
      </c>
      <c r="C11" s="268">
        <v>85</v>
      </c>
      <c r="D11" s="268">
        <v>85</v>
      </c>
      <c r="E11" s="268"/>
      <c r="F11" s="268">
        <v>75272.710000000006</v>
      </c>
      <c r="G11" s="268">
        <f t="shared" si="0"/>
        <v>127.51200000004611</v>
      </c>
      <c r="H11" s="111">
        <f>[4]Gen!B12</f>
        <v>9.0999999999999998E-2</v>
      </c>
      <c r="I11" s="6">
        <f t="shared" ref="I11:I41" si="2">SUM(F11/H11)</f>
        <v>827172.63736263744</v>
      </c>
      <c r="J11" s="116">
        <f t="shared" si="1"/>
        <v>1.5415403537356626E-4</v>
      </c>
      <c r="M11" s="156"/>
      <c r="N11" s="156"/>
    </row>
    <row r="12" spans="1:15" ht="18.75">
      <c r="A12" s="94">
        <f>Gen!A13</f>
        <v>44258</v>
      </c>
      <c r="B12" s="268">
        <v>23</v>
      </c>
      <c r="C12" s="268">
        <v>85</v>
      </c>
      <c r="D12" s="268">
        <v>85</v>
      </c>
      <c r="E12" s="268"/>
      <c r="F12" s="268">
        <v>75288.38</v>
      </c>
      <c r="G12" s="268">
        <f t="shared" si="0"/>
        <v>68.947999999992319</v>
      </c>
      <c r="H12" s="111">
        <f>[4]Gen!B13</f>
        <v>1.2999999999999999E-2</v>
      </c>
      <c r="I12" s="6">
        <f t="shared" si="2"/>
        <v>5791413.8461538469</v>
      </c>
      <c r="J12" s="116">
        <f t="shared" si="1"/>
        <v>1.1905210339230303E-5</v>
      </c>
      <c r="M12" s="156"/>
      <c r="N12" s="156"/>
    </row>
    <row r="13" spans="1:15" ht="18.75">
      <c r="A13" s="94">
        <f>Gen!A14</f>
        <v>44259</v>
      </c>
      <c r="B13" s="268"/>
      <c r="C13" s="268"/>
      <c r="D13" s="268"/>
      <c r="E13" s="268"/>
      <c r="F13" s="268"/>
      <c r="G13" s="268">
        <f t="shared" si="0"/>
        <v>-331268.87200000003</v>
      </c>
      <c r="H13" s="111">
        <f>[4]Gen!B14</f>
        <v>1.2999999999999999E-2</v>
      </c>
      <c r="I13" s="6">
        <f t="shared" si="2"/>
        <v>0</v>
      </c>
      <c r="J13" s="116" t="e">
        <f t="shared" si="1"/>
        <v>#DIV/0!</v>
      </c>
      <c r="M13" s="156"/>
      <c r="N13" s="156"/>
    </row>
    <row r="14" spans="1:15" ht="18.75">
      <c r="A14" s="94">
        <f>Gen!A15</f>
        <v>44260</v>
      </c>
      <c r="B14" s="268"/>
      <c r="C14" s="268"/>
      <c r="D14" s="268"/>
      <c r="E14" s="268"/>
      <c r="F14" s="268"/>
      <c r="G14" s="268">
        <f t="shared" si="0"/>
        <v>0</v>
      </c>
      <c r="H14" s="111">
        <f>[4]Gen!B15</f>
        <v>0.01</v>
      </c>
      <c r="I14" s="6">
        <f t="shared" si="2"/>
        <v>0</v>
      </c>
      <c r="J14" s="116" t="e">
        <f t="shared" si="1"/>
        <v>#DIV/0!</v>
      </c>
      <c r="M14" s="156"/>
      <c r="N14" s="156"/>
    </row>
    <row r="15" spans="1:15" ht="18.75">
      <c r="A15" s="94">
        <f>Gen!A16</f>
        <v>44261</v>
      </c>
      <c r="B15" s="268"/>
      <c r="C15" s="268"/>
      <c r="D15" s="268"/>
      <c r="E15" s="268"/>
      <c r="F15" s="268"/>
      <c r="G15" s="268">
        <f t="shared" si="0"/>
        <v>0</v>
      </c>
      <c r="H15" s="111">
        <f>[4]Gen!B16</f>
        <v>0.01</v>
      </c>
      <c r="I15" s="6">
        <f t="shared" si="2"/>
        <v>0</v>
      </c>
      <c r="J15" s="116" t="e">
        <f t="shared" si="1"/>
        <v>#DIV/0!</v>
      </c>
      <c r="M15" s="156"/>
      <c r="N15" s="156"/>
    </row>
    <row r="16" spans="1:15" ht="18.75">
      <c r="A16" s="94">
        <f>Gen!A17</f>
        <v>44262</v>
      </c>
      <c r="B16" s="268"/>
      <c r="C16" s="268"/>
      <c r="D16" s="268"/>
      <c r="E16" s="268"/>
      <c r="F16" s="268"/>
      <c r="G16" s="268">
        <f t="shared" si="0"/>
        <v>0</v>
      </c>
      <c r="H16" s="111">
        <f>[4]Gen!B17</f>
        <v>0.01</v>
      </c>
      <c r="I16" s="6">
        <f t="shared" si="2"/>
        <v>0</v>
      </c>
      <c r="J16" s="116" t="e">
        <f t="shared" si="1"/>
        <v>#DIV/0!</v>
      </c>
      <c r="M16" s="156"/>
      <c r="N16" s="156"/>
    </row>
    <row r="17" spans="1:14" ht="18.75">
      <c r="A17" s="94">
        <f>Gen!A18</f>
        <v>44263</v>
      </c>
      <c r="B17" s="268"/>
      <c r="C17" s="268"/>
      <c r="D17" s="268"/>
      <c r="E17" s="268"/>
      <c r="F17" s="268"/>
      <c r="G17" s="268">
        <f t="shared" si="0"/>
        <v>0</v>
      </c>
      <c r="H17" s="111">
        <f>[4]Gen!B18</f>
        <v>0.01</v>
      </c>
      <c r="I17" s="6">
        <f t="shared" si="2"/>
        <v>0</v>
      </c>
      <c r="J17" s="116" t="e">
        <f t="shared" si="1"/>
        <v>#DIV/0!</v>
      </c>
      <c r="M17" s="156"/>
      <c r="N17" s="156"/>
    </row>
    <row r="18" spans="1:14" ht="18.75">
      <c r="A18" s="94">
        <f>Gen!A19</f>
        <v>44264</v>
      </c>
      <c r="B18" s="268"/>
      <c r="C18" s="268"/>
      <c r="D18" s="268"/>
      <c r="E18" s="268"/>
      <c r="F18" s="268"/>
      <c r="G18" s="268">
        <f t="shared" si="0"/>
        <v>0</v>
      </c>
      <c r="H18" s="111">
        <f>[4]Gen!B19</f>
        <v>0.01</v>
      </c>
      <c r="I18" s="6">
        <f t="shared" si="2"/>
        <v>0</v>
      </c>
      <c r="J18" s="116" t="e">
        <f t="shared" si="1"/>
        <v>#DIV/0!</v>
      </c>
      <c r="M18" s="156"/>
      <c r="N18" s="156"/>
    </row>
    <row r="19" spans="1:14" ht="18.75">
      <c r="A19" s="94">
        <f>Gen!A20</f>
        <v>44265</v>
      </c>
      <c r="B19" s="268"/>
      <c r="C19" s="268"/>
      <c r="D19" s="268"/>
      <c r="E19" s="268"/>
      <c r="F19" s="268"/>
      <c r="G19" s="268">
        <f t="shared" si="0"/>
        <v>0</v>
      </c>
      <c r="H19" s="111">
        <f>[4]Gen!B20</f>
        <v>0.01</v>
      </c>
      <c r="I19" s="6">
        <f t="shared" si="2"/>
        <v>0</v>
      </c>
      <c r="J19" s="116" t="e">
        <f t="shared" si="1"/>
        <v>#DIV/0!</v>
      </c>
      <c r="M19" s="156"/>
      <c r="N19" s="156"/>
    </row>
    <row r="20" spans="1:14" ht="18.75">
      <c r="A20" s="94">
        <f>Gen!A21</f>
        <v>44266</v>
      </c>
      <c r="B20" s="268"/>
      <c r="C20" s="268"/>
      <c r="D20" s="268"/>
      <c r="E20" s="268"/>
      <c r="F20" s="268"/>
      <c r="G20" s="268">
        <f t="shared" si="0"/>
        <v>0</v>
      </c>
      <c r="H20" s="111">
        <f>[4]Gen!B21</f>
        <v>0.01</v>
      </c>
      <c r="I20" s="6">
        <f t="shared" si="2"/>
        <v>0</v>
      </c>
      <c r="J20" s="116" t="e">
        <f t="shared" si="1"/>
        <v>#DIV/0!</v>
      </c>
    </row>
    <row r="21" spans="1:14" ht="18.75">
      <c r="A21" s="94">
        <f>Gen!A22</f>
        <v>44267</v>
      </c>
      <c r="B21" s="268"/>
      <c r="C21" s="268"/>
      <c r="D21" s="268"/>
      <c r="E21" s="268"/>
      <c r="F21" s="268"/>
      <c r="G21" s="268">
        <f t="shared" si="0"/>
        <v>0</v>
      </c>
      <c r="H21" s="111">
        <f>[4]Gen!B22</f>
        <v>0.03</v>
      </c>
      <c r="I21" s="6">
        <f t="shared" si="2"/>
        <v>0</v>
      </c>
      <c r="J21" s="116" t="e">
        <f t="shared" si="1"/>
        <v>#DIV/0!</v>
      </c>
    </row>
    <row r="22" spans="1:14" ht="18.75">
      <c r="A22" s="94">
        <f>Gen!A23</f>
        <v>44268</v>
      </c>
      <c r="B22" s="268"/>
      <c r="C22" s="268"/>
      <c r="D22" s="268"/>
      <c r="E22" s="268"/>
      <c r="F22" s="268"/>
      <c r="G22" s="268">
        <f t="shared" si="0"/>
        <v>0</v>
      </c>
      <c r="H22" s="111">
        <f>[4]Gen!B23</f>
        <v>0.22</v>
      </c>
      <c r="I22" s="6">
        <f t="shared" si="2"/>
        <v>0</v>
      </c>
      <c r="J22" s="116" t="e">
        <f t="shared" si="1"/>
        <v>#DIV/0!</v>
      </c>
    </row>
    <row r="23" spans="1:14" ht="18.75">
      <c r="A23" s="94">
        <f>Gen!A24</f>
        <v>44269</v>
      </c>
      <c r="B23" s="268"/>
      <c r="C23" s="268"/>
      <c r="D23" s="268"/>
      <c r="E23" s="268"/>
      <c r="F23" s="268"/>
      <c r="G23" s="268">
        <f t="shared" si="0"/>
        <v>0</v>
      </c>
      <c r="H23" s="111">
        <f>[4]Gen!B24</f>
        <v>0.23</v>
      </c>
      <c r="I23" s="6">
        <f t="shared" si="2"/>
        <v>0</v>
      </c>
      <c r="J23" s="116" t="e">
        <f t="shared" si="1"/>
        <v>#DIV/0!</v>
      </c>
    </row>
    <row r="24" spans="1:14" ht="18.75">
      <c r="A24" s="94">
        <f>Gen!A25</f>
        <v>44270</v>
      </c>
      <c r="B24" s="268"/>
      <c r="C24" s="268"/>
      <c r="D24" s="268"/>
      <c r="E24" s="268"/>
      <c r="F24" s="268"/>
      <c r="G24" s="268">
        <f t="shared" si="0"/>
        <v>0</v>
      </c>
      <c r="H24" s="111">
        <f>[4]Gen!B25</f>
        <v>0.21</v>
      </c>
      <c r="I24" s="6">
        <f t="shared" si="2"/>
        <v>0</v>
      </c>
      <c r="J24" s="116" t="e">
        <f t="shared" si="1"/>
        <v>#DIV/0!</v>
      </c>
    </row>
    <row r="25" spans="1:14" ht="18.75">
      <c r="A25" s="94">
        <f>Gen!A26</f>
        <v>44271</v>
      </c>
      <c r="B25" s="268"/>
      <c r="C25" s="268"/>
      <c r="D25" s="268"/>
      <c r="E25" s="268"/>
      <c r="F25" s="268"/>
      <c r="G25" s="268">
        <f t="shared" si="0"/>
        <v>0</v>
      </c>
      <c r="H25" s="111">
        <f>[4]Gen!B26</f>
        <v>0.03</v>
      </c>
      <c r="I25" s="6">
        <f t="shared" si="2"/>
        <v>0</v>
      </c>
      <c r="J25" s="116" t="e">
        <f t="shared" si="1"/>
        <v>#DIV/0!</v>
      </c>
    </row>
    <row r="26" spans="1:14" ht="18.75">
      <c r="A26" s="94">
        <f>Gen!A27</f>
        <v>44272</v>
      </c>
      <c r="B26" s="268"/>
      <c r="C26" s="268"/>
      <c r="D26" s="268"/>
      <c r="E26" s="268"/>
      <c r="F26" s="268"/>
      <c r="G26" s="268">
        <f t="shared" si="0"/>
        <v>0</v>
      </c>
      <c r="H26" s="111">
        <f>[4]Gen!B27</f>
        <v>0.06</v>
      </c>
      <c r="I26" s="6">
        <f t="shared" si="2"/>
        <v>0</v>
      </c>
      <c r="J26" s="116" t="e">
        <f t="shared" si="1"/>
        <v>#DIV/0!</v>
      </c>
    </row>
    <row r="27" spans="1:14" ht="18.75">
      <c r="A27" s="94">
        <f>Gen!A28</f>
        <v>44273</v>
      </c>
      <c r="B27" s="268"/>
      <c r="C27" s="268"/>
      <c r="D27" s="268"/>
      <c r="E27" s="268"/>
      <c r="F27" s="268"/>
      <c r="G27" s="268">
        <f t="shared" si="0"/>
        <v>0</v>
      </c>
      <c r="H27" s="111">
        <f>[4]Gen!B28</f>
        <v>0.05</v>
      </c>
      <c r="I27" s="6">
        <f t="shared" si="2"/>
        <v>0</v>
      </c>
      <c r="J27" s="116" t="e">
        <f t="shared" si="1"/>
        <v>#DIV/0!</v>
      </c>
    </row>
    <row r="28" spans="1:14" ht="18.75">
      <c r="A28" s="94">
        <f>Gen!A29</f>
        <v>44274</v>
      </c>
      <c r="B28" s="268"/>
      <c r="C28" s="268"/>
      <c r="D28" s="268"/>
      <c r="E28" s="268"/>
      <c r="F28" s="268"/>
      <c r="G28" s="268">
        <f t="shared" si="0"/>
        <v>0</v>
      </c>
      <c r="H28" s="111">
        <f>[4]Gen!B29</f>
        <v>7.7899999999999997E-2</v>
      </c>
      <c r="I28" s="6">
        <f t="shared" si="2"/>
        <v>0</v>
      </c>
      <c r="J28" s="116" t="e">
        <f t="shared" si="1"/>
        <v>#DIV/0!</v>
      </c>
    </row>
    <row r="29" spans="1:14" ht="18.75">
      <c r="A29" s="94">
        <f>Gen!A30</f>
        <v>44275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6">
        <f t="shared" si="2"/>
        <v>0</v>
      </c>
      <c r="J29" s="116" t="e">
        <f t="shared" si="1"/>
        <v>#DIV/0!</v>
      </c>
    </row>
    <row r="30" spans="1:14" ht="18.75">
      <c r="A30" s="94">
        <f>Gen!A31</f>
        <v>44276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6">
        <f t="shared" si="2"/>
        <v>0</v>
      </c>
      <c r="J30" s="116" t="e">
        <f t="shared" si="1"/>
        <v>#DIV/0!</v>
      </c>
    </row>
    <row r="31" spans="1:14" ht="18.75">
      <c r="A31" s="94">
        <f>Gen!A32</f>
        <v>44277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6">
        <f t="shared" si="2"/>
        <v>0</v>
      </c>
      <c r="J31" s="116" t="e">
        <f t="shared" si="1"/>
        <v>#DIV/0!</v>
      </c>
    </row>
    <row r="32" spans="1:14" ht="18.75">
      <c r="A32" s="94">
        <f>Gen!A33</f>
        <v>44278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6">
        <f t="shared" si="2"/>
        <v>0</v>
      </c>
      <c r="J32" s="116" t="e">
        <f t="shared" si="1"/>
        <v>#DIV/0!</v>
      </c>
    </row>
    <row r="33" spans="1:10" ht="18.75">
      <c r="A33" s="94">
        <f>Gen!A34</f>
        <v>44279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6">
        <f t="shared" si="2"/>
        <v>0</v>
      </c>
      <c r="J33" s="116" t="e">
        <f t="shared" si="1"/>
        <v>#DIV/0!</v>
      </c>
    </row>
    <row r="34" spans="1:10" ht="18.75">
      <c r="A34" s="94">
        <f>Gen!A35</f>
        <v>44280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6">
        <f t="shared" si="2"/>
        <v>0</v>
      </c>
      <c r="J34" s="116" t="e">
        <f t="shared" si="1"/>
        <v>#DIV/0!</v>
      </c>
    </row>
    <row r="35" spans="1:10" ht="18.75">
      <c r="A35" s="94">
        <f>Gen!A36</f>
        <v>44281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6">
        <f t="shared" si="2"/>
        <v>0</v>
      </c>
      <c r="J35" s="116" t="e">
        <f t="shared" si="1"/>
        <v>#DIV/0!</v>
      </c>
    </row>
    <row r="36" spans="1:10" ht="18.75">
      <c r="A36" s="94">
        <f>Gen!A37</f>
        <v>44282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6">
        <f t="shared" si="2"/>
        <v>0</v>
      </c>
      <c r="J36" s="116" t="e">
        <f t="shared" si="1"/>
        <v>#DIV/0!</v>
      </c>
    </row>
    <row r="37" spans="1:10" ht="18.75">
      <c r="A37" s="94">
        <f>Gen!A38</f>
        <v>44283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6">
        <f t="shared" si="2"/>
        <v>0</v>
      </c>
      <c r="J37" s="116" t="e">
        <f t="shared" si="1"/>
        <v>#DIV/0!</v>
      </c>
    </row>
    <row r="38" spans="1:10" ht="18.75">
      <c r="A38" s="94">
        <f>Gen!A39</f>
        <v>44284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6">
        <f t="shared" si="2"/>
        <v>0</v>
      </c>
      <c r="J38" s="116" t="e">
        <f t="shared" si="1"/>
        <v>#DIV/0!</v>
      </c>
    </row>
    <row r="39" spans="1:10" ht="18.75">
      <c r="A39" s="94">
        <f>Gen!A40</f>
        <v>44285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6">
        <f t="shared" si="2"/>
        <v>0</v>
      </c>
      <c r="J39" s="116" t="e">
        <f t="shared" si="1"/>
        <v>#DIV/0!</v>
      </c>
    </row>
    <row r="40" spans="1:10" ht="18.75">
      <c r="A40" s="94">
        <f>Gen!A41</f>
        <v>44286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6">
        <f t="shared" si="2"/>
        <v>0</v>
      </c>
      <c r="J40" s="116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6" t="e">
        <f t="shared" si="2"/>
        <v>#DIV/0!</v>
      </c>
      <c r="J41" s="6"/>
    </row>
    <row r="42" spans="1:10" ht="17.25">
      <c r="A42" s="94"/>
      <c r="B42" s="5"/>
      <c r="C42" s="905" t="s">
        <v>6</v>
      </c>
      <c r="D42" s="905"/>
      <c r="E42" s="2">
        <f t="shared" ref="E42" si="3">SUM(E10:E40)</f>
        <v>0</v>
      </c>
      <c r="F42" s="2">
        <f>SUM(F10:F41)</f>
        <v>225804.82</v>
      </c>
      <c r="G42" s="101">
        <f>SUM(G10:G40)</f>
        <v>-330941.60000000003</v>
      </c>
      <c r="H42" s="111">
        <f>[4]Gen!B43</f>
        <v>0.18598064516129031</v>
      </c>
      <c r="I42" s="6"/>
      <c r="J42" s="116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04"/>
      <c r="C45" s="904"/>
      <c r="D45" s="904"/>
      <c r="E45" s="904"/>
      <c r="F45" s="904"/>
      <c r="G45" s="904"/>
      <c r="H45" s="904"/>
      <c r="I45" s="839"/>
      <c r="J45" s="846"/>
    </row>
    <row r="46" spans="1:10">
      <c r="A46" s="19"/>
      <c r="B46" s="904"/>
      <c r="C46" s="904"/>
      <c r="D46" s="904"/>
      <c r="E46" s="904"/>
      <c r="F46" s="904"/>
      <c r="G46" s="904"/>
      <c r="H46" s="904"/>
      <c r="I46" s="839"/>
      <c r="J46" s="846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46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46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46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46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46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46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46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46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45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44256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44257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44258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44259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44260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44261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44262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44263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44264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44265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44266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44267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44268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44269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44270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44271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44272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44273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44274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44275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44276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44277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44278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44279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44280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44281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44282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44283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44284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44285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44286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zoomScale="94" zoomScaleNormal="94" workbookViewId="0">
      <pane xSplit="1" topLeftCell="B1" activePane="topRight" state="frozen"/>
      <selection pane="topRight" activeCell="AI10" sqref="AI1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15" t="s">
        <v>315</v>
      </c>
      <c r="B1" s="916"/>
      <c r="C1" s="916"/>
      <c r="D1" s="916"/>
      <c r="E1" s="916"/>
      <c r="F1" s="916"/>
      <c r="G1" s="916"/>
      <c r="H1" s="916"/>
      <c r="I1" s="916"/>
      <c r="J1" s="916"/>
      <c r="K1" s="916"/>
      <c r="L1" s="916"/>
      <c r="M1" s="916"/>
      <c r="N1" s="916"/>
      <c r="O1" s="916"/>
      <c r="P1" s="916"/>
      <c r="Q1" s="916"/>
      <c r="R1" s="916"/>
      <c r="S1" s="916"/>
      <c r="T1" s="916"/>
      <c r="U1" s="916"/>
      <c r="V1" s="916"/>
      <c r="W1" s="916"/>
      <c r="X1" s="916"/>
      <c r="Y1" s="916"/>
      <c r="Z1" s="916"/>
      <c r="AA1" s="916"/>
      <c r="AB1" s="916"/>
      <c r="AC1" s="916"/>
      <c r="AD1" s="916"/>
      <c r="AE1" s="916"/>
      <c r="AF1" s="916"/>
      <c r="AG1" s="916"/>
      <c r="AH1" s="916"/>
      <c r="AI1" s="916"/>
      <c r="AJ1" s="916"/>
      <c r="AK1" s="916"/>
      <c r="AL1" s="916"/>
      <c r="AM1" s="916"/>
      <c r="AN1" s="916"/>
    </row>
    <row r="2" spans="1:40" ht="13.5" customHeight="1" thickTop="1">
      <c r="A2" s="29"/>
      <c r="B2" s="29"/>
      <c r="C2" s="912" t="s">
        <v>52</v>
      </c>
      <c r="D2" s="912"/>
      <c r="E2" s="912"/>
      <c r="F2" s="912" t="s">
        <v>17</v>
      </c>
      <c r="G2" s="912"/>
      <c r="H2" s="912"/>
      <c r="I2" s="912" t="s">
        <v>131</v>
      </c>
      <c r="J2" s="912"/>
      <c r="K2" s="912"/>
      <c r="L2" s="912" t="s">
        <v>134</v>
      </c>
      <c r="M2" s="912"/>
      <c r="N2" s="912"/>
      <c r="O2" s="912" t="s">
        <v>132</v>
      </c>
      <c r="P2" s="912"/>
      <c r="Q2" s="912"/>
      <c r="R2" s="252"/>
      <c r="S2" s="923" t="s">
        <v>181</v>
      </c>
      <c r="T2" s="924"/>
      <c r="U2" s="925"/>
      <c r="V2" s="923" t="s">
        <v>182</v>
      </c>
      <c r="W2" s="924"/>
      <c r="X2" s="925"/>
      <c r="Y2" s="923" t="s">
        <v>183</v>
      </c>
      <c r="Z2" s="924"/>
      <c r="AA2" s="925"/>
      <c r="AB2" s="923" t="s">
        <v>184</v>
      </c>
      <c r="AC2" s="924"/>
      <c r="AD2" s="925"/>
      <c r="AE2" s="917" t="s">
        <v>239</v>
      </c>
      <c r="AF2" s="918"/>
      <c r="AG2" s="929"/>
      <c r="AH2" s="917" t="s">
        <v>243</v>
      </c>
      <c r="AI2" s="918"/>
      <c r="AJ2" s="929"/>
      <c r="AK2" s="917" t="s">
        <v>240</v>
      </c>
      <c r="AL2" s="918"/>
      <c r="AM2" s="918"/>
      <c r="AN2" s="921" t="s">
        <v>189</v>
      </c>
    </row>
    <row r="3" spans="1:40" ht="21.75" customHeight="1" thickBot="1">
      <c r="A3" s="913" t="s">
        <v>7</v>
      </c>
      <c r="B3" s="29"/>
      <c r="C3" s="912" t="s">
        <v>133</v>
      </c>
      <c r="D3" s="912" t="s">
        <v>15</v>
      </c>
      <c r="E3" s="912" t="s">
        <v>16</v>
      </c>
      <c r="F3" s="912" t="s">
        <v>133</v>
      </c>
      <c r="G3" s="912" t="s">
        <v>15</v>
      </c>
      <c r="H3" s="912" t="s">
        <v>16</v>
      </c>
      <c r="I3" s="912" t="s">
        <v>133</v>
      </c>
      <c r="J3" s="912" t="s">
        <v>15</v>
      </c>
      <c r="K3" s="912" t="s">
        <v>16</v>
      </c>
      <c r="L3" s="912" t="s">
        <v>133</v>
      </c>
      <c r="M3" s="912" t="s">
        <v>15</v>
      </c>
      <c r="N3" s="912" t="s">
        <v>16</v>
      </c>
      <c r="O3" s="912" t="s">
        <v>133</v>
      </c>
      <c r="P3" s="912" t="s">
        <v>15</v>
      </c>
      <c r="Q3" s="912" t="s">
        <v>16</v>
      </c>
      <c r="R3" s="931" t="s">
        <v>185</v>
      </c>
      <c r="S3" s="926"/>
      <c r="T3" s="927"/>
      <c r="U3" s="928"/>
      <c r="V3" s="926"/>
      <c r="W3" s="927"/>
      <c r="X3" s="928"/>
      <c r="Y3" s="926"/>
      <c r="Z3" s="927"/>
      <c r="AA3" s="928"/>
      <c r="AB3" s="926"/>
      <c r="AC3" s="927"/>
      <c r="AD3" s="928"/>
      <c r="AE3" s="919"/>
      <c r="AF3" s="920"/>
      <c r="AG3" s="930"/>
      <c r="AH3" s="919"/>
      <c r="AI3" s="920"/>
      <c r="AJ3" s="930"/>
      <c r="AK3" s="919"/>
      <c r="AL3" s="920"/>
      <c r="AM3" s="920"/>
      <c r="AN3" s="922"/>
    </row>
    <row r="4" spans="1:40" ht="15.75" thickTop="1">
      <c r="A4" s="914"/>
      <c r="B4" s="244"/>
      <c r="C4" s="912"/>
      <c r="D4" s="912"/>
      <c r="E4" s="912"/>
      <c r="F4" s="912"/>
      <c r="G4" s="912"/>
      <c r="H4" s="912"/>
      <c r="I4" s="912"/>
      <c r="J4" s="912"/>
      <c r="K4" s="912"/>
      <c r="L4" s="912"/>
      <c r="M4" s="912"/>
      <c r="N4" s="912"/>
      <c r="O4" s="912"/>
      <c r="P4" s="912"/>
      <c r="Q4" s="912"/>
      <c r="R4" s="931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4" t="s">
        <v>186</v>
      </c>
      <c r="AC4" s="605" t="s">
        <v>187</v>
      </c>
      <c r="AD4" s="606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250828</v>
      </c>
      <c r="E5" s="58">
        <f t="shared" ref="E5:E15" si="1">IF((D5-D4)&lt;0,"0",(D5-D4))</f>
        <v>250828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8294</v>
      </c>
      <c r="K5" s="474">
        <f t="shared" ref="K5:K6" si="4">J5-J4</f>
        <v>8294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21001</v>
      </c>
      <c r="Q5" s="474">
        <f t="shared" ref="Q5:Q27" si="7">IF((P5-P4)&lt;0,"0",(P5-P4))</f>
        <v>21001</v>
      </c>
      <c r="R5" s="246"/>
      <c r="S5" s="245"/>
      <c r="T5" s="384">
        <v>65312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89790</v>
      </c>
      <c r="AA5" s="246">
        <v>0</v>
      </c>
      <c r="AB5" s="607" t="str">
        <f>AC4</f>
        <v>FINAL</v>
      </c>
      <c r="AC5" s="611">
        <v>18277</v>
      </c>
      <c r="AD5" s="609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29487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44256</v>
      </c>
      <c r="B6" s="4"/>
      <c r="C6" s="95">
        <f t="shared" si="0"/>
        <v>250828</v>
      </c>
      <c r="D6" s="1">
        <v>250892</v>
      </c>
      <c r="E6" s="58">
        <f t="shared" si="1"/>
        <v>64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8294</v>
      </c>
      <c r="J6" s="1">
        <v>8296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21001</v>
      </c>
      <c r="P6" s="383">
        <v>21005</v>
      </c>
      <c r="Q6" s="474">
        <f t="shared" si="7"/>
        <v>4</v>
      </c>
      <c r="R6" s="250"/>
      <c r="S6" s="245">
        <f t="shared" ref="S6:S24" si="15">T5</f>
        <v>65312</v>
      </c>
      <c r="T6" s="384">
        <v>65312</v>
      </c>
      <c r="U6" s="475">
        <f t="shared" ref="U6:U24" si="16">IF((T6-T5)&lt;0,"0",(T6-T5))</f>
        <v>0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89790</v>
      </c>
      <c r="Z6" s="384">
        <v>89796</v>
      </c>
      <c r="AA6" s="475">
        <f t="shared" ref="AA6:AA37" si="18">IF((Z6-Z5)&lt;0,"0",(Z6-Z5))</f>
        <v>6</v>
      </c>
      <c r="AB6" s="607">
        <f>AC5</f>
        <v>18277</v>
      </c>
      <c r="AC6" s="618">
        <v>18293</v>
      </c>
      <c r="AD6" s="610">
        <f>IF((AC6-AC5)&lt;0,"0",(AC6-AC5))</f>
        <v>16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29487</v>
      </c>
      <c r="AI6" s="385">
        <v>29512</v>
      </c>
      <c r="AJ6" s="475">
        <f t="shared" ref="AJ6:AJ37" si="20">IF((AI6-AI5)&lt;0,"0",(AI6-AI5))</f>
        <v>25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47</v>
      </c>
    </row>
    <row r="7" spans="1:40" ht="23.1" customHeight="1">
      <c r="A7" s="57">
        <f>Gen!A12</f>
        <v>44257</v>
      </c>
      <c r="B7" s="4"/>
      <c r="C7" s="95">
        <f t="shared" si="0"/>
        <v>250892</v>
      </c>
      <c r="D7" s="1">
        <v>250948</v>
      </c>
      <c r="E7" s="58">
        <f t="shared" si="1"/>
        <v>56</v>
      </c>
      <c r="F7" s="95">
        <f t="shared" si="2"/>
        <v>0</v>
      </c>
      <c r="G7" s="387"/>
      <c r="H7" s="474">
        <f t="shared" si="13"/>
        <v>0</v>
      </c>
      <c r="I7" s="95">
        <f t="shared" si="3"/>
        <v>8296</v>
      </c>
      <c r="J7" s="1">
        <v>8298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21005</v>
      </c>
      <c r="P7" s="383">
        <v>21007</v>
      </c>
      <c r="Q7" s="474">
        <f t="shared" si="7"/>
        <v>2</v>
      </c>
      <c r="R7" s="250"/>
      <c r="S7" s="245">
        <f t="shared" si="15"/>
        <v>65312</v>
      </c>
      <c r="T7" s="384">
        <v>65400</v>
      </c>
      <c r="U7" s="475">
        <f t="shared" si="16"/>
        <v>88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89796</v>
      </c>
      <c r="Z7" s="384">
        <v>89837</v>
      </c>
      <c r="AA7" s="475">
        <f t="shared" si="18"/>
        <v>41</v>
      </c>
      <c r="AB7" s="607">
        <f t="shared" ref="AB7:AB37" si="22">AC6</f>
        <v>18293</v>
      </c>
      <c r="AC7" s="608">
        <v>18309</v>
      </c>
      <c r="AD7" s="610">
        <f t="shared" ref="AD7:AD37" si="23">IF((AC7-AC6)&lt;0,"0",(AC7-AC6))</f>
        <v>16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29512</v>
      </c>
      <c r="AI7" s="385">
        <v>29539</v>
      </c>
      <c r="AJ7" s="475">
        <f t="shared" si="20"/>
        <v>27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172</v>
      </c>
    </row>
    <row r="8" spans="1:40" ht="23.1" customHeight="1">
      <c r="A8" s="57">
        <f>Gen!A13</f>
        <v>44258</v>
      </c>
      <c r="B8" s="4"/>
      <c r="C8" s="95">
        <f t="shared" si="0"/>
        <v>250948</v>
      </c>
      <c r="D8" s="1">
        <v>251013</v>
      </c>
      <c r="E8" s="58">
        <f t="shared" si="1"/>
        <v>65</v>
      </c>
      <c r="F8" s="95">
        <f t="shared" si="2"/>
        <v>0</v>
      </c>
      <c r="G8" s="387"/>
      <c r="H8" s="474">
        <f t="shared" si="13"/>
        <v>0</v>
      </c>
      <c r="I8" s="95">
        <f t="shared" si="3"/>
        <v>8298</v>
      </c>
      <c r="J8" s="1">
        <v>8301</v>
      </c>
      <c r="K8" s="474">
        <f>J8-J7</f>
        <v>3</v>
      </c>
      <c r="L8" s="95">
        <f t="shared" si="5"/>
        <v>0</v>
      </c>
      <c r="M8" s="1"/>
      <c r="N8" s="474">
        <f t="shared" si="14"/>
        <v>0</v>
      </c>
      <c r="O8" s="95">
        <f t="shared" si="6"/>
        <v>21007</v>
      </c>
      <c r="P8" s="383">
        <v>21009</v>
      </c>
      <c r="Q8" s="474">
        <f t="shared" si="7"/>
        <v>2</v>
      </c>
      <c r="R8" s="250"/>
      <c r="S8" s="245">
        <f t="shared" si="15"/>
        <v>65400</v>
      </c>
      <c r="T8" s="384">
        <v>65487</v>
      </c>
      <c r="U8" s="475">
        <f t="shared" si="16"/>
        <v>87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89837</v>
      </c>
      <c r="Z8" s="384">
        <v>89869</v>
      </c>
      <c r="AA8" s="475">
        <f t="shared" si="18"/>
        <v>32</v>
      </c>
      <c r="AB8" s="607">
        <f t="shared" si="22"/>
        <v>18309</v>
      </c>
      <c r="AC8" s="608">
        <v>18325</v>
      </c>
      <c r="AD8" s="610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29539</v>
      </c>
      <c r="AI8" s="385">
        <v>29565</v>
      </c>
      <c r="AJ8" s="475">
        <f t="shared" si="20"/>
        <v>26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161</v>
      </c>
    </row>
    <row r="9" spans="1:40" ht="23.1" customHeight="1">
      <c r="A9" s="57">
        <f>Gen!A14</f>
        <v>44259</v>
      </c>
      <c r="B9" s="4"/>
      <c r="C9" s="95">
        <f t="shared" si="0"/>
        <v>251013</v>
      </c>
      <c r="D9" s="1">
        <v>251068</v>
      </c>
      <c r="E9" s="58">
        <f t="shared" si="1"/>
        <v>55</v>
      </c>
      <c r="F9" s="95">
        <f t="shared" si="2"/>
        <v>0</v>
      </c>
      <c r="G9" s="387"/>
      <c r="H9" s="474">
        <f t="shared" si="13"/>
        <v>0</v>
      </c>
      <c r="I9" s="95">
        <f t="shared" si="3"/>
        <v>8301</v>
      </c>
      <c r="J9" s="1">
        <v>8304</v>
      </c>
      <c r="K9" s="474">
        <f>J9-J8</f>
        <v>3</v>
      </c>
      <c r="L9" s="95">
        <f t="shared" si="5"/>
        <v>0</v>
      </c>
      <c r="M9" s="1"/>
      <c r="N9" s="474">
        <f t="shared" si="14"/>
        <v>0</v>
      </c>
      <c r="O9" s="95">
        <f t="shared" si="6"/>
        <v>21009</v>
      </c>
      <c r="P9" s="383">
        <v>21012</v>
      </c>
      <c r="Q9" s="474">
        <f t="shared" si="7"/>
        <v>3</v>
      </c>
      <c r="R9" s="250"/>
      <c r="S9" s="245">
        <f t="shared" si="15"/>
        <v>65487</v>
      </c>
      <c r="T9" s="384">
        <v>65568</v>
      </c>
      <c r="U9" s="475">
        <f t="shared" si="16"/>
        <v>81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89869</v>
      </c>
      <c r="Z9" s="384">
        <v>89869</v>
      </c>
      <c r="AA9" s="475">
        <f t="shared" si="18"/>
        <v>0</v>
      </c>
      <c r="AB9" s="607">
        <f t="shared" si="22"/>
        <v>18325</v>
      </c>
      <c r="AC9" s="608">
        <v>18341</v>
      </c>
      <c r="AD9" s="610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29591</v>
      </c>
      <c r="AI9" s="385">
        <v>29591</v>
      </c>
      <c r="AJ9" s="475">
        <f t="shared" si="20"/>
        <v>26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123</v>
      </c>
    </row>
    <row r="10" spans="1:40" ht="23.1" customHeight="1">
      <c r="A10" s="57">
        <f>Gen!A15</f>
        <v>44260</v>
      </c>
      <c r="B10" s="4"/>
      <c r="C10" s="95">
        <f t="shared" si="0"/>
        <v>251068</v>
      </c>
      <c r="D10" s="1"/>
      <c r="E10" s="58" t="str">
        <f t="shared" si="1"/>
        <v>0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8304</v>
      </c>
      <c r="J10" s="1"/>
      <c r="K10" s="474" t="str">
        <f t="shared" ref="K10:K27" si="26">IF((J10-J9)&lt;0,"0",(J10-J9))</f>
        <v>0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21012</v>
      </c>
      <c r="P10" s="383"/>
      <c r="Q10" s="474" t="str">
        <f t="shared" si="7"/>
        <v>0</v>
      </c>
      <c r="R10" s="250"/>
      <c r="S10" s="245">
        <f t="shared" si="15"/>
        <v>65568</v>
      </c>
      <c r="T10" s="384"/>
      <c r="U10" s="475" t="str">
        <f t="shared" si="16"/>
        <v>0</v>
      </c>
      <c r="V10" s="245">
        <f t="shared" si="8"/>
        <v>73031</v>
      </c>
      <c r="W10" s="384"/>
      <c r="X10" s="475" t="str">
        <f t="shared" si="17"/>
        <v>0</v>
      </c>
      <c r="Y10" s="245">
        <f t="shared" si="9"/>
        <v>89869</v>
      </c>
      <c r="Z10" s="384"/>
      <c r="AA10" s="475" t="str">
        <f t="shared" si="18"/>
        <v>0</v>
      </c>
      <c r="AB10" s="607">
        <f t="shared" si="22"/>
        <v>18341</v>
      </c>
      <c r="AC10" s="608"/>
      <c r="AD10" s="610" t="str">
        <f t="shared" si="23"/>
        <v>0</v>
      </c>
      <c r="AE10" s="245">
        <f t="shared" si="10"/>
        <v>18300</v>
      </c>
      <c r="AF10" s="385"/>
      <c r="AG10" s="475" t="str">
        <f t="shared" si="19"/>
        <v>0</v>
      </c>
      <c r="AH10" s="245">
        <f t="shared" si="11"/>
        <v>29591</v>
      </c>
      <c r="AI10" s="385"/>
      <c r="AJ10" s="475" t="str">
        <f t="shared" si="20"/>
        <v>0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0</v>
      </c>
    </row>
    <row r="11" spans="1:40" ht="23.1" customHeight="1">
      <c r="A11" s="57">
        <f>Gen!A16</f>
        <v>44261</v>
      </c>
      <c r="B11" s="4"/>
      <c r="C11" s="95">
        <f t="shared" si="0"/>
        <v>0</v>
      </c>
      <c r="D11" s="1"/>
      <c r="E11" s="58">
        <f t="shared" si="1"/>
        <v>0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0</v>
      </c>
      <c r="J11" s="1"/>
      <c r="K11" s="474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0</v>
      </c>
      <c r="P11" s="383"/>
      <c r="Q11" s="474">
        <f t="shared" si="7"/>
        <v>0</v>
      </c>
      <c r="R11" s="250"/>
      <c r="S11" s="245">
        <f t="shared" si="15"/>
        <v>0</v>
      </c>
      <c r="T11" s="384"/>
      <c r="U11" s="475">
        <f t="shared" si="16"/>
        <v>0</v>
      </c>
      <c r="V11" s="245">
        <f t="shared" si="8"/>
        <v>0</v>
      </c>
      <c r="W11" s="384"/>
      <c r="X11" s="475">
        <f t="shared" si="17"/>
        <v>0</v>
      </c>
      <c r="Y11" s="245">
        <f t="shared" si="9"/>
        <v>0</v>
      </c>
      <c r="Z11" s="384"/>
      <c r="AA11" s="475">
        <f t="shared" si="18"/>
        <v>0</v>
      </c>
      <c r="AB11" s="607">
        <f t="shared" si="22"/>
        <v>0</v>
      </c>
      <c r="AC11" s="608"/>
      <c r="AD11" s="610">
        <f t="shared" si="23"/>
        <v>0</v>
      </c>
      <c r="AE11" s="245">
        <f>AF11</f>
        <v>0</v>
      </c>
      <c r="AF11" s="385"/>
      <c r="AG11" s="475">
        <f t="shared" si="19"/>
        <v>0</v>
      </c>
      <c r="AH11" s="245">
        <f t="shared" si="11"/>
        <v>0</v>
      </c>
      <c r="AI11" s="385"/>
      <c r="AJ11" s="475">
        <f t="shared" si="20"/>
        <v>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0</v>
      </c>
    </row>
    <row r="12" spans="1:40" ht="23.1" customHeight="1">
      <c r="A12" s="57">
        <f>Gen!A17</f>
        <v>44262</v>
      </c>
      <c r="B12" s="4"/>
      <c r="C12" s="95">
        <f t="shared" si="0"/>
        <v>0</v>
      </c>
      <c r="D12" s="1"/>
      <c r="E12" s="58">
        <f t="shared" si="1"/>
        <v>0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0</v>
      </c>
      <c r="J12" s="1"/>
      <c r="K12" s="474">
        <f t="shared" si="26"/>
        <v>0</v>
      </c>
      <c r="L12" s="95">
        <f t="shared" si="5"/>
        <v>0</v>
      </c>
      <c r="M12" s="1"/>
      <c r="N12" s="474">
        <f t="shared" si="14"/>
        <v>0</v>
      </c>
      <c r="O12" s="95">
        <f t="shared" si="6"/>
        <v>0</v>
      </c>
      <c r="P12" s="383"/>
      <c r="Q12" s="474">
        <f t="shared" si="7"/>
        <v>0</v>
      </c>
      <c r="R12" s="250"/>
      <c r="S12" s="245">
        <f t="shared" si="15"/>
        <v>0</v>
      </c>
      <c r="T12" s="384"/>
      <c r="U12" s="475">
        <f t="shared" si="16"/>
        <v>0</v>
      </c>
      <c r="V12" s="245">
        <f t="shared" si="8"/>
        <v>0</v>
      </c>
      <c r="W12" s="384"/>
      <c r="X12" s="475">
        <f t="shared" si="17"/>
        <v>0</v>
      </c>
      <c r="Y12" s="245">
        <f t="shared" si="9"/>
        <v>0</v>
      </c>
      <c r="Z12" s="384"/>
      <c r="AA12" s="475">
        <f t="shared" si="18"/>
        <v>0</v>
      </c>
      <c r="AB12" s="607">
        <f t="shared" si="22"/>
        <v>0</v>
      </c>
      <c r="AC12" s="608"/>
      <c r="AD12" s="610">
        <f t="shared" si="23"/>
        <v>0</v>
      </c>
      <c r="AE12" s="245">
        <f t="shared" ref="AE12:AE20" si="27">AF12</f>
        <v>0</v>
      </c>
      <c r="AF12" s="385"/>
      <c r="AG12" s="475">
        <f t="shared" si="19"/>
        <v>0</v>
      </c>
      <c r="AH12" s="245">
        <f t="shared" si="11"/>
        <v>0</v>
      </c>
      <c r="AI12" s="385"/>
      <c r="AJ12" s="475">
        <f t="shared" si="20"/>
        <v>0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0</v>
      </c>
    </row>
    <row r="13" spans="1:40" ht="23.1" customHeight="1">
      <c r="A13" s="57">
        <f>Gen!A18</f>
        <v>44263</v>
      </c>
      <c r="B13" s="4"/>
      <c r="C13" s="95">
        <f t="shared" si="0"/>
        <v>0</v>
      </c>
      <c r="D13" s="1"/>
      <c r="E13" s="58">
        <f t="shared" si="1"/>
        <v>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0</v>
      </c>
      <c r="J13" s="1"/>
      <c r="K13" s="474">
        <f t="shared" si="26"/>
        <v>0</v>
      </c>
      <c r="L13" s="95">
        <f t="shared" si="5"/>
        <v>0</v>
      </c>
      <c r="M13" s="1"/>
      <c r="N13" s="474">
        <f t="shared" si="14"/>
        <v>0</v>
      </c>
      <c r="O13" s="95">
        <f t="shared" si="6"/>
        <v>0</v>
      </c>
      <c r="P13" s="383"/>
      <c r="Q13" s="474">
        <f t="shared" si="7"/>
        <v>0</v>
      </c>
      <c r="R13" s="250"/>
      <c r="S13" s="245">
        <f t="shared" si="15"/>
        <v>0</v>
      </c>
      <c r="T13" s="384"/>
      <c r="U13" s="475">
        <f t="shared" si="16"/>
        <v>0</v>
      </c>
      <c r="V13" s="245">
        <f t="shared" si="8"/>
        <v>0</v>
      </c>
      <c r="W13" s="384"/>
      <c r="X13" s="475">
        <f t="shared" si="17"/>
        <v>0</v>
      </c>
      <c r="Y13" s="245">
        <f t="shared" si="9"/>
        <v>0</v>
      </c>
      <c r="Z13" s="384"/>
      <c r="AA13" s="475">
        <f t="shared" si="18"/>
        <v>0</v>
      </c>
      <c r="AB13" s="607">
        <f t="shared" si="22"/>
        <v>0</v>
      </c>
      <c r="AC13" s="608"/>
      <c r="AD13" s="610">
        <f t="shared" si="23"/>
        <v>0</v>
      </c>
      <c r="AE13" s="245">
        <f t="shared" si="27"/>
        <v>0</v>
      </c>
      <c r="AF13" s="385"/>
      <c r="AG13" s="475">
        <f t="shared" si="19"/>
        <v>0</v>
      </c>
      <c r="AH13" s="245">
        <f t="shared" si="11"/>
        <v>0</v>
      </c>
      <c r="AI13" s="385"/>
      <c r="AJ13" s="475">
        <f t="shared" si="20"/>
        <v>0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0</v>
      </c>
    </row>
    <row r="14" spans="1:40" ht="23.1" customHeight="1">
      <c r="A14" s="57">
        <f>Gen!A19</f>
        <v>44264</v>
      </c>
      <c r="B14" s="4"/>
      <c r="C14" s="95">
        <f t="shared" si="0"/>
        <v>0</v>
      </c>
      <c r="D14" s="1"/>
      <c r="E14" s="58">
        <f t="shared" si="1"/>
        <v>0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0</v>
      </c>
      <c r="J14" s="1"/>
      <c r="K14" s="474">
        <f t="shared" si="26"/>
        <v>0</v>
      </c>
      <c r="L14" s="95">
        <f t="shared" si="5"/>
        <v>0</v>
      </c>
      <c r="M14" s="1"/>
      <c r="N14" s="474">
        <f t="shared" si="14"/>
        <v>0</v>
      </c>
      <c r="O14" s="95">
        <f t="shared" si="6"/>
        <v>0</v>
      </c>
      <c r="P14" s="383"/>
      <c r="Q14" s="474">
        <f t="shared" si="7"/>
        <v>0</v>
      </c>
      <c r="R14" s="250"/>
      <c r="S14" s="245">
        <f t="shared" si="15"/>
        <v>0</v>
      </c>
      <c r="T14" s="384"/>
      <c r="U14" s="475">
        <f t="shared" si="16"/>
        <v>0</v>
      </c>
      <c r="V14" s="245">
        <f t="shared" si="8"/>
        <v>0</v>
      </c>
      <c r="W14" s="384"/>
      <c r="X14" s="475">
        <f t="shared" si="17"/>
        <v>0</v>
      </c>
      <c r="Y14" s="245">
        <f t="shared" si="9"/>
        <v>0</v>
      </c>
      <c r="Z14" s="384"/>
      <c r="AA14" s="475">
        <f t="shared" si="18"/>
        <v>0</v>
      </c>
      <c r="AB14" s="607">
        <f t="shared" si="22"/>
        <v>0</v>
      </c>
      <c r="AC14" s="611"/>
      <c r="AD14" s="610">
        <f t="shared" si="23"/>
        <v>0</v>
      </c>
      <c r="AE14" s="245">
        <f t="shared" si="27"/>
        <v>0</v>
      </c>
      <c r="AF14" s="385"/>
      <c r="AG14" s="475">
        <f t="shared" si="19"/>
        <v>0</v>
      </c>
      <c r="AH14" s="245">
        <f t="shared" si="11"/>
        <v>0</v>
      </c>
      <c r="AI14" s="385"/>
      <c r="AJ14" s="475">
        <f t="shared" si="20"/>
        <v>0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0</v>
      </c>
    </row>
    <row r="15" spans="1:40" ht="23.1" customHeight="1">
      <c r="A15" s="57">
        <f>Gen!A20</f>
        <v>44265</v>
      </c>
      <c r="B15" s="4"/>
      <c r="C15" s="95">
        <f t="shared" si="0"/>
        <v>0</v>
      </c>
      <c r="D15" s="1"/>
      <c r="E15" s="58">
        <f t="shared" si="1"/>
        <v>0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0</v>
      </c>
      <c r="J15" s="1"/>
      <c r="K15" s="474">
        <f t="shared" si="26"/>
        <v>0</v>
      </c>
      <c r="L15" s="95">
        <f t="shared" si="5"/>
        <v>0</v>
      </c>
      <c r="M15" s="1"/>
      <c r="N15" s="474">
        <f t="shared" si="14"/>
        <v>0</v>
      </c>
      <c r="O15" s="95">
        <f t="shared" si="6"/>
        <v>0</v>
      </c>
      <c r="P15" s="383"/>
      <c r="Q15" s="474">
        <f t="shared" si="7"/>
        <v>0</v>
      </c>
      <c r="R15" s="250"/>
      <c r="S15" s="245">
        <f t="shared" si="15"/>
        <v>0</v>
      </c>
      <c r="T15" s="384"/>
      <c r="U15" s="475">
        <f t="shared" si="16"/>
        <v>0</v>
      </c>
      <c r="V15" s="245">
        <f t="shared" si="8"/>
        <v>0</v>
      </c>
      <c r="W15" s="384"/>
      <c r="X15" s="475">
        <f t="shared" si="17"/>
        <v>0</v>
      </c>
      <c r="Y15" s="245">
        <f t="shared" si="9"/>
        <v>0</v>
      </c>
      <c r="Z15" s="384"/>
      <c r="AA15" s="475">
        <f t="shared" si="18"/>
        <v>0</v>
      </c>
      <c r="AB15" s="607">
        <f t="shared" si="22"/>
        <v>0</v>
      </c>
      <c r="AC15" s="611"/>
      <c r="AD15" s="610">
        <f t="shared" si="23"/>
        <v>0</v>
      </c>
      <c r="AE15" s="245">
        <f t="shared" si="27"/>
        <v>0</v>
      </c>
      <c r="AF15" s="385"/>
      <c r="AG15" s="475">
        <f t="shared" si="19"/>
        <v>0</v>
      </c>
      <c r="AH15" s="245">
        <f t="shared" si="11"/>
        <v>0</v>
      </c>
      <c r="AI15" s="385"/>
      <c r="AJ15" s="475">
        <f t="shared" si="20"/>
        <v>0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0</v>
      </c>
    </row>
    <row r="16" spans="1:40" ht="23.1" customHeight="1">
      <c r="A16" s="57">
        <f>Gen!A21</f>
        <v>44266</v>
      </c>
      <c r="B16" s="4"/>
      <c r="C16" s="95">
        <f t="shared" si="0"/>
        <v>0</v>
      </c>
      <c r="D16" s="1"/>
      <c r="E16" s="58">
        <f>IF((D16-D15)&lt;0,"0",(D16-D15))</f>
        <v>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0</v>
      </c>
      <c r="J16" s="1"/>
      <c r="K16" s="474">
        <f t="shared" si="26"/>
        <v>0</v>
      </c>
      <c r="L16" s="95">
        <f t="shared" si="5"/>
        <v>0</v>
      </c>
      <c r="M16" s="1"/>
      <c r="N16" s="474">
        <f t="shared" si="14"/>
        <v>0</v>
      </c>
      <c r="O16" s="95">
        <f t="shared" si="6"/>
        <v>0</v>
      </c>
      <c r="P16" s="383"/>
      <c r="Q16" s="474">
        <f t="shared" si="7"/>
        <v>0</v>
      </c>
      <c r="R16" s="250"/>
      <c r="S16" s="245">
        <f t="shared" si="15"/>
        <v>0</v>
      </c>
      <c r="T16" s="384"/>
      <c r="U16" s="475">
        <f t="shared" si="16"/>
        <v>0</v>
      </c>
      <c r="V16" s="245">
        <f t="shared" si="8"/>
        <v>0</v>
      </c>
      <c r="W16" s="384"/>
      <c r="X16" s="475">
        <f t="shared" si="17"/>
        <v>0</v>
      </c>
      <c r="Y16" s="245">
        <f t="shared" si="9"/>
        <v>0</v>
      </c>
      <c r="Z16" s="384"/>
      <c r="AA16" s="475">
        <f t="shared" si="18"/>
        <v>0</v>
      </c>
      <c r="AB16" s="607">
        <f t="shared" si="22"/>
        <v>0</v>
      </c>
      <c r="AC16" s="611"/>
      <c r="AD16" s="610">
        <f t="shared" si="23"/>
        <v>0</v>
      </c>
      <c r="AE16" s="245">
        <f t="shared" si="27"/>
        <v>0</v>
      </c>
      <c r="AF16" s="385"/>
      <c r="AG16" s="475">
        <f t="shared" si="19"/>
        <v>0</v>
      </c>
      <c r="AH16" s="245">
        <f t="shared" si="11"/>
        <v>0</v>
      </c>
      <c r="AI16" s="385"/>
      <c r="AJ16" s="475">
        <f t="shared" si="20"/>
        <v>0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0</v>
      </c>
    </row>
    <row r="17" spans="1:40" ht="23.1" customHeight="1">
      <c r="A17" s="57">
        <f>Gen!A22</f>
        <v>44267</v>
      </c>
      <c r="B17" s="4"/>
      <c r="C17" s="95">
        <f t="shared" si="0"/>
        <v>0</v>
      </c>
      <c r="D17" s="1"/>
      <c r="E17" s="474">
        <f>IF((D17-D16)&lt;0,"0",(D17-D16))</f>
        <v>0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0</v>
      </c>
      <c r="J17" s="1"/>
      <c r="K17" s="474">
        <f t="shared" si="26"/>
        <v>0</v>
      </c>
      <c r="L17" s="95">
        <f t="shared" si="5"/>
        <v>0</v>
      </c>
      <c r="M17" s="1"/>
      <c r="N17" s="474">
        <f t="shared" si="14"/>
        <v>0</v>
      </c>
      <c r="O17" s="95">
        <f t="shared" si="6"/>
        <v>0</v>
      </c>
      <c r="P17" s="383"/>
      <c r="Q17" s="474">
        <f t="shared" si="7"/>
        <v>0</v>
      </c>
      <c r="R17" s="250"/>
      <c r="S17" s="245">
        <f t="shared" si="15"/>
        <v>0</v>
      </c>
      <c r="T17" s="384"/>
      <c r="U17" s="475">
        <f t="shared" si="16"/>
        <v>0</v>
      </c>
      <c r="V17" s="245">
        <f t="shared" si="8"/>
        <v>0</v>
      </c>
      <c r="W17" s="384"/>
      <c r="X17" s="475">
        <f>IF((W17-W16)&lt;0,"0",(W17-W16))</f>
        <v>0</v>
      </c>
      <c r="Y17" s="245">
        <f t="shared" si="9"/>
        <v>0</v>
      </c>
      <c r="Z17" s="384"/>
      <c r="AA17" s="475">
        <f>IF((Z17-Z16)&lt;0,"0",(Z17-Z16))</f>
        <v>0</v>
      </c>
      <c r="AB17" s="607">
        <f t="shared" si="22"/>
        <v>0</v>
      </c>
      <c r="AC17" s="611"/>
      <c r="AD17" s="610">
        <f t="shared" si="23"/>
        <v>0</v>
      </c>
      <c r="AE17" s="245">
        <f t="shared" si="27"/>
        <v>0</v>
      </c>
      <c r="AF17" s="385"/>
      <c r="AG17" s="475">
        <f t="shared" si="19"/>
        <v>0</v>
      </c>
      <c r="AH17" s="245">
        <f t="shared" si="11"/>
        <v>0</v>
      </c>
      <c r="AI17" s="385"/>
      <c r="AJ17" s="475">
        <f t="shared" si="20"/>
        <v>0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0</v>
      </c>
    </row>
    <row r="18" spans="1:40" ht="23.1" customHeight="1">
      <c r="A18" s="57">
        <f>Gen!A23</f>
        <v>44268</v>
      </c>
      <c r="B18" s="4"/>
      <c r="C18" s="95">
        <f t="shared" si="0"/>
        <v>0</v>
      </c>
      <c r="D18" s="1"/>
      <c r="E18" s="474">
        <f t="shared" ref="E18:E37" si="28">IF((D18-D17)&lt;0,"0",(D18-D17))</f>
        <v>0</v>
      </c>
      <c r="F18" s="95">
        <f t="shared" si="2"/>
        <v>0</v>
      </c>
      <c r="G18" s="387"/>
      <c r="H18" s="474">
        <f t="shared" si="13"/>
        <v>0</v>
      </c>
      <c r="I18" s="95"/>
      <c r="J18" s="1"/>
      <c r="K18" s="474">
        <f t="shared" si="26"/>
        <v>0</v>
      </c>
      <c r="L18" s="95">
        <f t="shared" si="5"/>
        <v>0</v>
      </c>
      <c r="M18" s="1"/>
      <c r="N18" s="474">
        <f t="shared" si="14"/>
        <v>0</v>
      </c>
      <c r="O18" s="95">
        <f t="shared" si="6"/>
        <v>0</v>
      </c>
      <c r="P18" s="383"/>
      <c r="Q18" s="474">
        <f t="shared" si="7"/>
        <v>0</v>
      </c>
      <c r="R18" s="250"/>
      <c r="S18" s="245">
        <f t="shared" si="15"/>
        <v>0</v>
      </c>
      <c r="T18" s="384"/>
      <c r="U18" s="475">
        <f t="shared" si="16"/>
        <v>0</v>
      </c>
      <c r="V18" s="245">
        <f t="shared" si="8"/>
        <v>0</v>
      </c>
      <c r="W18" s="384"/>
      <c r="X18" s="475">
        <f t="shared" si="17"/>
        <v>0</v>
      </c>
      <c r="Y18" s="245">
        <f t="shared" si="9"/>
        <v>0</v>
      </c>
      <c r="Z18" s="384"/>
      <c r="AA18" s="475">
        <f t="shared" si="18"/>
        <v>0</v>
      </c>
      <c r="AB18" s="607">
        <f t="shared" si="22"/>
        <v>0</v>
      </c>
      <c r="AC18" s="611"/>
      <c r="AD18" s="610">
        <f t="shared" si="23"/>
        <v>0</v>
      </c>
      <c r="AE18" s="245">
        <f t="shared" si="27"/>
        <v>0</v>
      </c>
      <c r="AF18" s="385"/>
      <c r="AG18" s="475">
        <f t="shared" si="19"/>
        <v>0</v>
      </c>
      <c r="AH18" s="245">
        <f>AI17</f>
        <v>0</v>
      </c>
      <c r="AI18" s="385"/>
      <c r="AJ18" s="475">
        <f t="shared" si="20"/>
        <v>0</v>
      </c>
      <c r="AK18" s="315">
        <f t="shared" si="12"/>
        <v>0</v>
      </c>
      <c r="AL18" s="384"/>
      <c r="AM18" s="475">
        <f t="shared" ref="AM18:AM26" si="29">IF((AL18-AL17)&lt;0,"0",(AL18-AL17))</f>
        <v>0</v>
      </c>
      <c r="AN18" s="389">
        <f t="shared" si="24"/>
        <v>0</v>
      </c>
    </row>
    <row r="19" spans="1:40" ht="23.1" customHeight="1">
      <c r="A19" s="57">
        <f>Gen!A24</f>
        <v>44269</v>
      </c>
      <c r="B19" s="4"/>
      <c r="C19" s="95">
        <f t="shared" si="0"/>
        <v>0</v>
      </c>
      <c r="D19" s="1"/>
      <c r="E19" s="474">
        <f t="shared" si="28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0</v>
      </c>
      <c r="J19" s="1"/>
      <c r="K19" s="474">
        <f t="shared" si="26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0</v>
      </c>
      <c r="P19" s="383"/>
      <c r="Q19" s="474">
        <f t="shared" si="7"/>
        <v>0</v>
      </c>
      <c r="R19" s="250"/>
      <c r="S19" s="245">
        <f t="shared" si="15"/>
        <v>0</v>
      </c>
      <c r="T19" s="384"/>
      <c r="U19" s="475">
        <f t="shared" si="16"/>
        <v>0</v>
      </c>
      <c r="V19" s="245">
        <f t="shared" si="8"/>
        <v>0</v>
      </c>
      <c r="W19" s="384"/>
      <c r="X19" s="475">
        <f t="shared" si="17"/>
        <v>0</v>
      </c>
      <c r="Y19" s="245">
        <f t="shared" si="9"/>
        <v>0</v>
      </c>
      <c r="Z19" s="384"/>
      <c r="AA19" s="475">
        <f t="shared" si="18"/>
        <v>0</v>
      </c>
      <c r="AB19" s="607">
        <f t="shared" si="22"/>
        <v>0</v>
      </c>
      <c r="AC19" s="611"/>
      <c r="AD19" s="610">
        <f t="shared" si="23"/>
        <v>0</v>
      </c>
      <c r="AE19" s="245">
        <f t="shared" si="27"/>
        <v>0</v>
      </c>
      <c r="AF19" s="385"/>
      <c r="AG19" s="475">
        <f t="shared" si="19"/>
        <v>0</v>
      </c>
      <c r="AH19" s="245">
        <f>AI18</f>
        <v>0</v>
      </c>
      <c r="AI19" s="385"/>
      <c r="AJ19" s="475">
        <f t="shared" si="20"/>
        <v>0</v>
      </c>
      <c r="AK19" s="315">
        <f t="shared" si="12"/>
        <v>0</v>
      </c>
      <c r="AL19" s="384"/>
      <c r="AM19" s="475">
        <f t="shared" si="29"/>
        <v>0</v>
      </c>
      <c r="AN19" s="389">
        <f t="shared" si="24"/>
        <v>0</v>
      </c>
    </row>
    <row r="20" spans="1:40" ht="23.1" customHeight="1">
      <c r="A20" s="57">
        <f>Gen!A25</f>
        <v>44270</v>
      </c>
      <c r="B20" s="4"/>
      <c r="C20" s="95">
        <f t="shared" si="0"/>
        <v>0</v>
      </c>
      <c r="D20" s="1"/>
      <c r="E20" s="474">
        <f t="shared" si="28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6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7">
        <f t="shared" si="22"/>
        <v>0</v>
      </c>
      <c r="AC20" s="611"/>
      <c r="AD20" s="610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29"/>
        <v>0</v>
      </c>
      <c r="AN20" s="389">
        <f t="shared" si="24"/>
        <v>0</v>
      </c>
    </row>
    <row r="21" spans="1:40" ht="23.1" customHeight="1">
      <c r="A21" s="57">
        <f>Gen!A26</f>
        <v>44271</v>
      </c>
      <c r="B21" s="4"/>
      <c r="C21" s="95">
        <f t="shared" si="0"/>
        <v>0</v>
      </c>
      <c r="D21" s="1"/>
      <c r="E21" s="474">
        <f t="shared" si="28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6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5" si="30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7">
        <f t="shared" si="22"/>
        <v>0</v>
      </c>
      <c r="AC21" s="611"/>
      <c r="AD21" s="610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29"/>
        <v>0</v>
      </c>
      <c r="AN21" s="389">
        <f t="shared" si="24"/>
        <v>0</v>
      </c>
    </row>
    <row r="22" spans="1:40" ht="23.1" customHeight="1">
      <c r="A22" s="57">
        <f>Gen!A27</f>
        <v>44272</v>
      </c>
      <c r="B22" s="4"/>
      <c r="C22" s="95">
        <f t="shared" si="0"/>
        <v>0</v>
      </c>
      <c r="D22" s="1"/>
      <c r="E22" s="474">
        <f t="shared" si="28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6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0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7">
        <f t="shared" si="22"/>
        <v>0</v>
      </c>
      <c r="AC22" s="611"/>
      <c r="AD22" s="610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29"/>
        <v>0</v>
      </c>
      <c r="AN22" s="389">
        <f t="shared" si="24"/>
        <v>0</v>
      </c>
    </row>
    <row r="23" spans="1:40" ht="23.1" customHeight="1">
      <c r="A23" s="57">
        <f>Gen!A28</f>
        <v>44273</v>
      </c>
      <c r="B23" s="4"/>
      <c r="C23" s="95">
        <f t="shared" si="0"/>
        <v>0</v>
      </c>
      <c r="D23" s="1"/>
      <c r="E23" s="474">
        <f t="shared" si="28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6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0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7">
        <f t="shared" si="22"/>
        <v>0</v>
      </c>
      <c r="AC23" s="608"/>
      <c r="AD23" s="610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29"/>
        <v>0</v>
      </c>
      <c r="AN23" s="389">
        <f t="shared" si="24"/>
        <v>0</v>
      </c>
    </row>
    <row r="24" spans="1:40" ht="23.1" customHeight="1">
      <c r="A24" s="57">
        <f>Gen!A29</f>
        <v>44274</v>
      </c>
      <c r="B24" s="4"/>
      <c r="C24" s="95">
        <f t="shared" si="0"/>
        <v>0</v>
      </c>
      <c r="D24" s="1"/>
      <c r="E24" s="474">
        <f t="shared" si="28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6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0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7">
        <f t="shared" si="22"/>
        <v>0</v>
      </c>
      <c r="AC24" s="608"/>
      <c r="AD24" s="610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29"/>
        <v>0</v>
      </c>
      <c r="AN24" s="389">
        <f t="shared" si="24"/>
        <v>0</v>
      </c>
    </row>
    <row r="25" spans="1:40" ht="23.1" customHeight="1">
      <c r="A25" s="57">
        <f>Gen!A30</f>
        <v>44275</v>
      </c>
      <c r="B25" s="4"/>
      <c r="C25" s="95">
        <f>D24</f>
        <v>0</v>
      </c>
      <c r="D25" s="1"/>
      <c r="E25" s="474">
        <f t="shared" si="28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1">J24</f>
        <v>0</v>
      </c>
      <c r="J25" s="1"/>
      <c r="K25" s="474">
        <f t="shared" si="26"/>
        <v>0</v>
      </c>
      <c r="L25" s="95">
        <f t="shared" ref="L25:L37" si="32">M24</f>
        <v>0</v>
      </c>
      <c r="M25" s="1"/>
      <c r="N25" s="474">
        <f t="shared" ref="N25:N37" si="33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4">T24</f>
        <v>0</v>
      </c>
      <c r="T25" s="384"/>
      <c r="U25" s="475">
        <f t="shared" ref="U25:U37" si="35">IF((T25-T24)&lt;0,"0",(T25-T24))</f>
        <v>0</v>
      </c>
      <c r="V25" s="245">
        <f t="shared" si="30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7">
        <f t="shared" si="22"/>
        <v>0</v>
      </c>
      <c r="AC25" s="608"/>
      <c r="AD25" s="610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29"/>
        <v>0</v>
      </c>
      <c r="AN25" s="389">
        <f t="shared" si="24"/>
        <v>0</v>
      </c>
    </row>
    <row r="26" spans="1:40" ht="23.1" customHeight="1">
      <c r="A26" s="57">
        <f>Gen!A31</f>
        <v>44276</v>
      </c>
      <c r="B26" s="4"/>
      <c r="C26" s="95">
        <f>D25</f>
        <v>0</v>
      </c>
      <c r="D26" s="1"/>
      <c r="E26" s="474">
        <f t="shared" si="28"/>
        <v>0</v>
      </c>
      <c r="F26" s="95">
        <f>G26</f>
        <v>0</v>
      </c>
      <c r="G26" s="387"/>
      <c r="H26" s="474">
        <f t="shared" ref="H26:H27" si="36">IF((G27-G25)&lt;0,"0",(G27-G25))</f>
        <v>0</v>
      </c>
      <c r="I26" s="95">
        <f t="shared" si="31"/>
        <v>0</v>
      </c>
      <c r="J26" s="1"/>
      <c r="K26" s="474">
        <f t="shared" si="26"/>
        <v>0</v>
      </c>
      <c r="L26" s="95">
        <f t="shared" si="32"/>
        <v>0</v>
      </c>
      <c r="M26" s="1"/>
      <c r="N26" s="474">
        <f t="shared" si="33"/>
        <v>0</v>
      </c>
      <c r="O26" s="95">
        <f t="shared" ref="O26:O37" si="37">P25</f>
        <v>0</v>
      </c>
      <c r="P26" s="383"/>
      <c r="Q26" s="474">
        <f t="shared" si="7"/>
        <v>0</v>
      </c>
      <c r="R26" s="250"/>
      <c r="S26" s="245">
        <f t="shared" si="34"/>
        <v>0</v>
      </c>
      <c r="T26" s="384"/>
      <c r="U26" s="475">
        <f t="shared" si="35"/>
        <v>0</v>
      </c>
      <c r="V26" s="245">
        <f t="shared" si="30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7">
        <f t="shared" si="22"/>
        <v>0</v>
      </c>
      <c r="AC26" s="608"/>
      <c r="AD26" s="610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29"/>
        <v>0</v>
      </c>
      <c r="AN26" s="389">
        <f t="shared" si="24"/>
        <v>0</v>
      </c>
    </row>
    <row r="27" spans="1:40" ht="23.1" customHeight="1">
      <c r="A27" s="57">
        <f>Gen!A32</f>
        <v>44277</v>
      </c>
      <c r="B27" s="4"/>
      <c r="C27" s="95">
        <f>D26</f>
        <v>0</v>
      </c>
      <c r="D27" s="1"/>
      <c r="E27" s="474">
        <f t="shared" si="28"/>
        <v>0</v>
      </c>
      <c r="F27" s="95">
        <f t="shared" ref="F27:F31" si="38">G27</f>
        <v>0</v>
      </c>
      <c r="G27" s="387"/>
      <c r="H27" s="474">
        <f t="shared" si="36"/>
        <v>0</v>
      </c>
      <c r="I27" s="95">
        <f t="shared" si="31"/>
        <v>0</v>
      </c>
      <c r="J27" s="1"/>
      <c r="K27" s="474">
        <f t="shared" si="26"/>
        <v>0</v>
      </c>
      <c r="L27" s="95">
        <f t="shared" si="32"/>
        <v>0</v>
      </c>
      <c r="M27" s="1"/>
      <c r="N27" s="474">
        <f t="shared" si="33"/>
        <v>0</v>
      </c>
      <c r="O27" s="95">
        <f t="shared" si="37"/>
        <v>0</v>
      </c>
      <c r="P27" s="383"/>
      <c r="Q27" s="474">
        <f t="shared" si="7"/>
        <v>0</v>
      </c>
      <c r="R27" s="250"/>
      <c r="S27" s="245">
        <f t="shared" si="34"/>
        <v>0</v>
      </c>
      <c r="T27" s="384"/>
      <c r="U27" s="475">
        <f t="shared" si="35"/>
        <v>0</v>
      </c>
      <c r="V27" s="245">
        <f t="shared" si="30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7">
        <f t="shared" si="22"/>
        <v>0</v>
      </c>
      <c r="AC27" s="608"/>
      <c r="AD27" s="610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44278</v>
      </c>
      <c r="B28" s="4"/>
      <c r="C28" s="95">
        <f t="shared" ref="C28:C37" si="39">D27</f>
        <v>0</v>
      </c>
      <c r="D28" s="1"/>
      <c r="E28" s="474">
        <f t="shared" si="28"/>
        <v>0</v>
      </c>
      <c r="F28" s="95">
        <f t="shared" si="38"/>
        <v>0</v>
      </c>
      <c r="G28" s="387"/>
      <c r="H28" s="474">
        <f t="shared" ref="H28:H37" si="40">IF((G28-G27)&lt;0,"0",(G28-G27))</f>
        <v>0</v>
      </c>
      <c r="I28" s="95">
        <f t="shared" si="31"/>
        <v>0</v>
      </c>
      <c r="J28" s="1"/>
      <c r="K28" s="474">
        <f>IF((J28-J27)&lt;0,"0",(J28-J27))</f>
        <v>0</v>
      </c>
      <c r="L28" s="95">
        <f t="shared" si="32"/>
        <v>0</v>
      </c>
      <c r="M28" s="1"/>
      <c r="N28" s="474">
        <f t="shared" si="33"/>
        <v>0</v>
      </c>
      <c r="O28" s="95">
        <f t="shared" si="37"/>
        <v>0</v>
      </c>
      <c r="P28" s="383"/>
      <c r="Q28" s="474">
        <f t="shared" ref="Q28:Q37" si="41">IF((P28-P27)&lt;0,"0",(P28-P27))</f>
        <v>0</v>
      </c>
      <c r="R28" s="250"/>
      <c r="S28" s="245">
        <f t="shared" si="34"/>
        <v>0</v>
      </c>
      <c r="T28" s="384"/>
      <c r="U28" s="475">
        <f t="shared" si="35"/>
        <v>0</v>
      </c>
      <c r="V28" s="245">
        <f t="shared" si="30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7">
        <f t="shared" si="22"/>
        <v>0</v>
      </c>
      <c r="AC28" s="608"/>
      <c r="AD28" s="610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44279</v>
      </c>
      <c r="B29" s="4"/>
      <c r="C29" s="95">
        <f t="shared" si="39"/>
        <v>0</v>
      </c>
      <c r="D29" s="1"/>
      <c r="E29" s="474">
        <f t="shared" si="28"/>
        <v>0</v>
      </c>
      <c r="F29" s="95">
        <f t="shared" si="38"/>
        <v>0</v>
      </c>
      <c r="G29" s="387"/>
      <c r="H29" s="474">
        <f t="shared" si="40"/>
        <v>0</v>
      </c>
      <c r="I29" s="95">
        <f t="shared" si="31"/>
        <v>0</v>
      </c>
      <c r="J29" s="1"/>
      <c r="K29" s="474">
        <f t="shared" ref="K29:K37" si="42">IF((J29-J28)&lt;0,"0",(J29-J28))</f>
        <v>0</v>
      </c>
      <c r="L29" s="95">
        <f t="shared" si="32"/>
        <v>0</v>
      </c>
      <c r="M29" s="1"/>
      <c r="N29" s="474">
        <f t="shared" si="33"/>
        <v>0</v>
      </c>
      <c r="O29" s="95">
        <f t="shared" si="37"/>
        <v>0</v>
      </c>
      <c r="P29" s="383"/>
      <c r="Q29" s="474">
        <f t="shared" si="41"/>
        <v>0</v>
      </c>
      <c r="R29" s="250"/>
      <c r="S29" s="245">
        <f t="shared" si="34"/>
        <v>0</v>
      </c>
      <c r="T29" s="384"/>
      <c r="U29" s="475">
        <f t="shared" si="35"/>
        <v>0</v>
      </c>
      <c r="V29" s="245">
        <f t="shared" si="30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7">
        <f t="shared" si="22"/>
        <v>0</v>
      </c>
      <c r="AC29" s="608"/>
      <c r="AD29" s="610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44280</v>
      </c>
      <c r="B30" s="4"/>
      <c r="C30" s="95">
        <f t="shared" si="39"/>
        <v>0</v>
      </c>
      <c r="D30" s="1"/>
      <c r="E30" s="474">
        <f t="shared" si="28"/>
        <v>0</v>
      </c>
      <c r="F30" s="95">
        <f t="shared" si="38"/>
        <v>0</v>
      </c>
      <c r="G30" s="387"/>
      <c r="H30" s="474">
        <f t="shared" si="40"/>
        <v>0</v>
      </c>
      <c r="I30" s="95">
        <f t="shared" si="31"/>
        <v>0</v>
      </c>
      <c r="J30" s="1"/>
      <c r="K30" s="474">
        <f t="shared" si="42"/>
        <v>0</v>
      </c>
      <c r="L30" s="95">
        <f t="shared" si="32"/>
        <v>0</v>
      </c>
      <c r="M30" s="1"/>
      <c r="N30" s="474">
        <f t="shared" si="33"/>
        <v>0</v>
      </c>
      <c r="O30" s="95">
        <f t="shared" si="37"/>
        <v>0</v>
      </c>
      <c r="P30" s="383"/>
      <c r="Q30" s="474">
        <f t="shared" si="41"/>
        <v>0</v>
      </c>
      <c r="R30" s="250"/>
      <c r="S30" s="245">
        <f t="shared" si="34"/>
        <v>0</v>
      </c>
      <c r="T30" s="384"/>
      <c r="U30" s="475">
        <f t="shared" si="35"/>
        <v>0</v>
      </c>
      <c r="V30" s="245">
        <f t="shared" si="30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7">
        <f t="shared" si="22"/>
        <v>0</v>
      </c>
      <c r="AC30" s="608"/>
      <c r="AD30" s="610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44281</v>
      </c>
      <c r="B31" s="4"/>
      <c r="C31" s="95">
        <f t="shared" si="39"/>
        <v>0</v>
      </c>
      <c r="D31" s="1"/>
      <c r="E31" s="474">
        <f t="shared" si="28"/>
        <v>0</v>
      </c>
      <c r="F31" s="95">
        <f t="shared" si="38"/>
        <v>0</v>
      </c>
      <c r="G31" s="387"/>
      <c r="H31" s="474">
        <f t="shared" si="40"/>
        <v>0</v>
      </c>
      <c r="I31" s="95">
        <f t="shared" si="31"/>
        <v>0</v>
      </c>
      <c r="J31" s="1"/>
      <c r="K31" s="474">
        <f t="shared" si="42"/>
        <v>0</v>
      </c>
      <c r="L31" s="95">
        <f t="shared" si="32"/>
        <v>0</v>
      </c>
      <c r="M31" s="1"/>
      <c r="N31" s="474">
        <f t="shared" si="33"/>
        <v>0</v>
      </c>
      <c r="O31" s="95">
        <f t="shared" si="37"/>
        <v>0</v>
      </c>
      <c r="P31" s="383"/>
      <c r="Q31" s="474">
        <f t="shared" si="41"/>
        <v>0</v>
      </c>
      <c r="R31" s="250"/>
      <c r="S31" s="245">
        <f t="shared" si="34"/>
        <v>0</v>
      </c>
      <c r="T31" s="384"/>
      <c r="U31" s="475">
        <f t="shared" si="35"/>
        <v>0</v>
      </c>
      <c r="V31" s="245">
        <f t="shared" si="30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7">
        <f t="shared" si="22"/>
        <v>0</v>
      </c>
      <c r="AC31" s="608"/>
      <c r="AD31" s="610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44282</v>
      </c>
      <c r="B32" s="4" t="s">
        <v>27</v>
      </c>
      <c r="C32" s="95">
        <f t="shared" si="39"/>
        <v>0</v>
      </c>
      <c r="D32" s="1"/>
      <c r="E32" s="474">
        <f t="shared" si="28"/>
        <v>0</v>
      </c>
      <c r="F32" s="95">
        <f t="shared" si="2"/>
        <v>0</v>
      </c>
      <c r="G32" s="387"/>
      <c r="H32" s="474">
        <f t="shared" si="40"/>
        <v>0</v>
      </c>
      <c r="I32" s="95">
        <f t="shared" si="31"/>
        <v>0</v>
      </c>
      <c r="J32" s="1"/>
      <c r="K32" s="474">
        <f t="shared" si="42"/>
        <v>0</v>
      </c>
      <c r="L32" s="95">
        <f t="shared" si="32"/>
        <v>0</v>
      </c>
      <c r="M32" s="1"/>
      <c r="N32" s="474">
        <f t="shared" si="33"/>
        <v>0</v>
      </c>
      <c r="O32" s="95">
        <f t="shared" si="37"/>
        <v>0</v>
      </c>
      <c r="P32" s="383"/>
      <c r="Q32" s="474">
        <f t="shared" si="41"/>
        <v>0</v>
      </c>
      <c r="R32" s="250"/>
      <c r="S32" s="245">
        <f t="shared" si="34"/>
        <v>0</v>
      </c>
      <c r="T32" s="384"/>
      <c r="U32" s="475">
        <f t="shared" si="35"/>
        <v>0</v>
      </c>
      <c r="V32" s="245">
        <f t="shared" si="30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7">
        <f t="shared" si="22"/>
        <v>0</v>
      </c>
      <c r="AC32" s="608"/>
      <c r="AD32" s="610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44283</v>
      </c>
      <c r="B33" s="4"/>
      <c r="C33" s="95">
        <f t="shared" si="39"/>
        <v>0</v>
      </c>
      <c r="D33" s="1"/>
      <c r="E33" s="474">
        <f t="shared" si="28"/>
        <v>0</v>
      </c>
      <c r="F33" s="95">
        <f t="shared" si="2"/>
        <v>0</v>
      </c>
      <c r="G33" s="387"/>
      <c r="H33" s="474">
        <f t="shared" si="40"/>
        <v>0</v>
      </c>
      <c r="I33" s="95">
        <f t="shared" si="31"/>
        <v>0</v>
      </c>
      <c r="J33" s="1"/>
      <c r="K33" s="474">
        <f t="shared" si="42"/>
        <v>0</v>
      </c>
      <c r="L33" s="95">
        <f t="shared" si="32"/>
        <v>0</v>
      </c>
      <c r="M33" s="1"/>
      <c r="N33" s="474">
        <f t="shared" si="33"/>
        <v>0</v>
      </c>
      <c r="O33" s="95">
        <f t="shared" si="37"/>
        <v>0</v>
      </c>
      <c r="P33" s="383"/>
      <c r="Q33" s="474">
        <f t="shared" si="41"/>
        <v>0</v>
      </c>
      <c r="R33" s="250"/>
      <c r="S33" s="245">
        <f t="shared" si="34"/>
        <v>0</v>
      </c>
      <c r="T33" s="384"/>
      <c r="U33" s="475">
        <f t="shared" si="35"/>
        <v>0</v>
      </c>
      <c r="V33" s="245">
        <f t="shared" si="30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7">
        <f t="shared" si="22"/>
        <v>0</v>
      </c>
      <c r="AC33" s="246"/>
      <c r="AD33" s="610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44284</v>
      </c>
      <c r="B34" s="148"/>
      <c r="C34" s="95">
        <f t="shared" si="39"/>
        <v>0</v>
      </c>
      <c r="D34" s="1"/>
      <c r="E34" s="474">
        <f t="shared" si="28"/>
        <v>0</v>
      </c>
      <c r="F34" s="95">
        <f t="shared" si="2"/>
        <v>0</v>
      </c>
      <c r="G34" s="387"/>
      <c r="H34" s="474">
        <f t="shared" si="40"/>
        <v>0</v>
      </c>
      <c r="I34" s="95">
        <f t="shared" si="31"/>
        <v>0</v>
      </c>
      <c r="J34" s="1"/>
      <c r="K34" s="474">
        <f t="shared" si="42"/>
        <v>0</v>
      </c>
      <c r="L34" s="95">
        <f t="shared" si="32"/>
        <v>0</v>
      </c>
      <c r="M34" s="1"/>
      <c r="N34" s="474">
        <f t="shared" si="33"/>
        <v>0</v>
      </c>
      <c r="O34" s="95">
        <f t="shared" si="37"/>
        <v>0</v>
      </c>
      <c r="P34" s="383"/>
      <c r="Q34" s="474">
        <f t="shared" si="41"/>
        <v>0</v>
      </c>
      <c r="R34" s="250"/>
      <c r="S34" s="245">
        <f t="shared" si="34"/>
        <v>0</v>
      </c>
      <c r="T34" s="384"/>
      <c r="U34" s="475">
        <f t="shared" si="35"/>
        <v>0</v>
      </c>
      <c r="V34" s="245">
        <f t="shared" si="30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7">
        <f t="shared" si="22"/>
        <v>0</v>
      </c>
      <c r="AC34" s="246"/>
      <c r="AD34" s="610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44285</v>
      </c>
      <c r="B35" s="148"/>
      <c r="C35" s="95">
        <f t="shared" si="39"/>
        <v>0</v>
      </c>
      <c r="D35" s="1"/>
      <c r="E35" s="474">
        <f t="shared" si="28"/>
        <v>0</v>
      </c>
      <c r="F35" s="95">
        <f t="shared" si="2"/>
        <v>0</v>
      </c>
      <c r="G35" s="387"/>
      <c r="H35" s="474">
        <f t="shared" si="40"/>
        <v>0</v>
      </c>
      <c r="I35" s="95">
        <f t="shared" si="31"/>
        <v>0</v>
      </c>
      <c r="J35" s="1"/>
      <c r="K35" s="474">
        <f t="shared" si="42"/>
        <v>0</v>
      </c>
      <c r="L35" s="95">
        <f t="shared" si="32"/>
        <v>0</v>
      </c>
      <c r="M35" s="1"/>
      <c r="N35" s="474">
        <f t="shared" si="33"/>
        <v>0</v>
      </c>
      <c r="O35" s="95">
        <f t="shared" si="37"/>
        <v>0</v>
      </c>
      <c r="P35" s="383"/>
      <c r="Q35" s="474">
        <f t="shared" si="41"/>
        <v>0</v>
      </c>
      <c r="R35" s="250"/>
      <c r="S35" s="245">
        <f t="shared" si="34"/>
        <v>0</v>
      </c>
      <c r="T35" s="384"/>
      <c r="U35" s="475">
        <f t="shared" si="35"/>
        <v>0</v>
      </c>
      <c r="V35" s="245">
        <f t="shared" si="30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7">
        <f t="shared" si="22"/>
        <v>0</v>
      </c>
      <c r="AC35" s="246"/>
      <c r="AD35" s="610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44286</v>
      </c>
      <c r="B36" s="149"/>
      <c r="C36" s="95">
        <f t="shared" si="39"/>
        <v>0</v>
      </c>
      <c r="D36" s="1"/>
      <c r="E36" s="474">
        <f t="shared" si="28"/>
        <v>0</v>
      </c>
      <c r="F36" s="95">
        <f t="shared" si="2"/>
        <v>0</v>
      </c>
      <c r="G36" s="387"/>
      <c r="H36" s="474">
        <f t="shared" si="40"/>
        <v>0</v>
      </c>
      <c r="I36" s="95">
        <f t="shared" si="31"/>
        <v>0</v>
      </c>
      <c r="J36" s="1"/>
      <c r="K36" s="474">
        <f t="shared" si="42"/>
        <v>0</v>
      </c>
      <c r="L36" s="95">
        <f t="shared" si="32"/>
        <v>0</v>
      </c>
      <c r="M36" s="1"/>
      <c r="N36" s="474">
        <f t="shared" si="33"/>
        <v>0</v>
      </c>
      <c r="O36" s="95">
        <f t="shared" si="37"/>
        <v>0</v>
      </c>
      <c r="P36" s="383"/>
      <c r="Q36" s="474">
        <f t="shared" si="41"/>
        <v>0</v>
      </c>
      <c r="R36" s="250"/>
      <c r="S36" s="245">
        <f t="shared" si="34"/>
        <v>0</v>
      </c>
      <c r="T36" s="384"/>
      <c r="U36" s="475">
        <f t="shared" si="35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7">
        <f t="shared" si="22"/>
        <v>0</v>
      </c>
      <c r="AC36" s="246"/>
      <c r="AD36" s="610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39"/>
        <v>0</v>
      </c>
      <c r="D37" s="1"/>
      <c r="E37" s="474">
        <f t="shared" si="28"/>
        <v>0</v>
      </c>
      <c r="F37" s="95">
        <f t="shared" si="2"/>
        <v>0</v>
      </c>
      <c r="G37" s="387"/>
      <c r="H37" s="474">
        <f t="shared" si="40"/>
        <v>0</v>
      </c>
      <c r="I37" s="95">
        <f t="shared" si="31"/>
        <v>0</v>
      </c>
      <c r="J37" s="1"/>
      <c r="K37" s="474">
        <f t="shared" si="42"/>
        <v>0</v>
      </c>
      <c r="L37" s="95">
        <f t="shared" si="32"/>
        <v>0</v>
      </c>
      <c r="M37" s="1"/>
      <c r="N37" s="474">
        <f t="shared" si="33"/>
        <v>0</v>
      </c>
      <c r="O37" s="95">
        <f t="shared" si="37"/>
        <v>0</v>
      </c>
      <c r="P37" s="383"/>
      <c r="Q37" s="474">
        <f t="shared" si="41"/>
        <v>0</v>
      </c>
      <c r="R37" s="250"/>
      <c r="S37" s="245">
        <f t="shared" si="34"/>
        <v>0</v>
      </c>
      <c r="T37" s="384"/>
      <c r="U37" s="475">
        <f t="shared" si="35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7">
        <f t="shared" si="22"/>
        <v>0</v>
      </c>
      <c r="AC37" s="246"/>
      <c r="AD37" s="610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3">U38+X38+AA38+AD38+AG38+AJ38+AM38</f>
        <v>256</v>
      </c>
    </row>
    <row r="38" spans="1:41" ht="18.75">
      <c r="A38" s="57"/>
      <c r="B38" s="21"/>
      <c r="C38" s="911" t="s">
        <v>6</v>
      </c>
      <c r="D38" s="911"/>
      <c r="E38" s="22">
        <f>SUM(E6:E36)</f>
        <v>240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10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240</v>
      </c>
      <c r="S38" s="247"/>
      <c r="T38" s="247"/>
      <c r="U38" s="257">
        <f>SUM(U6:U37)</f>
        <v>256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256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37"/>
      <c r="B42" s="277"/>
      <c r="C42" s="934" t="s">
        <v>222</v>
      </c>
      <c r="D42" s="935"/>
      <c r="E42" s="935"/>
      <c r="F42" s="935"/>
      <c r="G42" s="935"/>
      <c r="H42" s="935"/>
      <c r="I42" s="935"/>
      <c r="J42" s="935"/>
      <c r="K42" s="936"/>
      <c r="R42" s="19"/>
    </row>
    <row r="43" spans="1:41" ht="24.75" customHeight="1">
      <c r="A43" s="938"/>
      <c r="B43" s="19"/>
      <c r="C43" s="940" t="s">
        <v>216</v>
      </c>
      <c r="D43" s="941"/>
      <c r="E43" s="942" t="s">
        <v>237</v>
      </c>
      <c r="F43" s="943"/>
      <c r="G43" s="944" t="s">
        <v>217</v>
      </c>
      <c r="H43" s="945"/>
      <c r="I43" s="944" t="s">
        <v>238</v>
      </c>
      <c r="J43" s="945"/>
      <c r="K43" s="932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38"/>
      <c r="B44" s="19"/>
      <c r="C44" s="946" t="s">
        <v>218</v>
      </c>
      <c r="D44" s="947"/>
      <c r="E44" s="946" t="s">
        <v>219</v>
      </c>
      <c r="F44" s="947"/>
      <c r="G44" s="946" t="s">
        <v>220</v>
      </c>
      <c r="H44" s="947"/>
      <c r="I44" s="946" t="s">
        <v>221</v>
      </c>
      <c r="J44" s="947"/>
      <c r="K44" s="933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39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44256</v>
      </c>
      <c r="B46" s="19"/>
      <c r="C46" s="62">
        <v>295</v>
      </c>
      <c r="D46" s="325">
        <f t="shared" ref="D46:D77" si="48">C46*217/300</f>
        <v>213.38333333333333</v>
      </c>
      <c r="E46" s="6">
        <v>260</v>
      </c>
      <c r="F46" s="325">
        <f t="shared" ref="F46:F77" si="49">E46*92/305</f>
        <v>78.426229508196727</v>
      </c>
      <c r="G46" s="619">
        <v>100</v>
      </c>
      <c r="H46" s="325">
        <f t="shared" ref="H46:H77" si="50">G46*146/383</f>
        <v>38.120104438642301</v>
      </c>
      <c r="I46" s="6">
        <v>290</v>
      </c>
      <c r="J46" s="325">
        <f t="shared" ref="J46:J77" si="51">I46*213/308</f>
        <v>200.55194805194805</v>
      </c>
      <c r="K46" s="331">
        <f>D46+F46+H46+J46</f>
        <v>530.48161533212033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44257</v>
      </c>
      <c r="B47" s="19"/>
      <c r="C47" s="62">
        <v>275</v>
      </c>
      <c r="D47" s="325">
        <f t="shared" si="48"/>
        <v>198.91666666666666</v>
      </c>
      <c r="E47" s="6">
        <v>240</v>
      </c>
      <c r="F47" s="325">
        <f t="shared" si="49"/>
        <v>72.393442622950815</v>
      </c>
      <c r="G47" s="477">
        <v>5</v>
      </c>
      <c r="H47" s="325">
        <f t="shared" si="50"/>
        <v>1.9060052219321149</v>
      </c>
      <c r="I47" s="6">
        <v>276</v>
      </c>
      <c r="J47" s="325">
        <f t="shared" si="51"/>
        <v>190.87012987012986</v>
      </c>
      <c r="K47" s="331">
        <f t="shared" ref="K47:K77" si="52">D47+F47+H47+J47</f>
        <v>464.08624438167942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44258</v>
      </c>
      <c r="B48" s="19"/>
      <c r="C48" s="62">
        <v>212</v>
      </c>
      <c r="D48" s="325">
        <f t="shared" si="48"/>
        <v>153.34666666666666</v>
      </c>
      <c r="E48" s="6">
        <v>197</v>
      </c>
      <c r="F48" s="325">
        <f t="shared" si="49"/>
        <v>59.422950819672131</v>
      </c>
      <c r="G48" s="477">
        <v>300</v>
      </c>
      <c r="H48" s="325">
        <f t="shared" si="50"/>
        <v>114.36031331592689</v>
      </c>
      <c r="I48" s="6">
        <v>292</v>
      </c>
      <c r="J48" s="325">
        <f t="shared" si="51"/>
        <v>201.93506493506493</v>
      </c>
      <c r="K48" s="331">
        <f t="shared" si="52"/>
        <v>529.06499573733061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44259</v>
      </c>
      <c r="B49" s="19"/>
      <c r="C49" s="62">
        <v>300</v>
      </c>
      <c r="D49" s="325">
        <f t="shared" si="48"/>
        <v>217</v>
      </c>
      <c r="E49" s="6">
        <v>290</v>
      </c>
      <c r="F49" s="325">
        <f t="shared" si="49"/>
        <v>87.47540983606558</v>
      </c>
      <c r="G49" s="477">
        <v>158</v>
      </c>
      <c r="H49" s="325">
        <f t="shared" si="50"/>
        <v>60.229765013054831</v>
      </c>
      <c r="I49" s="6">
        <v>290</v>
      </c>
      <c r="J49" s="325">
        <f t="shared" si="51"/>
        <v>200.55194805194805</v>
      </c>
      <c r="K49" s="331">
        <f t="shared" si="52"/>
        <v>565.25712290106844</v>
      </c>
    </row>
    <row r="50" spans="1:15" ht="13.5">
      <c r="A50" s="293">
        <f>Gen!A15</f>
        <v>44260</v>
      </c>
      <c r="B50" s="19"/>
      <c r="C50" s="62">
        <v>235</v>
      </c>
      <c r="D50" s="325">
        <f t="shared" si="48"/>
        <v>169.98333333333332</v>
      </c>
      <c r="E50" s="6">
        <v>200</v>
      </c>
      <c r="F50" s="325">
        <f t="shared" si="49"/>
        <v>60.327868852459019</v>
      </c>
      <c r="G50" s="477">
        <v>300</v>
      </c>
      <c r="H50" s="325">
        <f t="shared" si="50"/>
        <v>114.36031331592689</v>
      </c>
      <c r="I50" s="6">
        <v>290</v>
      </c>
      <c r="J50" s="325">
        <f t="shared" si="51"/>
        <v>200.55194805194805</v>
      </c>
      <c r="K50" s="331">
        <f t="shared" si="52"/>
        <v>545.22346355366722</v>
      </c>
    </row>
    <row r="51" spans="1:15" ht="13.5">
      <c r="A51" s="293">
        <f>Gen!A16</f>
        <v>44261</v>
      </c>
      <c r="B51" s="19"/>
      <c r="C51" s="62"/>
      <c r="D51" s="325">
        <f t="shared" si="48"/>
        <v>0</v>
      </c>
      <c r="E51" s="6"/>
      <c r="F51" s="325">
        <f t="shared" si="49"/>
        <v>0</v>
      </c>
      <c r="G51" s="477"/>
      <c r="H51" s="325">
        <f t="shared" si="50"/>
        <v>0</v>
      </c>
      <c r="I51" s="6"/>
      <c r="J51" s="325">
        <f t="shared" si="51"/>
        <v>0</v>
      </c>
      <c r="K51" s="331">
        <f t="shared" si="52"/>
        <v>0</v>
      </c>
    </row>
    <row r="52" spans="1:15" ht="13.5">
      <c r="A52" s="293">
        <f>Gen!A17</f>
        <v>44262</v>
      </c>
      <c r="B52" s="19"/>
      <c r="C52" s="62"/>
      <c r="D52" s="325">
        <f t="shared" si="48"/>
        <v>0</v>
      </c>
      <c r="E52" s="6"/>
      <c r="F52" s="325">
        <f t="shared" si="49"/>
        <v>0</v>
      </c>
      <c r="G52" s="477"/>
      <c r="H52" s="325">
        <f t="shared" si="50"/>
        <v>0</v>
      </c>
      <c r="I52" s="6"/>
      <c r="J52" s="325">
        <f t="shared" si="51"/>
        <v>0</v>
      </c>
      <c r="K52" s="331">
        <f t="shared" si="52"/>
        <v>0</v>
      </c>
    </row>
    <row r="53" spans="1:15" ht="13.5">
      <c r="A53" s="293">
        <f>Gen!A18</f>
        <v>44263</v>
      </c>
      <c r="B53" s="19"/>
      <c r="C53" s="62"/>
      <c r="D53" s="325">
        <f t="shared" si="48"/>
        <v>0</v>
      </c>
      <c r="E53" s="6"/>
      <c r="F53" s="325">
        <f t="shared" si="49"/>
        <v>0</v>
      </c>
      <c r="G53" s="477"/>
      <c r="H53" s="325">
        <f t="shared" si="50"/>
        <v>0</v>
      </c>
      <c r="I53" s="6"/>
      <c r="J53" s="325">
        <f t="shared" si="51"/>
        <v>0</v>
      </c>
      <c r="K53" s="331">
        <f t="shared" si="52"/>
        <v>0</v>
      </c>
    </row>
    <row r="54" spans="1:15" ht="13.5">
      <c r="A54" s="293">
        <f>Gen!A19</f>
        <v>44264</v>
      </c>
      <c r="B54" s="19"/>
      <c r="C54" s="62"/>
      <c r="D54" s="325">
        <f t="shared" si="48"/>
        <v>0</v>
      </c>
      <c r="E54" s="6"/>
      <c r="F54" s="325">
        <f t="shared" si="49"/>
        <v>0</v>
      </c>
      <c r="G54" s="477"/>
      <c r="H54" s="325">
        <f t="shared" si="50"/>
        <v>0</v>
      </c>
      <c r="I54" s="6"/>
      <c r="J54" s="325">
        <f t="shared" si="51"/>
        <v>0</v>
      </c>
      <c r="K54" s="331">
        <f t="shared" si="52"/>
        <v>0</v>
      </c>
    </row>
    <row r="55" spans="1:15" ht="13.5">
      <c r="A55" s="293">
        <f>Gen!A20</f>
        <v>44265</v>
      </c>
      <c r="B55" s="19"/>
      <c r="C55" s="62"/>
      <c r="D55" s="325">
        <f t="shared" si="48"/>
        <v>0</v>
      </c>
      <c r="E55" s="6"/>
      <c r="F55" s="325">
        <f t="shared" si="49"/>
        <v>0</v>
      </c>
      <c r="G55" s="477"/>
      <c r="H55" s="325">
        <f t="shared" si="50"/>
        <v>0</v>
      </c>
      <c r="I55" s="6"/>
      <c r="J55" s="325">
        <f>I56*213/308</f>
        <v>0</v>
      </c>
      <c r="K55" s="331">
        <f t="shared" si="52"/>
        <v>0</v>
      </c>
    </row>
    <row r="56" spans="1:15" ht="13.5">
      <c r="A56" s="293">
        <f>Gen!A21</f>
        <v>44266</v>
      </c>
      <c r="B56" s="19"/>
      <c r="C56" s="62"/>
      <c r="D56" s="325">
        <f t="shared" si="48"/>
        <v>0</v>
      </c>
      <c r="E56" s="6"/>
      <c r="F56" s="325">
        <f t="shared" si="49"/>
        <v>0</v>
      </c>
      <c r="G56" s="477"/>
      <c r="H56" s="325">
        <f t="shared" si="50"/>
        <v>0</v>
      </c>
      <c r="I56" s="6"/>
      <c r="J56" s="325">
        <f>I57*213/308</f>
        <v>0</v>
      </c>
      <c r="K56" s="331">
        <f t="shared" si="52"/>
        <v>0</v>
      </c>
    </row>
    <row r="57" spans="1:15" ht="13.5">
      <c r="A57" s="293">
        <f>Gen!A22</f>
        <v>44267</v>
      </c>
      <c r="B57" s="19"/>
      <c r="C57" s="62"/>
      <c r="D57" s="325">
        <f t="shared" si="48"/>
        <v>0</v>
      </c>
      <c r="E57" s="6"/>
      <c r="F57" s="325">
        <f t="shared" si="49"/>
        <v>0</v>
      </c>
      <c r="G57" s="477"/>
      <c r="H57" s="325">
        <f t="shared" si="50"/>
        <v>0</v>
      </c>
      <c r="I57" s="6"/>
      <c r="J57" s="325">
        <f t="shared" si="51"/>
        <v>0</v>
      </c>
      <c r="K57" s="331">
        <f t="shared" si="52"/>
        <v>0</v>
      </c>
    </row>
    <row r="58" spans="1:15" ht="13.5">
      <c r="A58" s="293">
        <f>Gen!A23</f>
        <v>44268</v>
      </c>
      <c r="B58" s="19"/>
      <c r="C58" s="62"/>
      <c r="D58" s="325">
        <f t="shared" si="48"/>
        <v>0</v>
      </c>
      <c r="E58" s="6"/>
      <c r="F58" s="325">
        <f t="shared" si="49"/>
        <v>0</v>
      </c>
      <c r="G58" s="477"/>
      <c r="H58" s="325">
        <f t="shared" si="50"/>
        <v>0</v>
      </c>
      <c r="I58" s="6"/>
      <c r="J58" s="325">
        <f t="shared" si="51"/>
        <v>0</v>
      </c>
      <c r="K58" s="331">
        <f t="shared" si="52"/>
        <v>0</v>
      </c>
    </row>
    <row r="59" spans="1:15" ht="13.5">
      <c r="A59" s="293">
        <f>Gen!A24</f>
        <v>44269</v>
      </c>
      <c r="B59" s="19"/>
      <c r="C59" s="62"/>
      <c r="D59" s="325">
        <f t="shared" si="48"/>
        <v>0</v>
      </c>
      <c r="E59" s="6"/>
      <c r="F59" s="325">
        <f t="shared" si="49"/>
        <v>0</v>
      </c>
      <c r="G59" s="477"/>
      <c r="H59" s="325">
        <f t="shared" si="50"/>
        <v>0</v>
      </c>
      <c r="I59" s="6"/>
      <c r="J59" s="325">
        <f t="shared" si="51"/>
        <v>0</v>
      </c>
      <c r="K59" s="331">
        <f t="shared" si="52"/>
        <v>0</v>
      </c>
    </row>
    <row r="60" spans="1:15" ht="13.5">
      <c r="A60" s="293">
        <f>Gen!A25</f>
        <v>44270</v>
      </c>
      <c r="B60" s="19"/>
      <c r="C60" s="62"/>
      <c r="D60" s="325">
        <f t="shared" si="48"/>
        <v>0</v>
      </c>
      <c r="E60" s="6"/>
      <c r="F60" s="325">
        <f t="shared" si="49"/>
        <v>0</v>
      </c>
      <c r="G60" s="477"/>
      <c r="H60" s="325">
        <f t="shared" si="50"/>
        <v>0</v>
      </c>
      <c r="I60" s="6"/>
      <c r="J60" s="325">
        <f t="shared" si="51"/>
        <v>0</v>
      </c>
      <c r="K60" s="331">
        <f t="shared" si="52"/>
        <v>0</v>
      </c>
      <c r="L60" t="s">
        <v>249</v>
      </c>
      <c r="O60" t="s">
        <v>250</v>
      </c>
    </row>
    <row r="61" spans="1:15" ht="13.5">
      <c r="A61" s="293">
        <f>Gen!A26</f>
        <v>44271</v>
      </c>
      <c r="B61" s="19"/>
      <c r="C61" s="62"/>
      <c r="D61" s="325">
        <f t="shared" si="48"/>
        <v>0</v>
      </c>
      <c r="E61" s="6"/>
      <c r="F61" s="325">
        <f t="shared" si="49"/>
        <v>0</v>
      </c>
      <c r="G61" s="477"/>
      <c r="H61" s="325">
        <f t="shared" si="50"/>
        <v>0</v>
      </c>
      <c r="I61" s="6"/>
      <c r="J61" s="325">
        <f t="shared" si="51"/>
        <v>0</v>
      </c>
      <c r="K61" s="331">
        <f t="shared" si="52"/>
        <v>0</v>
      </c>
      <c r="L61" t="s">
        <v>252</v>
      </c>
      <c r="N61" t="s">
        <v>251</v>
      </c>
    </row>
    <row r="62" spans="1:15" ht="13.5">
      <c r="A62" s="293">
        <f>Gen!A27</f>
        <v>44272</v>
      </c>
      <c r="B62" s="19"/>
      <c r="C62" s="62"/>
      <c r="D62" s="325">
        <f t="shared" si="48"/>
        <v>0</v>
      </c>
      <c r="E62" s="6"/>
      <c r="F62" s="325">
        <f t="shared" si="49"/>
        <v>0</v>
      </c>
      <c r="G62" s="477"/>
      <c r="H62" s="325">
        <f t="shared" si="50"/>
        <v>0</v>
      </c>
      <c r="I62" s="6"/>
      <c r="J62" s="325">
        <f t="shared" si="51"/>
        <v>0</v>
      </c>
      <c r="K62" s="331">
        <f t="shared" si="52"/>
        <v>0</v>
      </c>
    </row>
    <row r="63" spans="1:15" ht="13.5">
      <c r="A63" s="293">
        <f>Gen!A28</f>
        <v>44273</v>
      </c>
      <c r="B63" s="19"/>
      <c r="C63" s="62"/>
      <c r="D63" s="325">
        <f t="shared" si="48"/>
        <v>0</v>
      </c>
      <c r="E63" s="6"/>
      <c r="F63" s="325">
        <f t="shared" si="49"/>
        <v>0</v>
      </c>
      <c r="G63" s="477"/>
      <c r="H63" s="325">
        <f t="shared" si="50"/>
        <v>0</v>
      </c>
      <c r="I63" s="6"/>
      <c r="J63" s="325">
        <f t="shared" si="51"/>
        <v>0</v>
      </c>
      <c r="K63" s="331">
        <f t="shared" si="52"/>
        <v>0</v>
      </c>
    </row>
    <row r="64" spans="1:15" ht="13.5">
      <c r="A64" s="293">
        <f>Gen!A29</f>
        <v>44274</v>
      </c>
      <c r="B64" s="19"/>
      <c r="C64" s="62"/>
      <c r="D64" s="325">
        <f t="shared" si="48"/>
        <v>0</v>
      </c>
      <c r="E64" s="6"/>
      <c r="F64" s="325">
        <f t="shared" si="49"/>
        <v>0</v>
      </c>
      <c r="G64" s="477"/>
      <c r="H64" s="325">
        <f t="shared" si="50"/>
        <v>0</v>
      </c>
      <c r="I64" s="6"/>
      <c r="J64" s="325">
        <f t="shared" si="51"/>
        <v>0</v>
      </c>
      <c r="K64" s="331">
        <f t="shared" si="52"/>
        <v>0</v>
      </c>
    </row>
    <row r="65" spans="1:11" ht="13.5">
      <c r="A65" s="293">
        <f>Gen!A30</f>
        <v>44275</v>
      </c>
      <c r="B65" s="19"/>
      <c r="C65" s="62"/>
      <c r="D65" s="325">
        <f t="shared" si="48"/>
        <v>0</v>
      </c>
      <c r="E65" s="6"/>
      <c r="F65" s="325">
        <f t="shared" si="49"/>
        <v>0</v>
      </c>
      <c r="G65" s="477"/>
      <c r="H65" s="325">
        <f t="shared" si="50"/>
        <v>0</v>
      </c>
      <c r="I65" s="6"/>
      <c r="J65" s="325">
        <f t="shared" si="51"/>
        <v>0</v>
      </c>
      <c r="K65" s="331">
        <f t="shared" si="52"/>
        <v>0</v>
      </c>
    </row>
    <row r="66" spans="1:11" ht="13.5">
      <c r="A66" s="293">
        <f>Gen!A31</f>
        <v>44276</v>
      </c>
      <c r="B66" s="19"/>
      <c r="C66" s="62"/>
      <c r="D66" s="325">
        <f t="shared" si="48"/>
        <v>0</v>
      </c>
      <c r="E66" s="6"/>
      <c r="F66" s="325">
        <f t="shared" si="49"/>
        <v>0</v>
      </c>
      <c r="G66" s="477"/>
      <c r="H66" s="325">
        <f t="shared" si="50"/>
        <v>0</v>
      </c>
      <c r="I66" s="6"/>
      <c r="J66" s="325">
        <f t="shared" si="51"/>
        <v>0</v>
      </c>
      <c r="K66" s="331">
        <f t="shared" si="52"/>
        <v>0</v>
      </c>
    </row>
    <row r="67" spans="1:11" ht="13.5">
      <c r="A67" s="293">
        <f>Gen!A32</f>
        <v>44277</v>
      </c>
      <c r="B67" s="19"/>
      <c r="C67" s="62"/>
      <c r="D67" s="325">
        <f t="shared" si="48"/>
        <v>0</v>
      </c>
      <c r="E67" s="6"/>
      <c r="F67" s="325">
        <f t="shared" si="49"/>
        <v>0</v>
      </c>
      <c r="G67" s="477"/>
      <c r="H67" s="325">
        <f t="shared" si="50"/>
        <v>0</v>
      </c>
      <c r="I67" s="6"/>
      <c r="J67" s="325">
        <f t="shared" si="51"/>
        <v>0</v>
      </c>
      <c r="K67" s="331">
        <f t="shared" si="52"/>
        <v>0</v>
      </c>
    </row>
    <row r="68" spans="1:11" ht="13.5">
      <c r="A68" s="293">
        <f>Gen!A33</f>
        <v>44278</v>
      </c>
      <c r="B68" s="19"/>
      <c r="C68" s="62"/>
      <c r="D68" s="325">
        <f t="shared" si="48"/>
        <v>0</v>
      </c>
      <c r="E68" s="6"/>
      <c r="F68" s="325">
        <f t="shared" si="49"/>
        <v>0</v>
      </c>
      <c r="G68" s="477"/>
      <c r="H68" s="325">
        <f t="shared" si="50"/>
        <v>0</v>
      </c>
      <c r="I68" s="6"/>
      <c r="J68" s="325">
        <f t="shared" si="51"/>
        <v>0</v>
      </c>
      <c r="K68" s="331">
        <f t="shared" si="52"/>
        <v>0</v>
      </c>
    </row>
    <row r="69" spans="1:11" ht="13.5">
      <c r="A69" s="293">
        <f>Gen!A34</f>
        <v>44279</v>
      </c>
      <c r="B69" s="19"/>
      <c r="C69" s="62"/>
      <c r="D69" s="325">
        <f t="shared" si="48"/>
        <v>0</v>
      </c>
      <c r="E69" s="6"/>
      <c r="F69" s="325">
        <f t="shared" si="49"/>
        <v>0</v>
      </c>
      <c r="G69" s="477"/>
      <c r="H69" s="325">
        <f t="shared" si="50"/>
        <v>0</v>
      </c>
      <c r="I69" s="6"/>
      <c r="J69" s="325">
        <f t="shared" si="51"/>
        <v>0</v>
      </c>
      <c r="K69" s="331">
        <f t="shared" si="52"/>
        <v>0</v>
      </c>
    </row>
    <row r="70" spans="1:11" ht="13.5">
      <c r="A70" s="293">
        <f>Gen!A35</f>
        <v>44280</v>
      </c>
      <c r="B70" s="19"/>
      <c r="C70" s="62"/>
      <c r="D70" s="325">
        <f t="shared" si="48"/>
        <v>0</v>
      </c>
      <c r="E70" s="6"/>
      <c r="F70" s="325">
        <f t="shared" si="49"/>
        <v>0</v>
      </c>
      <c r="G70" s="477"/>
      <c r="H70" s="325">
        <f t="shared" si="50"/>
        <v>0</v>
      </c>
      <c r="I70" s="6"/>
      <c r="J70" s="325">
        <f t="shared" si="51"/>
        <v>0</v>
      </c>
      <c r="K70" s="331">
        <f t="shared" si="52"/>
        <v>0</v>
      </c>
    </row>
    <row r="71" spans="1:11" ht="13.5">
      <c r="A71" s="293">
        <f>Gen!A36</f>
        <v>44281</v>
      </c>
      <c r="B71" s="19"/>
      <c r="C71" s="62"/>
      <c r="D71" s="325">
        <f t="shared" si="48"/>
        <v>0</v>
      </c>
      <c r="E71" s="6"/>
      <c r="F71" s="325">
        <f t="shared" si="49"/>
        <v>0</v>
      </c>
      <c r="G71" s="477"/>
      <c r="H71" s="325">
        <f t="shared" si="50"/>
        <v>0</v>
      </c>
      <c r="I71" s="6"/>
      <c r="J71" s="325">
        <f t="shared" si="51"/>
        <v>0</v>
      </c>
      <c r="K71" s="331">
        <f t="shared" si="52"/>
        <v>0</v>
      </c>
    </row>
    <row r="72" spans="1:11" ht="13.5">
      <c r="A72" s="293">
        <f>Gen!A37</f>
        <v>44282</v>
      </c>
      <c r="B72" s="19"/>
      <c r="C72" s="62"/>
      <c r="D72" s="325">
        <f t="shared" si="48"/>
        <v>0</v>
      </c>
      <c r="E72" s="6"/>
      <c r="F72" s="325">
        <f t="shared" si="49"/>
        <v>0</v>
      </c>
      <c r="G72" s="477"/>
      <c r="H72" s="325">
        <f t="shared" si="50"/>
        <v>0</v>
      </c>
      <c r="I72" s="6"/>
      <c r="J72" s="325">
        <f t="shared" si="51"/>
        <v>0</v>
      </c>
      <c r="K72" s="331">
        <f t="shared" si="52"/>
        <v>0</v>
      </c>
    </row>
    <row r="73" spans="1:11" ht="13.5">
      <c r="A73" s="293">
        <f>Gen!A38</f>
        <v>44283</v>
      </c>
      <c r="B73" s="19"/>
      <c r="C73" s="62"/>
      <c r="D73" s="325">
        <f t="shared" si="48"/>
        <v>0</v>
      </c>
      <c r="E73" s="6"/>
      <c r="F73" s="325">
        <f t="shared" si="49"/>
        <v>0</v>
      </c>
      <c r="G73" s="477"/>
      <c r="H73" s="325">
        <f t="shared" si="50"/>
        <v>0</v>
      </c>
      <c r="I73" s="6"/>
      <c r="J73" s="325">
        <f t="shared" si="51"/>
        <v>0</v>
      </c>
      <c r="K73" s="331">
        <f t="shared" si="52"/>
        <v>0</v>
      </c>
    </row>
    <row r="74" spans="1:11" ht="13.5">
      <c r="A74" s="293">
        <f>Gen!A39</f>
        <v>44284</v>
      </c>
      <c r="B74" s="19"/>
      <c r="C74" s="62"/>
      <c r="D74" s="325">
        <f t="shared" si="48"/>
        <v>0</v>
      </c>
      <c r="E74" s="6"/>
      <c r="F74" s="325">
        <f t="shared" si="49"/>
        <v>0</v>
      </c>
      <c r="G74" s="477"/>
      <c r="H74" s="325">
        <f t="shared" si="50"/>
        <v>0</v>
      </c>
      <c r="I74" s="6"/>
      <c r="J74" s="325">
        <f t="shared" si="51"/>
        <v>0</v>
      </c>
      <c r="K74" s="331">
        <f t="shared" si="52"/>
        <v>0</v>
      </c>
    </row>
    <row r="75" spans="1:11" ht="14.25" thickBot="1">
      <c r="A75" s="293">
        <f>Gen!A40</f>
        <v>44285</v>
      </c>
      <c r="B75" s="251"/>
      <c r="C75" s="62"/>
      <c r="D75" s="325">
        <f t="shared" si="48"/>
        <v>0</v>
      </c>
      <c r="E75" s="6"/>
      <c r="F75" s="325">
        <f t="shared" si="49"/>
        <v>0</v>
      </c>
      <c r="G75" s="477"/>
      <c r="H75" s="325">
        <f t="shared" si="50"/>
        <v>0</v>
      </c>
      <c r="I75" s="6"/>
      <c r="J75" s="325">
        <f t="shared" si="51"/>
        <v>0</v>
      </c>
      <c r="K75" s="331">
        <f t="shared" si="52"/>
        <v>0</v>
      </c>
    </row>
    <row r="76" spans="1:11" ht="13.5">
      <c r="A76" s="293">
        <f>Gen!A41</f>
        <v>44286</v>
      </c>
      <c r="C76" s="62"/>
      <c r="D76" s="325">
        <f t="shared" si="48"/>
        <v>0</v>
      </c>
      <c r="E76" s="6"/>
      <c r="F76" s="325">
        <f t="shared" si="49"/>
        <v>0</v>
      </c>
      <c r="G76" s="477"/>
      <c r="H76" s="325">
        <f t="shared" si="50"/>
        <v>0</v>
      </c>
      <c r="I76" s="6"/>
      <c r="J76" s="325">
        <f t="shared" si="51"/>
        <v>0</v>
      </c>
      <c r="K76" s="331">
        <f t="shared" si="52"/>
        <v>0</v>
      </c>
    </row>
    <row r="77" spans="1:11" ht="14.25" thickBot="1">
      <c r="A77" s="293">
        <f>Gen!A42</f>
        <v>0</v>
      </c>
      <c r="C77" s="62"/>
      <c r="D77" s="325">
        <f t="shared" si="48"/>
        <v>0</v>
      </c>
      <c r="E77" s="6"/>
      <c r="F77" s="325">
        <f t="shared" si="49"/>
        <v>0</v>
      </c>
      <c r="G77" s="477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44256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44257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44258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44259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44260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44261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44262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44263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44264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44265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44266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44267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44268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44269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44270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44271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44272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44273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44274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44275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44276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44277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44278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44279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44280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44281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44282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44283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44284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44285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44286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48" t="s">
        <v>316</v>
      </c>
      <c r="B2" s="949"/>
      <c r="C2" s="949"/>
      <c r="D2" s="949"/>
      <c r="E2" s="950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44256</v>
      </c>
      <c r="B5" s="82">
        <v>0</v>
      </c>
      <c r="C5" s="87">
        <f>Gen!B11</f>
        <v>0</v>
      </c>
      <c r="D5" s="434">
        <f>SUM(77*C5)</f>
        <v>0</v>
      </c>
      <c r="E5" s="74"/>
      <c r="F5" s="70">
        <f>Gen!U11</f>
        <v>0.40437810945273633</v>
      </c>
      <c r="G5" s="85">
        <f>Gen!T11</f>
        <v>2613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64</v>
      </c>
      <c r="L5" s="447">
        <f>'Lpg (2)'!G10</f>
        <v>130.81199999998208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4.1212121212121211</v>
      </c>
      <c r="U5" s="122">
        <f>SUM(L5*1963)/X5</f>
        <v>162.11108333331111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44257</v>
      </c>
      <c r="B6" s="82">
        <v>0</v>
      </c>
      <c r="C6" s="87">
        <f>Gen!B12</f>
        <v>0</v>
      </c>
      <c r="D6" s="434">
        <f t="shared" ref="D6:D35" si="2">SUM(77*C6)</f>
        <v>0</v>
      </c>
      <c r="E6" s="74"/>
      <c r="F6" s="70">
        <f>Gen!U12</f>
        <v>0.39502581755593802</v>
      </c>
      <c r="G6" s="85">
        <f>Gen!T12</f>
        <v>2905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56</v>
      </c>
      <c r="L6" s="447">
        <f>'Lpg (2)'!G11</f>
        <v>127.51200000004611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3.606060606060606</v>
      </c>
      <c r="U6" s="122">
        <f t="shared" ref="U6:U35" si="6">SUM(L6*1963)/X6</f>
        <v>158.02150000005716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44258</v>
      </c>
      <c r="B7" s="82">
        <v>0</v>
      </c>
      <c r="C7" s="87">
        <f>Gen!B13</f>
        <v>0</v>
      </c>
      <c r="D7" s="434">
        <f t="shared" si="2"/>
        <v>0</v>
      </c>
      <c r="E7" s="74"/>
      <c r="F7" s="70">
        <f>Gen!U13</f>
        <v>0.40824048096192384</v>
      </c>
      <c r="G7" s="85">
        <f>Gen!T13</f>
        <v>2495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65</v>
      </c>
      <c r="L7" s="447">
        <f>'Lpg (2)'!G12</f>
        <v>68.947999999992319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4.1856060606060606</v>
      </c>
      <c r="U7" s="122">
        <f t="shared" si="6"/>
        <v>85.44502777776826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44259</v>
      </c>
      <c r="B8" s="82">
        <v>0</v>
      </c>
      <c r="C8" s="87">
        <f>Gen!B14</f>
        <v>0</v>
      </c>
      <c r="D8" s="434">
        <f t="shared" si="2"/>
        <v>0</v>
      </c>
      <c r="E8" s="74"/>
      <c r="F8" s="70">
        <f>Gen!U14</f>
        <v>0.40021291448516577</v>
      </c>
      <c r="G8" s="85">
        <f>Gen!T14</f>
        <v>2865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55</v>
      </c>
      <c r="L8" s="447">
        <f>'Lpg (2)'!G13</f>
        <v>-331268.87200000003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3.5416666666666665</v>
      </c>
      <c r="U8" s="122">
        <f t="shared" si="6"/>
        <v>-410530.80538888893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44260</v>
      </c>
      <c r="B9" s="82">
        <v>0</v>
      </c>
      <c r="C9" s="87">
        <f>Gen!B15</f>
        <v>0</v>
      </c>
      <c r="D9" s="434">
        <f t="shared" si="2"/>
        <v>0</v>
      </c>
      <c r="E9" s="74"/>
      <c r="F9" s="70" t="e">
        <f>Gen!U15</f>
        <v>#DIV/0!</v>
      </c>
      <c r="G9" s="85">
        <f>Gen!T15</f>
        <v>0</v>
      </c>
      <c r="H9" s="85">
        <f>[1]Gen!AJ10</f>
        <v>0</v>
      </c>
      <c r="I9" s="85">
        <f t="shared" si="0"/>
        <v>0</v>
      </c>
      <c r="J9" s="85">
        <f>[1]Gen!AT15</f>
        <v>37525.210000000021</v>
      </c>
      <c r="K9" s="69" t="str">
        <f>'Water-Meter'!E10</f>
        <v>0</v>
      </c>
      <c r="L9" s="447">
        <f>'Lpg (2)'!G14</f>
        <v>0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0</v>
      </c>
      <c r="R9" s="76" t="e">
        <f t="shared" si="3"/>
        <v>#DIV/0!</v>
      </c>
      <c r="S9" s="438" t="e">
        <f t="shared" si="4"/>
        <v>#DIV/0!</v>
      </c>
      <c r="T9" s="76">
        <f t="shared" si="5"/>
        <v>0</v>
      </c>
      <c r="U9" s="122">
        <f t="shared" si="6"/>
        <v>0</v>
      </c>
      <c r="V9" s="17">
        <f t="shared" si="7"/>
        <v>0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44261</v>
      </c>
      <c r="B10" s="82">
        <v>0</v>
      </c>
      <c r="C10" s="87">
        <f>Gen!B16</f>
        <v>0</v>
      </c>
      <c r="D10" s="434">
        <f t="shared" si="2"/>
        <v>0</v>
      </c>
      <c r="E10" s="74"/>
      <c r="F10" s="70" t="e">
        <f>Gen!U16</f>
        <v>#DIV/0!</v>
      </c>
      <c r="G10" s="85">
        <f>Gen!T16</f>
        <v>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0</v>
      </c>
      <c r="L10" s="447">
        <f>'Lpg (2)'!G15</f>
        <v>0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0</v>
      </c>
      <c r="U10" s="122">
        <f t="shared" si="6"/>
        <v>0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44262</v>
      </c>
      <c r="B11" s="82">
        <v>0</v>
      </c>
      <c r="C11" s="87">
        <f>Gen!B17</f>
        <v>0</v>
      </c>
      <c r="D11" s="434">
        <f t="shared" si="2"/>
        <v>0</v>
      </c>
      <c r="E11" s="74"/>
      <c r="F11" s="70" t="e">
        <f>Gen!U17</f>
        <v>#DIV/0!</v>
      </c>
      <c r="G11" s="85">
        <f>Gen!T17</f>
        <v>0</v>
      </c>
      <c r="H11" s="85">
        <f>[1]Gen!AJ25</f>
        <v>80.56</v>
      </c>
      <c r="I11" s="85">
        <f t="shared" si="0"/>
        <v>80.56</v>
      </c>
      <c r="J11" s="85">
        <f>[1]Gen!AT17</f>
        <v>47513.140000000029</v>
      </c>
      <c r="K11" s="69">
        <f>'Water-Meter'!E12</f>
        <v>0</v>
      </c>
      <c r="L11" s="447">
        <f>'Lpg (2)'!G16</f>
        <v>0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178025.516</v>
      </c>
      <c r="R11" s="76" t="e">
        <f t="shared" si="3"/>
        <v>#DIV/0!</v>
      </c>
      <c r="S11" s="438" t="e">
        <f t="shared" si="4"/>
        <v>#DIV/0!</v>
      </c>
      <c r="T11" s="76">
        <f t="shared" si="5"/>
        <v>0</v>
      </c>
      <c r="U11" s="122">
        <f t="shared" si="6"/>
        <v>0</v>
      </c>
      <c r="V11" s="17">
        <f t="shared" si="7"/>
        <v>178025.516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44263</v>
      </c>
      <c r="B12" s="82">
        <v>0</v>
      </c>
      <c r="C12" s="87">
        <f>Gen!B18</f>
        <v>0</v>
      </c>
      <c r="D12" s="434">
        <f t="shared" si="2"/>
        <v>0</v>
      </c>
      <c r="E12" s="74"/>
      <c r="F12" s="70" t="e">
        <f>Gen!U18</f>
        <v>#DIV/0!</v>
      </c>
      <c r="G12" s="85">
        <f>Gen!T18</f>
        <v>0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0</v>
      </c>
      <c r="L12" s="447">
        <f>'Lpg (2)'!G17</f>
        <v>0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0</v>
      </c>
      <c r="U12" s="122">
        <f t="shared" si="6"/>
        <v>0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44264</v>
      </c>
      <c r="B13" s="82">
        <v>0</v>
      </c>
      <c r="C13" s="87">
        <f>Gen!B19</f>
        <v>0</v>
      </c>
      <c r="D13" s="434">
        <f t="shared" si="2"/>
        <v>0</v>
      </c>
      <c r="E13" s="74"/>
      <c r="F13" s="70" t="e">
        <f>Gen!U19</f>
        <v>#DIV/0!</v>
      </c>
      <c r="G13" s="85">
        <f>Gen!T19</f>
        <v>0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0</v>
      </c>
      <c r="L13" s="447">
        <f>'Lpg (2)'!G18</f>
        <v>0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0</v>
      </c>
      <c r="U13" s="122">
        <f t="shared" si="6"/>
        <v>0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44265</v>
      </c>
      <c r="B14" s="82">
        <v>0</v>
      </c>
      <c r="C14" s="87">
        <f>Gen!B20</f>
        <v>0</v>
      </c>
      <c r="D14" s="434">
        <f t="shared" si="2"/>
        <v>0</v>
      </c>
      <c r="E14" s="74"/>
      <c r="F14" s="70" t="e">
        <f>Gen!U20</f>
        <v>#DIV/0!</v>
      </c>
      <c r="G14" s="85">
        <f>Gen!T20</f>
        <v>0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0</v>
      </c>
      <c r="L14" s="447">
        <f>'Lpg (2)'!G19</f>
        <v>0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0</v>
      </c>
      <c r="U14" s="122">
        <f t="shared" si="6"/>
        <v>0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44266</v>
      </c>
      <c r="B15" s="82">
        <v>0</v>
      </c>
      <c r="C15" s="87">
        <f>Gen!B21</f>
        <v>0</v>
      </c>
      <c r="D15" s="434">
        <f t="shared" si="2"/>
        <v>0</v>
      </c>
      <c r="E15" s="74"/>
      <c r="F15" s="70" t="e">
        <f>Gen!U21</f>
        <v>#DIV/0!</v>
      </c>
      <c r="G15" s="85">
        <f>Gen!T21</f>
        <v>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0</v>
      </c>
      <c r="L15" s="447">
        <f>'Lpg (2)'!G20</f>
        <v>0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0</v>
      </c>
      <c r="U15" s="122">
        <f t="shared" si="6"/>
        <v>0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44267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0</v>
      </c>
      <c r="L16" s="447">
        <f>'Lpg (2)'!G21</f>
        <v>0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0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44268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44269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44270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44271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44272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44273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44274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44275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44276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44277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44278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44279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44280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44281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44282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44283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44284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44285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44286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240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1697.8500000000001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topLeftCell="A49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51" t="s">
        <v>180</v>
      </c>
      <c r="B1" s="952"/>
      <c r="C1" s="952"/>
      <c r="D1" s="952"/>
      <c r="E1" s="952"/>
      <c r="F1" s="952"/>
      <c r="G1" s="953"/>
    </row>
    <row r="2" spans="1:7" ht="13.5" thickBot="1">
      <c r="A2" s="300"/>
      <c r="B2" s="954" t="s">
        <v>175</v>
      </c>
      <c r="C2" s="955"/>
      <c r="D2" s="956"/>
      <c r="E2" s="954" t="s">
        <v>176</v>
      </c>
      <c r="F2" s="955"/>
      <c r="G2" s="956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40"/>
      <c r="C77" s="277"/>
      <c r="D77" s="841"/>
      <c r="E77" s="277"/>
      <c r="F77" s="277"/>
      <c r="G77" s="841"/>
    </row>
    <row r="78" spans="1:7">
      <c r="A78" s="19"/>
      <c r="B78" s="835"/>
      <c r="C78" s="19"/>
      <c r="D78" s="836"/>
      <c r="E78" s="19"/>
      <c r="F78" s="19"/>
      <c r="G78" s="836"/>
    </row>
    <row r="79" spans="1:7">
      <c r="A79" s="19"/>
      <c r="B79" s="835"/>
      <c r="C79" s="19"/>
      <c r="D79" s="836"/>
      <c r="E79" s="19"/>
      <c r="F79" s="19"/>
      <c r="G79" s="836"/>
    </row>
    <row r="80" spans="1:7">
      <c r="A80" s="19"/>
      <c r="B80" s="835"/>
      <c r="C80" s="19"/>
      <c r="D80" s="836"/>
      <c r="E80" s="19"/>
      <c r="F80" s="19"/>
      <c r="G80" s="836"/>
    </row>
    <row r="81" spans="1:7">
      <c r="A81" s="19"/>
      <c r="B81" s="835"/>
      <c r="C81" s="19"/>
      <c r="D81" s="836"/>
      <c r="E81" s="19"/>
      <c r="F81" s="19"/>
      <c r="G81" s="836"/>
    </row>
    <row r="82" spans="1:7">
      <c r="A82" s="19"/>
      <c r="B82" s="835"/>
      <c r="C82" s="19"/>
      <c r="D82" s="836"/>
      <c r="E82" s="19"/>
      <c r="F82" s="19"/>
      <c r="G82" s="836"/>
    </row>
    <row r="83" spans="1:7">
      <c r="A83" s="19"/>
      <c r="B83" s="835"/>
      <c r="C83" s="19"/>
      <c r="D83" s="836"/>
      <c r="E83" s="19"/>
      <c r="F83" s="19"/>
      <c r="G83" s="836"/>
    </row>
    <row r="84" spans="1:7">
      <c r="A84" s="19"/>
      <c r="B84" s="835"/>
      <c r="C84" s="19"/>
      <c r="D84" s="836"/>
      <c r="E84" s="19"/>
      <c r="F84" s="19"/>
      <c r="G84" s="836"/>
    </row>
    <row r="85" spans="1:7">
      <c r="A85" s="19"/>
      <c r="B85" s="835"/>
      <c r="C85" s="19"/>
      <c r="D85" s="836"/>
      <c r="E85" s="19"/>
      <c r="F85" s="19"/>
      <c r="G85" s="836"/>
    </row>
    <row r="86" spans="1:7">
      <c r="A86" s="19"/>
      <c r="B86" s="835"/>
      <c r="C86" s="19"/>
      <c r="D86" s="836"/>
      <c r="E86" s="19"/>
      <c r="F86" s="19"/>
      <c r="G86" s="836"/>
    </row>
    <row r="87" spans="1:7">
      <c r="A87" s="19"/>
      <c r="B87" s="835"/>
      <c r="C87" s="19"/>
      <c r="D87" s="836"/>
      <c r="E87" s="19"/>
      <c r="F87" s="19"/>
      <c r="G87" s="836"/>
    </row>
    <row r="88" spans="1:7" ht="13.5" thickBot="1">
      <c r="B88" s="837"/>
      <c r="C88" s="251"/>
      <c r="D88" s="838"/>
      <c r="E88" s="251"/>
      <c r="F88" s="251"/>
      <c r="G88" s="838"/>
    </row>
    <row r="89" spans="1:7" ht="13.5" thickBot="1">
      <c r="B89" s="842" t="s">
        <v>319</v>
      </c>
      <c r="C89" s="843"/>
      <c r="D89" s="844"/>
      <c r="E89" s="842" t="s">
        <v>320</v>
      </c>
      <c r="F89" s="843"/>
      <c r="G89" s="844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46" workbookViewId="0">
      <selection activeCell="I51" sqref="I51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51" t="s">
        <v>230</v>
      </c>
      <c r="B1" s="952"/>
      <c r="C1" s="952"/>
      <c r="D1" s="952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57"/>
      <c r="C76" s="958"/>
      <c r="D76" s="958"/>
      <c r="E76" s="959"/>
      <c r="H76" s="957"/>
      <c r="I76" s="958"/>
      <c r="J76" s="958"/>
      <c r="K76" s="958"/>
      <c r="L76" s="959"/>
    </row>
    <row r="77" spans="1:12">
      <c r="B77" s="960"/>
      <c r="C77" s="961"/>
      <c r="D77" s="961"/>
      <c r="E77" s="962"/>
      <c r="H77" s="960"/>
      <c r="I77" s="961"/>
      <c r="J77" s="961"/>
      <c r="K77" s="961"/>
      <c r="L77" s="962"/>
    </row>
    <row r="78" spans="1:12">
      <c r="B78" s="960"/>
      <c r="C78" s="961"/>
      <c r="D78" s="961"/>
      <c r="E78" s="962"/>
      <c r="H78" s="960"/>
      <c r="I78" s="961"/>
      <c r="J78" s="961"/>
      <c r="K78" s="961"/>
      <c r="L78" s="962"/>
    </row>
    <row r="79" spans="1:12">
      <c r="B79" s="960"/>
      <c r="C79" s="961"/>
      <c r="D79" s="961"/>
      <c r="E79" s="962"/>
      <c r="H79" s="960"/>
      <c r="I79" s="961"/>
      <c r="J79" s="961"/>
      <c r="K79" s="961"/>
      <c r="L79" s="962"/>
    </row>
    <row r="80" spans="1:12">
      <c r="B80" s="960"/>
      <c r="C80" s="961"/>
      <c r="D80" s="961"/>
      <c r="E80" s="962"/>
      <c r="H80" s="960"/>
      <c r="I80" s="961"/>
      <c r="J80" s="961"/>
      <c r="K80" s="961"/>
      <c r="L80" s="962"/>
    </row>
    <row r="81" spans="2:12">
      <c r="B81" s="960"/>
      <c r="C81" s="961"/>
      <c r="D81" s="961"/>
      <c r="E81" s="962"/>
      <c r="H81" s="960"/>
      <c r="I81" s="961"/>
      <c r="J81" s="961"/>
      <c r="K81" s="961"/>
      <c r="L81" s="962"/>
    </row>
    <row r="82" spans="2:12">
      <c r="B82" s="960"/>
      <c r="C82" s="961"/>
      <c r="D82" s="961"/>
      <c r="E82" s="962"/>
      <c r="H82" s="960"/>
      <c r="I82" s="961"/>
      <c r="J82" s="961"/>
      <c r="K82" s="961"/>
      <c r="L82" s="962"/>
    </row>
    <row r="83" spans="2:12">
      <c r="B83" s="960"/>
      <c r="C83" s="961"/>
      <c r="D83" s="961"/>
      <c r="E83" s="962"/>
      <c r="H83" s="960"/>
      <c r="I83" s="961"/>
      <c r="J83" s="961"/>
      <c r="K83" s="961"/>
      <c r="L83" s="962"/>
    </row>
    <row r="84" spans="2:12">
      <c r="B84" s="960"/>
      <c r="C84" s="961"/>
      <c r="D84" s="961"/>
      <c r="E84" s="962"/>
      <c r="H84" s="960"/>
      <c r="I84" s="961"/>
      <c r="J84" s="961"/>
      <c r="K84" s="961"/>
      <c r="L84" s="962"/>
    </row>
    <row r="85" spans="2:12">
      <c r="B85" s="960"/>
      <c r="C85" s="961"/>
      <c r="D85" s="961"/>
      <c r="E85" s="962"/>
      <c r="H85" s="960"/>
      <c r="I85" s="961"/>
      <c r="J85" s="961"/>
      <c r="K85" s="961"/>
      <c r="L85" s="962"/>
    </row>
    <row r="86" spans="2:12">
      <c r="B86" s="960"/>
      <c r="C86" s="961"/>
      <c r="D86" s="961"/>
      <c r="E86" s="962"/>
      <c r="H86" s="960"/>
      <c r="I86" s="961"/>
      <c r="J86" s="961"/>
      <c r="K86" s="961"/>
      <c r="L86" s="962"/>
    </row>
    <row r="87" spans="2:12">
      <c r="B87" s="960"/>
      <c r="C87" s="961"/>
      <c r="D87" s="961"/>
      <c r="E87" s="962"/>
      <c r="H87" s="960"/>
      <c r="I87" s="961"/>
      <c r="J87" s="961"/>
      <c r="K87" s="961"/>
      <c r="L87" s="962"/>
    </row>
    <row r="88" spans="2:12">
      <c r="B88" s="960"/>
      <c r="C88" s="961"/>
      <c r="D88" s="961"/>
      <c r="E88" s="962"/>
      <c r="H88" s="960"/>
      <c r="I88" s="961"/>
      <c r="J88" s="961"/>
      <c r="K88" s="961"/>
      <c r="L88" s="962"/>
    </row>
    <row r="89" spans="2:12">
      <c r="B89" s="960"/>
      <c r="C89" s="961"/>
      <c r="D89" s="961"/>
      <c r="E89" s="962"/>
      <c r="H89" s="960"/>
      <c r="I89" s="961"/>
      <c r="J89" s="961"/>
      <c r="K89" s="961"/>
      <c r="L89" s="962"/>
    </row>
    <row r="90" spans="2:12" ht="13.5" thickBot="1">
      <c r="B90" s="963"/>
      <c r="C90" s="964"/>
      <c r="D90" s="964"/>
      <c r="E90" s="965"/>
      <c r="H90" s="963"/>
      <c r="I90" s="964"/>
      <c r="J90" s="964"/>
      <c r="K90" s="964"/>
      <c r="L90" s="965"/>
    </row>
    <row r="91" spans="2:12">
      <c r="B91" s="966" t="s">
        <v>312</v>
      </c>
      <c r="C91" s="967"/>
      <c r="D91" s="967"/>
      <c r="E91" s="968"/>
      <c r="H91" s="966" t="s">
        <v>313</v>
      </c>
      <c r="I91" s="967"/>
      <c r="J91" s="967"/>
      <c r="K91" s="967"/>
      <c r="L91" s="968"/>
    </row>
    <row r="92" spans="2:12">
      <c r="B92" s="969"/>
      <c r="C92" s="970"/>
      <c r="D92" s="970"/>
      <c r="E92" s="971"/>
      <c r="H92" s="969"/>
      <c r="I92" s="970"/>
      <c r="J92" s="970"/>
      <c r="K92" s="970"/>
      <c r="L92" s="971"/>
    </row>
    <row r="93" spans="2:12" ht="13.5" thickBot="1">
      <c r="B93" s="972"/>
      <c r="C93" s="973"/>
      <c r="D93" s="973"/>
      <c r="E93" s="974"/>
      <c r="H93" s="972"/>
      <c r="I93" s="973"/>
      <c r="J93" s="973"/>
      <c r="K93" s="973"/>
      <c r="L93" s="974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16" workbookViewId="0">
      <selection activeCell="N34" sqref="N3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5" t="s">
        <v>254</v>
      </c>
      <c r="B1" s="975"/>
      <c r="C1" s="975"/>
      <c r="D1" s="975"/>
      <c r="E1" s="975"/>
      <c r="F1" s="975"/>
      <c r="G1" s="975"/>
      <c r="H1" s="975"/>
      <c r="I1" s="975"/>
      <c r="J1" s="975"/>
    </row>
    <row r="2" spans="1:10" ht="19.5" thickBot="1">
      <c r="A2" s="984">
        <f>A5</f>
        <v>44256</v>
      </c>
      <c r="B2" s="985"/>
      <c r="C2" s="985"/>
      <c r="D2" s="985"/>
      <c r="E2" s="985"/>
      <c r="F2" s="985"/>
      <c r="G2" s="985"/>
      <c r="H2" s="985"/>
      <c r="I2" s="985"/>
      <c r="J2" s="985"/>
    </row>
    <row r="3" spans="1:10" ht="15.75" thickBot="1">
      <c r="A3" s="976" t="s">
        <v>7</v>
      </c>
      <c r="B3" s="978" t="s">
        <v>255</v>
      </c>
      <c r="C3" s="440"/>
      <c r="D3" s="980" t="s">
        <v>256</v>
      </c>
      <c r="E3" s="981"/>
      <c r="F3" s="982" t="s">
        <v>257</v>
      </c>
      <c r="G3" s="983"/>
      <c r="H3" s="981"/>
      <c r="I3" s="982" t="s">
        <v>258</v>
      </c>
      <c r="J3" s="981"/>
    </row>
    <row r="4" spans="1:10" ht="30.75" thickBot="1">
      <c r="A4" s="977"/>
      <c r="B4" s="979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44256</v>
      </c>
      <c r="B5" s="399">
        <f>Gen!B11</f>
        <v>0</v>
      </c>
      <c r="C5" s="443">
        <f>Gen!AJ11</f>
        <v>69.680000000000007</v>
      </c>
      <c r="D5" s="444">
        <f>Gen!S11</f>
        <v>1056.6400000000001</v>
      </c>
      <c r="E5" s="395">
        <f>Gen!C11</f>
        <v>44889.51</v>
      </c>
      <c r="F5" s="396">
        <f>'Water-Meter'!E6</f>
        <v>64</v>
      </c>
      <c r="G5" s="397">
        <f>'Water-Meter'!AN6</f>
        <v>47</v>
      </c>
      <c r="H5" s="395">
        <f>'Utility report '!AC6</f>
        <v>40</v>
      </c>
      <c r="I5" s="394">
        <f>'Kit report'!F4</f>
        <v>240</v>
      </c>
      <c r="J5" s="395">
        <f>'Kit report'!X4</f>
        <v>319.99999999989086</v>
      </c>
    </row>
    <row r="6" spans="1:10" ht="17.100000000000001" customHeight="1" thickBot="1">
      <c r="A6" s="217">
        <f>Gen!A12</f>
        <v>44257</v>
      </c>
      <c r="B6" s="399">
        <f>Gen!B12</f>
        <v>0</v>
      </c>
      <c r="C6" s="443">
        <f>Gen!AJ12</f>
        <v>172.49</v>
      </c>
      <c r="D6" s="444">
        <f>Gen!S12</f>
        <v>1147.55</v>
      </c>
      <c r="E6" s="395">
        <f>Gen!C12</f>
        <v>43763.19</v>
      </c>
      <c r="F6" s="396">
        <f>'Water-Meter'!E7</f>
        <v>56</v>
      </c>
      <c r="G6" s="397">
        <f>'Water-Meter'!AN7</f>
        <v>172</v>
      </c>
      <c r="H6" s="395">
        <f>'Utility report '!AC7</f>
        <v>167</v>
      </c>
      <c r="I6" s="394">
        <f>'Kit report'!F5</f>
        <v>287.99999999995634</v>
      </c>
      <c r="J6" s="395">
        <f>'Kit report'!X5</f>
        <v>239.99999999996362</v>
      </c>
    </row>
    <row r="7" spans="1:10" ht="17.100000000000001" customHeight="1" thickBot="1">
      <c r="A7" s="217">
        <f>Gen!A13</f>
        <v>44258</v>
      </c>
      <c r="B7" s="399">
        <f>Gen!B13</f>
        <v>0</v>
      </c>
      <c r="C7" s="443">
        <f>Gen!AJ13</f>
        <v>50.24</v>
      </c>
      <c r="D7" s="444">
        <f>Gen!S13</f>
        <v>1018.56</v>
      </c>
      <c r="E7" s="395">
        <f>Gen!C13</f>
        <v>42443.15</v>
      </c>
      <c r="F7" s="396">
        <f>'Water-Meter'!E8</f>
        <v>65</v>
      </c>
      <c r="G7" s="397">
        <f>'Water-Meter'!AN8</f>
        <v>161</v>
      </c>
      <c r="H7" s="395">
        <f>'Utility report '!AC8</f>
        <v>0</v>
      </c>
      <c r="I7" s="394">
        <f>'Kit report'!F6</f>
        <v>275.99999999991269</v>
      </c>
      <c r="J7" s="395">
        <f>'Kit report'!X6</f>
        <v>140.00000000014552</v>
      </c>
    </row>
    <row r="8" spans="1:10" ht="17.100000000000001" customHeight="1" thickBot="1">
      <c r="A8" s="217">
        <f>Gen!A14</f>
        <v>44259</v>
      </c>
      <c r="B8" s="399">
        <f>Gen!B14</f>
        <v>0</v>
      </c>
      <c r="C8" s="443">
        <f>Gen!AJ14</f>
        <v>80.03</v>
      </c>
      <c r="D8" s="444">
        <f>Gen!S14</f>
        <v>1146.6099999999999</v>
      </c>
      <c r="E8" s="395">
        <f>Gen!C14</f>
        <v>41374.35</v>
      </c>
      <c r="F8" s="396">
        <f>'Water-Meter'!E9</f>
        <v>55</v>
      </c>
      <c r="G8" s="397">
        <f>'Water-Meter'!AN9</f>
        <v>123</v>
      </c>
      <c r="H8" s="395">
        <f>'Utility report '!AC9</f>
        <v>139</v>
      </c>
      <c r="I8" s="394">
        <f>'Kit report'!F7</f>
        <v>264.00000000008731</v>
      </c>
      <c r="J8" s="395">
        <f>'Kit report'!X7</f>
        <v>259.99999999985448</v>
      </c>
    </row>
    <row r="9" spans="1:10" ht="17.100000000000001" customHeight="1" thickBot="1">
      <c r="A9" s="217">
        <f>Gen!A15</f>
        <v>44260</v>
      </c>
      <c r="B9" s="399">
        <f>Gen!B15</f>
        <v>0</v>
      </c>
      <c r="C9" s="443">
        <f>Gen!AJ15</f>
        <v>0</v>
      </c>
      <c r="D9" s="444">
        <f>Gen!S15</f>
        <v>0</v>
      </c>
      <c r="E9" s="395">
        <f>Gen!C15</f>
        <v>40147.71</v>
      </c>
      <c r="F9" s="396" t="str">
        <f>'Water-Meter'!E10</f>
        <v>0</v>
      </c>
      <c r="G9" s="397">
        <f>'Water-Meter'!AN10</f>
        <v>0</v>
      </c>
      <c r="H9" s="395">
        <f>'Utility report '!AC10</f>
        <v>-47654</v>
      </c>
      <c r="I9" s="394">
        <f>'Kit report'!F8</f>
        <v>-1097460</v>
      </c>
      <c r="J9" s="395">
        <f>'Kit report'!X8</f>
        <v>-1606680</v>
      </c>
    </row>
    <row r="10" spans="1:10" ht="17.100000000000001" customHeight="1" thickBot="1">
      <c r="A10" s="217">
        <f>Gen!A16</f>
        <v>44261</v>
      </c>
      <c r="B10" s="399">
        <f>Gen!B16</f>
        <v>0</v>
      </c>
      <c r="C10" s="443">
        <f>Gen!AJ16</f>
        <v>0</v>
      </c>
      <c r="D10" s="444">
        <f>Gen!S16</f>
        <v>0</v>
      </c>
      <c r="E10" s="395">
        <f>Gen!C16</f>
        <v>40147.71</v>
      </c>
      <c r="F10" s="396">
        <f>'Water-Meter'!E11</f>
        <v>0</v>
      </c>
      <c r="G10" s="397">
        <f>'Water-Meter'!AN11</f>
        <v>0</v>
      </c>
      <c r="H10" s="395">
        <f>'Utility report '!AC11</f>
        <v>0</v>
      </c>
      <c r="I10" s="394">
        <f>'Kit report'!F9</f>
        <v>0</v>
      </c>
      <c r="J10" s="395">
        <f>'Kit report'!X9</f>
        <v>0</v>
      </c>
    </row>
    <row r="11" spans="1:10" ht="17.100000000000001" customHeight="1" thickBot="1">
      <c r="A11" s="217">
        <f>Gen!A17</f>
        <v>44262</v>
      </c>
      <c r="B11" s="399">
        <f>Gen!B17</f>
        <v>0</v>
      </c>
      <c r="C11" s="443">
        <f>Gen!AJ17</f>
        <v>0</v>
      </c>
      <c r="D11" s="444">
        <f>Gen!S17</f>
        <v>0</v>
      </c>
      <c r="E11" s="395">
        <f>Gen!C17</f>
        <v>40147.71</v>
      </c>
      <c r="F11" s="396">
        <f>'Water-Meter'!E12</f>
        <v>0</v>
      </c>
      <c r="G11" s="397">
        <f>'Water-Meter'!AN12</f>
        <v>0</v>
      </c>
      <c r="H11" s="395">
        <f>'Utility report '!AC12</f>
        <v>0</v>
      </c>
      <c r="I11" s="394">
        <f>'Kit report'!F10</f>
        <v>0</v>
      </c>
      <c r="J11" s="395">
        <f>'Kit report'!X10</f>
        <v>0</v>
      </c>
    </row>
    <row r="12" spans="1:10" ht="17.100000000000001" customHeight="1" thickBot="1">
      <c r="A12" s="217">
        <f>Gen!A18</f>
        <v>44263</v>
      </c>
      <c r="B12" s="399">
        <f>Gen!B18</f>
        <v>0</v>
      </c>
      <c r="C12" s="443">
        <f>Gen!AJ18</f>
        <v>0</v>
      </c>
      <c r="D12" s="444">
        <f>Gen!S18</f>
        <v>0</v>
      </c>
      <c r="E12" s="395">
        <f>Gen!C18</f>
        <v>40147.71</v>
      </c>
      <c r="F12" s="396">
        <f>'Water-Meter'!E13</f>
        <v>0</v>
      </c>
      <c r="G12" s="397">
        <f>'Water-Meter'!AN13</f>
        <v>0</v>
      </c>
      <c r="H12" s="395">
        <f>'Utility report '!AC13</f>
        <v>0</v>
      </c>
      <c r="I12" s="394">
        <f>'Kit report'!F11</f>
        <v>0</v>
      </c>
      <c r="J12" s="395">
        <f>'Kit report'!X11</f>
        <v>0</v>
      </c>
    </row>
    <row r="13" spans="1:10" ht="17.100000000000001" customHeight="1" thickBot="1">
      <c r="A13" s="217">
        <f>Gen!A19</f>
        <v>44264</v>
      </c>
      <c r="B13" s="399">
        <f>Gen!B19</f>
        <v>0</v>
      </c>
      <c r="C13" s="443">
        <f>Gen!AJ19</f>
        <v>0</v>
      </c>
      <c r="D13" s="444">
        <f>Gen!S19</f>
        <v>0</v>
      </c>
      <c r="E13" s="395">
        <f>Gen!C19</f>
        <v>40147.71</v>
      </c>
      <c r="F13" s="396">
        <f>'Water-Meter'!E14</f>
        <v>0</v>
      </c>
      <c r="G13" s="397">
        <f>'Water-Meter'!AN14</f>
        <v>0</v>
      </c>
      <c r="H13" s="395">
        <f>'Utility report '!AC14</f>
        <v>0</v>
      </c>
      <c r="I13" s="394">
        <f>'Kit report'!F12</f>
        <v>0</v>
      </c>
      <c r="J13" s="395">
        <f>'Kit report'!X12</f>
        <v>0</v>
      </c>
    </row>
    <row r="14" spans="1:10" ht="17.100000000000001" customHeight="1" thickBot="1">
      <c r="A14" s="217">
        <f>Gen!A20</f>
        <v>44265</v>
      </c>
      <c r="B14" s="399">
        <f>Gen!B20</f>
        <v>0</v>
      </c>
      <c r="C14" s="443">
        <f>Gen!AJ20</f>
        <v>0</v>
      </c>
      <c r="D14" s="444">
        <f>Gen!S20</f>
        <v>0</v>
      </c>
      <c r="E14" s="395">
        <f>Gen!C20</f>
        <v>40147.71</v>
      </c>
      <c r="F14" s="396">
        <f>'Water-Meter'!E15</f>
        <v>0</v>
      </c>
      <c r="G14" s="397">
        <f>'Water-Meter'!AN15</f>
        <v>0</v>
      </c>
      <c r="H14" s="395">
        <f>'Utility report '!AC15</f>
        <v>0</v>
      </c>
      <c r="I14" s="394">
        <f>'Kit report'!F13</f>
        <v>0</v>
      </c>
      <c r="J14" s="395">
        <f>'Kit report'!X13</f>
        <v>0</v>
      </c>
    </row>
    <row r="15" spans="1:10" ht="17.100000000000001" customHeight="1" thickBot="1">
      <c r="A15" s="217">
        <f>Gen!A21</f>
        <v>44266</v>
      </c>
      <c r="B15" s="399">
        <f>Gen!B21</f>
        <v>0</v>
      </c>
      <c r="C15" s="443">
        <f>Gen!AJ21</f>
        <v>0</v>
      </c>
      <c r="D15" s="444">
        <f>Gen!S21</f>
        <v>0</v>
      </c>
      <c r="E15" s="395">
        <f>Gen!C21</f>
        <v>40147.71</v>
      </c>
      <c r="F15" s="396">
        <f>'Water-Meter'!E16</f>
        <v>0</v>
      </c>
      <c r="G15" s="397">
        <f>'Water-Meter'!AN16</f>
        <v>0</v>
      </c>
      <c r="H15" s="395">
        <f>'Utility report '!AC16</f>
        <v>0</v>
      </c>
      <c r="I15" s="394">
        <f>'Kit report'!F14</f>
        <v>0</v>
      </c>
      <c r="J15" s="395">
        <f>'Kit report'!X14</f>
        <v>0</v>
      </c>
    </row>
    <row r="16" spans="1:10" ht="17.100000000000001" customHeight="1" thickBot="1">
      <c r="A16" s="217">
        <f>Gen!A22</f>
        <v>44267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40147.71</v>
      </c>
      <c r="F16" s="396">
        <f>'Water-Meter'!E17</f>
        <v>0</v>
      </c>
      <c r="G16" s="397">
        <f>'Water-Meter'!AN17</f>
        <v>0</v>
      </c>
      <c r="H16" s="395">
        <f>'Utility report '!AC17</f>
        <v>0</v>
      </c>
      <c r="I16" s="394">
        <f>'Kit report'!F15</f>
        <v>0</v>
      </c>
      <c r="J16" s="395">
        <f>'Kit report'!X15</f>
        <v>0</v>
      </c>
    </row>
    <row r="17" spans="1:10" ht="17.100000000000001" customHeight="1" thickBot="1">
      <c r="A17" s="217">
        <f>Gen!A23</f>
        <v>44268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40147.71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44269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40147.71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44270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40147.71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44271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40147.71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44272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40147.71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44273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40147.71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44274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40147.71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44275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40147.71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44276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40147.71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44277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40147.71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44278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40147.71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44279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40147.71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44280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40147.71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44281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40147.71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44282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40147.71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44283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40147.71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44284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40147.71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44285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40147.71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44286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40147.71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40147.71</v>
      </c>
      <c r="F36" s="396">
        <f>'Water-Meter'!E37</f>
        <v>0</v>
      </c>
      <c r="G36" s="397">
        <f>'Water-Meter'!AN37</f>
        <v>256</v>
      </c>
      <c r="H36" s="395">
        <f>'Utility report '!AC37</f>
        <v>0</v>
      </c>
      <c r="I36" s="394">
        <f>'Kit report'!F35</f>
        <v>803.99999999986903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2021-03-05T05:12:08Z</dcterms:modified>
</cp:coreProperties>
</file>