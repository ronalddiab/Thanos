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1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H5" i="119" l="1"/>
  <c r="J5" i="119"/>
  <c r="F5" i="119" l="1"/>
  <c r="D5" i="119" l="1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<sst xmlns="http://schemas.openxmlformats.org/spreadsheetml/2006/main" count="60" uniqueCount="29">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</sst>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6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10" fillId="0" borderId="0" xfId="11" applyFont="1"/>
    <xf numFmtId="15" fontId="9" fillId="6" borderId="2" xfId="11" applyNumberFormat="1" applyFont="1" applyFill="1" applyBorder="1" applyAlignment="1">
      <alignment horizontal="center" vertic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="85" zoomScaleNormal="85" workbookViewId="0">
      <selection activeCell="R13" sqref="R13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9" t="s">
        <v>7</v>
      </c>
      <c r="J1" s="30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11</v>
      </c>
      <c r="D2" s="7">
        <v>2021</v>
      </c>
      <c r="E2" s="9">
        <f>'Macao Daily'!D5</f>
        <v>31164</v>
      </c>
      <c r="F2" s="31">
        <v>1.2024999999999999</v>
      </c>
      <c r="G2" s="9">
        <f>'Macao Daily'!F5</f>
        <v>165</v>
      </c>
      <c r="H2" s="31">
        <v>9.2383000000000006</v>
      </c>
      <c r="I2" s="9">
        <f>'Macao Daily'!H5</f>
        <v>43508</v>
      </c>
      <c r="J2" s="31">
        <v>0.24</v>
      </c>
      <c r="K2" s="9">
        <f>'Macao Daily'!J5</f>
        <v>243.44747980311513</v>
      </c>
      <c r="L2" s="31">
        <v>7.7618999999999998</v>
      </c>
      <c r="M2" s="9">
        <f>'Macao Daily'!K5</f>
        <v>109</v>
      </c>
      <c r="N2" s="9">
        <f>'Macao Daily'!L5</f>
        <v>251</v>
      </c>
    </row>
    <row r="3" spans="1:14" ht="15" x14ac:dyDescent="0.25">
      <c r="A3" s="6" t="s">
        <v>13</v>
      </c>
      <c r="B3" s="7">
        <f>B2+1</f>
        <v>2</v>
      </c>
      <c r="C3" s="8">
        <v>11</v>
      </c>
      <c r="D3" s="7">
        <v>2021</v>
      </c>
      <c r="E3" s="9">
        <f>'Macao Daily'!D6</f>
        <v>30857</v>
      </c>
      <c r="F3" s="31">
        <v>1.2024999999999999</v>
      </c>
      <c r="G3" s="9">
        <f>'Macao Daily'!F6</f>
        <v>149</v>
      </c>
      <c r="H3" s="31">
        <v>9.2383000000000006</v>
      </c>
      <c r="I3" s="9">
        <f>'Macao Daily'!H6</f>
        <v>47055</v>
      </c>
      <c r="J3" s="31">
        <v>0.24</v>
      </c>
      <c r="K3" s="9">
        <f>'Macao Daily'!J6</f>
        <v>187.26355353998952</v>
      </c>
      <c r="L3" s="31">
        <v>7.7618999999999998</v>
      </c>
      <c r="M3" s="9">
        <f>'Macao Daily'!K6</f>
        <v>103</v>
      </c>
      <c r="N3" s="9">
        <f>'Macao Daily'!L6</f>
        <v>294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11</v>
      </c>
      <c r="D4" s="7">
        <v>2021</v>
      </c>
      <c r="E4" s="9">
        <f>'Macao Daily'!D7</f>
        <v>29814</v>
      </c>
      <c r="F4" s="31">
        <v>1.2024999999999999</v>
      </c>
      <c r="G4" s="9">
        <f>'Macao Daily'!F7</f>
        <v>144</v>
      </c>
      <c r="H4" s="31">
        <v>9.2383000000000006</v>
      </c>
      <c r="I4" s="9">
        <f>'Macao Daily'!H7</f>
        <v>42875</v>
      </c>
      <c r="J4" s="31">
        <v>0.24</v>
      </c>
      <c r="K4" s="9">
        <f>'Macao Daily'!J7</f>
        <v>195.6230996621307</v>
      </c>
      <c r="L4" s="31">
        <v>7.7618999999999998</v>
      </c>
      <c r="M4" s="9">
        <f>'Macao Daily'!K7</f>
        <v>99</v>
      </c>
      <c r="N4" s="9">
        <f>'Macao Daily'!L7</f>
        <v>175</v>
      </c>
    </row>
    <row r="5" spans="1:14" ht="15" x14ac:dyDescent="0.25">
      <c r="A5" s="6" t="s">
        <v>13</v>
      </c>
      <c r="B5" s="7">
        <f t="shared" si="0"/>
        <v>4</v>
      </c>
      <c r="C5" s="8">
        <v>11</v>
      </c>
      <c r="D5" s="7">
        <v>2021</v>
      </c>
      <c r="E5" s="9">
        <f>'Macao Daily'!D8</f>
        <v>30234</v>
      </c>
      <c r="F5" s="31">
        <v>1.2024999999999999</v>
      </c>
      <c r="G5" s="9">
        <f>'Macao Daily'!F8</f>
        <v>149</v>
      </c>
      <c r="H5" s="31">
        <v>9.2383000000000006</v>
      </c>
      <c r="I5" s="9">
        <f>'Macao Daily'!H8</f>
        <v>43586</v>
      </c>
      <c r="J5" s="31">
        <v>0.24</v>
      </c>
      <c r="K5" s="9">
        <f>'Macao Daily'!J8</f>
        <v>206.65575646306388</v>
      </c>
      <c r="L5" s="31">
        <v>7.7618999999999998</v>
      </c>
      <c r="M5" s="9">
        <f>'Macao Daily'!K8</f>
        <v>119</v>
      </c>
      <c r="N5" s="9">
        <f>'Macao Daily'!L8</f>
        <v>162</v>
      </c>
    </row>
    <row r="6" spans="1:14" ht="15" x14ac:dyDescent="0.25">
      <c r="A6" s="6" t="s">
        <v>13</v>
      </c>
      <c r="B6" s="7">
        <f t="shared" si="0"/>
        <v>5</v>
      </c>
      <c r="C6" s="8">
        <v>11</v>
      </c>
      <c r="D6" s="7">
        <v>2021</v>
      </c>
      <c r="E6" s="9">
        <f>'Macao Daily'!D9</f>
        <v>33635</v>
      </c>
      <c r="F6" s="31">
        <v>1.2024999999999999</v>
      </c>
      <c r="G6" s="9">
        <f>'Macao Daily'!F9</f>
        <v>194</v>
      </c>
      <c r="H6" s="31">
        <v>9.2383000000000006</v>
      </c>
      <c r="I6" s="9">
        <f>'Macao Daily'!H9</f>
        <v>51343</v>
      </c>
      <c r="J6" s="31">
        <v>0.24</v>
      </c>
      <c r="K6" s="9">
        <f>'Macao Daily'!J9</f>
        <v>200.82351498235948</v>
      </c>
      <c r="L6" s="31">
        <v>7.7618999999999998</v>
      </c>
      <c r="M6" s="9">
        <f>'Macao Daily'!K9</f>
        <v>159</v>
      </c>
      <c r="N6" s="9">
        <f>'Macao Daily'!L9</f>
        <v>593</v>
      </c>
    </row>
    <row r="7" spans="1:14" ht="15" x14ac:dyDescent="0.25">
      <c r="A7" s="6" t="s">
        <v>13</v>
      </c>
      <c r="B7" s="7">
        <f t="shared" si="0"/>
        <v>6</v>
      </c>
      <c r="C7" s="8">
        <v>11</v>
      </c>
      <c r="D7" s="7">
        <v>2021</v>
      </c>
      <c r="E7" s="9">
        <f>'Macao Daily'!D10</f>
        <v>34378</v>
      </c>
      <c r="F7" s="31">
        <v>1.2024999999999999</v>
      </c>
      <c r="G7" s="9">
        <f>'Macao Daily'!F10</f>
        <v>173</v>
      </c>
      <c r="H7" s="31">
        <v>9.2383000000000006</v>
      </c>
      <c r="I7" s="9">
        <f>'Macao Daily'!H10</f>
        <v>52336</v>
      </c>
      <c r="J7" s="31">
        <v>0.24</v>
      </c>
      <c r="K7" s="9">
        <f>'Macao Daily'!J10</f>
        <v>248.69649713579565</v>
      </c>
      <c r="L7" s="31">
        <v>7.7618999999999998</v>
      </c>
      <c r="M7" s="9">
        <f>'Macao Daily'!K10</f>
        <v>170</v>
      </c>
      <c r="N7" s="9">
        <f>'Macao Daily'!L10</f>
        <v>382</v>
      </c>
    </row>
    <row r="8" spans="1:14" ht="15" x14ac:dyDescent="0.25">
      <c r="A8" s="6" t="s">
        <v>13</v>
      </c>
      <c r="B8" s="7">
        <f t="shared" si="0"/>
        <v>7</v>
      </c>
      <c r="C8" s="8">
        <v>11</v>
      </c>
      <c r="D8" s="7">
        <v>2021</v>
      </c>
      <c r="E8" s="9">
        <f>'Macao Daily'!D11</f>
        <v>31816</v>
      </c>
      <c r="F8" s="31">
        <v>1.2024999999999999</v>
      </c>
      <c r="G8" s="9">
        <f>'Macao Daily'!F11</f>
        <v>173</v>
      </c>
      <c r="H8" s="31">
        <v>9.2383000000000006</v>
      </c>
      <c r="I8" s="9">
        <f>'Macao Daily'!H11</f>
        <v>52125</v>
      </c>
      <c r="J8" s="31">
        <v>0.24</v>
      </c>
      <c r="K8" s="9">
        <f>'Macao Daily'!J11</f>
        <v>225.61054127500392</v>
      </c>
      <c r="L8" s="31">
        <v>7.7618999999999998</v>
      </c>
      <c r="M8" s="9">
        <f>'Macao Daily'!K11</f>
        <v>124</v>
      </c>
      <c r="N8" s="9">
        <f>'Macao Daily'!L11</f>
        <v>504</v>
      </c>
    </row>
    <row r="9" spans="1:14" ht="15" x14ac:dyDescent="0.25">
      <c r="A9" s="6" t="s">
        <v>13</v>
      </c>
      <c r="B9" s="7">
        <f t="shared" si="0"/>
        <v>8</v>
      </c>
      <c r="C9" s="8">
        <v>11</v>
      </c>
      <c r="D9" s="7">
        <v>2021</v>
      </c>
      <c r="E9" s="9">
        <f>'Macao Daily'!D12</f>
        <v>31098</v>
      </c>
      <c r="F9" s="31">
        <v>1.2024999999999999</v>
      </c>
      <c r="G9" s="9">
        <f>'Macao Daily'!F12</f>
        <v>160</v>
      </c>
      <c r="H9" s="31">
        <v>9.2383000000000006</v>
      </c>
      <c r="I9" s="9">
        <f>'Macao Daily'!H12</f>
        <v>34500</v>
      </c>
      <c r="J9" s="31">
        <v>0.24</v>
      </c>
      <c r="K9" s="9">
        <f>'Macao Daily'!J12</f>
        <v>201.60114717972465</v>
      </c>
      <c r="L9" s="31">
        <v>7.7618999999999998</v>
      </c>
      <c r="M9" s="9">
        <f>'Macao Daily'!K12</f>
        <v>91</v>
      </c>
      <c r="N9" s="9">
        <f>'Macao Daily'!L12</f>
        <v>181</v>
      </c>
    </row>
    <row r="10" spans="1:14" ht="15" x14ac:dyDescent="0.25">
      <c r="A10" s="6" t="s">
        <v>13</v>
      </c>
      <c r="B10" s="7">
        <f t="shared" si="0"/>
        <v>9</v>
      </c>
      <c r="C10" s="8">
        <v>11</v>
      </c>
      <c r="D10" s="7">
        <v>2021</v>
      </c>
      <c r="E10" s="9">
        <f>'Macao Daily'!D13</f>
        <v>30310</v>
      </c>
      <c r="F10" s="31">
        <v>1.2024999999999999</v>
      </c>
      <c r="G10" s="9">
        <f>'Macao Daily'!F13</f>
        <v>140</v>
      </c>
      <c r="H10" s="31">
        <v>9.2383000000000006</v>
      </c>
      <c r="I10" s="9">
        <f>'Macao Daily'!H13</f>
        <v>28211</v>
      </c>
      <c r="J10" s="31">
        <v>0.24</v>
      </c>
      <c r="K10" s="9">
        <f>'Macao Daily'!J13</f>
        <v>199.26825058762915</v>
      </c>
      <c r="L10" s="31">
        <v>7.7618999999999998</v>
      </c>
      <c r="M10" s="9">
        <f>'Macao Daily'!K13</f>
        <v>108</v>
      </c>
      <c r="N10" s="9">
        <f>'Macao Daily'!L13</f>
        <v>213</v>
      </c>
    </row>
    <row r="11" spans="1:14" ht="15" x14ac:dyDescent="0.25">
      <c r="A11" s="6" t="s">
        <v>13</v>
      </c>
      <c r="B11" s="7">
        <f t="shared" si="0"/>
        <v>10</v>
      </c>
      <c r="C11" s="8">
        <v>11</v>
      </c>
      <c r="D11" s="7">
        <v>2021</v>
      </c>
      <c r="E11" s="9">
        <f>'Macao Daily'!D14</f>
        <v>30212</v>
      </c>
      <c r="F11" s="31">
        <v>1.2024999999999999</v>
      </c>
      <c r="G11" s="9">
        <f>'Macao Daily'!F14</f>
        <v>147</v>
      </c>
      <c r="H11" s="31">
        <v>9.2383000000000006</v>
      </c>
      <c r="I11" s="9">
        <f>'Macao Daily'!H14</f>
        <v>28524</v>
      </c>
      <c r="J11" s="31">
        <v>0.24</v>
      </c>
      <c r="K11" s="9">
        <f>'Macao Daily'!J14</f>
        <v>191.6377346504014</v>
      </c>
      <c r="L11" s="31">
        <v>7.7618999999999998</v>
      </c>
      <c r="M11" s="9">
        <f>'Macao Daily'!K14</f>
        <v>111</v>
      </c>
      <c r="N11" s="9">
        <f>'Macao Daily'!L14</f>
        <v>184</v>
      </c>
    </row>
    <row r="12" spans="1:14" ht="15" x14ac:dyDescent="0.25">
      <c r="A12" s="6" t="s">
        <v>13</v>
      </c>
      <c r="B12" s="7">
        <f t="shared" si="0"/>
        <v>11</v>
      </c>
      <c r="C12" s="8">
        <v>11</v>
      </c>
      <c r="D12" s="7">
        <v>2021</v>
      </c>
      <c r="E12" s="9">
        <f>'Macao Daily'!D15</f>
        <v>30598</v>
      </c>
      <c r="F12" s="31">
        <v>1.2024999999999999</v>
      </c>
      <c r="G12" s="9">
        <f>'Macao Daily'!F15</f>
        <v>151</v>
      </c>
      <c r="H12" s="31">
        <v>9.2383000000000006</v>
      </c>
      <c r="I12" s="9">
        <f>'Macao Daily'!H15</f>
        <v>30320</v>
      </c>
      <c r="J12" s="31">
        <v>0.24</v>
      </c>
      <c r="K12" s="9">
        <f>'Macao Daily'!J15</f>
        <v>184.59044286143035</v>
      </c>
      <c r="L12" s="31">
        <v>7.7618999999999998</v>
      </c>
      <c r="M12" s="9">
        <f>'Macao Daily'!K15</f>
        <v>115</v>
      </c>
      <c r="N12" s="9">
        <f>'Macao Daily'!L15</f>
        <v>174</v>
      </c>
    </row>
    <row r="13" spans="1:14" ht="15" x14ac:dyDescent="0.25">
      <c r="A13" s="6" t="s">
        <v>13</v>
      </c>
      <c r="B13" s="7">
        <f t="shared" si="0"/>
        <v>12</v>
      </c>
      <c r="C13" s="8">
        <v>11</v>
      </c>
      <c r="D13" s="7">
        <v>2021</v>
      </c>
      <c r="E13" s="9">
        <f>'Macao Daily'!D16</f>
        <v>31300</v>
      </c>
      <c r="F13" s="31">
        <v>1.2024999999999999</v>
      </c>
      <c r="G13" s="9">
        <f>'Macao Daily'!F16</f>
        <v>176</v>
      </c>
      <c r="H13" s="31">
        <v>9.2383000000000006</v>
      </c>
      <c r="I13" s="9">
        <f>'Macao Daily'!H16</f>
        <v>29500</v>
      </c>
      <c r="J13" s="31">
        <v>0.24</v>
      </c>
      <c r="K13" s="9">
        <f>'Macao Daily'!J16</f>
        <v>212.29358989419416</v>
      </c>
      <c r="L13" s="31">
        <v>7.7618999999999998</v>
      </c>
      <c r="M13" s="9">
        <f>'Macao Daily'!K16</f>
        <v>162</v>
      </c>
      <c r="N13" s="9">
        <f>'Macao Daily'!L16</f>
        <v>463</v>
      </c>
    </row>
    <row r="14" spans="1:14" ht="15" x14ac:dyDescent="0.25">
      <c r="A14" s="6" t="s">
        <v>13</v>
      </c>
      <c r="B14" s="7">
        <f t="shared" si="0"/>
        <v>13</v>
      </c>
      <c r="C14" s="8">
        <v>11</v>
      </c>
      <c r="D14" s="7">
        <v>2021</v>
      </c>
      <c r="E14" s="9">
        <f>'Macao Daily'!D17</f>
        <v>33171</v>
      </c>
      <c r="F14" s="31">
        <v>1.2024999999999999</v>
      </c>
      <c r="G14" s="9">
        <f>'Macao Daily'!F17</f>
        <v>180</v>
      </c>
      <c r="H14" s="31">
        <v>9.2383000000000006</v>
      </c>
      <c r="I14" s="9">
        <f>'Macao Daily'!H17</f>
        <v>29578</v>
      </c>
      <c r="J14" s="31">
        <v>0.24</v>
      </c>
      <c r="K14" s="9">
        <f>'Macao Daily'!J17</f>
        <v>244.46812206227332</v>
      </c>
      <c r="L14" s="31">
        <v>7.7618999999999998</v>
      </c>
      <c r="M14" s="9">
        <f>'Macao Daily'!K17</f>
        <v>175</v>
      </c>
      <c r="N14" s="9">
        <f>'Macao Daily'!L17</f>
        <v>700</v>
      </c>
    </row>
    <row r="15" spans="1:14" ht="15" x14ac:dyDescent="0.25">
      <c r="A15" s="6" t="s">
        <v>13</v>
      </c>
      <c r="B15" s="7">
        <f t="shared" si="0"/>
        <v>14</v>
      </c>
      <c r="C15" s="8">
        <v>11</v>
      </c>
      <c r="D15" s="7">
        <v>2021</v>
      </c>
      <c r="E15" s="9">
        <f>'Macao Daily'!D18</f>
        <v>31695</v>
      </c>
      <c r="F15" s="31">
        <v>1.2024999999999999</v>
      </c>
      <c r="G15" s="9">
        <f>'Macao Daily'!F18</f>
        <v>177</v>
      </c>
      <c r="H15" s="31">
        <v>9.2383000000000006</v>
      </c>
      <c r="I15" s="9">
        <f>'Macao Daily'!H18</f>
        <v>29625</v>
      </c>
      <c r="J15" s="31">
        <v>0.24</v>
      </c>
      <c r="K15" s="9">
        <f>'Macao Daily'!J18</f>
        <v>210.10649933898821</v>
      </c>
      <c r="L15" s="31">
        <v>7.7618999999999998</v>
      </c>
      <c r="M15" s="9">
        <f>'Macao Daily'!K18</f>
        <v>174</v>
      </c>
      <c r="N15" s="9">
        <f>'Macao Daily'!L18</f>
        <v>798</v>
      </c>
    </row>
    <row r="16" spans="1:14" ht="15" x14ac:dyDescent="0.25">
      <c r="A16" s="6" t="s">
        <v>13</v>
      </c>
      <c r="B16" s="7">
        <f t="shared" si="0"/>
        <v>15</v>
      </c>
      <c r="C16" s="8">
        <v>11</v>
      </c>
      <c r="D16" s="7">
        <v>2021</v>
      </c>
      <c r="E16" s="9">
        <f>'Macao Daily'!D19</f>
        <v>32540</v>
      </c>
      <c r="F16" s="31">
        <v>1.2024999999999999</v>
      </c>
      <c r="G16" s="9">
        <f>'Macao Daily'!F19</f>
        <v>169</v>
      </c>
      <c r="H16" s="31">
        <v>9.2383000000000006</v>
      </c>
      <c r="I16" s="9">
        <f>'Macao Daily'!H19</f>
        <v>33461</v>
      </c>
      <c r="J16" s="31">
        <v>0.24</v>
      </c>
      <c r="K16" s="9">
        <f>'Macao Daily'!J19</f>
        <v>223.37484870734625</v>
      </c>
      <c r="L16" s="31">
        <v>7.7618999999999998</v>
      </c>
      <c r="M16" s="9">
        <f>'Macao Daily'!K19</f>
        <v>128</v>
      </c>
      <c r="N16" s="9">
        <f>'Macao Daily'!L19</f>
        <v>490</v>
      </c>
    </row>
    <row r="17" spans="1:14" ht="15" x14ac:dyDescent="0.25">
      <c r="A17" s="6" t="s">
        <v>13</v>
      </c>
      <c r="B17" s="7">
        <f t="shared" si="0"/>
        <v>16</v>
      </c>
      <c r="C17" s="8">
        <v>11</v>
      </c>
      <c r="D17" s="7">
        <v>2021</v>
      </c>
      <c r="E17" s="9">
        <f>'Macao Daily'!D20</f>
        <v>31415</v>
      </c>
      <c r="F17" s="31">
        <v>1.2024999999999999</v>
      </c>
      <c r="G17" s="9">
        <f>'Macao Daily'!F20</f>
        <v>149</v>
      </c>
      <c r="H17" s="31">
        <v>9.2383000000000006</v>
      </c>
      <c r="I17" s="9">
        <f>'Macao Daily'!H20</f>
        <v>33883</v>
      </c>
      <c r="J17" s="31">
        <v>0.24</v>
      </c>
      <c r="K17" s="9">
        <f>'Macao Daily'!J20</f>
        <v>206.2669403643813</v>
      </c>
      <c r="L17" s="31">
        <v>7.7618999999999998</v>
      </c>
      <c r="M17" s="9">
        <f>'Macao Daily'!K20</f>
        <v>130</v>
      </c>
      <c r="N17" s="9">
        <f>'Macao Daily'!L20</f>
        <v>226</v>
      </c>
    </row>
    <row r="18" spans="1:14" ht="15" x14ac:dyDescent="0.25">
      <c r="A18" s="6" t="s">
        <v>13</v>
      </c>
      <c r="B18" s="7">
        <f t="shared" si="0"/>
        <v>17</v>
      </c>
      <c r="C18" s="8">
        <v>11</v>
      </c>
      <c r="D18" s="7">
        <v>2021</v>
      </c>
      <c r="E18" s="9">
        <f>'Macao Daily'!D21</f>
        <v>31396</v>
      </c>
      <c r="F18" s="31">
        <v>1.2024999999999999</v>
      </c>
      <c r="G18" s="9">
        <f>'Macao Daily'!F21</f>
        <v>149</v>
      </c>
      <c r="H18" s="31">
        <v>9.2383000000000006</v>
      </c>
      <c r="I18" s="9">
        <f>'Macao Daily'!H21</f>
        <v>36703</v>
      </c>
      <c r="J18" s="31">
        <v>0.24</v>
      </c>
      <c r="K18" s="9">
        <f>'Macao Daily'!J21</f>
        <v>208.4054289071355</v>
      </c>
      <c r="L18" s="31">
        <v>7.7618999999999998</v>
      </c>
      <c r="M18" s="9">
        <f>'Macao Daily'!K21</f>
        <v>136</v>
      </c>
      <c r="N18" s="9">
        <f>'Macao Daily'!L21</f>
        <v>183</v>
      </c>
    </row>
    <row r="19" spans="1:14" ht="15" x14ac:dyDescent="0.25">
      <c r="A19" s="6" t="s">
        <v>13</v>
      </c>
      <c r="B19" s="7">
        <f t="shared" si="0"/>
        <v>18</v>
      </c>
      <c r="C19" s="8">
        <v>11</v>
      </c>
      <c r="D19" s="7">
        <v>2021</v>
      </c>
      <c r="E19" s="9">
        <f>'Macao Daily'!D22</f>
        <v>30861</v>
      </c>
      <c r="F19" s="31">
        <v>1.2024999999999999</v>
      </c>
      <c r="G19" s="9">
        <f>'Macao Daily'!F22</f>
        <v>144</v>
      </c>
      <c r="H19" s="31">
        <v>9.2383000000000006</v>
      </c>
      <c r="I19" s="9">
        <f>'Macao Daily'!H22</f>
        <v>31969</v>
      </c>
      <c r="J19" s="31">
        <v>0.24</v>
      </c>
      <c r="K19" s="9">
        <f>'Macao Daily'!J22</f>
        <v>203.69103371025994</v>
      </c>
      <c r="L19" s="31">
        <v>7.7618999999999998</v>
      </c>
      <c r="M19" s="9">
        <f>'Macao Daily'!K22</f>
        <v>149</v>
      </c>
      <c r="N19" s="9">
        <f>'Macao Daily'!L22</f>
        <v>165</v>
      </c>
    </row>
    <row r="20" spans="1:14" ht="15" x14ac:dyDescent="0.25">
      <c r="A20" s="6" t="s">
        <v>13</v>
      </c>
      <c r="B20" s="7">
        <f t="shared" si="0"/>
        <v>19</v>
      </c>
      <c r="C20" s="8">
        <v>11</v>
      </c>
      <c r="D20" s="7">
        <v>2021</v>
      </c>
      <c r="E20" s="9">
        <f>'Macao Daily'!D23</f>
        <v>32962</v>
      </c>
      <c r="F20" s="31">
        <v>1.2024999999999999</v>
      </c>
      <c r="G20" s="9">
        <f>'Macao Daily'!F23</f>
        <v>187</v>
      </c>
      <c r="H20" s="31">
        <v>9.2383000000000006</v>
      </c>
      <c r="I20" s="9">
        <f>'Macao Daily'!H23</f>
        <v>35820</v>
      </c>
      <c r="J20" s="31">
        <v>0.24</v>
      </c>
      <c r="K20" s="9">
        <f>'Macao Daily'!J23</f>
        <v>223.95807285537012</v>
      </c>
      <c r="L20" s="31">
        <v>7.7618999999999998</v>
      </c>
      <c r="M20" s="9">
        <f>'Macao Daily'!K23</f>
        <v>242</v>
      </c>
      <c r="N20" s="9">
        <f>'Macao Daily'!L23</f>
        <v>502</v>
      </c>
    </row>
    <row r="21" spans="1:14" ht="15" x14ac:dyDescent="0.25">
      <c r="A21" s="6" t="s">
        <v>13</v>
      </c>
      <c r="B21" s="7">
        <f t="shared" si="0"/>
        <v>20</v>
      </c>
      <c r="C21" s="8">
        <v>11</v>
      </c>
      <c r="D21" s="7">
        <v>2021</v>
      </c>
      <c r="E21" s="9">
        <f>'Macao Daily'!D24</f>
        <v>34804</v>
      </c>
      <c r="F21" s="31">
        <v>1.2024999999999999</v>
      </c>
      <c r="G21" s="9">
        <f>'Macao Daily'!F24</f>
        <v>198</v>
      </c>
      <c r="H21" s="31">
        <v>9.2383000000000006</v>
      </c>
      <c r="I21" s="9">
        <f>'Macao Daily'!H24</f>
        <v>44641</v>
      </c>
      <c r="J21" s="31">
        <v>0.24</v>
      </c>
      <c r="K21" s="9">
        <f>'Macao Daily'!J24</f>
        <v>261.09001028211787</v>
      </c>
      <c r="L21" s="31">
        <v>7.7618999999999998</v>
      </c>
      <c r="M21" s="9">
        <f>'Macao Daily'!K24</f>
        <v>281</v>
      </c>
      <c r="N21" s="9">
        <f>'Macao Daily'!L24</f>
        <v>733</v>
      </c>
    </row>
    <row r="22" spans="1:14" ht="15" x14ac:dyDescent="0.25">
      <c r="A22" s="6" t="s">
        <v>13</v>
      </c>
      <c r="B22" s="7">
        <f t="shared" si="0"/>
        <v>21</v>
      </c>
      <c r="C22" s="8">
        <v>11</v>
      </c>
      <c r="D22" s="7">
        <v>2021</v>
      </c>
      <c r="E22" s="9">
        <f>'Macao Daily'!D25</f>
        <v>35372</v>
      </c>
      <c r="F22" s="31">
        <v>1.2024999999999999</v>
      </c>
      <c r="G22" s="9">
        <f>'Macao Daily'!F25</f>
        <v>191</v>
      </c>
      <c r="H22" s="31">
        <v>9.2383000000000006</v>
      </c>
      <c r="I22" s="9">
        <f>'Macao Daily'!H25</f>
        <v>45835</v>
      </c>
      <c r="J22" s="31">
        <v>0.24</v>
      </c>
      <c r="K22" s="9">
        <f>'Macao Daily'!J25</f>
        <v>264.7351612073835</v>
      </c>
      <c r="L22" s="31">
        <v>7.7618999999999998</v>
      </c>
      <c r="M22" s="9">
        <f>'Macao Daily'!K25</f>
        <v>223</v>
      </c>
      <c r="N22" s="9">
        <f>'Macao Daily'!L25</f>
        <v>1022</v>
      </c>
    </row>
    <row r="23" spans="1:14" ht="15" x14ac:dyDescent="0.25">
      <c r="A23" s="6" t="s">
        <v>13</v>
      </c>
      <c r="B23" s="7">
        <f t="shared" si="0"/>
        <v>22</v>
      </c>
      <c r="C23" s="8">
        <v>11</v>
      </c>
      <c r="D23" s="7">
        <v>2021</v>
      </c>
      <c r="E23" s="9">
        <f>'Macao Daily'!D26</f>
        <v>35477</v>
      </c>
      <c r="F23" s="31">
        <v>1.2024999999999999</v>
      </c>
      <c r="G23" s="9">
        <f>'Macao Daily'!F26</f>
        <v>170</v>
      </c>
      <c r="H23" s="31">
        <v>9.2383000000000006</v>
      </c>
      <c r="I23" s="9">
        <f>'Macao Daily'!H26</f>
        <v>33351</v>
      </c>
      <c r="J23" s="31">
        <v>0.24</v>
      </c>
      <c r="K23" s="9">
        <f>'Macao Daily'!J26</f>
        <v>245.48876432143152</v>
      </c>
      <c r="L23" s="31">
        <v>7.7618999999999998</v>
      </c>
      <c r="M23" s="9">
        <f>'Macao Daily'!K26</f>
        <v>140</v>
      </c>
      <c r="N23" s="9">
        <f>'Macao Daily'!L26</f>
        <v>412</v>
      </c>
    </row>
    <row r="24" spans="1:14" ht="15" x14ac:dyDescent="0.25">
      <c r="A24" s="6" t="s">
        <v>13</v>
      </c>
      <c r="B24" s="7">
        <f t="shared" si="0"/>
        <v>23</v>
      </c>
      <c r="C24" s="8">
        <v>11</v>
      </c>
      <c r="D24" s="7">
        <v>2021</v>
      </c>
      <c r="E24" s="9">
        <f>'Macao Daily'!D27</f>
        <v>34188</v>
      </c>
      <c r="F24" s="31">
        <v>1.2024999999999999</v>
      </c>
      <c r="G24" s="9">
        <f>'Macao Daily'!F27</f>
        <v>147</v>
      </c>
      <c r="H24" s="31">
        <v>9.2383000000000006</v>
      </c>
      <c r="I24" s="9">
        <f>'Macao Daily'!H27</f>
        <v>20180</v>
      </c>
      <c r="J24" s="31">
        <v>0.24</v>
      </c>
      <c r="K24" s="9">
        <f>'Macao Daily'!J27</f>
        <v>210.34950940078124</v>
      </c>
      <c r="L24" s="31">
        <v>7.7618999999999998</v>
      </c>
      <c r="M24" s="9">
        <f>'Macao Daily'!K27</f>
        <v>158</v>
      </c>
      <c r="N24" s="9">
        <f>'Macao Daily'!L27</f>
        <v>251</v>
      </c>
    </row>
    <row r="25" spans="1:14" ht="15" x14ac:dyDescent="0.25">
      <c r="A25" s="6" t="s">
        <v>13</v>
      </c>
      <c r="B25" s="7">
        <f t="shared" si="0"/>
        <v>24</v>
      </c>
      <c r="C25" s="8">
        <v>11</v>
      </c>
      <c r="D25" s="7">
        <v>2021</v>
      </c>
      <c r="E25" s="9">
        <f>'Macao Daily'!D28</f>
        <v>33482</v>
      </c>
      <c r="F25" s="31">
        <v>1.2024999999999999</v>
      </c>
      <c r="G25" s="9">
        <f>'Macao Daily'!F28</f>
        <v>144</v>
      </c>
      <c r="H25" s="31">
        <v>9.2383000000000006</v>
      </c>
      <c r="I25" s="9">
        <f>'Macao Daily'!H28</f>
        <v>23899</v>
      </c>
      <c r="J25" s="31">
        <v>0.24</v>
      </c>
      <c r="K25" s="9">
        <f>'Macao Daily'!J28</f>
        <v>208.35682689491659</v>
      </c>
      <c r="L25" s="31">
        <v>7.7618999999999998</v>
      </c>
      <c r="M25" s="9">
        <f>'Macao Daily'!K28</f>
        <v>154</v>
      </c>
      <c r="N25" s="9">
        <f>'Macao Daily'!L28</f>
        <v>243</v>
      </c>
    </row>
    <row r="26" spans="1:14" ht="15" x14ac:dyDescent="0.25">
      <c r="A26" s="6" t="s">
        <v>13</v>
      </c>
      <c r="B26" s="7">
        <f>B25+1</f>
        <v>25</v>
      </c>
      <c r="C26" s="8">
        <v>11</v>
      </c>
      <c r="D26" s="7">
        <v>2021</v>
      </c>
      <c r="E26" s="9">
        <f>'Macao Daily'!D29</f>
        <v>33499</v>
      </c>
      <c r="F26" s="31">
        <v>1.2024999999999999</v>
      </c>
      <c r="G26" s="9">
        <f>'Macao Daily'!F29</f>
        <v>151</v>
      </c>
      <c r="H26" s="31">
        <v>9.2383000000000006</v>
      </c>
      <c r="I26" s="9">
        <f>'Macao Daily'!H29</f>
        <v>27070</v>
      </c>
      <c r="J26" s="31">
        <v>0.24</v>
      </c>
      <c r="K26" s="9">
        <f>'Macao Daily'!J29</f>
        <v>215.59852673322894</v>
      </c>
      <c r="L26" s="31">
        <v>7.7618999999999998</v>
      </c>
      <c r="M26" s="9">
        <f>'Macao Daily'!K29</f>
        <v>160</v>
      </c>
      <c r="N26" s="9">
        <f>'Macao Daily'!L29</f>
        <v>212</v>
      </c>
    </row>
    <row r="27" spans="1:14" ht="15" x14ac:dyDescent="0.25">
      <c r="A27" s="6" t="s">
        <v>13</v>
      </c>
      <c r="B27" s="7">
        <f t="shared" si="0"/>
        <v>26</v>
      </c>
      <c r="C27" s="8">
        <v>11</v>
      </c>
      <c r="D27" s="7">
        <v>2021</v>
      </c>
      <c r="E27" s="9">
        <f>'Macao Daily'!D30</f>
        <v>32950</v>
      </c>
      <c r="F27" s="31">
        <v>1.2024999999999999</v>
      </c>
      <c r="G27" s="9">
        <f>'Macao Daily'!F30</f>
        <v>182</v>
      </c>
      <c r="H27" s="31">
        <v>9.2383000000000006</v>
      </c>
      <c r="I27" s="9">
        <f>'Macao Daily'!H30</f>
        <v>26563</v>
      </c>
      <c r="J27" s="31">
        <v>0.24</v>
      </c>
      <c r="K27" s="9">
        <f>'Macao Daily'!J30</f>
        <v>232.56062903930433</v>
      </c>
      <c r="L27" s="31">
        <v>7.7618999999999998</v>
      </c>
      <c r="M27" s="9">
        <f>'Macao Daily'!K30</f>
        <v>238</v>
      </c>
      <c r="N27" s="9">
        <f>'Macao Daily'!L30</f>
        <v>427</v>
      </c>
    </row>
    <row r="28" spans="1:14" ht="15" x14ac:dyDescent="0.25">
      <c r="A28" s="6" t="s">
        <v>13</v>
      </c>
      <c r="B28" s="7">
        <f t="shared" si="0"/>
        <v>27</v>
      </c>
      <c r="C28" s="8">
        <v>11</v>
      </c>
      <c r="D28" s="7">
        <v>2021</v>
      </c>
      <c r="E28" s="9">
        <f>'Macao Daily'!D31</f>
        <v>35436</v>
      </c>
      <c r="F28" s="31">
        <v>1.2024999999999999</v>
      </c>
      <c r="G28" s="9">
        <f>'Macao Daily'!F31</f>
        <v>213</v>
      </c>
      <c r="H28" s="31">
        <v>9.2383000000000006</v>
      </c>
      <c r="I28" s="9">
        <f>'Macao Daily'!H31</f>
        <v>33062</v>
      </c>
      <c r="J28" s="31">
        <v>0.24</v>
      </c>
      <c r="K28" s="9">
        <f>'Macao Daily'!J31</f>
        <v>232.0746089159511</v>
      </c>
      <c r="L28" s="31">
        <v>7.7618999999999998</v>
      </c>
      <c r="M28" s="9">
        <f>'Macao Daily'!K31</f>
        <v>273</v>
      </c>
      <c r="N28" s="9">
        <f>'Macao Daily'!L31</f>
        <v>1047</v>
      </c>
    </row>
    <row r="29" spans="1:14" ht="15" x14ac:dyDescent="0.25">
      <c r="A29" s="6" t="s">
        <v>13</v>
      </c>
      <c r="B29" s="7">
        <f t="shared" si="0"/>
        <v>28</v>
      </c>
      <c r="C29" s="8">
        <v>11</v>
      </c>
      <c r="D29" s="7">
        <v>2021</v>
      </c>
      <c r="E29" s="9">
        <f>'Macao Daily'!D32</f>
        <v>39393</v>
      </c>
      <c r="F29" s="31">
        <v>1.2024999999999999</v>
      </c>
      <c r="G29" s="9">
        <f>'Macao Daily'!F32</f>
        <v>197</v>
      </c>
      <c r="H29" s="31">
        <v>9.2383000000000006</v>
      </c>
      <c r="I29" s="9">
        <f>'Macao Daily'!H32</f>
        <v>37719</v>
      </c>
      <c r="J29" s="31">
        <v>0.24</v>
      </c>
      <c r="K29" s="9">
        <f>'Macao Daily'!J32</f>
        <v>263.37430486199446</v>
      </c>
      <c r="L29" s="31">
        <v>7.7618999999999998</v>
      </c>
      <c r="M29" s="9">
        <f>'Macao Daily'!K32</f>
        <v>190</v>
      </c>
      <c r="N29" s="9">
        <f>'Macao Daily'!L32</f>
        <v>1025</v>
      </c>
    </row>
    <row r="30" spans="1:14" ht="15" x14ac:dyDescent="0.25">
      <c r="A30" s="6" t="s">
        <v>13</v>
      </c>
      <c r="B30" s="7">
        <f t="shared" si="0"/>
        <v>29</v>
      </c>
      <c r="C30" s="8">
        <v>11</v>
      </c>
      <c r="D30" s="7">
        <v>2021</v>
      </c>
      <c r="E30" s="9">
        <f>'Macao Daily'!D33</f>
        <v>31175</v>
      </c>
      <c r="F30" s="31">
        <v>1.2024999999999999</v>
      </c>
      <c r="G30" s="9">
        <f>'Macao Daily'!F33</f>
        <v>157</v>
      </c>
      <c r="H30" s="31">
        <v>9.2383000000000006</v>
      </c>
      <c r="I30" s="9">
        <f>'Macao Daily'!H33</f>
        <v>30914</v>
      </c>
      <c r="J30" s="31">
        <v>0.24</v>
      </c>
      <c r="K30" s="9">
        <f>'Macao Daily'!J33</f>
        <v>243.54468382778578</v>
      </c>
      <c r="L30" s="31">
        <v>7.7618999999999998</v>
      </c>
      <c r="M30" s="9">
        <f>'Macao Daily'!K33</f>
        <v>131</v>
      </c>
      <c r="N30" s="9">
        <f>'Macao Daily'!L33</f>
        <v>247</v>
      </c>
    </row>
    <row r="31" spans="1:14" ht="15" x14ac:dyDescent="0.25">
      <c r="A31" s="6" t="s">
        <v>13</v>
      </c>
      <c r="B31" s="7">
        <f t="shared" si="0"/>
        <v>30</v>
      </c>
      <c r="C31" s="8">
        <v>11</v>
      </c>
      <c r="D31" s="7">
        <v>2021</v>
      </c>
      <c r="E31" s="9">
        <f>'Macao Daily'!D34</f>
        <v>32350</v>
      </c>
      <c r="F31" s="31">
        <v>1.2024999999999999</v>
      </c>
      <c r="G31" s="9">
        <f>'Macao Daily'!F34</f>
        <v>154</v>
      </c>
      <c r="H31" s="31">
        <v>9.2383000000000006</v>
      </c>
      <c r="I31" s="9">
        <f>'Macao Daily'!H34</f>
        <v>31180</v>
      </c>
      <c r="J31" s="31">
        <v>0.24</v>
      </c>
      <c r="K31" s="9">
        <f>'Macao Daily'!J34</f>
        <v>212.82821202999912</v>
      </c>
      <c r="L31" s="31">
        <v>7.7618999999999998</v>
      </c>
      <c r="M31" s="9">
        <f>'Macao Daily'!K34</f>
        <v>138</v>
      </c>
      <c r="N31" s="9">
        <f>'Macao Daily'!L34</f>
        <v>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4"/>
  <sheetViews>
    <sheetView zoomScale="85" zoomScaleNormal="85" workbookViewId="0">
      <pane xSplit="1" topLeftCell="B1" activePane="topRight" state="frozen"/>
      <selection pane="topRight" activeCell="J3" sqref="J1:J1048576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6" bestFit="1" customWidth="1"/>
    <col min="4" max="4" width="13.5703125" style="27" customWidth="1"/>
    <col min="5" max="5" width="14.85546875" style="13" customWidth="1"/>
    <col min="6" max="8" width="14.85546875" style="26" customWidth="1"/>
    <col min="9" max="9" width="15.42578125" style="13" customWidth="1"/>
    <col min="10" max="10" width="12.5703125" style="13" customWidth="1"/>
    <col min="11" max="12" width="13" style="28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8"/>
      <c r="J1" s="38"/>
      <c r="K1" s="12"/>
      <c r="L1" s="12"/>
    </row>
    <row r="2" spans="1:12" ht="35.25" customHeight="1" thickBot="1" x14ac:dyDescent="0.3">
      <c r="A2" s="14" t="s">
        <v>14</v>
      </c>
      <c r="B2" s="37"/>
      <c r="C2" s="39" t="s">
        <v>15</v>
      </c>
      <c r="D2" s="40"/>
      <c r="E2" s="41" t="s">
        <v>16</v>
      </c>
      <c r="F2" s="41"/>
      <c r="G2" s="44" t="s">
        <v>17</v>
      </c>
      <c r="H2" s="45"/>
      <c r="I2" s="42" t="s">
        <v>18</v>
      </c>
      <c r="J2" s="43"/>
      <c r="K2" s="15"/>
      <c r="L2" s="15"/>
    </row>
    <row r="3" spans="1:12" ht="44.25" customHeight="1" x14ac:dyDescent="0.25">
      <c r="A3" s="16" t="s">
        <v>19</v>
      </c>
      <c r="B3" s="37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44500</v>
      </c>
      <c r="B4" s="37"/>
      <c r="C4" s="35">
        <v>32074265</v>
      </c>
      <c r="D4" s="25"/>
      <c r="E4" s="35">
        <v>568973.99999999534</v>
      </c>
      <c r="F4" s="25"/>
      <c r="G4" s="35">
        <v>110045565</v>
      </c>
      <c r="H4" s="25"/>
      <c r="I4" s="12">
        <v>1067973.6902936394</v>
      </c>
      <c r="J4" s="33"/>
      <c r="K4" s="34">
        <v>185</v>
      </c>
      <c r="L4" s="34">
        <v>477</v>
      </c>
    </row>
    <row r="5" spans="1:12" ht="33" customHeight="1" x14ac:dyDescent="0.25">
      <c r="A5" s="24">
        <v>44501</v>
      </c>
      <c r="B5" s="37"/>
      <c r="C5" s="35">
        <v>32105429</v>
      </c>
      <c r="D5" s="25">
        <f t="shared" ref="D5:D19" si="0">IF((C5-C4&lt;0), "0",C5-C4)</f>
        <v>31164</v>
      </c>
      <c r="E5" s="35">
        <v>569138.99999999534</v>
      </c>
      <c r="F5" s="25">
        <f>IF((E5-E4&lt;0), "0",E5-E4)</f>
        <v>165</v>
      </c>
      <c r="G5" s="35">
        <v>110089073</v>
      </c>
      <c r="H5" s="25">
        <f>IF((G5-G4&lt;0), "0",G5-G4)</f>
        <v>43508</v>
      </c>
      <c r="I5" s="12">
        <v>1068217.1377734425</v>
      </c>
      <c r="J5" s="33">
        <f>IF((I5-I4&lt;0), "0",I5-I4)</f>
        <v>243.44747980311513</v>
      </c>
      <c r="K5" s="34">
        <v>109</v>
      </c>
      <c r="L5" s="34">
        <v>251</v>
      </c>
    </row>
    <row r="6" spans="1:12" ht="45" customHeight="1" x14ac:dyDescent="0.25">
      <c r="A6" s="24">
        <v>44502</v>
      </c>
      <c r="B6" s="37"/>
      <c r="C6" s="35">
        <v>32136286</v>
      </c>
      <c r="D6" s="25">
        <f t="shared" si="0"/>
        <v>30857</v>
      </c>
      <c r="E6" s="35">
        <v>569287.99999999534</v>
      </c>
      <c r="F6" s="25">
        <f t="shared" ref="F6:F19" si="1">IF((E6-E5&lt;0), "0",E6-E5)</f>
        <v>149</v>
      </c>
      <c r="G6" s="35">
        <v>110136128</v>
      </c>
      <c r="H6" s="25">
        <f t="shared" ref="H6:H32" si="2">IF((G6-G5&lt;0), "0",G6-G5)</f>
        <v>47055</v>
      </c>
      <c r="I6" s="12">
        <v>1068404.4013269825</v>
      </c>
      <c r="J6" s="33">
        <f t="shared" ref="J6:J32" si="3">IF((I6-I5&lt;0), "0",I6-I5)</f>
        <v>187.26355353998952</v>
      </c>
      <c r="K6" s="34">
        <v>103</v>
      </c>
      <c r="L6" s="34">
        <v>294</v>
      </c>
    </row>
    <row r="7" spans="1:12" ht="45" customHeight="1" x14ac:dyDescent="0.25">
      <c r="A7" s="24">
        <v>44503</v>
      </c>
      <c r="B7" s="37"/>
      <c r="C7" s="35">
        <v>32166100</v>
      </c>
      <c r="D7" s="25">
        <f t="shared" si="0"/>
        <v>29814</v>
      </c>
      <c r="E7" s="35">
        <v>569431.99999999534</v>
      </c>
      <c r="F7" s="25">
        <f t="shared" si="1"/>
        <v>144</v>
      </c>
      <c r="G7" s="35">
        <v>110179003</v>
      </c>
      <c r="H7" s="25">
        <f t="shared" si="2"/>
        <v>42875</v>
      </c>
      <c r="I7" s="12">
        <v>1068600.0244266447</v>
      </c>
      <c r="J7" s="33">
        <f t="shared" si="3"/>
        <v>195.6230996621307</v>
      </c>
      <c r="K7" s="34">
        <v>99</v>
      </c>
      <c r="L7" s="34">
        <v>175</v>
      </c>
    </row>
    <row r="8" spans="1:12" ht="45" customHeight="1" x14ac:dyDescent="0.25">
      <c r="A8" s="24">
        <v>44504</v>
      </c>
      <c r="B8" s="37"/>
      <c r="C8" s="35">
        <v>32196334</v>
      </c>
      <c r="D8" s="25">
        <f t="shared" si="0"/>
        <v>30234</v>
      </c>
      <c r="E8" s="35">
        <v>569580.99999999534</v>
      </c>
      <c r="F8" s="25">
        <f t="shared" si="1"/>
        <v>149</v>
      </c>
      <c r="G8" s="35">
        <v>110222589</v>
      </c>
      <c r="H8" s="25">
        <f t="shared" si="2"/>
        <v>43586</v>
      </c>
      <c r="I8" s="12">
        <v>1068806.6801831077</v>
      </c>
      <c r="J8" s="33">
        <f t="shared" si="3"/>
        <v>206.65575646306388</v>
      </c>
      <c r="K8" s="34">
        <v>119</v>
      </c>
      <c r="L8" s="34">
        <v>162</v>
      </c>
    </row>
    <row r="9" spans="1:12" ht="45" customHeight="1" x14ac:dyDescent="0.25">
      <c r="A9" s="24">
        <v>44505</v>
      </c>
      <c r="B9" s="37"/>
      <c r="C9" s="35">
        <v>32229969</v>
      </c>
      <c r="D9" s="25">
        <f t="shared" si="0"/>
        <v>33635</v>
      </c>
      <c r="E9" s="35">
        <v>569774.99999999534</v>
      </c>
      <c r="F9" s="25">
        <f t="shared" si="1"/>
        <v>194</v>
      </c>
      <c r="G9" s="35">
        <v>110273932</v>
      </c>
      <c r="H9" s="25">
        <f t="shared" si="2"/>
        <v>51343</v>
      </c>
      <c r="I9" s="12">
        <v>1069007.5036980901</v>
      </c>
      <c r="J9" s="33">
        <f t="shared" si="3"/>
        <v>200.82351498235948</v>
      </c>
      <c r="K9" s="34">
        <v>159</v>
      </c>
      <c r="L9" s="34">
        <v>593</v>
      </c>
    </row>
    <row r="10" spans="1:12" ht="45" customHeight="1" x14ac:dyDescent="0.25">
      <c r="A10" s="24">
        <v>44506</v>
      </c>
      <c r="B10" s="37"/>
      <c r="C10" s="35">
        <v>32264347</v>
      </c>
      <c r="D10" s="25">
        <f t="shared" si="0"/>
        <v>34378</v>
      </c>
      <c r="E10" s="35">
        <v>569947.99999999534</v>
      </c>
      <c r="F10" s="25">
        <f t="shared" si="1"/>
        <v>173</v>
      </c>
      <c r="G10" s="35">
        <v>110326268</v>
      </c>
      <c r="H10" s="25">
        <f t="shared" si="2"/>
        <v>52336</v>
      </c>
      <c r="I10" s="12">
        <v>1069256.2001952259</v>
      </c>
      <c r="J10" s="33">
        <f t="shared" si="3"/>
        <v>248.69649713579565</v>
      </c>
      <c r="K10" s="34">
        <v>170</v>
      </c>
      <c r="L10" s="34">
        <v>382</v>
      </c>
    </row>
    <row r="11" spans="1:12" ht="45" customHeight="1" x14ac:dyDescent="0.25">
      <c r="A11" s="24">
        <v>44507</v>
      </c>
      <c r="B11" s="37"/>
      <c r="C11" s="35">
        <v>32296163</v>
      </c>
      <c r="D11" s="25">
        <f t="shared" si="0"/>
        <v>31816</v>
      </c>
      <c r="E11" s="35">
        <v>570120.99999999534</v>
      </c>
      <c r="F11" s="25">
        <f t="shared" si="1"/>
        <v>173</v>
      </c>
      <c r="G11" s="35">
        <v>110378393</v>
      </c>
      <c r="H11" s="25">
        <f t="shared" si="2"/>
        <v>52125</v>
      </c>
      <c r="I11" s="12">
        <v>1069481.8107365009</v>
      </c>
      <c r="J11" s="33">
        <f t="shared" si="3"/>
        <v>225.61054127500392</v>
      </c>
      <c r="K11" s="34">
        <v>124</v>
      </c>
      <c r="L11" s="34">
        <v>504</v>
      </c>
    </row>
    <row r="12" spans="1:12" ht="45" customHeight="1" x14ac:dyDescent="0.25">
      <c r="A12" s="24">
        <v>44508</v>
      </c>
      <c r="B12" s="37"/>
      <c r="C12" s="35">
        <v>32327261</v>
      </c>
      <c r="D12" s="25">
        <f t="shared" si="0"/>
        <v>31098</v>
      </c>
      <c r="E12" s="35">
        <v>570280.99999999534</v>
      </c>
      <c r="F12" s="25">
        <f t="shared" si="1"/>
        <v>160</v>
      </c>
      <c r="G12" s="35">
        <v>110412893</v>
      </c>
      <c r="H12" s="25">
        <f t="shared" si="2"/>
        <v>34500</v>
      </c>
      <c r="I12" s="12">
        <v>1069683.4118836806</v>
      </c>
      <c r="J12" s="33">
        <f t="shared" si="3"/>
        <v>201.60114717972465</v>
      </c>
      <c r="K12" s="34">
        <v>91</v>
      </c>
      <c r="L12" s="34">
        <v>181</v>
      </c>
    </row>
    <row r="13" spans="1:12" ht="45" customHeight="1" x14ac:dyDescent="0.25">
      <c r="A13" s="24">
        <v>44509</v>
      </c>
      <c r="B13" s="37"/>
      <c r="C13" s="35">
        <v>32357571</v>
      </c>
      <c r="D13" s="25">
        <f t="shared" si="0"/>
        <v>30310</v>
      </c>
      <c r="E13" s="35">
        <v>570420.99999999534</v>
      </c>
      <c r="F13" s="25">
        <f t="shared" si="1"/>
        <v>140</v>
      </c>
      <c r="G13" s="35">
        <v>110441104</v>
      </c>
      <c r="H13" s="25">
        <f t="shared" si="2"/>
        <v>28211</v>
      </c>
      <c r="I13" s="12">
        <v>1069882.6801342682</v>
      </c>
      <c r="J13" s="33">
        <f t="shared" si="3"/>
        <v>199.26825058762915</v>
      </c>
      <c r="K13" s="34">
        <v>108</v>
      </c>
      <c r="L13" s="34">
        <v>213</v>
      </c>
    </row>
    <row r="14" spans="1:12" ht="45" customHeight="1" x14ac:dyDescent="0.25">
      <c r="A14" s="24">
        <v>44510</v>
      </c>
      <c r="B14" s="37"/>
      <c r="C14" s="35">
        <v>32387783</v>
      </c>
      <c r="D14" s="25">
        <f t="shared" si="0"/>
        <v>30212</v>
      </c>
      <c r="E14" s="35">
        <v>570567.99999999534</v>
      </c>
      <c r="F14" s="25">
        <f t="shared" si="1"/>
        <v>147</v>
      </c>
      <c r="G14" s="35">
        <v>110469628</v>
      </c>
      <c r="H14" s="25">
        <f t="shared" si="2"/>
        <v>28524</v>
      </c>
      <c r="I14" s="12">
        <v>1070074.3178689186</v>
      </c>
      <c r="J14" s="33">
        <f t="shared" si="3"/>
        <v>191.6377346504014</v>
      </c>
      <c r="K14" s="34">
        <v>111</v>
      </c>
      <c r="L14" s="34">
        <v>184</v>
      </c>
    </row>
    <row r="15" spans="1:12" ht="45" customHeight="1" x14ac:dyDescent="0.25">
      <c r="A15" s="24">
        <v>44511</v>
      </c>
      <c r="B15" s="37"/>
      <c r="C15" s="35">
        <v>32418381</v>
      </c>
      <c r="D15" s="25">
        <f t="shared" si="0"/>
        <v>30598</v>
      </c>
      <c r="E15" s="35">
        <v>570718.99999999534</v>
      </c>
      <c r="F15" s="25">
        <f t="shared" si="1"/>
        <v>151</v>
      </c>
      <c r="G15" s="35">
        <v>110499948</v>
      </c>
      <c r="H15" s="25">
        <f t="shared" si="2"/>
        <v>30320</v>
      </c>
      <c r="I15" s="12">
        <v>1070258.9083117801</v>
      </c>
      <c r="J15" s="33">
        <f t="shared" si="3"/>
        <v>184.59044286143035</v>
      </c>
      <c r="K15" s="34">
        <v>115</v>
      </c>
      <c r="L15" s="34">
        <v>174</v>
      </c>
    </row>
    <row r="16" spans="1:12" ht="45" customHeight="1" x14ac:dyDescent="0.25">
      <c r="A16" s="24">
        <v>44512</v>
      </c>
      <c r="B16" s="37"/>
      <c r="C16" s="35">
        <v>32449681</v>
      </c>
      <c r="D16" s="25">
        <f t="shared" si="0"/>
        <v>31300</v>
      </c>
      <c r="E16" s="35">
        <v>570894.99999999534</v>
      </c>
      <c r="F16" s="25">
        <f t="shared" si="1"/>
        <v>176</v>
      </c>
      <c r="G16" s="35">
        <v>110529448</v>
      </c>
      <c r="H16" s="25">
        <f t="shared" si="2"/>
        <v>29500</v>
      </c>
      <c r="I16" s="12">
        <v>1070471.2019016743</v>
      </c>
      <c r="J16" s="33">
        <f t="shared" si="3"/>
        <v>212.29358989419416</v>
      </c>
      <c r="K16" s="34">
        <v>162</v>
      </c>
      <c r="L16" s="34">
        <v>463</v>
      </c>
    </row>
    <row r="17" spans="1:12" ht="45" customHeight="1" x14ac:dyDescent="0.25">
      <c r="A17" s="24">
        <v>44513</v>
      </c>
      <c r="B17" s="37"/>
      <c r="C17" s="35">
        <v>32482852</v>
      </c>
      <c r="D17" s="25">
        <f t="shared" si="0"/>
        <v>33171</v>
      </c>
      <c r="E17" s="35">
        <v>571074.99999999534</v>
      </c>
      <c r="F17" s="25">
        <f t="shared" si="1"/>
        <v>180</v>
      </c>
      <c r="G17" s="35">
        <v>110559026</v>
      </c>
      <c r="H17" s="25">
        <f t="shared" si="2"/>
        <v>29578</v>
      </c>
      <c r="I17" s="12">
        <v>1070715.6700237365</v>
      </c>
      <c r="J17" s="33">
        <f t="shared" si="3"/>
        <v>244.46812206227332</v>
      </c>
      <c r="K17" s="34">
        <v>175</v>
      </c>
      <c r="L17" s="34">
        <v>700</v>
      </c>
    </row>
    <row r="18" spans="1:12" ht="45" customHeight="1" x14ac:dyDescent="0.25">
      <c r="A18" s="24">
        <v>44514</v>
      </c>
      <c r="B18" s="37"/>
      <c r="C18" s="35">
        <v>32514547</v>
      </c>
      <c r="D18" s="25">
        <f t="shared" si="0"/>
        <v>31695</v>
      </c>
      <c r="E18" s="35">
        <v>571251.99999999534</v>
      </c>
      <c r="F18" s="25">
        <f t="shared" si="1"/>
        <v>177</v>
      </c>
      <c r="G18" s="35">
        <v>110588651</v>
      </c>
      <c r="H18" s="25">
        <f t="shared" si="2"/>
        <v>29625</v>
      </c>
      <c r="I18" s="12">
        <v>1070925.7765230755</v>
      </c>
      <c r="J18" s="33">
        <f t="shared" si="3"/>
        <v>210.10649933898821</v>
      </c>
      <c r="K18" s="34">
        <v>174</v>
      </c>
      <c r="L18" s="34">
        <v>798</v>
      </c>
    </row>
    <row r="19" spans="1:12" ht="45" customHeight="1" x14ac:dyDescent="0.25">
      <c r="A19" s="24">
        <v>44515</v>
      </c>
      <c r="B19" s="37"/>
      <c r="C19" s="35">
        <v>32547087</v>
      </c>
      <c r="D19" s="25">
        <f t="shared" si="0"/>
        <v>32540</v>
      </c>
      <c r="E19" s="35">
        <v>571420.99999999534</v>
      </c>
      <c r="F19" s="25">
        <f t="shared" si="1"/>
        <v>169</v>
      </c>
      <c r="G19" s="35">
        <v>110622112</v>
      </c>
      <c r="H19" s="25">
        <f t="shared" si="2"/>
        <v>33461</v>
      </c>
      <c r="I19" s="12">
        <v>1071149.1513717829</v>
      </c>
      <c r="J19" s="33">
        <f t="shared" si="3"/>
        <v>223.37484870734625</v>
      </c>
      <c r="K19" s="34">
        <v>128</v>
      </c>
      <c r="L19" s="34">
        <v>490</v>
      </c>
    </row>
    <row r="20" spans="1:12" ht="45" customHeight="1" x14ac:dyDescent="0.25">
      <c r="A20" s="24">
        <v>44516</v>
      </c>
      <c r="B20" s="37"/>
      <c r="C20" s="35">
        <v>32578502</v>
      </c>
      <c r="D20" s="25">
        <f t="shared" ref="D20:D32" si="4">IF((C20-C19&lt;0), "0",C20-C19)</f>
        <v>31415</v>
      </c>
      <c r="E20" s="35">
        <v>571569.99999999534</v>
      </c>
      <c r="F20" s="25">
        <f t="shared" ref="F20:F32" si="5">IF((E20-E19&lt;0), "0",E20-E19)</f>
        <v>149</v>
      </c>
      <c r="G20" s="35">
        <v>110655995</v>
      </c>
      <c r="H20" s="25">
        <f t="shared" si="2"/>
        <v>33883</v>
      </c>
      <c r="I20" s="12">
        <v>1071355.4183121473</v>
      </c>
      <c r="J20" s="33">
        <f t="shared" si="3"/>
        <v>206.2669403643813</v>
      </c>
      <c r="K20" s="34">
        <v>130</v>
      </c>
      <c r="L20" s="34">
        <v>226</v>
      </c>
    </row>
    <row r="21" spans="1:12" ht="45" customHeight="1" x14ac:dyDescent="0.25">
      <c r="A21" s="24">
        <v>44517</v>
      </c>
      <c r="B21" s="37"/>
      <c r="C21" s="35">
        <v>32609898</v>
      </c>
      <c r="D21" s="25">
        <f t="shared" si="4"/>
        <v>31396</v>
      </c>
      <c r="E21" s="35">
        <v>571718.99999999534</v>
      </c>
      <c r="F21" s="25">
        <f t="shared" si="5"/>
        <v>149</v>
      </c>
      <c r="G21" s="35">
        <v>110692698</v>
      </c>
      <c r="H21" s="25">
        <f t="shared" si="2"/>
        <v>36703</v>
      </c>
      <c r="I21" s="12">
        <v>1071563.8237410544</v>
      </c>
      <c r="J21" s="33">
        <f t="shared" si="3"/>
        <v>208.4054289071355</v>
      </c>
      <c r="K21" s="34">
        <v>136</v>
      </c>
      <c r="L21" s="34">
        <v>183</v>
      </c>
    </row>
    <row r="22" spans="1:12" ht="45" customHeight="1" x14ac:dyDescent="0.25">
      <c r="A22" s="24">
        <v>44518</v>
      </c>
      <c r="B22" s="37"/>
      <c r="C22" s="35">
        <v>32640759</v>
      </c>
      <c r="D22" s="25">
        <f t="shared" si="4"/>
        <v>30861</v>
      </c>
      <c r="E22" s="35">
        <v>571862.99999999534</v>
      </c>
      <c r="F22" s="25">
        <f t="shared" si="5"/>
        <v>144</v>
      </c>
      <c r="G22" s="35">
        <v>110724667</v>
      </c>
      <c r="H22" s="25">
        <f t="shared" si="2"/>
        <v>31969</v>
      </c>
      <c r="I22" s="12">
        <v>1071767.5147747647</v>
      </c>
      <c r="J22" s="33">
        <f t="shared" si="3"/>
        <v>203.69103371025994</v>
      </c>
      <c r="K22" s="34">
        <v>149</v>
      </c>
      <c r="L22" s="34">
        <v>165</v>
      </c>
    </row>
    <row r="23" spans="1:12" ht="45" customHeight="1" x14ac:dyDescent="0.25">
      <c r="A23" s="24">
        <v>44519</v>
      </c>
      <c r="B23" s="37"/>
      <c r="C23" s="35">
        <v>32673721</v>
      </c>
      <c r="D23" s="25">
        <f t="shared" si="4"/>
        <v>32962</v>
      </c>
      <c r="E23" s="35">
        <v>572049.99999999534</v>
      </c>
      <c r="F23" s="25">
        <f t="shared" si="5"/>
        <v>187</v>
      </c>
      <c r="G23" s="35">
        <v>110760487</v>
      </c>
      <c r="H23" s="25">
        <f t="shared" si="2"/>
        <v>35820</v>
      </c>
      <c r="I23" s="12">
        <v>1071991.47284762</v>
      </c>
      <c r="J23" s="33">
        <f t="shared" si="3"/>
        <v>223.95807285537012</v>
      </c>
      <c r="K23" s="34">
        <v>242</v>
      </c>
      <c r="L23" s="34">
        <v>502</v>
      </c>
    </row>
    <row r="24" spans="1:12" ht="45" customHeight="1" x14ac:dyDescent="0.25">
      <c r="A24" s="24">
        <v>44520</v>
      </c>
      <c r="B24" s="37"/>
      <c r="C24" s="35">
        <v>32708525</v>
      </c>
      <c r="D24" s="25">
        <f t="shared" si="4"/>
        <v>34804</v>
      </c>
      <c r="E24" s="35">
        <v>572247.99999999534</v>
      </c>
      <c r="F24" s="25">
        <f t="shared" si="5"/>
        <v>198</v>
      </c>
      <c r="G24" s="35">
        <v>110805128</v>
      </c>
      <c r="H24" s="25">
        <f t="shared" si="2"/>
        <v>44641</v>
      </c>
      <c r="I24" s="12">
        <v>1072252.5628579021</v>
      </c>
      <c r="J24" s="33">
        <f t="shared" si="3"/>
        <v>261.09001028211787</v>
      </c>
      <c r="K24" s="34">
        <v>281</v>
      </c>
      <c r="L24" s="34">
        <v>733</v>
      </c>
    </row>
    <row r="25" spans="1:12" ht="45" customHeight="1" x14ac:dyDescent="0.25">
      <c r="A25" s="24">
        <v>44521</v>
      </c>
      <c r="B25" s="37"/>
      <c r="C25" s="35">
        <v>32743897</v>
      </c>
      <c r="D25" s="25">
        <f t="shared" si="4"/>
        <v>35372</v>
      </c>
      <c r="E25" s="35">
        <v>572438.99999999534</v>
      </c>
      <c r="F25" s="25">
        <f t="shared" si="5"/>
        <v>191</v>
      </c>
      <c r="G25" s="35">
        <v>110850963</v>
      </c>
      <c r="H25" s="25">
        <f t="shared" si="2"/>
        <v>45835</v>
      </c>
      <c r="I25" s="12">
        <v>1072517.2980191095</v>
      </c>
      <c r="J25" s="33">
        <f t="shared" si="3"/>
        <v>264.7351612073835</v>
      </c>
      <c r="K25" s="34">
        <v>223</v>
      </c>
      <c r="L25" s="34">
        <v>1022</v>
      </c>
    </row>
    <row r="26" spans="1:12" ht="45" customHeight="1" x14ac:dyDescent="0.25">
      <c r="A26" s="24">
        <v>44522</v>
      </c>
      <c r="B26" s="37"/>
      <c r="C26" s="35">
        <v>32779374</v>
      </c>
      <c r="D26" s="25">
        <f t="shared" si="4"/>
        <v>35477</v>
      </c>
      <c r="E26" s="35">
        <v>572608.99999999534</v>
      </c>
      <c r="F26" s="25">
        <f t="shared" si="5"/>
        <v>170</v>
      </c>
      <c r="G26" s="35">
        <v>110884314</v>
      </c>
      <c r="H26" s="25">
        <f t="shared" si="2"/>
        <v>33351</v>
      </c>
      <c r="I26" s="12">
        <v>1072762.786783431</v>
      </c>
      <c r="J26" s="33">
        <f t="shared" si="3"/>
        <v>245.48876432143152</v>
      </c>
      <c r="K26" s="34">
        <v>140</v>
      </c>
      <c r="L26" s="34">
        <v>412</v>
      </c>
    </row>
    <row r="27" spans="1:12" ht="45" customHeight="1" x14ac:dyDescent="0.25">
      <c r="A27" s="24">
        <v>44523</v>
      </c>
      <c r="B27" s="37"/>
      <c r="C27" s="35">
        <v>32813562</v>
      </c>
      <c r="D27" s="25">
        <f t="shared" si="4"/>
        <v>34188</v>
      </c>
      <c r="E27" s="35">
        <v>572755.99999999534</v>
      </c>
      <c r="F27" s="25">
        <f t="shared" si="5"/>
        <v>147</v>
      </c>
      <c r="G27" s="35">
        <v>110904494</v>
      </c>
      <c r="H27" s="25">
        <f t="shared" si="2"/>
        <v>20180</v>
      </c>
      <c r="I27" s="12">
        <v>1072973.1362928317</v>
      </c>
      <c r="J27" s="33">
        <f t="shared" si="3"/>
        <v>210.34950940078124</v>
      </c>
      <c r="K27" s="34">
        <v>158</v>
      </c>
      <c r="L27" s="34">
        <v>251</v>
      </c>
    </row>
    <row r="28" spans="1:12" ht="45" customHeight="1" x14ac:dyDescent="0.25">
      <c r="A28" s="24">
        <v>44524</v>
      </c>
      <c r="B28" s="37"/>
      <c r="C28" s="35">
        <v>32847044</v>
      </c>
      <c r="D28" s="25">
        <f t="shared" si="4"/>
        <v>33482</v>
      </c>
      <c r="E28" s="35">
        <v>572899.99999999534</v>
      </c>
      <c r="F28" s="25">
        <f t="shared" si="5"/>
        <v>144</v>
      </c>
      <c r="G28" s="35">
        <v>110928393</v>
      </c>
      <c r="H28" s="25">
        <f t="shared" si="2"/>
        <v>23899</v>
      </c>
      <c r="I28" s="12">
        <v>1073181.4931197267</v>
      </c>
      <c r="J28" s="33">
        <f t="shared" si="3"/>
        <v>208.35682689491659</v>
      </c>
      <c r="K28" s="34">
        <v>154</v>
      </c>
      <c r="L28" s="34">
        <v>243</v>
      </c>
    </row>
    <row r="29" spans="1:12" ht="45" customHeight="1" x14ac:dyDescent="0.25">
      <c r="A29" s="24">
        <v>44525</v>
      </c>
      <c r="B29" s="37"/>
      <c r="C29" s="35">
        <v>32880543</v>
      </c>
      <c r="D29" s="25">
        <f t="shared" si="4"/>
        <v>33499</v>
      </c>
      <c r="E29" s="35">
        <v>573050.99999999534</v>
      </c>
      <c r="F29" s="25">
        <f t="shared" si="5"/>
        <v>151</v>
      </c>
      <c r="G29" s="35">
        <v>110955463</v>
      </c>
      <c r="H29" s="25">
        <f t="shared" si="2"/>
        <v>27070</v>
      </c>
      <c r="I29" s="12">
        <v>1073397.0916464599</v>
      </c>
      <c r="J29" s="33">
        <f t="shared" si="3"/>
        <v>215.59852673322894</v>
      </c>
      <c r="K29" s="34">
        <v>160</v>
      </c>
      <c r="L29" s="34">
        <v>212</v>
      </c>
    </row>
    <row r="30" spans="1:12" ht="45" customHeight="1" x14ac:dyDescent="0.25">
      <c r="A30" s="24">
        <v>44526</v>
      </c>
      <c r="B30" s="37"/>
      <c r="C30" s="35">
        <v>32913493</v>
      </c>
      <c r="D30" s="25">
        <f t="shared" si="4"/>
        <v>32950</v>
      </c>
      <c r="E30" s="35">
        <v>573232.99999999534</v>
      </c>
      <c r="F30" s="25">
        <f t="shared" si="5"/>
        <v>182</v>
      </c>
      <c r="G30" s="35">
        <v>110982026</v>
      </c>
      <c r="H30" s="25">
        <f t="shared" si="2"/>
        <v>26563</v>
      </c>
      <c r="I30" s="12">
        <v>1073629.6522754992</v>
      </c>
      <c r="J30" s="33">
        <f t="shared" si="3"/>
        <v>232.56062903930433</v>
      </c>
      <c r="K30" s="34">
        <v>238</v>
      </c>
      <c r="L30" s="34">
        <v>427</v>
      </c>
    </row>
    <row r="31" spans="1:12" ht="45" customHeight="1" x14ac:dyDescent="0.25">
      <c r="A31" s="24">
        <v>44527</v>
      </c>
      <c r="B31" s="37"/>
      <c r="C31" s="35">
        <v>32948929</v>
      </c>
      <c r="D31" s="25">
        <f t="shared" si="4"/>
        <v>35436</v>
      </c>
      <c r="E31" s="35">
        <v>573445.99999999534</v>
      </c>
      <c r="F31" s="25">
        <f t="shared" si="5"/>
        <v>213</v>
      </c>
      <c r="G31" s="35">
        <v>111015088</v>
      </c>
      <c r="H31" s="25">
        <f t="shared" si="2"/>
        <v>33062</v>
      </c>
      <c r="I31" s="12">
        <v>1073861.7268844151</v>
      </c>
      <c r="J31" s="33">
        <f t="shared" si="3"/>
        <v>232.0746089159511</v>
      </c>
      <c r="K31" s="34">
        <v>273</v>
      </c>
      <c r="L31" s="34">
        <v>1047</v>
      </c>
    </row>
    <row r="32" spans="1:12" ht="45" customHeight="1" x14ac:dyDescent="0.25">
      <c r="A32" s="24">
        <v>44528</v>
      </c>
      <c r="B32" s="37"/>
      <c r="C32" s="35">
        <v>32988322</v>
      </c>
      <c r="D32" s="25">
        <f t="shared" si="4"/>
        <v>39393</v>
      </c>
      <c r="E32" s="35">
        <v>573642.99999999534</v>
      </c>
      <c r="F32" s="25">
        <f t="shared" si="5"/>
        <v>197</v>
      </c>
      <c r="G32" s="35">
        <v>111052807</v>
      </c>
      <c r="H32" s="25">
        <f t="shared" si="2"/>
        <v>37719</v>
      </c>
      <c r="I32" s="12">
        <v>1074125.1011892771</v>
      </c>
      <c r="J32" s="33">
        <f t="shared" si="3"/>
        <v>263.37430486199446</v>
      </c>
      <c r="K32" s="34">
        <v>190</v>
      </c>
      <c r="L32" s="34">
        <v>1025</v>
      </c>
    </row>
    <row r="33" spans="1:12" ht="45" customHeight="1" x14ac:dyDescent="0.25">
      <c r="A33" s="24">
        <v>44529</v>
      </c>
      <c r="B33" s="37"/>
      <c r="C33" s="35">
        <v>33019497</v>
      </c>
      <c r="D33" s="25">
        <f t="shared" ref="D33:D34" si="6">IF((C33-C32&lt;0), "0",C33-C32)</f>
        <v>31175</v>
      </c>
      <c r="E33" s="35">
        <v>573799.99999999534</v>
      </c>
      <c r="F33" s="25">
        <f t="shared" ref="F33:F34" si="7">IF((E33-E32&lt;0), "0",E33-E32)</f>
        <v>157</v>
      </c>
      <c r="G33" s="35">
        <v>111083721</v>
      </c>
      <c r="H33" s="25">
        <f t="shared" ref="H33:H34" si="8">IF((G33-G32&lt;0), "0",G33-G32)</f>
        <v>30914</v>
      </c>
      <c r="I33" s="12">
        <v>1074368.6458731049</v>
      </c>
      <c r="J33" s="33">
        <f t="shared" ref="J33:J34" si="9">IF((I33-I32&lt;0), "0",I33-I32)</f>
        <v>243.54468382778578</v>
      </c>
      <c r="K33" s="34">
        <v>131</v>
      </c>
      <c r="L33" s="34">
        <v>247</v>
      </c>
    </row>
    <row r="34" spans="1:12" ht="45" customHeight="1" x14ac:dyDescent="0.25">
      <c r="A34" s="24">
        <v>44530</v>
      </c>
      <c r="B34" s="37"/>
      <c r="C34" s="35">
        <v>33051847</v>
      </c>
      <c r="D34" s="25">
        <f t="shared" si="6"/>
        <v>32350</v>
      </c>
      <c r="E34" s="35">
        <v>573953.99999999534</v>
      </c>
      <c r="F34" s="25">
        <f t="shared" si="7"/>
        <v>154</v>
      </c>
      <c r="G34" s="35">
        <v>111114901</v>
      </c>
      <c r="H34" s="25">
        <f t="shared" si="8"/>
        <v>31180</v>
      </c>
      <c r="I34" s="12">
        <v>1074581.4740851349</v>
      </c>
      <c r="J34" s="33">
        <f t="shared" si="9"/>
        <v>212.82821202999912</v>
      </c>
      <c r="K34" s="34">
        <v>138</v>
      </c>
      <c r="L34" s="34">
        <v>238</v>
      </c>
    </row>
    <row r="44" spans="1:12" ht="15.75" customHeight="1" x14ac:dyDescent="0.25">
      <c r="C44" s="32"/>
    </row>
  </sheetData>
  <mergeCells count="6">
    <mergeCell ref="B1:B34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2023-03-24T08:31:35Z</dcterms:modified>
  <cp:category/>
  <cp:contentStatus/>
</cp:coreProperties>
</file>