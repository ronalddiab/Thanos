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M35" i="8" l="1"/>
  <c r="S37" i="4" l="1"/>
  <c r="R37" i="4"/>
  <c r="P37" i="4"/>
  <c r="N37" i="4"/>
  <c r="M37" i="4"/>
  <c r="L37" i="4"/>
  <c r="J37" i="4"/>
  <c r="I36" i="4"/>
  <c r="I35" i="4"/>
  <c r="H37" i="4"/>
  <c r="F37" i="4"/>
  <c r="D37" i="4"/>
  <c r="BI39" i="5"/>
  <c r="BH39" i="5"/>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AL38" i="3"/>
  <c r="AK38" i="3"/>
  <c r="AI38" i="3"/>
  <c r="AG38" i="3"/>
  <c r="AE38" i="3"/>
  <c r="AC38" i="3"/>
  <c r="AA38" i="3"/>
  <c r="X38" i="3"/>
  <c r="Y38" i="3" s="1"/>
  <c r="U38" i="3"/>
  <c r="V38" i="3" s="1"/>
  <c r="R38" i="3"/>
  <c r="S38" i="3" s="1"/>
  <c r="P38" i="3"/>
  <c r="O38" i="3"/>
  <c r="M38" i="3"/>
  <c r="K38" i="3"/>
  <c r="I38" i="3"/>
  <c r="H38" i="3"/>
  <c r="F38" i="3"/>
  <c r="D38" i="3"/>
  <c r="E39" i="5" l="1"/>
  <c r="O30" i="4"/>
  <c r="I30" i="4"/>
  <c r="BC31" i="5"/>
  <c r="BC30" i="5"/>
  <c r="AY30" i="5"/>
  <c r="AY31" i="5" s="1"/>
  <c r="AO30" i="5"/>
  <c r="AO31" i="5" s="1"/>
  <c r="AM30" i="5"/>
  <c r="AM31" i="5" s="1"/>
  <c r="AI30" i="5"/>
  <c r="AI31" i="5" s="1"/>
  <c r="AE30" i="5"/>
  <c r="AE31" i="5" s="1"/>
  <c r="AC30" i="5"/>
  <c r="AC31" i="5" s="1"/>
  <c r="Y30" i="5"/>
  <c r="Y31" i="5" s="1"/>
  <c r="W30" i="5"/>
  <c r="W31" i="5" s="1"/>
  <c r="U30" i="5"/>
  <c r="U31" i="5" s="1"/>
  <c r="S30" i="5"/>
  <c r="S31" i="5" s="1"/>
  <c r="Q30" i="5"/>
  <c r="Q31" i="5" s="1"/>
  <c r="O30" i="5"/>
  <c r="O31" i="5" s="1"/>
  <c r="M30" i="5"/>
  <c r="M31" i="5" s="1"/>
  <c r="K30" i="5"/>
  <c r="K31" i="5" s="1"/>
  <c r="I30" i="5"/>
  <c r="I31" i="5" s="1"/>
  <c r="G30" i="5"/>
  <c r="G31" i="5" s="1"/>
  <c r="C31" i="5"/>
  <c r="C30" i="5"/>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E21" i="5"/>
  <c r="E20" i="5"/>
  <c r="E19" i="5"/>
  <c r="E14" i="5"/>
  <c r="E13" i="5"/>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c r="K14" i="3"/>
  <c r="M14" i="3"/>
  <c r="O14" i="3"/>
  <c r="P14" i="3"/>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M36" i="4"/>
  <c r="L36" i="4"/>
  <c r="N36" i="4" s="1"/>
  <c r="S36" i="4" s="1"/>
  <c r="L35" i="4"/>
  <c r="N35" i="4" s="1"/>
  <c r="J36" i="4"/>
  <c r="J35" i="4"/>
  <c r="H36" i="4"/>
  <c r="H35" i="4"/>
  <c r="F36" i="4"/>
  <c r="F35" i="4"/>
  <c r="D36" i="4"/>
  <c r="D35" i="4"/>
  <c r="S35" i="4" l="1"/>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BH9"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D20" i="5"/>
  <c r="D19" i="5"/>
  <c r="D18" i="5"/>
  <c r="E18" i="5" s="1"/>
  <c r="D17" i="5"/>
  <c r="E17" i="5" s="1"/>
  <c r="D16" i="5"/>
  <c r="E16" i="5" s="1"/>
  <c r="D15" i="5"/>
  <c r="E15" i="5" s="1"/>
  <c r="D14" i="5"/>
  <c r="D13" i="5"/>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Y10" i="5"/>
  <c r="AY11" i="5"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<sst xmlns="http://schemas.openxmlformats.org/spreadsheetml/2006/main" count="1420" uniqueCount="404">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</sst>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7" t="s">
        <v>3</v>
      </c>
      <c r="B1" s="187" t="s">
        <v>4</v>
      </c>
      <c r="C1" s="188" t="s">
        <v>5</v>
      </c>
      <c r="D1" s="187" t="s">
        <v>64</v>
      </c>
      <c r="E1" s="189" t="s">
        <v>395</v>
      </c>
      <c r="F1" s="190" t="s">
        <v>396</v>
      </c>
      <c r="G1" s="189" t="s">
        <v>402</v>
      </c>
      <c r="H1" s="190" t="s">
        <v>397</v>
      </c>
      <c r="I1" s="189" t="s">
        <v>398</v>
      </c>
      <c r="J1" s="191" t="s">
        <v>399</v>
      </c>
      <c r="K1" s="189" t="s">
        <v>400</v>
      </c>
      <c r="L1" s="189" t="s">
        <v>63</v>
      </c>
    </row>
    <row r="2" spans="1:12">
      <c r="A2" s="192" t="s">
        <v>401</v>
      </c>
      <c r="B2" s="193">
        <v>1</v>
      </c>
      <c r="C2" s="194">
        <v>5</v>
      </c>
      <c r="D2" s="193">
        <v>2021</v>
      </c>
      <c r="E2" s="123">
        <f>Combine!G3</f>
        <v>49888</v>
      </c>
      <c r="F2" s="195">
        <v>1.3024</v>
      </c>
      <c r="G2" s="123">
        <f>Combine!M3</f>
        <v>5363.8613830613795</v>
      </c>
      <c r="H2" s="196">
        <v>8.5851000000000006</v>
      </c>
      <c r="I2" s="123">
        <f>Combine!J3</f>
        <v>826.90210000000025</v>
      </c>
      <c r="J2" s="195">
        <v>8.1300000000000008</v>
      </c>
      <c r="K2" s="123">
        <f>Combine!N3</f>
        <v>420</v>
      </c>
      <c r="L2" s="123">
        <f>Combine!O3</f>
        <v>1023</v>
      </c>
    </row>
    <row r="3" spans="1:12">
      <c r="A3" s="192" t="s">
        <v>401</v>
      </c>
      <c r="B3" s="193">
        <v>2</v>
      </c>
      <c r="C3" s="194">
        <v>5</v>
      </c>
      <c r="D3" s="193">
        <v>2021</v>
      </c>
      <c r="E3" s="123">
        <f>Combine!G4</f>
        <v>50802</v>
      </c>
      <c r="F3" s="195">
        <v>1.3024</v>
      </c>
      <c r="G3" s="123">
        <f>Combine!M4</f>
        <v>4722.1432789432565</v>
      </c>
      <c r="H3" s="196">
        <v>8.5851000000000006</v>
      </c>
      <c r="I3" s="123">
        <f>Combine!J4</f>
        <v>678</v>
      </c>
      <c r="J3" s="195">
        <v>8.1300000000000008</v>
      </c>
      <c r="K3" s="123">
        <f>Combine!N4</f>
        <v>337</v>
      </c>
      <c r="L3" s="123">
        <f>Combine!O4</f>
        <v>791</v>
      </c>
    </row>
    <row r="4" spans="1:12">
      <c r="A4" s="192" t="s">
        <v>401</v>
      </c>
      <c r="B4" s="193">
        <v>3</v>
      </c>
      <c r="C4" s="194">
        <v>5</v>
      </c>
      <c r="D4" s="193">
        <v>2021</v>
      </c>
      <c r="E4" s="123">
        <f>Combine!G5</f>
        <v>47147</v>
      </c>
      <c r="F4" s="195">
        <v>1.3024</v>
      </c>
      <c r="G4" s="123">
        <f>Combine!M5</f>
        <v>4461.0710178709951</v>
      </c>
      <c r="H4" s="196">
        <v>8.5851000000000006</v>
      </c>
      <c r="I4" s="123">
        <f>Combine!J5</f>
        <v>564.04999999999995</v>
      </c>
      <c r="J4" s="195">
        <v>8.1300000000000008</v>
      </c>
      <c r="K4" s="123">
        <f>Combine!N5</f>
        <v>322</v>
      </c>
      <c r="L4" s="123">
        <f>Combine!O5</f>
        <v>756</v>
      </c>
    </row>
    <row r="5" spans="1:12">
      <c r="A5" s="192" t="s">
        <v>401</v>
      </c>
      <c r="B5" s="193">
        <v>4</v>
      </c>
      <c r="C5" s="194">
        <v>5</v>
      </c>
      <c r="D5" s="193">
        <v>2021</v>
      </c>
      <c r="E5" s="123">
        <f>Combine!G6</f>
        <v>46463</v>
      </c>
      <c r="F5" s="195">
        <v>1.3024</v>
      </c>
      <c r="G5" s="123">
        <f>Combine!M6</f>
        <v>4263.4020202020702</v>
      </c>
      <c r="H5" s="196">
        <v>8.5851000000000006</v>
      </c>
      <c r="I5" s="123">
        <f>Combine!J6</f>
        <v>703.25</v>
      </c>
      <c r="J5" s="195">
        <v>8.1300000000000008</v>
      </c>
      <c r="K5" s="123">
        <f>Combine!N6</f>
        <v>320</v>
      </c>
      <c r="L5" s="123">
        <f>Combine!O6</f>
        <v>747</v>
      </c>
    </row>
    <row r="6" spans="1:12">
      <c r="A6" s="192" t="s">
        <v>401</v>
      </c>
      <c r="B6" s="193">
        <v>5</v>
      </c>
      <c r="C6" s="194">
        <v>5</v>
      </c>
      <c r="D6" s="193">
        <v>2021</v>
      </c>
      <c r="E6" s="123">
        <f>Combine!G7</f>
        <v>50105</v>
      </c>
      <c r="F6" s="195">
        <v>1.3024</v>
      </c>
      <c r="G6" s="123">
        <f>Combine!M7</f>
        <v>4299.5095571095453</v>
      </c>
      <c r="H6" s="196">
        <v>8.5851000000000006</v>
      </c>
      <c r="I6" s="123">
        <f>Combine!J7</f>
        <v>516.20000000000005</v>
      </c>
      <c r="J6" s="195">
        <v>8.1300000000000008</v>
      </c>
      <c r="K6" s="123">
        <f>Combine!N7</f>
        <v>315</v>
      </c>
      <c r="L6" s="123">
        <f>Combine!O7</f>
        <v>731</v>
      </c>
    </row>
    <row r="7" spans="1:12">
      <c r="A7" s="192" t="s">
        <v>401</v>
      </c>
      <c r="B7" s="193">
        <v>6</v>
      </c>
      <c r="C7" s="194">
        <v>5</v>
      </c>
      <c r="D7" s="193">
        <v>2021</v>
      </c>
      <c r="E7" s="123">
        <f>Combine!G8</f>
        <v>47957</v>
      </c>
      <c r="F7" s="195">
        <v>1.3024</v>
      </c>
      <c r="G7" s="123">
        <f>Combine!M8</f>
        <v>4324.7403263403303</v>
      </c>
      <c r="H7" s="196">
        <v>8.5851000000000006</v>
      </c>
      <c r="I7" s="123">
        <f>Combine!J8</f>
        <v>527.20000000000005</v>
      </c>
      <c r="J7" s="195">
        <v>8.1300000000000008</v>
      </c>
      <c r="K7" s="123">
        <f>Combine!N8</f>
        <v>317</v>
      </c>
      <c r="L7" s="123">
        <f>Combine!O8</f>
        <v>739</v>
      </c>
    </row>
    <row r="8" spans="1:12">
      <c r="A8" s="192" t="s">
        <v>401</v>
      </c>
      <c r="B8" s="193">
        <v>7</v>
      </c>
      <c r="C8" s="194">
        <v>5</v>
      </c>
      <c r="D8" s="193">
        <v>2021</v>
      </c>
      <c r="E8" s="123">
        <f>Combine!G9</f>
        <v>48818</v>
      </c>
      <c r="F8" s="195">
        <v>1.3024</v>
      </c>
      <c r="G8" s="123">
        <f>Combine!M9</f>
        <v>4276.2082362082401</v>
      </c>
      <c r="H8" s="196">
        <v>8.5851000000000006</v>
      </c>
      <c r="I8" s="123">
        <f>Combine!J9</f>
        <v>502.4</v>
      </c>
      <c r="J8" s="195">
        <v>8.1300000000000008</v>
      </c>
      <c r="K8" s="123">
        <f>Combine!N9</f>
        <v>336</v>
      </c>
      <c r="L8" s="123">
        <f>Combine!O9</f>
        <v>797</v>
      </c>
    </row>
    <row r="9" spans="1:12">
      <c r="A9" s="192" t="s">
        <v>401</v>
      </c>
      <c r="B9" s="193">
        <v>8</v>
      </c>
      <c r="C9" s="194">
        <v>5</v>
      </c>
      <c r="D9" s="193">
        <v>2021</v>
      </c>
      <c r="E9" s="123">
        <f>Combine!G10</f>
        <v>52260</v>
      </c>
      <c r="F9" s="195">
        <v>1.3024</v>
      </c>
      <c r="G9" s="123">
        <f>Combine!M10</f>
        <v>4231.8160062160114</v>
      </c>
      <c r="H9" s="196">
        <v>8.5851000000000006</v>
      </c>
      <c r="I9" s="123">
        <f>Combine!J10</f>
        <v>519.15</v>
      </c>
      <c r="J9" s="195">
        <v>8.1300000000000008</v>
      </c>
      <c r="K9" s="123">
        <f>Combine!N10</f>
        <v>420</v>
      </c>
      <c r="L9" s="123">
        <f>Combine!O10</f>
        <v>1009</v>
      </c>
    </row>
    <row r="10" spans="1:12">
      <c r="A10" s="192" t="s">
        <v>401</v>
      </c>
      <c r="B10" s="193">
        <v>9</v>
      </c>
      <c r="C10" s="194">
        <v>5</v>
      </c>
      <c r="D10" s="193">
        <v>2021</v>
      </c>
      <c r="E10" s="123">
        <f>Combine!G11</f>
        <v>50422</v>
      </c>
      <c r="F10" s="195">
        <v>1.3024</v>
      </c>
      <c r="G10" s="123">
        <f>Combine!M11</f>
        <v>4439.2317016317029</v>
      </c>
      <c r="H10" s="196">
        <v>8.5851000000000006</v>
      </c>
      <c r="I10" s="123">
        <f>Combine!J11</f>
        <v>656.4</v>
      </c>
      <c r="J10" s="195">
        <v>8.1300000000000008</v>
      </c>
      <c r="K10" s="123">
        <f>Combine!N11</f>
        <v>330</v>
      </c>
      <c r="L10" s="123">
        <f>Combine!O11</f>
        <v>772</v>
      </c>
    </row>
    <row r="11" spans="1:12">
      <c r="A11" s="192" t="s">
        <v>401</v>
      </c>
      <c r="B11" s="193">
        <v>10</v>
      </c>
      <c r="C11" s="194">
        <v>5</v>
      </c>
      <c r="D11" s="193">
        <v>2021</v>
      </c>
      <c r="E11" s="123">
        <f>Combine!G12</f>
        <v>54339</v>
      </c>
      <c r="F11" s="195">
        <v>1.3024</v>
      </c>
      <c r="G11" s="123">
        <f>Combine!M12</f>
        <v>4348.7552447552434</v>
      </c>
      <c r="H11" s="196">
        <v>8.5851000000000006</v>
      </c>
      <c r="I11" s="123">
        <f>Combine!J12</f>
        <v>534.15</v>
      </c>
      <c r="J11" s="195">
        <v>8.1300000000000008</v>
      </c>
      <c r="K11" s="123">
        <f>Combine!N12</f>
        <v>341</v>
      </c>
      <c r="L11" s="123">
        <f>Combine!O12</f>
        <v>789</v>
      </c>
    </row>
    <row r="12" spans="1:12">
      <c r="A12" s="192" t="s">
        <v>401</v>
      </c>
      <c r="B12" s="193">
        <v>11</v>
      </c>
      <c r="C12" s="194">
        <v>5</v>
      </c>
      <c r="D12" s="193">
        <v>2021</v>
      </c>
      <c r="E12" s="123">
        <f>Combine!G13</f>
        <v>52711</v>
      </c>
      <c r="F12" s="195">
        <v>1.3024</v>
      </c>
      <c r="G12" s="123">
        <f>Combine!M13</f>
        <v>4131.9073815073853</v>
      </c>
      <c r="H12" s="196">
        <v>8.5851000000000006</v>
      </c>
      <c r="I12" s="123">
        <f>Combine!J13</f>
        <v>540.4</v>
      </c>
      <c r="J12" s="195">
        <v>8.1300000000000008</v>
      </c>
      <c r="K12" s="123">
        <f>Combine!N13</f>
        <v>331</v>
      </c>
      <c r="L12" s="123">
        <f>Combine!O13</f>
        <v>763</v>
      </c>
    </row>
    <row r="13" spans="1:12">
      <c r="A13" s="192" t="s">
        <v>401</v>
      </c>
      <c r="B13" s="193">
        <v>12</v>
      </c>
      <c r="C13" s="194">
        <v>5</v>
      </c>
      <c r="D13" s="193">
        <v>2021</v>
      </c>
      <c r="E13" s="123">
        <f>Combine!G14</f>
        <v>59535</v>
      </c>
      <c r="F13" s="195">
        <v>1.3024</v>
      </c>
      <c r="G13" s="123">
        <f>Combine!M14</f>
        <v>4163.6301476301423</v>
      </c>
      <c r="H13" s="196">
        <v>8.5851000000000006</v>
      </c>
      <c r="I13" s="123">
        <f>Combine!J14</f>
        <v>579.9</v>
      </c>
      <c r="J13" s="195">
        <v>8.1300000000000008</v>
      </c>
      <c r="K13" s="123">
        <f>Combine!N14</f>
        <v>351</v>
      </c>
      <c r="L13" s="123">
        <f>Combine!O14</f>
        <v>808</v>
      </c>
    </row>
    <row r="14" spans="1:12">
      <c r="A14" s="192" t="s">
        <v>401</v>
      </c>
      <c r="B14" s="193">
        <v>13</v>
      </c>
      <c r="C14" s="194">
        <v>5</v>
      </c>
      <c r="D14" s="193">
        <v>2021</v>
      </c>
      <c r="E14" s="123">
        <f>Combine!G15</f>
        <v>64559</v>
      </c>
      <c r="F14" s="195">
        <v>1.3024</v>
      </c>
      <c r="G14" s="123">
        <f>Combine!M15</f>
        <v>3986.7723387723395</v>
      </c>
      <c r="H14" s="196">
        <v>8.5851000000000006</v>
      </c>
      <c r="I14" s="123">
        <f>Combine!J15</f>
        <v>532.70000000000005</v>
      </c>
      <c r="J14" s="195">
        <v>8.1300000000000008</v>
      </c>
      <c r="K14" s="123">
        <f>Combine!N15</f>
        <v>382</v>
      </c>
      <c r="L14" s="123">
        <f>Combine!O15</f>
        <v>873</v>
      </c>
    </row>
    <row r="15" spans="1:12">
      <c r="A15" s="192" t="s">
        <v>401</v>
      </c>
      <c r="B15" s="193">
        <v>14</v>
      </c>
      <c r="C15" s="194">
        <v>5</v>
      </c>
      <c r="D15" s="193">
        <v>2021</v>
      </c>
      <c r="E15" s="123">
        <f>Combine!G16</f>
        <v>54683</v>
      </c>
      <c r="F15" s="195">
        <v>1.3024</v>
      </c>
      <c r="G15" s="123">
        <f>Combine!M16</f>
        <v>4271.0402486402445</v>
      </c>
      <c r="H15" s="196">
        <v>8.5851000000000006</v>
      </c>
      <c r="I15" s="123">
        <f>Combine!J16</f>
        <v>579.35</v>
      </c>
      <c r="J15" s="195">
        <v>8.1300000000000008</v>
      </c>
      <c r="K15" s="123">
        <f>Combine!N16</f>
        <v>384</v>
      </c>
      <c r="L15" s="123">
        <f>Combine!O16</f>
        <v>894</v>
      </c>
    </row>
    <row r="16" spans="1:12">
      <c r="A16" s="192" t="s">
        <v>401</v>
      </c>
      <c r="B16" s="193">
        <v>15</v>
      </c>
      <c r="C16" s="194">
        <v>5</v>
      </c>
      <c r="D16" s="193">
        <v>2021</v>
      </c>
      <c r="E16" s="123">
        <f>Combine!G17</f>
        <v>59527</v>
      </c>
      <c r="F16" s="195">
        <v>1.3024</v>
      </c>
      <c r="G16" s="123">
        <f>Combine!M17</f>
        <v>4369.5540015539955</v>
      </c>
      <c r="H16" s="196">
        <v>8.5851000000000006</v>
      </c>
      <c r="I16" s="123">
        <f>Combine!J17</f>
        <v>673.45819999999981</v>
      </c>
      <c r="J16" s="195">
        <v>8.1300000000000008</v>
      </c>
      <c r="K16" s="123">
        <f>Combine!N17</f>
        <v>427</v>
      </c>
      <c r="L16" s="123">
        <f>Combine!O17</f>
        <v>1013</v>
      </c>
    </row>
    <row r="17" spans="1:12">
      <c r="A17" s="192" t="s">
        <v>401</v>
      </c>
      <c r="B17" s="193">
        <v>16</v>
      </c>
      <c r="C17" s="194">
        <v>5</v>
      </c>
      <c r="D17" s="193">
        <v>2021</v>
      </c>
      <c r="E17" s="123">
        <f>Combine!G18</f>
        <v>59989</v>
      </c>
      <c r="F17" s="195">
        <v>1.3024</v>
      </c>
      <c r="G17" s="123">
        <f>Combine!M18</f>
        <v>4603.4399378399467</v>
      </c>
      <c r="H17" s="196">
        <v>8.5851000000000006</v>
      </c>
      <c r="I17" s="123">
        <f>Combine!J18</f>
        <v>675.25</v>
      </c>
      <c r="J17" s="195">
        <v>8.1300000000000008</v>
      </c>
      <c r="K17" s="123">
        <f>Combine!N18</f>
        <v>404</v>
      </c>
      <c r="L17" s="123">
        <f>Combine!O18</f>
        <v>925</v>
      </c>
    </row>
    <row r="18" spans="1:12">
      <c r="A18" s="192" t="s">
        <v>401</v>
      </c>
      <c r="B18" s="193">
        <v>17</v>
      </c>
      <c r="C18" s="194">
        <v>5</v>
      </c>
      <c r="D18" s="193">
        <v>2021</v>
      </c>
      <c r="E18" s="123">
        <f>Combine!G19</f>
        <v>62885</v>
      </c>
      <c r="F18" s="195">
        <v>1.3024</v>
      </c>
      <c r="G18" s="123">
        <f>Combine!M19</f>
        <v>3765.273659673654</v>
      </c>
      <c r="H18" s="196">
        <v>8.5851000000000006</v>
      </c>
      <c r="I18" s="123">
        <f>Combine!J19</f>
        <v>625.40849999999978</v>
      </c>
      <c r="J18" s="195">
        <v>8.1300000000000008</v>
      </c>
      <c r="K18" s="123">
        <f>Combine!N19</f>
        <v>388</v>
      </c>
      <c r="L18" s="123">
        <f>Combine!O19</f>
        <v>885</v>
      </c>
    </row>
    <row r="19" spans="1:12">
      <c r="A19" s="192" t="s">
        <v>401</v>
      </c>
      <c r="B19" s="193">
        <v>18</v>
      </c>
      <c r="C19" s="194">
        <v>5</v>
      </c>
      <c r="D19" s="193">
        <v>2021</v>
      </c>
      <c r="E19" s="123">
        <f>Combine!G20</f>
        <v>62108</v>
      </c>
      <c r="F19" s="195">
        <v>1.3024</v>
      </c>
      <c r="G19" s="123">
        <f>Combine!M20</f>
        <v>5040.2971250971304</v>
      </c>
      <c r="H19" s="196">
        <v>8.5851000000000006</v>
      </c>
      <c r="I19" s="123">
        <f>Combine!J20</f>
        <v>612.01000000000056</v>
      </c>
      <c r="J19" s="195">
        <v>8.1300000000000008</v>
      </c>
      <c r="K19" s="123">
        <f>Combine!N20</f>
        <v>412</v>
      </c>
      <c r="L19" s="123">
        <f>Combine!O20</f>
        <v>973</v>
      </c>
    </row>
    <row r="20" spans="1:12">
      <c r="A20" s="192" t="s">
        <v>401</v>
      </c>
      <c r="B20" s="193">
        <v>19</v>
      </c>
      <c r="C20" s="194">
        <v>5</v>
      </c>
      <c r="D20" s="193">
        <v>2021</v>
      </c>
      <c r="E20" s="123">
        <f>Combine!G21</f>
        <v>54779</v>
      </c>
      <c r="F20" s="195">
        <v>1.3024</v>
      </c>
      <c r="G20" s="123">
        <f>Combine!M21</f>
        <v>4375.7153069153073</v>
      </c>
      <c r="H20" s="196">
        <v>8.5851000000000006</v>
      </c>
      <c r="I20" s="123">
        <f>Combine!J21</f>
        <v>576.07229999999959</v>
      </c>
      <c r="J20" s="195">
        <v>8.1300000000000008</v>
      </c>
      <c r="K20" s="123">
        <f>Combine!N21</f>
        <v>403</v>
      </c>
      <c r="L20" s="123">
        <f>Combine!O21</f>
        <v>910</v>
      </c>
    </row>
    <row r="21" spans="1:12">
      <c r="A21" s="192" t="s">
        <v>401</v>
      </c>
      <c r="B21" s="193">
        <v>20</v>
      </c>
      <c r="C21" s="194">
        <v>5</v>
      </c>
      <c r="D21" s="193">
        <v>2021</v>
      </c>
      <c r="E21" s="123">
        <f>Combine!G22</f>
        <v>55586</v>
      </c>
      <c r="F21" s="195">
        <v>1.3024</v>
      </c>
      <c r="G21" s="123">
        <f>Combine!M22</f>
        <v>4434.6169386169404</v>
      </c>
      <c r="H21" s="196">
        <v>8.5851000000000006</v>
      </c>
      <c r="I21" s="123">
        <f>Combine!J22</f>
        <v>704.86400000000015</v>
      </c>
      <c r="J21" s="195">
        <v>8.1300000000000008</v>
      </c>
      <c r="K21" s="123">
        <f>Combine!N22</f>
        <v>394</v>
      </c>
      <c r="L21" s="123">
        <f>Combine!O22</f>
        <v>898</v>
      </c>
    </row>
    <row r="22" spans="1:12">
      <c r="A22" s="192" t="s">
        <v>401</v>
      </c>
      <c r="B22" s="193">
        <v>21</v>
      </c>
      <c r="C22" s="194">
        <v>5</v>
      </c>
      <c r="D22" s="193">
        <v>2021</v>
      </c>
      <c r="E22" s="123">
        <f>Combine!G23</f>
        <v>59815</v>
      </c>
      <c r="F22" s="195">
        <v>1.3024</v>
      </c>
      <c r="G22" s="123">
        <f>Combine!M23</f>
        <v>4338.8257964258028</v>
      </c>
      <c r="H22" s="196">
        <v>8.5851000000000006</v>
      </c>
      <c r="I22" s="123">
        <f>Combine!J23</f>
        <v>606.57900000000006</v>
      </c>
      <c r="J22" s="195">
        <v>8.1300000000000008</v>
      </c>
      <c r="K22" s="123">
        <f>Combine!N23</f>
        <v>388</v>
      </c>
      <c r="L22" s="123">
        <f>Combine!O23</f>
        <v>906</v>
      </c>
    </row>
    <row r="23" spans="1:12">
      <c r="A23" s="192" t="s">
        <v>401</v>
      </c>
      <c r="B23" s="193">
        <v>22</v>
      </c>
      <c r="C23" s="194">
        <v>5</v>
      </c>
      <c r="D23" s="193">
        <v>2021</v>
      </c>
      <c r="E23" s="123">
        <f>Combine!G24</f>
        <v>55424</v>
      </c>
      <c r="F23" s="195">
        <v>1.3024</v>
      </c>
      <c r="G23" s="123">
        <f>Combine!M24</f>
        <v>4261.1804195808536</v>
      </c>
      <c r="H23" s="196">
        <v>8.5851000000000006</v>
      </c>
      <c r="I23" s="123">
        <f>Combine!J24</f>
        <v>575.29880000000014</v>
      </c>
      <c r="J23" s="195">
        <v>8.1300000000000008</v>
      </c>
      <c r="K23" s="123">
        <f>Combine!N24</f>
        <v>418</v>
      </c>
      <c r="L23" s="123">
        <f>Combine!O24</f>
        <v>967</v>
      </c>
    </row>
    <row r="24" spans="1:12">
      <c r="A24" s="192" t="s">
        <v>401</v>
      </c>
      <c r="B24" s="193">
        <v>23</v>
      </c>
      <c r="C24" s="194">
        <v>5</v>
      </c>
      <c r="D24" s="193">
        <v>2021</v>
      </c>
      <c r="E24" s="123">
        <f>Combine!G25</f>
        <v>56515</v>
      </c>
      <c r="F24" s="195">
        <v>1.3024</v>
      </c>
      <c r="G24" s="123">
        <f>Combine!M25</f>
        <v>4261.1804195808536</v>
      </c>
      <c r="H24" s="196">
        <v>8.5851000000000006</v>
      </c>
      <c r="I24" s="123">
        <f>Combine!J25</f>
        <v>749.38430000000005</v>
      </c>
      <c r="J24" s="195">
        <v>8.1300000000000008</v>
      </c>
      <c r="K24" s="123">
        <f>Combine!N25</f>
        <v>385</v>
      </c>
      <c r="L24" s="123">
        <f>Combine!O25</f>
        <v>876</v>
      </c>
    </row>
    <row r="25" spans="1:12">
      <c r="A25" s="192" t="s">
        <v>401</v>
      </c>
      <c r="B25" s="193">
        <v>24</v>
      </c>
      <c r="C25" s="194">
        <v>5</v>
      </c>
      <c r="D25" s="193">
        <v>2021</v>
      </c>
      <c r="E25" s="123">
        <f>Combine!G26</f>
        <v>57134</v>
      </c>
      <c r="F25" s="195">
        <v>1.3024</v>
      </c>
      <c r="G25" s="123">
        <f>Combine!M26</f>
        <v>4261.1804195795503</v>
      </c>
      <c r="H25" s="196">
        <v>8.5851000000000006</v>
      </c>
      <c r="I25" s="123">
        <f>Combine!J26</f>
        <v>624.97489999999982</v>
      </c>
      <c r="J25" s="195">
        <v>8.1300000000000008</v>
      </c>
      <c r="K25" s="123">
        <f>Combine!N26</f>
        <v>365</v>
      </c>
      <c r="L25" s="123">
        <f>Combine!O26</f>
        <v>823</v>
      </c>
    </row>
    <row r="26" spans="1:12">
      <c r="A26" s="192" t="s">
        <v>401</v>
      </c>
      <c r="B26" s="193">
        <v>25</v>
      </c>
      <c r="C26" s="194">
        <v>5</v>
      </c>
      <c r="D26" s="193">
        <v>2021</v>
      </c>
      <c r="E26" s="123">
        <f>Combine!G27</f>
        <v>54184</v>
      </c>
      <c r="F26" s="195">
        <v>1.3024</v>
      </c>
      <c r="G26" s="123">
        <f>Combine!M27</f>
        <v>4306.2899766899627</v>
      </c>
      <c r="H26" s="196">
        <v>8.5851000000000006</v>
      </c>
      <c r="I26" s="123">
        <f>Combine!J27</f>
        <v>566.15</v>
      </c>
      <c r="J26" s="195">
        <v>8.1300000000000008</v>
      </c>
      <c r="K26" s="123">
        <f>Combine!N27</f>
        <v>360</v>
      </c>
      <c r="L26" s="123">
        <f>Combine!O27</f>
        <v>817</v>
      </c>
    </row>
    <row r="27" spans="1:12">
      <c r="A27" s="192" t="s">
        <v>401</v>
      </c>
      <c r="B27" s="193">
        <v>26</v>
      </c>
      <c r="C27" s="194">
        <v>5</v>
      </c>
      <c r="D27" s="193">
        <v>2021</v>
      </c>
      <c r="E27" s="123">
        <f>Combine!G28</f>
        <v>51973</v>
      </c>
      <c r="F27" s="195">
        <v>1.3024</v>
      </c>
      <c r="G27" s="123">
        <f>Combine!M28</f>
        <v>4187.1254079254086</v>
      </c>
      <c r="H27" s="196">
        <v>8.5851000000000006</v>
      </c>
      <c r="I27" s="123">
        <f>Combine!J28</f>
        <v>584.79999999999995</v>
      </c>
      <c r="J27" s="195">
        <v>8.1300000000000008</v>
      </c>
      <c r="K27" s="123">
        <f>Combine!N28</f>
        <v>360</v>
      </c>
      <c r="L27" s="123">
        <f>Combine!O28</f>
        <v>814</v>
      </c>
    </row>
    <row r="28" spans="1:12">
      <c r="A28" s="192" t="s">
        <v>401</v>
      </c>
      <c r="B28" s="193">
        <v>27</v>
      </c>
      <c r="C28" s="194">
        <v>5</v>
      </c>
      <c r="D28" s="193">
        <v>2021</v>
      </c>
      <c r="E28" s="123">
        <f>Combine!G29</f>
        <v>53863</v>
      </c>
      <c r="F28" s="195">
        <v>1.3024</v>
      </c>
      <c r="G28" s="123">
        <f>Combine!M29</f>
        <v>4092.6060606060673</v>
      </c>
      <c r="H28" s="196">
        <v>8.5851000000000006</v>
      </c>
      <c r="I28" s="123">
        <f>Combine!J29</f>
        <v>587.20000000000005</v>
      </c>
      <c r="J28" s="195">
        <v>8.1300000000000008</v>
      </c>
      <c r="K28" s="123">
        <f>Combine!N29</f>
        <v>365</v>
      </c>
      <c r="L28" s="123">
        <f>Combine!O29</f>
        <v>823</v>
      </c>
    </row>
    <row r="29" spans="1:12">
      <c r="A29" s="192" t="s">
        <v>401</v>
      </c>
      <c r="B29" s="193">
        <v>28</v>
      </c>
      <c r="C29" s="194">
        <v>5</v>
      </c>
      <c r="D29" s="193">
        <v>2021</v>
      </c>
      <c r="E29" s="123">
        <f>Combine!G30</f>
        <v>53797</v>
      </c>
      <c r="F29" s="195">
        <v>1.3024</v>
      </c>
      <c r="G29" s="123">
        <f>Combine!M30</f>
        <v>4255.7923853923821</v>
      </c>
      <c r="H29" s="196">
        <v>8.5851000000000006</v>
      </c>
      <c r="I29" s="123">
        <f>Combine!J30</f>
        <v>607.92999999999961</v>
      </c>
      <c r="J29" s="195">
        <v>8.1300000000000008</v>
      </c>
      <c r="K29" s="123">
        <f>Combine!N30</f>
        <v>399</v>
      </c>
      <c r="L29" s="123">
        <f>Combine!O30</f>
        <v>908</v>
      </c>
    </row>
    <row r="30" spans="1:12">
      <c r="A30" s="192" t="s">
        <v>401</v>
      </c>
      <c r="B30" s="193">
        <v>29</v>
      </c>
      <c r="C30" s="194">
        <v>5</v>
      </c>
      <c r="D30" s="193">
        <v>2021</v>
      </c>
      <c r="E30" s="123">
        <f>Combine!G31</f>
        <v>54683</v>
      </c>
      <c r="F30" s="195">
        <v>1.3024</v>
      </c>
      <c r="G30" s="123">
        <f>Combine!M31</f>
        <v>4211.6960372960502</v>
      </c>
      <c r="H30" s="196">
        <v>8.5851000000000006</v>
      </c>
      <c r="I30" s="123">
        <f>Combine!J31</f>
        <v>609.92000000000041</v>
      </c>
      <c r="J30" s="195">
        <v>8.1300000000000008</v>
      </c>
      <c r="K30" s="123">
        <f>Combine!N31</f>
        <v>434</v>
      </c>
      <c r="L30" s="123">
        <f>Combine!O31</f>
        <v>1006</v>
      </c>
    </row>
    <row r="31" spans="1:12">
      <c r="A31" s="192" t="s">
        <v>401</v>
      </c>
      <c r="B31" s="193">
        <v>30</v>
      </c>
      <c r="C31" s="194">
        <v>5</v>
      </c>
      <c r="D31" s="193">
        <v>2021</v>
      </c>
      <c r="E31" s="123">
        <f>Combine!G32</f>
        <v>55347</v>
      </c>
      <c r="F31" s="195">
        <v>1.3024</v>
      </c>
      <c r="G31" s="123">
        <f>Combine!M32</f>
        <v>4363.3181041180933</v>
      </c>
      <c r="H31" s="196">
        <v>8.5851000000000006</v>
      </c>
      <c r="I31" s="123">
        <f>Combine!J32</f>
        <v>664.6</v>
      </c>
      <c r="J31" s="195">
        <v>8.1300000000000008</v>
      </c>
      <c r="K31" s="123">
        <f>Combine!N32</f>
        <v>390</v>
      </c>
      <c r="L31" s="123">
        <f>Combine!O32</f>
        <v>877</v>
      </c>
    </row>
    <row r="32" spans="1:12">
      <c r="A32" s="192" t="s">
        <v>401</v>
      </c>
      <c r="B32" s="193">
        <v>31</v>
      </c>
      <c r="C32" s="194">
        <v>5</v>
      </c>
      <c r="D32" s="193">
        <v>2021</v>
      </c>
      <c r="E32" s="123">
        <f>Combine!G33</f>
        <v>63475</v>
      </c>
      <c r="F32" s="195">
        <v>1.3024</v>
      </c>
      <c r="G32" s="123">
        <f>Combine!M33</f>
        <v>4328.8118104118075</v>
      </c>
      <c r="H32" s="196">
        <v>8.5851000000000006</v>
      </c>
      <c r="I32" s="123">
        <f>Combine!J33</f>
        <v>610.99999999999977</v>
      </c>
      <c r="J32" s="195">
        <v>8.1300000000000008</v>
      </c>
      <c r="K32" s="123">
        <f>Combine!N33</f>
        <v>365</v>
      </c>
      <c r="L32" s="123">
        <f>Combine!O33</f>
        <v>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K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0" t="s">
        <v>66</v>
      </c>
      <c r="O1" s="201"/>
      <c r="P1" s="202"/>
    </row>
    <row r="2" spans="1:17" s="2" customFormat="1" ht="60" customHeight="1">
      <c r="A2" s="4" t="s">
        <v>3</v>
      </c>
      <c r="B2" s="5" t="s">
        <v>4</v>
      </c>
      <c r="C2" s="5" t="s">
        <v>5</v>
      </c>
      <c r="D2" s="121"/>
      <c r="E2" s="126" t="s">
        <v>6</v>
      </c>
      <c r="F2" s="147" t="s">
        <v>6</v>
      </c>
      <c r="G2" s="157" t="s">
        <v>6</v>
      </c>
      <c r="H2" s="158" t="s">
        <v>9</v>
      </c>
      <c r="I2" s="148" t="s">
        <v>9</v>
      </c>
      <c r="J2" s="157" t="s">
        <v>9</v>
      </c>
      <c r="K2" s="126" t="s">
        <v>7</v>
      </c>
      <c r="L2" s="112">
        <v>335</v>
      </c>
      <c r="M2" s="132" t="s">
        <v>8</v>
      </c>
      <c r="N2" s="164" t="s">
        <v>10</v>
      </c>
      <c r="O2" s="5" t="s">
        <v>11</v>
      </c>
      <c r="P2" s="163" t="s">
        <v>12</v>
      </c>
      <c r="Q2" s="152" t="s">
        <v>394</v>
      </c>
    </row>
    <row r="3" spans="1:17" ht="15.75">
      <c r="A3" s="7" t="s">
        <v>14</v>
      </c>
      <c r="B3" s="7">
        <v>1</v>
      </c>
      <c r="C3" s="7">
        <v>5</v>
      </c>
      <c r="D3" s="122">
        <v>2021</v>
      </c>
      <c r="E3" s="153">
        <f>'Athens Daily - EL'!AK8</f>
        <v>41420</v>
      </c>
      <c r="F3" s="155">
        <f>'Athens Daily - EL'!AL8</f>
        <v>8468</v>
      </c>
      <c r="G3" s="133">
        <f>SUM(E3,F3)</f>
        <v>49888</v>
      </c>
      <c r="H3" s="153">
        <f>'Athens Daily - Water'!R7</f>
        <v>634.40210000000025</v>
      </c>
      <c r="I3" s="123">
        <f>'Athens Daily - Water'!S7</f>
        <v>192.5</v>
      </c>
      <c r="J3" s="129">
        <f t="shared" ref="J3:J33" si="0">SUM(H3,I3)</f>
        <v>826.90210000000025</v>
      </c>
      <c r="K3" s="153">
        <f>'Athens Daily - Gas'!BH9</f>
        <v>127610.68799999985</v>
      </c>
      <c r="L3" s="123">
        <f>'Athens Daily - Gas'!BI9</f>
        <v>79488</v>
      </c>
      <c r="M3" s="133">
        <f>SUM(K3,L3)/38.61</f>
        <v>5363.8613830613795</v>
      </c>
      <c r="N3" s="162">
        <f>Occ!G10</f>
        <v>420</v>
      </c>
      <c r="O3" s="105">
        <f>Occ!H10</f>
        <v>1023</v>
      </c>
      <c r="P3" s="161">
        <v>918</v>
      </c>
      <c r="Q3" s="170"/>
    </row>
    <row r="4" spans="1:17" ht="15.75">
      <c r="A4" s="7" t="s">
        <v>14</v>
      </c>
      <c r="B4" s="7">
        <v>2</v>
      </c>
      <c r="C4" s="7">
        <v>5</v>
      </c>
      <c r="D4" s="122">
        <v>2021</v>
      </c>
      <c r="E4" s="153">
        <f>'Athens Daily - EL'!AK9</f>
        <v>41602</v>
      </c>
      <c r="F4" s="155">
        <f>'Athens Daily - EL'!AL9</f>
        <v>9200</v>
      </c>
      <c r="G4" s="133">
        <f t="shared" ref="G4:G33" si="1">SUM(E4,F4)</f>
        <v>50802</v>
      </c>
      <c r="H4" s="153">
        <f>'Athens Daily - Water'!R8</f>
        <v>522</v>
      </c>
      <c r="I4" s="123">
        <f>'Athens Daily - Water'!S8</f>
        <v>156</v>
      </c>
      <c r="J4" s="129">
        <f t="shared" si="0"/>
        <v>678</v>
      </c>
      <c r="K4" s="153">
        <f>'Athens Daily - Gas'!BH10</f>
        <v>119182.75200000122</v>
      </c>
      <c r="L4" s="123">
        <f>'Athens Daily - Gas'!BI10</f>
        <v>63139.199999997909</v>
      </c>
      <c r="M4" s="133">
        <f t="shared" ref="M4:M33" si="2">SUM(K4,L4)/38.61</f>
        <v>4722.1432789432565</v>
      </c>
      <c r="N4" s="162">
        <f>Occ!G11</f>
        <v>337</v>
      </c>
      <c r="O4" s="105">
        <f>Occ!H11</f>
        <v>791</v>
      </c>
      <c r="P4" s="161">
        <v>918</v>
      </c>
      <c r="Q4" s="170"/>
    </row>
    <row r="5" spans="1:17" ht="15.75">
      <c r="A5" s="7" t="s">
        <v>14</v>
      </c>
      <c r="B5" s="7">
        <v>3</v>
      </c>
      <c r="C5" s="7">
        <v>5</v>
      </c>
      <c r="D5" s="122">
        <v>2021</v>
      </c>
      <c r="E5" s="153">
        <f>'Athens Daily - EL'!AK10</f>
        <v>39408</v>
      </c>
      <c r="F5" s="155">
        <f>'Athens Daily - EL'!AL10</f>
        <v>7739</v>
      </c>
      <c r="G5" s="133">
        <f t="shared" si="1"/>
        <v>47147</v>
      </c>
      <c r="H5" s="153">
        <f>'Athens Daily - Water'!R9</f>
        <v>414</v>
      </c>
      <c r="I5" s="123">
        <f>'Athens Daily - Water'!S9</f>
        <v>150.05000000000001</v>
      </c>
      <c r="J5" s="129">
        <f t="shared" si="0"/>
        <v>564.04999999999995</v>
      </c>
      <c r="K5" s="153">
        <f>'Athens Daily - Gas'!BH11</f>
        <v>113134.7520000012</v>
      </c>
      <c r="L5" s="123">
        <f>'Athens Daily - Gas'!BI11</f>
        <v>59107.199999997909</v>
      </c>
      <c r="M5" s="133">
        <f t="shared" si="2"/>
        <v>4461.0710178709951</v>
      </c>
      <c r="N5" s="162">
        <f>Occ!G12</f>
        <v>322</v>
      </c>
      <c r="O5" s="105">
        <f>Occ!H12</f>
        <v>756</v>
      </c>
      <c r="P5" s="161">
        <v>918</v>
      </c>
      <c r="Q5" s="170"/>
    </row>
    <row r="6" spans="1:17" ht="15.75">
      <c r="A6" s="7" t="s">
        <v>14</v>
      </c>
      <c r="B6" s="7">
        <v>4</v>
      </c>
      <c r="C6" s="7">
        <v>5</v>
      </c>
      <c r="D6" s="122">
        <v>2021</v>
      </c>
      <c r="E6" s="153">
        <f>'Athens Daily - EL'!AK11</f>
        <v>38440</v>
      </c>
      <c r="F6" s="155">
        <f>'Athens Daily - EL'!AL11</f>
        <v>8023</v>
      </c>
      <c r="G6" s="133">
        <f t="shared" si="1"/>
        <v>46463</v>
      </c>
      <c r="H6" s="153">
        <f>'Athens Daily - Water'!R10</f>
        <v>405</v>
      </c>
      <c r="I6" s="123">
        <f>'Athens Daily - Water'!S10</f>
        <v>298.25</v>
      </c>
      <c r="J6" s="129">
        <f t="shared" si="0"/>
        <v>703.25</v>
      </c>
      <c r="K6" s="153">
        <f>'Athens Daily - Gas'!BH12</f>
        <v>108555.55199999773</v>
      </c>
      <c r="L6" s="123">
        <f>'Athens Daily - Gas'!BI12</f>
        <v>56054.400000004192</v>
      </c>
      <c r="M6" s="133">
        <f t="shared" si="2"/>
        <v>4263.4020202020702</v>
      </c>
      <c r="N6" s="162">
        <f>Occ!G13</f>
        <v>320</v>
      </c>
      <c r="O6" s="105">
        <f>Occ!H13</f>
        <v>747</v>
      </c>
      <c r="P6" s="161">
        <v>918</v>
      </c>
      <c r="Q6" s="170"/>
    </row>
    <row r="7" spans="1:17" ht="15.75">
      <c r="A7" s="7" t="s">
        <v>14</v>
      </c>
      <c r="B7" s="7">
        <v>5</v>
      </c>
      <c r="C7" s="7">
        <v>5</v>
      </c>
      <c r="D7" s="122">
        <v>2021</v>
      </c>
      <c r="E7" s="153">
        <f>'Athens Daily - EL'!AK12</f>
        <v>40826</v>
      </c>
      <c r="F7" s="155">
        <f>'Athens Daily - EL'!AL12</f>
        <v>9279</v>
      </c>
      <c r="G7" s="133">
        <f t="shared" si="1"/>
        <v>50105</v>
      </c>
      <c r="H7" s="153">
        <f>'Athens Daily - Water'!R11</f>
        <v>359</v>
      </c>
      <c r="I7" s="123">
        <f>'Athens Daily - Water'!S11</f>
        <v>157.19999999999999</v>
      </c>
      <c r="J7" s="129">
        <f t="shared" si="0"/>
        <v>516.20000000000005</v>
      </c>
      <c r="K7" s="153">
        <f>'Athens Daily - Gas'!BH13</f>
        <v>104900.06399999955</v>
      </c>
      <c r="L7" s="123">
        <f>'Athens Daily - Gas'!BI13</f>
        <v>61104</v>
      </c>
      <c r="M7" s="133">
        <f t="shared" si="2"/>
        <v>4299.5095571095453</v>
      </c>
      <c r="N7" s="162">
        <f>Occ!G14</f>
        <v>315</v>
      </c>
      <c r="O7" s="105">
        <f>Occ!H14</f>
        <v>731</v>
      </c>
      <c r="P7" s="161">
        <v>918</v>
      </c>
      <c r="Q7" s="170"/>
    </row>
    <row r="8" spans="1:17" ht="15.75">
      <c r="A8" s="7" t="s">
        <v>14</v>
      </c>
      <c r="B8" s="7">
        <v>6</v>
      </c>
      <c r="C8" s="7">
        <v>5</v>
      </c>
      <c r="D8" s="122">
        <v>2021</v>
      </c>
      <c r="E8" s="153">
        <f>'Athens Daily - EL'!AK13</f>
        <v>40084</v>
      </c>
      <c r="F8" s="155">
        <f>'Athens Daily - EL'!AL13</f>
        <v>7873</v>
      </c>
      <c r="G8" s="133">
        <f t="shared" si="1"/>
        <v>47957</v>
      </c>
      <c r="H8" s="153">
        <f>'Athens Daily - Water'!R12</f>
        <v>387</v>
      </c>
      <c r="I8" s="123">
        <f>'Athens Daily - Water'!S12</f>
        <v>140.19999999999999</v>
      </c>
      <c r="J8" s="129">
        <f t="shared" si="0"/>
        <v>527.20000000000005</v>
      </c>
      <c r="K8" s="153">
        <f>'Athens Daily - Gas'!BH14</f>
        <v>106200.62400000016</v>
      </c>
      <c r="L8" s="123">
        <f>'Athens Daily - Gas'!BI14</f>
        <v>60777.599999999999</v>
      </c>
      <c r="M8" s="133">
        <f t="shared" si="2"/>
        <v>4324.7403263403303</v>
      </c>
      <c r="N8" s="162">
        <f>Occ!G15</f>
        <v>317</v>
      </c>
      <c r="O8" s="105">
        <f>Occ!H15</f>
        <v>739</v>
      </c>
      <c r="P8" s="161">
        <v>918</v>
      </c>
      <c r="Q8" s="170"/>
    </row>
    <row r="9" spans="1:17" ht="15.75">
      <c r="A9" s="7" t="s">
        <v>14</v>
      </c>
      <c r="B9" s="7">
        <v>7</v>
      </c>
      <c r="C9" s="7">
        <v>5</v>
      </c>
      <c r="D9" s="122">
        <v>2021</v>
      </c>
      <c r="E9" s="153">
        <f>'Athens Daily - EL'!AK14</f>
        <v>39537</v>
      </c>
      <c r="F9" s="155">
        <f>'Athens Daily - EL'!AL14</f>
        <v>9281</v>
      </c>
      <c r="G9" s="133">
        <f t="shared" si="1"/>
        <v>48818</v>
      </c>
      <c r="H9" s="153">
        <f>'Athens Daily - Water'!R13</f>
        <v>353</v>
      </c>
      <c r="I9" s="123">
        <f>'Athens Daily - Water'!S13</f>
        <v>149.4</v>
      </c>
      <c r="J9" s="129">
        <f t="shared" si="0"/>
        <v>502.4</v>
      </c>
      <c r="K9" s="153">
        <f>'Athens Daily - Gas'!BH15</f>
        <v>103827.60000000014</v>
      </c>
      <c r="L9" s="123">
        <f>'Athens Daily - Gas'!BI15</f>
        <v>61276.800000000003</v>
      </c>
      <c r="M9" s="133">
        <f t="shared" si="2"/>
        <v>4276.2082362082401</v>
      </c>
      <c r="N9" s="162">
        <f>Occ!G16</f>
        <v>336</v>
      </c>
      <c r="O9" s="105">
        <f>Occ!H16</f>
        <v>797</v>
      </c>
      <c r="P9" s="161">
        <v>918</v>
      </c>
      <c r="Q9" s="170"/>
    </row>
    <row r="10" spans="1:17">
      <c r="A10" s="7" t="s">
        <v>14</v>
      </c>
      <c r="B10" s="7">
        <v>8</v>
      </c>
      <c r="C10" s="7">
        <v>5</v>
      </c>
      <c r="D10" s="122">
        <v>2021</v>
      </c>
      <c r="E10" s="153">
        <f>'Athens Daily - EL'!AK15</f>
        <v>43175</v>
      </c>
      <c r="F10" s="155">
        <f>'Athens Daily - EL'!AL15</f>
        <v>9085</v>
      </c>
      <c r="G10" s="133">
        <f t="shared" si="1"/>
        <v>52260</v>
      </c>
      <c r="H10" s="153">
        <f>'Athens Daily - Water'!R14</f>
        <v>399</v>
      </c>
      <c r="I10" s="123">
        <f>'Athens Daily - Water'!S14</f>
        <v>120.15</v>
      </c>
      <c r="J10" s="129">
        <f t="shared" si="0"/>
        <v>519.15</v>
      </c>
      <c r="K10" s="153">
        <f>'Athens Daily - Gas'!BH16</f>
        <v>104667.21600000019</v>
      </c>
      <c r="L10" s="123">
        <f>'Athens Daily - Gas'!BI16</f>
        <v>58723.200000000004</v>
      </c>
      <c r="M10" s="133">
        <f t="shared" si="2"/>
        <v>4231.8160062160114</v>
      </c>
      <c r="N10" s="162">
        <f>Occ!G17</f>
        <v>420</v>
      </c>
      <c r="O10" s="105">
        <f>Occ!H17</f>
        <v>1009</v>
      </c>
      <c r="P10" s="161">
        <v>918</v>
      </c>
      <c r="Q10" s="102"/>
    </row>
    <row r="11" spans="1:17">
      <c r="A11" s="7" t="s">
        <v>14</v>
      </c>
      <c r="B11" s="7">
        <v>9</v>
      </c>
      <c r="C11" s="7">
        <v>5</v>
      </c>
      <c r="D11" s="122">
        <v>2021</v>
      </c>
      <c r="E11" s="153">
        <f>'Athens Daily - EL'!AK16</f>
        <v>40956</v>
      </c>
      <c r="F11" s="155">
        <f>'Athens Daily - EL'!AL16</f>
        <v>9466</v>
      </c>
      <c r="G11" s="133">
        <f t="shared" si="1"/>
        <v>50422</v>
      </c>
      <c r="H11" s="153">
        <f>'Athens Daily - Water'!R15</f>
        <v>499</v>
      </c>
      <c r="I11" s="123">
        <f>'Athens Daily - Water'!S15</f>
        <v>157.4</v>
      </c>
      <c r="J11" s="129">
        <f t="shared" si="0"/>
        <v>656.4</v>
      </c>
      <c r="K11" s="153">
        <f>'Athens Daily - Gas'!BH17</f>
        <v>110731.53600000002</v>
      </c>
      <c r="L11" s="123">
        <f>'Athens Daily - Gas'!BI17</f>
        <v>60667.200000000004</v>
      </c>
      <c r="M11" s="133">
        <f t="shared" si="2"/>
        <v>4439.2317016317029</v>
      </c>
      <c r="N11" s="162">
        <f>Occ!G18</f>
        <v>330</v>
      </c>
      <c r="O11" s="105">
        <f>Occ!H18</f>
        <v>772</v>
      </c>
      <c r="P11" s="161">
        <v>918</v>
      </c>
      <c r="Q11" s="102"/>
    </row>
    <row r="12" spans="1:17" ht="15.75">
      <c r="A12" s="7" t="s">
        <v>14</v>
      </c>
      <c r="B12" s="7">
        <v>10</v>
      </c>
      <c r="C12" s="7">
        <v>5</v>
      </c>
      <c r="D12" s="122">
        <v>2021</v>
      </c>
      <c r="E12" s="153">
        <f>'Athens Daily - EL'!AK17</f>
        <v>42589</v>
      </c>
      <c r="F12" s="155">
        <f>'Athens Daily - EL'!AL17</f>
        <v>11750</v>
      </c>
      <c r="G12" s="133">
        <f t="shared" si="1"/>
        <v>54339</v>
      </c>
      <c r="H12" s="153">
        <f>'Athens Daily - Water'!R16</f>
        <v>389</v>
      </c>
      <c r="I12" s="123">
        <f>'Athens Daily - Water'!S16</f>
        <v>145.15</v>
      </c>
      <c r="J12" s="129">
        <f t="shared" si="0"/>
        <v>534.15</v>
      </c>
      <c r="K12" s="153">
        <f>'Athens Daily - Gas'!BH18</f>
        <v>107238.23999999993</v>
      </c>
      <c r="L12" s="123">
        <f>'Athens Daily - Gas'!BI18</f>
        <v>60667.200000000004</v>
      </c>
      <c r="M12" s="133">
        <f t="shared" si="2"/>
        <v>4348.7552447552434</v>
      </c>
      <c r="N12" s="162">
        <f>Occ!G19</f>
        <v>341</v>
      </c>
      <c r="O12" s="105">
        <f>Occ!H19</f>
        <v>789</v>
      </c>
      <c r="P12" s="161">
        <v>918</v>
      </c>
      <c r="Q12" s="170"/>
    </row>
    <row r="13" spans="1:17" ht="15.75">
      <c r="A13" s="7" t="s">
        <v>14</v>
      </c>
      <c r="B13" s="7">
        <v>11</v>
      </c>
      <c r="C13" s="7">
        <v>5</v>
      </c>
      <c r="D13" s="122">
        <v>2021</v>
      </c>
      <c r="E13" s="153">
        <f>'Athens Daily - EL'!AK18</f>
        <v>41586.5</v>
      </c>
      <c r="F13" s="155">
        <f>'Athens Daily - EL'!AL18</f>
        <v>11124.5</v>
      </c>
      <c r="G13" s="133">
        <f t="shared" si="1"/>
        <v>52711</v>
      </c>
      <c r="H13" s="153">
        <f>'Athens Daily - Water'!R17</f>
        <v>397</v>
      </c>
      <c r="I13" s="123">
        <f>'Athens Daily - Water'!S17</f>
        <v>143.4</v>
      </c>
      <c r="J13" s="129">
        <f t="shared" si="0"/>
        <v>540.4</v>
      </c>
      <c r="K13" s="153">
        <f>'Athens Daily - Gas'!BH19</f>
        <v>100569.74400000012</v>
      </c>
      <c r="L13" s="123">
        <f>'Athens Daily - Gas'!BI19</f>
        <v>58963.200000000004</v>
      </c>
      <c r="M13" s="133">
        <f t="shared" si="2"/>
        <v>4131.9073815073853</v>
      </c>
      <c r="N13" s="162">
        <f>Occ!G20</f>
        <v>331</v>
      </c>
      <c r="O13" s="105">
        <f>Occ!H20</f>
        <v>763</v>
      </c>
      <c r="P13" s="161">
        <v>918</v>
      </c>
      <c r="Q13" s="170"/>
    </row>
    <row r="14" spans="1:17" ht="15.75">
      <c r="A14" s="7" t="s">
        <v>14</v>
      </c>
      <c r="B14" s="7">
        <v>12</v>
      </c>
      <c r="C14" s="7">
        <v>5</v>
      </c>
      <c r="D14" s="122">
        <v>2021</v>
      </c>
      <c r="E14" s="153">
        <f>'Athens Daily - EL'!AK19</f>
        <v>46005.5</v>
      </c>
      <c r="F14" s="155">
        <f>'Athens Daily - EL'!AL19</f>
        <v>13529.5</v>
      </c>
      <c r="G14" s="133">
        <f t="shared" si="1"/>
        <v>59535</v>
      </c>
      <c r="H14" s="153">
        <f>'Athens Daily - Water'!R18</f>
        <v>406</v>
      </c>
      <c r="I14" s="123">
        <f>'Athens Daily - Water'!S18</f>
        <v>173.9</v>
      </c>
      <c r="J14" s="129">
        <f t="shared" si="0"/>
        <v>579.9</v>
      </c>
      <c r="K14" s="153">
        <f>'Athens Daily - Gas'!BH20</f>
        <v>102216.95999999977</v>
      </c>
      <c r="L14" s="123">
        <f>'Athens Daily - Gas'!BI20</f>
        <v>58540.800000000003</v>
      </c>
      <c r="M14" s="133">
        <f t="shared" si="2"/>
        <v>4163.6301476301423</v>
      </c>
      <c r="N14" s="162">
        <f>Occ!G21</f>
        <v>351</v>
      </c>
      <c r="O14" s="105">
        <f>Occ!H21</f>
        <v>808</v>
      </c>
      <c r="P14" s="161">
        <v>918</v>
      </c>
      <c r="Q14" s="170"/>
    </row>
    <row r="15" spans="1:17">
      <c r="A15" s="7" t="s">
        <v>14</v>
      </c>
      <c r="B15" s="7">
        <v>13</v>
      </c>
      <c r="C15" s="7">
        <v>5</v>
      </c>
      <c r="D15" s="122">
        <v>2021</v>
      </c>
      <c r="E15" s="153">
        <f>'Athens Daily - EL'!AK20</f>
        <v>48126.5</v>
      </c>
      <c r="F15" s="171">
        <f>'Athens Daily - EL'!AL20</f>
        <v>16432.5</v>
      </c>
      <c r="G15" s="133">
        <f t="shared" si="1"/>
        <v>64559</v>
      </c>
      <c r="H15" s="153">
        <f>'Athens Daily - Water'!R19</f>
        <v>392</v>
      </c>
      <c r="I15" s="123">
        <f>'Athens Daily - Water'!S19</f>
        <v>140.69999999999999</v>
      </c>
      <c r="J15" s="129">
        <f t="shared" si="0"/>
        <v>532.70000000000005</v>
      </c>
      <c r="K15" s="153">
        <f>'Athens Daily - Gas'!BH21</f>
        <v>97289.280000000028</v>
      </c>
      <c r="L15" s="123">
        <f>'Athens Daily - Gas'!BI21</f>
        <v>56640</v>
      </c>
      <c r="M15" s="133">
        <f t="shared" si="2"/>
        <v>3986.7723387723395</v>
      </c>
      <c r="N15" s="162">
        <f>Occ!G22</f>
        <v>382</v>
      </c>
      <c r="O15" s="105">
        <f>Occ!H22</f>
        <v>873</v>
      </c>
      <c r="P15" s="161">
        <v>918</v>
      </c>
      <c r="Q15" s="167"/>
    </row>
    <row r="16" spans="1:17">
      <c r="A16" s="7" t="s">
        <v>14</v>
      </c>
      <c r="B16" s="7">
        <v>14</v>
      </c>
      <c r="C16" s="7">
        <v>5</v>
      </c>
      <c r="D16" s="122">
        <v>2021</v>
      </c>
      <c r="E16" s="153">
        <f>'Athens Daily - EL'!AK21</f>
        <v>43546.5</v>
      </c>
      <c r="F16" s="155">
        <f>'Athens Daily - EL'!AL21</f>
        <v>11136.5</v>
      </c>
      <c r="G16" s="133">
        <f t="shared" si="1"/>
        <v>54683</v>
      </c>
      <c r="H16" s="153">
        <f>'Athens Daily - Water'!R20</f>
        <v>441</v>
      </c>
      <c r="I16" s="123">
        <f>'Athens Daily - Water'!S20</f>
        <v>138.35000000000002</v>
      </c>
      <c r="J16" s="129">
        <f t="shared" si="0"/>
        <v>579.35</v>
      </c>
      <c r="K16" s="153">
        <f>'Athens Daily - Gas'!BH22</f>
        <v>105855.26399999982</v>
      </c>
      <c r="L16" s="123">
        <f>'Athens Daily - Gas'!BI22</f>
        <v>59049.600000000006</v>
      </c>
      <c r="M16" s="133">
        <f t="shared" si="2"/>
        <v>4271.0402486402445</v>
      </c>
      <c r="N16" s="162">
        <f>Occ!G23</f>
        <v>384</v>
      </c>
      <c r="O16" s="105">
        <f>Occ!H23</f>
        <v>894</v>
      </c>
      <c r="P16" s="161">
        <v>918</v>
      </c>
      <c r="Q16" s="167"/>
    </row>
    <row r="17" spans="1:17">
      <c r="A17" s="7" t="s">
        <v>14</v>
      </c>
      <c r="B17" s="7">
        <v>15</v>
      </c>
      <c r="C17" s="7">
        <v>5</v>
      </c>
      <c r="D17" s="122">
        <v>2021</v>
      </c>
      <c r="E17" s="153">
        <f>'Athens Daily - EL'!AK22</f>
        <v>46026.5</v>
      </c>
      <c r="F17" s="155">
        <f>'Athens Daily - EL'!AL22</f>
        <v>13500.5</v>
      </c>
      <c r="G17" s="133">
        <f t="shared" si="1"/>
        <v>59527</v>
      </c>
      <c r="H17" s="153">
        <f>'Athens Daily - Water'!R21</f>
        <v>525.15819999999985</v>
      </c>
      <c r="I17" s="123">
        <f>'Athens Daily - Water'!S21</f>
        <v>148.30000000000001</v>
      </c>
      <c r="J17" s="129">
        <f t="shared" si="0"/>
        <v>673.45819999999981</v>
      </c>
      <c r="K17" s="153">
        <f>'Athens Daily - Gas'!BH23</f>
        <v>107393.27999999974</v>
      </c>
      <c r="L17" s="123">
        <f>'Athens Daily - Gas'!BI23</f>
        <v>61315.200000000004</v>
      </c>
      <c r="M17" s="133">
        <f t="shared" si="2"/>
        <v>4369.5540015539955</v>
      </c>
      <c r="N17" s="162">
        <f>Occ!G24</f>
        <v>427</v>
      </c>
      <c r="O17" s="105">
        <f>Occ!H24</f>
        <v>1013</v>
      </c>
      <c r="P17" s="161">
        <v>918</v>
      </c>
      <c r="Q17" s="167"/>
    </row>
    <row r="18" spans="1:17">
      <c r="A18" s="7" t="s">
        <v>14</v>
      </c>
      <c r="B18" s="7">
        <v>16</v>
      </c>
      <c r="C18" s="7">
        <v>5</v>
      </c>
      <c r="D18" s="122">
        <v>2021</v>
      </c>
      <c r="E18" s="153">
        <f>'Athens Daily - EL'!AK23</f>
        <v>46171.5</v>
      </c>
      <c r="F18" s="155">
        <f>'Athens Daily - EL'!AL23</f>
        <v>13817.5</v>
      </c>
      <c r="G18" s="133">
        <f t="shared" si="1"/>
        <v>59989</v>
      </c>
      <c r="H18" s="153">
        <f>'Athens Daily - Water'!R22</f>
        <v>526.5</v>
      </c>
      <c r="I18" s="123">
        <f>'Athens Daily - Water'!S22</f>
        <v>148.75</v>
      </c>
      <c r="J18" s="129">
        <f t="shared" si="0"/>
        <v>675.25</v>
      </c>
      <c r="K18" s="153">
        <f>'Athens Daily - Gas'!BH24</f>
        <v>114782.01600000034</v>
      </c>
      <c r="L18" s="123">
        <f>'Athens Daily - Gas'!BI24</f>
        <v>62956.800000000003</v>
      </c>
      <c r="M18" s="133">
        <f t="shared" si="2"/>
        <v>4603.4399378399467</v>
      </c>
      <c r="N18" s="162">
        <f>Occ!G25</f>
        <v>404</v>
      </c>
      <c r="O18" s="105">
        <f>Occ!H25</f>
        <v>925</v>
      </c>
      <c r="P18" s="161">
        <v>918</v>
      </c>
      <c r="Q18" s="166"/>
    </row>
    <row r="19" spans="1:17">
      <c r="A19" s="7" t="s">
        <v>14</v>
      </c>
      <c r="B19" s="7">
        <v>17</v>
      </c>
      <c r="C19" s="7">
        <v>5</v>
      </c>
      <c r="D19" s="122">
        <v>2021</v>
      </c>
      <c r="E19" s="153">
        <f>'Athens Daily - EL'!AK24</f>
        <v>47646.5</v>
      </c>
      <c r="F19" s="155">
        <f>'Athens Daily - EL'!AL24</f>
        <v>15238.5</v>
      </c>
      <c r="G19" s="133">
        <f t="shared" si="1"/>
        <v>62885</v>
      </c>
      <c r="H19" s="153">
        <f>'Athens Daily - Water'!R23</f>
        <v>474.70849999999973</v>
      </c>
      <c r="I19" s="123">
        <f>'Athens Daily - Water'!S23</f>
        <v>150.69999999999999</v>
      </c>
      <c r="J19" s="129">
        <f t="shared" si="0"/>
        <v>625.40849999999978</v>
      </c>
      <c r="K19" s="153">
        <f>'Athens Daily - Gas'!BH25</f>
        <v>93566.01599999977</v>
      </c>
      <c r="L19" s="123">
        <f>'Athens Daily - Gas'!BI25</f>
        <v>51811.200000000004</v>
      </c>
      <c r="M19" s="133">
        <f t="shared" si="2"/>
        <v>3765.273659673654</v>
      </c>
      <c r="N19" s="162">
        <f>Occ!G26</f>
        <v>388</v>
      </c>
      <c r="O19" s="105">
        <f>Occ!H26</f>
        <v>885</v>
      </c>
      <c r="P19" s="161">
        <v>918</v>
      </c>
      <c r="Q19" s="166"/>
    </row>
    <row r="20" spans="1:17">
      <c r="A20" s="7" t="s">
        <v>14</v>
      </c>
      <c r="B20" s="7">
        <v>18</v>
      </c>
      <c r="C20" s="7">
        <v>5</v>
      </c>
      <c r="D20" s="122">
        <v>2021</v>
      </c>
      <c r="E20" s="153">
        <f>'Athens Daily - EL'!AK25</f>
        <v>47138.5</v>
      </c>
      <c r="F20" s="155">
        <f>'Athens Daily - EL'!AL25</f>
        <v>14969.5</v>
      </c>
      <c r="G20" s="133">
        <f t="shared" si="1"/>
        <v>62108</v>
      </c>
      <c r="H20" s="153">
        <f>'Athens Daily - Water'!R24</f>
        <v>453.36000000000058</v>
      </c>
      <c r="I20" s="123">
        <f>'Athens Daily - Water'!S24</f>
        <v>158.65</v>
      </c>
      <c r="J20" s="129">
        <f t="shared" si="0"/>
        <v>612.01000000000056</v>
      </c>
      <c r="K20" s="153">
        <f>'Athens Daily - Gas'!BH26</f>
        <v>123796.2720000002</v>
      </c>
      <c r="L20" s="123">
        <f>'Athens Daily - Gas'!BI26</f>
        <v>70809.600000000006</v>
      </c>
      <c r="M20" s="133">
        <f t="shared" si="2"/>
        <v>5040.2971250971304</v>
      </c>
      <c r="N20" s="162">
        <f>Occ!G27</f>
        <v>412</v>
      </c>
      <c r="O20" s="105">
        <f>Occ!H27</f>
        <v>973</v>
      </c>
      <c r="P20" s="161">
        <v>918</v>
      </c>
      <c r="Q20" s="166"/>
    </row>
    <row r="21" spans="1:17">
      <c r="A21" s="7" t="s">
        <v>14</v>
      </c>
      <c r="B21" s="7">
        <v>19</v>
      </c>
      <c r="C21" s="7">
        <v>5</v>
      </c>
      <c r="D21" s="122">
        <v>2021</v>
      </c>
      <c r="E21" s="153">
        <f>'Athens Daily - EL'!AK26</f>
        <v>43661</v>
      </c>
      <c r="F21" s="155">
        <f>'Athens Daily - EL'!AL26</f>
        <v>11118</v>
      </c>
      <c r="G21" s="133">
        <f t="shared" si="1"/>
        <v>54779</v>
      </c>
      <c r="H21" s="153">
        <f>'Athens Daily - Water'!R25</f>
        <v>436.27229999999963</v>
      </c>
      <c r="I21" s="123">
        <f>'Athens Daily - Water'!S25</f>
        <v>139.80000000000001</v>
      </c>
      <c r="J21" s="129">
        <f t="shared" si="0"/>
        <v>576.07229999999959</v>
      </c>
      <c r="K21" s="153">
        <f>'Athens Daily - Gas'!BH27</f>
        <v>108149.56800000001</v>
      </c>
      <c r="L21" s="175">
        <f>'Athens Daily - Gas'!BI27</f>
        <v>60796.800000000003</v>
      </c>
      <c r="M21" s="133">
        <f t="shared" si="2"/>
        <v>4375.7153069153073</v>
      </c>
      <c r="N21" s="162">
        <f>Occ!G28</f>
        <v>403</v>
      </c>
      <c r="O21" s="105">
        <f>Occ!H28</f>
        <v>910</v>
      </c>
      <c r="P21" s="161">
        <v>918</v>
      </c>
      <c r="Q21" s="166"/>
    </row>
    <row r="22" spans="1:17">
      <c r="A22" s="7" t="s">
        <v>14</v>
      </c>
      <c r="B22" s="7">
        <v>20</v>
      </c>
      <c r="C22" s="7">
        <v>5</v>
      </c>
      <c r="D22" s="122">
        <v>2021</v>
      </c>
      <c r="E22" s="153">
        <f>'Athens Daily - EL'!AK27</f>
        <v>43695.5</v>
      </c>
      <c r="F22" s="155">
        <f>'Athens Daily - EL'!AL27</f>
        <v>11890.5</v>
      </c>
      <c r="G22" s="133">
        <f t="shared" si="1"/>
        <v>55586</v>
      </c>
      <c r="H22" s="153">
        <f>'Athens Daily - Water'!R26</f>
        <v>537.26400000000012</v>
      </c>
      <c r="I22" s="123">
        <f>'Athens Daily - Water'!S26</f>
        <v>167.60000000000002</v>
      </c>
      <c r="J22" s="129">
        <f t="shared" si="0"/>
        <v>704.86400000000015</v>
      </c>
      <c r="K22" s="153">
        <f>'Athens Daily - Gas'!BH28</f>
        <v>109866.96000000005</v>
      </c>
      <c r="L22" s="123">
        <f>'Athens Daily - Gas'!BI28</f>
        <v>61353.600000000006</v>
      </c>
      <c r="M22" s="133">
        <f t="shared" si="2"/>
        <v>4434.6169386169404</v>
      </c>
      <c r="N22" s="162">
        <f>Occ!G29</f>
        <v>394</v>
      </c>
      <c r="O22" s="105">
        <f>Occ!H29</f>
        <v>898</v>
      </c>
      <c r="P22" s="161">
        <v>918</v>
      </c>
      <c r="Q22" s="167"/>
    </row>
    <row r="23" spans="1:17">
      <c r="A23" s="7" t="s">
        <v>14</v>
      </c>
      <c r="B23" s="7">
        <v>21</v>
      </c>
      <c r="C23" s="7">
        <v>5</v>
      </c>
      <c r="D23" s="122">
        <v>2021</v>
      </c>
      <c r="E23" s="153">
        <f>'Athens Daily - EL'!AK28</f>
        <v>46210.5</v>
      </c>
      <c r="F23" s="155">
        <f>'Athens Daily - EL'!AL28</f>
        <v>13604.5</v>
      </c>
      <c r="G23" s="133">
        <f t="shared" si="1"/>
        <v>59815</v>
      </c>
      <c r="H23" s="174">
        <f>'Athens Daily - Water'!R27</f>
        <v>432.42900000000009</v>
      </c>
      <c r="I23" s="175">
        <f>'Athens Daily - Water'!S27</f>
        <v>174.15</v>
      </c>
      <c r="J23" s="129">
        <f t="shared" si="0"/>
        <v>606.57900000000006</v>
      </c>
      <c r="K23" s="153">
        <f>'Athens Daily - Gas'!BH29</f>
        <v>106293.26400000024</v>
      </c>
      <c r="L23" s="123">
        <f>'Athens Daily - Gas'!BI29</f>
        <v>61228.800000000003</v>
      </c>
      <c r="M23" s="133">
        <f t="shared" si="2"/>
        <v>4338.8257964258028</v>
      </c>
      <c r="N23" s="162">
        <f>Occ!G30</f>
        <v>388</v>
      </c>
      <c r="O23" s="105">
        <f>Occ!H30</f>
        <v>906</v>
      </c>
      <c r="P23" s="161">
        <v>918</v>
      </c>
      <c r="Q23" s="167"/>
    </row>
    <row r="24" spans="1:17">
      <c r="A24" s="7" t="s">
        <v>14</v>
      </c>
      <c r="B24" s="7">
        <v>22</v>
      </c>
      <c r="C24" s="7">
        <v>5</v>
      </c>
      <c r="D24" s="122">
        <v>2021</v>
      </c>
      <c r="E24" s="153">
        <f>'Athens Daily - EL'!AK29</f>
        <v>44170</v>
      </c>
      <c r="F24" s="155">
        <f>'Athens Daily - EL'!AL29</f>
        <v>11254</v>
      </c>
      <c r="G24" s="133">
        <f t="shared" si="1"/>
        <v>55424</v>
      </c>
      <c r="H24" s="174">
        <f>'Athens Daily - Water'!R28</f>
        <v>463.19880000000012</v>
      </c>
      <c r="I24" s="175">
        <f>'Athens Daily - Water'!S28</f>
        <v>112.10000000000001</v>
      </c>
      <c r="J24" s="129">
        <f t="shared" si="0"/>
        <v>575.29880000000014</v>
      </c>
      <c r="K24" s="153">
        <f>'Athens Daily - Gas'!BH30</f>
        <v>106156.17600000891</v>
      </c>
      <c r="L24" s="123">
        <f>'Athens Daily - Gas'!BI30</f>
        <v>58368.000000007822</v>
      </c>
      <c r="M24" s="133">
        <f t="shared" si="2"/>
        <v>4261.1804195808536</v>
      </c>
      <c r="N24" s="162">
        <f>Occ!G31</f>
        <v>418</v>
      </c>
      <c r="O24" s="105">
        <f>Occ!H31</f>
        <v>967</v>
      </c>
      <c r="P24" s="161">
        <v>918</v>
      </c>
      <c r="Q24" s="167"/>
    </row>
    <row r="25" spans="1:17">
      <c r="A25" s="7" t="s">
        <v>14</v>
      </c>
      <c r="B25" s="7">
        <v>23</v>
      </c>
      <c r="C25" s="7">
        <v>5</v>
      </c>
      <c r="D25" s="122">
        <v>2021</v>
      </c>
      <c r="E25" s="153">
        <f>'Athens Daily - EL'!AK30</f>
        <v>44879.5</v>
      </c>
      <c r="F25" s="155">
        <f>'Athens Daily - EL'!AL30</f>
        <v>11635.5</v>
      </c>
      <c r="G25" s="133">
        <f t="shared" si="1"/>
        <v>56515</v>
      </c>
      <c r="H25" s="174">
        <f>'Athens Daily - Water'!R29</f>
        <v>598.23430000000008</v>
      </c>
      <c r="I25" s="175">
        <f>'Athens Daily - Water'!S29</f>
        <v>151.15</v>
      </c>
      <c r="J25" s="129">
        <f t="shared" si="0"/>
        <v>749.38430000000005</v>
      </c>
      <c r="K25" s="174">
        <f>'Athens Daily - Gas'!BH31</f>
        <v>106156.17600000891</v>
      </c>
      <c r="L25" s="123">
        <f>'Athens Daily - Gas'!BI31</f>
        <v>58368.000000007822</v>
      </c>
      <c r="M25" s="133">
        <f t="shared" si="2"/>
        <v>4261.1804195808536</v>
      </c>
      <c r="N25" s="162">
        <f>Occ!G32</f>
        <v>385</v>
      </c>
      <c r="O25" s="105">
        <f>Occ!H32</f>
        <v>876</v>
      </c>
      <c r="P25" s="161">
        <v>918</v>
      </c>
      <c r="Q25" s="167"/>
    </row>
    <row r="26" spans="1:17">
      <c r="A26" s="7" t="s">
        <v>14</v>
      </c>
      <c r="B26" s="7">
        <v>24</v>
      </c>
      <c r="C26" s="7">
        <v>5</v>
      </c>
      <c r="D26" s="122">
        <v>2021</v>
      </c>
      <c r="E26" s="153">
        <f>'Athens Daily - EL'!AK31</f>
        <v>44748.5</v>
      </c>
      <c r="F26" s="155">
        <f>'Athens Daily - EL'!AL31</f>
        <v>12385.5</v>
      </c>
      <c r="G26" s="133">
        <f t="shared" si="1"/>
        <v>57134</v>
      </c>
      <c r="H26" s="174">
        <f>'Athens Daily - Water'!R30</f>
        <v>465.8748999999998</v>
      </c>
      <c r="I26" s="175">
        <f>'Athens Daily - Water'!S30</f>
        <v>159.10000000000002</v>
      </c>
      <c r="J26" s="129">
        <f t="shared" si="0"/>
        <v>624.97489999999982</v>
      </c>
      <c r="K26" s="153">
        <f>'Athens Daily - Gas'!BH32</f>
        <v>106156.17599998209</v>
      </c>
      <c r="L26" s="123">
        <f>'Athens Daily - Gas'!BI32</f>
        <v>58367.999999984357</v>
      </c>
      <c r="M26" s="133">
        <f t="shared" si="2"/>
        <v>4261.1804195795503</v>
      </c>
      <c r="N26" s="162">
        <f>Occ!G33</f>
        <v>365</v>
      </c>
      <c r="O26" s="105">
        <f>Occ!H33</f>
        <v>823</v>
      </c>
      <c r="P26" s="161">
        <v>918</v>
      </c>
      <c r="Q26" s="167"/>
    </row>
    <row r="27" spans="1:17">
      <c r="A27" s="7" t="s">
        <v>14</v>
      </c>
      <c r="B27" s="7">
        <v>25</v>
      </c>
      <c r="C27" s="7">
        <v>5</v>
      </c>
      <c r="D27" s="122">
        <v>2021</v>
      </c>
      <c r="E27" s="153">
        <f>'Athens Daily - EL'!AK32</f>
        <v>42855.5</v>
      </c>
      <c r="F27" s="155">
        <f>'Athens Daily - EL'!AL32</f>
        <v>11328.5</v>
      </c>
      <c r="G27" s="133">
        <f t="shared" si="1"/>
        <v>54184</v>
      </c>
      <c r="H27" s="174">
        <f>'Athens Daily - Water'!R31</f>
        <v>403</v>
      </c>
      <c r="I27" s="175">
        <f>'Athens Daily - Water'!S31</f>
        <v>163.15</v>
      </c>
      <c r="J27" s="129">
        <f t="shared" si="0"/>
        <v>566.15</v>
      </c>
      <c r="K27" s="153">
        <f>'Athens Daily - Gas'!BH33</f>
        <v>105344.25599999944</v>
      </c>
      <c r="L27" s="123">
        <f>'Athens Daily - Gas'!BI33</f>
        <v>60921.600000000006</v>
      </c>
      <c r="M27" s="133">
        <f t="shared" si="2"/>
        <v>4306.2899766899627</v>
      </c>
      <c r="N27" s="162">
        <f>Occ!G34</f>
        <v>360</v>
      </c>
      <c r="O27" s="105">
        <f>Occ!H34</f>
        <v>817</v>
      </c>
      <c r="P27" s="161">
        <v>918</v>
      </c>
      <c r="Q27" s="165"/>
    </row>
    <row r="28" spans="1:17">
      <c r="A28" s="7" t="s">
        <v>14</v>
      </c>
      <c r="B28" s="7">
        <v>26</v>
      </c>
      <c r="C28" s="7">
        <v>5</v>
      </c>
      <c r="D28" s="122">
        <v>2021</v>
      </c>
      <c r="E28" s="153">
        <f>'Athens Daily - EL'!AK33</f>
        <v>41857</v>
      </c>
      <c r="F28" s="155">
        <f>'Athens Daily - EL'!AL33</f>
        <v>10116</v>
      </c>
      <c r="G28" s="133">
        <f t="shared" si="1"/>
        <v>51973</v>
      </c>
      <c r="H28" s="153">
        <f>'Athens Daily - Water'!R32</f>
        <v>449.5</v>
      </c>
      <c r="I28" s="123">
        <f>'Athens Daily - Water'!S32</f>
        <v>135.30000000000001</v>
      </c>
      <c r="J28" s="129">
        <f t="shared" si="0"/>
        <v>584.79999999999995</v>
      </c>
      <c r="K28" s="153">
        <f>'Athens Daily - Gas'!BH34</f>
        <v>102327.31200000001</v>
      </c>
      <c r="L28" s="123">
        <f>'Athens Daily - Gas'!BI34</f>
        <v>59337.600000000006</v>
      </c>
      <c r="M28" s="133">
        <f t="shared" si="2"/>
        <v>4187.1254079254086</v>
      </c>
      <c r="N28" s="162">
        <f>Occ!G35</f>
        <v>360</v>
      </c>
      <c r="O28" s="105">
        <f>Occ!H35</f>
        <v>814</v>
      </c>
      <c r="P28" s="161">
        <v>918</v>
      </c>
      <c r="Q28" s="165"/>
    </row>
    <row r="29" spans="1:17">
      <c r="A29" s="7" t="s">
        <v>14</v>
      </c>
      <c r="B29" s="7">
        <v>27</v>
      </c>
      <c r="C29" s="7">
        <v>5</v>
      </c>
      <c r="D29" s="122">
        <v>2021</v>
      </c>
      <c r="E29" s="153">
        <f>'Athens Daily - EL'!AK34</f>
        <v>43254.5</v>
      </c>
      <c r="F29" s="155">
        <f>'Athens Daily - EL'!AL34</f>
        <v>10608.5</v>
      </c>
      <c r="G29" s="133">
        <f t="shared" si="1"/>
        <v>53863</v>
      </c>
      <c r="H29" s="153">
        <f>'Athens Daily - Water'!R33</f>
        <v>423</v>
      </c>
      <c r="I29" s="123">
        <f>'Athens Daily - Water'!S33</f>
        <v>164.2</v>
      </c>
      <c r="J29" s="129">
        <f t="shared" si="0"/>
        <v>587.20000000000005</v>
      </c>
      <c r="K29" s="153">
        <f>'Athens Daily - Gas'!BH35</f>
        <v>100569.12000000026</v>
      </c>
      <c r="L29" s="123">
        <f>'Athens Daily - Gas'!BI35</f>
        <v>57446.400000000001</v>
      </c>
      <c r="M29" s="133">
        <f t="shared" si="2"/>
        <v>4092.6060606060673</v>
      </c>
      <c r="N29" s="162">
        <f>Occ!G36</f>
        <v>365</v>
      </c>
      <c r="O29" s="105">
        <f>Occ!H36</f>
        <v>823</v>
      </c>
      <c r="P29" s="161">
        <v>918</v>
      </c>
      <c r="Q29" s="165"/>
    </row>
    <row r="30" spans="1:17">
      <c r="A30" s="7" t="s">
        <v>14</v>
      </c>
      <c r="B30" s="7">
        <v>28</v>
      </c>
      <c r="C30" s="7">
        <v>5</v>
      </c>
      <c r="D30" s="122">
        <v>2021</v>
      </c>
      <c r="E30" s="153">
        <f>'Athens Daily - EL'!AK35</f>
        <v>43036.5</v>
      </c>
      <c r="F30" s="155">
        <f>'Athens Daily - EL'!AL35</f>
        <v>10760.5</v>
      </c>
      <c r="G30" s="133">
        <f t="shared" si="1"/>
        <v>53797</v>
      </c>
      <c r="H30" s="153">
        <f>'Athens Daily - Water'!R34</f>
        <v>470.22999999999956</v>
      </c>
      <c r="I30" s="123">
        <f>'Athens Daily - Water'!S34</f>
        <v>137.69999999999999</v>
      </c>
      <c r="J30" s="129">
        <f t="shared" si="0"/>
        <v>607.92999999999961</v>
      </c>
      <c r="K30" s="153">
        <f>'Athens Daily - Gas'!BH36</f>
        <v>105074.54399999985</v>
      </c>
      <c r="L30" s="123">
        <f>'Athens Daily - Gas'!BI36</f>
        <v>59241.600000000006</v>
      </c>
      <c r="M30" s="133">
        <f t="shared" si="2"/>
        <v>4255.7923853923821</v>
      </c>
      <c r="N30" s="162">
        <f>Occ!G37</f>
        <v>399</v>
      </c>
      <c r="O30" s="105">
        <f>Occ!H37</f>
        <v>908</v>
      </c>
      <c r="P30" s="161">
        <v>918</v>
      </c>
      <c r="Q30" s="165"/>
    </row>
    <row r="31" spans="1:17">
      <c r="A31" s="7" t="s">
        <v>14</v>
      </c>
      <c r="B31" s="7">
        <v>29</v>
      </c>
      <c r="C31" s="7">
        <v>5</v>
      </c>
      <c r="D31" s="122">
        <v>2021</v>
      </c>
      <c r="E31" s="153">
        <f>'Athens Daily - EL'!AK36</f>
        <v>43916.5</v>
      </c>
      <c r="F31" s="155">
        <f>'Athens Daily - EL'!AL36</f>
        <v>10766.5</v>
      </c>
      <c r="G31" s="133">
        <f t="shared" si="1"/>
        <v>54683</v>
      </c>
      <c r="H31" s="153">
        <f>'Athens Daily - Water'!R35</f>
        <v>467.27000000000044</v>
      </c>
      <c r="I31" s="123">
        <f>'Athens Daily - Water'!S35</f>
        <v>142.65</v>
      </c>
      <c r="J31" s="129">
        <f t="shared" si="0"/>
        <v>609.92000000000041</v>
      </c>
      <c r="K31" s="153">
        <f>'Athens Daily - Gas'!BH37</f>
        <v>104610.38400000049</v>
      </c>
      <c r="L31" s="123">
        <f>'Athens Daily - Gas'!BI37</f>
        <v>58003.200000000004</v>
      </c>
      <c r="M31" s="133">
        <f t="shared" si="2"/>
        <v>4211.6960372960502</v>
      </c>
      <c r="N31" s="162">
        <f>Occ!G38</f>
        <v>434</v>
      </c>
      <c r="O31" s="105">
        <f>Occ!H38</f>
        <v>1006</v>
      </c>
      <c r="P31" s="161">
        <v>918</v>
      </c>
      <c r="Q31" s="165"/>
    </row>
    <row r="32" spans="1:17">
      <c r="A32" s="7" t="s">
        <v>14</v>
      </c>
      <c r="B32" s="7">
        <v>30</v>
      </c>
      <c r="C32" s="7">
        <v>5</v>
      </c>
      <c r="D32" s="122">
        <v>2021</v>
      </c>
      <c r="E32" s="153">
        <f>'Athens Daily - EL'!AK37</f>
        <v>44402</v>
      </c>
      <c r="F32" s="155">
        <f>'Athens Daily - EL'!AL37</f>
        <v>10945</v>
      </c>
      <c r="G32" s="133">
        <f t="shared" si="1"/>
        <v>55347</v>
      </c>
      <c r="H32" s="153">
        <f>'Athens Daily - Water'!R36</f>
        <v>522</v>
      </c>
      <c r="I32" s="123">
        <f>'Athens Daily - Water'!S36</f>
        <v>142.60000000000002</v>
      </c>
      <c r="J32" s="129">
        <f t="shared" si="0"/>
        <v>664.6</v>
      </c>
      <c r="K32" s="153">
        <f>'Athens Daily - Gas'!BH38</f>
        <v>108707.71199999959</v>
      </c>
      <c r="L32" s="123">
        <f>'Athens Daily - Gas'!BI38</f>
        <v>59760</v>
      </c>
      <c r="M32" s="133">
        <f t="shared" si="2"/>
        <v>4363.3181041180933</v>
      </c>
      <c r="N32" s="162">
        <f>Occ!G39</f>
        <v>390</v>
      </c>
      <c r="O32" s="105">
        <f>Occ!H39</f>
        <v>877</v>
      </c>
      <c r="P32" s="161">
        <v>918</v>
      </c>
      <c r="Q32" s="165"/>
    </row>
    <row r="33" spans="1:17" ht="15.75" thickBot="1">
      <c r="A33" s="7" t="s">
        <v>14</v>
      </c>
      <c r="B33" s="7">
        <v>31</v>
      </c>
      <c r="C33" s="7">
        <v>5</v>
      </c>
      <c r="D33" s="122">
        <v>2021</v>
      </c>
      <c r="E33" s="154">
        <f>'Athens Daily - EL'!AK38</f>
        <v>48040</v>
      </c>
      <c r="F33" s="156">
        <f>'Athens Daily - EL'!AL38</f>
        <v>15435</v>
      </c>
      <c r="G33" s="134">
        <f t="shared" si="1"/>
        <v>63475</v>
      </c>
      <c r="H33" s="154">
        <f>'Athens Daily - Water'!R37</f>
        <v>454.94999999999982</v>
      </c>
      <c r="I33" s="127">
        <f>'Athens Daily - Water'!S37</f>
        <v>156.05000000000001</v>
      </c>
      <c r="J33" s="130">
        <f t="shared" si="0"/>
        <v>610.99999999999977</v>
      </c>
      <c r="K33" s="154">
        <f>'Athens Daily - Gas'!BH39</f>
        <v>107452.22399999987</v>
      </c>
      <c r="L33" s="127">
        <f>'Athens Daily - Gas'!BI39</f>
        <v>59683.200000000004</v>
      </c>
      <c r="M33" s="134">
        <f t="shared" si="2"/>
        <v>4328.8118104118075</v>
      </c>
      <c r="N33" s="169">
        <f>Occ!G40</f>
        <v>365</v>
      </c>
      <c r="O33" s="160">
        <f>Occ!H40</f>
        <v>817</v>
      </c>
      <c r="P33" s="159">
        <v>918</v>
      </c>
      <c r="Q33" s="165"/>
    </row>
    <row r="35" spans="1:17">
      <c r="M35" s="199">
        <f>SUM(M3:M33)</f>
        <v>134740.99269619273</v>
      </c>
      <c r="N35" s="198"/>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33"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403</v>
      </c>
      <c r="D7" s="136"/>
      <c r="E7" s="136"/>
      <c r="F7" s="136"/>
      <c r="G7" s="136"/>
      <c r="H7" s="136"/>
      <c r="I7" s="136"/>
      <c r="J7" s="135"/>
      <c r="K7" s="135"/>
      <c r="L7" s="135"/>
      <c r="M7" s="135"/>
      <c r="N7" s="135"/>
    </row>
    <row r="8" spans="1:14" ht="15.75" thickBot="1">
      <c r="A8" s="135"/>
      <c r="B8" s="135" t="s">
        <v>21</v>
      </c>
      <c r="C8" s="139"/>
      <c r="D8" s="139"/>
      <c r="E8" s="139"/>
      <c r="F8" s="139"/>
      <c r="G8" s="203" t="s">
        <v>22</v>
      </c>
      <c r="H8" s="204"/>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137</v>
      </c>
      <c r="D10" s="146">
        <v>349</v>
      </c>
      <c r="E10" s="145">
        <v>283</v>
      </c>
      <c r="F10" s="146">
        <v>674</v>
      </c>
      <c r="G10" s="168">
        <f>SUM(C10+E10)</f>
        <v>420</v>
      </c>
      <c r="H10" s="146">
        <f>D10+F10</f>
        <v>1023</v>
      </c>
      <c r="I10" s="143">
        <v>918</v>
      </c>
      <c r="J10" s="135"/>
      <c r="K10" s="135"/>
      <c r="L10" s="135"/>
      <c r="M10" s="135"/>
      <c r="N10" s="135"/>
    </row>
    <row r="11" spans="1:14">
      <c r="A11" s="135"/>
      <c r="B11" s="144" t="s">
        <v>29</v>
      </c>
      <c r="C11" s="145">
        <v>56</v>
      </c>
      <c r="D11" s="146">
        <v>121</v>
      </c>
      <c r="E11" s="145">
        <v>281</v>
      </c>
      <c r="F11" s="146">
        <v>670</v>
      </c>
      <c r="G11" s="168">
        <f t="shared" ref="G11:G40" si="0">SUM(C11+E11)</f>
        <v>337</v>
      </c>
      <c r="H11" s="146">
        <f t="shared" ref="H11:H14" si="1">D11+F11</f>
        <v>791</v>
      </c>
      <c r="I11" s="143">
        <v>918</v>
      </c>
      <c r="J11" s="135"/>
      <c r="K11" s="135"/>
      <c r="L11" s="135"/>
      <c r="M11" s="135"/>
      <c r="N11" s="135"/>
    </row>
    <row r="12" spans="1:14">
      <c r="A12" s="135"/>
      <c r="B12" s="144" t="s">
        <v>30</v>
      </c>
      <c r="C12" s="145">
        <v>43</v>
      </c>
      <c r="D12" s="146">
        <v>89</v>
      </c>
      <c r="E12" s="145">
        <v>279</v>
      </c>
      <c r="F12" s="146">
        <v>667</v>
      </c>
      <c r="G12" s="168">
        <f t="shared" si="0"/>
        <v>322</v>
      </c>
      <c r="H12" s="146">
        <f t="shared" si="1"/>
        <v>756</v>
      </c>
      <c r="I12" s="143">
        <v>918</v>
      </c>
      <c r="J12" s="135"/>
      <c r="K12" s="135"/>
      <c r="L12" s="135"/>
      <c r="M12" s="135"/>
      <c r="N12" s="135"/>
    </row>
    <row r="13" spans="1:14">
      <c r="A13" s="135"/>
      <c r="B13" s="144" t="s">
        <v>31</v>
      </c>
      <c r="C13" s="145">
        <v>41</v>
      </c>
      <c r="D13" s="146">
        <v>80</v>
      </c>
      <c r="E13" s="145">
        <v>279</v>
      </c>
      <c r="F13" s="146">
        <v>667</v>
      </c>
      <c r="G13" s="168">
        <f t="shared" si="0"/>
        <v>320</v>
      </c>
      <c r="H13" s="146">
        <f t="shared" si="1"/>
        <v>747</v>
      </c>
      <c r="I13" s="143">
        <v>918</v>
      </c>
      <c r="J13" s="135"/>
      <c r="K13" s="135"/>
      <c r="L13" s="135"/>
      <c r="M13" s="135"/>
      <c r="N13" s="135"/>
    </row>
    <row r="14" spans="1:14">
      <c r="A14" s="135"/>
      <c r="B14" s="144" t="s">
        <v>32</v>
      </c>
      <c r="C14" s="145">
        <v>35</v>
      </c>
      <c r="D14" s="146">
        <v>67</v>
      </c>
      <c r="E14" s="145">
        <v>280</v>
      </c>
      <c r="F14" s="146">
        <v>664</v>
      </c>
      <c r="G14" s="168">
        <f t="shared" si="0"/>
        <v>315</v>
      </c>
      <c r="H14" s="146">
        <f t="shared" si="1"/>
        <v>731</v>
      </c>
      <c r="I14" s="143">
        <v>918</v>
      </c>
      <c r="J14" s="135"/>
      <c r="K14" s="135"/>
      <c r="L14" s="135"/>
      <c r="M14" s="135"/>
      <c r="N14" s="135"/>
    </row>
    <row r="15" spans="1:14">
      <c r="A15" s="135"/>
      <c r="B15" s="144" t="s">
        <v>33</v>
      </c>
      <c r="C15" s="145">
        <v>38</v>
      </c>
      <c r="D15" s="146">
        <v>76</v>
      </c>
      <c r="E15" s="145">
        <v>279</v>
      </c>
      <c r="F15" s="146">
        <v>663</v>
      </c>
      <c r="G15" s="168">
        <f t="shared" si="0"/>
        <v>317</v>
      </c>
      <c r="H15" s="146">
        <f t="shared" ref="H15:H40" si="2">D15+F15</f>
        <v>739</v>
      </c>
      <c r="I15" s="143">
        <v>918</v>
      </c>
      <c r="J15" s="135"/>
      <c r="K15" s="135"/>
      <c r="L15" s="135"/>
      <c r="M15" s="135"/>
      <c r="N15" s="135"/>
    </row>
    <row r="16" spans="1:14">
      <c r="A16" s="135"/>
      <c r="B16" s="144" t="s">
        <v>34</v>
      </c>
      <c r="C16" s="145">
        <v>56</v>
      </c>
      <c r="D16" s="146">
        <v>131</v>
      </c>
      <c r="E16" s="145">
        <v>280</v>
      </c>
      <c r="F16" s="146">
        <v>666</v>
      </c>
      <c r="G16" s="168">
        <f t="shared" si="0"/>
        <v>336</v>
      </c>
      <c r="H16" s="146">
        <f t="shared" si="2"/>
        <v>797</v>
      </c>
      <c r="I16" s="143">
        <v>918</v>
      </c>
      <c r="J16" s="135"/>
      <c r="K16" s="135"/>
      <c r="L16" s="135"/>
      <c r="M16" s="135"/>
      <c r="N16" s="135"/>
    </row>
    <row r="17" spans="1:14">
      <c r="A17" s="135"/>
      <c r="B17" s="144" t="s">
        <v>35</v>
      </c>
      <c r="C17" s="145">
        <v>141</v>
      </c>
      <c r="D17" s="146">
        <v>347</v>
      </c>
      <c r="E17" s="145">
        <v>279</v>
      </c>
      <c r="F17" s="146">
        <v>662</v>
      </c>
      <c r="G17" s="168">
        <f t="shared" si="0"/>
        <v>420</v>
      </c>
      <c r="H17" s="146">
        <f t="shared" si="2"/>
        <v>1009</v>
      </c>
      <c r="I17" s="143">
        <v>918</v>
      </c>
      <c r="J17" s="135"/>
      <c r="K17" s="135"/>
      <c r="L17" s="135"/>
      <c r="M17" s="135"/>
      <c r="N17" s="135"/>
    </row>
    <row r="18" spans="1:14">
      <c r="A18" s="135"/>
      <c r="B18" s="144" t="s">
        <v>36</v>
      </c>
      <c r="C18" s="145">
        <v>50</v>
      </c>
      <c r="D18" s="146">
        <v>109</v>
      </c>
      <c r="E18" s="145">
        <v>280</v>
      </c>
      <c r="F18" s="146">
        <v>663</v>
      </c>
      <c r="G18" s="168">
        <f t="shared" si="0"/>
        <v>330</v>
      </c>
      <c r="H18" s="146">
        <f t="shared" si="2"/>
        <v>772</v>
      </c>
      <c r="I18" s="143">
        <v>918</v>
      </c>
      <c r="J18" s="135"/>
      <c r="K18" s="135"/>
      <c r="L18" s="135"/>
      <c r="M18" s="135"/>
      <c r="N18" s="135"/>
    </row>
    <row r="19" spans="1:14">
      <c r="A19" s="135"/>
      <c r="B19" s="144" t="s">
        <v>37</v>
      </c>
      <c r="C19" s="145">
        <v>61</v>
      </c>
      <c r="D19" s="146">
        <v>126</v>
      </c>
      <c r="E19" s="145">
        <v>280</v>
      </c>
      <c r="F19" s="146">
        <v>663</v>
      </c>
      <c r="G19" s="168">
        <f t="shared" si="0"/>
        <v>341</v>
      </c>
      <c r="H19" s="146">
        <f t="shared" si="2"/>
        <v>789</v>
      </c>
      <c r="I19" s="143">
        <v>918</v>
      </c>
      <c r="J19" s="135"/>
      <c r="K19" s="135"/>
      <c r="L19" s="135"/>
      <c r="M19" s="135"/>
      <c r="N19" s="135"/>
    </row>
    <row r="20" spans="1:14">
      <c r="A20" s="135"/>
      <c r="B20" s="144" t="s">
        <v>38</v>
      </c>
      <c r="C20" s="145">
        <v>52</v>
      </c>
      <c r="D20" s="146">
        <v>103</v>
      </c>
      <c r="E20" s="145">
        <v>279</v>
      </c>
      <c r="F20" s="146">
        <v>660</v>
      </c>
      <c r="G20" s="168">
        <f t="shared" si="0"/>
        <v>331</v>
      </c>
      <c r="H20" s="146">
        <f t="shared" si="2"/>
        <v>763</v>
      </c>
      <c r="I20" s="143">
        <v>918</v>
      </c>
      <c r="J20" s="135"/>
      <c r="K20" s="135"/>
      <c r="L20" s="135"/>
      <c r="M20" s="135"/>
      <c r="N20" s="135"/>
    </row>
    <row r="21" spans="1:14">
      <c r="A21" s="135"/>
      <c r="B21" s="144" t="s">
        <v>39</v>
      </c>
      <c r="C21" s="145">
        <v>73</v>
      </c>
      <c r="D21" s="146">
        <v>149</v>
      </c>
      <c r="E21" s="168">
        <v>278</v>
      </c>
      <c r="F21" s="146">
        <v>659</v>
      </c>
      <c r="G21" s="168">
        <f t="shared" ref="G21:G34" si="3">SUM(C21+E21)</f>
        <v>351</v>
      </c>
      <c r="H21" s="146">
        <f t="shared" ref="H21:H34" si="4">D21+F21</f>
        <v>808</v>
      </c>
      <c r="I21" s="143">
        <v>918</v>
      </c>
      <c r="J21" s="135"/>
      <c r="K21" s="135"/>
      <c r="L21" s="135"/>
      <c r="M21" s="135"/>
      <c r="N21" s="135"/>
    </row>
    <row r="22" spans="1:14">
      <c r="A22" s="135"/>
      <c r="B22" s="144" t="s">
        <v>40</v>
      </c>
      <c r="C22" s="145">
        <v>102</v>
      </c>
      <c r="D22" s="146">
        <v>212</v>
      </c>
      <c r="E22" s="168">
        <v>280</v>
      </c>
      <c r="F22" s="146">
        <v>661</v>
      </c>
      <c r="G22" s="168">
        <f t="shared" si="3"/>
        <v>382</v>
      </c>
      <c r="H22" s="146">
        <f t="shared" si="4"/>
        <v>873</v>
      </c>
      <c r="I22" s="143">
        <v>918</v>
      </c>
      <c r="J22" s="135"/>
      <c r="K22" s="135"/>
      <c r="L22" s="135"/>
      <c r="M22" s="135"/>
      <c r="N22" s="135"/>
    </row>
    <row r="23" spans="1:14">
      <c r="A23" s="135"/>
      <c r="B23" s="144" t="s">
        <v>41</v>
      </c>
      <c r="C23" s="145">
        <v>106</v>
      </c>
      <c r="D23" s="146">
        <v>236</v>
      </c>
      <c r="E23" s="168">
        <v>278</v>
      </c>
      <c r="F23" s="146">
        <v>658</v>
      </c>
      <c r="G23" s="168">
        <f t="shared" si="3"/>
        <v>384</v>
      </c>
      <c r="H23" s="146">
        <f t="shared" si="4"/>
        <v>894</v>
      </c>
      <c r="I23" s="143">
        <v>918</v>
      </c>
      <c r="J23" s="135"/>
      <c r="K23" s="135"/>
      <c r="L23" s="135"/>
      <c r="M23" s="135"/>
      <c r="N23" s="135"/>
    </row>
    <row r="24" spans="1:14">
      <c r="A24" s="135"/>
      <c r="B24" s="144" t="s">
        <v>42</v>
      </c>
      <c r="C24" s="145">
        <v>150</v>
      </c>
      <c r="D24" s="146">
        <v>360</v>
      </c>
      <c r="E24" s="168">
        <v>277</v>
      </c>
      <c r="F24" s="146">
        <v>653</v>
      </c>
      <c r="G24" s="168">
        <f t="shared" si="3"/>
        <v>427</v>
      </c>
      <c r="H24" s="146">
        <f t="shared" si="4"/>
        <v>1013</v>
      </c>
      <c r="I24" s="143">
        <v>918</v>
      </c>
      <c r="J24" s="135"/>
      <c r="K24" s="135"/>
      <c r="L24" s="135"/>
      <c r="M24" s="135"/>
      <c r="N24" s="135"/>
    </row>
    <row r="25" spans="1:14">
      <c r="A25" s="135"/>
      <c r="B25" s="144" t="s">
        <v>43</v>
      </c>
      <c r="C25" s="145">
        <v>127</v>
      </c>
      <c r="D25" s="146">
        <v>274</v>
      </c>
      <c r="E25" s="168">
        <v>277</v>
      </c>
      <c r="F25" s="146">
        <v>651</v>
      </c>
      <c r="G25" s="168">
        <f t="shared" si="3"/>
        <v>404</v>
      </c>
      <c r="H25" s="146">
        <f t="shared" si="4"/>
        <v>925</v>
      </c>
      <c r="I25" s="143">
        <v>918</v>
      </c>
      <c r="J25" s="135"/>
      <c r="K25" s="135"/>
      <c r="L25" s="135"/>
      <c r="M25" s="135"/>
      <c r="N25" s="135"/>
    </row>
    <row r="26" spans="1:14">
      <c r="A26" s="135"/>
      <c r="B26" s="144" t="s">
        <v>44</v>
      </c>
      <c r="C26" s="145">
        <v>112</v>
      </c>
      <c r="D26" s="146">
        <v>236</v>
      </c>
      <c r="E26" s="168">
        <v>276</v>
      </c>
      <c r="F26" s="146">
        <v>649</v>
      </c>
      <c r="G26" s="168">
        <f t="shared" si="3"/>
        <v>388</v>
      </c>
      <c r="H26" s="146">
        <f t="shared" si="4"/>
        <v>885</v>
      </c>
      <c r="I26" s="143">
        <v>918</v>
      </c>
      <c r="J26" s="135"/>
      <c r="K26" s="135"/>
      <c r="L26" s="135"/>
      <c r="M26" s="135"/>
      <c r="N26" s="135"/>
    </row>
    <row r="27" spans="1:14">
      <c r="A27" s="135"/>
      <c r="B27" s="144" t="s">
        <v>45</v>
      </c>
      <c r="C27" s="145">
        <v>139</v>
      </c>
      <c r="D27" s="146">
        <v>328</v>
      </c>
      <c r="E27" s="168">
        <v>273</v>
      </c>
      <c r="F27" s="146">
        <v>645</v>
      </c>
      <c r="G27" s="168">
        <f t="shared" si="3"/>
        <v>412</v>
      </c>
      <c r="H27" s="146">
        <f t="shared" si="4"/>
        <v>973</v>
      </c>
      <c r="I27" s="143">
        <v>918</v>
      </c>
      <c r="J27" s="135"/>
      <c r="K27" s="135"/>
      <c r="L27" s="135"/>
      <c r="M27" s="135"/>
      <c r="N27" s="135"/>
    </row>
    <row r="28" spans="1:14">
      <c r="A28" s="135"/>
      <c r="B28" s="144" t="s">
        <v>46</v>
      </c>
      <c r="C28" s="145">
        <v>129</v>
      </c>
      <c r="D28" s="146">
        <v>264</v>
      </c>
      <c r="E28" s="168">
        <v>274</v>
      </c>
      <c r="F28" s="146">
        <v>646</v>
      </c>
      <c r="G28" s="168">
        <f t="shared" si="3"/>
        <v>403</v>
      </c>
      <c r="H28" s="146">
        <f t="shared" si="4"/>
        <v>910</v>
      </c>
      <c r="I28" s="143">
        <v>918</v>
      </c>
      <c r="J28" s="135"/>
      <c r="K28" s="135"/>
      <c r="L28" s="135"/>
      <c r="M28" s="135"/>
      <c r="N28" s="135"/>
    </row>
    <row r="29" spans="1:14">
      <c r="A29" s="135"/>
      <c r="B29" s="144" t="s">
        <v>47</v>
      </c>
      <c r="C29" s="145">
        <v>119</v>
      </c>
      <c r="D29" s="146">
        <v>251</v>
      </c>
      <c r="E29" s="168">
        <v>275</v>
      </c>
      <c r="F29" s="146">
        <v>647</v>
      </c>
      <c r="G29" s="168">
        <f t="shared" si="3"/>
        <v>394</v>
      </c>
      <c r="H29" s="146">
        <f t="shared" si="4"/>
        <v>898</v>
      </c>
      <c r="I29" s="143">
        <v>918</v>
      </c>
      <c r="J29" s="135"/>
      <c r="K29" s="135"/>
      <c r="L29" s="135"/>
      <c r="M29" s="135"/>
      <c r="N29" s="135"/>
    </row>
    <row r="30" spans="1:14">
      <c r="A30" s="135"/>
      <c r="B30" s="144" t="s">
        <v>48</v>
      </c>
      <c r="C30" s="145">
        <v>114</v>
      </c>
      <c r="D30" s="146">
        <v>264</v>
      </c>
      <c r="E30" s="168">
        <v>274</v>
      </c>
      <c r="F30" s="146">
        <v>642</v>
      </c>
      <c r="G30" s="168">
        <f t="shared" si="3"/>
        <v>388</v>
      </c>
      <c r="H30" s="146">
        <f t="shared" si="4"/>
        <v>906</v>
      </c>
      <c r="I30" s="143">
        <v>918</v>
      </c>
      <c r="J30" s="135"/>
      <c r="K30" s="135"/>
      <c r="L30" s="135"/>
      <c r="M30" s="135"/>
      <c r="N30" s="135"/>
    </row>
    <row r="31" spans="1:14">
      <c r="A31" s="135"/>
      <c r="B31" s="144" t="s">
        <v>49</v>
      </c>
      <c r="C31" s="145">
        <v>146</v>
      </c>
      <c r="D31" s="146">
        <v>332</v>
      </c>
      <c r="E31" s="168">
        <v>272</v>
      </c>
      <c r="F31" s="146">
        <v>635</v>
      </c>
      <c r="G31" s="168">
        <f t="shared" si="3"/>
        <v>418</v>
      </c>
      <c r="H31" s="146">
        <f t="shared" si="4"/>
        <v>967</v>
      </c>
      <c r="I31" s="143">
        <v>918</v>
      </c>
      <c r="J31" s="135"/>
      <c r="K31" s="135"/>
      <c r="L31" s="135"/>
      <c r="M31" s="135"/>
      <c r="N31" s="135"/>
    </row>
    <row r="32" spans="1:14">
      <c r="A32" s="135"/>
      <c r="B32" s="144" t="s">
        <v>50</v>
      </c>
      <c r="C32" s="145">
        <v>112</v>
      </c>
      <c r="D32" s="146">
        <v>238</v>
      </c>
      <c r="E32" s="168">
        <v>273</v>
      </c>
      <c r="F32" s="146">
        <v>638</v>
      </c>
      <c r="G32" s="168">
        <f t="shared" si="3"/>
        <v>385</v>
      </c>
      <c r="H32" s="146">
        <f t="shared" si="4"/>
        <v>876</v>
      </c>
      <c r="I32" s="143">
        <v>918</v>
      </c>
      <c r="J32" s="135"/>
      <c r="K32" s="135"/>
      <c r="L32" s="135"/>
      <c r="M32" s="135"/>
      <c r="N32" s="135"/>
    </row>
    <row r="33" spans="1:14">
      <c r="A33" s="135"/>
      <c r="B33" s="144" t="s">
        <v>51</v>
      </c>
      <c r="C33" s="145">
        <v>92</v>
      </c>
      <c r="D33" s="146">
        <v>185</v>
      </c>
      <c r="E33" s="168">
        <v>273</v>
      </c>
      <c r="F33" s="146">
        <v>638</v>
      </c>
      <c r="G33" s="168">
        <f t="shared" si="3"/>
        <v>365</v>
      </c>
      <c r="H33" s="146">
        <f t="shared" si="4"/>
        <v>823</v>
      </c>
      <c r="I33" s="143">
        <v>918</v>
      </c>
      <c r="J33" s="135"/>
      <c r="K33" s="135"/>
      <c r="L33" s="135"/>
      <c r="M33" s="135"/>
      <c r="N33" s="135"/>
    </row>
    <row r="34" spans="1:14">
      <c r="A34" s="135"/>
      <c r="B34" s="144" t="s">
        <v>52</v>
      </c>
      <c r="C34" s="145">
        <v>87</v>
      </c>
      <c r="D34" s="146">
        <v>179</v>
      </c>
      <c r="E34" s="168">
        <v>273</v>
      </c>
      <c r="F34" s="146">
        <v>638</v>
      </c>
      <c r="G34" s="168">
        <f t="shared" si="3"/>
        <v>360</v>
      </c>
      <c r="H34" s="146">
        <f t="shared" si="4"/>
        <v>817</v>
      </c>
      <c r="I34" s="143">
        <v>918</v>
      </c>
      <c r="J34" s="135"/>
      <c r="K34" s="135"/>
      <c r="L34" s="135"/>
      <c r="M34" s="135"/>
      <c r="N34" s="135"/>
    </row>
    <row r="35" spans="1:14">
      <c r="A35" s="135"/>
      <c r="B35" s="144" t="s">
        <v>53</v>
      </c>
      <c r="C35" s="145">
        <v>87</v>
      </c>
      <c r="D35" s="146">
        <v>177</v>
      </c>
      <c r="E35" s="145">
        <v>273</v>
      </c>
      <c r="F35" s="146">
        <v>637</v>
      </c>
      <c r="G35" s="168">
        <f t="shared" si="0"/>
        <v>360</v>
      </c>
      <c r="H35" s="146">
        <f t="shared" si="2"/>
        <v>814</v>
      </c>
      <c r="I35" s="143">
        <v>918</v>
      </c>
      <c r="J35" s="135"/>
      <c r="K35" s="135"/>
      <c r="L35" s="135"/>
      <c r="M35" s="135"/>
      <c r="N35" s="135"/>
    </row>
    <row r="36" spans="1:14">
      <c r="A36" s="135"/>
      <c r="B36" s="144" t="s">
        <v>54</v>
      </c>
      <c r="C36" s="145">
        <v>92</v>
      </c>
      <c r="D36" s="146">
        <v>184</v>
      </c>
      <c r="E36" s="145">
        <v>273</v>
      </c>
      <c r="F36" s="146">
        <v>639</v>
      </c>
      <c r="G36" s="168">
        <f t="shared" si="0"/>
        <v>365</v>
      </c>
      <c r="H36" s="146">
        <f t="shared" si="2"/>
        <v>823</v>
      </c>
      <c r="I36" s="143">
        <v>918</v>
      </c>
      <c r="J36" s="135"/>
      <c r="K36" s="135"/>
      <c r="L36" s="135"/>
      <c r="M36" s="135"/>
      <c r="N36" s="135"/>
    </row>
    <row r="37" spans="1:14">
      <c r="A37" s="135"/>
      <c r="B37" s="144" t="s">
        <v>55</v>
      </c>
      <c r="C37" s="145">
        <v>126</v>
      </c>
      <c r="D37" s="146">
        <v>271</v>
      </c>
      <c r="E37" s="145">
        <v>273</v>
      </c>
      <c r="F37" s="146">
        <v>637</v>
      </c>
      <c r="G37" s="168">
        <f t="shared" si="0"/>
        <v>399</v>
      </c>
      <c r="H37" s="146">
        <f t="shared" si="2"/>
        <v>908</v>
      </c>
      <c r="I37" s="143">
        <v>918</v>
      </c>
      <c r="J37" s="135"/>
      <c r="K37" s="135"/>
      <c r="L37" s="135"/>
      <c r="M37" s="135"/>
      <c r="N37" s="135"/>
    </row>
    <row r="38" spans="1:14" s="182" customFormat="1">
      <c r="A38" s="176"/>
      <c r="B38" s="177" t="s">
        <v>56</v>
      </c>
      <c r="C38" s="178">
        <v>161</v>
      </c>
      <c r="D38" s="179">
        <v>367</v>
      </c>
      <c r="E38" s="178">
        <v>273</v>
      </c>
      <c r="F38" s="179">
        <v>639</v>
      </c>
      <c r="G38" s="180">
        <f t="shared" si="0"/>
        <v>434</v>
      </c>
      <c r="H38" s="179">
        <f t="shared" si="2"/>
        <v>1006</v>
      </c>
      <c r="I38" s="181">
        <v>918</v>
      </c>
      <c r="J38" s="176"/>
      <c r="K38" s="176"/>
      <c r="L38" s="176"/>
      <c r="M38" s="176"/>
      <c r="N38" s="176"/>
    </row>
    <row r="39" spans="1:14" s="182" customFormat="1">
      <c r="A39" s="176"/>
      <c r="B39" s="177" t="s">
        <v>57</v>
      </c>
      <c r="C39" s="178">
        <v>121</v>
      </c>
      <c r="D39" s="179">
        <v>247</v>
      </c>
      <c r="E39" s="178">
        <v>269</v>
      </c>
      <c r="F39" s="179">
        <v>630</v>
      </c>
      <c r="G39" s="180">
        <f t="shared" si="0"/>
        <v>390</v>
      </c>
      <c r="H39" s="179">
        <f t="shared" si="2"/>
        <v>877</v>
      </c>
      <c r="I39" s="181">
        <v>918</v>
      </c>
      <c r="J39" s="176"/>
      <c r="K39" s="176"/>
      <c r="L39" s="176"/>
      <c r="M39" s="176"/>
      <c r="N39" s="176"/>
    </row>
    <row r="40" spans="1:14" s="182" customFormat="1" ht="15.75" thickBot="1">
      <c r="A40" s="176"/>
      <c r="B40" s="177" t="s">
        <v>58</v>
      </c>
      <c r="C40" s="183">
        <v>95</v>
      </c>
      <c r="D40" s="184">
        <v>186</v>
      </c>
      <c r="E40" s="183">
        <v>270</v>
      </c>
      <c r="F40" s="184">
        <v>631</v>
      </c>
      <c r="G40" s="185">
        <f t="shared" si="0"/>
        <v>365</v>
      </c>
      <c r="H40" s="184">
        <f t="shared" si="2"/>
        <v>817</v>
      </c>
      <c r="I40" s="181">
        <v>918</v>
      </c>
      <c r="J40" s="176"/>
      <c r="K40" s="176"/>
      <c r="L40" s="176"/>
      <c r="M40" s="176"/>
      <c r="N40" s="176"/>
    </row>
    <row r="41" spans="1:14">
      <c r="C41" s="3">
        <f>SUM(C10:C40)</f>
        <v>3000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127610.68799999985</v>
      </c>
      <c r="H2" s="105">
        <f>G2/38.3</f>
        <v>3331.871749347255</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105855.26399999982</v>
      </c>
      <c r="H15" s="105">
        <f t="shared" si="0"/>
        <v>2763.8450130548258</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107393.27999999974</v>
      </c>
      <c r="H16" s="105">
        <f t="shared" si="0"/>
        <v>2804.0020887728392</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106293.26400000024</v>
      </c>
      <c r="H22" s="105">
        <f t="shared" si="0"/>
        <v>2775.2810443864296</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44170</v>
      </c>
      <c r="F23" s="105"/>
      <c r="G23" s="105">
        <f>'Athens Daily - Gas'!BH30</f>
        <v>106156.17600000891</v>
      </c>
      <c r="H23" s="105">
        <f t="shared" si="0"/>
        <v>2771.7017232378307</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44879.5</v>
      </c>
      <c r="F24" s="105"/>
      <c r="G24" s="105">
        <f>'Athens Daily - Gas'!BH31</f>
        <v>106156.17600000891</v>
      </c>
      <c r="H24" s="105">
        <f t="shared" si="0"/>
        <v>2771.7017232378307</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44748.5</v>
      </c>
      <c r="F25" s="105"/>
      <c r="G25" s="105">
        <f>'Athens Daily - Gas'!BH32</f>
        <v>106156.17599998209</v>
      </c>
      <c r="H25" s="105">
        <f t="shared" si="0"/>
        <v>2771.7017232371304</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42855.5</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41857</v>
      </c>
      <c r="F27" s="105"/>
      <c r="G27" s="105">
        <f>'Athens Daily - Gas'!BH34</f>
        <v>102327.31200000001</v>
      </c>
      <c r="H27" s="105">
        <f t="shared" si="0"/>
        <v>2671.7313838120108</v>
      </c>
      <c r="I27" s="105"/>
      <c r="J27" s="105">
        <f>'Athens Daily - Water'!R32</f>
        <v>449.5</v>
      </c>
      <c r="K27" s="105"/>
      <c r="L27" s="105"/>
      <c r="M27" s="105">
        <f t="shared" si="1"/>
        <v>0</v>
      </c>
      <c r="N27" s="103"/>
    </row>
    <row r="28" spans="1:14">
      <c r="A28" s="7" t="s">
        <v>14</v>
      </c>
      <c r="B28" s="7">
        <v>27</v>
      </c>
      <c r="C28" s="7">
        <v>1</v>
      </c>
      <c r="D28" s="7">
        <v>2021</v>
      </c>
      <c r="E28" s="105">
        <f>'Athens Daily - EL'!AK34</f>
        <v>43254.5</v>
      </c>
      <c r="F28" s="105"/>
      <c r="G28" s="105">
        <f>'Athens Daily - Gas'!BH35</f>
        <v>100569.12000000026</v>
      </c>
      <c r="H28" s="105">
        <f t="shared" si="0"/>
        <v>2625.82558746737</v>
      </c>
      <c r="I28" s="105"/>
      <c r="J28" s="105">
        <f>'Athens Daily - Water'!R33</f>
        <v>423</v>
      </c>
      <c r="K28" s="105"/>
      <c r="L28" s="105"/>
      <c r="M28" s="105">
        <f t="shared" si="1"/>
        <v>0</v>
      </c>
      <c r="N28" s="103"/>
    </row>
    <row r="29" spans="1:14">
      <c r="A29" s="7" t="s">
        <v>14</v>
      </c>
      <c r="B29" s="7">
        <v>28</v>
      </c>
      <c r="C29" s="7">
        <v>1</v>
      </c>
      <c r="D29" s="7">
        <v>2021</v>
      </c>
      <c r="E29" s="105">
        <f>'Athens Daily - EL'!AK35</f>
        <v>43036.5</v>
      </c>
      <c r="F29" s="105"/>
      <c r="G29" s="105">
        <f>'Athens Daily - Gas'!BH36</f>
        <v>105074.54399999985</v>
      </c>
      <c r="H29" s="105">
        <f t="shared" si="0"/>
        <v>2743.460678851171</v>
      </c>
      <c r="I29" s="105"/>
      <c r="J29" s="105">
        <f>'Athens Daily - Water'!R34</f>
        <v>470.22999999999956</v>
      </c>
      <c r="K29" s="105"/>
      <c r="L29" s="105"/>
      <c r="M29" s="105">
        <f t="shared" si="1"/>
        <v>0</v>
      </c>
      <c r="N29" s="103"/>
    </row>
    <row r="30" spans="1:14">
      <c r="A30" s="7" t="s">
        <v>14</v>
      </c>
      <c r="B30" s="7">
        <v>29</v>
      </c>
      <c r="C30" s="7">
        <v>1</v>
      </c>
      <c r="D30" s="7">
        <v>2021</v>
      </c>
      <c r="E30" s="105">
        <f>'Athens Daily - EL'!AK36</f>
        <v>43916.5</v>
      </c>
      <c r="F30" s="105"/>
      <c r="G30" s="105">
        <f>'Athens Daily - Gas'!BH37</f>
        <v>104610.38400000049</v>
      </c>
      <c r="H30" s="105">
        <f t="shared" si="0"/>
        <v>2731.3416187989683</v>
      </c>
      <c r="I30" s="105"/>
      <c r="J30" s="105">
        <f>'Athens Daily - Water'!R35</f>
        <v>467.27000000000044</v>
      </c>
      <c r="K30" s="105"/>
      <c r="L30" s="105"/>
      <c r="M30" s="105">
        <f t="shared" si="1"/>
        <v>0</v>
      </c>
      <c r="N30" s="103"/>
    </row>
    <row r="31" spans="1:14">
      <c r="A31" s="7" t="s">
        <v>14</v>
      </c>
      <c r="B31" s="7">
        <v>30</v>
      </c>
      <c r="C31" s="7">
        <v>1</v>
      </c>
      <c r="D31" s="7">
        <v>2021</v>
      </c>
      <c r="E31" s="105">
        <f>'Athens Daily - EL'!AK37</f>
        <v>44402</v>
      </c>
      <c r="F31" s="105"/>
      <c r="G31" s="105">
        <f>'Athens Daily - Gas'!BH38</f>
        <v>108707.71199999959</v>
      </c>
      <c r="H31" s="105">
        <f t="shared" si="0"/>
        <v>2838.3214621409816</v>
      </c>
      <c r="I31" s="105"/>
      <c r="J31" s="105">
        <f>'Athens Daily - Water'!R37</f>
        <v>454.94999999999982</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11254</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11635.5</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12385.5</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11328.5</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10116</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10608.5</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10760.5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10766.5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10945</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15435</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Z7" activePane="bottomRight" state="frozen"/>
      <selection pane="topRight" activeCell="C2" sqref="C2"/>
      <selection pane="bottomLeft" activeCell="A7" sqref="A7"/>
      <selection pane="bottomRight" activeCell="AL47" sqref="AL4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21" t="s">
        <v>65</v>
      </c>
      <c r="D1" s="221"/>
      <c r="E1" s="221" t="s">
        <v>65</v>
      </c>
      <c r="F1" s="221"/>
      <c r="G1" s="221" t="s">
        <v>65</v>
      </c>
      <c r="H1" s="221"/>
      <c r="I1" s="113"/>
      <c r="J1" s="221" t="s">
        <v>65</v>
      </c>
      <c r="K1" s="221"/>
      <c r="L1" s="221" t="s">
        <v>65</v>
      </c>
      <c r="M1" s="221"/>
      <c r="N1" s="207" t="s">
        <v>66</v>
      </c>
      <c r="O1" s="208"/>
      <c r="P1" s="209"/>
      <c r="Q1" s="207" t="s">
        <v>66</v>
      </c>
      <c r="R1" s="208"/>
      <c r="S1" s="209"/>
      <c r="T1" s="207" t="s">
        <v>66</v>
      </c>
      <c r="U1" s="208"/>
      <c r="V1" s="209"/>
      <c r="W1" s="207" t="s">
        <v>66</v>
      </c>
      <c r="X1" s="208"/>
      <c r="Y1" s="209"/>
      <c r="Z1" s="221" t="s">
        <v>67</v>
      </c>
      <c r="AA1" s="221"/>
      <c r="AB1" s="221" t="s">
        <v>67</v>
      </c>
      <c r="AC1" s="221"/>
      <c r="AD1" s="221" t="s">
        <v>67</v>
      </c>
      <c r="AE1" s="221"/>
      <c r="AF1" s="221" t="s">
        <v>67</v>
      </c>
      <c r="AG1" s="221"/>
      <c r="AH1" s="221" t="s">
        <v>67</v>
      </c>
      <c r="AI1" s="221"/>
    </row>
    <row r="2" spans="1:38" s="3" customFormat="1" ht="113.25" customHeight="1">
      <c r="A2" s="13"/>
      <c r="B2" s="14"/>
      <c r="C2" s="220" t="s">
        <v>68</v>
      </c>
      <c r="D2" s="220"/>
      <c r="E2" s="220" t="s">
        <v>69</v>
      </c>
      <c r="F2" s="220"/>
      <c r="G2" s="210" t="s">
        <v>70</v>
      </c>
      <c r="H2" s="211"/>
      <c r="I2" s="212"/>
      <c r="J2" s="220" t="s">
        <v>71</v>
      </c>
      <c r="K2" s="220"/>
      <c r="L2" s="220" t="s">
        <v>72</v>
      </c>
      <c r="M2" s="220"/>
      <c r="N2" s="210" t="s">
        <v>73</v>
      </c>
      <c r="O2" s="211"/>
      <c r="P2" s="212"/>
      <c r="Q2" s="210" t="s">
        <v>74</v>
      </c>
      <c r="R2" s="211"/>
      <c r="S2" s="212"/>
      <c r="T2" s="210" t="s">
        <v>75</v>
      </c>
      <c r="U2" s="211"/>
      <c r="V2" s="212"/>
      <c r="W2" s="210" t="s">
        <v>76</v>
      </c>
      <c r="X2" s="211"/>
      <c r="Y2" s="212"/>
      <c r="Z2" s="220" t="s">
        <v>77</v>
      </c>
      <c r="AA2" s="220"/>
      <c r="AB2" s="220" t="s">
        <v>78</v>
      </c>
      <c r="AC2" s="220"/>
      <c r="AD2" s="220" t="s">
        <v>79</v>
      </c>
      <c r="AE2" s="220"/>
      <c r="AF2" s="220" t="s">
        <v>78</v>
      </c>
      <c r="AG2" s="220"/>
      <c r="AH2" s="220" t="s">
        <v>80</v>
      </c>
      <c r="AI2" s="220"/>
      <c r="AJ2" s="120"/>
      <c r="AK2" s="120"/>
      <c r="AL2" s="120"/>
    </row>
    <row r="3" spans="1:38" s="25" customFormat="1" ht="30" customHeight="1">
      <c r="A3" s="111"/>
      <c r="B3" s="50"/>
      <c r="C3" s="213">
        <v>5065546</v>
      </c>
      <c r="D3" s="215"/>
      <c r="E3" s="213">
        <v>5065547</v>
      </c>
      <c r="F3" s="215"/>
      <c r="G3" s="213">
        <v>5008272</v>
      </c>
      <c r="H3" s="214"/>
      <c r="I3" s="215"/>
      <c r="J3" s="213">
        <v>5065548</v>
      </c>
      <c r="K3" s="215"/>
      <c r="L3" s="213">
        <v>5465545</v>
      </c>
      <c r="M3" s="215"/>
      <c r="N3" s="213">
        <v>5008273</v>
      </c>
      <c r="O3" s="214"/>
      <c r="P3" s="215"/>
      <c r="Q3" s="213">
        <v>5018351</v>
      </c>
      <c r="R3" s="214"/>
      <c r="S3" s="215"/>
      <c r="T3" s="213">
        <v>5018354</v>
      </c>
      <c r="U3" s="214"/>
      <c r="V3" s="215"/>
      <c r="W3" s="213">
        <v>5018350</v>
      </c>
      <c r="X3" s="214"/>
      <c r="Y3" s="215"/>
      <c r="Z3" s="213">
        <v>5065543</v>
      </c>
      <c r="AA3" s="215"/>
      <c r="AB3" s="213">
        <v>5065544</v>
      </c>
      <c r="AC3" s="215"/>
      <c r="AD3" s="213">
        <v>5065541</v>
      </c>
      <c r="AE3" s="215"/>
      <c r="AF3" s="213">
        <v>5065542</v>
      </c>
      <c r="AG3" s="215"/>
      <c r="AH3" s="213">
        <v>5065540</v>
      </c>
      <c r="AI3" s="215"/>
      <c r="AK3" s="222" t="s">
        <v>81</v>
      </c>
      <c r="AL3" s="222"/>
    </row>
    <row r="4" spans="1:38" s="24" customFormat="1" ht="30" customHeight="1">
      <c r="A4" s="111"/>
      <c r="B4" s="117"/>
      <c r="C4" s="216" t="s">
        <v>82</v>
      </c>
      <c r="D4" s="218"/>
      <c r="E4" s="216" t="s">
        <v>83</v>
      </c>
      <c r="F4" s="218"/>
      <c r="G4" s="216" t="s">
        <v>84</v>
      </c>
      <c r="H4" s="217"/>
      <c r="I4" s="218"/>
      <c r="J4" s="216" t="s">
        <v>85</v>
      </c>
      <c r="K4" s="218"/>
      <c r="L4" s="216" t="s">
        <v>86</v>
      </c>
      <c r="M4" s="218"/>
      <c r="N4" s="216" t="s">
        <v>87</v>
      </c>
      <c r="O4" s="217"/>
      <c r="P4" s="218"/>
      <c r="Q4" s="216" t="s">
        <v>88</v>
      </c>
      <c r="R4" s="217"/>
      <c r="S4" s="218"/>
      <c r="T4" s="216" t="s">
        <v>89</v>
      </c>
      <c r="U4" s="217"/>
      <c r="V4" s="218"/>
      <c r="W4" s="216" t="s">
        <v>90</v>
      </c>
      <c r="X4" s="217"/>
      <c r="Y4" s="218"/>
      <c r="Z4" s="216" t="s">
        <v>91</v>
      </c>
      <c r="AA4" s="218"/>
      <c r="AB4" s="216" t="s">
        <v>92</v>
      </c>
      <c r="AC4" s="218"/>
      <c r="AD4" s="216" t="s">
        <v>93</v>
      </c>
      <c r="AE4" s="218"/>
      <c r="AF4" s="216" t="s">
        <v>94</v>
      </c>
      <c r="AG4" s="218"/>
      <c r="AH4" s="216" t="s">
        <v>95</v>
      </c>
      <c r="AI4" s="218"/>
      <c r="AK4" s="222"/>
      <c r="AL4" s="222"/>
    </row>
    <row r="5" spans="1:38" s="8" customFormat="1" ht="30" customHeight="1">
      <c r="A5" s="111" t="s">
        <v>96</v>
      </c>
      <c r="B5" s="51"/>
      <c r="C5" s="205" t="s">
        <v>97</v>
      </c>
      <c r="D5" s="206"/>
      <c r="E5" s="205" t="s">
        <v>97</v>
      </c>
      <c r="F5" s="206"/>
      <c r="G5" s="205" t="s">
        <v>97</v>
      </c>
      <c r="H5" s="219"/>
      <c r="I5" s="206"/>
      <c r="J5" s="51" t="s">
        <v>97</v>
      </c>
      <c r="K5" s="51"/>
      <c r="L5" s="205" t="s">
        <v>97</v>
      </c>
      <c r="M5" s="206"/>
      <c r="N5" s="205" t="s">
        <v>97</v>
      </c>
      <c r="O5" s="219"/>
      <c r="P5" s="206"/>
      <c r="Q5" s="205" t="s">
        <v>98</v>
      </c>
      <c r="R5" s="219"/>
      <c r="S5" s="206"/>
      <c r="T5" s="205" t="s">
        <v>98</v>
      </c>
      <c r="U5" s="219"/>
      <c r="V5" s="206"/>
      <c r="W5" s="205" t="s">
        <v>98</v>
      </c>
      <c r="X5" s="219"/>
      <c r="Y5" s="206"/>
      <c r="Z5" s="205" t="s">
        <v>97</v>
      </c>
      <c r="AA5" s="206"/>
      <c r="AB5" s="205" t="s">
        <v>97</v>
      </c>
      <c r="AC5" s="206"/>
      <c r="AD5" s="205" t="s">
        <v>97</v>
      </c>
      <c r="AE5" s="206"/>
      <c r="AF5" s="205" t="s">
        <v>97</v>
      </c>
      <c r="AG5" s="206"/>
      <c r="AH5" s="205" t="s">
        <v>97</v>
      </c>
      <c r="AI5" s="206"/>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9">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9">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49">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49">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49">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49">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49">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49">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49">
        <v>44324</v>
      </c>
      <c r="B15" s="16"/>
      <c r="C15" s="197">
        <v>107879</v>
      </c>
      <c r="D15" s="17">
        <f t="shared" si="2"/>
        <v>4050</v>
      </c>
      <c r="E15" s="197">
        <v>168603</v>
      </c>
      <c r="F15" s="17">
        <f t="shared" si="2"/>
        <v>7790</v>
      </c>
      <c r="G15" s="197">
        <v>961084</v>
      </c>
      <c r="H15" s="17">
        <f t="shared" ref="H15" si="70">(G15-G14)*10</f>
        <v>15580</v>
      </c>
      <c r="I15" s="17">
        <f t="shared" si="4"/>
        <v>7790</v>
      </c>
      <c r="J15" s="197">
        <v>150352</v>
      </c>
      <c r="K15" s="17">
        <f t="shared" ref="K15" si="71">(J15-J14)*10</f>
        <v>6390</v>
      </c>
      <c r="L15" s="197">
        <v>234490</v>
      </c>
      <c r="M15" s="17">
        <f t="shared" ref="M15" si="72">(L15-L14)*10</f>
        <v>9920</v>
      </c>
      <c r="N15" s="197">
        <v>863621</v>
      </c>
      <c r="O15" s="17">
        <f t="shared" si="0"/>
        <v>5740</v>
      </c>
      <c r="P15" s="17">
        <f t="shared" si="7"/>
        <v>2870</v>
      </c>
      <c r="Q15" s="197">
        <v>147683</v>
      </c>
      <c r="R15" s="17">
        <f t="shared" si="1"/>
        <v>8110</v>
      </c>
      <c r="S15" s="17">
        <f t="shared" si="8"/>
        <v>4055</v>
      </c>
      <c r="T15" s="197">
        <v>77974</v>
      </c>
      <c r="U15" s="17">
        <f t="shared" ref="U15" si="73">(T15-T14)*10</f>
        <v>30</v>
      </c>
      <c r="V15" s="17">
        <f t="shared" si="10"/>
        <v>15</v>
      </c>
      <c r="W15" s="197">
        <v>153513</v>
      </c>
      <c r="X15" s="17">
        <f t="shared" ref="X15" si="74">W15-W14</f>
        <v>590</v>
      </c>
      <c r="Y15" s="17">
        <f t="shared" si="12"/>
        <v>295</v>
      </c>
      <c r="Z15" s="197">
        <v>29403</v>
      </c>
      <c r="AA15" s="17">
        <f t="shared" ref="AA15" si="75">Z15-Z14</f>
        <v>96</v>
      </c>
      <c r="AB15" s="197">
        <v>59812</v>
      </c>
      <c r="AC15" s="17">
        <f t="shared" ref="AC15" si="76">AB15-AB14</f>
        <v>206</v>
      </c>
      <c r="AD15" s="197">
        <v>107223</v>
      </c>
      <c r="AE15" s="17">
        <f t="shared" ref="AE15" si="77">AD15-AD14</f>
        <v>363</v>
      </c>
      <c r="AF15" s="197">
        <v>58031</v>
      </c>
      <c r="AG15" s="17">
        <f t="shared" ref="AG15" si="78">AF15-AF14</f>
        <v>195</v>
      </c>
      <c r="AH15" s="197">
        <v>289353</v>
      </c>
      <c r="AI15" s="17">
        <f t="shared" ref="AI15" si="79">AH15-AH14</f>
        <v>990</v>
      </c>
      <c r="AK15" s="100">
        <f t="shared" si="18"/>
        <v>43175</v>
      </c>
      <c r="AL15" s="101">
        <f t="shared" si="19"/>
        <v>9085</v>
      </c>
    </row>
    <row r="16" spans="1:38" ht="39.950000000000003" customHeight="1">
      <c r="A16" s="149">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49">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49">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49">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49">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49">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49">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49">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49">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M38"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I38"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49">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49">
        <v>44335</v>
      </c>
      <c r="B26" s="16"/>
      <c r="C26" s="49">
        <v>112225</v>
      </c>
      <c r="D26" s="17">
        <f t="shared" ref="D26:D38" si="182">(C26-C25)*10</f>
        <v>4080</v>
      </c>
      <c r="E26" s="49">
        <v>176365</v>
      </c>
      <c r="F26" s="17">
        <f t="shared" ref="F26:F38"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49">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49">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49">
        <v>44338</v>
      </c>
      <c r="B29" s="16"/>
      <c r="C29" s="49">
        <v>113483</v>
      </c>
      <c r="D29" s="17">
        <f t="shared" si="182"/>
        <v>4340</v>
      </c>
      <c r="E29" s="49">
        <v>178456</v>
      </c>
      <c r="F29" s="17">
        <f t="shared" si="183"/>
        <v>7030</v>
      </c>
      <c r="G29" s="49">
        <v>981729</v>
      </c>
      <c r="H29" s="17">
        <f t="shared" si="170"/>
        <v>14940</v>
      </c>
      <c r="I29" s="17">
        <f t="shared" si="171"/>
        <v>7470</v>
      </c>
      <c r="J29" s="49">
        <v>158807</v>
      </c>
      <c r="K29" s="17">
        <f t="shared" si="161"/>
        <v>6260</v>
      </c>
      <c r="L29" s="49">
        <v>247623</v>
      </c>
      <c r="M29" s="17">
        <f t="shared" si="162"/>
        <v>9620</v>
      </c>
      <c r="N29" s="49">
        <v>871345</v>
      </c>
      <c r="O29" s="17">
        <f t="shared" si="172"/>
        <v>5180</v>
      </c>
      <c r="P29" s="17">
        <f t="shared" si="173"/>
        <v>2590</v>
      </c>
      <c r="Q29" s="49">
        <v>161349</v>
      </c>
      <c r="R29" s="17">
        <f t="shared" si="174"/>
        <v>9860</v>
      </c>
      <c r="S29" s="17">
        <f t="shared" si="175"/>
        <v>4930</v>
      </c>
      <c r="T29" s="49">
        <v>86808</v>
      </c>
      <c r="U29" s="17">
        <f t="shared" si="176"/>
        <v>2760</v>
      </c>
      <c r="V29" s="17">
        <f t="shared" si="177"/>
        <v>1380</v>
      </c>
      <c r="W29" s="49">
        <v>158983</v>
      </c>
      <c r="X29" s="17">
        <f t="shared" si="178"/>
        <v>1100</v>
      </c>
      <c r="Y29" s="17">
        <f t="shared" si="179"/>
        <v>550</v>
      </c>
      <c r="Z29" s="49">
        <v>30725</v>
      </c>
      <c r="AA29" s="17">
        <f t="shared" si="165"/>
        <v>103</v>
      </c>
      <c r="AB29" s="49">
        <v>62552</v>
      </c>
      <c r="AC29" s="17">
        <f t="shared" si="166"/>
        <v>190</v>
      </c>
      <c r="AD29" s="49">
        <v>112241</v>
      </c>
      <c r="AE29" s="17">
        <f t="shared" si="167"/>
        <v>347</v>
      </c>
      <c r="AF29" s="49">
        <v>60510</v>
      </c>
      <c r="AG29" s="17">
        <f t="shared" si="168"/>
        <v>175</v>
      </c>
      <c r="AH29" s="49">
        <v>302771</v>
      </c>
      <c r="AI29" s="17">
        <f t="shared" si="169"/>
        <v>989</v>
      </c>
      <c r="AK29" s="100">
        <f t="shared" si="180"/>
        <v>44170</v>
      </c>
      <c r="AL29" s="101">
        <f t="shared" si="181"/>
        <v>11254</v>
      </c>
    </row>
    <row r="30" spans="1:38" ht="39.950000000000003" customHeight="1">
      <c r="A30" s="149">
        <v>44339</v>
      </c>
      <c r="B30" s="16"/>
      <c r="C30" s="49">
        <v>113921</v>
      </c>
      <c r="D30" s="17">
        <f t="shared" si="182"/>
        <v>4380</v>
      </c>
      <c r="E30" s="49">
        <v>179179</v>
      </c>
      <c r="F30" s="17">
        <f t="shared" si="183"/>
        <v>7230</v>
      </c>
      <c r="G30" s="49">
        <v>983243</v>
      </c>
      <c r="H30" s="17">
        <f t="shared" si="170"/>
        <v>15140</v>
      </c>
      <c r="I30" s="17">
        <f t="shared" si="171"/>
        <v>7570</v>
      </c>
      <c r="J30" s="49">
        <v>159437</v>
      </c>
      <c r="K30" s="17">
        <f t="shared" si="161"/>
        <v>6300</v>
      </c>
      <c r="L30" s="49">
        <v>248580</v>
      </c>
      <c r="M30" s="17">
        <f t="shared" si="162"/>
        <v>9570</v>
      </c>
      <c r="N30" s="49">
        <v>871900</v>
      </c>
      <c r="O30" s="17">
        <f t="shared" si="172"/>
        <v>5550</v>
      </c>
      <c r="P30" s="17">
        <f t="shared" si="173"/>
        <v>2775</v>
      </c>
      <c r="Q30" s="49">
        <v>162311</v>
      </c>
      <c r="R30" s="17">
        <f t="shared" si="174"/>
        <v>9620</v>
      </c>
      <c r="S30" s="17">
        <f t="shared" si="175"/>
        <v>4810</v>
      </c>
      <c r="T30" s="49">
        <v>87148</v>
      </c>
      <c r="U30" s="17">
        <f t="shared" si="176"/>
        <v>3400</v>
      </c>
      <c r="V30" s="17">
        <f t="shared" si="177"/>
        <v>1700</v>
      </c>
      <c r="W30" s="49">
        <v>160072</v>
      </c>
      <c r="X30" s="17">
        <f t="shared" si="178"/>
        <v>1089</v>
      </c>
      <c r="Y30" s="17">
        <f t="shared" si="179"/>
        <v>544.5</v>
      </c>
      <c r="Z30" s="49">
        <v>30828</v>
      </c>
      <c r="AA30" s="17">
        <f t="shared" si="165"/>
        <v>103</v>
      </c>
      <c r="AB30" s="49">
        <v>62742</v>
      </c>
      <c r="AC30" s="17">
        <f t="shared" si="166"/>
        <v>190</v>
      </c>
      <c r="AD30" s="49">
        <v>112580</v>
      </c>
      <c r="AE30" s="17">
        <f t="shared" si="167"/>
        <v>339</v>
      </c>
      <c r="AF30" s="49">
        <v>60686</v>
      </c>
      <c r="AG30" s="17">
        <f t="shared" si="168"/>
        <v>176</v>
      </c>
      <c r="AH30" s="49">
        <v>303769</v>
      </c>
      <c r="AI30" s="17">
        <f t="shared" si="169"/>
        <v>998</v>
      </c>
      <c r="AK30" s="100">
        <f t="shared" si="180"/>
        <v>44879.5</v>
      </c>
      <c r="AL30" s="101">
        <f t="shared" si="181"/>
        <v>11635.5</v>
      </c>
    </row>
    <row r="31" spans="1:38" ht="39.950000000000003" customHeight="1">
      <c r="A31" s="149">
        <v>44340</v>
      </c>
      <c r="B31" s="16"/>
      <c r="C31" s="49">
        <v>114345</v>
      </c>
      <c r="D31" s="17">
        <f t="shared" si="182"/>
        <v>4240</v>
      </c>
      <c r="E31" s="49">
        <v>179877</v>
      </c>
      <c r="F31" s="17">
        <f t="shared" si="183"/>
        <v>6980</v>
      </c>
      <c r="G31" s="49">
        <v>984700</v>
      </c>
      <c r="H31" s="17">
        <f t="shared" si="170"/>
        <v>14570</v>
      </c>
      <c r="I31" s="17">
        <f t="shared" si="171"/>
        <v>7285</v>
      </c>
      <c r="J31" s="49">
        <v>160062</v>
      </c>
      <c r="K31" s="17">
        <f t="shared" si="161"/>
        <v>6250</v>
      </c>
      <c r="L31" s="49">
        <v>249527</v>
      </c>
      <c r="M31" s="17">
        <f t="shared" si="162"/>
        <v>9470</v>
      </c>
      <c r="N31" s="49">
        <v>872409</v>
      </c>
      <c r="O31" s="17">
        <f t="shared" si="172"/>
        <v>5090</v>
      </c>
      <c r="P31" s="17">
        <f t="shared" si="173"/>
        <v>2545</v>
      </c>
      <c r="Q31" s="49">
        <v>163274</v>
      </c>
      <c r="R31" s="17">
        <f t="shared" si="174"/>
        <v>9630</v>
      </c>
      <c r="S31" s="17">
        <f t="shared" si="175"/>
        <v>4815</v>
      </c>
      <c r="T31" s="49">
        <v>87682</v>
      </c>
      <c r="U31" s="17">
        <f t="shared" si="176"/>
        <v>5340</v>
      </c>
      <c r="V31" s="17">
        <f t="shared" si="177"/>
        <v>2670</v>
      </c>
      <c r="W31" s="49">
        <v>161059</v>
      </c>
      <c r="X31" s="17">
        <f t="shared" si="178"/>
        <v>987</v>
      </c>
      <c r="Y31" s="17">
        <f t="shared" si="179"/>
        <v>493.5</v>
      </c>
      <c r="Z31" s="49">
        <v>30930</v>
      </c>
      <c r="AA31" s="17">
        <f t="shared" si="165"/>
        <v>102</v>
      </c>
      <c r="AB31" s="49">
        <v>62946</v>
      </c>
      <c r="AC31" s="17">
        <f t="shared" si="166"/>
        <v>204</v>
      </c>
      <c r="AD31" s="49">
        <v>112938</v>
      </c>
      <c r="AE31" s="17">
        <f t="shared" si="167"/>
        <v>358</v>
      </c>
      <c r="AF31" s="49">
        <v>60868</v>
      </c>
      <c r="AG31" s="17">
        <f t="shared" si="168"/>
        <v>182</v>
      </c>
      <c r="AH31" s="49">
        <v>304785</v>
      </c>
      <c r="AI31" s="17">
        <f t="shared" si="169"/>
        <v>1016</v>
      </c>
      <c r="AK31" s="100">
        <f t="shared" si="180"/>
        <v>44748.5</v>
      </c>
      <c r="AL31" s="101">
        <f t="shared" si="181"/>
        <v>12385.5</v>
      </c>
    </row>
    <row r="32" spans="1:38" ht="39.950000000000003" customHeight="1">
      <c r="A32" s="149">
        <v>44341</v>
      </c>
      <c r="B32" s="16"/>
      <c r="C32" s="74">
        <v>114763</v>
      </c>
      <c r="D32" s="17">
        <f t="shared" si="182"/>
        <v>4180</v>
      </c>
      <c r="E32" s="74">
        <v>180554</v>
      </c>
      <c r="F32" s="17">
        <f t="shared" si="183"/>
        <v>6770</v>
      </c>
      <c r="G32" s="74">
        <v>986129</v>
      </c>
      <c r="H32" s="17">
        <f t="shared" si="170"/>
        <v>14290</v>
      </c>
      <c r="I32" s="17">
        <f t="shared" si="171"/>
        <v>7145</v>
      </c>
      <c r="J32" s="74">
        <v>160663</v>
      </c>
      <c r="K32" s="17">
        <f t="shared" si="161"/>
        <v>6010</v>
      </c>
      <c r="L32" s="74">
        <v>250453</v>
      </c>
      <c r="M32" s="17">
        <f t="shared" si="162"/>
        <v>9260</v>
      </c>
      <c r="N32" s="74">
        <v>872951</v>
      </c>
      <c r="O32" s="17">
        <f t="shared" si="172"/>
        <v>5420</v>
      </c>
      <c r="P32" s="17">
        <f t="shared" si="173"/>
        <v>2710</v>
      </c>
      <c r="Q32" s="74">
        <v>164223</v>
      </c>
      <c r="R32" s="17">
        <f t="shared" si="174"/>
        <v>9490</v>
      </c>
      <c r="S32" s="17">
        <f t="shared" si="175"/>
        <v>4745</v>
      </c>
      <c r="T32" s="74">
        <v>88025</v>
      </c>
      <c r="U32" s="17">
        <f t="shared" si="176"/>
        <v>3430</v>
      </c>
      <c r="V32" s="17">
        <f t="shared" si="177"/>
        <v>1715</v>
      </c>
      <c r="W32" s="74">
        <v>161700</v>
      </c>
      <c r="X32" s="17">
        <f t="shared" si="178"/>
        <v>641</v>
      </c>
      <c r="Y32" s="17">
        <f t="shared" si="179"/>
        <v>320.5</v>
      </c>
      <c r="Z32" s="74">
        <v>31026</v>
      </c>
      <c r="AA32" s="17">
        <f t="shared" si="165"/>
        <v>96</v>
      </c>
      <c r="AB32" s="74">
        <v>63147</v>
      </c>
      <c r="AC32" s="17">
        <f t="shared" si="166"/>
        <v>201</v>
      </c>
      <c r="AD32" s="74">
        <v>113294</v>
      </c>
      <c r="AE32" s="17">
        <f t="shared" si="167"/>
        <v>356</v>
      </c>
      <c r="AF32" s="74">
        <v>61044</v>
      </c>
      <c r="AG32" s="17">
        <f t="shared" si="168"/>
        <v>176</v>
      </c>
      <c r="AH32" s="74">
        <v>305794</v>
      </c>
      <c r="AI32" s="17">
        <f t="shared" si="169"/>
        <v>1009</v>
      </c>
      <c r="AK32" s="100">
        <f t="shared" si="180"/>
        <v>42855.5</v>
      </c>
      <c r="AL32" s="101">
        <f t="shared" si="181"/>
        <v>11328.5</v>
      </c>
    </row>
    <row r="33" spans="1:38" ht="39.950000000000003" customHeight="1">
      <c r="A33" s="149">
        <v>44342</v>
      </c>
      <c r="B33" s="16"/>
      <c r="C33" s="74">
        <v>115179</v>
      </c>
      <c r="D33" s="17">
        <f t="shared" si="182"/>
        <v>4160</v>
      </c>
      <c r="E33" s="74">
        <v>181216</v>
      </c>
      <c r="F33" s="17">
        <f t="shared" si="183"/>
        <v>6620</v>
      </c>
      <c r="G33" s="74">
        <v>987602</v>
      </c>
      <c r="H33" s="17">
        <f t="shared" si="170"/>
        <v>14730</v>
      </c>
      <c r="I33" s="17">
        <f t="shared" si="171"/>
        <v>7365</v>
      </c>
      <c r="J33" s="74">
        <v>161270</v>
      </c>
      <c r="K33" s="17">
        <f t="shared" si="161"/>
        <v>6070</v>
      </c>
      <c r="L33" s="74">
        <v>251388</v>
      </c>
      <c r="M33" s="17">
        <f t="shared" si="162"/>
        <v>9350</v>
      </c>
      <c r="N33" s="74">
        <v>873466</v>
      </c>
      <c r="O33" s="17">
        <f t="shared" si="172"/>
        <v>5150</v>
      </c>
      <c r="P33" s="17">
        <f t="shared" si="173"/>
        <v>2575</v>
      </c>
      <c r="Q33" s="74">
        <v>165286</v>
      </c>
      <c r="R33" s="17">
        <f t="shared" si="174"/>
        <v>10630</v>
      </c>
      <c r="S33" s="17">
        <f t="shared" si="175"/>
        <v>5315</v>
      </c>
      <c r="T33" s="74">
        <v>88027</v>
      </c>
      <c r="U33" s="17">
        <f t="shared" si="176"/>
        <v>20</v>
      </c>
      <c r="V33" s="17">
        <f t="shared" si="177"/>
        <v>10</v>
      </c>
      <c r="W33" s="74">
        <v>162484</v>
      </c>
      <c r="X33" s="17">
        <f t="shared" si="178"/>
        <v>784</v>
      </c>
      <c r="Y33" s="17">
        <f t="shared" si="179"/>
        <v>392</v>
      </c>
      <c r="Z33" s="74">
        <v>31116</v>
      </c>
      <c r="AA33" s="17">
        <f t="shared" si="165"/>
        <v>90</v>
      </c>
      <c r="AB33" s="74">
        <v>63344</v>
      </c>
      <c r="AC33" s="17">
        <f t="shared" si="166"/>
        <v>197</v>
      </c>
      <c r="AD33" s="74">
        <v>113651</v>
      </c>
      <c r="AE33" s="17">
        <f t="shared" si="167"/>
        <v>357</v>
      </c>
      <c r="AF33" s="74">
        <v>61217</v>
      </c>
      <c r="AG33" s="17">
        <f t="shared" si="168"/>
        <v>173</v>
      </c>
      <c r="AH33" s="74">
        <v>306801</v>
      </c>
      <c r="AI33" s="17">
        <f t="shared" si="169"/>
        <v>1007</v>
      </c>
      <c r="AK33" s="100">
        <f t="shared" si="180"/>
        <v>41857</v>
      </c>
      <c r="AL33" s="101">
        <f t="shared" si="181"/>
        <v>10116</v>
      </c>
    </row>
    <row r="34" spans="1:38" ht="39.950000000000003" customHeight="1">
      <c r="A34" s="149">
        <v>44343</v>
      </c>
      <c r="B34" s="16"/>
      <c r="C34" s="74">
        <v>115603</v>
      </c>
      <c r="D34" s="17">
        <f t="shared" si="182"/>
        <v>4240</v>
      </c>
      <c r="E34" s="74">
        <v>181901</v>
      </c>
      <c r="F34" s="17">
        <f t="shared" si="183"/>
        <v>6850</v>
      </c>
      <c r="G34" s="74">
        <v>989117</v>
      </c>
      <c r="H34" s="17">
        <f t="shared" si="170"/>
        <v>15150</v>
      </c>
      <c r="I34" s="17">
        <f t="shared" si="171"/>
        <v>7575</v>
      </c>
      <c r="J34" s="74">
        <v>161902</v>
      </c>
      <c r="K34" s="17">
        <f t="shared" si="161"/>
        <v>6320</v>
      </c>
      <c r="L34" s="74">
        <v>252338</v>
      </c>
      <c r="M34" s="17">
        <f t="shared" si="162"/>
        <v>9500</v>
      </c>
      <c r="N34" s="74">
        <v>874003</v>
      </c>
      <c r="O34" s="17">
        <f t="shared" si="172"/>
        <v>5370</v>
      </c>
      <c r="P34" s="17">
        <f t="shared" si="173"/>
        <v>2685</v>
      </c>
      <c r="Q34" s="74">
        <v>166374</v>
      </c>
      <c r="R34" s="17">
        <f t="shared" si="174"/>
        <v>10880</v>
      </c>
      <c r="S34" s="17">
        <f t="shared" si="175"/>
        <v>5440</v>
      </c>
      <c r="T34" s="74">
        <v>88062</v>
      </c>
      <c r="U34" s="17">
        <f t="shared" si="176"/>
        <v>350</v>
      </c>
      <c r="V34" s="17">
        <f t="shared" si="177"/>
        <v>175</v>
      </c>
      <c r="W34" s="74">
        <v>163423</v>
      </c>
      <c r="X34" s="17">
        <f t="shared" si="178"/>
        <v>939</v>
      </c>
      <c r="Y34" s="17">
        <f t="shared" si="179"/>
        <v>469.5</v>
      </c>
      <c r="Z34" s="74">
        <v>31213</v>
      </c>
      <c r="AA34" s="17">
        <f t="shared" si="165"/>
        <v>97</v>
      </c>
      <c r="AB34" s="74">
        <v>63549</v>
      </c>
      <c r="AC34" s="17">
        <f t="shared" si="166"/>
        <v>205</v>
      </c>
      <c r="AD34" s="74">
        <v>114007</v>
      </c>
      <c r="AE34" s="17">
        <f t="shared" si="167"/>
        <v>356</v>
      </c>
      <c r="AF34" s="74">
        <v>61393</v>
      </c>
      <c r="AG34" s="17">
        <f t="shared" si="168"/>
        <v>176</v>
      </c>
      <c r="AH34" s="74">
        <v>307806</v>
      </c>
      <c r="AI34" s="17">
        <f t="shared" si="169"/>
        <v>1005</v>
      </c>
      <c r="AK34" s="100">
        <f t="shared" si="180"/>
        <v>43254.5</v>
      </c>
      <c r="AL34" s="101">
        <f t="shared" si="181"/>
        <v>10608.5</v>
      </c>
    </row>
    <row r="35" spans="1:38" ht="39.950000000000003" customHeight="1">
      <c r="A35" s="149">
        <v>44344</v>
      </c>
      <c r="B35" s="16"/>
      <c r="C35" s="74">
        <v>116031</v>
      </c>
      <c r="D35" s="17">
        <f t="shared" si="182"/>
        <v>4280</v>
      </c>
      <c r="E35" s="74">
        <v>182597</v>
      </c>
      <c r="F35" s="17">
        <f t="shared" si="183"/>
        <v>6960</v>
      </c>
      <c r="G35" s="74">
        <v>990591</v>
      </c>
      <c r="H35" s="17">
        <f t="shared" si="170"/>
        <v>14740</v>
      </c>
      <c r="I35" s="17">
        <f t="shared" si="171"/>
        <v>7370</v>
      </c>
      <c r="J35" s="74">
        <v>162517</v>
      </c>
      <c r="K35" s="17">
        <f t="shared" si="161"/>
        <v>6150</v>
      </c>
      <c r="L35" s="74">
        <v>253274</v>
      </c>
      <c r="M35" s="17">
        <f t="shared" si="162"/>
        <v>9360</v>
      </c>
      <c r="N35" s="74">
        <v>874561</v>
      </c>
      <c r="O35" s="17">
        <f t="shared" si="172"/>
        <v>5580</v>
      </c>
      <c r="P35" s="17">
        <f t="shared" si="173"/>
        <v>2790</v>
      </c>
      <c r="Q35" s="74">
        <v>167082</v>
      </c>
      <c r="R35" s="17">
        <f t="shared" si="174"/>
        <v>7080</v>
      </c>
      <c r="S35" s="17">
        <f t="shared" si="175"/>
        <v>3540</v>
      </c>
      <c r="T35" s="74">
        <v>88472</v>
      </c>
      <c r="U35" s="17">
        <f t="shared" si="176"/>
        <v>4100</v>
      </c>
      <c r="V35" s="17">
        <f t="shared" si="177"/>
        <v>2050</v>
      </c>
      <c r="W35" s="74">
        <v>164496</v>
      </c>
      <c r="X35" s="17">
        <f t="shared" si="178"/>
        <v>1073</v>
      </c>
      <c r="Y35" s="17">
        <f t="shared" si="179"/>
        <v>536.5</v>
      </c>
      <c r="Z35" s="74">
        <v>31302</v>
      </c>
      <c r="AA35" s="17">
        <f t="shared" si="165"/>
        <v>89</v>
      </c>
      <c r="AB35" s="74">
        <v>63756</v>
      </c>
      <c r="AC35" s="17">
        <f t="shared" si="166"/>
        <v>207</v>
      </c>
      <c r="AD35" s="74">
        <v>114360</v>
      </c>
      <c r="AE35" s="17">
        <f t="shared" si="167"/>
        <v>353</v>
      </c>
      <c r="AF35" s="74">
        <v>61568</v>
      </c>
      <c r="AG35" s="17">
        <f t="shared" si="168"/>
        <v>175</v>
      </c>
      <c r="AH35" s="74">
        <v>308826</v>
      </c>
      <c r="AI35" s="17">
        <f t="shared" si="169"/>
        <v>1020</v>
      </c>
      <c r="AK35" s="100">
        <f t="shared" si="180"/>
        <v>43036.5</v>
      </c>
      <c r="AL35" s="101">
        <f t="shared" si="181"/>
        <v>10760.5</v>
      </c>
    </row>
    <row r="36" spans="1:38" ht="39.950000000000003" customHeight="1">
      <c r="A36" s="149">
        <v>44345</v>
      </c>
      <c r="B36" s="16"/>
      <c r="C36" s="74">
        <v>116464</v>
      </c>
      <c r="D36" s="17">
        <f t="shared" si="182"/>
        <v>4330</v>
      </c>
      <c r="E36" s="74">
        <v>183304</v>
      </c>
      <c r="F36" s="17">
        <f t="shared" si="183"/>
        <v>7070</v>
      </c>
      <c r="G36" s="74">
        <v>992092</v>
      </c>
      <c r="H36" s="17">
        <f t="shared" ref="H36:H37" si="184">(G36-G35)*10</f>
        <v>15010</v>
      </c>
      <c r="I36" s="17">
        <f t="shared" ref="I36:I37" si="185">H36*50%</f>
        <v>7505</v>
      </c>
      <c r="J36" s="74">
        <v>163144</v>
      </c>
      <c r="K36" s="17">
        <f t="shared" si="161"/>
        <v>6270</v>
      </c>
      <c r="L36" s="74">
        <v>254260</v>
      </c>
      <c r="M36" s="17">
        <f t="shared" si="162"/>
        <v>9860</v>
      </c>
      <c r="N36" s="74">
        <v>875118</v>
      </c>
      <c r="O36" s="17">
        <f t="shared" ref="O36:O37" si="186">(N36-N35)*10</f>
        <v>5570</v>
      </c>
      <c r="P36" s="17">
        <f t="shared" ref="P36:P37" si="187">O36*50%</f>
        <v>2785</v>
      </c>
      <c r="Q36" s="74">
        <v>167911</v>
      </c>
      <c r="R36" s="17">
        <f t="shared" ref="R36:R38" si="188">(Q36-Q35)*10</f>
        <v>8290</v>
      </c>
      <c r="S36" s="17">
        <f t="shared" ref="S36:S38" si="189">R36*50%</f>
        <v>4145</v>
      </c>
      <c r="T36" s="74">
        <v>88741</v>
      </c>
      <c r="U36" s="17">
        <f t="shared" ref="U36:U38" si="190">(T36-T35)*10</f>
        <v>2690</v>
      </c>
      <c r="V36" s="17">
        <f t="shared" ref="V36:V38" si="191">U36*50%</f>
        <v>1345</v>
      </c>
      <c r="W36" s="74">
        <v>165709</v>
      </c>
      <c r="X36" s="17">
        <f t="shared" ref="X36:X37" si="192">W36-W35</f>
        <v>1213</v>
      </c>
      <c r="Y36" s="17">
        <f t="shared" ref="Y36:Y38" si="193">X36*50%</f>
        <v>606.5</v>
      </c>
      <c r="Z36" s="74">
        <v>31396</v>
      </c>
      <c r="AA36" s="17">
        <f t="shared" si="165"/>
        <v>94</v>
      </c>
      <c r="AB36" s="74">
        <v>63959</v>
      </c>
      <c r="AC36" s="17">
        <f t="shared" si="166"/>
        <v>203</v>
      </c>
      <c r="AD36" s="74">
        <v>114713</v>
      </c>
      <c r="AE36" s="17">
        <f t="shared" si="167"/>
        <v>353</v>
      </c>
      <c r="AF36" s="74">
        <v>61752</v>
      </c>
      <c r="AG36" s="17">
        <f t="shared" si="168"/>
        <v>184</v>
      </c>
      <c r="AH36" s="74">
        <v>309877</v>
      </c>
      <c r="AI36" s="17">
        <f t="shared" si="169"/>
        <v>1051</v>
      </c>
      <c r="AK36" s="100">
        <f t="shared" ref="AK36:AK37" si="194">SUM(D36,F36,I36,K36,M36,P36,S36,V36,Y36)</f>
        <v>43916.5</v>
      </c>
      <c r="AL36" s="101">
        <f t="shared" ref="AL36:AL37" si="195">SUM(P36,S36,V36,Y36,AA36,AC36,AE36,AG36,AI36)</f>
        <v>10766.5</v>
      </c>
    </row>
    <row r="37" spans="1:38" ht="39.950000000000003" customHeight="1">
      <c r="A37" s="149">
        <v>44346</v>
      </c>
      <c r="B37" s="16"/>
      <c r="C37" s="74">
        <v>116899</v>
      </c>
      <c r="D37" s="17">
        <f t="shared" si="182"/>
        <v>4350</v>
      </c>
      <c r="E37" s="74">
        <v>184009</v>
      </c>
      <c r="F37" s="17">
        <f t="shared" si="183"/>
        <v>7050</v>
      </c>
      <c r="G37" s="74">
        <v>993652</v>
      </c>
      <c r="H37" s="17">
        <f t="shared" si="184"/>
        <v>15600</v>
      </c>
      <c r="I37" s="17">
        <f t="shared" si="185"/>
        <v>7800</v>
      </c>
      <c r="J37" s="74">
        <v>163777</v>
      </c>
      <c r="K37" s="17">
        <f t="shared" si="161"/>
        <v>6330</v>
      </c>
      <c r="L37" s="74">
        <v>255236</v>
      </c>
      <c r="M37" s="17">
        <f t="shared" si="162"/>
        <v>9760</v>
      </c>
      <c r="N37" s="74">
        <v>875684</v>
      </c>
      <c r="O37" s="17">
        <f t="shared" si="186"/>
        <v>5660</v>
      </c>
      <c r="P37" s="17">
        <f t="shared" si="187"/>
        <v>2830</v>
      </c>
      <c r="Q37" s="74">
        <v>168785</v>
      </c>
      <c r="R37" s="17">
        <f t="shared" si="188"/>
        <v>8740</v>
      </c>
      <c r="S37" s="17">
        <f t="shared" si="189"/>
        <v>4370</v>
      </c>
      <c r="T37" s="74">
        <v>88999</v>
      </c>
      <c r="U37" s="17">
        <f t="shared" si="190"/>
        <v>2580</v>
      </c>
      <c r="V37" s="17">
        <f t="shared" si="191"/>
        <v>1290</v>
      </c>
      <c r="W37" s="74">
        <v>166953</v>
      </c>
      <c r="X37" s="17">
        <f t="shared" si="192"/>
        <v>1244</v>
      </c>
      <c r="Y37" s="17">
        <f t="shared" si="193"/>
        <v>622</v>
      </c>
      <c r="Z37" s="74">
        <v>31492</v>
      </c>
      <c r="AA37" s="17">
        <f t="shared" si="165"/>
        <v>96</v>
      </c>
      <c r="AB37" s="74">
        <v>64156</v>
      </c>
      <c r="AC37" s="17">
        <f t="shared" si="166"/>
        <v>197</v>
      </c>
      <c r="AD37" s="74">
        <v>115053</v>
      </c>
      <c r="AE37" s="17">
        <f t="shared" si="167"/>
        <v>340</v>
      </c>
      <c r="AF37" s="74">
        <v>61931</v>
      </c>
      <c r="AG37" s="17">
        <f t="shared" si="168"/>
        <v>179</v>
      </c>
      <c r="AH37" s="74">
        <v>310898</v>
      </c>
      <c r="AI37" s="17">
        <f t="shared" si="169"/>
        <v>1021</v>
      </c>
      <c r="AK37" s="100">
        <f t="shared" si="194"/>
        <v>44402</v>
      </c>
      <c r="AL37" s="101">
        <f t="shared" si="195"/>
        <v>10945</v>
      </c>
    </row>
    <row r="38" spans="1:38" s="151" customFormat="1" ht="39.950000000000003" customHeight="1">
      <c r="A38" s="149">
        <v>44347</v>
      </c>
      <c r="B38" s="150"/>
      <c r="C38" s="104">
        <v>117326</v>
      </c>
      <c r="D38" s="17">
        <f t="shared" si="182"/>
        <v>4270</v>
      </c>
      <c r="E38" s="104">
        <v>184712</v>
      </c>
      <c r="F38" s="17">
        <f t="shared" si="183"/>
        <v>7030</v>
      </c>
      <c r="G38" s="104">
        <v>995172</v>
      </c>
      <c r="H38" s="17">
        <f t="shared" ref="H38" si="196">(G38-G37)*10</f>
        <v>15200</v>
      </c>
      <c r="I38" s="17">
        <f t="shared" ref="I38" si="197">H38*50%</f>
        <v>7600</v>
      </c>
      <c r="J38" s="104">
        <v>164404</v>
      </c>
      <c r="K38" s="17">
        <f t="shared" si="161"/>
        <v>6270</v>
      </c>
      <c r="L38" s="104">
        <v>256163</v>
      </c>
      <c r="M38" s="17">
        <f t="shared" si="161"/>
        <v>9270</v>
      </c>
      <c r="N38" s="104">
        <v>876249</v>
      </c>
      <c r="O38" s="17">
        <f t="shared" ref="O38" si="198">(N38-N37)*10</f>
        <v>5650</v>
      </c>
      <c r="P38" s="17">
        <f t="shared" ref="P38" si="199">O38*50%</f>
        <v>2825</v>
      </c>
      <c r="Q38" s="104">
        <v>169485</v>
      </c>
      <c r="R38" s="17">
        <f t="shared" si="188"/>
        <v>7000</v>
      </c>
      <c r="S38" s="17">
        <f t="shared" si="189"/>
        <v>3500</v>
      </c>
      <c r="T38" s="104">
        <v>89303</v>
      </c>
      <c r="U38" s="17">
        <f t="shared" si="190"/>
        <v>3040</v>
      </c>
      <c r="V38" s="17">
        <f t="shared" si="191"/>
        <v>1520</v>
      </c>
      <c r="W38" s="104">
        <v>168104</v>
      </c>
      <c r="X38" s="17">
        <f t="shared" ref="X38" si="200">(W38-W37)*10</f>
        <v>11510</v>
      </c>
      <c r="Y38" s="17">
        <f t="shared" si="193"/>
        <v>5755</v>
      </c>
      <c r="Z38" s="104">
        <v>31587</v>
      </c>
      <c r="AA38" s="17">
        <f t="shared" si="165"/>
        <v>95</v>
      </c>
      <c r="AB38" s="104">
        <v>64363</v>
      </c>
      <c r="AC38" s="17">
        <f t="shared" si="165"/>
        <v>207</v>
      </c>
      <c r="AD38" s="104">
        <v>115402</v>
      </c>
      <c r="AE38" s="17">
        <f t="shared" si="165"/>
        <v>349</v>
      </c>
      <c r="AF38" s="104">
        <v>62109</v>
      </c>
      <c r="AG38" s="17">
        <f t="shared" si="165"/>
        <v>178</v>
      </c>
      <c r="AH38" s="104">
        <v>311904</v>
      </c>
      <c r="AI38" s="17">
        <f t="shared" si="165"/>
        <v>1006</v>
      </c>
      <c r="AK38" s="100">
        <f t="shared" ref="AK38" si="201">SUM(D38,F38,I38,K38,M38,P38,S38,V38,Y38)</f>
        <v>48040</v>
      </c>
      <c r="AL38" s="101">
        <f t="shared" ref="AL38" si="202">SUM(P38,S38,V38,Y38,AA38,AC38,AE38,AG38,AI38)</f>
        <v>15435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5" activePane="bottomRight" state="frozen"/>
      <selection pane="topRight" activeCell="C1" sqref="C1"/>
      <selection pane="bottomLeft" activeCell="A5" sqref="A5"/>
      <selection pane="bottomRight" activeCell="Y33" sqref="Y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1" t="s">
        <v>65</v>
      </c>
      <c r="D1" s="221"/>
      <c r="E1" s="221" t="s">
        <v>65</v>
      </c>
      <c r="F1" s="221"/>
      <c r="G1" s="221" t="s">
        <v>65</v>
      </c>
      <c r="H1" s="221"/>
      <c r="I1" s="221" t="s">
        <v>65</v>
      </c>
      <c r="J1" s="221"/>
      <c r="K1" s="207" t="s">
        <v>66</v>
      </c>
      <c r="L1" s="208"/>
      <c r="M1" s="208"/>
      <c r="N1" s="209"/>
      <c r="O1" s="221" t="s">
        <v>67</v>
      </c>
      <c r="P1" s="221"/>
    </row>
    <row r="2" spans="1:19" s="27" customFormat="1" ht="113.25" customHeight="1">
      <c r="A2" s="26"/>
      <c r="B2" s="26"/>
      <c r="C2" s="223" t="s">
        <v>103</v>
      </c>
      <c r="D2" s="224"/>
      <c r="E2" s="223" t="s">
        <v>104</v>
      </c>
      <c r="F2" s="224"/>
      <c r="G2" s="223" t="s">
        <v>105</v>
      </c>
      <c r="H2" s="224"/>
      <c r="I2" s="223" t="s">
        <v>106</v>
      </c>
      <c r="J2" s="224"/>
      <c r="K2" s="225" t="s">
        <v>107</v>
      </c>
      <c r="L2" s="226"/>
      <c r="M2" s="226"/>
      <c r="N2" s="227"/>
      <c r="O2" s="223" t="s">
        <v>108</v>
      </c>
      <c r="P2" s="224"/>
    </row>
    <row r="3" spans="1:19" s="32" customFormat="1" ht="50.1" customHeight="1">
      <c r="A3" s="41"/>
      <c r="B3" s="41"/>
      <c r="C3" s="228" t="s">
        <v>109</v>
      </c>
      <c r="D3" s="229"/>
      <c r="E3" s="230" t="s">
        <v>110</v>
      </c>
      <c r="F3" s="231"/>
      <c r="G3" s="230" t="s">
        <v>111</v>
      </c>
      <c r="H3" s="231"/>
      <c r="I3" s="230" t="s">
        <v>112</v>
      </c>
      <c r="J3" s="231"/>
      <c r="K3" s="232" t="s">
        <v>113</v>
      </c>
      <c r="L3" s="233"/>
      <c r="M3" s="233"/>
      <c r="N3" s="234"/>
      <c r="O3" s="228" t="s">
        <v>114</v>
      </c>
      <c r="P3" s="229"/>
      <c r="R3" s="222" t="s">
        <v>81</v>
      </c>
      <c r="S3" s="222"/>
    </row>
    <row r="4" spans="1:19" s="8" customFormat="1" ht="30" customHeight="1">
      <c r="A4" s="111" t="s">
        <v>96</v>
      </c>
      <c r="B4" s="51"/>
      <c r="C4" s="205"/>
      <c r="D4" s="206"/>
      <c r="E4" s="205"/>
      <c r="F4" s="206"/>
      <c r="G4" s="205"/>
      <c r="H4" s="206"/>
      <c r="I4" s="205"/>
      <c r="J4" s="206"/>
      <c r="K4" s="205"/>
      <c r="L4" s="219"/>
      <c r="M4" s="219"/>
      <c r="N4" s="206"/>
      <c r="O4" s="51"/>
      <c r="P4" s="51"/>
      <c r="R4" s="222"/>
      <c r="S4" s="222"/>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9">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9">
        <v>44317</v>
      </c>
      <c r="B7" s="15"/>
      <c r="C7" s="87">
        <v>208441</v>
      </c>
      <c r="D7" s="186">
        <f>(C7-C6)</f>
        <v>263</v>
      </c>
      <c r="E7" s="87">
        <v>208510</v>
      </c>
      <c r="F7" s="186">
        <f>(E7-E6)</f>
        <v>369</v>
      </c>
      <c r="G7" s="87">
        <v>6458</v>
      </c>
      <c r="H7" s="186">
        <f>(G7-G6)</f>
        <v>2.4021000000002459</v>
      </c>
      <c r="I7" s="87">
        <v>13355</v>
      </c>
      <c r="J7" s="186">
        <f>(I7-I6)</f>
        <v>13</v>
      </c>
      <c r="K7" s="87">
        <v>147205</v>
      </c>
      <c r="L7" s="78">
        <f>(K7-K6)</f>
        <v>210</v>
      </c>
      <c r="M7" s="186">
        <f>L7*55%</f>
        <v>115.50000000000001</v>
      </c>
      <c r="N7" s="186">
        <f>L7*45%</f>
        <v>94.5</v>
      </c>
      <c r="O7" s="87">
        <v>107125</v>
      </c>
      <c r="P7" s="186">
        <f>(O7-O6)</f>
        <v>98</v>
      </c>
      <c r="R7" s="110">
        <f t="shared" ref="R7:R34" si="0">SUM(D7,F7,M71,H7)</f>
        <v>634.40210000000025</v>
      </c>
      <c r="S7" s="101">
        <f>SUM(N7,P7)</f>
        <v>192.5</v>
      </c>
    </row>
    <row r="8" spans="1:19" ht="39.950000000000003" customHeight="1">
      <c r="A8" s="149">
        <v>44318</v>
      </c>
      <c r="B8" s="16"/>
      <c r="C8" s="87">
        <v>208653</v>
      </c>
      <c r="D8" s="186">
        <f t="shared" ref="D8:F35" si="1">(C8-C7)</f>
        <v>212</v>
      </c>
      <c r="E8" s="87">
        <v>208816</v>
      </c>
      <c r="F8" s="186">
        <f t="shared" si="1"/>
        <v>306</v>
      </c>
      <c r="G8" s="87">
        <v>6462</v>
      </c>
      <c r="H8" s="186">
        <f t="shared" ref="H8" si="2">(G8-G7)</f>
        <v>4</v>
      </c>
      <c r="I8" s="87">
        <v>13366</v>
      </c>
      <c r="J8" s="186">
        <f t="shared" ref="J8" si="3">(I8-I7)</f>
        <v>11</v>
      </c>
      <c r="K8" s="87">
        <v>147365</v>
      </c>
      <c r="L8" s="78">
        <f t="shared" ref="L8" si="4">(K8-K7)</f>
        <v>160</v>
      </c>
      <c r="M8" s="186">
        <f t="shared" ref="M8:M34" si="5">L8*55%</f>
        <v>88</v>
      </c>
      <c r="N8" s="186">
        <f t="shared" ref="N8:N34" si="6">L8*45%</f>
        <v>72</v>
      </c>
      <c r="O8" s="87">
        <v>107209</v>
      </c>
      <c r="P8" s="186">
        <f t="shared" ref="P8" si="7">(O8-O7)</f>
        <v>84</v>
      </c>
      <c r="R8" s="110">
        <f t="shared" si="0"/>
        <v>522</v>
      </c>
      <c r="S8" s="101">
        <f t="shared" ref="S8:S34" si="8">SUM(N8,P8)</f>
        <v>156</v>
      </c>
    </row>
    <row r="9" spans="1:19" ht="39.950000000000003" customHeight="1">
      <c r="A9" s="149">
        <v>44319</v>
      </c>
      <c r="B9" s="16"/>
      <c r="C9" s="87">
        <v>208796</v>
      </c>
      <c r="D9" s="186">
        <f t="shared" si="1"/>
        <v>143</v>
      </c>
      <c r="E9" s="87">
        <v>209081</v>
      </c>
      <c r="F9" s="186">
        <f t="shared" si="1"/>
        <v>265</v>
      </c>
      <c r="G9" s="87">
        <v>6468</v>
      </c>
      <c r="H9" s="186">
        <f t="shared" ref="H9" si="9">(G9-G8)</f>
        <v>6</v>
      </c>
      <c r="I9" s="87">
        <v>13382</v>
      </c>
      <c r="J9" s="186">
        <f t="shared" ref="J9" si="10">(I9-I8)</f>
        <v>16</v>
      </c>
      <c r="K9" s="87">
        <v>147534</v>
      </c>
      <c r="L9" s="78">
        <f t="shared" ref="L9" si="11">(K9-K8)</f>
        <v>169</v>
      </c>
      <c r="M9" s="186">
        <f t="shared" si="5"/>
        <v>92.95</v>
      </c>
      <c r="N9" s="186">
        <f t="shared" si="6"/>
        <v>76.05</v>
      </c>
      <c r="O9" s="87">
        <v>107283</v>
      </c>
      <c r="P9" s="186">
        <f t="shared" ref="P9" si="12">(O9-O8)</f>
        <v>74</v>
      </c>
      <c r="R9" s="110">
        <f t="shared" si="0"/>
        <v>414</v>
      </c>
      <c r="S9" s="101">
        <f t="shared" si="8"/>
        <v>150.05000000000001</v>
      </c>
    </row>
    <row r="10" spans="1:19" ht="39.950000000000003" customHeight="1">
      <c r="A10" s="149">
        <v>44320</v>
      </c>
      <c r="B10" s="16"/>
      <c r="C10" s="87">
        <v>208935</v>
      </c>
      <c r="D10" s="186">
        <f t="shared" si="1"/>
        <v>139</v>
      </c>
      <c r="E10" s="87">
        <v>209344</v>
      </c>
      <c r="F10" s="186">
        <f t="shared" si="1"/>
        <v>263</v>
      </c>
      <c r="G10" s="87">
        <v>6471</v>
      </c>
      <c r="H10" s="186">
        <f t="shared" ref="H10" si="13">(G10-G9)</f>
        <v>3</v>
      </c>
      <c r="I10" s="87">
        <v>13394</v>
      </c>
      <c r="J10" s="186">
        <f t="shared" ref="J10" si="14">(I10-I9)</f>
        <v>12</v>
      </c>
      <c r="K10" s="87">
        <v>147719</v>
      </c>
      <c r="L10" s="78">
        <f t="shared" ref="L10" si="15">(K10-K9)</f>
        <v>185</v>
      </c>
      <c r="M10" s="186">
        <f t="shared" si="5"/>
        <v>101.75000000000001</v>
      </c>
      <c r="N10" s="186">
        <f t="shared" si="6"/>
        <v>83.25</v>
      </c>
      <c r="O10" s="87">
        <v>107498</v>
      </c>
      <c r="P10" s="186">
        <f t="shared" ref="P10" si="16">(O10-O9)</f>
        <v>215</v>
      </c>
      <c r="R10" s="110">
        <f t="shared" si="0"/>
        <v>405</v>
      </c>
      <c r="S10" s="101">
        <f t="shared" si="8"/>
        <v>298.25</v>
      </c>
    </row>
    <row r="11" spans="1:19" ht="39.950000000000003" customHeight="1">
      <c r="A11" s="149">
        <v>44321</v>
      </c>
      <c r="B11" s="16"/>
      <c r="C11" s="87">
        <v>209041</v>
      </c>
      <c r="D11" s="186">
        <f t="shared" si="1"/>
        <v>106</v>
      </c>
      <c r="E11" s="87">
        <v>209595</v>
      </c>
      <c r="F11" s="186">
        <f t="shared" si="1"/>
        <v>251</v>
      </c>
      <c r="G11" s="87">
        <v>6473</v>
      </c>
      <c r="H11" s="186">
        <f t="shared" ref="H11" si="17">(G11-G10)</f>
        <v>2</v>
      </c>
      <c r="I11" s="87">
        <v>13400</v>
      </c>
      <c r="J11" s="186">
        <f t="shared" ref="J11" si="18">(I11-I10)</f>
        <v>6</v>
      </c>
      <c r="K11" s="87">
        <v>147855</v>
      </c>
      <c r="L11" s="78">
        <f t="shared" ref="L11" si="19">(K11-K10)</f>
        <v>136</v>
      </c>
      <c r="M11" s="186">
        <f t="shared" si="5"/>
        <v>74.800000000000011</v>
      </c>
      <c r="N11" s="186">
        <f t="shared" si="6"/>
        <v>61.2</v>
      </c>
      <c r="O11" s="87">
        <v>107594</v>
      </c>
      <c r="P11" s="186">
        <f t="shared" ref="P11" si="20">(O11-O10)</f>
        <v>96</v>
      </c>
      <c r="R11" s="110">
        <f t="shared" si="0"/>
        <v>359</v>
      </c>
      <c r="S11" s="101">
        <f t="shared" si="8"/>
        <v>157.19999999999999</v>
      </c>
    </row>
    <row r="12" spans="1:19" ht="39.950000000000003" customHeight="1">
      <c r="A12" s="149">
        <v>44322</v>
      </c>
      <c r="B12" s="16"/>
      <c r="C12" s="87">
        <v>209143</v>
      </c>
      <c r="D12" s="186">
        <f t="shared" si="1"/>
        <v>102</v>
      </c>
      <c r="E12" s="87">
        <v>209874</v>
      </c>
      <c r="F12" s="186">
        <f t="shared" si="1"/>
        <v>279</v>
      </c>
      <c r="G12" s="87">
        <v>6479</v>
      </c>
      <c r="H12" s="186">
        <f t="shared" ref="H12" si="21">(G12-G11)</f>
        <v>6</v>
      </c>
      <c r="I12" s="87">
        <v>13409</v>
      </c>
      <c r="J12" s="186">
        <f t="shared" ref="J12" si="22">(I12-I11)</f>
        <v>9</v>
      </c>
      <c r="K12" s="87">
        <v>147991</v>
      </c>
      <c r="L12" s="78">
        <f t="shared" ref="L12" si="23">(K12-K11)</f>
        <v>136</v>
      </c>
      <c r="M12" s="186">
        <f t="shared" si="5"/>
        <v>74.800000000000011</v>
      </c>
      <c r="N12" s="186">
        <f t="shared" si="6"/>
        <v>61.2</v>
      </c>
      <c r="O12" s="87">
        <v>107673</v>
      </c>
      <c r="P12" s="186">
        <f t="shared" ref="P12" si="24">(O12-O11)</f>
        <v>79</v>
      </c>
      <c r="R12" s="110">
        <f t="shared" si="0"/>
        <v>387</v>
      </c>
      <c r="S12" s="101">
        <f t="shared" si="8"/>
        <v>140.19999999999999</v>
      </c>
    </row>
    <row r="13" spans="1:19" ht="39.950000000000003" customHeight="1">
      <c r="A13" s="149">
        <v>44323</v>
      </c>
      <c r="B13" s="16"/>
      <c r="C13" s="87">
        <v>209238</v>
      </c>
      <c r="D13" s="186">
        <f t="shared" si="1"/>
        <v>95</v>
      </c>
      <c r="E13" s="87">
        <v>210126</v>
      </c>
      <c r="F13" s="186">
        <f t="shared" si="1"/>
        <v>252</v>
      </c>
      <c r="G13" s="87">
        <v>6485</v>
      </c>
      <c r="H13" s="186">
        <f t="shared" ref="H13" si="25">(G13-G12)</f>
        <v>6</v>
      </c>
      <c r="I13" s="87">
        <v>13421</v>
      </c>
      <c r="J13" s="186">
        <f t="shared" ref="J13" si="26">(I13-I12)</f>
        <v>12</v>
      </c>
      <c r="K13" s="87">
        <v>148123</v>
      </c>
      <c r="L13" s="78">
        <f t="shared" ref="L13" si="27">(K13-K12)</f>
        <v>132</v>
      </c>
      <c r="M13" s="186">
        <f t="shared" si="5"/>
        <v>72.600000000000009</v>
      </c>
      <c r="N13" s="186">
        <f t="shared" si="6"/>
        <v>59.4</v>
      </c>
      <c r="O13" s="87">
        <v>107763</v>
      </c>
      <c r="P13" s="186">
        <f t="shared" ref="P13" si="28">(O13-O12)</f>
        <v>90</v>
      </c>
      <c r="R13" s="110">
        <f t="shared" si="0"/>
        <v>353</v>
      </c>
      <c r="S13" s="101">
        <f t="shared" si="8"/>
        <v>149.4</v>
      </c>
    </row>
    <row r="14" spans="1:19" ht="39.950000000000003" customHeight="1">
      <c r="A14" s="149">
        <v>44324</v>
      </c>
      <c r="B14" s="16"/>
      <c r="C14" s="87">
        <v>209349</v>
      </c>
      <c r="D14" s="186">
        <f t="shared" si="1"/>
        <v>111</v>
      </c>
      <c r="E14" s="87">
        <v>210409</v>
      </c>
      <c r="F14" s="186">
        <f t="shared" si="1"/>
        <v>283</v>
      </c>
      <c r="G14" s="87">
        <v>6490</v>
      </c>
      <c r="H14" s="186">
        <f t="shared" ref="H14" si="29">(G14-G13)</f>
        <v>5</v>
      </c>
      <c r="I14" s="87">
        <v>13431</v>
      </c>
      <c r="J14" s="186">
        <f t="shared" ref="J14" si="30">(I14-I13)</f>
        <v>10</v>
      </c>
      <c r="K14" s="87">
        <v>148250</v>
      </c>
      <c r="L14" s="78">
        <f t="shared" ref="L14" si="31">(K14-K13)</f>
        <v>127</v>
      </c>
      <c r="M14" s="186">
        <f t="shared" si="5"/>
        <v>69.850000000000009</v>
      </c>
      <c r="N14" s="186">
        <f t="shared" si="6"/>
        <v>57.15</v>
      </c>
      <c r="O14" s="87">
        <v>107826</v>
      </c>
      <c r="P14" s="186">
        <f t="shared" ref="P14" si="32">(O14-O13)</f>
        <v>63</v>
      </c>
      <c r="R14" s="110">
        <f t="shared" si="0"/>
        <v>399</v>
      </c>
      <c r="S14" s="101">
        <f t="shared" si="8"/>
        <v>120.15</v>
      </c>
    </row>
    <row r="15" spans="1:19" ht="39.950000000000003" customHeight="1">
      <c r="A15" s="149">
        <v>44325</v>
      </c>
      <c r="B15" s="16"/>
      <c r="C15" s="87">
        <v>209497</v>
      </c>
      <c r="D15" s="186">
        <f t="shared" si="1"/>
        <v>148</v>
      </c>
      <c r="E15" s="87">
        <v>210757</v>
      </c>
      <c r="F15" s="186">
        <f t="shared" si="1"/>
        <v>348</v>
      </c>
      <c r="G15" s="87">
        <v>6493</v>
      </c>
      <c r="H15" s="186">
        <f t="shared" ref="H15" si="33">(G15-G14)</f>
        <v>3</v>
      </c>
      <c r="I15" s="87">
        <v>13443</v>
      </c>
      <c r="J15" s="186">
        <f t="shared" ref="J15" si="34">(I15-I14)</f>
        <v>12</v>
      </c>
      <c r="K15" s="87">
        <v>148402</v>
      </c>
      <c r="L15" s="78">
        <f t="shared" ref="L15" si="35">(K15-K14)</f>
        <v>152</v>
      </c>
      <c r="M15" s="186">
        <f t="shared" si="5"/>
        <v>83.600000000000009</v>
      </c>
      <c r="N15" s="186">
        <f t="shared" si="6"/>
        <v>68.400000000000006</v>
      </c>
      <c r="O15" s="87">
        <v>107915</v>
      </c>
      <c r="P15" s="186">
        <f t="shared" ref="P15" si="36">(O15-O14)</f>
        <v>89</v>
      </c>
      <c r="R15" s="110">
        <f t="shared" si="0"/>
        <v>499</v>
      </c>
      <c r="S15" s="101">
        <f t="shared" si="8"/>
        <v>157.4</v>
      </c>
    </row>
    <row r="16" spans="1:19" ht="39.950000000000003" customHeight="1">
      <c r="A16" s="149">
        <v>44326</v>
      </c>
      <c r="B16" s="16"/>
      <c r="C16" s="87">
        <v>209634</v>
      </c>
      <c r="D16" s="186">
        <f t="shared" si="1"/>
        <v>137</v>
      </c>
      <c r="E16" s="87">
        <v>211006</v>
      </c>
      <c r="F16" s="186">
        <f t="shared" si="1"/>
        <v>249</v>
      </c>
      <c r="G16" s="87">
        <v>6496</v>
      </c>
      <c r="H16" s="186">
        <f t="shared" ref="H16" si="37">(G16-G15)</f>
        <v>3</v>
      </c>
      <c r="I16" s="87">
        <v>13458</v>
      </c>
      <c r="J16" s="186">
        <f t="shared" ref="J16" si="38">(I16-I15)</f>
        <v>15</v>
      </c>
      <c r="K16" s="87">
        <v>148529</v>
      </c>
      <c r="L16" s="78">
        <f t="shared" ref="L16" si="39">(K16-K15)</f>
        <v>127</v>
      </c>
      <c r="M16" s="186">
        <f t="shared" si="5"/>
        <v>69.850000000000009</v>
      </c>
      <c r="N16" s="186">
        <f t="shared" si="6"/>
        <v>57.15</v>
      </c>
      <c r="O16" s="87">
        <v>108003</v>
      </c>
      <c r="P16" s="186">
        <f t="shared" ref="P16" si="40">(O16-O15)</f>
        <v>88</v>
      </c>
      <c r="R16" s="110">
        <f t="shared" si="0"/>
        <v>389</v>
      </c>
      <c r="S16" s="101">
        <f t="shared" si="8"/>
        <v>145.15</v>
      </c>
    </row>
    <row r="17" spans="1:19" ht="39.950000000000003" customHeight="1">
      <c r="A17" s="149">
        <v>44327</v>
      </c>
      <c r="B17" s="16"/>
      <c r="C17" s="86">
        <v>209748</v>
      </c>
      <c r="D17" s="186">
        <f t="shared" si="1"/>
        <v>114</v>
      </c>
      <c r="E17" s="86">
        <v>211281</v>
      </c>
      <c r="F17" s="186">
        <f t="shared" si="1"/>
        <v>275</v>
      </c>
      <c r="G17" s="86">
        <v>6504</v>
      </c>
      <c r="H17" s="186">
        <f t="shared" ref="H17" si="41">(G17-G16)</f>
        <v>8</v>
      </c>
      <c r="I17" s="86">
        <v>13467</v>
      </c>
      <c r="J17" s="186">
        <f t="shared" ref="J17" si="42">(I17-I16)</f>
        <v>9</v>
      </c>
      <c r="K17" s="86">
        <v>148681</v>
      </c>
      <c r="L17" s="78">
        <f t="shared" ref="L17" si="43">(K17-K16)</f>
        <v>152</v>
      </c>
      <c r="M17" s="186">
        <f t="shared" si="5"/>
        <v>83.600000000000009</v>
      </c>
      <c r="N17" s="186">
        <f t="shared" si="6"/>
        <v>68.400000000000006</v>
      </c>
      <c r="O17" s="86">
        <v>108078</v>
      </c>
      <c r="P17" s="186">
        <f t="shared" ref="P17" si="44">(O17-O16)</f>
        <v>75</v>
      </c>
      <c r="R17" s="110">
        <f t="shared" si="0"/>
        <v>397</v>
      </c>
      <c r="S17" s="101">
        <f t="shared" si="8"/>
        <v>143.4</v>
      </c>
    </row>
    <row r="18" spans="1:19" ht="39.950000000000003" customHeight="1">
      <c r="A18" s="149">
        <v>44328</v>
      </c>
      <c r="B18" s="16"/>
      <c r="C18" s="86">
        <v>209901</v>
      </c>
      <c r="D18" s="186">
        <f t="shared" si="1"/>
        <v>153</v>
      </c>
      <c r="E18" s="86">
        <v>211531</v>
      </c>
      <c r="F18" s="186">
        <f t="shared" si="1"/>
        <v>250</v>
      </c>
      <c r="G18" s="86">
        <v>6507</v>
      </c>
      <c r="H18" s="186">
        <f t="shared" ref="H18" si="45">(G18-G17)</f>
        <v>3</v>
      </c>
      <c r="I18" s="86">
        <v>13480</v>
      </c>
      <c r="J18" s="186">
        <f t="shared" ref="J18" si="46">(I18-I17)</f>
        <v>13</v>
      </c>
      <c r="K18" s="86">
        <v>148843</v>
      </c>
      <c r="L18" s="78">
        <f t="shared" ref="L18" si="47">(K18-K17)</f>
        <v>162</v>
      </c>
      <c r="M18" s="186">
        <f t="shared" si="5"/>
        <v>89.100000000000009</v>
      </c>
      <c r="N18" s="186">
        <f t="shared" si="6"/>
        <v>72.900000000000006</v>
      </c>
      <c r="O18" s="86">
        <v>108179</v>
      </c>
      <c r="P18" s="186">
        <f t="shared" ref="P18" si="48">(O18-O17)</f>
        <v>101</v>
      </c>
      <c r="R18" s="110">
        <f t="shared" si="0"/>
        <v>406</v>
      </c>
      <c r="S18" s="101">
        <f t="shared" si="8"/>
        <v>173.9</v>
      </c>
    </row>
    <row r="19" spans="1:19" s="82" customFormat="1" ht="39.950000000000003" customHeight="1">
      <c r="A19" s="149">
        <v>44329</v>
      </c>
      <c r="B19" s="85"/>
      <c r="C19" s="87">
        <v>210054</v>
      </c>
      <c r="D19" s="186">
        <f t="shared" si="1"/>
        <v>153</v>
      </c>
      <c r="E19" s="87">
        <v>211767</v>
      </c>
      <c r="F19" s="186">
        <f t="shared" si="1"/>
        <v>236</v>
      </c>
      <c r="G19" s="87">
        <v>6510</v>
      </c>
      <c r="H19" s="186">
        <f t="shared" ref="H19" si="49">(G19-G18)</f>
        <v>3</v>
      </c>
      <c r="I19" s="87">
        <v>13489</v>
      </c>
      <c r="J19" s="186">
        <f t="shared" ref="J19" si="50">(I19-I18)</f>
        <v>9</v>
      </c>
      <c r="K19" s="87">
        <v>148989</v>
      </c>
      <c r="L19" s="78">
        <f t="shared" ref="L19" si="51">(K19-K18)</f>
        <v>146</v>
      </c>
      <c r="M19" s="186">
        <f t="shared" si="5"/>
        <v>80.300000000000011</v>
      </c>
      <c r="N19" s="186">
        <f t="shared" si="6"/>
        <v>65.7</v>
      </c>
      <c r="O19" s="87">
        <v>108254</v>
      </c>
      <c r="P19" s="186">
        <f t="shared" ref="P19" si="52">(O19-O18)</f>
        <v>75</v>
      </c>
      <c r="R19" s="172">
        <f t="shared" si="0"/>
        <v>392</v>
      </c>
      <c r="S19" s="109">
        <f t="shared" si="8"/>
        <v>140.69999999999999</v>
      </c>
    </row>
    <row r="20" spans="1:19" s="82" customFormat="1" ht="39.950000000000003" customHeight="1">
      <c r="A20" s="149">
        <v>44330</v>
      </c>
      <c r="B20" s="85"/>
      <c r="C20" s="87">
        <v>210227</v>
      </c>
      <c r="D20" s="186">
        <f t="shared" si="1"/>
        <v>173</v>
      </c>
      <c r="E20" s="87">
        <v>212031</v>
      </c>
      <c r="F20" s="186">
        <f t="shared" si="1"/>
        <v>264</v>
      </c>
      <c r="G20" s="87">
        <v>6514</v>
      </c>
      <c r="H20" s="186">
        <f t="shared" ref="H20" si="53">(G20-G19)</f>
        <v>4</v>
      </c>
      <c r="I20" s="87">
        <v>13493</v>
      </c>
      <c r="J20" s="186">
        <f t="shared" ref="J20" si="54">(I20-I19)</f>
        <v>4</v>
      </c>
      <c r="K20" s="87">
        <v>149132</v>
      </c>
      <c r="L20" s="78">
        <f t="shared" ref="L20" si="55">(K20-K19)</f>
        <v>143</v>
      </c>
      <c r="M20" s="186">
        <f t="shared" si="5"/>
        <v>78.650000000000006</v>
      </c>
      <c r="N20" s="186">
        <f t="shared" si="6"/>
        <v>64.350000000000009</v>
      </c>
      <c r="O20" s="87">
        <v>108328</v>
      </c>
      <c r="P20" s="186">
        <f t="shared" ref="P20" si="56">(O20-O19)</f>
        <v>74</v>
      </c>
      <c r="R20" s="172">
        <f t="shared" si="0"/>
        <v>441</v>
      </c>
      <c r="S20" s="109">
        <f t="shared" si="8"/>
        <v>138.35000000000002</v>
      </c>
    </row>
    <row r="21" spans="1:19" s="82" customFormat="1" ht="39.950000000000003" customHeight="1">
      <c r="A21" s="149">
        <v>44331</v>
      </c>
      <c r="B21" s="85"/>
      <c r="C21" s="87">
        <f>(C22+C20)/2</f>
        <v>210418</v>
      </c>
      <c r="D21" s="186">
        <f t="shared" si="1"/>
        <v>191</v>
      </c>
      <c r="E21" s="87">
        <f>(E22+E20)/2</f>
        <v>212356.5</v>
      </c>
      <c r="F21" s="186">
        <f>(E21-E20)</f>
        <v>325.5</v>
      </c>
      <c r="G21" s="87">
        <v>6522.6581999999999</v>
      </c>
      <c r="H21" s="186">
        <f t="shared" ref="H21" si="57">(G21-G20)</f>
        <v>8.6581999999998516</v>
      </c>
      <c r="I21" s="87">
        <v>13504</v>
      </c>
      <c r="J21" s="186">
        <f t="shared" ref="J21" si="58">(I21-I20)</f>
        <v>11</v>
      </c>
      <c r="K21" s="87">
        <v>149286</v>
      </c>
      <c r="L21" s="78">
        <f t="shared" ref="L21" si="59">(K21-K20)</f>
        <v>154</v>
      </c>
      <c r="M21" s="186">
        <f t="shared" si="5"/>
        <v>84.7</v>
      </c>
      <c r="N21" s="186">
        <f t="shared" si="6"/>
        <v>69.3</v>
      </c>
      <c r="O21" s="87">
        <f>(O22+O20)/2</f>
        <v>108407</v>
      </c>
      <c r="P21" s="186">
        <f t="shared" ref="P21" si="60">(O21-O20)</f>
        <v>79</v>
      </c>
      <c r="R21" s="172">
        <f t="shared" si="0"/>
        <v>525.15819999999985</v>
      </c>
      <c r="S21" s="109">
        <f t="shared" si="8"/>
        <v>148.30000000000001</v>
      </c>
    </row>
    <row r="22" spans="1:19" s="82" customFormat="1" ht="39.950000000000003" customHeight="1">
      <c r="A22" s="149">
        <v>44332</v>
      </c>
      <c r="B22" s="85"/>
      <c r="C22" s="86">
        <v>210609</v>
      </c>
      <c r="D22" s="186">
        <f t="shared" si="1"/>
        <v>191</v>
      </c>
      <c r="E22" s="86">
        <v>212682</v>
      </c>
      <c r="F22" s="186">
        <f>(E22-E21)</f>
        <v>325.5</v>
      </c>
      <c r="G22" s="86">
        <v>6532.6581999999999</v>
      </c>
      <c r="H22" s="186">
        <f t="shared" ref="H22" si="61">(G22-G21)</f>
        <v>10</v>
      </c>
      <c r="I22" s="86">
        <v>13513</v>
      </c>
      <c r="J22" s="186">
        <f t="shared" ref="J22" si="62">(I22-I21)</f>
        <v>9</v>
      </c>
      <c r="K22" s="86">
        <v>149441</v>
      </c>
      <c r="L22" s="78">
        <f t="shared" ref="L22" si="63">(K22-K21)</f>
        <v>155</v>
      </c>
      <c r="M22" s="186">
        <f t="shared" si="5"/>
        <v>85.25</v>
      </c>
      <c r="N22" s="186">
        <f t="shared" si="6"/>
        <v>69.75</v>
      </c>
      <c r="O22" s="86">
        <v>108486</v>
      </c>
      <c r="P22" s="186">
        <f t="shared" ref="P22" si="64">(O22-O21)</f>
        <v>79</v>
      </c>
      <c r="R22" s="172">
        <f t="shared" si="0"/>
        <v>526.5</v>
      </c>
      <c r="S22" s="109">
        <f t="shared" si="8"/>
        <v>148.75</v>
      </c>
    </row>
    <row r="23" spans="1:19" s="82" customFormat="1" ht="39.950000000000003" customHeight="1">
      <c r="A23" s="149">
        <v>44333</v>
      </c>
      <c r="B23" s="85"/>
      <c r="C23" s="86">
        <v>210771</v>
      </c>
      <c r="D23" s="186">
        <f t="shared" si="1"/>
        <v>162</v>
      </c>
      <c r="E23" s="86">
        <v>212999</v>
      </c>
      <c r="F23" s="186">
        <f>(E23-E22)</f>
        <v>317</v>
      </c>
      <c r="G23" s="86">
        <v>6528.3666999999996</v>
      </c>
      <c r="H23" s="186">
        <f t="shared" ref="H23" si="65">(G23-G22)</f>
        <v>-4.2915000000002692</v>
      </c>
      <c r="I23" s="86">
        <v>13520</v>
      </c>
      <c r="J23" s="186">
        <f t="shared" ref="J23" si="66">(I23-I22)</f>
        <v>7</v>
      </c>
      <c r="K23" s="86">
        <v>149607</v>
      </c>
      <c r="L23" s="78">
        <f t="shared" ref="L23" si="67">(K23-K22)</f>
        <v>166</v>
      </c>
      <c r="M23" s="186">
        <f t="shared" si="5"/>
        <v>91.300000000000011</v>
      </c>
      <c r="N23" s="186">
        <f t="shared" si="6"/>
        <v>74.7</v>
      </c>
      <c r="O23" s="86">
        <v>108562</v>
      </c>
      <c r="P23" s="186">
        <f t="shared" ref="P23" si="68">(O23-O22)</f>
        <v>76</v>
      </c>
      <c r="R23" s="172">
        <f t="shared" si="0"/>
        <v>474.70849999999973</v>
      </c>
      <c r="S23" s="109">
        <f t="shared" si="8"/>
        <v>150.69999999999999</v>
      </c>
    </row>
    <row r="24" spans="1:19" s="82" customFormat="1" ht="39.950000000000003" customHeight="1">
      <c r="A24" s="149">
        <v>44334</v>
      </c>
      <c r="B24" s="85"/>
      <c r="C24" s="86">
        <v>210937</v>
      </c>
      <c r="D24" s="186">
        <f t="shared" si="1"/>
        <v>166</v>
      </c>
      <c r="E24" s="86">
        <v>213281</v>
      </c>
      <c r="F24" s="186">
        <f t="shared" si="1"/>
        <v>282</v>
      </c>
      <c r="G24" s="86">
        <v>6533.7267000000002</v>
      </c>
      <c r="H24" s="186">
        <f t="shared" ref="H24" si="69">(G24-G23)</f>
        <v>5.3600000000005821</v>
      </c>
      <c r="I24" s="86">
        <v>13529</v>
      </c>
      <c r="J24" s="186">
        <f t="shared" ref="J24" si="70">(I24-I23)</f>
        <v>9</v>
      </c>
      <c r="K24" s="86">
        <v>149784</v>
      </c>
      <c r="L24" s="78">
        <f t="shared" ref="L24" si="71">(K24-K23)</f>
        <v>177</v>
      </c>
      <c r="M24" s="186">
        <f t="shared" si="5"/>
        <v>97.350000000000009</v>
      </c>
      <c r="N24" s="186">
        <f t="shared" si="6"/>
        <v>79.650000000000006</v>
      </c>
      <c r="O24" s="86">
        <v>108641</v>
      </c>
      <c r="P24" s="186">
        <f t="shared" ref="P24" si="72">(O24-O23)</f>
        <v>79</v>
      </c>
      <c r="R24" s="172">
        <f t="shared" si="0"/>
        <v>453.36000000000058</v>
      </c>
      <c r="S24" s="109">
        <f t="shared" si="8"/>
        <v>158.65</v>
      </c>
    </row>
    <row r="25" spans="1:19" s="82" customFormat="1" ht="39.950000000000003" customHeight="1">
      <c r="A25" s="149">
        <v>44335</v>
      </c>
      <c r="B25" s="85"/>
      <c r="C25" s="86">
        <v>211146</v>
      </c>
      <c r="D25" s="186">
        <f t="shared" si="1"/>
        <v>209</v>
      </c>
      <c r="E25" s="86">
        <v>213503</v>
      </c>
      <c r="F25" s="186">
        <f t="shared" si="1"/>
        <v>222</v>
      </c>
      <c r="G25" s="86">
        <v>6538.9989999999998</v>
      </c>
      <c r="H25" s="186">
        <f t="shared" ref="H25" si="73">(G25-G24)</f>
        <v>5.2722999999996318</v>
      </c>
      <c r="I25" s="86">
        <v>13557</v>
      </c>
      <c r="J25" s="186">
        <f t="shared" ref="J25" si="74">(I25-I24)</f>
        <v>28</v>
      </c>
      <c r="K25" s="86">
        <v>149928</v>
      </c>
      <c r="L25" s="78">
        <f t="shared" ref="L25" si="75">(K25-K24)</f>
        <v>144</v>
      </c>
      <c r="M25" s="186">
        <f t="shared" si="5"/>
        <v>79.2</v>
      </c>
      <c r="N25" s="186">
        <f t="shared" si="6"/>
        <v>64.8</v>
      </c>
      <c r="O25" s="86">
        <v>108716</v>
      </c>
      <c r="P25" s="186">
        <f t="shared" ref="P25" si="76">(O25-O24)</f>
        <v>75</v>
      </c>
      <c r="R25" s="172">
        <f t="shared" si="0"/>
        <v>436.27229999999963</v>
      </c>
      <c r="S25" s="109">
        <f t="shared" si="8"/>
        <v>139.80000000000001</v>
      </c>
    </row>
    <row r="26" spans="1:19" ht="39.950000000000003" customHeight="1">
      <c r="A26" s="149">
        <v>44336</v>
      </c>
      <c r="B26" s="85"/>
      <c r="C26" s="86">
        <v>211340</v>
      </c>
      <c r="D26" s="186">
        <f t="shared" si="1"/>
        <v>194</v>
      </c>
      <c r="E26" s="86">
        <v>213842</v>
      </c>
      <c r="F26" s="186">
        <f t="shared" si="1"/>
        <v>339</v>
      </c>
      <c r="G26" s="86">
        <v>6543.2629999999999</v>
      </c>
      <c r="H26" s="186">
        <f t="shared" ref="H26" si="77">(G26-G25)</f>
        <v>4.2640000000001237</v>
      </c>
      <c r="I26" s="86">
        <v>13558</v>
      </c>
      <c r="J26" s="186">
        <f t="shared" ref="J26" si="78">(I26-I25)</f>
        <v>1</v>
      </c>
      <c r="K26" s="86">
        <v>150116</v>
      </c>
      <c r="L26" s="78">
        <f t="shared" ref="L26" si="79">(K26-K25)</f>
        <v>188</v>
      </c>
      <c r="M26" s="186">
        <f t="shared" si="5"/>
        <v>103.4</v>
      </c>
      <c r="N26" s="186">
        <f t="shared" si="6"/>
        <v>84.600000000000009</v>
      </c>
      <c r="O26" s="86">
        <v>108799</v>
      </c>
      <c r="P26" s="186">
        <f t="shared" ref="P26" si="80">(O26-O25)</f>
        <v>83</v>
      </c>
      <c r="R26" s="110">
        <f t="shared" si="0"/>
        <v>537.26400000000012</v>
      </c>
      <c r="S26" s="101">
        <f t="shared" si="8"/>
        <v>167.60000000000002</v>
      </c>
    </row>
    <row r="27" spans="1:19" ht="39.950000000000003" customHeight="1">
      <c r="A27" s="149">
        <v>44337</v>
      </c>
      <c r="B27" s="85"/>
      <c r="C27" s="86">
        <v>211511</v>
      </c>
      <c r="D27" s="186">
        <f t="shared" si="1"/>
        <v>171</v>
      </c>
      <c r="E27" s="86">
        <v>214098</v>
      </c>
      <c r="F27" s="186">
        <f t="shared" si="1"/>
        <v>256</v>
      </c>
      <c r="G27" s="86">
        <v>6548.692</v>
      </c>
      <c r="H27" s="186">
        <f t="shared" ref="H27" si="81">(G27-G26)</f>
        <v>5.4290000000000873</v>
      </c>
      <c r="I27" s="86">
        <v>13561</v>
      </c>
      <c r="J27" s="186">
        <f t="shared" ref="J27" si="82">(I27-I26)</f>
        <v>3</v>
      </c>
      <c r="K27" s="86">
        <v>150283</v>
      </c>
      <c r="L27" s="78">
        <f t="shared" ref="L27" si="83">(K27-K26)</f>
        <v>167</v>
      </c>
      <c r="M27" s="186">
        <f t="shared" si="5"/>
        <v>91.850000000000009</v>
      </c>
      <c r="N27" s="186">
        <f t="shared" si="6"/>
        <v>75.150000000000006</v>
      </c>
      <c r="O27" s="86">
        <v>108898</v>
      </c>
      <c r="P27" s="186">
        <f t="shared" ref="P27" si="84">(O27-O26)</f>
        <v>99</v>
      </c>
      <c r="R27" s="110">
        <f t="shared" si="0"/>
        <v>432.42900000000009</v>
      </c>
      <c r="S27" s="101">
        <f t="shared" si="8"/>
        <v>174.15</v>
      </c>
    </row>
    <row r="28" spans="1:19" ht="39.950000000000003" customHeight="1">
      <c r="A28" s="149">
        <v>44338</v>
      </c>
      <c r="B28" s="85"/>
      <c r="C28" s="86">
        <v>211672</v>
      </c>
      <c r="D28" s="186">
        <f t="shared" si="1"/>
        <v>161</v>
      </c>
      <c r="E28" s="86">
        <v>214395</v>
      </c>
      <c r="F28" s="186">
        <f t="shared" si="1"/>
        <v>297</v>
      </c>
      <c r="G28" s="86">
        <v>6553.8908000000001</v>
      </c>
      <c r="H28" s="186">
        <f t="shared" ref="H28" si="85">(G28-G27)</f>
        <v>5.1988000000001193</v>
      </c>
      <c r="I28" s="86">
        <v>13576</v>
      </c>
      <c r="J28" s="186">
        <f t="shared" ref="J28" si="86">(I28-I27)</f>
        <v>15</v>
      </c>
      <c r="K28" s="86">
        <v>150441</v>
      </c>
      <c r="L28" s="78">
        <f t="shared" ref="L28" si="87">(K28-K27)</f>
        <v>158</v>
      </c>
      <c r="M28" s="186">
        <f t="shared" si="5"/>
        <v>86.9</v>
      </c>
      <c r="N28" s="186">
        <f t="shared" si="6"/>
        <v>71.100000000000009</v>
      </c>
      <c r="O28" s="86">
        <v>108939</v>
      </c>
      <c r="P28" s="186">
        <f t="shared" ref="P28" si="88">(O28-O27)</f>
        <v>41</v>
      </c>
      <c r="R28" s="110">
        <f t="shared" si="0"/>
        <v>463.19880000000012</v>
      </c>
      <c r="S28" s="101">
        <f t="shared" si="8"/>
        <v>112.10000000000001</v>
      </c>
    </row>
    <row r="29" spans="1:19" ht="39.950000000000003" customHeight="1">
      <c r="A29" s="149">
        <v>44339</v>
      </c>
      <c r="B29" s="85"/>
      <c r="C29" s="86">
        <v>211875</v>
      </c>
      <c r="D29" s="186">
        <f t="shared" si="1"/>
        <v>203</v>
      </c>
      <c r="E29" s="86">
        <v>214782</v>
      </c>
      <c r="F29" s="186">
        <f t="shared" si="1"/>
        <v>387</v>
      </c>
      <c r="G29" s="86">
        <v>6562.1251000000002</v>
      </c>
      <c r="H29" s="186">
        <f t="shared" ref="H29" si="89">(G29-G28)</f>
        <v>8.2343000000000757</v>
      </c>
      <c r="I29" s="86">
        <v>13579</v>
      </c>
      <c r="J29" s="186">
        <f t="shared" ref="J29" si="90">(I29-I28)</f>
        <v>3</v>
      </c>
      <c r="K29" s="86">
        <v>150608</v>
      </c>
      <c r="L29" s="78">
        <f t="shared" ref="L29" si="91">(K29-K28)</f>
        <v>167</v>
      </c>
      <c r="M29" s="186">
        <f t="shared" si="5"/>
        <v>91.850000000000009</v>
      </c>
      <c r="N29" s="186">
        <f t="shared" si="6"/>
        <v>75.150000000000006</v>
      </c>
      <c r="O29" s="86">
        <v>109015</v>
      </c>
      <c r="P29" s="186">
        <f t="shared" ref="P29" si="92">(O29-O28)</f>
        <v>76</v>
      </c>
      <c r="R29" s="110">
        <f t="shared" si="0"/>
        <v>598.23430000000008</v>
      </c>
      <c r="S29" s="101">
        <f t="shared" si="8"/>
        <v>151.15</v>
      </c>
    </row>
    <row r="30" spans="1:19" ht="39.950000000000003" customHeight="1">
      <c r="A30" s="149">
        <v>44340</v>
      </c>
      <c r="B30" s="85"/>
      <c r="C30" s="86">
        <v>212087</v>
      </c>
      <c r="D30" s="186">
        <f t="shared" si="1"/>
        <v>212</v>
      </c>
      <c r="E30" s="86">
        <v>215032</v>
      </c>
      <c r="F30" s="186">
        <f t="shared" si="1"/>
        <v>250</v>
      </c>
      <c r="G30" s="86">
        <v>6566</v>
      </c>
      <c r="H30" s="186">
        <f t="shared" ref="H30" si="93">(G30-G29)</f>
        <v>3.8748999999997977</v>
      </c>
      <c r="I30" s="86">
        <f>(I29+I31)/2</f>
        <v>13599</v>
      </c>
      <c r="J30" s="186">
        <f t="shared" ref="J30" si="94">(I30-I29)</f>
        <v>20</v>
      </c>
      <c r="K30" s="86">
        <v>150766</v>
      </c>
      <c r="L30" s="78">
        <f t="shared" ref="L30" si="95">(K30-K29)</f>
        <v>158</v>
      </c>
      <c r="M30" s="186">
        <f t="shared" si="5"/>
        <v>86.9</v>
      </c>
      <c r="N30" s="186">
        <f t="shared" si="6"/>
        <v>71.100000000000009</v>
      </c>
      <c r="O30" s="86">
        <f>(O29+O31)/2</f>
        <v>109103</v>
      </c>
      <c r="P30" s="186">
        <f t="shared" ref="P30" si="96">(O30-O29)</f>
        <v>88</v>
      </c>
      <c r="R30" s="110">
        <f t="shared" si="0"/>
        <v>465.8748999999998</v>
      </c>
      <c r="S30" s="101">
        <f t="shared" si="8"/>
        <v>159.10000000000002</v>
      </c>
    </row>
    <row r="31" spans="1:19" ht="39.950000000000003" customHeight="1">
      <c r="A31" s="149">
        <v>44341</v>
      </c>
      <c r="B31" s="85"/>
      <c r="C31" s="86">
        <v>212209</v>
      </c>
      <c r="D31" s="186">
        <f t="shared" si="1"/>
        <v>122</v>
      </c>
      <c r="E31" s="86">
        <v>215309</v>
      </c>
      <c r="F31" s="186">
        <f t="shared" si="1"/>
        <v>277</v>
      </c>
      <c r="G31" s="86">
        <v>6570</v>
      </c>
      <c r="H31" s="186">
        <f t="shared" ref="H31" si="97">(G31-G30)</f>
        <v>4</v>
      </c>
      <c r="I31" s="86">
        <v>13619</v>
      </c>
      <c r="J31" s="186">
        <f t="shared" ref="J31" si="98">(I31-I30)</f>
        <v>20</v>
      </c>
      <c r="K31" s="86">
        <v>150933</v>
      </c>
      <c r="L31" s="78">
        <f t="shared" ref="L31" si="99">(K31-K30)</f>
        <v>167</v>
      </c>
      <c r="M31" s="186">
        <f t="shared" si="5"/>
        <v>91.850000000000009</v>
      </c>
      <c r="N31" s="186">
        <f t="shared" si="6"/>
        <v>75.150000000000006</v>
      </c>
      <c r="O31" s="86">
        <v>109191</v>
      </c>
      <c r="P31" s="186">
        <f t="shared" ref="P31" si="100">(O31-O30)</f>
        <v>88</v>
      </c>
      <c r="R31" s="110">
        <f t="shared" si="0"/>
        <v>403</v>
      </c>
      <c r="S31" s="101">
        <f t="shared" si="8"/>
        <v>163.15</v>
      </c>
    </row>
    <row r="32" spans="1:19" ht="39.950000000000003" customHeight="1">
      <c r="A32" s="149">
        <v>44342</v>
      </c>
      <c r="B32" s="85"/>
      <c r="C32" s="86">
        <v>212377</v>
      </c>
      <c r="D32" s="186">
        <f t="shared" si="1"/>
        <v>168</v>
      </c>
      <c r="E32" s="86">
        <v>215587</v>
      </c>
      <c r="F32" s="186">
        <f t="shared" si="1"/>
        <v>278</v>
      </c>
      <c r="G32" s="86">
        <v>6573.5</v>
      </c>
      <c r="H32" s="186">
        <f t="shared" ref="H32" si="101">(G32-G31)</f>
        <v>3.5</v>
      </c>
      <c r="I32" s="86">
        <v>13626</v>
      </c>
      <c r="J32" s="186">
        <f t="shared" ref="J32" si="102">(I32-I31)</f>
        <v>7</v>
      </c>
      <c r="K32" s="86">
        <v>151087</v>
      </c>
      <c r="L32" s="78">
        <f t="shared" ref="L32" si="103">(K32-K31)</f>
        <v>154</v>
      </c>
      <c r="M32" s="186">
        <f t="shared" si="5"/>
        <v>84.7</v>
      </c>
      <c r="N32" s="186">
        <f t="shared" si="6"/>
        <v>69.3</v>
      </c>
      <c r="O32" s="86">
        <v>109257</v>
      </c>
      <c r="P32" s="186">
        <f t="shared" ref="P32" si="104">(O32-O31)</f>
        <v>66</v>
      </c>
      <c r="R32" s="110">
        <f t="shared" si="0"/>
        <v>449.5</v>
      </c>
      <c r="S32" s="101">
        <f t="shared" si="8"/>
        <v>135.30000000000001</v>
      </c>
    </row>
    <row r="33" spans="1:19" ht="39.950000000000003" customHeight="1">
      <c r="A33" s="149">
        <v>44343</v>
      </c>
      <c r="B33" s="85"/>
      <c r="C33" s="86">
        <v>212528</v>
      </c>
      <c r="D33" s="186">
        <f t="shared" si="1"/>
        <v>151</v>
      </c>
      <c r="E33" s="86">
        <v>215858</v>
      </c>
      <c r="F33" s="186">
        <f t="shared" si="1"/>
        <v>271</v>
      </c>
      <c r="G33" s="86">
        <v>6574.5</v>
      </c>
      <c r="H33" s="186">
        <f t="shared" ref="H33" si="105">(G33-G32)</f>
        <v>1</v>
      </c>
      <c r="I33" s="86">
        <v>13635</v>
      </c>
      <c r="J33" s="186">
        <f t="shared" ref="J33" si="106">(I33-I32)</f>
        <v>9</v>
      </c>
      <c r="K33" s="86">
        <v>151243</v>
      </c>
      <c r="L33" s="78">
        <f t="shared" ref="L33" si="107">(K33-K32)</f>
        <v>156</v>
      </c>
      <c r="M33" s="186">
        <f t="shared" si="5"/>
        <v>85.800000000000011</v>
      </c>
      <c r="N33" s="186">
        <f t="shared" si="6"/>
        <v>70.2</v>
      </c>
      <c r="O33" s="86">
        <v>109351</v>
      </c>
      <c r="P33" s="186">
        <f t="shared" ref="P33" si="108">(O33-O32)</f>
        <v>94</v>
      </c>
      <c r="R33" s="110">
        <f t="shared" si="0"/>
        <v>423</v>
      </c>
      <c r="S33" s="101">
        <f t="shared" si="8"/>
        <v>164.2</v>
      </c>
    </row>
    <row r="34" spans="1:19" ht="39.950000000000003" customHeight="1">
      <c r="A34" s="149">
        <v>44344</v>
      </c>
      <c r="B34" s="85"/>
      <c r="C34" s="86">
        <v>212686</v>
      </c>
      <c r="D34" s="186">
        <f t="shared" si="1"/>
        <v>158</v>
      </c>
      <c r="E34" s="86">
        <v>216161</v>
      </c>
      <c r="F34" s="186">
        <f t="shared" si="1"/>
        <v>303</v>
      </c>
      <c r="G34" s="86">
        <v>6583.73</v>
      </c>
      <c r="H34" s="186">
        <f t="shared" ref="H34:H37" si="109">(G34-G33)</f>
        <v>9.2299999999995634</v>
      </c>
      <c r="I34" s="86">
        <v>13647</v>
      </c>
      <c r="J34" s="186">
        <f t="shared" ref="J34:J37" si="110">(I34-I33)</f>
        <v>12</v>
      </c>
      <c r="K34" s="86">
        <v>151409</v>
      </c>
      <c r="L34" s="78">
        <f t="shared" ref="L34" si="111">(K34-K33)</f>
        <v>166</v>
      </c>
      <c r="M34" s="186">
        <f t="shared" si="5"/>
        <v>91.300000000000011</v>
      </c>
      <c r="N34" s="186">
        <f t="shared" si="6"/>
        <v>74.7</v>
      </c>
      <c r="O34" s="86">
        <v>109414</v>
      </c>
      <c r="P34" s="186">
        <f t="shared" ref="P34:P37" si="112">(O34-O33)</f>
        <v>63</v>
      </c>
      <c r="R34" s="110">
        <f t="shared" si="0"/>
        <v>470.22999999999956</v>
      </c>
      <c r="S34" s="101">
        <f t="shared" si="8"/>
        <v>137.69999999999999</v>
      </c>
    </row>
    <row r="35" spans="1:19" ht="39.950000000000003" customHeight="1">
      <c r="A35" s="149">
        <v>44345</v>
      </c>
      <c r="B35" s="85"/>
      <c r="C35" s="86">
        <v>212856</v>
      </c>
      <c r="D35" s="186">
        <f t="shared" si="1"/>
        <v>170</v>
      </c>
      <c r="E35" s="86">
        <v>216455</v>
      </c>
      <c r="F35" s="186">
        <f t="shared" si="1"/>
        <v>294</v>
      </c>
      <c r="G35" s="86">
        <v>6587</v>
      </c>
      <c r="H35" s="186">
        <f t="shared" si="109"/>
        <v>3.2700000000004366</v>
      </c>
      <c r="I35" s="86">
        <f>(I37-I34)/3+I34</f>
        <v>13662.666666666666</v>
      </c>
      <c r="J35" s="186">
        <f t="shared" si="110"/>
        <v>15.66666666666606</v>
      </c>
      <c r="K35" s="86">
        <v>151566</v>
      </c>
      <c r="L35" s="78">
        <f t="shared" ref="L35:L37" si="113">(K35-K34)</f>
        <v>157</v>
      </c>
      <c r="M35" s="186">
        <f t="shared" ref="M35:M36" si="114">L35*55%</f>
        <v>86.350000000000009</v>
      </c>
      <c r="N35" s="186">
        <f t="shared" ref="N35:N36" si="115">L35*45%</f>
        <v>70.650000000000006</v>
      </c>
      <c r="O35" s="86">
        <v>109486</v>
      </c>
      <c r="P35" s="186">
        <f t="shared" si="112"/>
        <v>72</v>
      </c>
      <c r="R35" s="110">
        <f t="shared" ref="R35:R36" si="116">SUM(D35,F35,M99,H35)</f>
        <v>467.27000000000044</v>
      </c>
      <c r="S35" s="101">
        <f t="shared" ref="S35:S36" si="117">SUM(N35,P35)</f>
        <v>142.65</v>
      </c>
    </row>
    <row r="36" spans="1:19" ht="39.950000000000003" customHeight="1">
      <c r="A36" s="149">
        <v>44346</v>
      </c>
      <c r="B36" s="85"/>
      <c r="C36" s="86">
        <v>213068</v>
      </c>
      <c r="D36" s="186">
        <f t="shared" ref="D36:D37" si="118">(C36-C35)</f>
        <v>212</v>
      </c>
      <c r="E36" s="86">
        <v>216762</v>
      </c>
      <c r="F36" s="186">
        <f t="shared" ref="F36:F37" si="119">(E36-E35)</f>
        <v>307</v>
      </c>
      <c r="G36" s="86">
        <v>6590</v>
      </c>
      <c r="H36" s="186">
        <f t="shared" si="109"/>
        <v>3</v>
      </c>
      <c r="I36" s="86">
        <f>(I37-I34)/3+I35</f>
        <v>13678.333333333332</v>
      </c>
      <c r="J36" s="186">
        <f t="shared" si="110"/>
        <v>15.66666666666606</v>
      </c>
      <c r="K36" s="86">
        <v>151734</v>
      </c>
      <c r="L36" s="78">
        <f t="shared" si="113"/>
        <v>168</v>
      </c>
      <c r="M36" s="186">
        <f t="shared" si="114"/>
        <v>92.4</v>
      </c>
      <c r="N36" s="186">
        <f t="shared" si="115"/>
        <v>75.600000000000009</v>
      </c>
      <c r="O36" s="86">
        <v>109553</v>
      </c>
      <c r="P36" s="186">
        <f t="shared" si="112"/>
        <v>67</v>
      </c>
      <c r="R36" s="110">
        <f t="shared" si="116"/>
        <v>522</v>
      </c>
      <c r="S36" s="101">
        <f t="shared" si="117"/>
        <v>142.60000000000002</v>
      </c>
    </row>
    <row r="37" spans="1:19" ht="39.950000000000003" customHeight="1">
      <c r="A37" s="149">
        <v>44347</v>
      </c>
      <c r="B37" s="16"/>
      <c r="C37" s="87">
        <v>213232</v>
      </c>
      <c r="D37" s="186">
        <f t="shared" si="118"/>
        <v>164</v>
      </c>
      <c r="E37" s="76">
        <v>217049</v>
      </c>
      <c r="F37" s="186">
        <f t="shared" si="119"/>
        <v>287</v>
      </c>
      <c r="G37" s="76">
        <v>6593.95</v>
      </c>
      <c r="H37" s="186">
        <f t="shared" si="109"/>
        <v>3.9499999999998181</v>
      </c>
      <c r="I37" s="76">
        <v>13694</v>
      </c>
      <c r="J37" s="186">
        <f t="shared" si="110"/>
        <v>15.666666666667879</v>
      </c>
      <c r="K37" s="76">
        <v>151903</v>
      </c>
      <c r="L37" s="78">
        <f t="shared" si="113"/>
        <v>169</v>
      </c>
      <c r="M37" s="186">
        <f t="shared" ref="M37" si="120">L37*55%</f>
        <v>92.95</v>
      </c>
      <c r="N37" s="186">
        <f t="shared" ref="N37" si="121">L37*45%</f>
        <v>76.05</v>
      </c>
      <c r="O37" s="76">
        <v>109633</v>
      </c>
      <c r="P37" s="186">
        <f t="shared" si="112"/>
        <v>80</v>
      </c>
      <c r="R37" s="100">
        <f t="shared" ref="R37" si="122">SUM(D37,F37,M101,H37)</f>
        <v>454.94999999999982</v>
      </c>
      <c r="S37" s="101">
        <f t="shared" ref="S37" si="123">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O17" activePane="bottomRight" state="frozen"/>
      <selection pane="topRight" activeCell="C1" sqref="C1"/>
      <selection pane="bottomLeft" activeCell="A8" sqref="A8"/>
      <selection pane="bottomRight" activeCell="Z9" sqref="Z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1" t="s">
        <v>66</v>
      </c>
      <c r="D1" s="221"/>
      <c r="E1" s="221"/>
      <c r="F1" s="221"/>
      <c r="G1" s="221" t="s">
        <v>65</v>
      </c>
      <c r="H1" s="221"/>
      <c r="I1" s="221" t="s">
        <v>65</v>
      </c>
      <c r="J1" s="221"/>
      <c r="K1" s="221" t="s">
        <v>65</v>
      </c>
      <c r="L1" s="221"/>
      <c r="M1" s="221" t="s">
        <v>65</v>
      </c>
      <c r="N1" s="221"/>
      <c r="O1" s="221" t="s">
        <v>65</v>
      </c>
      <c r="P1" s="221"/>
      <c r="Q1" s="207" t="s">
        <v>65</v>
      </c>
      <c r="R1" s="208"/>
      <c r="S1" s="207" t="s">
        <v>65</v>
      </c>
      <c r="T1" s="208"/>
      <c r="U1" s="207" t="s">
        <v>65</v>
      </c>
      <c r="V1" s="208"/>
      <c r="W1" s="207" t="s">
        <v>65</v>
      </c>
      <c r="X1" s="209"/>
      <c r="Y1" s="221" t="s">
        <v>65</v>
      </c>
      <c r="Z1" s="221"/>
      <c r="AA1" s="207" t="s">
        <v>65</v>
      </c>
      <c r="AB1" s="208"/>
      <c r="AC1" s="221" t="s">
        <v>65</v>
      </c>
      <c r="AD1" s="221"/>
      <c r="AE1" s="221" t="s">
        <v>65</v>
      </c>
      <c r="AF1" s="221"/>
      <c r="AG1" s="221" t="s">
        <v>65</v>
      </c>
      <c r="AH1" s="221"/>
      <c r="AI1" s="221" t="s">
        <v>65</v>
      </c>
      <c r="AJ1" s="221"/>
      <c r="AK1" s="221" t="s">
        <v>65</v>
      </c>
      <c r="AL1" s="221"/>
      <c r="AM1" s="221" t="s">
        <v>67</v>
      </c>
      <c r="AN1" s="221"/>
      <c r="AO1" s="221" t="s">
        <v>67</v>
      </c>
      <c r="AP1" s="221"/>
      <c r="AQ1" s="221" t="s">
        <v>67</v>
      </c>
      <c r="AR1" s="221"/>
      <c r="AS1" s="221" t="s">
        <v>67</v>
      </c>
      <c r="AT1" s="221"/>
      <c r="AU1" s="221" t="s">
        <v>67</v>
      </c>
      <c r="AV1" s="221"/>
      <c r="AW1" s="221" t="s">
        <v>67</v>
      </c>
      <c r="AX1" s="221"/>
      <c r="AY1" s="221" t="s">
        <v>67</v>
      </c>
      <c r="AZ1" s="221"/>
      <c r="BA1" s="221" t="s">
        <v>67</v>
      </c>
      <c r="BB1" s="221"/>
      <c r="BC1" s="221" t="s">
        <v>67</v>
      </c>
      <c r="BD1" s="221"/>
      <c r="BE1" s="221" t="s">
        <v>67</v>
      </c>
      <c r="BF1" s="221"/>
      <c r="BH1" s="33"/>
      <c r="BI1" s="33"/>
    </row>
    <row r="2" spans="1:61" s="25" customFormat="1" ht="75.75" customHeight="1">
      <c r="A2" s="50"/>
      <c r="B2" s="50"/>
      <c r="C2" s="237" t="s">
        <v>117</v>
      </c>
      <c r="D2" s="237"/>
      <c r="E2" s="237"/>
      <c r="F2" s="237"/>
      <c r="G2" s="237" t="s">
        <v>118</v>
      </c>
      <c r="H2" s="237"/>
      <c r="I2" s="237" t="s">
        <v>119</v>
      </c>
      <c r="J2" s="237"/>
      <c r="K2" s="237" t="s">
        <v>120</v>
      </c>
      <c r="L2" s="237"/>
      <c r="M2" s="237" t="s">
        <v>121</v>
      </c>
      <c r="N2" s="237"/>
      <c r="O2" s="235" t="s">
        <v>122</v>
      </c>
      <c r="P2" s="236"/>
      <c r="Q2" s="235" t="s">
        <v>123</v>
      </c>
      <c r="R2" s="236"/>
      <c r="S2" s="235" t="s">
        <v>124</v>
      </c>
      <c r="T2" s="236"/>
      <c r="U2" s="235" t="s">
        <v>125</v>
      </c>
      <c r="V2" s="236"/>
      <c r="W2" s="235" t="s">
        <v>126</v>
      </c>
      <c r="X2" s="238"/>
      <c r="Y2" s="237" t="s">
        <v>127</v>
      </c>
      <c r="Z2" s="237"/>
      <c r="AA2" s="235" t="s">
        <v>128</v>
      </c>
      <c r="AB2" s="236"/>
      <c r="AC2" s="237" t="s">
        <v>129</v>
      </c>
      <c r="AD2" s="237"/>
      <c r="AE2" s="237" t="s">
        <v>130</v>
      </c>
      <c r="AF2" s="237"/>
      <c r="AG2" s="237" t="s">
        <v>130</v>
      </c>
      <c r="AH2" s="237"/>
      <c r="AI2" s="237" t="s">
        <v>130</v>
      </c>
      <c r="AJ2" s="237"/>
      <c r="AK2" s="237" t="s">
        <v>130</v>
      </c>
      <c r="AL2" s="237"/>
      <c r="AM2" s="237" t="s">
        <v>131</v>
      </c>
      <c r="AN2" s="237"/>
      <c r="AO2" s="237" t="s">
        <v>132</v>
      </c>
      <c r="AP2" s="237"/>
      <c r="AQ2" s="237" t="s">
        <v>133</v>
      </c>
      <c r="AR2" s="237"/>
      <c r="AS2" s="237" t="s">
        <v>133</v>
      </c>
      <c r="AT2" s="237"/>
      <c r="AU2" s="237" t="s">
        <v>134</v>
      </c>
      <c r="AV2" s="237"/>
      <c r="AW2" s="237" t="s">
        <v>135</v>
      </c>
      <c r="AX2" s="237"/>
      <c r="AY2" s="237" t="s">
        <v>136</v>
      </c>
      <c r="AZ2" s="237"/>
      <c r="BA2" s="237" t="s">
        <v>136</v>
      </c>
      <c r="BB2" s="237"/>
      <c r="BC2" s="237" t="s">
        <v>137</v>
      </c>
      <c r="BD2" s="237"/>
      <c r="BE2" s="237" t="s">
        <v>137</v>
      </c>
      <c r="BF2" s="237"/>
      <c r="BH2" s="33"/>
      <c r="BI2" s="33"/>
    </row>
    <row r="3" spans="1:61" s="10" customFormat="1" ht="87.75" customHeight="1">
      <c r="A3" s="111"/>
      <c r="B3" s="111"/>
      <c r="C3" s="242" t="s">
        <v>138</v>
      </c>
      <c r="D3" s="243"/>
      <c r="E3" s="111" t="s">
        <v>65</v>
      </c>
      <c r="F3" s="113" t="s">
        <v>67</v>
      </c>
      <c r="G3" s="241" t="s">
        <v>139</v>
      </c>
      <c r="H3" s="240"/>
      <c r="I3" s="241" t="s">
        <v>139</v>
      </c>
      <c r="J3" s="240"/>
      <c r="K3" s="241" t="s">
        <v>139</v>
      </c>
      <c r="L3" s="240"/>
      <c r="M3" s="244" t="s">
        <v>140</v>
      </c>
      <c r="N3" s="245"/>
      <c r="O3" s="241" t="s">
        <v>139</v>
      </c>
      <c r="P3" s="240"/>
      <c r="Q3" s="241" t="s">
        <v>139</v>
      </c>
      <c r="R3" s="240"/>
      <c r="S3" s="248" t="s">
        <v>139</v>
      </c>
      <c r="T3" s="249"/>
      <c r="U3" s="241" t="s">
        <v>139</v>
      </c>
      <c r="V3" s="240"/>
      <c r="W3" s="241" t="s">
        <v>139</v>
      </c>
      <c r="X3" s="240"/>
      <c r="Y3" s="239" t="s">
        <v>141</v>
      </c>
      <c r="Z3" s="240"/>
      <c r="AA3" s="241" t="s">
        <v>142</v>
      </c>
      <c r="AB3" s="240"/>
      <c r="AC3" s="241" t="s">
        <v>143</v>
      </c>
      <c r="AD3" s="240"/>
      <c r="AE3" s="241" t="s">
        <v>143</v>
      </c>
      <c r="AF3" s="240"/>
      <c r="AG3" s="239" t="s">
        <v>144</v>
      </c>
      <c r="AH3" s="240"/>
      <c r="AI3" s="241" t="s">
        <v>145</v>
      </c>
      <c r="AJ3" s="240"/>
      <c r="AK3" s="239" t="s">
        <v>146</v>
      </c>
      <c r="AL3" s="240"/>
      <c r="AM3" s="241" t="s">
        <v>147</v>
      </c>
      <c r="AN3" s="240"/>
      <c r="AO3" s="241" t="s">
        <v>147</v>
      </c>
      <c r="AP3" s="240"/>
      <c r="AQ3" s="239" t="s">
        <v>148</v>
      </c>
      <c r="AR3" s="240"/>
      <c r="AS3" s="241" t="s">
        <v>149</v>
      </c>
      <c r="AT3" s="240"/>
      <c r="AU3" s="239" t="s">
        <v>150</v>
      </c>
      <c r="AV3" s="240"/>
      <c r="AW3" s="239" t="s">
        <v>150</v>
      </c>
      <c r="AX3" s="240"/>
      <c r="AY3" s="241" t="s">
        <v>145</v>
      </c>
      <c r="AZ3" s="240"/>
      <c r="BA3" s="239" t="s">
        <v>146</v>
      </c>
      <c r="BB3" s="240"/>
      <c r="BC3" s="241" t="s">
        <v>145</v>
      </c>
      <c r="BD3" s="240"/>
      <c r="BE3" s="239" t="s">
        <v>146</v>
      </c>
      <c r="BF3" s="240"/>
      <c r="BH3" s="33"/>
      <c r="BI3" s="33"/>
    </row>
    <row r="4" spans="1:61" s="25" customFormat="1" ht="50.1" customHeight="1">
      <c r="A4" s="111"/>
      <c r="B4" s="50"/>
      <c r="C4" s="213" t="s">
        <v>151</v>
      </c>
      <c r="D4" s="215"/>
      <c r="E4" s="246" t="s">
        <v>152</v>
      </c>
      <c r="F4" s="247"/>
      <c r="G4" s="213" t="s">
        <v>153</v>
      </c>
      <c r="H4" s="215"/>
      <c r="I4" s="213" t="s">
        <v>154</v>
      </c>
      <c r="J4" s="215"/>
      <c r="K4" s="213" t="s">
        <v>155</v>
      </c>
      <c r="L4" s="215"/>
      <c r="M4" s="213">
        <v>7092801222</v>
      </c>
      <c r="N4" s="215"/>
      <c r="O4" s="213" t="s">
        <v>156</v>
      </c>
      <c r="P4" s="214"/>
      <c r="Q4" s="213" t="s">
        <v>157</v>
      </c>
      <c r="R4" s="214"/>
      <c r="S4" s="213" t="s">
        <v>158</v>
      </c>
      <c r="T4" s="214"/>
      <c r="U4" s="213" t="s">
        <v>159</v>
      </c>
      <c r="V4" s="214"/>
      <c r="W4" s="213" t="s">
        <v>160</v>
      </c>
      <c r="X4" s="215"/>
      <c r="Y4" s="213" t="s">
        <v>161</v>
      </c>
      <c r="Z4" s="215"/>
      <c r="AA4" s="213" t="s">
        <v>162</v>
      </c>
      <c r="AB4" s="214"/>
      <c r="AC4" s="213" t="s">
        <v>163</v>
      </c>
      <c r="AD4" s="215"/>
      <c r="AE4" s="213" t="s">
        <v>164</v>
      </c>
      <c r="AF4" s="215"/>
      <c r="AG4" s="213" t="s">
        <v>165</v>
      </c>
      <c r="AH4" s="215"/>
      <c r="AI4" s="213">
        <v>7105826734</v>
      </c>
      <c r="AJ4" s="215"/>
      <c r="AK4" s="213">
        <v>7105825932</v>
      </c>
      <c r="AL4" s="215"/>
      <c r="AM4" s="213" t="s">
        <v>166</v>
      </c>
      <c r="AN4" s="215"/>
      <c r="AO4" s="213" t="s">
        <v>167</v>
      </c>
      <c r="AP4" s="215"/>
      <c r="AQ4" s="213" t="s">
        <v>168</v>
      </c>
      <c r="AR4" s="215"/>
      <c r="AS4" s="213" t="s">
        <v>169</v>
      </c>
      <c r="AT4" s="215"/>
      <c r="AU4" s="213" t="s">
        <v>170</v>
      </c>
      <c r="AV4" s="215"/>
      <c r="AW4" s="213" t="s">
        <v>171</v>
      </c>
      <c r="AX4" s="215"/>
      <c r="AY4" s="213">
        <v>7111912486</v>
      </c>
      <c r="AZ4" s="215"/>
      <c r="BA4" s="213">
        <v>7111911842</v>
      </c>
      <c r="BB4" s="215"/>
      <c r="BC4" s="213">
        <v>7111913281</v>
      </c>
      <c r="BD4" s="215"/>
      <c r="BE4" s="213">
        <v>7111912723</v>
      </c>
      <c r="BF4" s="215"/>
      <c r="BH4" s="222" t="s">
        <v>81</v>
      </c>
      <c r="BI4" s="222"/>
    </row>
    <row r="5" spans="1:61" s="25" customFormat="1" ht="50.1" customHeight="1">
      <c r="A5" s="50" t="s">
        <v>172</v>
      </c>
      <c r="B5" s="50"/>
      <c r="C5" s="213" t="s">
        <v>173</v>
      </c>
      <c r="D5" s="215"/>
      <c r="E5" s="83">
        <v>0.6</v>
      </c>
      <c r="F5" s="31">
        <v>0.4</v>
      </c>
      <c r="G5" s="213" t="s">
        <v>174</v>
      </c>
      <c r="H5" s="215"/>
      <c r="I5" s="213" t="s">
        <v>175</v>
      </c>
      <c r="J5" s="215"/>
      <c r="K5" s="213" t="s">
        <v>176</v>
      </c>
      <c r="L5" s="215"/>
      <c r="M5" s="213" t="s">
        <v>177</v>
      </c>
      <c r="N5" s="215"/>
      <c r="O5" s="213" t="s">
        <v>178</v>
      </c>
      <c r="P5" s="214"/>
      <c r="Q5" s="213" t="s">
        <v>179</v>
      </c>
      <c r="R5" s="214"/>
      <c r="S5" s="213" t="s">
        <v>180</v>
      </c>
      <c r="T5" s="214"/>
      <c r="U5" s="213" t="s">
        <v>181</v>
      </c>
      <c r="V5" s="214"/>
      <c r="W5" s="213" t="s">
        <v>182</v>
      </c>
      <c r="X5" s="215"/>
      <c r="Y5" s="213" t="s">
        <v>183</v>
      </c>
      <c r="Z5" s="215"/>
      <c r="AA5" s="213" t="s">
        <v>184</v>
      </c>
      <c r="AB5" s="214"/>
      <c r="AC5" s="213" t="s">
        <v>185</v>
      </c>
      <c r="AD5" s="215"/>
      <c r="AE5" s="213" t="s">
        <v>186</v>
      </c>
      <c r="AF5" s="215"/>
      <c r="AG5" s="213" t="s">
        <v>187</v>
      </c>
      <c r="AH5" s="215"/>
      <c r="AI5" s="213" t="s">
        <v>188</v>
      </c>
      <c r="AJ5" s="215"/>
      <c r="AK5" s="213" t="s">
        <v>189</v>
      </c>
      <c r="AL5" s="215"/>
      <c r="AM5" s="213" t="s">
        <v>190</v>
      </c>
      <c r="AN5" s="215"/>
      <c r="AO5" s="213" t="s">
        <v>191</v>
      </c>
      <c r="AP5" s="215"/>
      <c r="AQ5" s="213" t="s">
        <v>192</v>
      </c>
      <c r="AR5" s="215"/>
      <c r="AS5" s="213" t="s">
        <v>193</v>
      </c>
      <c r="AT5" s="215"/>
      <c r="AU5" s="213" t="s">
        <v>194</v>
      </c>
      <c r="AV5" s="215"/>
      <c r="AW5" s="213" t="s">
        <v>195</v>
      </c>
      <c r="AX5" s="215"/>
      <c r="AY5" s="213">
        <v>744483</v>
      </c>
      <c r="AZ5" s="215"/>
      <c r="BA5" s="213">
        <v>119314</v>
      </c>
      <c r="BB5" s="215"/>
      <c r="BC5" s="213">
        <v>1053229</v>
      </c>
      <c r="BD5" s="215"/>
      <c r="BE5" s="213">
        <v>1053215</v>
      </c>
      <c r="BF5" s="215"/>
      <c r="BH5" s="222"/>
      <c r="BI5" s="222"/>
    </row>
    <row r="6" spans="1:61" s="8" customFormat="1" ht="30" customHeight="1">
      <c r="A6" s="111" t="s">
        <v>96</v>
      </c>
      <c r="B6" s="51"/>
      <c r="C6" s="205"/>
      <c r="D6" s="206"/>
      <c r="E6" s="84"/>
      <c r="F6" s="116"/>
      <c r="G6" s="111"/>
      <c r="H6" s="51"/>
      <c r="I6" s="205"/>
      <c r="J6" s="206"/>
      <c r="K6" s="205"/>
      <c r="L6" s="206"/>
      <c r="M6" s="205"/>
      <c r="N6" s="206"/>
      <c r="O6" s="205"/>
      <c r="P6" s="219"/>
      <c r="Q6" s="205"/>
      <c r="R6" s="219"/>
      <c r="S6" s="205"/>
      <c r="T6" s="219"/>
      <c r="U6" s="205"/>
      <c r="V6" s="219"/>
      <c r="W6" s="205"/>
      <c r="X6" s="206"/>
      <c r="Y6" s="205"/>
      <c r="Z6" s="206"/>
      <c r="AA6" s="205"/>
      <c r="AB6" s="219"/>
      <c r="AC6" s="205"/>
      <c r="AD6" s="206"/>
      <c r="AE6" s="205"/>
      <c r="AF6" s="206"/>
      <c r="AG6" s="205"/>
      <c r="AH6" s="206"/>
      <c r="AI6" s="205"/>
      <c r="AJ6" s="206"/>
      <c r="AK6" s="205"/>
      <c r="AL6" s="206"/>
      <c r="AM6" s="205"/>
      <c r="AN6" s="206"/>
      <c r="AO6" s="205"/>
      <c r="AP6" s="206"/>
      <c r="AQ6" s="205"/>
      <c r="AR6" s="206"/>
      <c r="AS6" s="205"/>
      <c r="AT6" s="206"/>
      <c r="AU6" s="205"/>
      <c r="AV6" s="206"/>
      <c r="AW6" s="205"/>
      <c r="AX6" s="206"/>
      <c r="AY6" s="205"/>
      <c r="AZ6" s="206"/>
      <c r="BA6" s="205"/>
      <c r="BB6" s="206"/>
      <c r="BC6" s="205"/>
      <c r="BD6" s="206"/>
      <c r="BE6" s="205"/>
      <c r="BF6" s="206"/>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9">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9">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127610.68799999985</v>
      </c>
      <c r="BI9" s="109">
        <f t="shared" ref="BI9:BI36" si="1">SUM(F9,AN9,AP9,AT9,AV9,AX9,AR9,AZ9,BB9,BD9,BF9)</f>
        <v>79488</v>
      </c>
    </row>
    <row r="10" spans="1:61" s="36" customFormat="1" ht="39.950000000000003" customHeight="1">
      <c r="A10" s="149">
        <v>44318</v>
      </c>
      <c r="B10" s="35"/>
      <c r="C10" s="87">
        <v>6008845</v>
      </c>
      <c r="D10" s="38">
        <f t="shared" ref="D10" si="2">(+C10-+C9)*48</f>
        <v>112128</v>
      </c>
      <c r="E10" s="38">
        <f t="shared" ref="E10:E38" si="3">D10*0.6</f>
        <v>67276.800000000003</v>
      </c>
      <c r="F10" s="108">
        <f t="shared" ref="F10:F36" si="4">D10*0.4</f>
        <v>44851.200000000004</v>
      </c>
      <c r="G10" s="87">
        <f>(G12-G9)/3+G9</f>
        <v>281179.33333333331</v>
      </c>
      <c r="H10" s="38">
        <f t="shared" ref="H10" si="5">(+G10-+G9)*48</f>
        <v>1743.9999999990687</v>
      </c>
      <c r="I10" s="87">
        <f>(I12-I9)/3+I9</f>
        <v>121426.66666666667</v>
      </c>
      <c r="J10" s="38">
        <f t="shared" ref="J10" si="6">(+I10-+I9)*48</f>
        <v>8000.0000000002328</v>
      </c>
      <c r="K10" s="87">
        <f>(K12-K9)/3+K9</f>
        <v>258120.66666666666</v>
      </c>
      <c r="L10" s="38">
        <f t="shared" si="0"/>
        <v>1375.9999999995343</v>
      </c>
      <c r="M10" s="87">
        <f>(M12-M9)/3+M9</f>
        <v>24717</v>
      </c>
      <c r="N10" s="38">
        <f t="shared" ref="N10" si="7">(+M10-+M9)*48</f>
        <v>1056</v>
      </c>
      <c r="O10" s="87">
        <f>(O12-O9)/3+O9</f>
        <v>258869.33333333334</v>
      </c>
      <c r="P10" s="38">
        <f t="shared" ref="P10" si="8">(+O10-+O9)*48</f>
        <v>9904.0000000004657</v>
      </c>
      <c r="Q10" s="87">
        <f>(Q12-Q9)/3+Q9</f>
        <v>447511.33333333331</v>
      </c>
      <c r="R10" s="38">
        <f t="shared" ref="R10" si="9">(+Q10-+Q9)*48</f>
        <v>3423.9999999990687</v>
      </c>
      <c r="S10" s="87">
        <f>(S12-S9)/3+S9</f>
        <v>720981.33333333337</v>
      </c>
      <c r="T10" s="38">
        <f t="shared" ref="T10" si="10">(+S10-+S9)*48</f>
        <v>6400.0000000018626</v>
      </c>
      <c r="U10" s="87">
        <f>(U12-U9)/3+U9</f>
        <v>99155.510333333339</v>
      </c>
      <c r="V10" s="108">
        <f t="shared" ref="V10" si="11">(+U10-+U9)*48</f>
        <v>1185.9520000002813</v>
      </c>
      <c r="W10" s="87">
        <f>(W12-W9)/3+W9</f>
        <v>80568.333333333328</v>
      </c>
      <c r="X10" s="38">
        <f t="shared" ref="X10" si="12">(+W10-+W9)*48</f>
        <v>639.99999999976717</v>
      </c>
      <c r="Y10" s="87">
        <f>(Y12-Y9)/3+Y9</f>
        <v>1499121.6666666667</v>
      </c>
      <c r="Z10" s="38">
        <f t="shared" ref="Z10" si="13">(+Y10-+Y9)*48</f>
        <v>3008.0000000037253</v>
      </c>
      <c r="AA10" s="87">
        <f>(AA12-AA9)/3+AA9</f>
        <v>13264</v>
      </c>
      <c r="AB10" s="38">
        <f t="shared" ref="AB10" si="14">(+AA10-+AA9)*48</f>
        <v>0</v>
      </c>
      <c r="AC10" s="87">
        <f>(AC12-AC9)/3+AC9</f>
        <v>453678.33333333331</v>
      </c>
      <c r="AD10" s="38">
        <f t="shared" ref="AD10:AF37" si="15">(+AC10-+AC9)*48</f>
        <v>5151.9999999990687</v>
      </c>
      <c r="AE10" s="87">
        <f>(AE12-AE9)/3+AE9</f>
        <v>526492.66666666663</v>
      </c>
      <c r="AF10" s="38">
        <f t="shared" si="15"/>
        <v>4543.9999999981374</v>
      </c>
      <c r="AG10" s="87">
        <f>(AG12-AG9)/3+AG9</f>
        <v>49720</v>
      </c>
      <c r="AH10" s="38">
        <f t="shared" ref="AH10" si="16">(+AG10-+AG9)*48</f>
        <v>192</v>
      </c>
      <c r="AI10" s="87">
        <f>(AI12-AI9)/3+AI9</f>
        <v>414980</v>
      </c>
      <c r="AJ10" s="38">
        <f t="shared" ref="AJ10" si="17">(+AI10-+AI9)*48</f>
        <v>5280</v>
      </c>
      <c r="AK10" s="87">
        <f>(AK12-AK9)/3+AK9</f>
        <v>102770</v>
      </c>
      <c r="AL10" s="38">
        <f t="shared" ref="AL10" si="18">(+AK10-+AK9)*48</f>
        <v>0</v>
      </c>
      <c r="AM10" s="87">
        <f>(AM12-AM9)/3+AM9</f>
        <v>571856.66666666663</v>
      </c>
      <c r="AN10" s="38">
        <f t="shared" ref="AN10" si="19">(+AM10-+AM9)*48</f>
        <v>415.99999999813735</v>
      </c>
      <c r="AO10" s="87">
        <f>(AO12-AO9)/3+AO9</f>
        <v>924799</v>
      </c>
      <c r="AP10" s="38">
        <f t="shared" ref="AP10" si="20">(+AO10-+AO9)*48</f>
        <v>9504</v>
      </c>
      <c r="AQ10" s="87">
        <f>(AQ12-AQ9)/3+AQ9</f>
        <v>77571.333333333328</v>
      </c>
      <c r="AR10" s="38">
        <f t="shared" ref="AR10" si="21">(+AQ10-+AQ9)*48</f>
        <v>2511.9999999997672</v>
      </c>
      <c r="AS10" s="80">
        <v>2262</v>
      </c>
      <c r="AT10" s="38">
        <f t="shared" ref="AT10" si="22">(+AS10-+AS9)*48</f>
        <v>0</v>
      </c>
      <c r="AU10" s="80">
        <v>939</v>
      </c>
      <c r="AV10" s="38">
        <f t="shared" ref="AV10" si="23">(+AU10-+AU9)*48</f>
        <v>0</v>
      </c>
      <c r="AW10" s="80">
        <v>3109</v>
      </c>
      <c r="AX10" s="38">
        <f t="shared" ref="AX10" si="24">(+AW10-+AW9)*48</f>
        <v>0</v>
      </c>
      <c r="AY10" s="87">
        <f>(AY12-AY9)/3+AY9</f>
        <v>315360</v>
      </c>
      <c r="AZ10" s="38">
        <f t="shared" ref="AZ10" si="25">(+AY10-+AY9)*48</f>
        <v>3504</v>
      </c>
      <c r="BA10" s="87">
        <v>161101</v>
      </c>
      <c r="BB10" s="38">
        <f t="shared" ref="BB10" si="26">(+BA10-+BA9)*48</f>
        <v>0</v>
      </c>
      <c r="BC10" s="87">
        <f>(BC12-BC9)/3+BC9</f>
        <v>215668</v>
      </c>
      <c r="BD10" s="38">
        <f t="shared" ref="BD10" si="27">(+BC10-+BC9)*48</f>
        <v>2352</v>
      </c>
      <c r="BE10" s="81">
        <v>5347</v>
      </c>
      <c r="BF10" s="38">
        <f t="shared" ref="BF10" si="28">(+BE10-+BE9)*48</f>
        <v>0</v>
      </c>
      <c r="BH10" s="109">
        <f t="shared" ref="BH10:BH36" si="29">SUM(E10,J10,P10,H10,L10,R10,T10,V10,X10,N10,AB10,Z10,AD10,AF10,AH10,AL10,AJ10)</f>
        <v>119182.75200000122</v>
      </c>
      <c r="BI10" s="109">
        <f t="shared" si="1"/>
        <v>63139.199999997909</v>
      </c>
    </row>
    <row r="11" spans="1:61" s="36" customFormat="1" ht="39.950000000000003" customHeight="1">
      <c r="A11" s="149">
        <v>44319</v>
      </c>
      <c r="B11" s="35"/>
      <c r="C11" s="87">
        <v>6010971</v>
      </c>
      <c r="D11" s="38">
        <f t="shared" ref="D11" si="30">(+C11-+C10)*48</f>
        <v>102048</v>
      </c>
      <c r="E11" s="38">
        <f t="shared" si="3"/>
        <v>61228.799999999996</v>
      </c>
      <c r="F11" s="108">
        <f t="shared" si="4"/>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5"/>
        <v>5151.9999999990687</v>
      </c>
      <c r="AE11" s="87">
        <f>(AE12-AE9)/3+AE10</f>
        <v>526587.33333333326</v>
      </c>
      <c r="AF11" s="38">
        <f t="shared" si="15"/>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29"/>
        <v>113134.7520000012</v>
      </c>
      <c r="BI11" s="109">
        <f t="shared" si="1"/>
        <v>59107.199999997909</v>
      </c>
    </row>
    <row r="12" spans="1:61" s="36" customFormat="1" ht="39.950000000000003" customHeight="1">
      <c r="A12" s="149">
        <v>44320</v>
      </c>
      <c r="B12" s="35"/>
      <c r="C12" s="87">
        <v>6012938</v>
      </c>
      <c r="D12" s="38">
        <f t="shared" ref="D12" si="54">(+C12-+C11)*48</f>
        <v>94416</v>
      </c>
      <c r="E12" s="38">
        <f t="shared" si="3"/>
        <v>56649.599999999999</v>
      </c>
      <c r="F12" s="108">
        <f t="shared" si="4"/>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5"/>
        <v>5152.0000000018626</v>
      </c>
      <c r="AE12" s="87">
        <v>526682</v>
      </c>
      <c r="AF12" s="38">
        <f t="shared" si="15"/>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29"/>
        <v>108555.55199999773</v>
      </c>
      <c r="BI12" s="109">
        <f t="shared" si="1"/>
        <v>56054.400000004192</v>
      </c>
    </row>
    <row r="13" spans="1:61" s="36" customFormat="1" ht="39.950000000000003" customHeight="1">
      <c r="A13" s="149">
        <v>44321</v>
      </c>
      <c r="B13" s="35"/>
      <c r="C13" s="87">
        <v>6015008</v>
      </c>
      <c r="D13" s="38">
        <f t="shared" ref="D13" si="78">(+C13-+C12)*48</f>
        <v>99360</v>
      </c>
      <c r="E13" s="38">
        <f t="shared" si="3"/>
        <v>59616</v>
      </c>
      <c r="F13" s="108">
        <f t="shared" si="4"/>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5"/>
        <v>5232</v>
      </c>
      <c r="AE13" s="87">
        <v>526774</v>
      </c>
      <c r="AF13" s="38">
        <f t="shared" si="15"/>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29"/>
        <v>104900.06399999955</v>
      </c>
      <c r="BI13" s="109">
        <f t="shared" si="1"/>
        <v>61104</v>
      </c>
    </row>
    <row r="14" spans="1:61" s="36" customFormat="1" ht="39.950000000000003" customHeight="1">
      <c r="A14" s="149">
        <v>44322</v>
      </c>
      <c r="B14" s="35"/>
      <c r="C14" s="87">
        <v>6017001</v>
      </c>
      <c r="D14" s="38">
        <f t="shared" ref="D14" si="102">(+C14-+C13)*48</f>
        <v>95664</v>
      </c>
      <c r="E14" s="38">
        <f t="shared" si="3"/>
        <v>57398.400000000001</v>
      </c>
      <c r="F14" s="108">
        <f t="shared" si="4"/>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5"/>
        <v>5088</v>
      </c>
      <c r="AE14" s="87">
        <v>526898</v>
      </c>
      <c r="AF14" s="38">
        <f t="shared" si="15"/>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29"/>
        <v>106200.62400000016</v>
      </c>
      <c r="BI14" s="109">
        <f t="shared" si="1"/>
        <v>60777.599999999999</v>
      </c>
    </row>
    <row r="15" spans="1:61" s="36" customFormat="1" ht="39.950000000000003" customHeight="1">
      <c r="A15" s="149">
        <v>44323</v>
      </c>
      <c r="B15" s="35"/>
      <c r="C15" s="81">
        <v>6018935</v>
      </c>
      <c r="D15" s="38">
        <f t="shared" ref="D15" si="124">(+C15-+C14)*48</f>
        <v>92832</v>
      </c>
      <c r="E15" s="38">
        <f t="shared" si="3"/>
        <v>55699.199999999997</v>
      </c>
      <c r="F15" s="108">
        <f t="shared" si="4"/>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5"/>
        <v>5520</v>
      </c>
      <c r="AE15" s="81">
        <v>527012</v>
      </c>
      <c r="AF15" s="38">
        <f t="shared" si="15"/>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29"/>
        <v>103827.60000000014</v>
      </c>
      <c r="BI15" s="109">
        <f t="shared" si="1"/>
        <v>61276.800000000003</v>
      </c>
    </row>
    <row r="16" spans="1:61" s="36" customFormat="1" ht="39.950000000000003" customHeight="1">
      <c r="A16" s="149">
        <v>44324</v>
      </c>
      <c r="B16" s="35"/>
      <c r="C16" s="81">
        <v>6020911</v>
      </c>
      <c r="D16" s="38">
        <f t="shared" ref="D16" si="148">(+C16-+C15)*48</f>
        <v>94848</v>
      </c>
      <c r="E16" s="38">
        <f t="shared" si="3"/>
        <v>56908.799999999996</v>
      </c>
      <c r="F16" s="108">
        <f t="shared" si="4"/>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5"/>
        <v>5136</v>
      </c>
      <c r="AE16" s="81">
        <v>527122</v>
      </c>
      <c r="AF16" s="38">
        <f t="shared" si="15"/>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29"/>
        <v>104667.21600000019</v>
      </c>
      <c r="BI16" s="109">
        <f t="shared" si="1"/>
        <v>58723.200000000004</v>
      </c>
    </row>
    <row r="17" spans="1:61" s="36" customFormat="1" ht="39.950000000000003" customHeight="1">
      <c r="A17" s="149">
        <v>44325</v>
      </c>
      <c r="B17" s="35"/>
      <c r="C17" s="81">
        <f>(C16+C18)/2</f>
        <v>6023017</v>
      </c>
      <c r="D17" s="38">
        <f t="shared" ref="D17" si="172">(+C17-+C16)*48</f>
        <v>101088</v>
      </c>
      <c r="E17" s="38">
        <f t="shared" si="3"/>
        <v>60652.799999999996</v>
      </c>
      <c r="F17" s="108">
        <f t="shared" si="4"/>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5"/>
        <v>4872</v>
      </c>
      <c r="AE17" s="81">
        <f>(AE18+AE16)/2</f>
        <v>527224.5</v>
      </c>
      <c r="AF17" s="38">
        <f t="shared" si="15"/>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29"/>
        <v>110731.53600000002</v>
      </c>
      <c r="BI17" s="109">
        <f t="shared" si="1"/>
        <v>60667.200000000004</v>
      </c>
    </row>
    <row r="18" spans="1:61" s="36" customFormat="1" ht="39.950000000000003" customHeight="1">
      <c r="A18" s="149">
        <v>44326</v>
      </c>
      <c r="B18" s="35"/>
      <c r="C18" s="81">
        <v>6025123</v>
      </c>
      <c r="D18" s="38">
        <f t="shared" ref="D18" si="196">(+C18-+C17)*48</f>
        <v>101088</v>
      </c>
      <c r="E18" s="38">
        <f t="shared" si="3"/>
        <v>60652.799999999996</v>
      </c>
      <c r="F18" s="108">
        <f t="shared" si="4"/>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5"/>
        <v>4872</v>
      </c>
      <c r="AE18" s="81">
        <v>527327</v>
      </c>
      <c r="AF18" s="38">
        <f t="shared" si="15"/>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29"/>
        <v>107238.23999999993</v>
      </c>
      <c r="BI18" s="109">
        <f t="shared" si="1"/>
        <v>60667.200000000004</v>
      </c>
    </row>
    <row r="19" spans="1:61" s="36" customFormat="1" ht="39.950000000000003" customHeight="1">
      <c r="A19" s="149">
        <v>44327</v>
      </c>
      <c r="B19" s="35"/>
      <c r="C19" s="86">
        <v>6027134</v>
      </c>
      <c r="D19" s="38">
        <f t="shared" ref="D19" si="220">(+C19-+C18)*48</f>
        <v>96528</v>
      </c>
      <c r="E19" s="38">
        <f t="shared" si="3"/>
        <v>57916.799999999996</v>
      </c>
      <c r="F19" s="108">
        <f t="shared" si="4"/>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5"/>
        <v>4800</v>
      </c>
      <c r="AE19" s="86">
        <v>527433</v>
      </c>
      <c r="AF19" s="38">
        <f t="shared" si="15"/>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73">
        <f t="shared" si="29"/>
        <v>100569.74400000012</v>
      </c>
      <c r="BI19" s="173">
        <f t="shared" si="1"/>
        <v>58963.200000000004</v>
      </c>
    </row>
    <row r="20" spans="1:61" s="36" customFormat="1" ht="39.950000000000003" customHeight="1">
      <c r="A20" s="149">
        <v>44328</v>
      </c>
      <c r="B20" s="35"/>
      <c r="C20" s="86">
        <v>6029133</v>
      </c>
      <c r="D20" s="38">
        <f t="shared" ref="D20" si="244">(+C20-+C19)*48</f>
        <v>95952</v>
      </c>
      <c r="E20" s="38">
        <f t="shared" si="3"/>
        <v>57571.199999999997</v>
      </c>
      <c r="F20" s="108">
        <f t="shared" si="4"/>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5"/>
        <v>4704</v>
      </c>
      <c r="AE20" s="86">
        <v>527538</v>
      </c>
      <c r="AF20" s="38">
        <f t="shared" si="15"/>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73">
        <f t="shared" si="29"/>
        <v>102216.95999999977</v>
      </c>
      <c r="BI20" s="173">
        <f t="shared" si="1"/>
        <v>58540.800000000003</v>
      </c>
    </row>
    <row r="21" spans="1:61" s="36" customFormat="1" ht="39.950000000000003" customHeight="1">
      <c r="A21" s="149">
        <v>44329</v>
      </c>
      <c r="B21" s="35"/>
      <c r="C21" s="86">
        <v>6031068</v>
      </c>
      <c r="D21" s="38">
        <f t="shared" ref="D21" si="268">(+C21-+C20)*48</f>
        <v>92880</v>
      </c>
      <c r="E21" s="38">
        <f t="shared" si="3"/>
        <v>55728</v>
      </c>
      <c r="F21" s="108">
        <f t="shared" si="4"/>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5"/>
        <v>4656</v>
      </c>
      <c r="AE21" s="86">
        <v>527643</v>
      </c>
      <c r="AF21" s="38">
        <f t="shared" si="15"/>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73">
        <f t="shared" si="29"/>
        <v>97289.280000000028</v>
      </c>
      <c r="BI21" s="173">
        <f t="shared" si="1"/>
        <v>56640</v>
      </c>
    </row>
    <row r="22" spans="1:61" s="36" customFormat="1" ht="39.950000000000003" customHeight="1">
      <c r="A22" s="149">
        <v>44330</v>
      </c>
      <c r="B22" s="35"/>
      <c r="C22" s="81">
        <v>6033121</v>
      </c>
      <c r="D22" s="38">
        <f t="shared" ref="D22" si="292">(+C22-+C21)*48</f>
        <v>98544</v>
      </c>
      <c r="E22" s="38">
        <f t="shared" si="3"/>
        <v>59126.399999999994</v>
      </c>
      <c r="F22" s="108">
        <f t="shared" si="4"/>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1499480</v>
      </c>
      <c r="Z22" s="38">
        <f t="shared" ref="Z22" si="301">(+Y22-+Y21)*48</f>
        <v>1248</v>
      </c>
      <c r="AA22" s="81">
        <v>13264</v>
      </c>
      <c r="AB22" s="38">
        <f t="shared" ref="AB22" si="302">(+AA22-+AA21)*48</f>
        <v>0</v>
      </c>
      <c r="AC22" s="81">
        <v>454929</v>
      </c>
      <c r="AD22" s="38">
        <f t="shared" si="15"/>
        <v>4848</v>
      </c>
      <c r="AE22" s="81">
        <v>527750</v>
      </c>
      <c r="AF22" s="38">
        <f t="shared" si="15"/>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73">
        <f t="shared" si="29"/>
        <v>105855.26399999982</v>
      </c>
      <c r="BI22" s="173">
        <f t="shared" si="1"/>
        <v>59049.600000000006</v>
      </c>
    </row>
    <row r="23" spans="1:61" s="36" customFormat="1" ht="39.950000000000003" customHeight="1">
      <c r="A23" s="149">
        <v>44331</v>
      </c>
      <c r="B23" s="35"/>
      <c r="C23" s="81">
        <v>6035277</v>
      </c>
      <c r="D23" s="38">
        <f t="shared" ref="D23" si="315">(+C23-+C22)*48</f>
        <v>103488</v>
      </c>
      <c r="E23" s="38">
        <f t="shared" si="3"/>
        <v>62092.799999999996</v>
      </c>
      <c r="F23" s="108">
        <f t="shared" si="4"/>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-624</v>
      </c>
      <c r="AA23" s="81">
        <v>13264</v>
      </c>
      <c r="AB23" s="38">
        <f t="shared" ref="AB23" si="325">(+AA23-+AA22)*48</f>
        <v>0</v>
      </c>
      <c r="AC23" s="81">
        <v>455026</v>
      </c>
      <c r="AD23" s="38">
        <f t="shared" si="15"/>
        <v>4656</v>
      </c>
      <c r="AE23" s="81">
        <v>527857</v>
      </c>
      <c r="AF23" s="38">
        <f t="shared" si="15"/>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29"/>
        <v>107393.27999999974</v>
      </c>
      <c r="BI23" s="109">
        <f t="shared" si="1"/>
        <v>61315.200000000004</v>
      </c>
    </row>
    <row r="24" spans="1:61" s="36" customFormat="1" ht="39.950000000000003" customHeight="1">
      <c r="A24" s="149">
        <v>44332</v>
      </c>
      <c r="B24" s="35"/>
      <c r="C24" s="81">
        <v>6037551</v>
      </c>
      <c r="D24" s="108">
        <f t="shared" ref="D24" si="339">(+C24-+C23)*48</f>
        <v>109152</v>
      </c>
      <c r="E24" s="38">
        <f t="shared" si="3"/>
        <v>65491.199999999997</v>
      </c>
      <c r="F24" s="108">
        <f t="shared" si="4"/>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5"/>
        <v>4512</v>
      </c>
      <c r="AE24" s="81">
        <v>527962</v>
      </c>
      <c r="AF24" s="108">
        <f t="shared" si="15"/>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29"/>
        <v>114782.01600000034</v>
      </c>
      <c r="BI24" s="109">
        <f t="shared" si="1"/>
        <v>62956.800000000003</v>
      </c>
    </row>
    <row r="25" spans="1:61" s="36" customFormat="1" ht="39.950000000000003" customHeight="1">
      <c r="A25" s="149">
        <v>44333</v>
      </c>
      <c r="B25" s="35"/>
      <c r="C25" s="81">
        <v>6039262</v>
      </c>
      <c r="D25" s="108">
        <f t="shared" ref="D25" si="362">(+C25-+C24)*48</f>
        <v>82128</v>
      </c>
      <c r="E25" s="38">
        <f t="shared" si="3"/>
        <v>49276.799999999996</v>
      </c>
      <c r="F25" s="108">
        <f t="shared" si="4"/>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5"/>
        <v>4656</v>
      </c>
      <c r="AE25" s="81">
        <v>528009</v>
      </c>
      <c r="AF25" s="108">
        <f t="shared" si="15"/>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29"/>
        <v>93566.01599999977</v>
      </c>
      <c r="BI25" s="109">
        <f t="shared" si="1"/>
        <v>51811.200000000004</v>
      </c>
    </row>
    <row r="26" spans="1:61" s="36" customFormat="1" ht="39.950000000000003" customHeight="1">
      <c r="A26" s="149">
        <v>44334</v>
      </c>
      <c r="B26" s="35"/>
      <c r="C26" s="81">
        <v>6041925</v>
      </c>
      <c r="D26" s="108">
        <f t="shared" ref="D26" si="385">(+C26-+C25)*48</f>
        <v>127824</v>
      </c>
      <c r="E26" s="38">
        <f t="shared" si="3"/>
        <v>76694.399999999994</v>
      </c>
      <c r="F26" s="108">
        <f t="shared" si="4"/>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5"/>
        <v>4800</v>
      </c>
      <c r="AE26" s="81">
        <v>528175</v>
      </c>
      <c r="AF26" s="108">
        <f t="shared" si="15"/>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29"/>
        <v>123796.2720000002</v>
      </c>
      <c r="BI26" s="109">
        <f t="shared" si="1"/>
        <v>70809.600000000006</v>
      </c>
    </row>
    <row r="27" spans="1:61" s="36" customFormat="1" ht="39.950000000000003" customHeight="1">
      <c r="A27" s="149">
        <v>44335</v>
      </c>
      <c r="B27" s="35"/>
      <c r="C27" s="81">
        <v>6044079</v>
      </c>
      <c r="D27" s="108">
        <f t="shared" ref="D27" si="407">(+C27-+C26)*48</f>
        <v>103392</v>
      </c>
      <c r="E27" s="38">
        <f t="shared" si="3"/>
        <v>62035.199999999997</v>
      </c>
      <c r="F27" s="108">
        <f t="shared" si="4"/>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5"/>
        <v>4992</v>
      </c>
      <c r="AE27" s="81">
        <v>528281</v>
      </c>
      <c r="AF27" s="108">
        <f t="shared" si="15"/>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29"/>
        <v>108149.56800000001</v>
      </c>
      <c r="BI27" s="109">
        <f t="shared" si="1"/>
        <v>60796.800000000003</v>
      </c>
    </row>
    <row r="28" spans="1:61" s="36" customFormat="1" ht="39.950000000000003" customHeight="1">
      <c r="A28" s="149">
        <v>44336</v>
      </c>
      <c r="B28" s="35"/>
      <c r="C28" s="81">
        <v>6046282</v>
      </c>
      <c r="D28" s="108">
        <f t="shared" ref="D28" si="430">(+C28-+C27)*48</f>
        <v>105744</v>
      </c>
      <c r="E28" s="38">
        <f t="shared" si="3"/>
        <v>63446.399999999994</v>
      </c>
      <c r="F28" s="108">
        <f t="shared" si="4"/>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5"/>
        <v>5040</v>
      </c>
      <c r="AE28" s="81">
        <v>528387</v>
      </c>
      <c r="AF28" s="108">
        <f t="shared" si="15"/>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29"/>
        <v>109866.96000000005</v>
      </c>
      <c r="BI28" s="109">
        <f t="shared" si="1"/>
        <v>61353.600000000006</v>
      </c>
    </row>
    <row r="29" spans="1:61" s="36" customFormat="1" ht="39.950000000000003" customHeight="1">
      <c r="A29" s="149">
        <v>44337</v>
      </c>
      <c r="B29" s="35"/>
      <c r="C29" s="81">
        <v>6048451</v>
      </c>
      <c r="D29" s="108">
        <f t="shared" ref="D29" si="454">(+C29-+C28)*48</f>
        <v>104112</v>
      </c>
      <c r="E29" s="38">
        <f t="shared" si="3"/>
        <v>62467.199999999997</v>
      </c>
      <c r="F29" s="108">
        <f t="shared" si="4"/>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1499498</v>
      </c>
      <c r="Z29" s="108">
        <f t="shared" ref="Z29" si="463">(+Y29-+Y28)*48</f>
        <v>0</v>
      </c>
      <c r="AA29" s="81">
        <v>13264</v>
      </c>
      <c r="AB29" s="108">
        <f t="shared" ref="AB29" si="464">(+AA29-+AA28)*48</f>
        <v>0</v>
      </c>
      <c r="AC29" s="81">
        <v>455629</v>
      </c>
      <c r="AD29" s="108">
        <f t="shared" si="15"/>
        <v>4944</v>
      </c>
      <c r="AE29" s="81">
        <v>528491</v>
      </c>
      <c r="AF29" s="108">
        <f t="shared" si="15"/>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29"/>
        <v>106293.26400000024</v>
      </c>
      <c r="BI29" s="109">
        <f t="shared" si="1"/>
        <v>61228.800000000003</v>
      </c>
    </row>
    <row r="30" spans="1:61" s="36" customFormat="1" ht="39.950000000000003" customHeight="1">
      <c r="A30" s="149">
        <v>44338</v>
      </c>
      <c r="B30" s="35"/>
      <c r="C30" s="86">
        <f>(C32-C29)/3+C29</f>
        <v>6050492.666666667</v>
      </c>
      <c r="D30" s="108">
        <f t="shared" ref="D30" si="478">(+C30-+C29)*48</f>
        <v>98000.000000014901</v>
      </c>
      <c r="E30" s="38">
        <f t="shared" si="3"/>
        <v>58800.000000008942</v>
      </c>
      <c r="F30" s="108">
        <f t="shared" si="4"/>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1499506</v>
      </c>
      <c r="Z30" s="108">
        <f t="shared" ref="Z30" si="487">(+Y30-+Y29)*48</f>
        <v>384</v>
      </c>
      <c r="AA30" s="81">
        <v>13264</v>
      </c>
      <c r="AB30" s="108">
        <f t="shared" ref="AB30" si="488">(+AA30-+AA29)*48</f>
        <v>0</v>
      </c>
      <c r="AC30" s="86">
        <f>(AC32-AC29)/3+AC29</f>
        <v>455732</v>
      </c>
      <c r="AD30" s="108">
        <f t="shared" si="15"/>
        <v>4944</v>
      </c>
      <c r="AE30" s="86">
        <f>(AE32-AE29)/3+AE29</f>
        <v>528594.33333333337</v>
      </c>
      <c r="AF30" s="108">
        <f t="shared" si="15"/>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29"/>
        <v>106156.17600000891</v>
      </c>
      <c r="BI30" s="109">
        <f t="shared" si="1"/>
        <v>58368.000000007822</v>
      </c>
    </row>
    <row r="31" spans="1:61" s="36" customFormat="1" ht="39.950000000000003" customHeight="1">
      <c r="A31" s="149">
        <v>44339</v>
      </c>
      <c r="B31" s="35"/>
      <c r="C31" s="86">
        <f>(C32-C29)/3+C30</f>
        <v>6052534.333333334</v>
      </c>
      <c r="D31" s="108">
        <f t="shared" ref="D31" si="502">(+C31-+C30)*48</f>
        <v>98000.000000014901</v>
      </c>
      <c r="E31" s="38">
        <f t="shared" si="3"/>
        <v>58800.000000008942</v>
      </c>
      <c r="F31" s="108">
        <f t="shared" si="4"/>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1499514</v>
      </c>
      <c r="Z31" s="108">
        <f t="shared" ref="Z31" si="511">(+Y31-+Y30)*48</f>
        <v>384</v>
      </c>
      <c r="AA31" s="81">
        <v>13264</v>
      </c>
      <c r="AB31" s="108">
        <f t="shared" ref="AB31" si="512">(+AA31-+AA30)*48</f>
        <v>0</v>
      </c>
      <c r="AC31" s="86">
        <f>(AC32-AC29)/3+AC30</f>
        <v>455835</v>
      </c>
      <c r="AD31" s="108">
        <f t="shared" si="15"/>
        <v>4944</v>
      </c>
      <c r="AE31" s="86">
        <f>(AE32-AE29)/3+AE30</f>
        <v>528697.66666666674</v>
      </c>
      <c r="AF31" s="108">
        <f t="shared" si="15"/>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29"/>
        <v>106156.17600000891</v>
      </c>
      <c r="BI31" s="109">
        <f t="shared" si="1"/>
        <v>58368.000000007822</v>
      </c>
    </row>
    <row r="32" spans="1:61" s="36" customFormat="1" ht="39.950000000000003" customHeight="1">
      <c r="A32" s="149">
        <v>44340</v>
      </c>
      <c r="B32" s="35"/>
      <c r="C32" s="81">
        <v>6054576</v>
      </c>
      <c r="D32" s="108">
        <f t="shared" ref="D32" si="526">(+C32-+C31)*48</f>
        <v>97999.999999970198</v>
      </c>
      <c r="E32" s="38">
        <f t="shared" si="3"/>
        <v>58799.999999982116</v>
      </c>
      <c r="F32" s="108">
        <f t="shared" si="4"/>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384</v>
      </c>
      <c r="AA32" s="81">
        <v>13264</v>
      </c>
      <c r="AB32" s="108">
        <f t="shared" ref="AB32" si="536">(+AA32-+AA31)*48</f>
        <v>0</v>
      </c>
      <c r="AC32" s="81">
        <v>455938</v>
      </c>
      <c r="AD32" s="108">
        <f t="shared" si="15"/>
        <v>4944</v>
      </c>
      <c r="AE32" s="81">
        <v>528801</v>
      </c>
      <c r="AF32" s="108">
        <f t="shared" si="15"/>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29"/>
        <v>106156.17599998209</v>
      </c>
      <c r="BI32" s="109">
        <f t="shared" si="1"/>
        <v>58367.999999984357</v>
      </c>
    </row>
    <row r="33" spans="1:61" s="36" customFormat="1" ht="39.950000000000003" customHeight="1">
      <c r="A33" s="149">
        <v>44341</v>
      </c>
      <c r="B33" s="35"/>
      <c r="C33" s="81">
        <v>6056724</v>
      </c>
      <c r="D33" s="108">
        <f t="shared" ref="D33" si="550">(+C33-+C32)*48</f>
        <v>103104</v>
      </c>
      <c r="E33" s="38">
        <f t="shared" si="3"/>
        <v>61862.399999999994</v>
      </c>
      <c r="F33" s="108">
        <f t="shared" si="4"/>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5"/>
        <v>5040</v>
      </c>
      <c r="AE33" s="81">
        <v>528904</v>
      </c>
      <c r="AF33" s="108">
        <f t="shared" si="15"/>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29"/>
        <v>105344.25599999944</v>
      </c>
      <c r="BI33" s="109">
        <f t="shared" si="1"/>
        <v>60921.600000000006</v>
      </c>
    </row>
    <row r="34" spans="1:61" s="36" customFormat="1" ht="39.950000000000003" customHeight="1">
      <c r="A34" s="149">
        <v>44342</v>
      </c>
      <c r="B34" s="35"/>
      <c r="C34" s="81">
        <v>6058792</v>
      </c>
      <c r="D34" s="108">
        <f t="shared" ref="D34" si="574">(+C34-+C33)*48</f>
        <v>99264</v>
      </c>
      <c r="E34" s="38">
        <f t="shared" si="3"/>
        <v>59558.399999999994</v>
      </c>
      <c r="F34" s="108">
        <f t="shared" si="4"/>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1">
        <v>1499528</v>
      </c>
      <c r="Z34" s="108">
        <f t="shared" ref="Z34" si="583">(+Y34-+Y33)*48</f>
        <v>0</v>
      </c>
      <c r="AA34" s="81">
        <v>13264</v>
      </c>
      <c r="AB34" s="108">
        <f t="shared" ref="AB34" si="584">(+AA34-+AA33)*48</f>
        <v>0</v>
      </c>
      <c r="AC34" s="81">
        <v>456154</v>
      </c>
      <c r="AD34" s="108">
        <f t="shared" si="15"/>
        <v>5328</v>
      </c>
      <c r="AE34" s="81">
        <v>529013</v>
      </c>
      <c r="AF34" s="108">
        <f t="shared" si="15"/>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29"/>
        <v>102327.31200000001</v>
      </c>
      <c r="BI34" s="109">
        <f t="shared" si="1"/>
        <v>59337.600000000006</v>
      </c>
    </row>
    <row r="35" spans="1:61" s="36" customFormat="1" ht="39.950000000000003" customHeight="1">
      <c r="A35" s="149">
        <v>44343</v>
      </c>
      <c r="B35" s="35"/>
      <c r="C35" s="81">
        <v>6060789</v>
      </c>
      <c r="D35" s="108">
        <f t="shared" ref="D35" si="598">(+C35-+C34)*48</f>
        <v>95856</v>
      </c>
      <c r="E35" s="38">
        <f t="shared" si="3"/>
        <v>57513.599999999999</v>
      </c>
      <c r="F35" s="108">
        <f t="shared" si="4"/>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528</v>
      </c>
      <c r="AA35" s="81">
        <v>13264</v>
      </c>
      <c r="AB35" s="108">
        <f t="shared" ref="AB35" si="608">(+AA35-+AA34)*48</f>
        <v>0</v>
      </c>
      <c r="AC35" s="81">
        <v>456259</v>
      </c>
      <c r="AD35" s="108">
        <f t="shared" si="15"/>
        <v>5040</v>
      </c>
      <c r="AE35" s="81">
        <v>529119</v>
      </c>
      <c r="AF35" s="108">
        <f t="shared" si="15"/>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29"/>
        <v>100569.12000000026</v>
      </c>
      <c r="BI35" s="109">
        <f t="shared" si="1"/>
        <v>57446.400000000001</v>
      </c>
    </row>
    <row r="36" spans="1:61" s="36" customFormat="1" ht="39.950000000000003" customHeight="1">
      <c r="A36" s="149">
        <v>44344</v>
      </c>
      <c r="B36" s="35"/>
      <c r="C36" s="81">
        <v>6062857</v>
      </c>
      <c r="D36" s="108">
        <f t="shared" ref="D36" si="622">(+C36-+C35)*48</f>
        <v>99264</v>
      </c>
      <c r="E36" s="38">
        <f t="shared" si="3"/>
        <v>59558.399999999994</v>
      </c>
      <c r="F36" s="108">
        <f t="shared" si="4"/>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5"/>
        <v>5232</v>
      </c>
      <c r="AE36" s="81">
        <v>529218</v>
      </c>
      <c r="AF36" s="108">
        <f t="shared" si="15"/>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29"/>
        <v>105074.54399999985</v>
      </c>
      <c r="BI36" s="109">
        <f t="shared" si="1"/>
        <v>59241.600000000006</v>
      </c>
    </row>
    <row r="37" spans="1:61" s="36" customFormat="1" ht="39.950000000000003" customHeight="1">
      <c r="A37" s="149">
        <v>44345</v>
      </c>
      <c r="B37" s="35"/>
      <c r="C37" s="81">
        <v>6064898</v>
      </c>
      <c r="D37" s="108">
        <f t="shared" ref="D37:D38" si="646">(+C37-+C36)*48</f>
        <v>97968</v>
      </c>
      <c r="E37" s="38">
        <f t="shared" si="3"/>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5"/>
        <v>5040</v>
      </c>
      <c r="AE37" s="81">
        <v>529315</v>
      </c>
      <c r="AF37" s="108">
        <f t="shared" si="15"/>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9">
        <v>44346</v>
      </c>
      <c r="B38" s="35"/>
      <c r="C38" s="81">
        <v>6067018</v>
      </c>
      <c r="D38" s="108">
        <f t="shared" si="646"/>
        <v>101760</v>
      </c>
      <c r="E38" s="38">
        <f t="shared" si="3"/>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9">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1" t="s">
        <v>197</v>
      </c>
      <c r="C1" s="251"/>
      <c r="D1" s="251" t="s">
        <v>197</v>
      </c>
      <c r="E1" s="251"/>
      <c r="F1" s="251" t="s">
        <v>197</v>
      </c>
      <c r="G1" s="251"/>
      <c r="H1" s="251" t="s">
        <v>198</v>
      </c>
      <c r="I1" s="251"/>
      <c r="J1" s="250"/>
      <c r="K1" s="250"/>
      <c r="L1" s="251" t="s">
        <v>199</v>
      </c>
      <c r="M1" s="251"/>
      <c r="N1" s="251" t="s">
        <v>199</v>
      </c>
      <c r="O1" s="251"/>
      <c r="P1" s="251" t="s">
        <v>199</v>
      </c>
      <c r="Q1" s="251"/>
      <c r="R1" s="251" t="s">
        <v>199</v>
      </c>
      <c r="S1" s="251"/>
      <c r="T1" s="251" t="s">
        <v>200</v>
      </c>
      <c r="U1" s="251"/>
      <c r="V1" s="255" t="s">
        <v>200</v>
      </c>
      <c r="W1" s="255"/>
      <c r="X1" s="251" t="s">
        <v>200</v>
      </c>
      <c r="Y1" s="251"/>
      <c r="Z1" s="251" t="s">
        <v>200</v>
      </c>
      <c r="AA1" s="251"/>
      <c r="AB1" s="250"/>
      <c r="AC1" s="250"/>
      <c r="AD1" s="251" t="s">
        <v>200</v>
      </c>
      <c r="AE1" s="251"/>
      <c r="AF1" s="251" t="s">
        <v>200</v>
      </c>
      <c r="AG1" s="251"/>
      <c r="AH1" s="251" t="s">
        <v>201</v>
      </c>
      <c r="AI1" s="251"/>
      <c r="AJ1" s="251" t="s">
        <v>201</v>
      </c>
      <c r="AK1" s="251"/>
      <c r="AL1" s="254" t="s">
        <v>201</v>
      </c>
      <c r="AM1" s="254"/>
      <c r="AN1" s="251" t="s">
        <v>201</v>
      </c>
      <c r="AO1" s="251"/>
      <c r="AP1" s="250" t="s">
        <v>201</v>
      </c>
      <c r="AQ1" s="250"/>
      <c r="AR1" s="254" t="s">
        <v>201</v>
      </c>
      <c r="AS1" s="254"/>
      <c r="AT1" s="251" t="s">
        <v>201</v>
      </c>
      <c r="AU1" s="251"/>
      <c r="AV1" s="250"/>
      <c r="AW1" s="250"/>
      <c r="AX1" s="251" t="s">
        <v>201</v>
      </c>
      <c r="AY1" s="251"/>
      <c r="AZ1" s="251" t="s">
        <v>201</v>
      </c>
      <c r="BA1" s="251"/>
      <c r="BB1" s="251" t="s">
        <v>201</v>
      </c>
      <c r="BC1" s="251"/>
      <c r="BD1" s="251" t="s">
        <v>202</v>
      </c>
      <c r="BE1" s="251"/>
      <c r="BF1" s="251" t="s">
        <v>202</v>
      </c>
      <c r="BG1" s="251"/>
      <c r="BH1" s="251" t="s">
        <v>202</v>
      </c>
      <c r="BI1" s="251"/>
      <c r="BJ1" s="251" t="s">
        <v>202</v>
      </c>
      <c r="BK1" s="251"/>
      <c r="BL1" s="251" t="s">
        <v>202</v>
      </c>
      <c r="BM1" s="251"/>
      <c r="BN1" s="251" t="s">
        <v>202</v>
      </c>
      <c r="BO1" s="251"/>
      <c r="BP1" s="251" t="s">
        <v>202</v>
      </c>
      <c r="BQ1" s="251"/>
      <c r="BR1" s="251" t="s">
        <v>202</v>
      </c>
      <c r="BS1" s="251"/>
      <c r="BT1" s="251" t="s">
        <v>202</v>
      </c>
      <c r="BU1" s="251"/>
      <c r="BV1" s="251" t="s">
        <v>202</v>
      </c>
      <c r="BW1" s="251"/>
      <c r="BX1" s="251" t="s">
        <v>202</v>
      </c>
      <c r="BY1" s="251"/>
      <c r="BZ1" s="251" t="s">
        <v>203</v>
      </c>
      <c r="CA1" s="251"/>
      <c r="CB1" s="255" t="s">
        <v>203</v>
      </c>
      <c r="CC1" s="255"/>
      <c r="CD1" s="251" t="s">
        <v>203</v>
      </c>
      <c r="CE1" s="251"/>
      <c r="CF1" s="251" t="s">
        <v>203</v>
      </c>
      <c r="CG1" s="251"/>
      <c r="CH1" s="251" t="s">
        <v>204</v>
      </c>
      <c r="CI1" s="251"/>
      <c r="CJ1" s="251" t="s">
        <v>204</v>
      </c>
      <c r="CK1" s="251"/>
      <c r="CL1" s="251" t="s">
        <v>204</v>
      </c>
      <c r="CM1" s="251"/>
      <c r="CN1" s="251" t="s">
        <v>205</v>
      </c>
      <c r="CO1" s="251"/>
      <c r="CP1" s="251" t="s">
        <v>205</v>
      </c>
      <c r="CQ1" s="251"/>
      <c r="CR1" s="255" t="s">
        <v>205</v>
      </c>
      <c r="CS1" s="255"/>
      <c r="CT1" s="251" t="s">
        <v>205</v>
      </c>
      <c r="CU1" s="251"/>
      <c r="CV1" s="251" t="s">
        <v>205</v>
      </c>
      <c r="CW1" s="251"/>
      <c r="CX1" s="251" t="s">
        <v>205</v>
      </c>
      <c r="CY1" s="251"/>
      <c r="CZ1" s="251" t="s">
        <v>205</v>
      </c>
      <c r="DA1" s="251"/>
      <c r="DB1" s="251" t="s">
        <v>205</v>
      </c>
      <c r="DC1" s="251"/>
      <c r="DD1" s="251" t="s">
        <v>205</v>
      </c>
      <c r="DE1" s="251"/>
      <c r="DF1" s="251" t="s">
        <v>205</v>
      </c>
      <c r="DG1" s="251"/>
      <c r="DH1" s="251" t="s">
        <v>205</v>
      </c>
      <c r="DI1" s="251"/>
      <c r="DJ1" s="250" t="s">
        <v>205</v>
      </c>
      <c r="DK1" s="250"/>
      <c r="DL1" s="251" t="s">
        <v>206</v>
      </c>
      <c r="DM1" s="251"/>
      <c r="DN1" s="251" t="s">
        <v>206</v>
      </c>
      <c r="DO1" s="251"/>
      <c r="DP1" s="251" t="s">
        <v>206</v>
      </c>
      <c r="DQ1" s="251"/>
      <c r="DR1" s="251" t="s">
        <v>206</v>
      </c>
      <c r="DS1" s="251"/>
      <c r="DT1" s="251" t="s">
        <v>206</v>
      </c>
      <c r="DU1" s="251"/>
      <c r="DV1" s="251" t="s">
        <v>206</v>
      </c>
      <c r="DW1" s="251"/>
      <c r="DX1" s="251" t="s">
        <v>207</v>
      </c>
      <c r="DY1" s="251"/>
      <c r="DZ1" s="251" t="s">
        <v>207</v>
      </c>
      <c r="EA1" s="251"/>
      <c r="EB1" s="251" t="s">
        <v>207</v>
      </c>
      <c r="EC1" s="251"/>
      <c r="ED1" s="251" t="s">
        <v>207</v>
      </c>
      <c r="EE1" s="251"/>
      <c r="EF1" s="251" t="s">
        <v>207</v>
      </c>
      <c r="EG1" s="251"/>
      <c r="EH1" s="251" t="s">
        <v>207</v>
      </c>
      <c r="EI1" s="251"/>
      <c r="EJ1" s="251" t="s">
        <v>207</v>
      </c>
      <c r="EK1" s="251"/>
      <c r="EL1" s="251" t="s">
        <v>208</v>
      </c>
      <c r="EM1" s="251"/>
      <c r="EN1" s="251" t="s">
        <v>208</v>
      </c>
      <c r="EO1" s="251"/>
      <c r="EP1" s="251" t="s">
        <v>208</v>
      </c>
      <c r="EQ1" s="251"/>
      <c r="ER1" s="251" t="s">
        <v>209</v>
      </c>
      <c r="ES1" s="251"/>
      <c r="ET1" s="251" t="s">
        <v>209</v>
      </c>
      <c r="EU1" s="251"/>
      <c r="EV1" s="251" t="s">
        <v>209</v>
      </c>
      <c r="EW1" s="251"/>
      <c r="EX1" s="251" t="s">
        <v>210</v>
      </c>
      <c r="EY1" s="251"/>
      <c r="EZ1" s="251" t="s">
        <v>211</v>
      </c>
      <c r="FA1" s="251"/>
      <c r="FB1" s="251" t="s">
        <v>211</v>
      </c>
      <c r="FC1" s="251"/>
      <c r="FD1" s="251" t="s">
        <v>211</v>
      </c>
      <c r="FE1" s="251"/>
      <c r="FF1" s="251" t="s">
        <v>212</v>
      </c>
      <c r="FG1" s="251"/>
      <c r="FH1" s="251" t="s">
        <v>212</v>
      </c>
      <c r="FI1" s="251"/>
      <c r="FJ1" s="251" t="s">
        <v>212</v>
      </c>
      <c r="FK1" s="251"/>
      <c r="FL1" s="250" t="s">
        <v>212</v>
      </c>
      <c r="FM1" s="250"/>
    </row>
    <row r="2" spans="1:169" s="24" customFormat="1" ht="49.5" customHeight="1">
      <c r="B2" s="251" t="s">
        <v>213</v>
      </c>
      <c r="C2" s="251"/>
      <c r="D2" s="251" t="s">
        <v>214</v>
      </c>
      <c r="E2" s="251"/>
      <c r="F2" s="251" t="s">
        <v>213</v>
      </c>
      <c r="G2" s="251"/>
      <c r="H2" s="251" t="s">
        <v>214</v>
      </c>
      <c r="I2" s="251"/>
      <c r="J2" s="251" t="s">
        <v>214</v>
      </c>
      <c r="K2" s="251"/>
      <c r="L2" s="251" t="s">
        <v>213</v>
      </c>
      <c r="M2" s="251"/>
      <c r="N2" s="251" t="s">
        <v>213</v>
      </c>
      <c r="O2" s="251"/>
      <c r="P2" s="251" t="s">
        <v>214</v>
      </c>
      <c r="Q2" s="251"/>
      <c r="R2" s="251" t="s">
        <v>214</v>
      </c>
      <c r="S2" s="251"/>
      <c r="T2" s="251" t="s">
        <v>213</v>
      </c>
      <c r="U2" s="251"/>
      <c r="V2" s="251" t="s">
        <v>214</v>
      </c>
      <c r="W2" s="251"/>
      <c r="X2" s="251" t="s">
        <v>214</v>
      </c>
      <c r="Y2" s="251"/>
      <c r="Z2" s="251" t="s">
        <v>214</v>
      </c>
      <c r="AA2" s="251"/>
      <c r="AB2" s="250" t="s">
        <v>214</v>
      </c>
      <c r="AC2" s="250"/>
      <c r="AD2" s="251" t="s">
        <v>213</v>
      </c>
      <c r="AE2" s="251"/>
      <c r="AF2" s="251" t="s">
        <v>214</v>
      </c>
      <c r="AG2" s="251"/>
      <c r="AH2" s="251" t="s">
        <v>214</v>
      </c>
      <c r="AI2" s="251"/>
      <c r="AJ2" s="251" t="s">
        <v>214</v>
      </c>
      <c r="AK2" s="251"/>
      <c r="AL2" s="251" t="s">
        <v>214</v>
      </c>
      <c r="AM2" s="251"/>
      <c r="AN2" s="251" t="s">
        <v>214</v>
      </c>
      <c r="AO2" s="251"/>
      <c r="AP2" s="250" t="s">
        <v>214</v>
      </c>
      <c r="AQ2" s="250"/>
      <c r="AR2" s="251" t="s">
        <v>214</v>
      </c>
      <c r="AS2" s="251"/>
      <c r="AT2" s="251" t="s">
        <v>214</v>
      </c>
      <c r="AU2" s="251"/>
      <c r="AV2" s="250" t="s">
        <v>214</v>
      </c>
      <c r="AW2" s="250"/>
      <c r="AX2" s="251" t="s">
        <v>214</v>
      </c>
      <c r="AY2" s="251"/>
      <c r="AZ2" s="251" t="s">
        <v>214</v>
      </c>
      <c r="BA2" s="251"/>
      <c r="BB2" s="251" t="s">
        <v>214</v>
      </c>
      <c r="BC2" s="251"/>
      <c r="BD2" s="251" t="s">
        <v>213</v>
      </c>
      <c r="BE2" s="251"/>
      <c r="BF2" s="251" t="s">
        <v>215</v>
      </c>
      <c r="BG2" s="251"/>
      <c r="BH2" s="251" t="s">
        <v>214</v>
      </c>
      <c r="BI2" s="251"/>
      <c r="BJ2" s="251" t="s">
        <v>214</v>
      </c>
      <c r="BK2" s="251"/>
      <c r="BL2" s="251" t="s">
        <v>214</v>
      </c>
      <c r="BM2" s="251"/>
      <c r="BN2" s="251" t="s">
        <v>214</v>
      </c>
      <c r="BO2" s="251"/>
      <c r="BP2" s="251" t="s">
        <v>214</v>
      </c>
      <c r="BQ2" s="251"/>
      <c r="BR2" s="251" t="s">
        <v>214</v>
      </c>
      <c r="BS2" s="251"/>
      <c r="BT2" s="251" t="s">
        <v>214</v>
      </c>
      <c r="BU2" s="251"/>
      <c r="BV2" s="251" t="s">
        <v>214</v>
      </c>
      <c r="BW2" s="251"/>
      <c r="BX2" s="251" t="s">
        <v>214</v>
      </c>
      <c r="BY2" s="251"/>
      <c r="BZ2" s="251" t="s">
        <v>213</v>
      </c>
      <c r="CA2" s="251"/>
      <c r="CB2" s="251" t="s">
        <v>213</v>
      </c>
      <c r="CC2" s="251"/>
      <c r="CD2" s="251" t="s">
        <v>213</v>
      </c>
      <c r="CE2" s="251"/>
      <c r="CF2" s="251" t="s">
        <v>213</v>
      </c>
      <c r="CG2" s="251"/>
      <c r="CH2" s="251" t="s">
        <v>214</v>
      </c>
      <c r="CI2" s="251"/>
      <c r="CJ2" s="251" t="s">
        <v>214</v>
      </c>
      <c r="CK2" s="251"/>
      <c r="CL2" s="251" t="s">
        <v>214</v>
      </c>
      <c r="CM2" s="251"/>
      <c r="CN2" s="251" t="s">
        <v>213</v>
      </c>
      <c r="CO2" s="251"/>
      <c r="CP2" s="251" t="s">
        <v>214</v>
      </c>
      <c r="CQ2" s="251"/>
      <c r="CR2" s="251" t="s">
        <v>214</v>
      </c>
      <c r="CS2" s="251"/>
      <c r="CT2" s="251" t="s">
        <v>214</v>
      </c>
      <c r="CU2" s="251"/>
      <c r="CV2" s="251" t="s">
        <v>214</v>
      </c>
      <c r="CW2" s="251"/>
      <c r="CX2" s="251" t="s">
        <v>214</v>
      </c>
      <c r="CY2" s="251"/>
      <c r="CZ2" s="251" t="s">
        <v>214</v>
      </c>
      <c r="DA2" s="251"/>
      <c r="DB2" s="251" t="s">
        <v>213</v>
      </c>
      <c r="DC2" s="251"/>
      <c r="DD2" s="251" t="s">
        <v>214</v>
      </c>
      <c r="DE2" s="251"/>
      <c r="DF2" s="251" t="s">
        <v>214</v>
      </c>
      <c r="DG2" s="251"/>
      <c r="DH2" s="251" t="s">
        <v>214</v>
      </c>
      <c r="DI2" s="251"/>
      <c r="DJ2" s="250" t="s">
        <v>214</v>
      </c>
      <c r="DK2" s="250"/>
      <c r="DL2" s="251" t="s">
        <v>214</v>
      </c>
      <c r="DM2" s="251"/>
      <c r="DN2" s="251" t="s">
        <v>214</v>
      </c>
      <c r="DO2" s="251"/>
      <c r="DP2" s="251" t="s">
        <v>214</v>
      </c>
      <c r="DQ2" s="251"/>
      <c r="DR2" s="251" t="s">
        <v>214</v>
      </c>
      <c r="DS2" s="251"/>
      <c r="DT2" s="251" t="s">
        <v>214</v>
      </c>
      <c r="DU2" s="251"/>
      <c r="DV2" s="251" t="s">
        <v>214</v>
      </c>
      <c r="DW2" s="251"/>
      <c r="DX2" s="251" t="s">
        <v>214</v>
      </c>
      <c r="DY2" s="251"/>
      <c r="DZ2" s="251" t="s">
        <v>214</v>
      </c>
      <c r="EA2" s="251"/>
      <c r="EB2" s="251" t="s">
        <v>214</v>
      </c>
      <c r="EC2" s="251"/>
      <c r="ED2" s="251" t="s">
        <v>214</v>
      </c>
      <c r="EE2" s="251"/>
      <c r="EF2" s="251" t="s">
        <v>214</v>
      </c>
      <c r="EG2" s="251"/>
      <c r="EH2" s="251" t="s">
        <v>214</v>
      </c>
      <c r="EI2" s="251"/>
      <c r="EJ2" s="251" t="s">
        <v>214</v>
      </c>
      <c r="EK2" s="251"/>
      <c r="EL2" s="251" t="s">
        <v>214</v>
      </c>
      <c r="EM2" s="251"/>
      <c r="EN2" s="251" t="s">
        <v>214</v>
      </c>
      <c r="EO2" s="251"/>
      <c r="EP2" s="251" t="s">
        <v>214</v>
      </c>
      <c r="EQ2" s="251"/>
      <c r="ER2" s="251" t="s">
        <v>214</v>
      </c>
      <c r="ES2" s="251"/>
      <c r="ET2" s="251" t="s">
        <v>214</v>
      </c>
      <c r="EU2" s="251"/>
      <c r="EV2" s="251" t="s">
        <v>214</v>
      </c>
      <c r="EW2" s="251"/>
      <c r="EX2" s="251" t="s">
        <v>214</v>
      </c>
      <c r="EY2" s="251"/>
      <c r="EZ2" s="251" t="s">
        <v>214</v>
      </c>
      <c r="FA2" s="251"/>
      <c r="FB2" s="251" t="s">
        <v>214</v>
      </c>
      <c r="FC2" s="251"/>
      <c r="FD2" s="251" t="s">
        <v>214</v>
      </c>
      <c r="FE2" s="251"/>
      <c r="FF2" s="251" t="s">
        <v>214</v>
      </c>
      <c r="FG2" s="251"/>
      <c r="FH2" s="251" t="s">
        <v>214</v>
      </c>
      <c r="FI2" s="251"/>
      <c r="FJ2" s="251" t="s">
        <v>214</v>
      </c>
      <c r="FK2" s="251"/>
      <c r="FL2" s="250" t="s">
        <v>214</v>
      </c>
      <c r="FM2" s="250"/>
    </row>
    <row r="3" spans="1:169" s="24" customFormat="1" ht="49.5" customHeight="1">
      <c r="B3" s="216" t="s">
        <v>67</v>
      </c>
      <c r="C3" s="218"/>
      <c r="D3" s="216" t="s">
        <v>216</v>
      </c>
      <c r="E3" s="218"/>
      <c r="F3" s="216"/>
      <c r="G3" s="218"/>
      <c r="H3" s="216" t="s">
        <v>216</v>
      </c>
      <c r="I3" s="218"/>
      <c r="J3" s="216" t="s">
        <v>216</v>
      </c>
      <c r="K3" s="218"/>
      <c r="L3" s="216"/>
      <c r="M3" s="218"/>
      <c r="N3" s="216"/>
      <c r="O3" s="218"/>
      <c r="P3" s="216" t="s">
        <v>216</v>
      </c>
      <c r="Q3" s="218"/>
      <c r="R3" s="216" t="s">
        <v>216</v>
      </c>
      <c r="S3" s="218"/>
      <c r="T3" s="216"/>
      <c r="U3" s="218"/>
      <c r="V3" s="216" t="s">
        <v>217</v>
      </c>
      <c r="W3" s="218"/>
      <c r="X3" s="216" t="s">
        <v>217</v>
      </c>
      <c r="Y3" s="218"/>
      <c r="Z3" s="216" t="s">
        <v>217</v>
      </c>
      <c r="AA3" s="218"/>
      <c r="AB3" s="252" t="s">
        <v>217</v>
      </c>
      <c r="AC3" s="253"/>
      <c r="AD3" s="216"/>
      <c r="AE3" s="218"/>
      <c r="AF3" s="216" t="s">
        <v>217</v>
      </c>
      <c r="AG3" s="218"/>
      <c r="AH3" s="216" t="s">
        <v>216</v>
      </c>
      <c r="AI3" s="218"/>
      <c r="AJ3" s="216" t="s">
        <v>216</v>
      </c>
      <c r="AK3" s="218"/>
      <c r="AL3" s="216" t="s">
        <v>216</v>
      </c>
      <c r="AM3" s="218"/>
      <c r="AN3" s="216" t="s">
        <v>216</v>
      </c>
      <c r="AO3" s="218"/>
      <c r="AP3" s="252" t="s">
        <v>216</v>
      </c>
      <c r="AQ3" s="253"/>
      <c r="AR3" s="216" t="s">
        <v>216</v>
      </c>
      <c r="AS3" s="218"/>
      <c r="AT3" s="216" t="s">
        <v>216</v>
      </c>
      <c r="AU3" s="218"/>
      <c r="AV3" s="252" t="s">
        <v>216</v>
      </c>
      <c r="AW3" s="253"/>
      <c r="AX3" s="216" t="s">
        <v>216</v>
      </c>
      <c r="AY3" s="218"/>
      <c r="AZ3" s="216" t="s">
        <v>216</v>
      </c>
      <c r="BA3" s="218"/>
      <c r="BB3" s="216" t="s">
        <v>216</v>
      </c>
      <c r="BC3" s="218"/>
      <c r="BD3" s="216"/>
      <c r="BE3" s="218"/>
      <c r="BF3" s="216"/>
      <c r="BG3" s="218"/>
      <c r="BH3" s="216" t="s">
        <v>216</v>
      </c>
      <c r="BI3" s="218"/>
      <c r="BJ3" s="216" t="s">
        <v>216</v>
      </c>
      <c r="BK3" s="218"/>
      <c r="BL3" s="216" t="s">
        <v>216</v>
      </c>
      <c r="BM3" s="218"/>
      <c r="BN3" s="216" t="s">
        <v>216</v>
      </c>
      <c r="BO3" s="218"/>
      <c r="BP3" s="216" t="s">
        <v>216</v>
      </c>
      <c r="BQ3" s="218"/>
      <c r="BR3" s="216" t="s">
        <v>216</v>
      </c>
      <c r="BS3" s="218"/>
      <c r="BT3" s="216" t="s">
        <v>216</v>
      </c>
      <c r="BU3" s="218"/>
      <c r="BV3" s="216" t="s">
        <v>216</v>
      </c>
      <c r="BW3" s="218"/>
      <c r="BX3" s="216" t="s">
        <v>216</v>
      </c>
      <c r="BY3" s="218"/>
      <c r="BZ3" s="216" t="s">
        <v>66</v>
      </c>
      <c r="CA3" s="218"/>
      <c r="CB3" s="216" t="s">
        <v>66</v>
      </c>
      <c r="CC3" s="218"/>
      <c r="CD3" s="216" t="s">
        <v>66</v>
      </c>
      <c r="CE3" s="218"/>
      <c r="CF3" s="117"/>
      <c r="CG3" s="117"/>
      <c r="CH3" s="216" t="s">
        <v>67</v>
      </c>
      <c r="CI3" s="218"/>
      <c r="CJ3" s="216" t="s">
        <v>67</v>
      </c>
      <c r="CK3" s="218"/>
      <c r="CL3" s="216" t="s">
        <v>216</v>
      </c>
      <c r="CM3" s="218"/>
      <c r="CN3" s="216"/>
      <c r="CO3" s="218"/>
      <c r="CP3" s="216" t="s">
        <v>216</v>
      </c>
      <c r="CQ3" s="218"/>
      <c r="CR3" s="216" t="s">
        <v>216</v>
      </c>
      <c r="CS3" s="218"/>
      <c r="CT3" s="216" t="s">
        <v>216</v>
      </c>
      <c r="CU3" s="218"/>
      <c r="CV3" s="216" t="s">
        <v>216</v>
      </c>
      <c r="CW3" s="218"/>
      <c r="CX3" s="216" t="s">
        <v>216</v>
      </c>
      <c r="CY3" s="218"/>
      <c r="CZ3" s="216" t="s">
        <v>216</v>
      </c>
      <c r="DA3" s="218"/>
      <c r="DB3" s="216" t="s">
        <v>216</v>
      </c>
      <c r="DC3" s="218"/>
      <c r="DD3" s="216" t="s">
        <v>216</v>
      </c>
      <c r="DE3" s="218"/>
      <c r="DF3" s="216" t="s">
        <v>216</v>
      </c>
      <c r="DG3" s="218"/>
      <c r="DH3" s="216" t="s">
        <v>216</v>
      </c>
      <c r="DI3" s="218"/>
      <c r="DJ3" s="252" t="s">
        <v>216</v>
      </c>
      <c r="DK3" s="253"/>
      <c r="DL3" s="216" t="s">
        <v>65</v>
      </c>
      <c r="DM3" s="218"/>
      <c r="DN3" s="216" t="s">
        <v>65</v>
      </c>
      <c r="DO3" s="218"/>
      <c r="DP3" s="216" t="s">
        <v>65</v>
      </c>
      <c r="DQ3" s="218"/>
      <c r="DR3" s="216" t="s">
        <v>65</v>
      </c>
      <c r="DS3" s="218"/>
      <c r="DT3" s="216" t="s">
        <v>65</v>
      </c>
      <c r="DU3" s="218"/>
      <c r="DV3" s="216" t="s">
        <v>218</v>
      </c>
      <c r="DW3" s="218"/>
      <c r="DX3" s="216" t="s">
        <v>65</v>
      </c>
      <c r="DY3" s="218"/>
      <c r="DZ3" s="216" t="s">
        <v>217</v>
      </c>
      <c r="EA3" s="218"/>
      <c r="EB3" s="216" t="s">
        <v>65</v>
      </c>
      <c r="EC3" s="218"/>
      <c r="ED3" s="216" t="s">
        <v>65</v>
      </c>
      <c r="EE3" s="218"/>
      <c r="EF3" s="216" t="s">
        <v>65</v>
      </c>
      <c r="EG3" s="218"/>
      <c r="EH3" s="216" t="s">
        <v>65</v>
      </c>
      <c r="EI3" s="218"/>
      <c r="EJ3" s="216" t="s">
        <v>65</v>
      </c>
      <c r="EK3" s="218"/>
      <c r="EL3" s="216" t="s">
        <v>67</v>
      </c>
      <c r="EM3" s="218"/>
      <c r="EN3" s="216" t="s">
        <v>67</v>
      </c>
      <c r="EO3" s="218"/>
      <c r="EP3" s="216" t="s">
        <v>67</v>
      </c>
      <c r="EQ3" s="218"/>
      <c r="ER3" s="216" t="s">
        <v>67</v>
      </c>
      <c r="ES3" s="218"/>
      <c r="ET3" s="216" t="s">
        <v>67</v>
      </c>
      <c r="EU3" s="218"/>
      <c r="EV3" s="216" t="s">
        <v>67</v>
      </c>
      <c r="EW3" s="218"/>
      <c r="EX3" s="216" t="s">
        <v>67</v>
      </c>
      <c r="EY3" s="218"/>
      <c r="EZ3" s="216" t="s">
        <v>67</v>
      </c>
      <c r="FA3" s="218"/>
      <c r="FB3" s="216" t="s">
        <v>67</v>
      </c>
      <c r="FC3" s="218"/>
      <c r="FD3" s="216" t="s">
        <v>67</v>
      </c>
      <c r="FE3" s="218"/>
      <c r="FF3" s="216" t="s">
        <v>67</v>
      </c>
      <c r="FG3" s="218"/>
      <c r="FH3" s="216" t="s">
        <v>67</v>
      </c>
      <c r="FI3" s="218"/>
      <c r="FJ3" s="216" t="s">
        <v>67</v>
      </c>
      <c r="FK3" s="218"/>
      <c r="FL3" s="252" t="s">
        <v>216</v>
      </c>
      <c r="FM3" s="253"/>
    </row>
    <row r="4" spans="1:169" s="24" customFormat="1" ht="30" customHeight="1">
      <c r="B4" s="216" t="s">
        <v>219</v>
      </c>
      <c r="C4" s="218"/>
      <c r="D4" s="216" t="s">
        <v>219</v>
      </c>
      <c r="E4" s="218"/>
      <c r="F4" s="114"/>
      <c r="G4" s="115"/>
      <c r="H4" s="216" t="s">
        <v>219</v>
      </c>
      <c r="I4" s="218"/>
      <c r="J4" s="216" t="s">
        <v>220</v>
      </c>
      <c r="K4" s="218"/>
      <c r="L4" s="114"/>
      <c r="M4" s="115"/>
      <c r="N4" s="216"/>
      <c r="O4" s="218"/>
      <c r="P4" s="216" t="s">
        <v>221</v>
      </c>
      <c r="Q4" s="218"/>
      <c r="R4" s="216" t="s">
        <v>221</v>
      </c>
      <c r="S4" s="218"/>
      <c r="T4" s="114"/>
      <c r="U4" s="115"/>
      <c r="V4" s="216" t="s">
        <v>221</v>
      </c>
      <c r="W4" s="218"/>
      <c r="X4" s="216" t="s">
        <v>221</v>
      </c>
      <c r="Y4" s="218"/>
      <c r="Z4" s="216" t="s">
        <v>221</v>
      </c>
      <c r="AA4" s="218"/>
      <c r="AB4" s="252" t="s">
        <v>221</v>
      </c>
      <c r="AC4" s="253"/>
      <c r="AD4" s="114"/>
      <c r="AE4" s="115"/>
      <c r="AF4" s="216" t="s">
        <v>221</v>
      </c>
      <c r="AG4" s="218"/>
      <c r="AH4" s="216" t="s">
        <v>221</v>
      </c>
      <c r="AI4" s="218"/>
      <c r="AJ4" s="216" t="s">
        <v>219</v>
      </c>
      <c r="AK4" s="218"/>
      <c r="AL4" s="216" t="s">
        <v>219</v>
      </c>
      <c r="AM4" s="218"/>
      <c r="AN4" s="216" t="s">
        <v>219</v>
      </c>
      <c r="AO4" s="218"/>
      <c r="AP4" s="252" t="s">
        <v>220</v>
      </c>
      <c r="AQ4" s="253"/>
      <c r="AR4" s="216" t="s">
        <v>219</v>
      </c>
      <c r="AS4" s="218"/>
      <c r="AT4" s="216" t="s">
        <v>219</v>
      </c>
      <c r="AU4" s="218"/>
      <c r="AV4" s="252" t="s">
        <v>219</v>
      </c>
      <c r="AW4" s="253"/>
      <c r="AX4" s="216" t="s">
        <v>221</v>
      </c>
      <c r="AY4" s="218"/>
      <c r="AZ4" s="216" t="s">
        <v>219</v>
      </c>
      <c r="BA4" s="218"/>
      <c r="BB4" s="216" t="s">
        <v>219</v>
      </c>
      <c r="BC4" s="218"/>
      <c r="BD4" s="114"/>
      <c r="BE4" s="115"/>
      <c r="BF4" s="114"/>
      <c r="BG4" s="115"/>
      <c r="BH4" s="216" t="s">
        <v>220</v>
      </c>
      <c r="BI4" s="218"/>
      <c r="BJ4" s="216" t="s">
        <v>221</v>
      </c>
      <c r="BK4" s="218"/>
      <c r="BL4" s="216" t="s">
        <v>219</v>
      </c>
      <c r="BM4" s="218"/>
      <c r="BN4" s="216" t="s">
        <v>219</v>
      </c>
      <c r="BO4" s="218"/>
      <c r="BP4" s="216" t="s">
        <v>219</v>
      </c>
      <c r="BQ4" s="218"/>
      <c r="BR4" s="216" t="s">
        <v>219</v>
      </c>
      <c r="BS4" s="218"/>
      <c r="BT4" s="216" t="s">
        <v>219</v>
      </c>
      <c r="BU4" s="218"/>
      <c r="BV4" s="216" t="s">
        <v>219</v>
      </c>
      <c r="BW4" s="218"/>
      <c r="BX4" s="216" t="s">
        <v>219</v>
      </c>
      <c r="BY4" s="218"/>
      <c r="BZ4" s="216" t="s">
        <v>221</v>
      </c>
      <c r="CA4" s="218"/>
      <c r="CB4" s="216" t="s">
        <v>221</v>
      </c>
      <c r="CC4" s="218"/>
      <c r="CD4" s="216" t="s">
        <v>221</v>
      </c>
      <c r="CE4" s="218"/>
      <c r="CF4" s="216" t="s">
        <v>219</v>
      </c>
      <c r="CG4" s="218"/>
      <c r="CH4" s="216" t="s">
        <v>219</v>
      </c>
      <c r="CI4" s="218"/>
      <c r="CJ4" s="216" t="s">
        <v>219</v>
      </c>
      <c r="CK4" s="218"/>
      <c r="CL4" s="216" t="s">
        <v>219</v>
      </c>
      <c r="CM4" s="218"/>
      <c r="CN4" s="114"/>
      <c r="CO4" s="115"/>
      <c r="CP4" s="216" t="s">
        <v>220</v>
      </c>
      <c r="CQ4" s="218"/>
      <c r="CR4" s="216" t="s">
        <v>222</v>
      </c>
      <c r="CS4" s="218"/>
      <c r="CT4" s="216" t="s">
        <v>220</v>
      </c>
      <c r="CU4" s="218"/>
      <c r="CV4" s="216" t="s">
        <v>221</v>
      </c>
      <c r="CW4" s="218"/>
      <c r="CX4" s="216" t="s">
        <v>219</v>
      </c>
      <c r="CY4" s="218"/>
      <c r="CZ4" s="216" t="s">
        <v>219</v>
      </c>
      <c r="DA4" s="218"/>
      <c r="DB4" s="114"/>
      <c r="DC4" s="115"/>
      <c r="DD4" s="216" t="s">
        <v>220</v>
      </c>
      <c r="DE4" s="218"/>
      <c r="DF4" s="216" t="s">
        <v>221</v>
      </c>
      <c r="DG4" s="218"/>
      <c r="DH4" s="216" t="s">
        <v>221</v>
      </c>
      <c r="DI4" s="218"/>
      <c r="DJ4" s="252" t="s">
        <v>220</v>
      </c>
      <c r="DK4" s="253"/>
      <c r="DL4" s="216" t="s">
        <v>219</v>
      </c>
      <c r="DM4" s="218"/>
      <c r="DN4" s="216" t="s">
        <v>219</v>
      </c>
      <c r="DO4" s="218"/>
      <c r="DP4" s="216" t="s">
        <v>219</v>
      </c>
      <c r="DQ4" s="218"/>
      <c r="DR4" s="216" t="s">
        <v>219</v>
      </c>
      <c r="DS4" s="218"/>
      <c r="DT4" s="216" t="s">
        <v>221</v>
      </c>
      <c r="DU4" s="218"/>
      <c r="DV4" s="216" t="s">
        <v>221</v>
      </c>
      <c r="DW4" s="218"/>
      <c r="DX4" s="216" t="s">
        <v>223</v>
      </c>
      <c r="DY4" s="218"/>
      <c r="DZ4" s="216" t="s">
        <v>224</v>
      </c>
      <c r="EA4" s="218"/>
      <c r="EB4" s="216" t="s">
        <v>223</v>
      </c>
      <c r="EC4" s="218"/>
      <c r="ED4" s="216" t="s">
        <v>219</v>
      </c>
      <c r="EE4" s="218"/>
      <c r="EF4" s="216" t="s">
        <v>219</v>
      </c>
      <c r="EG4" s="218"/>
      <c r="EH4" s="216" t="s">
        <v>221</v>
      </c>
      <c r="EI4" s="218"/>
      <c r="EJ4" s="216" t="s">
        <v>221</v>
      </c>
      <c r="EK4" s="218"/>
      <c r="EL4" s="216" t="s">
        <v>219</v>
      </c>
      <c r="EM4" s="218"/>
      <c r="EN4" s="216" t="s">
        <v>219</v>
      </c>
      <c r="EO4" s="218"/>
      <c r="EP4" s="216" t="s">
        <v>219</v>
      </c>
      <c r="EQ4" s="218"/>
      <c r="ER4" s="216" t="s">
        <v>219</v>
      </c>
      <c r="ES4" s="218"/>
      <c r="ET4" s="216" t="s">
        <v>219</v>
      </c>
      <c r="EU4" s="218"/>
      <c r="EV4" s="216" t="s">
        <v>219</v>
      </c>
      <c r="EW4" s="218"/>
      <c r="EX4" s="216" t="s">
        <v>219</v>
      </c>
      <c r="EY4" s="218"/>
      <c r="EZ4" s="216" t="s">
        <v>221</v>
      </c>
      <c r="FA4" s="218"/>
      <c r="FB4" s="216" t="s">
        <v>219</v>
      </c>
      <c r="FC4" s="218"/>
      <c r="FD4" s="216" t="s">
        <v>219</v>
      </c>
      <c r="FE4" s="218"/>
      <c r="FF4" s="216" t="s">
        <v>223</v>
      </c>
      <c r="FG4" s="218"/>
      <c r="FH4" s="216" t="s">
        <v>219</v>
      </c>
      <c r="FI4" s="218"/>
      <c r="FJ4" s="216" t="s">
        <v>223</v>
      </c>
      <c r="FK4" s="218"/>
      <c r="FL4" s="252" t="s">
        <v>219</v>
      </c>
      <c r="FM4" s="253"/>
    </row>
    <row r="5" spans="1:169" s="88" customFormat="1" ht="138.75" customHeight="1">
      <c r="B5" s="256" t="s">
        <v>78</v>
      </c>
      <c r="C5" s="256"/>
      <c r="D5" s="256" t="s">
        <v>225</v>
      </c>
      <c r="E5" s="256"/>
      <c r="F5" s="256" t="s">
        <v>79</v>
      </c>
      <c r="G5" s="256"/>
      <c r="H5" s="256" t="s">
        <v>226</v>
      </c>
      <c r="I5" s="256"/>
      <c r="J5" s="256" t="s">
        <v>227</v>
      </c>
      <c r="K5" s="256"/>
      <c r="L5" s="256" t="s">
        <v>78</v>
      </c>
      <c r="M5" s="256"/>
      <c r="N5" s="256" t="s">
        <v>80</v>
      </c>
      <c r="O5" s="256"/>
      <c r="P5" s="256" t="s">
        <v>228</v>
      </c>
      <c r="Q5" s="256"/>
      <c r="R5" s="256" t="s">
        <v>228</v>
      </c>
      <c r="S5" s="256"/>
      <c r="T5" s="256" t="s">
        <v>68</v>
      </c>
      <c r="U5" s="256"/>
      <c r="V5" s="256" t="s">
        <v>229</v>
      </c>
      <c r="W5" s="256"/>
      <c r="X5" s="256" t="s">
        <v>230</v>
      </c>
      <c r="Y5" s="256"/>
      <c r="Z5" s="256" t="s">
        <v>231</v>
      </c>
      <c r="AA5" s="256"/>
      <c r="AB5" s="257" t="s">
        <v>228</v>
      </c>
      <c r="AC5" s="257"/>
      <c r="AD5" s="256" t="s">
        <v>69</v>
      </c>
      <c r="AE5" s="256"/>
      <c r="AF5" s="256" t="s">
        <v>232</v>
      </c>
      <c r="AG5" s="256"/>
      <c r="AH5" s="256" t="s">
        <v>233</v>
      </c>
      <c r="AI5" s="256"/>
      <c r="AJ5" s="256" t="s">
        <v>234</v>
      </c>
      <c r="AK5" s="256"/>
      <c r="AL5" s="256" t="s">
        <v>226</v>
      </c>
      <c r="AM5" s="256"/>
      <c r="AN5" s="256" t="s">
        <v>235</v>
      </c>
      <c r="AO5" s="256"/>
      <c r="AP5" s="257" t="s">
        <v>236</v>
      </c>
      <c r="AQ5" s="257"/>
      <c r="AR5" s="256" t="s">
        <v>237</v>
      </c>
      <c r="AS5" s="256"/>
      <c r="AT5" s="256" t="s">
        <v>238</v>
      </c>
      <c r="AU5" s="256"/>
      <c r="AV5" s="257" t="s">
        <v>239</v>
      </c>
      <c r="AW5" s="257"/>
      <c r="AX5" s="256" t="s">
        <v>228</v>
      </c>
      <c r="AY5" s="256"/>
      <c r="AZ5" s="256" t="s">
        <v>226</v>
      </c>
      <c r="BA5" s="256"/>
      <c r="BB5" s="256" t="s">
        <v>240</v>
      </c>
      <c r="BC5" s="256"/>
      <c r="BD5" s="256" t="s">
        <v>71</v>
      </c>
      <c r="BE5" s="256"/>
      <c r="BF5" s="256" t="s">
        <v>72</v>
      </c>
      <c r="BG5" s="256"/>
      <c r="BH5" s="256" t="s">
        <v>241</v>
      </c>
      <c r="BI5" s="256"/>
      <c r="BJ5" s="256" t="s">
        <v>242</v>
      </c>
      <c r="BK5" s="256"/>
      <c r="BL5" s="256" t="s">
        <v>243</v>
      </c>
      <c r="BM5" s="256"/>
      <c r="BN5" s="256" t="s">
        <v>244</v>
      </c>
      <c r="BO5" s="256"/>
      <c r="BP5" s="256" t="s">
        <v>245</v>
      </c>
      <c r="BQ5" s="256"/>
      <c r="BR5" s="256" t="s">
        <v>246</v>
      </c>
      <c r="BS5" s="256"/>
      <c r="BT5" s="256" t="s">
        <v>247</v>
      </c>
      <c r="BU5" s="256"/>
      <c r="BV5" s="256" t="s">
        <v>248</v>
      </c>
      <c r="BW5" s="256"/>
      <c r="BX5" s="256" t="s">
        <v>246</v>
      </c>
      <c r="BY5" s="256"/>
      <c r="BZ5" s="256" t="s">
        <v>74</v>
      </c>
      <c r="CA5" s="256"/>
      <c r="CB5" s="256" t="s">
        <v>75</v>
      </c>
      <c r="CC5" s="256"/>
      <c r="CD5" s="256" t="s">
        <v>76</v>
      </c>
      <c r="CE5" s="256"/>
      <c r="CF5" s="256" t="s">
        <v>77</v>
      </c>
      <c r="CG5" s="256"/>
      <c r="CH5" s="256" t="s">
        <v>249</v>
      </c>
      <c r="CI5" s="256"/>
      <c r="CJ5" s="256" t="s">
        <v>249</v>
      </c>
      <c r="CK5" s="256"/>
      <c r="CL5" s="256" t="s">
        <v>250</v>
      </c>
      <c r="CM5" s="256"/>
      <c r="CN5" s="256" t="s">
        <v>70</v>
      </c>
      <c r="CO5" s="256"/>
      <c r="CP5" s="258" t="s">
        <v>251</v>
      </c>
      <c r="CQ5" s="258"/>
      <c r="CR5" s="258" t="s">
        <v>222</v>
      </c>
      <c r="CS5" s="258"/>
      <c r="CT5" s="258" t="s">
        <v>252</v>
      </c>
      <c r="CU5" s="258"/>
      <c r="CV5" s="258" t="s">
        <v>253</v>
      </c>
      <c r="CW5" s="258"/>
      <c r="CX5" s="258" t="s">
        <v>254</v>
      </c>
      <c r="CY5" s="258"/>
      <c r="CZ5" s="258" t="s">
        <v>255</v>
      </c>
      <c r="DA5" s="258"/>
      <c r="DB5" s="256" t="s">
        <v>73</v>
      </c>
      <c r="DC5" s="256"/>
      <c r="DD5" s="256" t="s">
        <v>256</v>
      </c>
      <c r="DE5" s="256"/>
      <c r="DF5" s="256" t="s">
        <v>257</v>
      </c>
      <c r="DG5" s="256"/>
      <c r="DH5" s="256" t="s">
        <v>258</v>
      </c>
      <c r="DI5" s="256"/>
      <c r="DJ5" s="257" t="s">
        <v>256</v>
      </c>
      <c r="DK5" s="257"/>
      <c r="DL5" s="256" t="s">
        <v>259</v>
      </c>
      <c r="DM5" s="256"/>
      <c r="DN5" s="256" t="s">
        <v>259</v>
      </c>
      <c r="DO5" s="256"/>
      <c r="DP5" s="256" t="s">
        <v>260</v>
      </c>
      <c r="DQ5" s="256"/>
      <c r="DR5" s="256" t="s">
        <v>260</v>
      </c>
      <c r="DS5" s="256"/>
      <c r="DT5" s="256" t="s">
        <v>232</v>
      </c>
      <c r="DU5" s="256"/>
      <c r="DV5" s="256" t="s">
        <v>261</v>
      </c>
      <c r="DW5" s="256"/>
      <c r="DX5" s="258" t="s">
        <v>262</v>
      </c>
      <c r="DY5" s="258"/>
      <c r="DZ5" s="256" t="s">
        <v>226</v>
      </c>
      <c r="EA5" s="256"/>
      <c r="EB5" s="258" t="s">
        <v>263</v>
      </c>
      <c r="EC5" s="258"/>
      <c r="ED5" s="258" t="s">
        <v>264</v>
      </c>
      <c r="EE5" s="258"/>
      <c r="EF5" s="258" t="s">
        <v>265</v>
      </c>
      <c r="EG5" s="258"/>
      <c r="EH5" s="258" t="s">
        <v>228</v>
      </c>
      <c r="EI5" s="258"/>
      <c r="EJ5" s="258" t="s">
        <v>266</v>
      </c>
      <c r="EK5" s="258"/>
      <c r="EL5" s="256" t="s">
        <v>267</v>
      </c>
      <c r="EM5" s="256"/>
      <c r="EN5" s="256" t="s">
        <v>268</v>
      </c>
      <c r="EO5" s="256"/>
      <c r="EP5" s="256" t="s">
        <v>269</v>
      </c>
      <c r="EQ5" s="256"/>
      <c r="ER5" s="256" t="s">
        <v>270</v>
      </c>
      <c r="ES5" s="256"/>
      <c r="ET5" s="256" t="s">
        <v>268</v>
      </c>
      <c r="EU5" s="256"/>
      <c r="EV5" s="256" t="s">
        <v>269</v>
      </c>
      <c r="EW5" s="256"/>
      <c r="EX5" s="256" t="s">
        <v>271</v>
      </c>
      <c r="EY5" s="256"/>
      <c r="EZ5" s="256" t="s">
        <v>266</v>
      </c>
      <c r="FA5" s="256"/>
      <c r="FB5" s="256" t="s">
        <v>272</v>
      </c>
      <c r="FC5" s="256"/>
      <c r="FD5" s="256" t="s">
        <v>273</v>
      </c>
      <c r="FE5" s="256"/>
      <c r="FF5" s="256" t="s">
        <v>274</v>
      </c>
      <c r="FG5" s="256"/>
      <c r="FH5" s="256" t="s">
        <v>275</v>
      </c>
      <c r="FI5" s="256"/>
      <c r="FJ5" s="256" t="s">
        <v>276</v>
      </c>
      <c r="FK5" s="256"/>
      <c r="FL5" s="257" t="s">
        <v>277</v>
      </c>
      <c r="FM5" s="257"/>
    </row>
    <row r="6" spans="1:169" s="24" customFormat="1" ht="30" customHeight="1">
      <c r="B6" s="251">
        <v>5065544</v>
      </c>
      <c r="C6" s="251"/>
      <c r="D6" s="216"/>
      <c r="E6" s="218"/>
      <c r="F6" s="251">
        <v>5065541</v>
      </c>
      <c r="G6" s="251"/>
      <c r="H6" s="216"/>
      <c r="I6" s="218"/>
      <c r="J6" s="216"/>
      <c r="K6" s="218"/>
      <c r="L6" s="251">
        <v>5065542</v>
      </c>
      <c r="M6" s="251"/>
      <c r="N6" s="251">
        <v>5065540</v>
      </c>
      <c r="O6" s="251"/>
      <c r="P6" s="216"/>
      <c r="Q6" s="218"/>
      <c r="R6" s="216"/>
      <c r="S6" s="218"/>
      <c r="T6" s="251">
        <v>5065546</v>
      </c>
      <c r="U6" s="251"/>
      <c r="V6" s="216"/>
      <c r="W6" s="218"/>
      <c r="X6" s="216"/>
      <c r="Y6" s="218"/>
      <c r="Z6" s="216"/>
      <c r="AA6" s="218"/>
      <c r="AB6" s="216"/>
      <c r="AC6" s="218"/>
      <c r="AD6" s="251">
        <v>5065547</v>
      </c>
      <c r="AE6" s="251"/>
      <c r="AF6" s="216"/>
      <c r="AG6" s="218"/>
      <c r="AH6" s="259"/>
      <c r="AI6" s="260"/>
      <c r="AJ6" s="259"/>
      <c r="AK6" s="260"/>
      <c r="AL6" s="259"/>
      <c r="AM6" s="260"/>
      <c r="AN6" s="259"/>
      <c r="AO6" s="260"/>
      <c r="AP6" s="259"/>
      <c r="AQ6" s="260"/>
      <c r="AR6" s="259"/>
      <c r="AS6" s="260"/>
      <c r="AT6" s="259"/>
      <c r="AU6" s="260"/>
      <c r="AV6" s="259"/>
      <c r="AW6" s="260"/>
      <c r="AX6" s="259"/>
      <c r="AY6" s="260"/>
      <c r="AZ6" s="259"/>
      <c r="BA6" s="260"/>
      <c r="BB6" s="259"/>
      <c r="BC6" s="260"/>
      <c r="BD6" s="251">
        <v>5065548</v>
      </c>
      <c r="BE6" s="251"/>
      <c r="BF6" s="251">
        <v>5465545</v>
      </c>
      <c r="BG6" s="251"/>
      <c r="BH6" s="216"/>
      <c r="BI6" s="218"/>
      <c r="BJ6" s="216"/>
      <c r="BK6" s="218"/>
      <c r="BL6" s="216"/>
      <c r="BM6" s="218"/>
      <c r="BN6" s="216"/>
      <c r="BO6" s="218"/>
      <c r="BP6" s="216"/>
      <c r="BQ6" s="218"/>
      <c r="BR6" s="216"/>
      <c r="BS6" s="218"/>
      <c r="BT6" s="216"/>
      <c r="BU6" s="218"/>
      <c r="BV6" s="216"/>
      <c r="BW6" s="218"/>
      <c r="BX6" s="216"/>
      <c r="BY6" s="218"/>
      <c r="BZ6" s="251">
        <v>5018351</v>
      </c>
      <c r="CA6" s="251"/>
      <c r="CB6" s="251">
        <v>5018354</v>
      </c>
      <c r="CC6" s="251"/>
      <c r="CD6" s="251">
        <v>5018350</v>
      </c>
      <c r="CE6" s="251"/>
      <c r="CF6" s="251">
        <v>5065543</v>
      </c>
      <c r="CG6" s="251"/>
      <c r="CH6" s="216"/>
      <c r="CI6" s="218"/>
      <c r="CJ6" s="216"/>
      <c r="CK6" s="218"/>
      <c r="CL6" s="216"/>
      <c r="CM6" s="218"/>
      <c r="CN6" s="251">
        <v>5008272</v>
      </c>
      <c r="CO6" s="251"/>
      <c r="CP6" s="216"/>
      <c r="CQ6" s="218"/>
      <c r="CR6" s="216"/>
      <c r="CS6" s="218"/>
      <c r="CT6" s="216"/>
      <c r="CU6" s="218"/>
      <c r="CV6" s="216"/>
      <c r="CW6" s="218"/>
      <c r="CX6" s="216"/>
      <c r="CY6" s="218"/>
      <c r="CZ6" s="216"/>
      <c r="DA6" s="218"/>
      <c r="DB6" s="251">
        <v>5008273</v>
      </c>
      <c r="DC6" s="251"/>
      <c r="DD6" s="216"/>
      <c r="DE6" s="218"/>
      <c r="DF6" s="216"/>
      <c r="DG6" s="218"/>
      <c r="DH6" s="216"/>
      <c r="DI6" s="218"/>
      <c r="DJ6" s="216"/>
      <c r="DK6" s="218"/>
      <c r="DL6" s="216"/>
      <c r="DM6" s="218"/>
      <c r="DN6" s="216"/>
      <c r="DO6" s="218"/>
      <c r="DP6" s="216"/>
      <c r="DQ6" s="218"/>
      <c r="DR6" s="216"/>
      <c r="DS6" s="218"/>
      <c r="DT6" s="216"/>
      <c r="DU6" s="218"/>
      <c r="DV6" s="216"/>
      <c r="DW6" s="218"/>
      <c r="DX6" s="216"/>
      <c r="DY6" s="218"/>
      <c r="DZ6" s="216"/>
      <c r="EA6" s="218"/>
      <c r="EB6" s="216"/>
      <c r="EC6" s="218"/>
      <c r="ED6" s="216"/>
      <c r="EE6" s="218"/>
      <c r="EF6" s="216"/>
      <c r="EG6" s="218"/>
      <c r="EH6" s="216"/>
      <c r="EI6" s="218"/>
      <c r="EJ6" s="216"/>
      <c r="EK6" s="218"/>
      <c r="EL6" s="216"/>
      <c r="EM6" s="218"/>
      <c r="EN6" s="216"/>
      <c r="EO6" s="218"/>
      <c r="EP6" s="216"/>
      <c r="EQ6" s="218"/>
      <c r="ER6" s="216"/>
      <c r="ES6" s="218"/>
      <c r="ET6" s="216"/>
      <c r="EU6" s="218"/>
      <c r="EV6" s="216"/>
      <c r="EW6" s="218"/>
      <c r="EX6" s="216"/>
      <c r="EY6" s="218"/>
      <c r="EZ6" s="216"/>
      <c r="FA6" s="218"/>
      <c r="FB6" s="216"/>
      <c r="FC6" s="218"/>
      <c r="FD6" s="216"/>
      <c r="FE6" s="218"/>
      <c r="FF6" s="216"/>
      <c r="FG6" s="218"/>
      <c r="FH6" s="216"/>
      <c r="FI6" s="218"/>
      <c r="FJ6" s="216"/>
      <c r="FK6" s="218"/>
      <c r="FL6" s="216"/>
      <c r="FM6" s="218"/>
    </row>
    <row r="7" spans="1:169" s="24" customFormat="1" ht="30" customHeight="1">
      <c r="B7" s="261" t="s">
        <v>92</v>
      </c>
      <c r="C7" s="261"/>
      <c r="D7" s="261" t="s">
        <v>92</v>
      </c>
      <c r="E7" s="261"/>
      <c r="F7" s="262" t="s">
        <v>93</v>
      </c>
      <c r="G7" s="262"/>
      <c r="H7" s="263" t="s">
        <v>94</v>
      </c>
      <c r="I7" s="263"/>
      <c r="J7" s="263" t="s">
        <v>94</v>
      </c>
      <c r="K7" s="263"/>
      <c r="L7" s="263" t="s">
        <v>94</v>
      </c>
      <c r="M7" s="263"/>
      <c r="N7" s="264" t="s">
        <v>95</v>
      </c>
      <c r="O7" s="264"/>
      <c r="P7" s="264" t="s">
        <v>95</v>
      </c>
      <c r="Q7" s="264"/>
      <c r="R7" s="264" t="s">
        <v>95</v>
      </c>
      <c r="S7" s="264"/>
      <c r="T7" s="265" t="s">
        <v>82</v>
      </c>
      <c r="U7" s="265"/>
      <c r="V7" s="265" t="s">
        <v>82</v>
      </c>
      <c r="W7" s="265"/>
      <c r="X7" s="265" t="s">
        <v>82</v>
      </c>
      <c r="Y7" s="265"/>
      <c r="Z7" s="265" t="s">
        <v>82</v>
      </c>
      <c r="AA7" s="265"/>
      <c r="AB7" s="265" t="s">
        <v>82</v>
      </c>
      <c r="AC7" s="265"/>
      <c r="AD7" s="266" t="s">
        <v>83</v>
      </c>
      <c r="AE7" s="266"/>
      <c r="AF7" s="266" t="s">
        <v>83</v>
      </c>
      <c r="AG7" s="266"/>
      <c r="AH7" s="267" t="s">
        <v>85</v>
      </c>
      <c r="AI7" s="267"/>
      <c r="AJ7" s="267" t="s">
        <v>85</v>
      </c>
      <c r="AK7" s="267"/>
      <c r="AL7" s="267" t="s">
        <v>85</v>
      </c>
      <c r="AM7" s="267"/>
      <c r="AN7" s="267" t="s">
        <v>85</v>
      </c>
      <c r="AO7" s="267"/>
      <c r="AP7" s="267" t="s">
        <v>85</v>
      </c>
      <c r="AQ7" s="267"/>
      <c r="AR7" s="267" t="s">
        <v>85</v>
      </c>
      <c r="AS7" s="267"/>
      <c r="AT7" s="267" t="s">
        <v>85</v>
      </c>
      <c r="AU7" s="267"/>
      <c r="AV7" s="267" t="s">
        <v>85</v>
      </c>
      <c r="AW7" s="267"/>
      <c r="AX7" s="267" t="s">
        <v>85</v>
      </c>
      <c r="AY7" s="267"/>
      <c r="AZ7" s="267" t="s">
        <v>85</v>
      </c>
      <c r="BA7" s="267"/>
      <c r="BB7" s="267" t="s">
        <v>85</v>
      </c>
      <c r="BC7" s="267"/>
      <c r="BD7" s="267" t="s">
        <v>85</v>
      </c>
      <c r="BE7" s="267"/>
      <c r="BF7" s="268" t="s">
        <v>86</v>
      </c>
      <c r="BG7" s="268"/>
      <c r="BH7" s="268" t="s">
        <v>86</v>
      </c>
      <c r="BI7" s="268"/>
      <c r="BJ7" s="268" t="s">
        <v>86</v>
      </c>
      <c r="BK7" s="268"/>
      <c r="BL7" s="268" t="s">
        <v>86</v>
      </c>
      <c r="BM7" s="268"/>
      <c r="BN7" s="268" t="s">
        <v>86</v>
      </c>
      <c r="BO7" s="268"/>
      <c r="BP7" s="268" t="s">
        <v>86</v>
      </c>
      <c r="BQ7" s="268"/>
      <c r="BR7" s="268" t="s">
        <v>86</v>
      </c>
      <c r="BS7" s="268"/>
      <c r="BT7" s="268" t="s">
        <v>86</v>
      </c>
      <c r="BU7" s="268"/>
      <c r="BV7" s="268" t="s">
        <v>86</v>
      </c>
      <c r="BW7" s="268"/>
      <c r="BX7" s="268" t="s">
        <v>86</v>
      </c>
      <c r="BY7" s="268"/>
      <c r="BZ7" s="269" t="s">
        <v>88</v>
      </c>
      <c r="CA7" s="269"/>
      <c r="CB7" s="270" t="s">
        <v>89</v>
      </c>
      <c r="CC7" s="270"/>
      <c r="CD7" s="250" t="s">
        <v>90</v>
      </c>
      <c r="CE7" s="250"/>
      <c r="CF7" s="271" t="s">
        <v>91</v>
      </c>
      <c r="CG7" s="271"/>
      <c r="CH7" s="271" t="s">
        <v>91</v>
      </c>
      <c r="CI7" s="271"/>
      <c r="CJ7" s="271" t="s">
        <v>91</v>
      </c>
      <c r="CK7" s="271"/>
      <c r="CL7" s="271" t="s">
        <v>91</v>
      </c>
      <c r="CM7" s="271"/>
      <c r="CN7" s="272" t="s">
        <v>84</v>
      </c>
      <c r="CO7" s="272"/>
      <c r="CP7" s="272" t="s">
        <v>84</v>
      </c>
      <c r="CQ7" s="272"/>
      <c r="CR7" s="272" t="s">
        <v>84</v>
      </c>
      <c r="CS7" s="272"/>
      <c r="CT7" s="272" t="s">
        <v>84</v>
      </c>
      <c r="CU7" s="272"/>
      <c r="CV7" s="272" t="s">
        <v>84</v>
      </c>
      <c r="CW7" s="272"/>
      <c r="CX7" s="272" t="s">
        <v>84</v>
      </c>
      <c r="CY7" s="272"/>
      <c r="CZ7" s="272" t="s">
        <v>84</v>
      </c>
      <c r="DA7" s="272"/>
      <c r="DB7" s="273" t="s">
        <v>87</v>
      </c>
      <c r="DC7" s="273"/>
      <c r="DD7" s="273" t="s">
        <v>87</v>
      </c>
      <c r="DE7" s="273"/>
      <c r="DF7" s="273" t="s">
        <v>87</v>
      </c>
      <c r="DG7" s="273"/>
      <c r="DH7" s="273" t="s">
        <v>87</v>
      </c>
      <c r="DI7" s="273"/>
      <c r="DJ7" s="273" t="s">
        <v>87</v>
      </c>
      <c r="DK7" s="273"/>
      <c r="DL7" s="266" t="s">
        <v>83</v>
      </c>
      <c r="DM7" s="266"/>
      <c r="DN7" s="266" t="s">
        <v>83</v>
      </c>
      <c r="DO7" s="266"/>
      <c r="DP7" s="266" t="s">
        <v>83</v>
      </c>
      <c r="DQ7" s="266"/>
      <c r="DR7" s="266" t="s">
        <v>83</v>
      </c>
      <c r="DS7" s="266"/>
      <c r="DT7" s="266" t="s">
        <v>83</v>
      </c>
      <c r="DU7" s="266"/>
      <c r="DV7" s="266" t="s">
        <v>83</v>
      </c>
      <c r="DW7" s="266"/>
      <c r="DX7" s="265" t="s">
        <v>82</v>
      </c>
      <c r="DY7" s="265"/>
      <c r="DZ7" s="265" t="s">
        <v>82</v>
      </c>
      <c r="EA7" s="265"/>
      <c r="EB7" s="265" t="s">
        <v>82</v>
      </c>
      <c r="EC7" s="265"/>
      <c r="ED7" s="265" t="s">
        <v>82</v>
      </c>
      <c r="EE7" s="265"/>
      <c r="EF7" s="265" t="s">
        <v>82</v>
      </c>
      <c r="EG7" s="265"/>
      <c r="EH7" s="265" t="s">
        <v>82</v>
      </c>
      <c r="EI7" s="265"/>
      <c r="EJ7" s="265" t="s">
        <v>82</v>
      </c>
      <c r="EK7" s="265"/>
      <c r="EL7" s="263" t="s">
        <v>94</v>
      </c>
      <c r="EM7" s="263"/>
      <c r="EN7" s="263" t="s">
        <v>94</v>
      </c>
      <c r="EO7" s="263"/>
      <c r="EP7" s="263" t="s">
        <v>94</v>
      </c>
      <c r="EQ7" s="263"/>
      <c r="ER7" s="261" t="s">
        <v>92</v>
      </c>
      <c r="ES7" s="261"/>
      <c r="ET7" s="261" t="s">
        <v>92</v>
      </c>
      <c r="EU7" s="261"/>
      <c r="EV7" s="261" t="s">
        <v>92</v>
      </c>
      <c r="EW7" s="261"/>
      <c r="EX7" s="262" t="s">
        <v>93</v>
      </c>
      <c r="EY7" s="262"/>
      <c r="EZ7" s="264" t="s">
        <v>95</v>
      </c>
      <c r="FA7" s="264"/>
      <c r="FB7" s="264" t="s">
        <v>95</v>
      </c>
      <c r="FC7" s="264"/>
      <c r="FD7" s="264" t="s">
        <v>95</v>
      </c>
      <c r="FE7" s="264"/>
      <c r="FF7" s="262" t="s">
        <v>93</v>
      </c>
      <c r="FG7" s="262"/>
      <c r="FH7" s="262" t="s">
        <v>93</v>
      </c>
      <c r="FI7" s="262"/>
      <c r="FJ7" s="262" t="s">
        <v>93</v>
      </c>
      <c r="FK7" s="262"/>
      <c r="FL7" s="262" t="s">
        <v>93</v>
      </c>
      <c r="FM7" s="262"/>
    </row>
    <row r="8" spans="1:169" s="24" customFormat="1" ht="30" customHeight="1">
      <c r="B8" s="274"/>
      <c r="C8" s="274"/>
      <c r="D8" s="275" t="s">
        <v>278</v>
      </c>
      <c r="E8" s="276"/>
      <c r="F8" s="274"/>
      <c r="G8" s="274"/>
      <c r="H8" s="275" t="s">
        <v>279</v>
      </c>
      <c r="I8" s="276"/>
      <c r="J8" s="275" t="s">
        <v>280</v>
      </c>
      <c r="K8" s="276"/>
      <c r="L8" s="274"/>
      <c r="M8" s="274"/>
      <c r="N8" s="274"/>
      <c r="O8" s="274"/>
      <c r="P8" s="275" t="s">
        <v>281</v>
      </c>
      <c r="Q8" s="276"/>
      <c r="R8" s="275" t="s">
        <v>282</v>
      </c>
      <c r="S8" s="276"/>
      <c r="T8" s="274"/>
      <c r="U8" s="274"/>
      <c r="V8" s="275" t="s">
        <v>283</v>
      </c>
      <c r="W8" s="276"/>
      <c r="X8" s="275" t="s">
        <v>284</v>
      </c>
      <c r="Y8" s="276"/>
      <c r="Z8" s="275" t="s">
        <v>285</v>
      </c>
      <c r="AA8" s="276"/>
      <c r="AB8" s="275" t="s">
        <v>286</v>
      </c>
      <c r="AC8" s="276"/>
      <c r="AD8" s="274"/>
      <c r="AE8" s="274"/>
      <c r="AF8" s="275" t="s">
        <v>287</v>
      </c>
      <c r="AG8" s="276"/>
      <c r="AH8" s="275" t="s">
        <v>288</v>
      </c>
      <c r="AI8" s="276"/>
      <c r="AJ8" s="275" t="s">
        <v>289</v>
      </c>
      <c r="AK8" s="276"/>
      <c r="AL8" s="275" t="s">
        <v>290</v>
      </c>
      <c r="AM8" s="276"/>
      <c r="AN8" s="275" t="s">
        <v>291</v>
      </c>
      <c r="AO8" s="276"/>
      <c r="AP8" s="275" t="s">
        <v>292</v>
      </c>
      <c r="AQ8" s="276"/>
      <c r="AR8" s="275" t="s">
        <v>293</v>
      </c>
      <c r="AS8" s="276"/>
      <c r="AT8" s="275" t="s">
        <v>294</v>
      </c>
      <c r="AU8" s="276"/>
      <c r="AV8" s="275" t="s">
        <v>295</v>
      </c>
      <c r="AW8" s="276"/>
      <c r="AX8" s="275" t="s">
        <v>296</v>
      </c>
      <c r="AY8" s="276"/>
      <c r="AZ8" s="275" t="s">
        <v>297</v>
      </c>
      <c r="BA8" s="276"/>
      <c r="BB8" s="275" t="s">
        <v>298</v>
      </c>
      <c r="BC8" s="276"/>
      <c r="BD8" s="275"/>
      <c r="BE8" s="276"/>
      <c r="BF8" s="274"/>
      <c r="BG8" s="274"/>
      <c r="BH8" s="275" t="s">
        <v>299</v>
      </c>
      <c r="BI8" s="276"/>
      <c r="BJ8" s="275" t="s">
        <v>300</v>
      </c>
      <c r="BK8" s="276"/>
      <c r="BL8" s="275" t="s">
        <v>301</v>
      </c>
      <c r="BM8" s="276"/>
      <c r="BN8" s="275" t="s">
        <v>302</v>
      </c>
      <c r="BO8" s="276"/>
      <c r="BP8" s="275" t="s">
        <v>303</v>
      </c>
      <c r="BQ8" s="276"/>
      <c r="BR8" s="275" t="s">
        <v>304</v>
      </c>
      <c r="BS8" s="276"/>
      <c r="BT8" s="275" t="s">
        <v>305</v>
      </c>
      <c r="BU8" s="276"/>
      <c r="BV8" s="275" t="s">
        <v>306</v>
      </c>
      <c r="BW8" s="276"/>
      <c r="BX8" s="275" t="s">
        <v>307</v>
      </c>
      <c r="BY8" s="276"/>
      <c r="BZ8" s="274"/>
      <c r="CA8" s="274"/>
      <c r="CB8" s="274"/>
      <c r="CC8" s="274"/>
      <c r="CD8" s="274"/>
      <c r="CE8" s="274"/>
      <c r="CF8" s="274"/>
      <c r="CG8" s="274"/>
      <c r="CH8" s="275" t="s">
        <v>308</v>
      </c>
      <c r="CI8" s="276"/>
      <c r="CJ8" s="275" t="s">
        <v>309</v>
      </c>
      <c r="CK8" s="276"/>
      <c r="CL8" s="275" t="s">
        <v>310</v>
      </c>
      <c r="CM8" s="276"/>
      <c r="CN8" s="274"/>
      <c r="CO8" s="274"/>
      <c r="CP8" s="275" t="s">
        <v>311</v>
      </c>
      <c r="CQ8" s="276"/>
      <c r="CR8" s="275" t="s">
        <v>312</v>
      </c>
      <c r="CS8" s="276"/>
      <c r="CT8" s="275" t="s">
        <v>313</v>
      </c>
      <c r="CU8" s="276"/>
      <c r="CV8" s="275" t="s">
        <v>314</v>
      </c>
      <c r="CW8" s="276"/>
      <c r="CX8" s="275" t="s">
        <v>315</v>
      </c>
      <c r="CY8" s="276"/>
      <c r="CZ8" s="275" t="s">
        <v>316</v>
      </c>
      <c r="DA8" s="276"/>
      <c r="DB8" s="274"/>
      <c r="DC8" s="274"/>
      <c r="DD8" s="275" t="s">
        <v>317</v>
      </c>
      <c r="DE8" s="276"/>
      <c r="DF8" s="275" t="s">
        <v>318</v>
      </c>
      <c r="DG8" s="276"/>
      <c r="DH8" s="275" t="s">
        <v>319</v>
      </c>
      <c r="DI8" s="276"/>
      <c r="DJ8" s="275" t="s">
        <v>320</v>
      </c>
      <c r="DK8" s="276"/>
      <c r="DL8" s="275" t="s">
        <v>321</v>
      </c>
      <c r="DM8" s="276"/>
      <c r="DN8" s="275" t="s">
        <v>322</v>
      </c>
      <c r="DO8" s="276"/>
      <c r="DP8" s="275" t="s">
        <v>323</v>
      </c>
      <c r="DQ8" s="276"/>
      <c r="DR8" s="275" t="s">
        <v>324</v>
      </c>
      <c r="DS8" s="276"/>
      <c r="DT8" s="275" t="s">
        <v>325</v>
      </c>
      <c r="DU8" s="276"/>
      <c r="DV8" s="275" t="s">
        <v>326</v>
      </c>
      <c r="DW8" s="276"/>
      <c r="DX8" s="275" t="s">
        <v>327</v>
      </c>
      <c r="DY8" s="276"/>
      <c r="DZ8" s="275" t="s">
        <v>328</v>
      </c>
      <c r="EA8" s="276"/>
      <c r="EB8" s="275" t="s">
        <v>329</v>
      </c>
      <c r="EC8" s="276"/>
      <c r="ED8" s="275" t="s">
        <v>330</v>
      </c>
      <c r="EE8" s="276"/>
      <c r="EF8" s="275" t="s">
        <v>331</v>
      </c>
      <c r="EG8" s="276"/>
      <c r="EH8" s="275" t="s">
        <v>332</v>
      </c>
      <c r="EI8" s="276"/>
      <c r="EJ8" s="275" t="s">
        <v>333</v>
      </c>
      <c r="EK8" s="276"/>
      <c r="EL8" s="275" t="s">
        <v>334</v>
      </c>
      <c r="EM8" s="276"/>
      <c r="EN8" s="275" t="s">
        <v>335</v>
      </c>
      <c r="EO8" s="276"/>
      <c r="EP8" s="275" t="s">
        <v>336</v>
      </c>
      <c r="EQ8" s="276"/>
      <c r="ER8" s="275" t="s">
        <v>337</v>
      </c>
      <c r="ES8" s="276"/>
      <c r="ET8" s="275" t="s">
        <v>338</v>
      </c>
      <c r="EU8" s="276"/>
      <c r="EV8" s="275" t="s">
        <v>339</v>
      </c>
      <c r="EW8" s="276"/>
      <c r="EX8" s="275" t="s">
        <v>340</v>
      </c>
      <c r="EY8" s="276"/>
      <c r="EZ8" s="275" t="s">
        <v>341</v>
      </c>
      <c r="FA8" s="276"/>
      <c r="FB8" s="275" t="s">
        <v>342</v>
      </c>
      <c r="FC8" s="276"/>
      <c r="FD8" s="275" t="s">
        <v>343</v>
      </c>
      <c r="FE8" s="276"/>
      <c r="FF8" s="275" t="s">
        <v>344</v>
      </c>
      <c r="FG8" s="276"/>
      <c r="FH8" s="275" t="s">
        <v>345</v>
      </c>
      <c r="FI8" s="276"/>
      <c r="FJ8" s="275" t="s">
        <v>346</v>
      </c>
      <c r="FK8" s="276"/>
      <c r="FL8" s="275" t="s">
        <v>347</v>
      </c>
      <c r="FM8" s="276"/>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9" t="s">
        <v>348</v>
      </c>
      <c r="D2" s="279"/>
      <c r="E2" s="279" t="s">
        <v>349</v>
      </c>
      <c r="F2" s="279"/>
      <c r="G2" s="279" t="s">
        <v>350</v>
      </c>
      <c r="H2" s="279"/>
      <c r="I2" s="279" t="s">
        <v>351</v>
      </c>
      <c r="J2" s="279"/>
      <c r="K2" s="279" t="s">
        <v>352</v>
      </c>
      <c r="L2" s="279"/>
      <c r="M2" s="279" t="s">
        <v>353</v>
      </c>
      <c r="N2" s="279"/>
      <c r="O2" s="279" t="s">
        <v>354</v>
      </c>
      <c r="P2" s="279"/>
      <c r="Q2" s="279" t="s">
        <v>355</v>
      </c>
      <c r="R2" s="279"/>
      <c r="S2" s="279" t="s">
        <v>356</v>
      </c>
      <c r="T2" s="279"/>
      <c r="V2" s="279" t="s">
        <v>357</v>
      </c>
      <c r="W2" s="279"/>
      <c r="X2" s="279" t="s">
        <v>358</v>
      </c>
      <c r="Y2" s="279"/>
      <c r="Z2" s="279" t="s">
        <v>359</v>
      </c>
      <c r="AA2" s="279"/>
      <c r="AB2" s="279" t="s">
        <v>360</v>
      </c>
      <c r="AC2" s="279"/>
      <c r="AD2" s="279" t="s">
        <v>361</v>
      </c>
      <c r="AE2" s="279"/>
      <c r="AF2" s="279" t="s">
        <v>362</v>
      </c>
      <c r="AG2" s="279"/>
      <c r="AH2" s="279" t="s">
        <v>363</v>
      </c>
      <c r="AI2" s="279"/>
      <c r="AJ2" s="279" t="s">
        <v>364</v>
      </c>
      <c r="AK2" s="279"/>
      <c r="AL2" s="279" t="s">
        <v>365</v>
      </c>
      <c r="AM2" s="279"/>
      <c r="AO2" s="279" t="s">
        <v>366</v>
      </c>
      <c r="AP2" s="279"/>
      <c r="AQ2" s="279" t="s">
        <v>367</v>
      </c>
      <c r="AR2" s="279"/>
      <c r="AS2" s="279" t="s">
        <v>368</v>
      </c>
      <c r="AT2" s="279"/>
      <c r="AU2" s="279" t="s">
        <v>369</v>
      </c>
      <c r="AV2" s="279"/>
      <c r="AW2" s="279" t="s">
        <v>370</v>
      </c>
      <c r="AX2" s="279"/>
      <c r="AY2" s="279" t="s">
        <v>371</v>
      </c>
      <c r="AZ2" s="279"/>
      <c r="BA2" s="279" t="s">
        <v>372</v>
      </c>
      <c r="BB2" s="279"/>
      <c r="BC2" s="279" t="s">
        <v>373</v>
      </c>
      <c r="BD2" s="279"/>
      <c r="BE2" s="279" t="s">
        <v>374</v>
      </c>
      <c r="BF2" s="279"/>
      <c r="BH2" s="279" t="s">
        <v>104</v>
      </c>
      <c r="BI2" s="279"/>
      <c r="BJ2" s="279" t="s">
        <v>375</v>
      </c>
      <c r="BK2" s="279"/>
      <c r="BL2" s="279" t="s">
        <v>376</v>
      </c>
      <c r="BM2" s="279"/>
      <c r="BN2" s="279" t="s">
        <v>377</v>
      </c>
      <c r="BO2" s="279"/>
      <c r="BP2" s="279" t="s">
        <v>378</v>
      </c>
      <c r="BQ2" s="279"/>
      <c r="BR2" s="279" t="s">
        <v>379</v>
      </c>
      <c r="BS2" s="279"/>
      <c r="BT2" s="279" t="s">
        <v>380</v>
      </c>
      <c r="BU2" s="279"/>
      <c r="BV2" s="279" t="s">
        <v>381</v>
      </c>
      <c r="BW2" s="279"/>
      <c r="BX2" s="279" t="s">
        <v>382</v>
      </c>
      <c r="BY2" s="279"/>
      <c r="BZ2" s="279" t="s">
        <v>383</v>
      </c>
      <c r="CA2" s="279"/>
      <c r="CB2" s="279" t="s">
        <v>384</v>
      </c>
      <c r="CC2" s="279"/>
      <c r="CD2" s="279" t="s">
        <v>385</v>
      </c>
      <c r="CE2" s="279"/>
      <c r="CF2" s="279" t="s">
        <v>386</v>
      </c>
      <c r="CG2" s="279"/>
      <c r="CH2" s="279" t="s">
        <v>387</v>
      </c>
      <c r="CI2" s="279"/>
      <c r="CJ2" s="279" t="s">
        <v>388</v>
      </c>
      <c r="CK2" s="279"/>
      <c r="CL2" s="279" t="s">
        <v>389</v>
      </c>
      <c r="CM2" s="279"/>
      <c r="CN2" s="279" t="s">
        <v>390</v>
      </c>
      <c r="CO2" s="279"/>
      <c r="CP2" s="279" t="s">
        <v>391</v>
      </c>
      <c r="CQ2" s="279"/>
      <c r="CR2" s="279" t="s">
        <v>392</v>
      </c>
      <c r="CS2" s="279"/>
    </row>
    <row r="3" spans="1:97" s="56" customFormat="1" ht="49.5" customHeight="1">
      <c r="A3" s="119"/>
      <c r="B3" s="70"/>
      <c r="C3" s="277"/>
      <c r="D3" s="277"/>
      <c r="E3" s="280" t="s">
        <v>111</v>
      </c>
      <c r="F3" s="280"/>
      <c r="G3" s="277"/>
      <c r="H3" s="277"/>
      <c r="I3" s="281" t="s">
        <v>113</v>
      </c>
      <c r="J3" s="281"/>
      <c r="K3" s="277"/>
      <c r="L3" s="277"/>
      <c r="M3" s="277"/>
      <c r="N3" s="277"/>
      <c r="O3" s="277"/>
      <c r="P3" s="277"/>
      <c r="Q3" s="278" t="s">
        <v>114</v>
      </c>
      <c r="R3" s="278"/>
      <c r="S3" s="277"/>
      <c r="T3" s="277"/>
      <c r="U3" s="55"/>
      <c r="V3" s="278" t="s">
        <v>109</v>
      </c>
      <c r="W3" s="278"/>
      <c r="X3" s="277"/>
      <c r="Y3" s="277"/>
      <c r="Z3" s="277"/>
      <c r="AA3" s="277"/>
      <c r="AB3" s="277"/>
      <c r="AC3" s="277"/>
      <c r="AD3" s="277"/>
      <c r="AE3" s="277"/>
      <c r="AF3" s="277"/>
      <c r="AG3" s="277"/>
      <c r="AH3" s="277"/>
      <c r="AI3" s="277"/>
      <c r="AJ3" s="277"/>
      <c r="AK3" s="277"/>
      <c r="AL3" s="277"/>
      <c r="AM3" s="277"/>
      <c r="AN3" s="55"/>
      <c r="AO3" s="280" t="s">
        <v>112</v>
      </c>
      <c r="AP3" s="280"/>
      <c r="AQ3" s="277"/>
      <c r="AR3" s="277"/>
      <c r="AS3" s="277"/>
      <c r="AT3" s="277"/>
      <c r="AU3" s="277"/>
      <c r="AV3" s="277"/>
      <c r="AW3" s="277"/>
      <c r="AX3" s="277"/>
      <c r="AY3" s="277"/>
      <c r="AZ3" s="277"/>
      <c r="BA3" s="277"/>
      <c r="BB3" s="277"/>
      <c r="BC3" s="277"/>
      <c r="BD3" s="277"/>
      <c r="BE3" s="277"/>
      <c r="BF3" s="277"/>
      <c r="BG3" s="55"/>
      <c r="BH3" s="280" t="s">
        <v>110</v>
      </c>
      <c r="BI3" s="280"/>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2022-04-07T02:37:43Z</dcterms:modified>
  <cp:category/>
  <cp:contentStatus/>
</cp:coreProperties>
</file>