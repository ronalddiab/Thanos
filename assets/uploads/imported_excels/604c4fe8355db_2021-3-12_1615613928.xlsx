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<sst xmlns="http://schemas.openxmlformats.org/spreadsheetml/2006/main" count="128" uniqueCount="49">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</sst>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49770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43450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47790</v>
      </c>
      <c r="F13" s="11">
        <v>5.0000000000000001E-3</v>
      </c>
      <c r="G13" s="12">
        <f>Submetering!R13</f>
        <v>612.10079699999994</v>
      </c>
      <c r="H13" s="11">
        <v>0.52800000000000002</v>
      </c>
      <c r="I13" s="12">
        <f>Hotel!B18</f>
        <v>132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2090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>
        <f>Hotel!R16</f>
        <v>1790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530</v>
      </c>
      <c r="F13" s="4">
        <f>Hotel!R18</f>
        <v>1830</v>
      </c>
      <c r="G13" s="4">
        <f>Hotel!S18</f>
        <v>3030</v>
      </c>
      <c r="H13" s="4">
        <f>Hotel!T18</f>
        <v>1450</v>
      </c>
      <c r="I13" s="4">
        <f>Hotel!U18</f>
        <v>4070</v>
      </c>
      <c r="J13" s="4">
        <f>Hotel!V18</f>
        <v>3030</v>
      </c>
      <c r="K13" s="4">
        <f>Hotel!W18</f>
        <v>2680</v>
      </c>
      <c r="L13" s="4">
        <f>Hotel!X18</f>
        <v>2880</v>
      </c>
      <c r="M13" s="4">
        <f>Hotel!Y18</f>
        <v>4100</v>
      </c>
      <c r="N13" s="4">
        <f>Hotel!Z18</f>
        <v>2510</v>
      </c>
      <c r="O13" s="4">
        <f>Hotel!AA18</f>
        <v>3320</v>
      </c>
      <c r="P13" s="4">
        <f>Hotel!AB18</f>
        <v>6370</v>
      </c>
      <c r="Q13" s="4">
        <f>Hotel!AC18</f>
        <v>11990</v>
      </c>
      <c r="R13" s="4">
        <f>Hotel!AV18*0.00378541*100</f>
        <v>612.10079699999994</v>
      </c>
      <c r="S13" s="4">
        <f>Hotel!B18</f>
        <v>132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N28" sqref="AN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15162700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2090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49770</v>
      </c>
      <c r="AF15" s="20">
        <f t="shared" si="1"/>
        <v>3</v>
      </c>
      <c r="AG15" s="20">
        <f t="shared" si="2"/>
        <v>10.450000000000001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248.85000000000002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>
        <f t="shared" si="17"/>
        <v>1790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43450</v>
      </c>
      <c r="AF16" s="20">
        <f t="shared" si="1"/>
        <v>2.6</v>
      </c>
      <c r="AG16" s="20">
        <f t="shared" si="2"/>
        <v>8.9500000000000011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217.25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>
        <v>132</v>
      </c>
      <c r="C18" s="24">
        <v>6546050</v>
      </c>
      <c r="D18" s="24">
        <v>15168160</v>
      </c>
      <c r="E18" s="24">
        <v>2450610</v>
      </c>
      <c r="F18" s="24">
        <v>3339210</v>
      </c>
      <c r="G18" s="24">
        <v>10056340</v>
      </c>
      <c r="H18" s="24">
        <v>5254050</v>
      </c>
      <c r="I18" s="24">
        <v>4879060</v>
      </c>
      <c r="J18" s="24">
        <v>5653760</v>
      </c>
      <c r="K18" s="24">
        <v>8807790</v>
      </c>
      <c r="L18" s="24">
        <v>3624680</v>
      </c>
      <c r="M18" s="24">
        <v>7625450</v>
      </c>
      <c r="N18" s="24">
        <v>11445330</v>
      </c>
      <c r="O18" s="24">
        <v>15772530</v>
      </c>
      <c r="Q18" s="37">
        <f t="shared" si="16"/>
        <v>530</v>
      </c>
      <c r="R18" s="37">
        <f t="shared" si="17"/>
        <v>1830</v>
      </c>
      <c r="S18" s="37">
        <f t="shared" si="15"/>
        <v>3030</v>
      </c>
      <c r="T18" s="37">
        <f t="shared" si="18"/>
        <v>1450</v>
      </c>
      <c r="U18" s="37">
        <f t="shared" si="19"/>
        <v>4070</v>
      </c>
      <c r="V18" s="37">
        <f t="shared" si="20"/>
        <v>3030</v>
      </c>
      <c r="W18" s="37">
        <f t="shared" si="21"/>
        <v>2680</v>
      </c>
      <c r="X18" s="37">
        <f t="shared" si="22"/>
        <v>2880</v>
      </c>
      <c r="Y18" s="37">
        <f t="shared" si="23"/>
        <v>4100</v>
      </c>
      <c r="Z18" s="37">
        <f t="shared" si="24"/>
        <v>2510</v>
      </c>
      <c r="AA18" s="37">
        <f t="shared" si="25"/>
        <v>3320</v>
      </c>
      <c r="AB18" s="37">
        <f t="shared" si="26"/>
        <v>6370</v>
      </c>
      <c r="AC18" s="37">
        <f t="shared" si="27"/>
        <v>11990</v>
      </c>
      <c r="AD18" s="35">
        <f t="shared" si="28"/>
        <v>47790</v>
      </c>
      <c r="AF18" s="20">
        <f t="shared" si="1"/>
        <v>2.65</v>
      </c>
      <c r="AG18" s="20">
        <f t="shared" si="2"/>
        <v>9.15</v>
      </c>
      <c r="AH18" s="20">
        <f t="shared" si="3"/>
        <v>15.15</v>
      </c>
      <c r="AI18" s="20">
        <f t="shared" si="4"/>
        <v>7.25</v>
      </c>
      <c r="AJ18" s="20">
        <f t="shared" si="5"/>
        <v>20.350000000000001</v>
      </c>
      <c r="AK18" s="20">
        <f t="shared" si="6"/>
        <v>15.15</v>
      </c>
      <c r="AL18" s="20">
        <f t="shared" si="7"/>
        <v>13.4</v>
      </c>
      <c r="AM18" s="20">
        <f t="shared" si="8"/>
        <v>14.4</v>
      </c>
      <c r="AN18" s="20">
        <f t="shared" si="9"/>
        <v>20.5</v>
      </c>
      <c r="AO18" s="20">
        <f t="shared" si="10"/>
        <v>12.55</v>
      </c>
      <c r="AP18" s="20">
        <f t="shared" si="11"/>
        <v>16.600000000000001</v>
      </c>
      <c r="AQ18" s="20">
        <f t="shared" si="12"/>
        <v>31.85</v>
      </c>
      <c r="AR18" s="20">
        <f t="shared" si="13"/>
        <v>59.95</v>
      </c>
      <c r="AS18" s="35">
        <f t="shared" si="29"/>
        <v>238.95</v>
      </c>
      <c r="AU18" s="47">
        <v>501190</v>
      </c>
      <c r="AV18" s="37">
        <f t="shared" si="31"/>
        <v>1617</v>
      </c>
      <c r="AW18" s="35">
        <f t="shared" si="30"/>
        <v>3.234</v>
      </c>
    </row>
    <row r="19" spans="1:49" x14ac:dyDescent="0.25">
      <c r="A19" s="23">
        <v>44268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44269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44270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44271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44272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6530</v>
      </c>
      <c r="R38" s="38">
        <f t="shared" ref="R38:AD38" si="62">SUM(R7:R37)</f>
        <v>22540</v>
      </c>
      <c r="S38" s="38">
        <f t="shared" si="62"/>
        <v>33560</v>
      </c>
      <c r="T38" s="38">
        <f t="shared" si="62"/>
        <v>17690</v>
      </c>
      <c r="U38" s="38">
        <f t="shared" si="62"/>
        <v>48960</v>
      </c>
      <c r="V38" s="38">
        <f t="shared" si="62"/>
        <v>35850</v>
      </c>
      <c r="W38" s="38">
        <f t="shared" si="62"/>
        <v>27600</v>
      </c>
      <c r="X38" s="38">
        <f t="shared" si="62"/>
        <v>36350</v>
      </c>
      <c r="Y38" s="38">
        <f t="shared" si="62"/>
        <v>50670</v>
      </c>
      <c r="Z38" s="38">
        <f t="shared" si="62"/>
        <v>30450</v>
      </c>
      <c r="AA38" s="38">
        <f t="shared" si="62"/>
        <v>38660</v>
      </c>
      <c r="AB38" s="38">
        <f t="shared" si="62"/>
        <v>78020</v>
      </c>
      <c r="AC38" s="38">
        <f t="shared" si="62"/>
        <v>120590</v>
      </c>
      <c r="AD38" s="38">
        <f t="shared" si="62"/>
        <v>547470</v>
      </c>
      <c r="AF38" s="35">
        <f t="shared" ref="AF38:AS38" si="63">SUM(AF7:AF34)</f>
        <v>32.65</v>
      </c>
      <c r="AG38" s="35">
        <f t="shared" si="63"/>
        <v>112.70000000000002</v>
      </c>
      <c r="AH38" s="35">
        <f t="shared" si="63"/>
        <v>167.8</v>
      </c>
      <c r="AI38" s="35">
        <f t="shared" si="63"/>
        <v>88.45</v>
      </c>
      <c r="AJ38" s="35">
        <f t="shared" si="63"/>
        <v>244.8</v>
      </c>
      <c r="AK38" s="35">
        <f t="shared" si="63"/>
        <v>179.25000000000003</v>
      </c>
      <c r="AL38" s="35">
        <f t="shared" si="63"/>
        <v>138</v>
      </c>
      <c r="AM38" s="35">
        <f t="shared" si="63"/>
        <v>181.75</v>
      </c>
      <c r="AN38" s="35">
        <f t="shared" si="63"/>
        <v>253.35000000000002</v>
      </c>
      <c r="AO38" s="35">
        <f t="shared" si="63"/>
        <v>152.25</v>
      </c>
      <c r="AP38" s="35">
        <f t="shared" si="63"/>
        <v>193.3</v>
      </c>
      <c r="AQ38" s="35">
        <f t="shared" si="63"/>
        <v>390.1</v>
      </c>
      <c r="AR38" s="35">
        <f t="shared" si="63"/>
        <v>602.95000000000005</v>
      </c>
      <c r="AS38" s="35">
        <f t="shared" si="63"/>
        <v>2737.3499999999995</v>
      </c>
      <c r="AU38" s="48"/>
      <c r="AV38" s="35">
        <f>SUM(AV7:AV34)</f>
        <v>18462</v>
      </c>
      <c r="AW38" s="35">
        <f>SUM(AW7:AW34)</f>
        <v>30.46</v>
      </c>
    </row>
    <row r="39" spans="1:49" x14ac:dyDescent="0.25">
      <c r="D39">
        <v>5.0000000000000001E-3</v>
      </c>
      <c r="AV39" s="36">
        <f>AV38*0.00378541*1000</f>
        <v>69886.239419999998</v>
      </c>
    </row>
    <row r="40" spans="1:49" x14ac:dyDescent="0.25">
      <c r="D40">
        <v>2E-3</v>
      </c>
      <c r="AV40">
        <f>AV39/31</f>
        <v>2254.39482</v>
      </c>
    </row>
    <row r="41" spans="1:49" x14ac:dyDescent="0.25">
      <c r="AV41">
        <f>AV38*0.00378541</f>
        <v>69.886239419999995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2021-03-13T05:38:16Z</dcterms:modified>
</cp:coreProperties>
</file>