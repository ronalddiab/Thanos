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<sst xmlns="http://schemas.openxmlformats.org/spreadsheetml/2006/main" count="106" uniqueCount="33">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</sst>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v>0.12</v>
      </c>
      <c r="G2" s="20">
        <f>Submetering!F2+Submetering!G2</f>
        <v>144.32</v>
      </c>
      <c r="H2" s="16">
        <v>0.71</v>
      </c>
      <c r="I2" s="20">
        <f>Submetering!J2+Submetering!I2+Submetering!H2</f>
        <v>99.52</v>
      </c>
      <c r="J2" s="16">
        <v>2.3196172978505634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v>0.12</v>
      </c>
      <c r="G3" s="20">
        <f>Submetering!F3+Submetering!G3</f>
        <v>115.94</v>
      </c>
      <c r="H3" s="16">
        <v>0.71</v>
      </c>
      <c r="I3" s="20">
        <f>Submetering!J3+Submetering!I3+Submetering!H3</f>
        <v>87.17</v>
      </c>
      <c r="J3" s="16">
        <v>2.3196172978505634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v>0.12</v>
      </c>
      <c r="G4" s="20">
        <f>Submetering!F4+Submetering!G4</f>
        <v>119.47999999999999</v>
      </c>
      <c r="H4" s="16">
        <v>0.71</v>
      </c>
      <c r="I4" s="20">
        <f>Submetering!J4+Submetering!I4+Submetering!H4</f>
        <v>105.52</v>
      </c>
      <c r="J4" s="16">
        <v>2.3196172978505634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v>0.12</v>
      </c>
      <c r="G5" s="20">
        <f>Submetering!F5+Submetering!G5</f>
        <v>172.12</v>
      </c>
      <c r="H5" s="16">
        <v>0.71</v>
      </c>
      <c r="I5" s="20">
        <f>Submetering!J5+Submetering!I5+Submetering!H5</f>
        <v>99.35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v>0.12</v>
      </c>
      <c r="G6" s="20">
        <f>Submetering!F6+Submetering!G6</f>
        <v>137</v>
      </c>
      <c r="H6" s="16">
        <v>0.71</v>
      </c>
      <c r="I6" s="20">
        <f>Submetering!J6+Submetering!I6+Submetering!H6</f>
        <v>86.87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v>0.12</v>
      </c>
      <c r="G7" s="20">
        <f>Submetering!F7+Submetering!G7</f>
        <v>150.30000000000001</v>
      </c>
      <c r="H7" s="16">
        <v>0.71</v>
      </c>
      <c r="I7" s="20">
        <f>Submetering!J7+Submetering!I7+Submetering!H7</f>
        <v>83.31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v>0.12</v>
      </c>
      <c r="G8" s="20">
        <f>Submetering!F8+Submetering!G8</f>
        <v>150.31</v>
      </c>
      <c r="H8" s="16">
        <v>0.71</v>
      </c>
      <c r="I8" s="20">
        <f>Submetering!J8+Submetering!I8+Submetering!H8</f>
        <v>96.5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8808.41</v>
      </c>
      <c r="F9" s="16">
        <v>0.12</v>
      </c>
      <c r="G9" s="20">
        <f>Submetering!F9+Submetering!G9</f>
        <v>156.68</v>
      </c>
      <c r="H9" s="16">
        <v>0.71</v>
      </c>
      <c r="I9" s="20">
        <f>Submetering!J9+Submetering!I9+Submetering!H9</f>
        <v>109.08</v>
      </c>
      <c r="J9" s="16">
        <v>2.3196172978505634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8586.75</v>
      </c>
      <c r="F10" s="16">
        <v>0.12</v>
      </c>
      <c r="G10" s="20">
        <f>Submetering!F10+Submetering!G10</f>
        <v>175.61</v>
      </c>
      <c r="H10" s="16">
        <v>0.71</v>
      </c>
      <c r="I10" s="20">
        <f>Submetering!J10+Submetering!I10+Submetering!H10</f>
        <v>117.4</v>
      </c>
      <c r="J10" s="16">
        <v>2.3196172978505634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8738.14</v>
      </c>
      <c r="F11" s="16">
        <v>0.12</v>
      </c>
      <c r="G11" s="20">
        <f>Submetering!F11+Submetering!G11</f>
        <v>172.82</v>
      </c>
      <c r="H11" s="16">
        <v>0.71</v>
      </c>
      <c r="I11" s="20">
        <f>Submetering!J11+Submetering!I11+Submetering!H11</f>
        <v>101.8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9028.16</v>
      </c>
      <c r="F12" s="16">
        <v>0.12</v>
      </c>
      <c r="G12" s="20">
        <f>Submetering!F12+Submetering!G12</f>
        <v>111.7</v>
      </c>
      <c r="H12" s="16">
        <v>0.71</v>
      </c>
      <c r="I12" s="20">
        <f>Submetering!J12+Submetering!I12+Submetering!H12</f>
        <v>98.26</v>
      </c>
      <c r="J12" s="16">
        <v>2.3196172978505634</v>
      </c>
      <c r="K12" s="20">
        <f>Submetering!K12</f>
        <v>97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8742.68</v>
      </c>
      <c r="F13" s="16">
        <v>0.12</v>
      </c>
      <c r="G13" s="20">
        <f>Submetering!F13+Submetering!G13</f>
        <v>77.739999999999995</v>
      </c>
      <c r="H13" s="16">
        <v>0.71</v>
      </c>
      <c r="I13" s="20">
        <f>Submetering!J13+Submetering!I13+Submetering!H13</f>
        <v>81.62</v>
      </c>
      <c r="J13" s="16">
        <v>2.3196172978505634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9161.81</v>
      </c>
      <c r="F14" s="16">
        <v>0.12</v>
      </c>
      <c r="G14" s="20">
        <f>Submetering!F14+Submetering!G14</f>
        <v>107.32</v>
      </c>
      <c r="H14" s="16">
        <v>0.71</v>
      </c>
      <c r="I14" s="20">
        <f>Submetering!J14+Submetering!I14+Submetering!H14</f>
        <v>96.42</v>
      </c>
      <c r="J14" s="16">
        <v>2.3196172978505634</v>
      </c>
      <c r="K14" s="20">
        <f>Submetering!K14</f>
        <v>94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8948.74</v>
      </c>
      <c r="F15" s="16">
        <v>0.12</v>
      </c>
      <c r="G15" s="20">
        <f>Submetering!F15+Submetering!G15</f>
        <v>137.46</v>
      </c>
      <c r="H15" s="16">
        <v>0.71</v>
      </c>
      <c r="I15" s="20">
        <f>Submetering!J15+Submetering!I15+Submetering!H15</f>
        <v>97.65</v>
      </c>
      <c r="J15" s="16">
        <v>2.3196172978505634</v>
      </c>
      <c r="K15" s="20">
        <f>Submetering!K15</f>
        <v>105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9679.8799999999992</v>
      </c>
      <c r="F16" s="16">
        <v>0.12</v>
      </c>
      <c r="G16" s="20">
        <f>Submetering!F16+Submetering!G16</f>
        <v>98.16</v>
      </c>
      <c r="H16" s="16">
        <v>0.71</v>
      </c>
      <c r="I16" s="20">
        <f>Submetering!J16+Submetering!I16+Submetering!H16</f>
        <v>91.18</v>
      </c>
      <c r="J16" s="16">
        <v>2.3196172978505634</v>
      </c>
      <c r="K16" s="20">
        <f>Submetering!K16</f>
        <v>110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9963.23</v>
      </c>
      <c r="F17" s="16">
        <v>0.12</v>
      </c>
      <c r="G17" s="20">
        <f>Submetering!F17+Submetering!G17</f>
        <v>103.74</v>
      </c>
      <c r="H17" s="16">
        <v>0.71</v>
      </c>
      <c r="I17" s="20">
        <f>Submetering!J17+Submetering!I17+Submetering!H17</f>
        <v>92.06</v>
      </c>
      <c r="J17" s="16">
        <v>2.3196172978505634</v>
      </c>
      <c r="K17" s="20">
        <f>Submetering!K17</f>
        <v>102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9955.16</v>
      </c>
      <c r="F18" s="16">
        <v>0.12</v>
      </c>
      <c r="G18" s="20">
        <f>Submetering!F18+Submetering!G18</f>
        <v>130.09</v>
      </c>
      <c r="H18" s="16">
        <v>0.71</v>
      </c>
      <c r="I18" s="20">
        <f>Submetering!J18+Submetering!I18+Submetering!H18</f>
        <v>101.14</v>
      </c>
      <c r="J18" s="16">
        <v>2.3196172978505634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10380.49</v>
      </c>
      <c r="F19" s="16">
        <v>0.12</v>
      </c>
      <c r="G19" s="20">
        <f>Submetering!F19+Submetering!G19</f>
        <v>84.06</v>
      </c>
      <c r="H19" s="16">
        <v>0.71</v>
      </c>
      <c r="I19" s="20">
        <f>Submetering!J19+Submetering!I19+Submetering!H19</f>
        <v>95.19</v>
      </c>
      <c r="J19" s="16">
        <v>2.3196172978505634</v>
      </c>
      <c r="K19" s="20">
        <f>Submetering!K19</f>
        <v>95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10798.28</v>
      </c>
      <c r="F20" s="16">
        <v>0.12</v>
      </c>
      <c r="G20" s="20">
        <f>Submetering!F20+Submetering!G20</f>
        <v>111.46</v>
      </c>
      <c r="H20" s="16">
        <v>0.71</v>
      </c>
      <c r="I20" s="20">
        <f>Submetering!J20+Submetering!I20+Submetering!H20</f>
        <v>87.76</v>
      </c>
      <c r="J20" s="16">
        <v>2.3196172978505634</v>
      </c>
      <c r="K20" s="20">
        <f>Submetering!K20</f>
        <v>104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9838.81</v>
      </c>
      <c r="F21" s="16">
        <v>0.12</v>
      </c>
      <c r="G21" s="20">
        <f>Submetering!F21+Submetering!G21</f>
        <v>96.16</v>
      </c>
      <c r="H21" s="16">
        <v>0.71</v>
      </c>
      <c r="I21" s="20">
        <f>Submetering!J21+Submetering!I21+Submetering!H21</f>
        <v>87.67</v>
      </c>
      <c r="J21" s="16">
        <v>2.3196172978505634</v>
      </c>
      <c r="K21" s="20">
        <f>Submetering!K21</f>
        <v>104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9936.9</v>
      </c>
      <c r="F22" s="16">
        <v>0.12</v>
      </c>
      <c r="G22" s="20">
        <f>Submetering!F22+Submetering!G22</f>
        <v>118.19</v>
      </c>
      <c r="H22" s="16">
        <v>0.71</v>
      </c>
      <c r="I22" s="20">
        <f>Submetering!J22+Submetering!I22+Submetering!H22</f>
        <v>88.31</v>
      </c>
      <c r="J22" s="16">
        <v>2.3196172978505634</v>
      </c>
      <c r="K22" s="20">
        <f>Submetering!K22</f>
        <v>112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10235.44</v>
      </c>
      <c r="F23" s="16">
        <v>0.12</v>
      </c>
      <c r="G23" s="20">
        <f>Submetering!F23+Submetering!G23</f>
        <v>110.81</v>
      </c>
      <c r="H23" s="16">
        <v>0.71</v>
      </c>
      <c r="I23" s="20">
        <f>Submetering!J23+Submetering!I23+Submetering!H23</f>
        <v>90.79</v>
      </c>
      <c r="J23" s="16">
        <v>2.3196172978505634</v>
      </c>
      <c r="K23" s="20">
        <f>Submetering!K23</f>
        <v>93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9686.74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11" activePane="bottomRight" state="frozen"/>
      <selection pane="topRight" activeCell="C1" sqref="C1"/>
      <selection pane="bottomLeft" activeCell="A2" sqref="A2"/>
      <selection pane="bottomRight" activeCell="H24" sqref="H24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42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42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42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42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42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42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9004.7999999999993</v>
      </c>
      <c r="F8" s="37">
        <v>134.37</v>
      </c>
      <c r="G8" s="37">
        <v>15.94</v>
      </c>
      <c r="H8" s="37">
        <v>5</v>
      </c>
      <c r="I8" s="37">
        <v>32</v>
      </c>
      <c r="J8" s="37">
        <v>59.5</v>
      </c>
      <c r="K8" s="42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8808.41</v>
      </c>
      <c r="F9" s="37">
        <v>139.75</v>
      </c>
      <c r="G9" s="37">
        <v>16.93</v>
      </c>
      <c r="H9" s="37">
        <v>2.08</v>
      </c>
      <c r="I9" s="37">
        <v>35</v>
      </c>
      <c r="J9" s="37">
        <v>72</v>
      </c>
      <c r="K9" s="42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8586.75</v>
      </c>
      <c r="F10" s="37">
        <v>157.68</v>
      </c>
      <c r="G10" s="37">
        <v>17.93</v>
      </c>
      <c r="H10" s="37">
        <v>2.4</v>
      </c>
      <c r="I10" s="37">
        <v>35</v>
      </c>
      <c r="J10" s="37">
        <v>80</v>
      </c>
      <c r="K10" s="42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8738.14</v>
      </c>
      <c r="F11" s="37">
        <v>156.88</v>
      </c>
      <c r="G11" s="37">
        <v>15.94</v>
      </c>
      <c r="H11" s="37">
        <v>2.8</v>
      </c>
      <c r="I11" s="37">
        <v>33.5</v>
      </c>
      <c r="J11" s="37">
        <v>65.5</v>
      </c>
      <c r="K11" s="42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9028.16</v>
      </c>
      <c r="F12" s="37">
        <v>97.26</v>
      </c>
      <c r="G12" s="37">
        <v>14.44</v>
      </c>
      <c r="H12" s="37">
        <v>2.76</v>
      </c>
      <c r="I12" s="37">
        <v>32</v>
      </c>
      <c r="J12" s="37">
        <v>63.5</v>
      </c>
      <c r="K12" s="42">
        <v>97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8742.68</v>
      </c>
      <c r="F13" s="37">
        <v>62.3</v>
      </c>
      <c r="G13" s="37">
        <v>15.44</v>
      </c>
      <c r="H13" s="37">
        <v>2.62</v>
      </c>
      <c r="I13" s="37">
        <v>31</v>
      </c>
      <c r="J13" s="37">
        <v>48</v>
      </c>
      <c r="K13" s="43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9161.81</v>
      </c>
      <c r="F14" s="37">
        <v>97.86</v>
      </c>
      <c r="G14" s="37">
        <v>9.4600000000000009</v>
      </c>
      <c r="H14" s="37">
        <v>6.92</v>
      </c>
      <c r="I14" s="37">
        <v>31</v>
      </c>
      <c r="J14" s="37">
        <v>58.5</v>
      </c>
      <c r="K14" s="43">
        <v>94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8948.74</v>
      </c>
      <c r="F15" s="37">
        <v>122.52</v>
      </c>
      <c r="G15" s="37">
        <v>14.94</v>
      </c>
      <c r="H15" s="37">
        <v>2.15</v>
      </c>
      <c r="I15" s="37">
        <v>33</v>
      </c>
      <c r="J15" s="37">
        <v>62.5</v>
      </c>
      <c r="K15" s="43">
        <v>105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9679.8799999999992</v>
      </c>
      <c r="F16" s="37">
        <v>83.72</v>
      </c>
      <c r="G16" s="37">
        <v>14.44</v>
      </c>
      <c r="H16" s="37">
        <v>4.18</v>
      </c>
      <c r="I16" s="37">
        <v>32.5</v>
      </c>
      <c r="J16" s="37">
        <v>54.5</v>
      </c>
      <c r="K16" s="43">
        <v>110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9963.23</v>
      </c>
      <c r="F17" s="37">
        <v>89.3</v>
      </c>
      <c r="G17" s="37">
        <v>14.44</v>
      </c>
      <c r="H17" s="37">
        <v>2.56</v>
      </c>
      <c r="I17" s="37">
        <v>32.5</v>
      </c>
      <c r="J17" s="37">
        <v>57</v>
      </c>
      <c r="K17" s="42">
        <v>102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9955.16</v>
      </c>
      <c r="F18" s="37">
        <v>115.15</v>
      </c>
      <c r="G18" s="37">
        <v>14.94</v>
      </c>
      <c r="H18" s="37">
        <v>2.64</v>
      </c>
      <c r="I18" s="37">
        <v>38</v>
      </c>
      <c r="J18" s="37">
        <v>60.5</v>
      </c>
      <c r="K18" s="42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10380.49</v>
      </c>
      <c r="F19" s="37">
        <v>69.62</v>
      </c>
      <c r="G19" s="37">
        <v>14.44</v>
      </c>
      <c r="H19" s="37">
        <v>0.69</v>
      </c>
      <c r="I19" s="37">
        <v>34</v>
      </c>
      <c r="J19" s="37">
        <v>60.5</v>
      </c>
      <c r="K19" s="42">
        <v>95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10798.28</v>
      </c>
      <c r="F20" s="37">
        <v>97.02</v>
      </c>
      <c r="G20" s="37">
        <v>14.44</v>
      </c>
      <c r="H20" s="37">
        <v>2.2599999999999998</v>
      </c>
      <c r="I20" s="37">
        <v>32</v>
      </c>
      <c r="J20" s="37">
        <v>53.5</v>
      </c>
      <c r="K20" s="42">
        <v>104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9838.81</v>
      </c>
      <c r="F21" s="37">
        <v>82.22</v>
      </c>
      <c r="G21" s="37">
        <v>13.94</v>
      </c>
      <c r="H21" s="37">
        <v>2.67</v>
      </c>
      <c r="I21" s="37">
        <v>38</v>
      </c>
      <c r="J21" s="37">
        <v>47</v>
      </c>
      <c r="K21">
        <v>104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9936.9</v>
      </c>
      <c r="F22" s="37">
        <v>103.75</v>
      </c>
      <c r="G22" s="37">
        <v>14.44</v>
      </c>
      <c r="H22" s="37">
        <v>2.31</v>
      </c>
      <c r="I22" s="37">
        <v>33</v>
      </c>
      <c r="J22" s="37">
        <v>53</v>
      </c>
      <c r="K22" s="42">
        <v>112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>
        <v>10235.44</v>
      </c>
      <c r="F23" s="37">
        <v>96.62</v>
      </c>
      <c r="G23" s="37">
        <v>14.19</v>
      </c>
      <c r="H23" s="37">
        <v>1.79</v>
      </c>
      <c r="I23" s="37">
        <v>33</v>
      </c>
      <c r="J23" s="37">
        <v>56</v>
      </c>
      <c r="K23" s="42">
        <v>93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>
        <v>9686.74</v>
      </c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54"/>
      <c r="C1" s="1"/>
      <c r="D1" s="11"/>
      <c r="E1" s="1"/>
      <c r="F1" s="14"/>
      <c r="G1" s="1"/>
      <c r="H1" s="1"/>
      <c r="I1" s="55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54"/>
      <c r="C2" s="48" t="s">
        <v>22</v>
      </c>
      <c r="D2" s="49"/>
      <c r="E2" s="58" t="s">
        <v>23</v>
      </c>
      <c r="F2" s="58"/>
      <c r="G2" s="58" t="s">
        <v>24</v>
      </c>
      <c r="H2" s="58"/>
      <c r="I2" s="56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5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54"/>
      <c r="C4" s="18">
        <v>22342913</v>
      </c>
      <c r="D4" s="51">
        <f>IF((C5-C4&lt;0), "",C5-C4)</f>
        <v>7975</v>
      </c>
      <c r="E4" s="18">
        <v>23837512</v>
      </c>
      <c r="F4" s="52">
        <f>IF((E5-E4&lt;0), "",E5-E4)</f>
        <v>5799</v>
      </c>
      <c r="G4" s="18">
        <v>9975816</v>
      </c>
      <c r="H4" s="51">
        <f>IF((G5-G4&lt;0), "",G5-G4)</f>
        <v>3477</v>
      </c>
      <c r="I4" s="56"/>
      <c r="J4" s="18"/>
      <c r="K4" s="51">
        <v>0</v>
      </c>
      <c r="L4" s="18"/>
      <c r="M4" s="51">
        <v>0</v>
      </c>
      <c r="N4" s="18">
        <v>75776</v>
      </c>
      <c r="O4" s="5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54"/>
      <c r="C5" s="18">
        <v>22350888</v>
      </c>
      <c r="D5" s="51"/>
      <c r="E5" s="18">
        <v>23843311</v>
      </c>
      <c r="F5" s="53"/>
      <c r="G5" s="18">
        <v>9979293</v>
      </c>
      <c r="H5" s="51"/>
      <c r="I5" s="56"/>
      <c r="J5" s="18">
        <v>0</v>
      </c>
      <c r="K5" s="51"/>
      <c r="L5" s="18">
        <v>0</v>
      </c>
      <c r="M5" s="51"/>
      <c r="N5" s="18">
        <v>75809</v>
      </c>
      <c r="O5" s="51"/>
      <c r="P5" s="23"/>
      <c r="Q5" s="23"/>
    </row>
    <row r="6" spans="1:17" ht="45" customHeight="1" x14ac:dyDescent="0.3">
      <c r="A6" s="7">
        <v>43557</v>
      </c>
      <c r="B6" s="5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5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5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5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5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5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5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5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5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5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5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5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5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5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5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5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5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5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5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5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5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5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5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5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5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5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5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2022-06-24T13:07:27Z</dcterms:modified>
</cp:coreProperties>
</file>