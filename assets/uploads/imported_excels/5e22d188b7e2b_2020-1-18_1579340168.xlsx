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9" activeTab="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J5" i="79"/>
  <c r="O12"/>
  <c r="H7"/>
  <c r="H8"/>
  <c r="H9"/>
  <c r="H10"/>
  <c r="H11"/>
  <c r="H12"/>
  <c r="H13"/>
  <c r="H6"/>
  <c r="H5"/>
  <c r="D16" i="3"/>
  <c r="T15"/>
  <c r="T14"/>
  <c r="F16" i="1"/>
  <c r="I13" i="79"/>
  <c r="I14"/>
  <c r="I15"/>
  <c r="I16"/>
  <c r="E15" i="5"/>
  <c r="N12" i="2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A10" i="3"/>
  <c r="A11"/>
  <c r="A12"/>
  <c r="A13"/>
  <c r="E13" i="5"/>
  <c r="I9" i="79"/>
  <c r="I10"/>
  <c r="I8"/>
  <c r="I7"/>
  <c r="I6"/>
  <c r="AR5" i="7"/>
  <c r="AS5"/>
  <c r="N5" i="79"/>
  <c r="O5"/>
  <c r="M5"/>
  <c r="L5"/>
  <c r="I5"/>
  <c r="G5"/>
  <c r="F5"/>
  <c r="E5"/>
  <c r="D5"/>
  <c r="C5"/>
  <c r="B5"/>
  <c r="I11"/>
  <c r="I12"/>
  <c r="M15"/>
  <c r="M22"/>
  <c r="M23"/>
  <c r="M24"/>
  <c r="M25"/>
  <c r="M26"/>
  <c r="M27"/>
  <c r="M28"/>
  <c r="M29"/>
  <c r="M30"/>
  <c r="M31"/>
  <c r="M32"/>
  <c r="M33"/>
  <c r="M34"/>
  <c r="M35"/>
  <c r="M36"/>
  <c r="AB19" i="76"/>
  <c r="W13"/>
  <c r="W14"/>
  <c r="W15"/>
  <c r="W16"/>
  <c r="AB18"/>
  <c r="Y14"/>
  <c r="X14"/>
  <c r="Y13"/>
  <c r="X13"/>
  <c r="AB13"/>
  <c r="AB14"/>
  <c r="AC14"/>
  <c r="AC13"/>
  <c r="AD11"/>
  <c r="AD10"/>
  <c r="AD9"/>
  <c r="AC11"/>
  <c r="AB11"/>
  <c r="AA11"/>
  <c r="Z11"/>
  <c r="AC10"/>
  <c r="AB10"/>
  <c r="AA10"/>
  <c r="Z10"/>
  <c r="AC9"/>
  <c r="AB9"/>
  <c r="AA9"/>
  <c r="Z9"/>
  <c r="Y11"/>
  <c r="Y10"/>
  <c r="Y9"/>
  <c r="X11"/>
  <c r="X10"/>
  <c r="X9"/>
  <c r="W11"/>
  <c r="W10"/>
  <c r="W9"/>
  <c r="V11"/>
  <c r="V10"/>
  <c r="V9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3"/>
  <c r="BH5" i="7"/>
  <c r="BG5"/>
  <c r="BF5"/>
  <c r="BE5"/>
  <c r="BD5"/>
  <c r="BC5"/>
  <c r="BB5"/>
  <c r="BA5"/>
  <c r="AZ5"/>
  <c r="AY5"/>
  <c r="AX5"/>
  <c r="AW5"/>
  <c r="AV5"/>
  <c r="AU5"/>
  <c r="AT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I6" i="77"/>
  <c r="C40" i="74"/>
  <c r="B40"/>
  <c r="C39"/>
  <c r="B39"/>
  <c r="D39" s="1"/>
  <c r="C38"/>
  <c r="B38"/>
  <c r="D38" s="1"/>
  <c r="C37"/>
  <c r="B37"/>
  <c r="D37"/>
  <c r="C36"/>
  <c r="B36"/>
  <c r="C35"/>
  <c r="B35"/>
  <c r="D35" s="1"/>
  <c r="C34"/>
  <c r="D34" s="1"/>
  <c r="B34"/>
  <c r="C33"/>
  <c r="B33"/>
  <c r="D33"/>
  <c r="C32"/>
  <c r="B32"/>
  <c r="D32" s="1"/>
  <c r="C31"/>
  <c r="B31"/>
  <c r="C30"/>
  <c r="B30"/>
  <c r="D30" s="1"/>
  <c r="C29"/>
  <c r="B29"/>
  <c r="D29"/>
  <c r="C28"/>
  <c r="B28"/>
  <c r="C27"/>
  <c r="B27"/>
  <c r="C26"/>
  <c r="B26"/>
  <c r="D26" s="1"/>
  <c r="C25"/>
  <c r="B25"/>
  <c r="C24"/>
  <c r="B24"/>
  <c r="C23"/>
  <c r="B23"/>
  <c r="C22"/>
  <c r="B22"/>
  <c r="D22" s="1"/>
  <c r="C21"/>
  <c r="B21"/>
  <c r="D21" s="1"/>
  <c r="C20"/>
  <c r="B20"/>
  <c r="C19"/>
  <c r="B19"/>
  <c r="C18"/>
  <c r="B18"/>
  <c r="D18" s="1"/>
  <c r="C17"/>
  <c r="B17"/>
  <c r="D17"/>
  <c r="C16"/>
  <c r="B16"/>
  <c r="D16" s="1"/>
  <c r="C15"/>
  <c r="B15"/>
  <c r="D15" s="1"/>
  <c r="C14"/>
  <c r="B14"/>
  <c r="D14" s="1"/>
  <c r="C13"/>
  <c r="B13"/>
  <c r="D13"/>
  <c r="C12"/>
  <c r="B12"/>
  <c r="D12" s="1"/>
  <c r="C11"/>
  <c r="B11"/>
  <c r="C10"/>
  <c r="B10"/>
  <c r="D10" s="1"/>
  <c r="T18" i="3"/>
  <c r="T19"/>
  <c r="T20"/>
  <c r="T21"/>
  <c r="T22"/>
  <c r="T23"/>
  <c r="T24"/>
  <c r="T25"/>
  <c r="T26"/>
  <c r="T27"/>
  <c r="T28"/>
  <c r="T29"/>
  <c r="T30"/>
  <c r="T31"/>
  <c r="T32"/>
  <c r="T33"/>
  <c r="R13"/>
  <c r="R18"/>
  <c r="R19"/>
  <c r="R20"/>
  <c r="R21"/>
  <c r="R22"/>
  <c r="R23"/>
  <c r="R24"/>
  <c r="R25"/>
  <c r="R26"/>
  <c r="R27"/>
  <c r="R28"/>
  <c r="R29"/>
  <c r="R30"/>
  <c r="R31"/>
  <c r="R32"/>
  <c r="R33"/>
  <c r="L20"/>
  <c r="L21"/>
  <c r="L22"/>
  <c r="L23"/>
  <c r="L24"/>
  <c r="L25"/>
  <c r="L26"/>
  <c r="L27"/>
  <c r="L28"/>
  <c r="L29"/>
  <c r="L30"/>
  <c r="L31"/>
  <c r="L32"/>
  <c r="L33"/>
  <c r="J20"/>
  <c r="J21"/>
  <c r="J22"/>
  <c r="J23"/>
  <c r="J24"/>
  <c r="J25"/>
  <c r="J26"/>
  <c r="J27"/>
  <c r="J28"/>
  <c r="J29"/>
  <c r="J30"/>
  <c r="J31"/>
  <c r="J32"/>
  <c r="J33"/>
  <c r="D10"/>
  <c r="D18"/>
  <c r="D19"/>
  <c r="D20"/>
  <c r="D21"/>
  <c r="D22"/>
  <c r="D23"/>
  <c r="D24"/>
  <c r="D25"/>
  <c r="D26"/>
  <c r="D27"/>
  <c r="D28"/>
  <c r="D29"/>
  <c r="D30"/>
  <c r="D31"/>
  <c r="D32"/>
  <c r="D33"/>
  <c r="B5"/>
  <c r="B6"/>
  <c r="B10"/>
  <c r="B13"/>
  <c r="B18"/>
  <c r="B19"/>
  <c r="B20"/>
  <c r="B21"/>
  <c r="B22"/>
  <c r="B23"/>
  <c r="B24"/>
  <c r="B25"/>
  <c r="B26"/>
  <c r="B27"/>
  <c r="B28"/>
  <c r="B29"/>
  <c r="B30"/>
  <c r="B31"/>
  <c r="B32"/>
  <c r="B33"/>
  <c r="J21" i="76"/>
  <c r="J22"/>
  <c r="J23"/>
  <c r="J24"/>
  <c r="J25"/>
  <c r="J26"/>
  <c r="J27"/>
  <c r="J28"/>
  <c r="J29"/>
  <c r="J30"/>
  <c r="J31"/>
  <c r="J32"/>
  <c r="J33"/>
  <c r="J34"/>
  <c r="H21"/>
  <c r="H22"/>
  <c r="H23"/>
  <c r="H24"/>
  <c r="H25"/>
  <c r="H26"/>
  <c r="H27"/>
  <c r="H28"/>
  <c r="H29"/>
  <c r="H30"/>
  <c r="H31"/>
  <c r="H32"/>
  <c r="H33"/>
  <c r="H34"/>
  <c r="F21"/>
  <c r="F22"/>
  <c r="F23"/>
  <c r="F24"/>
  <c r="F25"/>
  <c r="F26"/>
  <c r="F27"/>
  <c r="F28"/>
  <c r="F29"/>
  <c r="F30"/>
  <c r="F31"/>
  <c r="F32"/>
  <c r="F33"/>
  <c r="F34"/>
  <c r="B21"/>
  <c r="B22"/>
  <c r="B23"/>
  <c r="B24"/>
  <c r="B25"/>
  <c r="B26"/>
  <c r="B27"/>
  <c r="B28"/>
  <c r="B29"/>
  <c r="B30"/>
  <c r="B31"/>
  <c r="B32"/>
  <c r="B33"/>
  <c r="B34"/>
  <c r="AT23" i="5"/>
  <c r="AT24"/>
  <c r="AT25"/>
  <c r="AT26"/>
  <c r="AT27"/>
  <c r="AT28"/>
  <c r="AT29"/>
  <c r="AT30"/>
  <c r="AT31"/>
  <c r="AT32"/>
  <c r="AT33"/>
  <c r="AT34"/>
  <c r="AT35"/>
  <c r="AT36"/>
  <c r="AV23"/>
  <c r="AV24"/>
  <c r="AV25"/>
  <c r="AV26"/>
  <c r="AV27"/>
  <c r="AV28"/>
  <c r="AV29"/>
  <c r="AV30"/>
  <c r="AV31"/>
  <c r="AV32"/>
  <c r="AV33"/>
  <c r="AV34"/>
  <c r="AV35"/>
  <c r="AV36"/>
  <c r="AX23"/>
  <c r="AX24"/>
  <c r="AX25"/>
  <c r="AX26"/>
  <c r="AX27"/>
  <c r="AX28"/>
  <c r="AX29"/>
  <c r="AX30"/>
  <c r="AX31"/>
  <c r="AX32"/>
  <c r="AX33"/>
  <c r="AX34"/>
  <c r="AX35"/>
  <c r="AX36"/>
  <c r="AG23"/>
  <c r="AG24"/>
  <c r="AG25"/>
  <c r="AG26"/>
  <c r="AG27"/>
  <c r="AG28"/>
  <c r="AG29"/>
  <c r="AG30"/>
  <c r="AG31"/>
  <c r="AG32"/>
  <c r="AG33"/>
  <c r="AG34"/>
  <c r="AG35"/>
  <c r="AG36"/>
  <c r="AE8"/>
  <c r="AE21"/>
  <c r="AE23"/>
  <c r="AE24"/>
  <c r="AE25"/>
  <c r="AE26"/>
  <c r="AE27"/>
  <c r="AE28"/>
  <c r="AE29"/>
  <c r="AE30"/>
  <c r="AE31"/>
  <c r="AE32"/>
  <c r="AE33"/>
  <c r="AE34"/>
  <c r="AE35"/>
  <c r="AE36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B7"/>
  <c r="AB9"/>
  <c r="AB11"/>
  <c r="AB12"/>
  <c r="AB13"/>
  <c r="AB14"/>
  <c r="AB15"/>
  <c r="AB17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Z22"/>
  <c r="Z23"/>
  <c r="Z24"/>
  <c r="Z25"/>
  <c r="Z26"/>
  <c r="Z27"/>
  <c r="Z28"/>
  <c r="Z29"/>
  <c r="Z30"/>
  <c r="Z31"/>
  <c r="Z32"/>
  <c r="Z33"/>
  <c r="Z34"/>
  <c r="Z35"/>
  <c r="Z36"/>
  <c r="X23"/>
  <c r="X24"/>
  <c r="X25"/>
  <c r="X26"/>
  <c r="X27"/>
  <c r="X28"/>
  <c r="X29"/>
  <c r="X30"/>
  <c r="X31"/>
  <c r="X32"/>
  <c r="X33"/>
  <c r="X34"/>
  <c r="X35"/>
  <c r="X36"/>
  <c r="V13"/>
  <c r="V21"/>
  <c r="V23"/>
  <c r="V24"/>
  <c r="V25"/>
  <c r="V26"/>
  <c r="V27"/>
  <c r="V28"/>
  <c r="V29"/>
  <c r="V30"/>
  <c r="V31"/>
  <c r="V32"/>
  <c r="V33"/>
  <c r="V34"/>
  <c r="V35"/>
  <c r="V36"/>
  <c r="T23"/>
  <c r="T24"/>
  <c r="T25"/>
  <c r="T26"/>
  <c r="T27"/>
  <c r="T28"/>
  <c r="T29"/>
  <c r="T30"/>
  <c r="T31"/>
  <c r="T32"/>
  <c r="T33"/>
  <c r="T34"/>
  <c r="T35"/>
  <c r="T36"/>
  <c r="G8"/>
  <c r="G16"/>
  <c r="G22"/>
  <c r="G23"/>
  <c r="G24"/>
  <c r="G25"/>
  <c r="G26"/>
  <c r="G27"/>
  <c r="G28"/>
  <c r="G29"/>
  <c r="G30"/>
  <c r="G31"/>
  <c r="G32"/>
  <c r="G33"/>
  <c r="G34"/>
  <c r="G35"/>
  <c r="G36"/>
  <c r="B15"/>
  <c r="B16"/>
  <c r="B21"/>
  <c r="B22"/>
  <c r="B23"/>
  <c r="B24"/>
  <c r="B25"/>
  <c r="B26"/>
  <c r="B27"/>
  <c r="B28"/>
  <c r="B29"/>
  <c r="B30"/>
  <c r="B31"/>
  <c r="B32"/>
  <c r="B33"/>
  <c r="B34"/>
  <c r="B35"/>
  <c r="B36"/>
  <c r="AR22" i="1"/>
  <c r="AR23"/>
  <c r="AR24"/>
  <c r="AR25"/>
  <c r="AR26"/>
  <c r="AR27"/>
  <c r="AR28"/>
  <c r="AR29"/>
  <c r="AR30"/>
  <c r="AR31"/>
  <c r="AR32"/>
  <c r="AR33"/>
  <c r="AR34"/>
  <c r="AR35"/>
  <c r="AP15"/>
  <c r="AP22"/>
  <c r="AP23"/>
  <c r="AP24"/>
  <c r="AP25"/>
  <c r="AP26"/>
  <c r="AP27"/>
  <c r="AP28"/>
  <c r="AP29"/>
  <c r="AP30"/>
  <c r="AP31"/>
  <c r="AP32"/>
  <c r="AP33"/>
  <c r="AP34"/>
  <c r="AP35"/>
  <c r="AN22"/>
  <c r="AN23"/>
  <c r="AN24"/>
  <c r="AN25"/>
  <c r="AN26"/>
  <c r="AN27"/>
  <c r="AN28"/>
  <c r="AN29"/>
  <c r="AN30"/>
  <c r="AN31"/>
  <c r="AN32"/>
  <c r="AN33"/>
  <c r="AN34"/>
  <c r="AN35"/>
  <c r="AE8"/>
  <c r="AE12"/>
  <c r="AE15"/>
  <c r="AE20"/>
  <c r="AE22"/>
  <c r="AE23"/>
  <c r="AE24"/>
  <c r="AE25"/>
  <c r="AE26"/>
  <c r="AE27"/>
  <c r="AE28"/>
  <c r="AE29"/>
  <c r="AE30"/>
  <c r="AE31"/>
  <c r="AE32"/>
  <c r="AE33"/>
  <c r="AE34"/>
  <c r="AE35"/>
  <c r="AC12"/>
  <c r="AC15"/>
  <c r="AC20"/>
  <c r="AC22"/>
  <c r="AC23"/>
  <c r="AC24"/>
  <c r="AC25"/>
  <c r="AC26"/>
  <c r="AC27"/>
  <c r="AC28"/>
  <c r="AC29"/>
  <c r="AC30"/>
  <c r="AC31"/>
  <c r="AC32"/>
  <c r="AC33"/>
  <c r="AC34"/>
  <c r="AC35"/>
  <c r="Z7"/>
  <c r="Z12"/>
  <c r="Z14"/>
  <c r="Z15"/>
  <c r="Z20"/>
  <c r="Z21"/>
  <c r="Z22"/>
  <c r="Z23"/>
  <c r="Z24"/>
  <c r="Z25"/>
  <c r="Z26"/>
  <c r="Z27"/>
  <c r="Z28"/>
  <c r="Z29"/>
  <c r="Z30"/>
  <c r="Z31"/>
  <c r="Z32"/>
  <c r="Z33"/>
  <c r="Z34"/>
  <c r="Z35"/>
  <c r="X7"/>
  <c r="X15"/>
  <c r="X20"/>
  <c r="X21"/>
  <c r="X22"/>
  <c r="X23"/>
  <c r="X24"/>
  <c r="X25"/>
  <c r="X26"/>
  <c r="X27"/>
  <c r="X28"/>
  <c r="X29"/>
  <c r="X30"/>
  <c r="X31"/>
  <c r="X32"/>
  <c r="X33"/>
  <c r="X34"/>
  <c r="X35"/>
  <c r="Q15"/>
  <c r="Q22"/>
  <c r="Q23"/>
  <c r="Q24"/>
  <c r="Q25"/>
  <c r="Q26"/>
  <c r="Q27"/>
  <c r="Q28"/>
  <c r="Q29"/>
  <c r="Q30"/>
  <c r="Q31"/>
  <c r="Q32"/>
  <c r="Q33"/>
  <c r="Q34"/>
  <c r="Q35"/>
  <c r="P15"/>
  <c r="P22"/>
  <c r="P23"/>
  <c r="P24"/>
  <c r="P25"/>
  <c r="P26"/>
  <c r="P27"/>
  <c r="P28"/>
  <c r="P29"/>
  <c r="P30"/>
  <c r="P31"/>
  <c r="P32"/>
  <c r="P33"/>
  <c r="P34"/>
  <c r="P35"/>
  <c r="M7"/>
  <c r="M8"/>
  <c r="M12"/>
  <c r="M14"/>
  <c r="M20"/>
  <c r="M22"/>
  <c r="M23"/>
  <c r="M24"/>
  <c r="M25"/>
  <c r="M26"/>
  <c r="M27"/>
  <c r="M28"/>
  <c r="M29"/>
  <c r="M30"/>
  <c r="M31"/>
  <c r="M32"/>
  <c r="M33"/>
  <c r="M34"/>
  <c r="M35"/>
  <c r="K7"/>
  <c r="K8"/>
  <c r="K12"/>
  <c r="K14"/>
  <c r="K22"/>
  <c r="K23"/>
  <c r="K24"/>
  <c r="K25"/>
  <c r="K26"/>
  <c r="K27"/>
  <c r="K28"/>
  <c r="K29"/>
  <c r="K30"/>
  <c r="K31"/>
  <c r="K32"/>
  <c r="K33"/>
  <c r="K34"/>
  <c r="K35"/>
  <c r="H7"/>
  <c r="H8"/>
  <c r="H12"/>
  <c r="H22"/>
  <c r="H23"/>
  <c r="H24"/>
  <c r="H25"/>
  <c r="H26"/>
  <c r="H27"/>
  <c r="H28"/>
  <c r="H29"/>
  <c r="H30"/>
  <c r="H31"/>
  <c r="H32"/>
  <c r="H33"/>
  <c r="H34"/>
  <c r="H35"/>
  <c r="F7"/>
  <c r="F8"/>
  <c r="F12"/>
  <c r="F22"/>
  <c r="F23"/>
  <c r="F24"/>
  <c r="F25"/>
  <c r="F26"/>
  <c r="F27"/>
  <c r="F28"/>
  <c r="F29"/>
  <c r="F30"/>
  <c r="F31"/>
  <c r="F32"/>
  <c r="F33"/>
  <c r="F34"/>
  <c r="F35"/>
  <c r="C22"/>
  <c r="C23"/>
  <c r="C24"/>
  <c r="C25"/>
  <c r="C26"/>
  <c r="C27"/>
  <c r="C28"/>
  <c r="C29"/>
  <c r="C30"/>
  <c r="C31"/>
  <c r="C32"/>
  <c r="C33"/>
  <c r="C34"/>
  <c r="C35"/>
  <c r="B22"/>
  <c r="B23"/>
  <c r="B24"/>
  <c r="B25"/>
  <c r="B26"/>
  <c r="B27"/>
  <c r="B28"/>
  <c r="B29"/>
  <c r="B30"/>
  <c r="B31"/>
  <c r="B32"/>
  <c r="B33"/>
  <c r="B34"/>
  <c r="B35"/>
  <c r="AC6" i="2"/>
  <c r="AC10"/>
  <c r="AC18"/>
  <c r="AC20"/>
  <c r="AC21"/>
  <c r="AC22"/>
  <c r="AC23"/>
  <c r="AC24"/>
  <c r="AC25"/>
  <c r="AC26"/>
  <c r="AC27"/>
  <c r="AC28"/>
  <c r="AC29"/>
  <c r="AC30"/>
  <c r="AC31"/>
  <c r="AC32"/>
  <c r="AC33"/>
  <c r="AA18"/>
  <c r="AA20"/>
  <c r="AA21"/>
  <c r="AA22"/>
  <c r="AA23"/>
  <c r="AA24"/>
  <c r="AA25"/>
  <c r="AA26"/>
  <c r="AA27"/>
  <c r="AA28"/>
  <c r="AA29"/>
  <c r="AA30"/>
  <c r="AA31"/>
  <c r="AA32"/>
  <c r="AA33"/>
  <c r="Y19"/>
  <c r="Y20"/>
  <c r="Y21"/>
  <c r="Y22"/>
  <c r="Y23"/>
  <c r="Y24"/>
  <c r="Y25"/>
  <c r="Y26"/>
  <c r="Y27"/>
  <c r="Y28"/>
  <c r="Y29"/>
  <c r="Y30"/>
  <c r="Y31"/>
  <c r="Y32"/>
  <c r="Y33"/>
  <c r="W19"/>
  <c r="W20"/>
  <c r="W21"/>
  <c r="W22"/>
  <c r="W23"/>
  <c r="W24"/>
  <c r="W25"/>
  <c r="W26"/>
  <c r="W27"/>
  <c r="W28"/>
  <c r="W29"/>
  <c r="W30"/>
  <c r="W31"/>
  <c r="W32"/>
  <c r="W33"/>
  <c r="U10"/>
  <c r="U20"/>
  <c r="U21"/>
  <c r="U22"/>
  <c r="U23"/>
  <c r="U24"/>
  <c r="U25"/>
  <c r="U26"/>
  <c r="U27"/>
  <c r="U28"/>
  <c r="U29"/>
  <c r="U30"/>
  <c r="U31"/>
  <c r="U32"/>
  <c r="U33"/>
  <c r="S10"/>
  <c r="S20"/>
  <c r="S21"/>
  <c r="S22"/>
  <c r="S23"/>
  <c r="S24"/>
  <c r="S25"/>
  <c r="S26"/>
  <c r="S27"/>
  <c r="S28"/>
  <c r="S29"/>
  <c r="S30"/>
  <c r="S31"/>
  <c r="S32"/>
  <c r="S33"/>
  <c r="P20"/>
  <c r="P21"/>
  <c r="P22"/>
  <c r="P23"/>
  <c r="P24"/>
  <c r="P25"/>
  <c r="P26"/>
  <c r="P27"/>
  <c r="P28"/>
  <c r="P29"/>
  <c r="P30"/>
  <c r="P31"/>
  <c r="P32"/>
  <c r="P33"/>
  <c r="L20"/>
  <c r="L21"/>
  <c r="L22"/>
  <c r="L23"/>
  <c r="L24"/>
  <c r="L25"/>
  <c r="L26"/>
  <c r="L27"/>
  <c r="L28"/>
  <c r="L29"/>
  <c r="L30"/>
  <c r="L31"/>
  <c r="L32"/>
  <c r="L33"/>
  <c r="J20"/>
  <c r="J21"/>
  <c r="J22"/>
  <c r="J23"/>
  <c r="J24"/>
  <c r="J25"/>
  <c r="J26"/>
  <c r="J27"/>
  <c r="J28"/>
  <c r="J29"/>
  <c r="J30"/>
  <c r="J31"/>
  <c r="J32"/>
  <c r="J33"/>
  <c r="H20"/>
  <c r="H21"/>
  <c r="H22"/>
  <c r="H23"/>
  <c r="H24"/>
  <c r="H25"/>
  <c r="H26"/>
  <c r="H27"/>
  <c r="H28"/>
  <c r="H29"/>
  <c r="H30"/>
  <c r="H31"/>
  <c r="H32"/>
  <c r="H33"/>
  <c r="F20"/>
  <c r="F21"/>
  <c r="F22"/>
  <c r="F23"/>
  <c r="F24"/>
  <c r="F25"/>
  <c r="F26"/>
  <c r="F27"/>
  <c r="F28"/>
  <c r="F29"/>
  <c r="F30"/>
  <c r="F31"/>
  <c r="F32"/>
  <c r="F33"/>
  <c r="D20"/>
  <c r="D21"/>
  <c r="D22"/>
  <c r="D23"/>
  <c r="D24"/>
  <c r="D25"/>
  <c r="D26"/>
  <c r="D27"/>
  <c r="D28"/>
  <c r="D29"/>
  <c r="D30"/>
  <c r="D31"/>
  <c r="D32"/>
  <c r="D33"/>
  <c r="O30" i="79"/>
  <c r="H30"/>
  <c r="P30" i="3"/>
  <c r="P31"/>
  <c r="P32"/>
  <c r="P33"/>
  <c r="P29"/>
  <c r="K13" i="5"/>
  <c r="K12"/>
  <c r="K11"/>
  <c r="K10"/>
  <c r="L10" s="1"/>
  <c r="K9"/>
  <c r="K8"/>
  <c r="L9" s="1"/>
  <c r="K7"/>
  <c r="C18" i="77"/>
  <c r="C17"/>
  <c r="C16"/>
  <c r="C15"/>
  <c r="C14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40"/>
  <c r="D11"/>
  <c r="D19"/>
  <c r="D27"/>
  <c r="D31"/>
  <c r="D36"/>
  <c r="D28"/>
  <c r="D25"/>
  <c r="D24"/>
  <c r="D23"/>
  <c r="D20"/>
  <c r="X16" i="76"/>
  <c r="X15"/>
  <c r="W17"/>
  <c r="Y16"/>
  <c r="Y15"/>
  <c r="Y12"/>
  <c r="AA12"/>
  <c r="AC15"/>
  <c r="AT37" i="5"/>
  <c r="A2" i="3"/>
  <c r="A5" i="73"/>
  <c r="O6" i="5"/>
  <c r="O7"/>
  <c r="M6"/>
  <c r="M7"/>
  <c r="M8"/>
  <c r="M9"/>
  <c r="M10"/>
  <c r="M11"/>
  <c r="M12"/>
  <c r="M13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14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N7" i="1"/>
  <c r="AV6" i="7"/>
  <c r="C6" i="77"/>
  <c r="B32" i="82"/>
  <c r="B32" i="81"/>
  <c r="AC12" i="76"/>
  <c r="AC16"/>
  <c r="AC17"/>
  <c r="AC18"/>
  <c r="AC19"/>
  <c r="AB12"/>
  <c r="AB15"/>
  <c r="AB16"/>
  <c r="AB17"/>
  <c r="AA17"/>
  <c r="V27"/>
  <c r="V28"/>
  <c r="W12"/>
  <c r="V26"/>
  <c r="V12"/>
  <c r="W26"/>
  <c r="W27"/>
  <c r="W28"/>
  <c r="AS37" i="7"/>
  <c r="AU37"/>
  <c r="B6"/>
  <c r="F38" i="5"/>
  <c r="F39"/>
  <c r="F37"/>
  <c r="B39"/>
  <c r="AH7"/>
  <c r="AH6"/>
  <c r="AH36"/>
  <c r="AF6"/>
  <c r="AI6"/>
  <c r="AF8"/>
  <c r="AF7"/>
  <c r="AI7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/>
  <c r="D7" i="73"/>
  <c r="AM7" i="5"/>
  <c r="D8" i="73"/>
  <c r="AM8" i="5"/>
  <c r="D9" i="73"/>
  <c r="AM9" i="5"/>
  <c r="D10" i="73"/>
  <c r="AM10" i="5"/>
  <c r="D11" i="73"/>
  <c r="AM11" i="5"/>
  <c r="D12" i="73"/>
  <c r="AM12" i="5"/>
  <c r="D13" i="73"/>
  <c r="AM13" i="5"/>
  <c r="D14" i="73"/>
  <c r="AM14" i="5"/>
  <c r="D15" i="73"/>
  <c r="AM15" i="5"/>
  <c r="D16" i="73"/>
  <c r="AM16" i="5"/>
  <c r="D17" i="73"/>
  <c r="AM17" i="5"/>
  <c r="D18" i="73"/>
  <c r="AM18" i="5"/>
  <c r="D19" i="73"/>
  <c r="AM19" i="5"/>
  <c r="D20" i="73"/>
  <c r="AM20" i="5"/>
  <c r="D21" i="73"/>
  <c r="AM21" i="5"/>
  <c r="D22" i="73"/>
  <c r="AM22" i="5"/>
  <c r="D23" i="73"/>
  <c r="D24"/>
  <c r="D25"/>
  <c r="D26"/>
  <c r="D27"/>
  <c r="D28"/>
  <c r="D29"/>
  <c r="D30"/>
  <c r="D31"/>
  <c r="D32"/>
  <c r="D3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I25" i="5"/>
  <c r="AI29"/>
  <c r="AF11"/>
  <c r="AI11"/>
  <c r="AF9"/>
  <c r="AI9"/>
  <c r="AF10"/>
  <c r="AI10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/>
  <c r="AD7" i="1"/>
  <c r="D16" i="77"/>
  <c r="D15"/>
  <c r="D14"/>
  <c r="AB21" i="74"/>
  <c r="AA21"/>
  <c r="V13" i="76"/>
  <c r="V14"/>
  <c r="V15"/>
  <c r="V16"/>
  <c r="AC28"/>
  <c r="AC27"/>
  <c r="I4"/>
  <c r="M4"/>
  <c r="C4"/>
  <c r="X3" i="3"/>
  <c r="U3"/>
  <c r="S3"/>
  <c r="P3"/>
  <c r="M3"/>
  <c r="H3"/>
  <c r="I3"/>
  <c r="E3"/>
  <c r="G5" i="65"/>
  <c r="AS6" i="5"/>
  <c r="AD7"/>
  <c r="AJ6"/>
  <c r="Y6"/>
  <c r="J2" i="82"/>
  <c r="W6" i="5"/>
  <c r="U6"/>
  <c r="G2" i="63"/>
  <c r="H6" i="5"/>
  <c r="AX5" i="1"/>
  <c r="D5" i="75"/>
  <c r="E5"/>
  <c r="AD5" i="1"/>
  <c r="Y5"/>
  <c r="R5"/>
  <c r="G5"/>
  <c r="AD3" i="2"/>
  <c r="AB3"/>
  <c r="Z3"/>
  <c r="V3"/>
  <c r="T3"/>
  <c r="K3"/>
  <c r="G3"/>
  <c r="I2" i="82"/>
  <c r="I13" i="76"/>
  <c r="M13"/>
  <c r="C12"/>
  <c r="U11" i="3"/>
  <c r="K7"/>
  <c r="E4"/>
  <c r="I13"/>
  <c r="AJ14" i="5"/>
  <c r="K10" i="82"/>
  <c r="W14" i="5"/>
  <c r="H8"/>
  <c r="H10"/>
  <c r="AO9" i="1"/>
  <c r="AF13"/>
  <c r="AA6"/>
  <c r="Y6"/>
  <c r="Y15"/>
  <c r="AB15"/>
  <c r="R13"/>
  <c r="S10"/>
  <c r="T10"/>
  <c r="L5"/>
  <c r="V4" i="2"/>
  <c r="F37" i="73"/>
  <c r="W30" i="76"/>
  <c r="BB18" i="7"/>
  <c r="J9" i="63"/>
  <c r="K9" i="73"/>
  <c r="G9"/>
  <c r="C6" i="76"/>
  <c r="K4"/>
  <c r="N4"/>
  <c r="K3" i="3"/>
  <c r="C6" i="5"/>
  <c r="AS36" i="1"/>
  <c r="AW38"/>
  <c r="AS5"/>
  <c r="AQ6"/>
  <c r="AO5"/>
  <c r="AA5"/>
  <c r="S6"/>
  <c r="T6"/>
  <c r="S5"/>
  <c r="B7" i="7"/>
  <c r="D7"/>
  <c r="F7" s="1"/>
  <c r="H7" s="1"/>
  <c r="J7" s="1"/>
  <c r="L7" s="1"/>
  <c r="M7" s="1"/>
  <c r="F5" i="75"/>
  <c r="G5" s="1"/>
  <c r="K25" i="73"/>
  <c r="X3" i="2"/>
  <c r="M3"/>
  <c r="E2" i="82"/>
  <c r="I3" i="2"/>
  <c r="G2" i="82"/>
  <c r="A34" i="79"/>
  <c r="L34" s="1"/>
  <c r="J30" i="63"/>
  <c r="AP31" i="5"/>
  <c r="AT37" i="7"/>
  <c r="B8" i="77"/>
  <c r="J11" i="63"/>
  <c r="D7" i="77"/>
  <c r="P34" i="3"/>
  <c r="F2" i="63"/>
  <c r="BB36" i="7"/>
  <c r="O8" i="79"/>
  <c r="O9"/>
  <c r="O10"/>
  <c r="O11"/>
  <c r="O14"/>
  <c r="H14"/>
  <c r="K14" i="5"/>
  <c r="A36" i="79"/>
  <c r="L36" s="1"/>
  <c r="AK38" i="5"/>
  <c r="AU6"/>
  <c r="AZ6"/>
  <c r="BC6"/>
  <c r="A36"/>
  <c r="AR36" s="1"/>
  <c r="AN36"/>
  <c r="AP36"/>
  <c r="AV36" i="1"/>
  <c r="AV39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BA15" i="7"/>
  <c r="BA16"/>
  <c r="G16" i="73"/>
  <c r="K16"/>
  <c r="G17"/>
  <c r="K17"/>
  <c r="G18"/>
  <c r="K18"/>
  <c r="BA19" i="7"/>
  <c r="G19" i="73"/>
  <c r="K19"/>
  <c r="BA20" i="7"/>
  <c r="G20" i="73"/>
  <c r="K20"/>
  <c r="G21"/>
  <c r="K21"/>
  <c r="BA22" i="7"/>
  <c r="G22" i="73"/>
  <c r="K22"/>
  <c r="BA23" i="7"/>
  <c r="G23" i="73"/>
  <c r="K23"/>
  <c r="AM24" i="5"/>
  <c r="G24" i="73"/>
  <c r="K24"/>
  <c r="BA25" i="7"/>
  <c r="G25" i="73"/>
  <c r="BA26" i="7"/>
  <c r="G26" i="73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/>
  <c r="AP18"/>
  <c r="AP17"/>
  <c r="AP13"/>
  <c r="I4" i="2"/>
  <c r="G3" i="82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/>
  <c r="AP35"/>
  <c r="A6" i="79"/>
  <c r="L6"/>
  <c r="A7"/>
  <c r="L7"/>
  <c r="A8"/>
  <c r="L8"/>
  <c r="A9"/>
  <c r="L9" s="1"/>
  <c r="A10"/>
  <c r="L10"/>
  <c r="A11"/>
  <c r="L11"/>
  <c r="A12"/>
  <c r="L12"/>
  <c r="A13"/>
  <c r="L13" s="1"/>
  <c r="A14"/>
  <c r="L14"/>
  <c r="A15"/>
  <c r="L15"/>
  <c r="A16"/>
  <c r="L16"/>
  <c r="A17"/>
  <c r="L17" s="1"/>
  <c r="A18"/>
  <c r="L18"/>
  <c r="A19"/>
  <c r="L19"/>
  <c r="A20"/>
  <c r="L20"/>
  <c r="A21"/>
  <c r="L21" s="1"/>
  <c r="A22"/>
  <c r="L22"/>
  <c r="A23"/>
  <c r="L23"/>
  <c r="A24"/>
  <c r="L24"/>
  <c r="A25"/>
  <c r="L25" s="1"/>
  <c r="A26"/>
  <c r="L26"/>
  <c r="A27"/>
  <c r="L27"/>
  <c r="A28"/>
  <c r="L28"/>
  <c r="A29"/>
  <c r="L29" s="1"/>
  <c r="A30"/>
  <c r="L30"/>
  <c r="A31"/>
  <c r="L31"/>
  <c r="A32"/>
  <c r="L32"/>
  <c r="A33"/>
  <c r="L33" s="1"/>
  <c r="A35"/>
  <c r="L35"/>
  <c r="A31" i="5"/>
  <c r="AR31"/>
  <c r="AL4" i="7"/>
  <c r="AK4"/>
  <c r="AJ4"/>
  <c r="AI4"/>
  <c r="AH4"/>
  <c r="AG4"/>
  <c r="AF4"/>
  <c r="AE4"/>
  <c r="AD4"/>
  <c r="AC4"/>
  <c r="AB4"/>
  <c r="AA4"/>
  <c r="Z4"/>
  <c r="B4"/>
  <c r="D4"/>
  <c r="F4"/>
  <c r="H4"/>
  <c r="J4"/>
  <c r="L4"/>
  <c r="N4"/>
  <c r="P4"/>
  <c r="R4"/>
  <c r="T4"/>
  <c r="V4"/>
  <c r="A23" i="5"/>
  <c r="AR23"/>
  <c r="AH38" i="1"/>
  <c r="AH37"/>
  <c r="AP9" i="5"/>
  <c r="V4" i="76"/>
  <c r="D36" i="75"/>
  <c r="E36"/>
  <c r="F36"/>
  <c r="G36"/>
  <c r="D37"/>
  <c r="E37" s="1"/>
  <c r="F37"/>
  <c r="G37"/>
  <c r="G34" i="73"/>
  <c r="G35"/>
  <c r="B3" i="65"/>
  <c r="C3"/>
  <c r="E3" s="1"/>
  <c r="H34"/>
  <c r="I34"/>
  <c r="J34"/>
  <c r="F32" i="63"/>
  <c r="G32"/>
  <c r="I32"/>
  <c r="H32"/>
  <c r="D3" i="7"/>
  <c r="F3"/>
  <c r="H3"/>
  <c r="AM3"/>
  <c r="BB6"/>
  <c r="BB7"/>
  <c r="BB8"/>
  <c r="BB9"/>
  <c r="BB10"/>
  <c r="BB11"/>
  <c r="BB12"/>
  <c r="BB13"/>
  <c r="BB14"/>
  <c r="BB15"/>
  <c r="BB16"/>
  <c r="BB17"/>
  <c r="BB19"/>
  <c r="BB20"/>
  <c r="BB21"/>
  <c r="BB22"/>
  <c r="BB23"/>
  <c r="BB24"/>
  <c r="BB25"/>
  <c r="BB26"/>
  <c r="BB27"/>
  <c r="BB28"/>
  <c r="BB29"/>
  <c r="BB30"/>
  <c r="BB31"/>
  <c r="BB32"/>
  <c r="BB33"/>
  <c r="BB34"/>
  <c r="BE34"/>
  <c r="BG34"/>
  <c r="BB35"/>
  <c r="BE35"/>
  <c r="BG35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/>
  <c r="AN6"/>
  <c r="AP6"/>
  <c r="A7"/>
  <c r="AR7" s="1"/>
  <c r="AN7"/>
  <c r="A8"/>
  <c r="AR8"/>
  <c r="AN8"/>
  <c r="A9"/>
  <c r="AR9" s="1"/>
  <c r="AN9"/>
  <c r="AU9"/>
  <c r="AU10"/>
  <c r="AZ9"/>
  <c r="A10"/>
  <c r="AR10"/>
  <c r="AN10"/>
  <c r="A11"/>
  <c r="AR11"/>
  <c r="AN11"/>
  <c r="A12"/>
  <c r="AR12"/>
  <c r="AN12"/>
  <c r="A13"/>
  <c r="AR13" s="1"/>
  <c r="AN14"/>
  <c r="A15"/>
  <c r="AR15" s="1"/>
  <c r="AN15"/>
  <c r="A16"/>
  <c r="AR16"/>
  <c r="AN16"/>
  <c r="A17"/>
  <c r="AR17" s="1"/>
  <c r="AN17"/>
  <c r="A18"/>
  <c r="AR18" s="1"/>
  <c r="AN18"/>
  <c r="A19"/>
  <c r="AR19"/>
  <c r="AN19"/>
  <c r="A20"/>
  <c r="AR20"/>
  <c r="AN20"/>
  <c r="A21"/>
  <c r="AR21"/>
  <c r="AN21"/>
  <c r="A22"/>
  <c r="AR22" s="1"/>
  <c r="AN22"/>
  <c r="AN23"/>
  <c r="AP23"/>
  <c r="A24"/>
  <c r="AR24"/>
  <c r="AN24"/>
  <c r="AP24"/>
  <c r="A25"/>
  <c r="AR25" s="1"/>
  <c r="AN25"/>
  <c r="A26"/>
  <c r="AR26" s="1"/>
  <c r="AN26"/>
  <c r="A27"/>
  <c r="AR27"/>
  <c r="AN27"/>
  <c r="A28"/>
  <c r="AR28"/>
  <c r="AN28"/>
  <c r="A29"/>
  <c r="AR29"/>
  <c r="AN29"/>
  <c r="A30"/>
  <c r="AR30" s="1"/>
  <c r="AN30"/>
  <c r="AN31"/>
  <c r="A32"/>
  <c r="AR32" s="1"/>
  <c r="AN32"/>
  <c r="A33"/>
  <c r="AR33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/>
  <c r="A6" i="2"/>
  <c r="B6"/>
  <c r="O5" i="81" s="1"/>
  <c r="A7" i="2"/>
  <c r="B7" s="1"/>
  <c r="A8"/>
  <c r="AZ11" i="7" s="1"/>
  <c r="A9" i="2"/>
  <c r="A10"/>
  <c r="AZ13" i="7"/>
  <c r="A11" i="2"/>
  <c r="AZ14" i="7" s="1"/>
  <c r="A12" i="2"/>
  <c r="B12" s="1"/>
  <c r="A13"/>
  <c r="AZ16" i="7"/>
  <c r="A14" i="2"/>
  <c r="AZ17" i="7" s="1"/>
  <c r="A15" i="2"/>
  <c r="AZ18" i="7"/>
  <c r="A16" i="2"/>
  <c r="B16" s="1"/>
  <c r="A17"/>
  <c r="AZ20" i="7" s="1"/>
  <c r="A18" i="2"/>
  <c r="B18" s="1"/>
  <c r="A19"/>
  <c r="AZ22" i="7"/>
  <c r="A20" i="2"/>
  <c r="A21"/>
  <c r="B21"/>
  <c r="A22"/>
  <c r="A23"/>
  <c r="B23" s="1"/>
  <c r="O23" s="1"/>
  <c r="A24"/>
  <c r="A25"/>
  <c r="AZ28" i="7" s="1"/>
  <c r="A26" i="2"/>
  <c r="B26"/>
  <c r="A27"/>
  <c r="AZ30" i="7" s="1"/>
  <c r="B27" i="2"/>
  <c r="O26" i="81" s="1"/>
  <c r="A28" i="2"/>
  <c r="B28" s="1"/>
  <c r="A29"/>
  <c r="AZ32" i="7"/>
  <c r="A30" i="2"/>
  <c r="AZ33" i="7" s="1"/>
  <c r="A31" i="2"/>
  <c r="AZ34" i="7"/>
  <c r="A32" i="2"/>
  <c r="B32" s="1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9" i="7"/>
  <c r="BA34"/>
  <c r="AM35" i="5"/>
  <c r="AV7" i="7"/>
  <c r="AN13" i="5"/>
  <c r="AP10"/>
  <c r="E7" i="77"/>
  <c r="G7"/>
  <c r="B32" i="63"/>
  <c r="A32"/>
  <c r="E32"/>
  <c r="C32"/>
  <c r="D32" s="1"/>
  <c r="Z43" i="76"/>
  <c r="BA31" i="7"/>
  <c r="BA33"/>
  <c r="BA36"/>
  <c r="BA12"/>
  <c r="M5" i="3"/>
  <c r="AJ7" i="5"/>
  <c r="AQ5" i="1"/>
  <c r="AS6"/>
  <c r="M4" i="2"/>
  <c r="E3" i="82"/>
  <c r="K4" i="2"/>
  <c r="F3" i="82"/>
  <c r="E5" i="2"/>
  <c r="H4" i="82"/>
  <c r="E4" i="2"/>
  <c r="H3" i="82"/>
  <c r="I6" i="76"/>
  <c r="M6"/>
  <c r="I5"/>
  <c r="M5"/>
  <c r="G6"/>
  <c r="L6"/>
  <c r="G5"/>
  <c r="G4"/>
  <c r="L4"/>
  <c r="C5"/>
  <c r="S5" i="3"/>
  <c r="V5"/>
  <c r="S4"/>
  <c r="M4"/>
  <c r="C4"/>
  <c r="F4"/>
  <c r="C3"/>
  <c r="O7" i="79"/>
  <c r="W8" i="5"/>
  <c r="W7"/>
  <c r="Y8"/>
  <c r="J4" i="82"/>
  <c r="Y7" i="5"/>
  <c r="J3" i="82"/>
  <c r="U8" i="5"/>
  <c r="U7"/>
  <c r="R7" i="1"/>
  <c r="R6"/>
  <c r="D7"/>
  <c r="E7"/>
  <c r="Z7" i="7"/>
  <c r="AB7" s="1"/>
  <c r="AC7" s="1"/>
  <c r="D6" i="1"/>
  <c r="E6"/>
  <c r="D5"/>
  <c r="E5"/>
  <c r="Z6" i="7"/>
  <c r="AB6"/>
  <c r="AC6" s="1"/>
  <c r="AD6"/>
  <c r="AF6" s="1"/>
  <c r="BA7"/>
  <c r="BA10"/>
  <c r="AM26" i="5"/>
  <c r="AM34"/>
  <c r="AD5" i="2"/>
  <c r="AB5"/>
  <c r="Z5"/>
  <c r="Z4"/>
  <c r="T5"/>
  <c r="T4"/>
  <c r="Q5"/>
  <c r="BE7" i="7"/>
  <c r="BG7" s="1"/>
  <c r="Q4" i="2"/>
  <c r="BE6" i="7"/>
  <c r="BG6"/>
  <c r="Q3" i="2"/>
  <c r="I5" i="65"/>
  <c r="I5" i="2"/>
  <c r="G4" i="82"/>
  <c r="G5" i="2"/>
  <c r="I4" i="82"/>
  <c r="G4" i="2"/>
  <c r="E3"/>
  <c r="H2" i="82"/>
  <c r="A5" i="79"/>
  <c r="J2" i="63"/>
  <c r="K31" i="73"/>
  <c r="BA29" i="7"/>
  <c r="AB4" i="2"/>
  <c r="AD6" i="1"/>
  <c r="H7" i="5"/>
  <c r="AD4" i="2"/>
  <c r="I5" i="1"/>
  <c r="AF5"/>
  <c r="AA6" i="5"/>
  <c r="J4" i="63"/>
  <c r="AD8" i="5"/>
  <c r="M6" i="3"/>
  <c r="U5"/>
  <c r="U4"/>
  <c r="K6" i="76"/>
  <c r="N6"/>
  <c r="K5"/>
  <c r="N5"/>
  <c r="K4" i="3"/>
  <c r="K5"/>
  <c r="N5"/>
  <c r="AA7" i="5"/>
  <c r="C8"/>
  <c r="E8"/>
  <c r="C7"/>
  <c r="E7"/>
  <c r="AO6" i="1"/>
  <c r="AS7"/>
  <c r="M5" i="2"/>
  <c r="E4" i="82"/>
  <c r="X4" i="2"/>
  <c r="K7" i="76"/>
  <c r="N7"/>
  <c r="I7"/>
  <c r="M7"/>
  <c r="G7"/>
  <c r="L7"/>
  <c r="C7"/>
  <c r="U6" i="3"/>
  <c r="S6"/>
  <c r="K6"/>
  <c r="AD9" i="5"/>
  <c r="AA8"/>
  <c r="AJ8"/>
  <c r="K4" i="82"/>
  <c r="W9" i="5"/>
  <c r="Y9"/>
  <c r="J5" i="82"/>
  <c r="U9" i="5"/>
  <c r="H9"/>
  <c r="C9"/>
  <c r="E9"/>
  <c r="J9" s="1"/>
  <c r="L5" i="81" s="1"/>
  <c r="AQ7" i="1"/>
  <c r="AD8"/>
  <c r="R8"/>
  <c r="S7"/>
  <c r="T7"/>
  <c r="Z8" i="7"/>
  <c r="B8"/>
  <c r="AD6" i="2"/>
  <c r="AB6"/>
  <c r="Z6"/>
  <c r="Q6"/>
  <c r="BE8" i="7"/>
  <c r="BG8" s="1"/>
  <c r="K5" i="2"/>
  <c r="F4" i="82"/>
  <c r="I6" i="2"/>
  <c r="G5" i="82"/>
  <c r="G6" i="2"/>
  <c r="G6" i="1"/>
  <c r="I6"/>
  <c r="G7"/>
  <c r="AF6"/>
  <c r="AO7"/>
  <c r="X5" i="2"/>
  <c r="E6"/>
  <c r="H5" i="82"/>
  <c r="K8" i="76"/>
  <c r="N8"/>
  <c r="I8"/>
  <c r="G8"/>
  <c r="L8"/>
  <c r="M7" i="3"/>
  <c r="AD10" i="5"/>
  <c r="AA9"/>
  <c r="AJ9"/>
  <c r="K5" i="82"/>
  <c r="W10" i="5"/>
  <c r="Y10"/>
  <c r="J6" i="82"/>
  <c r="C10" i="5"/>
  <c r="AS8" i="1"/>
  <c r="AQ8"/>
  <c r="R9"/>
  <c r="S8"/>
  <c r="T8"/>
  <c r="Z9" i="7"/>
  <c r="AB9"/>
  <c r="D8" i="1"/>
  <c r="E8"/>
  <c r="B9" i="7"/>
  <c r="C9" s="1"/>
  <c r="AD7" i="2"/>
  <c r="AB7"/>
  <c r="Z7"/>
  <c r="Q7"/>
  <c r="BE9" i="7"/>
  <c r="BG9"/>
  <c r="M6" i="2"/>
  <c r="E5" i="82"/>
  <c r="K6" i="2"/>
  <c r="F5" i="82"/>
  <c r="I7" i="2"/>
  <c r="G6" i="82"/>
  <c r="G7" i="2"/>
  <c r="I6" i="82"/>
  <c r="E7" i="2"/>
  <c r="H6" i="82"/>
  <c r="I7" i="1"/>
  <c r="H6" i="3"/>
  <c r="AF7" i="1"/>
  <c r="G8"/>
  <c r="AO8"/>
  <c r="X6" i="2"/>
  <c r="AD11" i="5"/>
  <c r="AJ10"/>
  <c r="K6" i="82"/>
  <c r="AA10" i="5"/>
  <c r="W11"/>
  <c r="C11"/>
  <c r="E11"/>
  <c r="AS9" i="1"/>
  <c r="AQ9"/>
  <c r="R10"/>
  <c r="Z10" i="7"/>
  <c r="AA10" s="1"/>
  <c r="D9" i="1"/>
  <c r="E9"/>
  <c r="B10" i="7"/>
  <c r="AB8" i="2"/>
  <c r="Z8"/>
  <c r="Q8"/>
  <c r="I10" i="65"/>
  <c r="M7" i="2"/>
  <c r="E6" i="82"/>
  <c r="I8" i="1"/>
  <c r="G9"/>
  <c r="H7" i="3"/>
  <c r="H8"/>
  <c r="H9"/>
  <c r="AF8" i="1"/>
  <c r="X7" i="2"/>
  <c r="AA11" i="5"/>
  <c r="AJ11"/>
  <c r="C12"/>
  <c r="D12"/>
  <c r="AS10" i="1"/>
  <c r="AQ10"/>
  <c r="AD11"/>
  <c r="R11"/>
  <c r="B11" i="7"/>
  <c r="AB9" i="2"/>
  <c r="Q9"/>
  <c r="BE11" i="7"/>
  <c r="BG11" s="1"/>
  <c r="M8" i="2"/>
  <c r="E7" i="82"/>
  <c r="I9" i="1"/>
  <c r="G10"/>
  <c r="J10"/>
  <c r="X8" i="2"/>
  <c r="C13" i="5"/>
  <c r="D13"/>
  <c r="D12" i="1"/>
  <c r="E12"/>
  <c r="B12" i="7"/>
  <c r="D12" s="1"/>
  <c r="I11" i="1"/>
  <c r="I10"/>
  <c r="X9" i="2"/>
  <c r="C14" i="5"/>
  <c r="E14"/>
  <c r="J14" s="1"/>
  <c r="L10" i="81" s="1"/>
  <c r="D13" i="1"/>
  <c r="E13"/>
  <c r="M10" i="2"/>
  <c r="E9" i="82"/>
  <c r="H10" i="3"/>
  <c r="E12"/>
  <c r="C12"/>
  <c r="Y14" i="1"/>
  <c r="AB14"/>
  <c r="M11" i="2"/>
  <c r="E10" i="82"/>
  <c r="E13" i="3"/>
  <c r="AC26" i="76"/>
  <c r="U13" i="5"/>
  <c r="AA13"/>
  <c r="AJ13"/>
  <c r="K9" i="82"/>
  <c r="W12" i="5"/>
  <c r="AJ12"/>
  <c r="K8" i="82"/>
  <c r="AA14" i="5"/>
  <c r="AA12"/>
  <c r="Y13"/>
  <c r="J9" i="82"/>
  <c r="Y12" i="5"/>
  <c r="J8" i="82"/>
  <c r="K10" i="76"/>
  <c r="N10"/>
  <c r="M11" i="3"/>
  <c r="G14" i="1"/>
  <c r="G13"/>
  <c r="G12"/>
  <c r="G11"/>
  <c r="J11"/>
  <c r="D11"/>
  <c r="E11"/>
  <c r="Z14" i="7"/>
  <c r="AB14"/>
  <c r="AC14" s="1"/>
  <c r="Q10" i="2"/>
  <c r="BE12" i="7"/>
  <c r="BG12" s="1"/>
  <c r="M9" i="2"/>
  <c r="E8" i="82"/>
  <c r="K12" i="76"/>
  <c r="N12"/>
  <c r="K11"/>
  <c r="N11"/>
  <c r="K9"/>
  <c r="N9"/>
  <c r="I11"/>
  <c r="I10"/>
  <c r="M10"/>
  <c r="I9"/>
  <c r="M9"/>
  <c r="I12"/>
  <c r="M12"/>
  <c r="G11"/>
  <c r="L11"/>
  <c r="G12"/>
  <c r="L12"/>
  <c r="G10"/>
  <c r="G9"/>
  <c r="L9"/>
  <c r="C9"/>
  <c r="C11"/>
  <c r="C10"/>
  <c r="C8"/>
  <c r="U9" i="3"/>
  <c r="U10"/>
  <c r="U8"/>
  <c r="U7"/>
  <c r="S8"/>
  <c r="S7"/>
  <c r="V7"/>
  <c r="M10"/>
  <c r="M8"/>
  <c r="M9"/>
  <c r="BA11" i="5"/>
  <c r="BA12"/>
  <c r="AD12"/>
  <c r="Y15"/>
  <c r="J11" i="82"/>
  <c r="Y14" i="5"/>
  <c r="J10" i="82"/>
  <c r="W13" i="5"/>
  <c r="U15"/>
  <c r="U14"/>
  <c r="U12"/>
  <c r="U11"/>
  <c r="U10"/>
  <c r="AS11" i="1"/>
  <c r="AQ11"/>
  <c r="AF12"/>
  <c r="AF9"/>
  <c r="AF11"/>
  <c r="AF14"/>
  <c r="AF10"/>
  <c r="AD10"/>
  <c r="AD9"/>
  <c r="AG9"/>
  <c r="AD12"/>
  <c r="S9"/>
  <c r="T9"/>
  <c r="D10"/>
  <c r="E10"/>
  <c r="Z13" i="7"/>
  <c r="AA13"/>
  <c r="Z12"/>
  <c r="AA12"/>
  <c r="Z11"/>
  <c r="AA11" s="1"/>
  <c r="B14"/>
  <c r="D14" s="1"/>
  <c r="B13"/>
  <c r="AD8" i="2"/>
  <c r="AB10"/>
  <c r="Z9"/>
  <c r="X10"/>
  <c r="K8"/>
  <c r="F7" i="82"/>
  <c r="K7" i="2"/>
  <c r="F6" i="82"/>
  <c r="I8" i="2"/>
  <c r="G7" i="82"/>
  <c r="G8" i="2"/>
  <c r="I7" i="82"/>
  <c r="J23" i="63"/>
  <c r="J17"/>
  <c r="A13" i="65"/>
  <c r="R14" i="1"/>
  <c r="H2" i="63"/>
  <c r="F5" i="65"/>
  <c r="H11" i="3"/>
  <c r="R12" i="1"/>
  <c r="E8" i="2"/>
  <c r="H7" i="82"/>
  <c r="AM25" i="5"/>
  <c r="BA21" i="7"/>
  <c r="BA17"/>
  <c r="BA13"/>
  <c r="BA8"/>
  <c r="AZ9"/>
  <c r="A30" i="65"/>
  <c r="BA18" i="7"/>
  <c r="BA14"/>
  <c r="I12" i="1"/>
  <c r="A24" i="65"/>
  <c r="J22" i="63"/>
  <c r="BA11" i="7"/>
  <c r="BA6"/>
  <c r="S9" i="3"/>
  <c r="V9"/>
  <c r="K8"/>
  <c r="N8"/>
  <c r="AD13" i="5"/>
  <c r="AD14"/>
  <c r="AD16"/>
  <c r="AD15"/>
  <c r="H11"/>
  <c r="AS12" i="1"/>
  <c r="AQ12"/>
  <c r="AO10"/>
  <c r="S11"/>
  <c r="T11"/>
  <c r="AD9" i="2"/>
  <c r="AB13"/>
  <c r="AB11"/>
  <c r="Z11"/>
  <c r="Z10"/>
  <c r="X11"/>
  <c r="K9"/>
  <c r="F8" i="82"/>
  <c r="I9" i="2"/>
  <c r="G8" i="82"/>
  <c r="G9" i="2"/>
  <c r="E9"/>
  <c r="H8" i="82"/>
  <c r="I14" i="1"/>
  <c r="I13"/>
  <c r="L14"/>
  <c r="I11" i="3"/>
  <c r="H12"/>
  <c r="S10"/>
  <c r="K9"/>
  <c r="N9"/>
  <c r="AD17" i="5"/>
  <c r="H12"/>
  <c r="AS13" i="1"/>
  <c r="AQ14"/>
  <c r="AQ13"/>
  <c r="AO11"/>
  <c r="S12"/>
  <c r="T12"/>
  <c r="AD10" i="2"/>
  <c r="AB12"/>
  <c r="X12"/>
  <c r="X13"/>
  <c r="K10"/>
  <c r="F9" i="82"/>
  <c r="I10" i="2"/>
  <c r="G9" i="82"/>
  <c r="G10" i="2"/>
  <c r="I12" i="3"/>
  <c r="H13"/>
  <c r="L16" i="1"/>
  <c r="L15"/>
  <c r="E11" i="2"/>
  <c r="E10"/>
  <c r="H9" i="82"/>
  <c r="S11" i="3"/>
  <c r="K11"/>
  <c r="K10"/>
  <c r="AD18" i="5"/>
  <c r="H13"/>
  <c r="AS14" i="1"/>
  <c r="AO12"/>
  <c r="S14"/>
  <c r="T14"/>
  <c r="S13"/>
  <c r="AD12" i="2"/>
  <c r="AD11"/>
  <c r="K13"/>
  <c r="F12" i="82"/>
  <c r="K11" i="2"/>
  <c r="F10" i="82"/>
  <c r="I11" i="2"/>
  <c r="G10" i="82"/>
  <c r="G11" i="2"/>
  <c r="I10" i="82"/>
  <c r="G12" i="2"/>
  <c r="I11" i="82"/>
  <c r="V7" i="2"/>
  <c r="H14" i="3"/>
  <c r="S12"/>
  <c r="AD19" i="5"/>
  <c r="H14"/>
  <c r="AS15" i="1"/>
  <c r="AO13"/>
  <c r="K12" i="2"/>
  <c r="F11" i="82"/>
  <c r="I12" i="2"/>
  <c r="G11" i="82"/>
  <c r="I13" i="2"/>
  <c r="G12" i="82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AG7" i="1"/>
  <c r="V4" i="3"/>
  <c r="AG6" i="1"/>
  <c r="AG5"/>
  <c r="AD5" i="3"/>
  <c r="AI5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/>
  <c r="F3"/>
  <c r="H54" i="74"/>
  <c r="H62"/>
  <c r="H70"/>
  <c r="H78"/>
  <c r="D52"/>
  <c r="D55"/>
  <c r="D63"/>
  <c r="H49"/>
  <c r="H57"/>
  <c r="L51"/>
  <c r="L59"/>
  <c r="L67"/>
  <c r="L75"/>
  <c r="I14" i="5"/>
  <c r="K10" i="81"/>
  <c r="G7" i="63"/>
  <c r="E10" i="5"/>
  <c r="G5" i="63"/>
  <c r="D8" i="5"/>
  <c r="D7"/>
  <c r="AT6" i="1"/>
  <c r="AG8"/>
  <c r="BE10" i="7"/>
  <c r="BG10"/>
  <c r="AF12" i="5"/>
  <c r="AI12"/>
  <c r="AH5" i="1"/>
  <c r="C5" i="65"/>
  <c r="AT5" i="1"/>
  <c r="AH6"/>
  <c r="C6" i="65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/>
  <c r="E5"/>
  <c r="D7" i="76"/>
  <c r="E7"/>
  <c r="AF8" i="2"/>
  <c r="H10" i="65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AB4"/>
  <c r="Z4"/>
  <c r="F4" i="63"/>
  <c r="BD8" i="5"/>
  <c r="BD10"/>
  <c r="BD13"/>
  <c r="BC9"/>
  <c r="AT9" i="1"/>
  <c r="V3" i="3"/>
  <c r="BD12" i="5"/>
  <c r="AL11"/>
  <c r="D6"/>
  <c r="E6"/>
  <c r="J6" s="1"/>
  <c r="L2" i="81" s="1"/>
  <c r="G8" i="63"/>
  <c r="AT10" i="1"/>
  <c r="AF10" i="2"/>
  <c r="H12" i="65"/>
  <c r="AF7" i="2"/>
  <c r="H9" i="65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/>
  <c r="M8"/>
  <c r="D6"/>
  <c r="E6"/>
  <c r="D5"/>
  <c r="E5"/>
  <c r="D10"/>
  <c r="E10"/>
  <c r="L10"/>
  <c r="D9"/>
  <c r="E9"/>
  <c r="L5"/>
  <c r="AA4" i="3"/>
  <c r="C5"/>
  <c r="I5"/>
  <c r="BD7" i="5"/>
  <c r="AZ10"/>
  <c r="BC10"/>
  <c r="AU11"/>
  <c r="BD9"/>
  <c r="AL7"/>
  <c r="K7" i="82"/>
  <c r="I12" i="5"/>
  <c r="I10"/>
  <c r="K6" i="81"/>
  <c r="D10" i="5"/>
  <c r="G10" i="63"/>
  <c r="G4"/>
  <c r="G9"/>
  <c r="BD6" i="5"/>
  <c r="AL10"/>
  <c r="I8"/>
  <c r="K4" i="81"/>
  <c r="AL8" i="5"/>
  <c r="AL9"/>
  <c r="AL12"/>
  <c r="K3" i="82"/>
  <c r="I13" i="5"/>
  <c r="K9" i="81"/>
  <c r="I11" i="5"/>
  <c r="K7" i="81"/>
  <c r="I7" i="5"/>
  <c r="K3" i="81"/>
  <c r="I9" i="5"/>
  <c r="K5" i="81"/>
  <c r="E12" i="5"/>
  <c r="D11"/>
  <c r="G6" i="63"/>
  <c r="I6" s="1"/>
  <c r="D9" i="5"/>
  <c r="AT7" i="1"/>
  <c r="AT11"/>
  <c r="AT8"/>
  <c r="AB6"/>
  <c r="AM6"/>
  <c r="F7" i="75"/>
  <c r="G7"/>
  <c r="AF4" i="2"/>
  <c r="B3" i="63"/>
  <c r="A2"/>
  <c r="A4"/>
  <c r="AE4" i="2"/>
  <c r="A3" i="63"/>
  <c r="T7" i="2"/>
  <c r="AE5"/>
  <c r="T6"/>
  <c r="AD6" i="3"/>
  <c r="AI6" s="1"/>
  <c r="D8" i="65" s="1"/>
  <c r="AD7" i="3"/>
  <c r="AI7" s="1"/>
  <c r="D9" i="65" s="1"/>
  <c r="E8" i="63"/>
  <c r="AD8" i="3"/>
  <c r="I8" i="65"/>
  <c r="N6" i="2"/>
  <c r="C5" i="63"/>
  <c r="D5" s="1"/>
  <c r="N10" i="2"/>
  <c r="S11" i="76"/>
  <c r="N9" i="2"/>
  <c r="S10" i="76"/>
  <c r="N4" i="2"/>
  <c r="S5" i="76"/>
  <c r="B29" i="2"/>
  <c r="L28" i="82"/>
  <c r="X50" i="74"/>
  <c r="R81"/>
  <c r="S81"/>
  <c r="L6" i="1"/>
  <c r="U6"/>
  <c r="N8" i="2"/>
  <c r="S9" i="76"/>
  <c r="N7" i="2"/>
  <c r="C6" i="63"/>
  <c r="I8" i="82"/>
  <c r="I5"/>
  <c r="I3"/>
  <c r="N5" i="2"/>
  <c r="AF3"/>
  <c r="H5" i="65"/>
  <c r="E2" i="63"/>
  <c r="J21"/>
  <c r="BA35" i="7"/>
  <c r="X76" i="74"/>
  <c r="AT38" i="7"/>
  <c r="X58" i="74"/>
  <c r="X51"/>
  <c r="A28" i="65"/>
  <c r="B31" i="2"/>
  <c r="L30" i="82" s="1"/>
  <c r="B25" i="2"/>
  <c r="L24" i="82"/>
  <c r="X72" i="74"/>
  <c r="X67"/>
  <c r="X60"/>
  <c r="X65"/>
  <c r="AB11" i="7"/>
  <c r="AD11" s="1"/>
  <c r="A17" i="65"/>
  <c r="P50" i="74"/>
  <c r="P54"/>
  <c r="X53"/>
  <c r="J19" i="63"/>
  <c r="B5" i="2"/>
  <c r="O4" i="81"/>
  <c r="L25" i="82"/>
  <c r="O25" i="81"/>
  <c r="A10" i="65"/>
  <c r="P52" i="74"/>
  <c r="AA6" i="7"/>
  <c r="J7" i="63"/>
  <c r="A32" i="65"/>
  <c r="P63" i="74"/>
  <c r="P75"/>
  <c r="A18" i="65"/>
  <c r="P48" i="74"/>
  <c r="B13" i="2"/>
  <c r="O12" i="81"/>
  <c r="X77" i="74"/>
  <c r="X70"/>
  <c r="P66"/>
  <c r="P78"/>
  <c r="AZ29" i="7"/>
  <c r="AZ15"/>
  <c r="J31" i="63"/>
  <c r="X75" i="74"/>
  <c r="X68"/>
  <c r="X59"/>
  <c r="BA32" i="7"/>
  <c r="P74" i="74"/>
  <c r="AD33" i="5"/>
  <c r="BA30" i="7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/>
  <c r="P70" i="74"/>
  <c r="BA28" i="7"/>
  <c r="BA27"/>
  <c r="X69" i="74"/>
  <c r="O22" i="81"/>
  <c r="B33" i="2"/>
  <c r="O33" s="1"/>
  <c r="A20" i="65"/>
  <c r="AB10" i="7"/>
  <c r="AC10" s="1"/>
  <c r="B30" i="2"/>
  <c r="O29" i="81" s="1"/>
  <c r="J27" i="63"/>
  <c r="A11" i="65"/>
  <c r="P49" i="74"/>
  <c r="P53"/>
  <c r="X55"/>
  <c r="B8" i="2"/>
  <c r="B4"/>
  <c r="AB12" i="7"/>
  <c r="L22" i="82"/>
  <c r="B15" i="2"/>
  <c r="O14" i="81" s="1"/>
  <c r="AA9" i="7"/>
  <c r="X54" i="74"/>
  <c r="A8" i="65"/>
  <c r="L5" i="82"/>
  <c r="AB13" i="7"/>
  <c r="J10" i="63"/>
  <c r="X49" i="74"/>
  <c r="X71"/>
  <c r="AZ24" i="7"/>
  <c r="B3" i="2"/>
  <c r="A14" i="65"/>
  <c r="P69" i="74"/>
  <c r="P73"/>
  <c r="P51"/>
  <c r="P55"/>
  <c r="P59"/>
  <c r="N3" i="3"/>
  <c r="U5" i="1"/>
  <c r="AV38"/>
  <c r="X66" i="74"/>
  <c r="BA24" i="7"/>
  <c r="AM23" i="5"/>
  <c r="P64" i="74"/>
  <c r="X63"/>
  <c r="P62"/>
  <c r="X62"/>
  <c r="P61"/>
  <c r="X61"/>
  <c r="AZ19" i="7"/>
  <c r="N3" i="2"/>
  <c r="F2" i="82"/>
  <c r="AS7" i="5"/>
  <c r="AY6"/>
  <c r="BB6"/>
  <c r="N5" i="1"/>
  <c r="V5"/>
  <c r="AX6"/>
  <c r="J2" i="81"/>
  <c r="AA3" i="3"/>
  <c r="P6" i="5"/>
  <c r="I6"/>
  <c r="G3" i="63"/>
  <c r="N6" i="5"/>
  <c r="X4" i="3"/>
  <c r="Y3"/>
  <c r="AL5" i="1"/>
  <c r="D6" i="75"/>
  <c r="E6" s="1"/>
  <c r="AE3" i="2"/>
  <c r="AB5" i="1"/>
  <c r="AM5"/>
  <c r="F6" i="75"/>
  <c r="G6"/>
  <c r="P4" i="3"/>
  <c r="Q3"/>
  <c r="AK6" i="5"/>
  <c r="AL6"/>
  <c r="K2" i="82"/>
  <c r="T5" i="1"/>
  <c r="AU7" i="5"/>
  <c r="AZ7"/>
  <c r="Z3" i="3"/>
  <c r="D50" i="74"/>
  <c r="AD3" i="3"/>
  <c r="AE3" s="1"/>
  <c r="AF3" s="1"/>
  <c r="AI3"/>
  <c r="D5" i="65" s="1"/>
  <c r="H2" i="81"/>
  <c r="D4" i="76"/>
  <c r="E4"/>
  <c r="G43" i="74"/>
  <c r="B17" i="77"/>
  <c r="E17" s="1"/>
  <c r="P60" i="74"/>
  <c r="H3" i="81"/>
  <c r="AV8" i="7"/>
  <c r="C13"/>
  <c r="J3"/>
  <c r="L3"/>
  <c r="N3"/>
  <c r="P3"/>
  <c r="R3"/>
  <c r="T3"/>
  <c r="V3"/>
  <c r="C7"/>
  <c r="C6"/>
  <c r="C8" i="77"/>
  <c r="D8"/>
  <c r="AW36" i="1"/>
  <c r="G37" i="73"/>
  <c r="P58" i="74"/>
  <c r="AE12" i="2"/>
  <c r="T13"/>
  <c r="A12" i="63"/>
  <c r="AP15" i="5"/>
  <c r="P57" i="74"/>
  <c r="S13" i="3"/>
  <c r="S14"/>
  <c r="M12"/>
  <c r="E14"/>
  <c r="C13"/>
  <c r="G11" i="63"/>
  <c r="I11" s="1"/>
  <c r="D14" i="5"/>
  <c r="AQ15" i="1"/>
  <c r="AO15"/>
  <c r="AA14"/>
  <c r="AH14"/>
  <c r="C14" i="65"/>
  <c r="AA15" i="1"/>
  <c r="S15"/>
  <c r="T15"/>
  <c r="T13"/>
  <c r="J13"/>
  <c r="V13" i="2"/>
  <c r="K14" i="73"/>
  <c r="P56" i="74"/>
  <c r="X56"/>
  <c r="K14" i="76"/>
  <c r="N14"/>
  <c r="K13"/>
  <c r="N13"/>
  <c r="D11"/>
  <c r="E11"/>
  <c r="M11"/>
  <c r="G13"/>
  <c r="D12"/>
  <c r="E12"/>
  <c r="V10" i="3"/>
  <c r="V11"/>
  <c r="M13"/>
  <c r="N11"/>
  <c r="N10"/>
  <c r="BA15" i="5"/>
  <c r="BA14"/>
  <c r="BD14"/>
  <c r="AL14"/>
  <c r="AL13"/>
  <c r="C15"/>
  <c r="AS16" i="1"/>
  <c r="AT12"/>
  <c r="AT14"/>
  <c r="AT13"/>
  <c r="AD14"/>
  <c r="AG12"/>
  <c r="AD13"/>
  <c r="I16"/>
  <c r="I15"/>
  <c r="AL14"/>
  <c r="D15" i="75"/>
  <c r="E15"/>
  <c r="U14" i="1"/>
  <c r="J14"/>
  <c r="D14"/>
  <c r="E14"/>
  <c r="Z15" i="7"/>
  <c r="AB15" s="1"/>
  <c r="AC15" s="1"/>
  <c r="AA14"/>
  <c r="B15"/>
  <c r="C15" s="1"/>
  <c r="D15"/>
  <c r="D13"/>
  <c r="AF11" i="2"/>
  <c r="H13" i="65"/>
  <c r="Q12" i="2"/>
  <c r="AD10" i="3"/>
  <c r="Q11" i="2"/>
  <c r="M12"/>
  <c r="E11" i="82"/>
  <c r="G14" i="2"/>
  <c r="I13" i="82"/>
  <c r="I9"/>
  <c r="N11" i="2"/>
  <c r="H10" i="82"/>
  <c r="AC9" i="7"/>
  <c r="AD9"/>
  <c r="J20" i="63"/>
  <c r="A22" i="65"/>
  <c r="J13" i="63"/>
  <c r="A15" i="65"/>
  <c r="D8" i="7"/>
  <c r="C8"/>
  <c r="AE6"/>
  <c r="A5" i="65"/>
  <c r="J3" i="63"/>
  <c r="D10" i="7"/>
  <c r="C10"/>
  <c r="AA8"/>
  <c r="AB8"/>
  <c r="AC8" s="1"/>
  <c r="AZ27"/>
  <c r="B24" i="2"/>
  <c r="X74" i="74"/>
  <c r="J14" i="63"/>
  <c r="D6" i="7"/>
  <c r="J25" i="63"/>
  <c r="AZ23" i="7"/>
  <c r="B20" i="2"/>
  <c r="D11" i="7"/>
  <c r="C11"/>
  <c r="B22" i="2"/>
  <c r="O21" i="81" s="1"/>
  <c r="AZ25" i="7"/>
  <c r="A31" i="65"/>
  <c r="J29" i="63"/>
  <c r="A7" i="65"/>
  <c r="J5" i="63"/>
  <c r="P67" i="74"/>
  <c r="L20" i="82"/>
  <c r="D9" i="7"/>
  <c r="E9" s="1"/>
  <c r="X64" i="74"/>
  <c r="X52"/>
  <c r="A26" i="65"/>
  <c r="J24" i="63"/>
  <c r="B19" i="2"/>
  <c r="C12" i="7"/>
  <c r="B10" i="2"/>
  <c r="O20" i="81"/>
  <c r="AZ12" i="7"/>
  <c r="B9" i="2"/>
  <c r="P76" i="74"/>
  <c r="O28" i="81"/>
  <c r="V81" i="74"/>
  <c r="AA20"/>
  <c r="BE6" i="5"/>
  <c r="I2" i="63"/>
  <c r="J12" i="5"/>
  <c r="L8" i="81" s="1"/>
  <c r="AU7" i="1"/>
  <c r="I4" i="81"/>
  <c r="AU6" i="1"/>
  <c r="I3" i="81"/>
  <c r="AG3" i="2"/>
  <c r="B7" i="63"/>
  <c r="AF13" i="5"/>
  <c r="AI13"/>
  <c r="H6" i="65"/>
  <c r="AI5" i="1"/>
  <c r="AW6" i="7"/>
  <c r="G2" i="81" s="1"/>
  <c r="AU5" i="1"/>
  <c r="I2" i="81"/>
  <c r="Q4" i="3"/>
  <c r="P5"/>
  <c r="AB3"/>
  <c r="AG4" i="2"/>
  <c r="H11" i="65"/>
  <c r="AU9" i="1"/>
  <c r="I6" i="81"/>
  <c r="R9" i="2"/>
  <c r="AI9"/>
  <c r="K43" i="74"/>
  <c r="J81"/>
  <c r="W32" i="76"/>
  <c r="AU10" i="1"/>
  <c r="I7" i="81"/>
  <c r="H4"/>
  <c r="AV9" i="7"/>
  <c r="AC4" i="3"/>
  <c r="AE4"/>
  <c r="AF4"/>
  <c r="AG4" s="1"/>
  <c r="AH4" s="1"/>
  <c r="K8" i="81"/>
  <c r="AU11" i="1"/>
  <c r="I8" i="81"/>
  <c r="B6" i="63"/>
  <c r="B9"/>
  <c r="AI4" i="3"/>
  <c r="D6" i="65"/>
  <c r="R8" i="2"/>
  <c r="J10" i="65"/>
  <c r="F81" i="74"/>
  <c r="B15" i="77"/>
  <c r="E15" s="1"/>
  <c r="B81" i="74"/>
  <c r="E5" i="3"/>
  <c r="AA5"/>
  <c r="F5"/>
  <c r="AB5"/>
  <c r="Z5"/>
  <c r="I6"/>
  <c r="C6"/>
  <c r="J10" i="5"/>
  <c r="L6" i="81" s="1"/>
  <c r="AU12" i="5"/>
  <c r="AZ11"/>
  <c r="BC11"/>
  <c r="J7"/>
  <c r="L3" i="81"/>
  <c r="J11" i="5"/>
  <c r="L7" i="81"/>
  <c r="J8" i="5"/>
  <c r="L4" i="81"/>
  <c r="J13" i="5"/>
  <c r="L9" i="81"/>
  <c r="AU8" i="1"/>
  <c r="I5" i="81"/>
  <c r="AU12" i="1"/>
  <c r="I9" i="81"/>
  <c r="AA7" i="1"/>
  <c r="AH7"/>
  <c r="C7" i="65"/>
  <c r="Y7" i="1"/>
  <c r="V5" i="2"/>
  <c r="AF5"/>
  <c r="AG5"/>
  <c r="V6"/>
  <c r="AF6"/>
  <c r="T8"/>
  <c r="A6" i="63"/>
  <c r="AE7" i="2"/>
  <c r="AG7"/>
  <c r="AE6"/>
  <c r="A5" i="63"/>
  <c r="AI8" i="3"/>
  <c r="AK8" s="1"/>
  <c r="C7" i="63"/>
  <c r="D7"/>
  <c r="E7" i="81"/>
  <c r="E5"/>
  <c r="R6" i="2"/>
  <c r="J8" i="65"/>
  <c r="S7" i="76"/>
  <c r="C9" i="63"/>
  <c r="D9"/>
  <c r="C8"/>
  <c r="D8" s="1"/>
  <c r="R10" i="2"/>
  <c r="AI10"/>
  <c r="E9" i="81"/>
  <c r="E8"/>
  <c r="E3"/>
  <c r="C3" i="63"/>
  <c r="D3"/>
  <c r="R4" i="2"/>
  <c r="J6" i="65"/>
  <c r="O24" i="81"/>
  <c r="L12" i="82"/>
  <c r="L4"/>
  <c r="O5" i="2"/>
  <c r="Q6" i="5"/>
  <c r="M2" i="81"/>
  <c r="AL6" i="1"/>
  <c r="D7" i="75"/>
  <c r="E7" s="1"/>
  <c r="S8" i="76"/>
  <c r="E6" i="81"/>
  <c r="E4"/>
  <c r="C4" i="63"/>
  <c r="D4"/>
  <c r="R5" i="2"/>
  <c r="S6" i="76"/>
  <c r="B2" i="63"/>
  <c r="D7" i="65"/>
  <c r="L8" i="5"/>
  <c r="O30" i="81"/>
  <c r="AD7" i="7"/>
  <c r="AD10"/>
  <c r="AD34" i="5"/>
  <c r="C81" i="74"/>
  <c r="G81"/>
  <c r="K81"/>
  <c r="W33" i="76"/>
  <c r="B14" i="77"/>
  <c r="E14"/>
  <c r="L3" i="82"/>
  <c r="O4" i="2"/>
  <c r="O7"/>
  <c r="L7" i="82"/>
  <c r="O7" i="81"/>
  <c r="O8" i="2"/>
  <c r="L14" i="82"/>
  <c r="L32"/>
  <c r="O32" i="81"/>
  <c r="O3"/>
  <c r="L29" i="82"/>
  <c r="L12" i="5"/>
  <c r="L14"/>
  <c r="W81" i="74"/>
  <c r="AB20"/>
  <c r="O81"/>
  <c r="K2" i="81"/>
  <c r="BC7" i="5"/>
  <c r="BC8"/>
  <c r="J3" i="81"/>
  <c r="AX7" i="1"/>
  <c r="AC3" i="3"/>
  <c r="H5" i="75"/>
  <c r="F3" i="63"/>
  <c r="C2"/>
  <c r="D2"/>
  <c r="S4" i="76"/>
  <c r="R3" i="2"/>
  <c r="J5" i="65"/>
  <c r="E2" i="81"/>
  <c r="W5" i="1"/>
  <c r="B5" i="65"/>
  <c r="E5" s="1"/>
  <c r="N7" i="5"/>
  <c r="H3" i="63"/>
  <c r="F6" i="65"/>
  <c r="N6" i="1"/>
  <c r="V6"/>
  <c r="AY7" i="5"/>
  <c r="BB7"/>
  <c r="AS8"/>
  <c r="L11"/>
  <c r="F11" i="65" s="1"/>
  <c r="P7" i="5"/>
  <c r="Y4" i="3"/>
  <c r="X5"/>
  <c r="AG3"/>
  <c r="AH3" s="1"/>
  <c r="L13" i="5"/>
  <c r="F13" i="65" s="1"/>
  <c r="H10" i="63"/>
  <c r="W3" i="7"/>
  <c r="AO3"/>
  <c r="H17" i="5"/>
  <c r="AE13" i="2"/>
  <c r="E15" i="3"/>
  <c r="F13"/>
  <c r="C14"/>
  <c r="F14"/>
  <c r="I14"/>
  <c r="BD15" i="5"/>
  <c r="Y16"/>
  <c r="J12" i="82"/>
  <c r="AT15" i="1"/>
  <c r="AU15"/>
  <c r="I12" i="81"/>
  <c r="AO16" i="1"/>
  <c r="AA16"/>
  <c r="Y16"/>
  <c r="AB16"/>
  <c r="L17"/>
  <c r="T15" i="2"/>
  <c r="G13"/>
  <c r="I12" i="82"/>
  <c r="N81" i="74"/>
  <c r="K15" i="76"/>
  <c r="N15"/>
  <c r="I14"/>
  <c r="M14"/>
  <c r="L13"/>
  <c r="D13"/>
  <c r="E13"/>
  <c r="G14"/>
  <c r="C13"/>
  <c r="U12" i="3"/>
  <c r="S15"/>
  <c r="M14"/>
  <c r="K12"/>
  <c r="BA16" i="5"/>
  <c r="BD16"/>
  <c r="AA15"/>
  <c r="AJ15"/>
  <c r="W15"/>
  <c r="U16"/>
  <c r="C16"/>
  <c r="G12" i="63"/>
  <c r="I15" i="5"/>
  <c r="D15"/>
  <c r="AS17" i="1"/>
  <c r="AU14"/>
  <c r="I11" i="81"/>
  <c r="AQ16" i="1"/>
  <c r="AU13"/>
  <c r="I10" i="81"/>
  <c r="AF15" i="1"/>
  <c r="AH15"/>
  <c r="C15" i="65"/>
  <c r="AG13" i="1"/>
  <c r="AM14"/>
  <c r="F15" i="75"/>
  <c r="G15"/>
  <c r="AG14" i="1"/>
  <c r="AD15"/>
  <c r="R15"/>
  <c r="S16"/>
  <c r="T16"/>
  <c r="I17"/>
  <c r="G15"/>
  <c r="Z16" i="7"/>
  <c r="D16" i="1"/>
  <c r="E16"/>
  <c r="D15"/>
  <c r="E15"/>
  <c r="B16" i="7"/>
  <c r="B10" i="63"/>
  <c r="AD13" i="2"/>
  <c r="AB14"/>
  <c r="Z12"/>
  <c r="AF12"/>
  <c r="AG12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D12" i="65" s="1"/>
  <c r="M13" i="2"/>
  <c r="E12" i="82"/>
  <c r="K14" i="2"/>
  <c r="F13" i="82"/>
  <c r="I14" i="2"/>
  <c r="G13" i="82"/>
  <c r="G15" i="2"/>
  <c r="I14" i="82"/>
  <c r="E12" i="2"/>
  <c r="S12" i="76"/>
  <c r="R11" i="2"/>
  <c r="E10" i="81"/>
  <c r="C10" i="63"/>
  <c r="O15" i="79"/>
  <c r="H15"/>
  <c r="K15" i="5"/>
  <c r="L16" s="1"/>
  <c r="AE9" i="7"/>
  <c r="AF9"/>
  <c r="V43" i="74"/>
  <c r="O19" i="81"/>
  <c r="L19" i="82"/>
  <c r="E8" i="7"/>
  <c r="F8"/>
  <c r="H8" s="1"/>
  <c r="O10" i="2"/>
  <c r="O9" i="81"/>
  <c r="L9" i="82"/>
  <c r="AD8" i="7"/>
  <c r="AF8" s="1"/>
  <c r="F15"/>
  <c r="E15"/>
  <c r="F11"/>
  <c r="G11" s="1"/>
  <c r="E11"/>
  <c r="O23" i="81"/>
  <c r="L23" i="82"/>
  <c r="G7" i="7"/>
  <c r="O9" i="2"/>
  <c r="L8" i="82"/>
  <c r="O8" i="81"/>
  <c r="O18"/>
  <c r="J11" i="65"/>
  <c r="BF6" i="5"/>
  <c r="BG6"/>
  <c r="G6" i="65"/>
  <c r="F8"/>
  <c r="AF14" i="5"/>
  <c r="AI14"/>
  <c r="P6" i="3"/>
  <c r="Q5"/>
  <c r="J4" i="81"/>
  <c r="AX8" i="1"/>
  <c r="AV10" i="7"/>
  <c r="H5" i="81"/>
  <c r="D10" i="63"/>
  <c r="AK4" i="3"/>
  <c r="AI8" i="2"/>
  <c r="AI6"/>
  <c r="E6" i="3"/>
  <c r="AA6"/>
  <c r="AC5"/>
  <c r="F5" i="63"/>
  <c r="AE5" i="3"/>
  <c r="AF5" s="1"/>
  <c r="AG5" s="1"/>
  <c r="AH5" s="1"/>
  <c r="I7"/>
  <c r="C7"/>
  <c r="F6"/>
  <c r="AB6"/>
  <c r="Z6"/>
  <c r="AK6"/>
  <c r="AK5"/>
  <c r="AU13" i="5"/>
  <c r="AZ12"/>
  <c r="BC12"/>
  <c r="AA8" i="1"/>
  <c r="AH8"/>
  <c r="C8" i="65"/>
  <c r="AM7" i="1"/>
  <c r="F8" i="75"/>
  <c r="G8" s="1"/>
  <c r="AB7" i="1"/>
  <c r="Y8"/>
  <c r="B4" i="63"/>
  <c r="H7" i="65"/>
  <c r="AG6" i="2"/>
  <c r="B5" i="63"/>
  <c r="H8" i="65"/>
  <c r="T9" i="2"/>
  <c r="AE8"/>
  <c r="AG8"/>
  <c r="A7" i="63"/>
  <c r="D10" i="65"/>
  <c r="J12"/>
  <c r="L7" i="1"/>
  <c r="AL7"/>
  <c r="D8" i="75"/>
  <c r="E8"/>
  <c r="J7" i="65"/>
  <c r="AI5" i="2"/>
  <c r="F9" i="65"/>
  <c r="AD36" i="5"/>
  <c r="AD35"/>
  <c r="F10" i="65"/>
  <c r="AB23" i="74"/>
  <c r="AI12" i="3"/>
  <c r="AK12" s="1"/>
  <c r="D14" i="65"/>
  <c r="Q7" i="5"/>
  <c r="M3" i="81"/>
  <c r="P8" i="5"/>
  <c r="W6" i="1"/>
  <c r="AI6"/>
  <c r="AW7" i="7"/>
  <c r="B6" i="65"/>
  <c r="E6"/>
  <c r="N8" i="5"/>
  <c r="X6" i="3"/>
  <c r="Y5"/>
  <c r="AY8" i="5"/>
  <c r="BB8"/>
  <c r="BE8"/>
  <c r="BF8"/>
  <c r="BG8"/>
  <c r="G8" i="65"/>
  <c r="AS9" i="5"/>
  <c r="BE7"/>
  <c r="V7" i="1"/>
  <c r="L8"/>
  <c r="AK11" i="5"/>
  <c r="H8" i="63"/>
  <c r="AA12" i="3"/>
  <c r="V12"/>
  <c r="H18" i="5"/>
  <c r="E16" i="3"/>
  <c r="I15"/>
  <c r="C15"/>
  <c r="AL15" i="5"/>
  <c r="Y17"/>
  <c r="J13" i="82"/>
  <c r="AO17" i="1"/>
  <c r="AT16"/>
  <c r="AU16"/>
  <c r="I13" i="81"/>
  <c r="AA17" i="1"/>
  <c r="Y17"/>
  <c r="AB17"/>
  <c r="L18"/>
  <c r="V14" i="2"/>
  <c r="V15"/>
  <c r="T16"/>
  <c r="K16" i="76"/>
  <c r="N16"/>
  <c r="I15"/>
  <c r="M15"/>
  <c r="L14"/>
  <c r="D14"/>
  <c r="E14"/>
  <c r="G15"/>
  <c r="C14"/>
  <c r="U13" i="3"/>
  <c r="S16"/>
  <c r="M15"/>
  <c r="K13"/>
  <c r="Z12"/>
  <c r="AE12"/>
  <c r="AF12"/>
  <c r="AG12" s="1"/>
  <c r="AH12" s="1"/>
  <c r="N12"/>
  <c r="BA17" i="5"/>
  <c r="BD17"/>
  <c r="K11" i="82"/>
  <c r="AA16" i="5"/>
  <c r="AJ16"/>
  <c r="K12" i="82"/>
  <c r="W16" i="5"/>
  <c r="U17"/>
  <c r="G13" i="63"/>
  <c r="E16" i="5"/>
  <c r="D16"/>
  <c r="I16"/>
  <c r="K11" i="81"/>
  <c r="J15" i="5"/>
  <c r="L11" i="81" s="1"/>
  <c r="C17" i="5"/>
  <c r="AS18" i="1"/>
  <c r="AQ17"/>
  <c r="AF16"/>
  <c r="AH16"/>
  <c r="C16" i="65"/>
  <c r="AD16" i="1"/>
  <c r="AM15"/>
  <c r="F16" i="75"/>
  <c r="G16" s="1"/>
  <c r="AG15" i="1"/>
  <c r="R16"/>
  <c r="S17"/>
  <c r="T17"/>
  <c r="I18"/>
  <c r="J15"/>
  <c r="AL15"/>
  <c r="D16" i="75"/>
  <c r="E16"/>
  <c r="U15" i="1"/>
  <c r="G16"/>
  <c r="AD15" i="7"/>
  <c r="AE15" s="1"/>
  <c r="AB16"/>
  <c r="AA16"/>
  <c r="Z17"/>
  <c r="AB17" s="1"/>
  <c r="B17"/>
  <c r="D17" s="1"/>
  <c r="F17" s="1"/>
  <c r="AD14" i="2"/>
  <c r="AB15"/>
  <c r="H14" i="65"/>
  <c r="B11" i="63"/>
  <c r="Z13" i="2"/>
  <c r="AF13"/>
  <c r="AG13"/>
  <c r="AE14"/>
  <c r="A13" i="63"/>
  <c r="X15" i="2"/>
  <c r="BE15" i="7"/>
  <c r="BG15" s="1"/>
  <c r="AD13" i="3"/>
  <c r="E12" i="63"/>
  <c r="D12" s="1"/>
  <c r="I15" i="65"/>
  <c r="Q14" i="2"/>
  <c r="M14"/>
  <c r="E13" i="82"/>
  <c r="K15" i="2"/>
  <c r="F14" i="82"/>
  <c r="I15" i="2"/>
  <c r="G14" i="82"/>
  <c r="G16" i="2"/>
  <c r="I15" i="82"/>
  <c r="H11"/>
  <c r="AI11" i="2"/>
  <c r="J13" i="65"/>
  <c r="E13" i="2"/>
  <c r="O16" i="79"/>
  <c r="H16"/>
  <c r="K16" i="5"/>
  <c r="AA23" i="74"/>
  <c r="I7" i="7"/>
  <c r="G15"/>
  <c r="H15"/>
  <c r="I15" s="1"/>
  <c r="AE8"/>
  <c r="AF15" i="5"/>
  <c r="AI15"/>
  <c r="P7" i="3"/>
  <c r="Q6"/>
  <c r="AB12"/>
  <c r="AX9" i="1"/>
  <c r="J5" i="81"/>
  <c r="H6"/>
  <c r="AV11" i="7"/>
  <c r="E7" i="3"/>
  <c r="AA7"/>
  <c r="C8"/>
  <c r="I8"/>
  <c r="Z7"/>
  <c r="AC6"/>
  <c r="F6" i="63"/>
  <c r="AE6" i="3"/>
  <c r="AF6" s="1"/>
  <c r="AG6" s="1"/>
  <c r="AH6" s="1"/>
  <c r="AZ13" i="5"/>
  <c r="BC13"/>
  <c r="AU14"/>
  <c r="AA9" i="1"/>
  <c r="AH9"/>
  <c r="C9" i="65"/>
  <c r="AB8" i="1"/>
  <c r="AM8"/>
  <c r="F9" i="75"/>
  <c r="G9" s="1"/>
  <c r="Y9" i="1"/>
  <c r="A8" i="63"/>
  <c r="AE9" i="2"/>
  <c r="AG9"/>
  <c r="T11"/>
  <c r="T10"/>
  <c r="U7" i="1"/>
  <c r="W7"/>
  <c r="V8"/>
  <c r="N9" i="5"/>
  <c r="U8" i="1"/>
  <c r="AL8"/>
  <c r="D9" i="75"/>
  <c r="E9"/>
  <c r="X7" i="3"/>
  <c r="Y6"/>
  <c r="P9" i="5"/>
  <c r="L9" i="1"/>
  <c r="Q8" i="5"/>
  <c r="I4" i="63"/>
  <c r="AY9" i="5"/>
  <c r="BB9"/>
  <c r="BE9"/>
  <c r="AS10"/>
  <c r="BF7"/>
  <c r="BG7"/>
  <c r="G7" i="65"/>
  <c r="I3" i="63"/>
  <c r="B7" i="65"/>
  <c r="E7" s="1"/>
  <c r="AI7" i="1"/>
  <c r="AW8" i="7"/>
  <c r="AA13" i="3"/>
  <c r="V13"/>
  <c r="H19" i="5"/>
  <c r="E17" i="3"/>
  <c r="C16"/>
  <c r="F16"/>
  <c r="I16"/>
  <c r="F15"/>
  <c r="AL16" i="5"/>
  <c r="Y18"/>
  <c r="J14" i="82"/>
  <c r="AO18" i="1"/>
  <c r="AT17"/>
  <c r="AU17"/>
  <c r="I14" i="81"/>
  <c r="AA18" i="1"/>
  <c r="Y18"/>
  <c r="AB18"/>
  <c r="L19"/>
  <c r="V16" i="2"/>
  <c r="T17"/>
  <c r="K17" i="76"/>
  <c r="N17"/>
  <c r="I16"/>
  <c r="M16"/>
  <c r="G16"/>
  <c r="L15"/>
  <c r="D15"/>
  <c r="E15"/>
  <c r="C15"/>
  <c r="U14" i="3"/>
  <c r="S17"/>
  <c r="M16"/>
  <c r="K14"/>
  <c r="N13"/>
  <c r="Z13"/>
  <c r="AC12"/>
  <c r="F12" i="63"/>
  <c r="BA18" i="5"/>
  <c r="BD18"/>
  <c r="AJ17"/>
  <c r="AA17"/>
  <c r="W17"/>
  <c r="U18"/>
  <c r="G14" i="63"/>
  <c r="I14" s="1"/>
  <c r="I17" i="5"/>
  <c r="E17"/>
  <c r="D17"/>
  <c r="C18"/>
  <c r="J16"/>
  <c r="L12" i="81" s="1"/>
  <c r="K12"/>
  <c r="AS19" i="1"/>
  <c r="AQ18"/>
  <c r="AF17"/>
  <c r="AH17"/>
  <c r="C17" i="65"/>
  <c r="AD17" i="1"/>
  <c r="AG16"/>
  <c r="AM16"/>
  <c r="F17" i="75"/>
  <c r="G17" s="1"/>
  <c r="R17" i="1"/>
  <c r="S18"/>
  <c r="T18"/>
  <c r="I19"/>
  <c r="J16"/>
  <c r="U16"/>
  <c r="AL16"/>
  <c r="D17" i="75"/>
  <c r="E17"/>
  <c r="G17" i="1"/>
  <c r="Z18" i="7"/>
  <c r="AF15"/>
  <c r="AG15" s="1"/>
  <c r="AD16"/>
  <c r="AE16" s="1"/>
  <c r="AC16"/>
  <c r="D17" i="1"/>
  <c r="E17"/>
  <c r="B18" i="7"/>
  <c r="D18" s="1"/>
  <c r="AD15" i="2"/>
  <c r="AB16"/>
  <c r="B12" i="63"/>
  <c r="H15" i="65"/>
  <c r="Z14" i="2"/>
  <c r="AF14"/>
  <c r="AG14"/>
  <c r="X16"/>
  <c r="A14" i="63"/>
  <c r="AE15" i="2"/>
  <c r="AI13" i="3"/>
  <c r="I16" i="65"/>
  <c r="BE16" i="7"/>
  <c r="BG16"/>
  <c r="E13" i="63"/>
  <c r="AD14" i="3"/>
  <c r="Q15" i="2"/>
  <c r="M15"/>
  <c r="E14" i="82"/>
  <c r="K16" i="2"/>
  <c r="F15" i="82"/>
  <c r="I16" i="2"/>
  <c r="G15" i="82"/>
  <c r="G17" i="2"/>
  <c r="I16" i="82"/>
  <c r="E11" i="81"/>
  <c r="S13" i="76"/>
  <c r="R12" i="2"/>
  <c r="C11" i="63"/>
  <c r="D11"/>
  <c r="H12" i="82"/>
  <c r="N13" i="2"/>
  <c r="O13"/>
  <c r="E14"/>
  <c r="O17" i="79"/>
  <c r="H17"/>
  <c r="K7" i="7"/>
  <c r="I17" i="79"/>
  <c r="K17" i="5"/>
  <c r="L18" s="1"/>
  <c r="AK18" s="1"/>
  <c r="K30"/>
  <c r="F7" i="3"/>
  <c r="AB7"/>
  <c r="AF36" i="5"/>
  <c r="AI36"/>
  <c r="AF17"/>
  <c r="AI17"/>
  <c r="AF16"/>
  <c r="AI16"/>
  <c r="Q7" i="3"/>
  <c r="P8"/>
  <c r="AX10" i="1"/>
  <c r="J6" i="81"/>
  <c r="H7"/>
  <c r="AV12" i="7"/>
  <c r="E8" i="3"/>
  <c r="AA8"/>
  <c r="Z8"/>
  <c r="C9"/>
  <c r="I9"/>
  <c r="F7" i="63"/>
  <c r="AC7" i="3"/>
  <c r="AH7"/>
  <c r="AE7"/>
  <c r="AF7" s="1"/>
  <c r="AK7"/>
  <c r="AZ14" i="5"/>
  <c r="BC14"/>
  <c r="AU15"/>
  <c r="AL17"/>
  <c r="AA10" i="1"/>
  <c r="AH10"/>
  <c r="C10" i="65"/>
  <c r="E10" s="1"/>
  <c r="AB9" i="1"/>
  <c r="AM9"/>
  <c r="F10" i="75"/>
  <c r="G10" s="1"/>
  <c r="Y10" i="1"/>
  <c r="A10" i="63"/>
  <c r="AE11" i="2"/>
  <c r="AG11"/>
  <c r="A9" i="63"/>
  <c r="AE10" i="2"/>
  <c r="AG10"/>
  <c r="BF9" i="5"/>
  <c r="BG9"/>
  <c r="G9" i="65"/>
  <c r="I5" i="63"/>
  <c r="P10" i="5"/>
  <c r="AI8" i="1"/>
  <c r="AW9" i="7"/>
  <c r="W8" i="1"/>
  <c r="B8" i="65"/>
  <c r="E8"/>
  <c r="AY10" i="5"/>
  <c r="BB10"/>
  <c r="BE10"/>
  <c r="AS11"/>
  <c r="V9" i="1"/>
  <c r="L10"/>
  <c r="N10" i="5"/>
  <c r="Q9"/>
  <c r="M5" i="81"/>
  <c r="U9" i="1"/>
  <c r="AL9"/>
  <c r="D10" i="75"/>
  <c r="E10" s="1"/>
  <c r="AJ7" i="1"/>
  <c r="AK7"/>
  <c r="G4" i="81"/>
  <c r="M4"/>
  <c r="X8" i="3"/>
  <c r="Y7"/>
  <c r="AA14"/>
  <c r="V14"/>
  <c r="AB13"/>
  <c r="H20" i="5"/>
  <c r="E18" i="3"/>
  <c r="C17"/>
  <c r="I17"/>
  <c r="Y19" i="5"/>
  <c r="J15" i="82"/>
  <c r="AO19" i="1"/>
  <c r="AT18"/>
  <c r="AU18"/>
  <c r="I15" i="81"/>
  <c r="AA19" i="1"/>
  <c r="Y19"/>
  <c r="AB19"/>
  <c r="L20"/>
  <c r="V17" i="2"/>
  <c r="T18"/>
  <c r="K18" i="76"/>
  <c r="N18"/>
  <c r="I17"/>
  <c r="M17"/>
  <c r="G17"/>
  <c r="L16"/>
  <c r="D16"/>
  <c r="E16"/>
  <c r="C16"/>
  <c r="U15" i="3"/>
  <c r="S18"/>
  <c r="M17"/>
  <c r="K15"/>
  <c r="F13" i="63"/>
  <c r="AC13" i="3"/>
  <c r="N14"/>
  <c r="Z14"/>
  <c r="AE14"/>
  <c r="AF14"/>
  <c r="AG14" s="1"/>
  <c r="AE13"/>
  <c r="AF13" s="1"/>
  <c r="AG13" s="1"/>
  <c r="AH13" s="1"/>
  <c r="BA19" i="5"/>
  <c r="BD19"/>
  <c r="K13" i="82"/>
  <c r="AJ18" i="5"/>
  <c r="K14" i="82"/>
  <c r="AA18" i="5"/>
  <c r="W18"/>
  <c r="U19"/>
  <c r="K13" i="81"/>
  <c r="E18" i="5"/>
  <c r="G15" i="63"/>
  <c r="I15" s="1"/>
  <c r="I18" i="5"/>
  <c r="D18"/>
  <c r="C19"/>
  <c r="AS20" i="1"/>
  <c r="AQ19"/>
  <c r="AF18"/>
  <c r="AH18"/>
  <c r="C18" i="65"/>
  <c r="AG17" i="1"/>
  <c r="AM17"/>
  <c r="F18" i="75"/>
  <c r="G18" s="1"/>
  <c r="AD18" i="1"/>
  <c r="R18"/>
  <c r="S19"/>
  <c r="T19"/>
  <c r="I20"/>
  <c r="J17"/>
  <c r="AL17"/>
  <c r="D18" i="75"/>
  <c r="E18" s="1"/>
  <c r="U17" i="1"/>
  <c r="G18"/>
  <c r="Z19" i="7"/>
  <c r="AB18"/>
  <c r="AD18" s="1"/>
  <c r="AE18" s="1"/>
  <c r="AA18"/>
  <c r="D18" i="1"/>
  <c r="E18"/>
  <c r="B19" i="7"/>
  <c r="AD16" i="2"/>
  <c r="AB17"/>
  <c r="H16" i="65"/>
  <c r="B13" i="63"/>
  <c r="Z15" i="2"/>
  <c r="AF15"/>
  <c r="AG15"/>
  <c r="X17"/>
  <c r="A15" i="63"/>
  <c r="AE16" i="2"/>
  <c r="AI14" i="3"/>
  <c r="I17" i="65"/>
  <c r="AD15" i="3"/>
  <c r="E14" i="63"/>
  <c r="BE17" i="7"/>
  <c r="BG17"/>
  <c r="Q16" i="2"/>
  <c r="M16"/>
  <c r="E15" i="82"/>
  <c r="K17" i="2"/>
  <c r="F16" i="82"/>
  <c r="I17" i="2"/>
  <c r="G16" i="82"/>
  <c r="G18" i="2"/>
  <c r="I17" i="82"/>
  <c r="J14" i="65"/>
  <c r="AI12" i="2"/>
  <c r="R13"/>
  <c r="S14" i="76"/>
  <c r="C12" i="63"/>
  <c r="E12" i="81"/>
  <c r="E15" i="2"/>
  <c r="H13" i="82"/>
  <c r="N14" i="2"/>
  <c r="L17" i="5"/>
  <c r="H14" i="63" s="1"/>
  <c r="O18" i="79"/>
  <c r="H18"/>
  <c r="N7" i="7"/>
  <c r="O7" s="1"/>
  <c r="I18" i="79"/>
  <c r="K18" i="5"/>
  <c r="F8" i="3"/>
  <c r="AB8"/>
  <c r="P9"/>
  <c r="Q8"/>
  <c r="J7" i="81"/>
  <c r="AX11" i="1"/>
  <c r="AV13" i="7"/>
  <c r="H8" i="81"/>
  <c r="E9" i="3"/>
  <c r="AA9"/>
  <c r="F8" i="63"/>
  <c r="AC8" i="3"/>
  <c r="AE8"/>
  <c r="AF8" s="1"/>
  <c r="AG8" s="1"/>
  <c r="AH8" s="1"/>
  <c r="I10"/>
  <c r="C11"/>
  <c r="C10"/>
  <c r="F9"/>
  <c r="AB9"/>
  <c r="Z9"/>
  <c r="AU16" i="5"/>
  <c r="AZ15"/>
  <c r="BC15"/>
  <c r="AA11" i="1"/>
  <c r="AH11"/>
  <c r="C11" i="65"/>
  <c r="Y11" i="1"/>
  <c r="AB10"/>
  <c r="AM10"/>
  <c r="F11" i="75"/>
  <c r="G11" s="1"/>
  <c r="Q10" i="5"/>
  <c r="M6" i="81"/>
  <c r="AY11" i="5"/>
  <c r="BB11"/>
  <c r="BE11"/>
  <c r="AS12"/>
  <c r="V10" i="1"/>
  <c r="L11"/>
  <c r="P11" i="5"/>
  <c r="U10" i="1"/>
  <c r="AL10"/>
  <c r="D11" i="75"/>
  <c r="E11"/>
  <c r="G5" i="81"/>
  <c r="AJ8" i="1"/>
  <c r="AK8" s="1"/>
  <c r="Y8" i="3"/>
  <c r="X9"/>
  <c r="N11" i="5"/>
  <c r="B9" i="65"/>
  <c r="E9"/>
  <c r="W9" i="1"/>
  <c r="AI9"/>
  <c r="AW10" i="7"/>
  <c r="BF10" i="5"/>
  <c r="BG10"/>
  <c r="G10" i="65"/>
  <c r="AA15" i="3"/>
  <c r="V15"/>
  <c r="AB14"/>
  <c r="H21" i="5"/>
  <c r="E19" i="3"/>
  <c r="I18"/>
  <c r="C18"/>
  <c r="F18"/>
  <c r="F17"/>
  <c r="Y20" i="5"/>
  <c r="J16" i="82"/>
  <c r="AO20" i="1"/>
  <c r="AT19"/>
  <c r="AU19"/>
  <c r="I16" i="81"/>
  <c r="AA20" i="1"/>
  <c r="Y20"/>
  <c r="AB20"/>
  <c r="L21"/>
  <c r="V18" i="2"/>
  <c r="T19"/>
  <c r="K19" i="76"/>
  <c r="N19"/>
  <c r="I18"/>
  <c r="M18"/>
  <c r="L17"/>
  <c r="D17"/>
  <c r="E17"/>
  <c r="G18"/>
  <c r="C17"/>
  <c r="U16" i="3"/>
  <c r="S19"/>
  <c r="M18"/>
  <c r="N15"/>
  <c r="Z15"/>
  <c r="K16"/>
  <c r="AC14"/>
  <c r="AH14"/>
  <c r="F14" i="63"/>
  <c r="BA20" i="5"/>
  <c r="BD20"/>
  <c r="AA19"/>
  <c r="AJ19"/>
  <c r="AL18"/>
  <c r="W19"/>
  <c r="U20"/>
  <c r="E19"/>
  <c r="D19"/>
  <c r="G16" i="63"/>
  <c r="I19" i="5"/>
  <c r="C20"/>
  <c r="J18"/>
  <c r="L14" i="81"/>
  <c r="K14"/>
  <c r="AS21" i="1"/>
  <c r="AQ20"/>
  <c r="AF19"/>
  <c r="AH19"/>
  <c r="C19" i="65"/>
  <c r="AD19" i="1"/>
  <c r="AM18"/>
  <c r="F19" i="75"/>
  <c r="G19"/>
  <c r="AG18" i="1"/>
  <c r="R19"/>
  <c r="S20"/>
  <c r="T20"/>
  <c r="I21"/>
  <c r="G19"/>
  <c r="J18"/>
  <c r="AL18"/>
  <c r="D19" i="75"/>
  <c r="E19" s="1"/>
  <c r="U18" i="1"/>
  <c r="AA19" i="7"/>
  <c r="AB19"/>
  <c r="Z20"/>
  <c r="AA20" s="1"/>
  <c r="D20" i="1"/>
  <c r="E20"/>
  <c r="D19"/>
  <c r="E19"/>
  <c r="F18" i="7"/>
  <c r="E18"/>
  <c r="B20"/>
  <c r="C19"/>
  <c r="D19"/>
  <c r="F19" s="1"/>
  <c r="AD17" i="2"/>
  <c r="AB18"/>
  <c r="B14" i="63"/>
  <c r="H17" i="65"/>
  <c r="Z16" i="2"/>
  <c r="AF16"/>
  <c r="AG16"/>
  <c r="AE17"/>
  <c r="A16" i="63"/>
  <c r="X18" i="2"/>
  <c r="AI15" i="3"/>
  <c r="D17" i="65"/>
  <c r="Q17" i="2"/>
  <c r="BE18" i="7"/>
  <c r="BG18"/>
  <c r="AD16" i="3"/>
  <c r="I18" i="65"/>
  <c r="E15" i="63"/>
  <c r="M17" i="2"/>
  <c r="E16" i="82"/>
  <c r="K18" i="2"/>
  <c r="F17" i="82"/>
  <c r="I18" i="2"/>
  <c r="G17" i="82"/>
  <c r="G19" i="2"/>
  <c r="I18" i="82"/>
  <c r="H14"/>
  <c r="N15" i="2"/>
  <c r="O15"/>
  <c r="E13" i="81"/>
  <c r="C13" i="63"/>
  <c r="D13" s="1"/>
  <c r="R14" i="2"/>
  <c r="S15" i="76"/>
  <c r="E16" i="2"/>
  <c r="AI13"/>
  <c r="J15" i="65"/>
  <c r="O19" i="79"/>
  <c r="H19"/>
  <c r="P7" i="7"/>
  <c r="I19" i="79"/>
  <c r="K19" i="5"/>
  <c r="L19" s="1"/>
  <c r="F19" i="65" s="1"/>
  <c r="Q9" i="3"/>
  <c r="AX12" i="1"/>
  <c r="J8" i="81"/>
  <c r="AV14" i="7"/>
  <c r="H9" i="81"/>
  <c r="E10" i="3"/>
  <c r="AA10"/>
  <c r="E11"/>
  <c r="AA11"/>
  <c r="F9" i="63"/>
  <c r="AC9" i="3"/>
  <c r="AE9"/>
  <c r="AF9"/>
  <c r="AG9" s="1"/>
  <c r="AH9" s="1"/>
  <c r="F11"/>
  <c r="AB11"/>
  <c r="Z11"/>
  <c r="F10"/>
  <c r="AB10"/>
  <c r="Z10"/>
  <c r="AU17" i="5"/>
  <c r="AZ16"/>
  <c r="BC16"/>
  <c r="AA12" i="1"/>
  <c r="AH12"/>
  <c r="C12" i="65"/>
  <c r="AA13" i="1"/>
  <c r="AH13"/>
  <c r="C13" i="65"/>
  <c r="Y12" i="1"/>
  <c r="Y13"/>
  <c r="AB11"/>
  <c r="AM11"/>
  <c r="F12" i="75"/>
  <c r="G12"/>
  <c r="Q11" i="5"/>
  <c r="M7" i="81"/>
  <c r="AA16" i="3"/>
  <c r="V16"/>
  <c r="N11" i="1"/>
  <c r="V11"/>
  <c r="AL11"/>
  <c r="D12" i="75"/>
  <c r="E12"/>
  <c r="U11" i="1"/>
  <c r="I7" i="63"/>
  <c r="BF11" i="5"/>
  <c r="BG11"/>
  <c r="G11" i="65"/>
  <c r="W10" i="1"/>
  <c r="B10" i="65"/>
  <c r="AI10" i="1"/>
  <c r="AW11" i="7"/>
  <c r="G7" i="81" s="1"/>
  <c r="L13" i="1"/>
  <c r="L12"/>
  <c r="N12" i="5"/>
  <c r="AS13"/>
  <c r="AY12"/>
  <c r="BB12"/>
  <c r="BE12"/>
  <c r="G6" i="81"/>
  <c r="AJ9" i="1"/>
  <c r="AK9" s="1"/>
  <c r="Y9" i="3"/>
  <c r="X10"/>
  <c r="P12" i="5"/>
  <c r="AB15" i="3"/>
  <c r="H22" i="5"/>
  <c r="E20" i="3"/>
  <c r="I19"/>
  <c r="C19"/>
  <c r="Y21" i="5"/>
  <c r="J17" i="82"/>
  <c r="AO21" i="1"/>
  <c r="AT20"/>
  <c r="AU20"/>
  <c r="I17" i="81"/>
  <c r="AA21" i="1"/>
  <c r="Y21"/>
  <c r="AB21"/>
  <c r="L22"/>
  <c r="V19" i="2"/>
  <c r="T20"/>
  <c r="K20" i="76"/>
  <c r="N20"/>
  <c r="I19"/>
  <c r="M19"/>
  <c r="D18"/>
  <c r="E18"/>
  <c r="L18"/>
  <c r="G19"/>
  <c r="C18"/>
  <c r="U17" i="3"/>
  <c r="S20"/>
  <c r="M19"/>
  <c r="AK15"/>
  <c r="F15" i="63"/>
  <c r="AC15" i="3"/>
  <c r="N16"/>
  <c r="Z16"/>
  <c r="AE16"/>
  <c r="AF16" s="1"/>
  <c r="AG16" s="1"/>
  <c r="AH16" s="1"/>
  <c r="K17"/>
  <c r="AE15"/>
  <c r="AF15"/>
  <c r="AG15"/>
  <c r="BA21" i="5"/>
  <c r="BD21"/>
  <c r="AA20"/>
  <c r="AJ20"/>
  <c r="K16" i="82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/>
  <c r="C20" i="65"/>
  <c r="AD20" i="1"/>
  <c r="AM19"/>
  <c r="F20" i="75"/>
  <c r="G20"/>
  <c r="AG19" i="1"/>
  <c r="R20"/>
  <c r="S21"/>
  <c r="T21"/>
  <c r="I22"/>
  <c r="AL19"/>
  <c r="D20" i="75"/>
  <c r="E20"/>
  <c r="J19" i="1"/>
  <c r="U19"/>
  <c r="G20"/>
  <c r="AF18" i="7"/>
  <c r="AG18" s="1"/>
  <c r="Z21"/>
  <c r="AB20"/>
  <c r="C20"/>
  <c r="D20"/>
  <c r="B21"/>
  <c r="AD18" i="2"/>
  <c r="AB19"/>
  <c r="Z17"/>
  <c r="AF17"/>
  <c r="AG17"/>
  <c r="H18" i="65"/>
  <c r="B15" i="63"/>
  <c r="A17"/>
  <c r="AE18" i="2"/>
  <c r="X19"/>
  <c r="BE19" i="7"/>
  <c r="BG19" s="1"/>
  <c r="I19" i="65"/>
  <c r="E16" i="63"/>
  <c r="AD17" i="3"/>
  <c r="Q18" i="2"/>
  <c r="AI16" i="3"/>
  <c r="AK16" s="1"/>
  <c r="M18" i="2"/>
  <c r="E17" i="82"/>
  <c r="K19" i="2"/>
  <c r="F18" i="82"/>
  <c r="I19" i="2"/>
  <c r="G18" i="82"/>
  <c r="G20" i="2"/>
  <c r="I19" i="82"/>
  <c r="R15" i="2"/>
  <c r="C14" i="63"/>
  <c r="D14"/>
  <c r="S16" i="76"/>
  <c r="E14" i="81"/>
  <c r="E17" i="2"/>
  <c r="J16" i="65"/>
  <c r="AI14" i="2"/>
  <c r="N16"/>
  <c r="H15" i="82"/>
  <c r="O20" i="79"/>
  <c r="H20"/>
  <c r="H15" i="63"/>
  <c r="F18" i="65"/>
  <c r="I20" i="79"/>
  <c r="K20" i="5"/>
  <c r="L20" s="1"/>
  <c r="Q10" i="3"/>
  <c r="P11"/>
  <c r="J9" i="81"/>
  <c r="AX13" i="1"/>
  <c r="AV15" i="7"/>
  <c r="H10" i="81"/>
  <c r="AC10" i="3"/>
  <c r="F10" i="63"/>
  <c r="AE10" i="3"/>
  <c r="AF10"/>
  <c r="AG10"/>
  <c r="AH10" s="1"/>
  <c r="AK10"/>
  <c r="F11" i="63"/>
  <c r="AC11" i="3"/>
  <c r="AU18" i="5"/>
  <c r="AZ17"/>
  <c r="BC17"/>
  <c r="AB13" i="1"/>
  <c r="AM13"/>
  <c r="F14" i="75"/>
  <c r="G14"/>
  <c r="AB12" i="1"/>
  <c r="AM12"/>
  <c r="F13" i="75"/>
  <c r="G13"/>
  <c r="AA17" i="3"/>
  <c r="V17"/>
  <c r="AB16"/>
  <c r="AJ10" i="1"/>
  <c r="AK10" s="1"/>
  <c r="AY13" i="5"/>
  <c r="BB13"/>
  <c r="BE13"/>
  <c r="AS14"/>
  <c r="B11" i="65"/>
  <c r="W11" i="1"/>
  <c r="AI11"/>
  <c r="AW12" i="7"/>
  <c r="BF12" i="5"/>
  <c r="BG12"/>
  <c r="G12" i="65"/>
  <c r="I8" i="63"/>
  <c r="AL12" i="1"/>
  <c r="D13" i="75"/>
  <c r="E13"/>
  <c r="U12" i="1"/>
  <c r="Q12" i="5"/>
  <c r="N12" i="1"/>
  <c r="V12"/>
  <c r="AL13"/>
  <c r="D14" i="75"/>
  <c r="E14" s="1"/>
  <c r="U13" i="1"/>
  <c r="N13" i="5"/>
  <c r="X11" i="3"/>
  <c r="Y10"/>
  <c r="P13" i="5"/>
  <c r="AL20"/>
  <c r="H23"/>
  <c r="E21" i="3"/>
  <c r="F19"/>
  <c r="C20"/>
  <c r="F20"/>
  <c r="I20"/>
  <c r="Y22" i="5"/>
  <c r="J18" i="82"/>
  <c r="AO22" i="1"/>
  <c r="AT21"/>
  <c r="AU21"/>
  <c r="I18" i="81"/>
  <c r="AA22" i="1"/>
  <c r="Y22"/>
  <c r="AB22"/>
  <c r="L23"/>
  <c r="V20" i="2"/>
  <c r="T21"/>
  <c r="K21" i="76"/>
  <c r="N21"/>
  <c r="I20"/>
  <c r="M20"/>
  <c r="G20"/>
  <c r="L19"/>
  <c r="D19"/>
  <c r="E19"/>
  <c r="C19"/>
  <c r="U18" i="3"/>
  <c r="S21"/>
  <c r="M20"/>
  <c r="AH15"/>
  <c r="K18"/>
  <c r="Z17"/>
  <c r="N17"/>
  <c r="AC16"/>
  <c r="F16" i="63"/>
  <c r="BA22" i="5"/>
  <c r="BD22"/>
  <c r="AA21"/>
  <c r="AJ21"/>
  <c r="W21"/>
  <c r="U22"/>
  <c r="D21"/>
  <c r="G18" i="63"/>
  <c r="I21" i="5"/>
  <c r="E21"/>
  <c r="J21" s="1"/>
  <c r="L17" i="81" s="1"/>
  <c r="J20" i="5"/>
  <c r="L16" i="81" s="1"/>
  <c r="K16"/>
  <c r="C22" i="5"/>
  <c r="AS23" i="1"/>
  <c r="AQ22"/>
  <c r="AF21"/>
  <c r="AH21"/>
  <c r="C21" i="65"/>
  <c r="AM20" i="1"/>
  <c r="F21" i="75"/>
  <c r="G21" s="1"/>
  <c r="AG20" i="1"/>
  <c r="AD21"/>
  <c r="R21"/>
  <c r="S22"/>
  <c r="T22"/>
  <c r="I23"/>
  <c r="G21"/>
  <c r="U20"/>
  <c r="J20"/>
  <c r="AL20"/>
  <c r="D21" i="75"/>
  <c r="E21"/>
  <c r="Z22" i="7"/>
  <c r="AA21"/>
  <c r="AB21"/>
  <c r="AC21" s="1"/>
  <c r="D21" i="1"/>
  <c r="E21"/>
  <c r="B22" i="7"/>
  <c r="F20"/>
  <c r="E20"/>
  <c r="D21"/>
  <c r="C21"/>
  <c r="AD19" i="2"/>
  <c r="AB20"/>
  <c r="H19" i="65"/>
  <c r="B16" i="63"/>
  <c r="Z18" i="2"/>
  <c r="AF18"/>
  <c r="AG18"/>
  <c r="X20"/>
  <c r="A18" i="63"/>
  <c r="AE19" i="2"/>
  <c r="I20" i="65"/>
  <c r="E17" i="63"/>
  <c r="BE20" i="7"/>
  <c r="BG20" s="1"/>
  <c r="AD18" i="3"/>
  <c r="AI17"/>
  <c r="AK17" s="1"/>
  <c r="D19" i="65"/>
  <c r="Q19" i="2"/>
  <c r="M19"/>
  <c r="E18" i="82"/>
  <c r="K20" i="2"/>
  <c r="F19" i="82"/>
  <c r="I20" i="2"/>
  <c r="G19" i="82"/>
  <c r="G21" i="2"/>
  <c r="I20" i="82"/>
  <c r="AI15" i="2"/>
  <c r="J17" i="65"/>
  <c r="C15" i="63"/>
  <c r="D15"/>
  <c r="E15" i="81"/>
  <c r="R16" i="2"/>
  <c r="S17" i="76"/>
  <c r="N17" i="2"/>
  <c r="H16" i="82"/>
  <c r="E18" i="2"/>
  <c r="O21" i="79"/>
  <c r="H21"/>
  <c r="I21"/>
  <c r="K21" i="5"/>
  <c r="Q11" i="3"/>
  <c r="P12"/>
  <c r="J10" i="81"/>
  <c r="AX14" i="1"/>
  <c r="H11" i="81"/>
  <c r="AV16" i="7"/>
  <c r="AU19" i="5"/>
  <c r="AZ18"/>
  <c r="BC18"/>
  <c r="AA18" i="3"/>
  <c r="V18"/>
  <c r="AB17"/>
  <c r="N14" i="5"/>
  <c r="AS15"/>
  <c r="AY14"/>
  <c r="BB14"/>
  <c r="BE14"/>
  <c r="Y11" i="3"/>
  <c r="X12"/>
  <c r="X13"/>
  <c r="M8" i="81"/>
  <c r="BF13" i="5"/>
  <c r="BG13"/>
  <c r="G13" i="65"/>
  <c r="I9" i="63"/>
  <c r="P14" i="5"/>
  <c r="AJ11" i="1"/>
  <c r="AK11" s="1"/>
  <c r="G8" i="81"/>
  <c r="W12" i="1"/>
  <c r="AI12"/>
  <c r="AW13" i="7"/>
  <c r="B12" i="65"/>
  <c r="E12" s="1"/>
  <c r="N13" i="1"/>
  <c r="V13"/>
  <c r="Q13" i="5"/>
  <c r="M9" i="81"/>
  <c r="AL21" i="5"/>
  <c r="H24"/>
  <c r="E22" i="3"/>
  <c r="C21"/>
  <c r="I21"/>
  <c r="Y23" i="5"/>
  <c r="J19" i="82"/>
  <c r="AT22" i="1"/>
  <c r="AO23"/>
  <c r="AA23"/>
  <c r="Y23"/>
  <c r="AB23"/>
  <c r="L24"/>
  <c r="V21" i="2"/>
  <c r="T22"/>
  <c r="K22" i="76"/>
  <c r="N22"/>
  <c r="I21"/>
  <c r="M21"/>
  <c r="D20"/>
  <c r="E20"/>
  <c r="L20"/>
  <c r="G21"/>
  <c r="C20"/>
  <c r="U19" i="3"/>
  <c r="S22"/>
  <c r="M21"/>
  <c r="N18"/>
  <c r="Z18"/>
  <c r="AE18"/>
  <c r="AF18"/>
  <c r="AG18"/>
  <c r="AH18" s="1"/>
  <c r="F17" i="63"/>
  <c r="AC17" i="3"/>
  <c r="K19"/>
  <c r="AE17"/>
  <c r="AF17"/>
  <c r="AG17"/>
  <c r="AH17" s="1"/>
  <c r="BA23" i="5"/>
  <c r="BD23"/>
  <c r="AA22"/>
  <c r="AJ22"/>
  <c r="K18" i="82"/>
  <c r="K17"/>
  <c r="W22" i="5"/>
  <c r="U23"/>
  <c r="I22"/>
  <c r="E22"/>
  <c r="G19" i="63"/>
  <c r="D22" i="5"/>
  <c r="K17" i="81"/>
  <c r="C23" i="5"/>
  <c r="AS24" i="1"/>
  <c r="AQ23"/>
  <c r="AF22"/>
  <c r="AH22"/>
  <c r="C22" i="65"/>
  <c r="AM21" i="1"/>
  <c r="F22" i="75"/>
  <c r="G22"/>
  <c r="AG21" i="1"/>
  <c r="AD22"/>
  <c r="R22"/>
  <c r="S23"/>
  <c r="T23"/>
  <c r="I24"/>
  <c r="G22"/>
  <c r="J21"/>
  <c r="U21"/>
  <c r="AL21"/>
  <c r="D22" i="75"/>
  <c r="E22"/>
  <c r="Z23" i="7"/>
  <c r="D22" i="1"/>
  <c r="E22"/>
  <c r="B23" i="7"/>
  <c r="E21"/>
  <c r="F21"/>
  <c r="AD20" i="2"/>
  <c r="AB21"/>
  <c r="Z19"/>
  <c r="AF19"/>
  <c r="AG19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D18" s="1"/>
  <c r="Q20" i="2"/>
  <c r="M20"/>
  <c r="E19" i="82"/>
  <c r="K21" i="2"/>
  <c r="F20" i="82"/>
  <c r="I21" i="2"/>
  <c r="G20" i="82"/>
  <c r="G22" i="2"/>
  <c r="I21" i="82"/>
  <c r="N18" i="2"/>
  <c r="H17" i="82"/>
  <c r="E19" i="2"/>
  <c r="J18" i="65"/>
  <c r="AI16" i="2"/>
  <c r="R17"/>
  <c r="S18" i="76"/>
  <c r="E16" i="81"/>
  <c r="C16" i="63"/>
  <c r="D16"/>
  <c r="O22" i="79"/>
  <c r="H22"/>
  <c r="I22"/>
  <c r="K22" i="5"/>
  <c r="L22"/>
  <c r="Q12" i="3"/>
  <c r="P13"/>
  <c r="J11" i="81"/>
  <c r="AX15" i="1"/>
  <c r="AV17" i="7"/>
  <c r="H12" i="81"/>
  <c r="AU20" i="5"/>
  <c r="AZ19"/>
  <c r="BC19"/>
  <c r="AA19" i="3"/>
  <c r="V19"/>
  <c r="AB18"/>
  <c r="N15" i="5"/>
  <c r="N14" i="1"/>
  <c r="V14"/>
  <c r="AS16" i="5"/>
  <c r="AY15"/>
  <c r="BB15"/>
  <c r="BE15"/>
  <c r="BF14"/>
  <c r="BG14"/>
  <c r="G14" i="65"/>
  <c r="I10" i="63"/>
  <c r="Q14" i="5"/>
  <c r="M10" i="81"/>
  <c r="B13" i="65"/>
  <c r="W13" i="1"/>
  <c r="AI13"/>
  <c r="AW14" i="7"/>
  <c r="Y12" i="3"/>
  <c r="P15" i="5"/>
  <c r="H25"/>
  <c r="E23" i="3"/>
  <c r="I22"/>
  <c r="C22"/>
  <c r="F22"/>
  <c r="F21"/>
  <c r="AL22" i="5"/>
  <c r="Y24"/>
  <c r="J20" i="82"/>
  <c r="AO24" i="1"/>
  <c r="AU22"/>
  <c r="I19" i="81"/>
  <c r="AT23" i="1"/>
  <c r="AU23"/>
  <c r="I20" i="81"/>
  <c r="AA24" i="1"/>
  <c r="Y24"/>
  <c r="AB24"/>
  <c r="L25"/>
  <c r="V22" i="2"/>
  <c r="T23"/>
  <c r="K23" i="76"/>
  <c r="N23"/>
  <c r="I22"/>
  <c r="M22"/>
  <c r="G22"/>
  <c r="L21"/>
  <c r="D21"/>
  <c r="E21"/>
  <c r="C21"/>
  <c r="U20" i="3"/>
  <c r="S23"/>
  <c r="M22"/>
  <c r="K20"/>
  <c r="F18" i="63"/>
  <c r="AC18" i="3"/>
  <c r="AK18"/>
  <c r="N19"/>
  <c r="Z19"/>
  <c r="AE19"/>
  <c r="AF19" s="1"/>
  <c r="AG19" s="1"/>
  <c r="AH19" s="1"/>
  <c r="BA24" i="5"/>
  <c r="BD24"/>
  <c r="AA23"/>
  <c r="AJ23"/>
  <c r="K19" i="82"/>
  <c r="W23" i="5"/>
  <c r="U24"/>
  <c r="G20" i="63"/>
  <c r="D23" i="5"/>
  <c r="I23"/>
  <c r="E23"/>
  <c r="C24"/>
  <c r="J22"/>
  <c r="L18" i="81"/>
  <c r="K18"/>
  <c r="AS25" i="1"/>
  <c r="AQ24"/>
  <c r="AF23"/>
  <c r="AH23"/>
  <c r="C23" i="65"/>
  <c r="AM22" i="1"/>
  <c r="F23" i="75"/>
  <c r="G23" s="1"/>
  <c r="AG22" i="1"/>
  <c r="AD23"/>
  <c r="R23"/>
  <c r="S24"/>
  <c r="T24"/>
  <c r="I25"/>
  <c r="G23"/>
  <c r="AL22"/>
  <c r="D23" i="75"/>
  <c r="E23" s="1"/>
  <c r="J22" i="1"/>
  <c r="U22"/>
  <c r="D24"/>
  <c r="E24"/>
  <c r="Z24" i="7"/>
  <c r="AA24" s="1"/>
  <c r="AA23"/>
  <c r="AB23"/>
  <c r="D23" i="1"/>
  <c r="E23"/>
  <c r="H21" i="7"/>
  <c r="G21"/>
  <c r="B24"/>
  <c r="AD21" i="2"/>
  <c r="AB22"/>
  <c r="B18" i="63"/>
  <c r="H21" i="65"/>
  <c r="Z20" i="2"/>
  <c r="AF20"/>
  <c r="AG20"/>
  <c r="X22"/>
  <c r="A20" i="63"/>
  <c r="AE21" i="2"/>
  <c r="Q21"/>
  <c r="AD20" i="3"/>
  <c r="E19" i="63"/>
  <c r="D19" s="1"/>
  <c r="I22" i="65"/>
  <c r="BE22" i="7"/>
  <c r="BG22" s="1"/>
  <c r="AI19" i="3"/>
  <c r="D21" i="65" s="1"/>
  <c r="M21" i="2"/>
  <c r="E20" i="82"/>
  <c r="K22" i="2"/>
  <c r="F21" i="82"/>
  <c r="I22" i="2"/>
  <c r="G21" i="82"/>
  <c r="G23" i="2"/>
  <c r="I22" i="82"/>
  <c r="J19" i="65"/>
  <c r="AI17" i="2"/>
  <c r="R18"/>
  <c r="E17" i="81"/>
  <c r="C17" i="63"/>
  <c r="D17" s="1"/>
  <c r="S19" i="76"/>
  <c r="N19" i="2"/>
  <c r="H18" i="82"/>
  <c r="E20" i="2"/>
  <c r="L21" i="5"/>
  <c r="O23" i="79"/>
  <c r="H23"/>
  <c r="I23"/>
  <c r="K23" i="5"/>
  <c r="L23" s="1"/>
  <c r="Q13" i="3"/>
  <c r="P14"/>
  <c r="J12" i="81"/>
  <c r="AX16" i="1"/>
  <c r="H13" i="81"/>
  <c r="AV18" i="7"/>
  <c r="AU21" i="5"/>
  <c r="AZ20"/>
  <c r="BC20"/>
  <c r="Q15"/>
  <c r="M11" i="81"/>
  <c r="AA20" i="3"/>
  <c r="V20"/>
  <c r="AB19"/>
  <c r="P16" i="5"/>
  <c r="N15" i="1"/>
  <c r="V15"/>
  <c r="B14" i="65"/>
  <c r="E14"/>
  <c r="W14" i="1"/>
  <c r="AI14"/>
  <c r="AW15" i="7"/>
  <c r="N16" i="5"/>
  <c r="AS17"/>
  <c r="AY16"/>
  <c r="BB16"/>
  <c r="BE16"/>
  <c r="X14" i="3"/>
  <c r="Y13"/>
  <c r="BF15" i="5"/>
  <c r="BG15"/>
  <c r="G15" i="65"/>
  <c r="AT24" i="1"/>
  <c r="AU24"/>
  <c r="I21" i="81"/>
  <c r="H26" i="5"/>
  <c r="E24" i="3"/>
  <c r="I23"/>
  <c r="C23"/>
  <c r="F23"/>
  <c r="Y25" i="5"/>
  <c r="J21" i="82"/>
  <c r="AO25" i="1"/>
  <c r="AA25"/>
  <c r="Y25"/>
  <c r="AB25"/>
  <c r="L26"/>
  <c r="V23" i="2"/>
  <c r="T24"/>
  <c r="K24" i="76"/>
  <c r="N24"/>
  <c r="I23"/>
  <c r="M23"/>
  <c r="G23"/>
  <c r="L22"/>
  <c r="D22"/>
  <c r="E22"/>
  <c r="C22"/>
  <c r="U21" i="3"/>
  <c r="S24"/>
  <c r="M23"/>
  <c r="Z20"/>
  <c r="N20"/>
  <c r="AC19"/>
  <c r="F19" i="63"/>
  <c r="K21" i="3"/>
  <c r="BA25" i="5"/>
  <c r="BD25"/>
  <c r="AA24"/>
  <c r="AJ24"/>
  <c r="K20" i="82"/>
  <c r="AL23" i="5"/>
  <c r="W24"/>
  <c r="U25"/>
  <c r="K19" i="81"/>
  <c r="J23" i="5"/>
  <c r="L19" i="81"/>
  <c r="C25" i="5"/>
  <c r="I24"/>
  <c r="D24"/>
  <c r="E24"/>
  <c r="G21" i="63"/>
  <c r="I21" s="1"/>
  <c r="AS26" i="1"/>
  <c r="AQ25"/>
  <c r="AF24"/>
  <c r="AH24"/>
  <c r="C24" i="65"/>
  <c r="AM23" i="1"/>
  <c r="F24" i="75"/>
  <c r="G24" s="1"/>
  <c r="AG23" i="1"/>
  <c r="AD24"/>
  <c r="R24"/>
  <c r="S25"/>
  <c r="T25"/>
  <c r="I26"/>
  <c r="AL23"/>
  <c r="D24" i="75"/>
  <c r="E24" s="1"/>
  <c r="U23" i="1"/>
  <c r="J23"/>
  <c r="G24"/>
  <c r="AD23" i="7"/>
  <c r="AC23"/>
  <c r="D25" i="1"/>
  <c r="E25"/>
  <c r="Z25" i="7"/>
  <c r="AA25" s="1"/>
  <c r="B25"/>
  <c r="C25" s="1"/>
  <c r="J21"/>
  <c r="I21"/>
  <c r="AD22" i="2"/>
  <c r="AB23"/>
  <c r="Z21"/>
  <c r="AF21"/>
  <c r="AG21"/>
  <c r="H22" i="65"/>
  <c r="B19" i="63"/>
  <c r="X23" i="2"/>
  <c r="A21" i="63"/>
  <c r="AE22" i="2"/>
  <c r="AD21" i="3"/>
  <c r="I23" i="65"/>
  <c r="BE23" i="7"/>
  <c r="BG23"/>
  <c r="E20" i="63"/>
  <c r="Q22" i="2"/>
  <c r="AI20" i="3"/>
  <c r="D22" i="65"/>
  <c r="M22" i="2"/>
  <c r="E21" i="82"/>
  <c r="K23" i="2"/>
  <c r="F22" i="82"/>
  <c r="I23" i="2"/>
  <c r="G22" i="82"/>
  <c r="G24" i="2"/>
  <c r="I23" i="82"/>
  <c r="E21" i="2"/>
  <c r="H19" i="82"/>
  <c r="N20" i="2"/>
  <c r="O20"/>
  <c r="AI18"/>
  <c r="J20" i="65"/>
  <c r="C18" i="63"/>
  <c r="E18" i="81"/>
  <c r="S20" i="76"/>
  <c r="R19" i="2"/>
  <c r="AK22" i="5"/>
  <c r="H19" i="63"/>
  <c r="F22" i="65"/>
  <c r="O24" i="79"/>
  <c r="H24"/>
  <c r="I24"/>
  <c r="K24" i="5"/>
  <c r="Q14" i="3"/>
  <c r="P15"/>
  <c r="Q18"/>
  <c r="D23" i="76"/>
  <c r="E23"/>
  <c r="J13" i="81"/>
  <c r="AX17" i="1"/>
  <c r="AB20" i="3"/>
  <c r="AV19" i="7"/>
  <c r="H14" i="81"/>
  <c r="AU22" i="5"/>
  <c r="AZ21"/>
  <c r="BC21"/>
  <c r="Q16"/>
  <c r="M12" i="81"/>
  <c r="AA21" i="3"/>
  <c r="V21"/>
  <c r="N17" i="5"/>
  <c r="B15" i="65"/>
  <c r="AI15" i="1"/>
  <c r="AW16" i="7"/>
  <c r="W15" i="1"/>
  <c r="N16"/>
  <c r="V16"/>
  <c r="AS18" i="5"/>
  <c r="AY17"/>
  <c r="BB17"/>
  <c r="BE17"/>
  <c r="I12" i="63"/>
  <c r="BF16" i="5"/>
  <c r="BG16"/>
  <c r="G16" i="65"/>
  <c r="P17" i="5"/>
  <c r="X15" i="3"/>
  <c r="Y14"/>
  <c r="AJ14" i="1"/>
  <c r="AK14"/>
  <c r="G11" i="81"/>
  <c r="H27" i="5"/>
  <c r="E25" i="3"/>
  <c r="I24"/>
  <c r="C24"/>
  <c r="F24"/>
  <c r="Y26" i="5"/>
  <c r="J22" i="82"/>
  <c r="AT25" i="1"/>
  <c r="AU25"/>
  <c r="I22" i="81"/>
  <c r="AO26" i="1"/>
  <c r="AA26"/>
  <c r="Y26"/>
  <c r="AB26"/>
  <c r="L27"/>
  <c r="V24" i="2"/>
  <c r="T25"/>
  <c r="K25" i="76"/>
  <c r="N25"/>
  <c r="I24"/>
  <c r="M24"/>
  <c r="G24"/>
  <c r="L23"/>
  <c r="C23"/>
  <c r="U22" i="3"/>
  <c r="S25"/>
  <c r="M24"/>
  <c r="K22"/>
  <c r="AC20"/>
  <c r="AK20"/>
  <c r="F20" i="63"/>
  <c r="AE20" i="3"/>
  <c r="AF20" s="1"/>
  <c r="AG20"/>
  <c r="AH20" s="1"/>
  <c r="N21"/>
  <c r="Z21"/>
  <c r="BA26" i="5"/>
  <c r="BD26"/>
  <c r="AA25"/>
  <c r="AJ25"/>
  <c r="K21" i="82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/>
  <c r="C25" i="65"/>
  <c r="AM24" i="1"/>
  <c r="F25" i="75"/>
  <c r="G25" s="1"/>
  <c r="AG24" i="1"/>
  <c r="AD25"/>
  <c r="R25"/>
  <c r="S26"/>
  <c r="T26"/>
  <c r="I27"/>
  <c r="J24"/>
  <c r="AL24"/>
  <c r="D25" i="75"/>
  <c r="E25"/>
  <c r="U24" i="1"/>
  <c r="G25"/>
  <c r="AE23" i="7"/>
  <c r="AF23"/>
  <c r="Z26"/>
  <c r="D26" i="1"/>
  <c r="E26"/>
  <c r="B26" i="7"/>
  <c r="AD23" i="2"/>
  <c r="AB24"/>
  <c r="H23" i="65"/>
  <c r="B20" i="63"/>
  <c r="Z22" i="2"/>
  <c r="AF22"/>
  <c r="AG22"/>
  <c r="X24"/>
  <c r="AE23"/>
  <c r="A22" i="63"/>
  <c r="Q23" i="2"/>
  <c r="AI21" i="3"/>
  <c r="D23" i="65"/>
  <c r="E23" s="1"/>
  <c r="BE24" i="7"/>
  <c r="BG24" s="1"/>
  <c r="E21" i="63"/>
  <c r="I24" i="65"/>
  <c r="AD22" i="3"/>
  <c r="M23" i="2"/>
  <c r="E22" i="82"/>
  <c r="K24" i="2"/>
  <c r="F23" i="82"/>
  <c r="I24" i="2"/>
  <c r="G23" i="82"/>
  <c r="G25" i="2"/>
  <c r="I24" i="82"/>
  <c r="N21" i="2"/>
  <c r="O21"/>
  <c r="H20" i="82"/>
  <c r="J21" i="65"/>
  <c r="AI19" i="2"/>
  <c r="E22"/>
  <c r="C19" i="63"/>
  <c r="R20" i="2"/>
  <c r="E19" i="81"/>
  <c r="S21" i="76"/>
  <c r="T21" s="1"/>
  <c r="F19" i="81" s="1"/>
  <c r="O25" i="79"/>
  <c r="H25"/>
  <c r="I25"/>
  <c r="K25" i="5"/>
  <c r="L25" s="1"/>
  <c r="Q15" i="3"/>
  <c r="P16"/>
  <c r="AA22"/>
  <c r="V22"/>
  <c r="J14" i="81"/>
  <c r="AX18" i="1"/>
  <c r="H15" i="81"/>
  <c r="AV20" i="7"/>
  <c r="AU23" i="5"/>
  <c r="AZ22"/>
  <c r="BC22"/>
  <c r="Q17"/>
  <c r="M13" i="81"/>
  <c r="AB21" i="3"/>
  <c r="N18" i="5"/>
  <c r="I13" i="63"/>
  <c r="BF17" i="5"/>
  <c r="BG17"/>
  <c r="G17" i="65"/>
  <c r="B16"/>
  <c r="AI16" i="1"/>
  <c r="AW17" i="7"/>
  <c r="AJ16" i="1" s="1"/>
  <c r="W16"/>
  <c r="P18" i="5"/>
  <c r="X16" i="3"/>
  <c r="Y15"/>
  <c r="N17" i="1"/>
  <c r="V17"/>
  <c r="AS19" i="5"/>
  <c r="AY18"/>
  <c r="BB18"/>
  <c r="BE18"/>
  <c r="H28"/>
  <c r="AT26" i="1"/>
  <c r="AU26"/>
  <c r="I23" i="81"/>
  <c r="E26" i="3"/>
  <c r="C25"/>
  <c r="F25"/>
  <c r="I25"/>
  <c r="Y27" i="5"/>
  <c r="J23" i="82"/>
  <c r="AO27" i="1"/>
  <c r="AA27"/>
  <c r="Y27"/>
  <c r="AB27"/>
  <c r="L28"/>
  <c r="V25" i="2"/>
  <c r="T26"/>
  <c r="K26" i="76"/>
  <c r="N26"/>
  <c r="I25"/>
  <c r="M25"/>
  <c r="L24"/>
  <c r="D24"/>
  <c r="E24"/>
  <c r="G25"/>
  <c r="C24"/>
  <c r="U23" i="3"/>
  <c r="S26"/>
  <c r="M25"/>
  <c r="AC21"/>
  <c r="AK21"/>
  <c r="F21" i="63"/>
  <c r="K23" i="3"/>
  <c r="N22"/>
  <c r="Z22"/>
  <c r="AE22"/>
  <c r="AF22" s="1"/>
  <c r="AG22" s="1"/>
  <c r="AH22" s="1"/>
  <c r="AE21"/>
  <c r="AF21" s="1"/>
  <c r="AG21" s="1"/>
  <c r="AH21" s="1"/>
  <c r="BA27" i="5"/>
  <c r="BD27"/>
  <c r="AJ26"/>
  <c r="K22" i="82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/>
  <c r="C26" i="65"/>
  <c r="AD26" i="1"/>
  <c r="AG25"/>
  <c r="AM25"/>
  <c r="F26" i="75"/>
  <c r="G26"/>
  <c r="R26" i="1"/>
  <c r="S27"/>
  <c r="T27"/>
  <c r="I28"/>
  <c r="G26"/>
  <c r="J25"/>
  <c r="AL25"/>
  <c r="D26" i="75"/>
  <c r="E26" s="1"/>
  <c r="U25" i="1"/>
  <c r="AA26" i="7"/>
  <c r="AB26"/>
  <c r="AC26" s="1"/>
  <c r="D27" i="1"/>
  <c r="E27"/>
  <c r="Z27" i="7"/>
  <c r="AH23"/>
  <c r="AG23"/>
  <c r="B27"/>
  <c r="AD24" i="2"/>
  <c r="AB25"/>
  <c r="H24" i="65"/>
  <c r="B21" i="63"/>
  <c r="Z23" i="2"/>
  <c r="AF23"/>
  <c r="AG23"/>
  <c r="X25"/>
  <c r="A23" i="63"/>
  <c r="AE24" i="2"/>
  <c r="I25" i="65"/>
  <c r="E22" i="63"/>
  <c r="BE25" i="7"/>
  <c r="BG25"/>
  <c r="AD23" i="3"/>
  <c r="Q24" i="2"/>
  <c r="AI22" i="3"/>
  <c r="D24" i="65" s="1"/>
  <c r="E24" s="1"/>
  <c r="M24" i="2"/>
  <c r="E23" i="82"/>
  <c r="K25" i="2"/>
  <c r="F24" i="82"/>
  <c r="I25" i="2"/>
  <c r="G24" i="82"/>
  <c r="G26" i="2"/>
  <c r="I25" i="82"/>
  <c r="E20" i="81"/>
  <c r="R21" i="2"/>
  <c r="S22" i="76"/>
  <c r="C20" i="63"/>
  <c r="D20" s="1"/>
  <c r="N22" i="2"/>
  <c r="O22"/>
  <c r="H21" i="82"/>
  <c r="E23" i="2"/>
  <c r="J22" i="65"/>
  <c r="AI20" i="2"/>
  <c r="O26" i="79"/>
  <c r="H26"/>
  <c r="I26"/>
  <c r="K26" i="5"/>
  <c r="L26"/>
  <c r="AL26"/>
  <c r="P17" i="3"/>
  <c r="Q16"/>
  <c r="AB22"/>
  <c r="J15" i="81"/>
  <c r="AX19" i="1"/>
  <c r="AV21" i="7"/>
  <c r="H16" i="81"/>
  <c r="AU24" i="5"/>
  <c r="AZ23"/>
  <c r="BC23"/>
  <c r="AA23" i="3"/>
  <c r="V23"/>
  <c r="Q18" i="5"/>
  <c r="M14" i="81"/>
  <c r="AS20" i="5"/>
  <c r="AY19"/>
  <c r="BB19"/>
  <c r="BE19"/>
  <c r="N19"/>
  <c r="P19"/>
  <c r="X17" i="3"/>
  <c r="Y16"/>
  <c r="BF18" i="5"/>
  <c r="BG18"/>
  <c r="G18" i="65"/>
  <c r="AI17" i="1"/>
  <c r="AW18" i="7"/>
  <c r="B17" i="65"/>
  <c r="E17"/>
  <c r="N18" i="1"/>
  <c r="V18"/>
  <c r="AK16"/>
  <c r="G13" i="81"/>
  <c r="H29" i="5"/>
  <c r="E27" i="3"/>
  <c r="I26"/>
  <c r="C26"/>
  <c r="F26"/>
  <c r="Y28" i="5"/>
  <c r="J24" i="82"/>
  <c r="AO28" i="1"/>
  <c r="AT27"/>
  <c r="AU27"/>
  <c r="I24" i="81"/>
  <c r="AA28" i="1"/>
  <c r="Y28"/>
  <c r="AB28"/>
  <c r="L29"/>
  <c r="V26" i="2"/>
  <c r="T27"/>
  <c r="K27" i="76"/>
  <c r="N27"/>
  <c r="I26"/>
  <c r="M26"/>
  <c r="G26"/>
  <c r="D25"/>
  <c r="E25"/>
  <c r="L25"/>
  <c r="C25"/>
  <c r="U24" i="3"/>
  <c r="S27"/>
  <c r="M26"/>
  <c r="K24"/>
  <c r="Z23"/>
  <c r="AE23"/>
  <c r="AF23"/>
  <c r="AG23" s="1"/>
  <c r="AH23" s="1"/>
  <c r="N23"/>
  <c r="AK22"/>
  <c r="F22" i="63"/>
  <c r="AC22" i="3"/>
  <c r="BA28" i="5"/>
  <c r="BD28"/>
  <c r="AA27"/>
  <c r="AJ27"/>
  <c r="K23" i="82"/>
  <c r="W27" i="5"/>
  <c r="U28"/>
  <c r="I27"/>
  <c r="E27"/>
  <c r="D27"/>
  <c r="G24" i="63"/>
  <c r="I24" s="1"/>
  <c r="C28" i="5"/>
  <c r="J26"/>
  <c r="L22" i="81" s="1"/>
  <c r="K22"/>
  <c r="AS29" i="1"/>
  <c r="AQ28"/>
  <c r="AF27"/>
  <c r="AH27"/>
  <c r="C27" i="65"/>
  <c r="AG26" i="1"/>
  <c r="AM26"/>
  <c r="F27" i="75"/>
  <c r="G27" s="1"/>
  <c r="AD27" i="1"/>
  <c r="R27"/>
  <c r="S28"/>
  <c r="T28"/>
  <c r="I29"/>
  <c r="U26"/>
  <c r="J26"/>
  <c r="AL26"/>
  <c r="D27" i="75"/>
  <c r="E27"/>
  <c r="G27" i="1"/>
  <c r="AB27" i="7"/>
  <c r="AC27" s="1"/>
  <c r="AA27"/>
  <c r="AJ23"/>
  <c r="AI23"/>
  <c r="AD26"/>
  <c r="Z28"/>
  <c r="D28" i="1"/>
  <c r="E28"/>
  <c r="D27" i="7"/>
  <c r="F27" s="1"/>
  <c r="H27" s="1"/>
  <c r="C27"/>
  <c r="B28"/>
  <c r="AD25" i="2"/>
  <c r="AB26"/>
  <c r="H25" i="65"/>
  <c r="B22" i="63"/>
  <c r="Z24" i="2"/>
  <c r="AF24"/>
  <c r="AG24"/>
  <c r="A24" i="63"/>
  <c r="AE25" i="2"/>
  <c r="X26"/>
  <c r="AI23" i="3"/>
  <c r="D25" i="65"/>
  <c r="Q25" i="2"/>
  <c r="BE26" i="7"/>
  <c r="BG26" s="1"/>
  <c r="E6" i="63"/>
  <c r="D6" s="1"/>
  <c r="R7" i="2"/>
  <c r="E23" i="63"/>
  <c r="I26" i="65"/>
  <c r="AD24" i="3"/>
  <c r="M25" i="2"/>
  <c r="E24" i="82"/>
  <c r="K26" i="2"/>
  <c r="F25" i="82"/>
  <c r="I26" i="2"/>
  <c r="G25" i="82"/>
  <c r="G27" i="2"/>
  <c r="I26" i="82"/>
  <c r="AI21" i="2"/>
  <c r="J23" i="65"/>
  <c r="C21" i="63"/>
  <c r="D21" s="1"/>
  <c r="S23" i="76"/>
  <c r="T23" s="1"/>
  <c r="F21" i="81" s="1"/>
  <c r="E21"/>
  <c r="R22" i="2"/>
  <c r="N23"/>
  <c r="H22" i="82"/>
  <c r="E24" i="2"/>
  <c r="O27" i="79"/>
  <c r="H27"/>
  <c r="I27"/>
  <c r="K27" i="5"/>
  <c r="L27" s="1"/>
  <c r="Q17" i="3"/>
  <c r="P18"/>
  <c r="P19"/>
  <c r="AX20" i="1"/>
  <c r="J16" i="81"/>
  <c r="AV22" i="7"/>
  <c r="H17" i="81"/>
  <c r="AU25" i="5"/>
  <c r="AZ24"/>
  <c r="BC24"/>
  <c r="AA24" i="3"/>
  <c r="V24"/>
  <c r="AB23"/>
  <c r="Q19" i="5"/>
  <c r="M15" i="81"/>
  <c r="X18" i="3"/>
  <c r="Y17"/>
  <c r="AJ17" i="1"/>
  <c r="AK17" s="1"/>
  <c r="AS21" i="5"/>
  <c r="AY20"/>
  <c r="BB20"/>
  <c r="BE20"/>
  <c r="N20"/>
  <c r="B18" i="65"/>
  <c r="AI18" i="1"/>
  <c r="AW19" i="7"/>
  <c r="AJ18" i="1" s="1"/>
  <c r="AK18" s="1"/>
  <c r="BF19" i="5"/>
  <c r="BG19"/>
  <c r="G19" i="65"/>
  <c r="N19" i="1"/>
  <c r="V19"/>
  <c r="P20" i="5"/>
  <c r="H30"/>
  <c r="E28" i="3"/>
  <c r="C27"/>
  <c r="F27"/>
  <c r="I27"/>
  <c r="Y29" i="5"/>
  <c r="J25" i="82"/>
  <c r="AO29" i="1"/>
  <c r="AT28"/>
  <c r="AU28"/>
  <c r="I25" i="81"/>
  <c r="AA29" i="1"/>
  <c r="Y29"/>
  <c r="AB29"/>
  <c r="L30"/>
  <c r="V27" i="2"/>
  <c r="T28"/>
  <c r="K28" i="76"/>
  <c r="N28"/>
  <c r="I27"/>
  <c r="M27"/>
  <c r="G27"/>
  <c r="L26"/>
  <c r="D26"/>
  <c r="E26"/>
  <c r="C26"/>
  <c r="U25" i="3"/>
  <c r="S28"/>
  <c r="M27"/>
  <c r="K25"/>
  <c r="N24"/>
  <c r="Z24"/>
  <c r="AE24"/>
  <c r="AF24" s="1"/>
  <c r="AG24" s="1"/>
  <c r="AH24" s="1"/>
  <c r="F23" i="63"/>
  <c r="AC23" i="3"/>
  <c r="AK23"/>
  <c r="BA29" i="5"/>
  <c r="BD29"/>
  <c r="AL27"/>
  <c r="AA28"/>
  <c r="AJ28"/>
  <c r="K24" i="82"/>
  <c r="W28" i="5"/>
  <c r="U29"/>
  <c r="J27"/>
  <c r="L23" i="81" s="1"/>
  <c r="K23"/>
  <c r="C29" i="5"/>
  <c r="G25" i="63"/>
  <c r="D28" i="5"/>
  <c r="E28"/>
  <c r="I28"/>
  <c r="AS30" i="1"/>
  <c r="AQ29"/>
  <c r="AF28"/>
  <c r="AH28"/>
  <c r="C28" i="65"/>
  <c r="AD28" i="1"/>
  <c r="AM27"/>
  <c r="F28" i="75"/>
  <c r="G28"/>
  <c r="AG27" i="1"/>
  <c r="R28"/>
  <c r="S29"/>
  <c r="T29"/>
  <c r="I30"/>
  <c r="AL27"/>
  <c r="D28" i="75"/>
  <c r="E28"/>
  <c r="U27" i="1"/>
  <c r="J27"/>
  <c r="G28"/>
  <c r="AD27" i="7"/>
  <c r="AA28"/>
  <c r="AB28"/>
  <c r="Z29"/>
  <c r="AE26"/>
  <c r="AF26"/>
  <c r="AH26" s="1"/>
  <c r="B29"/>
  <c r="D29" s="1"/>
  <c r="F29" s="1"/>
  <c r="E27"/>
  <c r="AD26" i="2"/>
  <c r="AB27"/>
  <c r="H26" i="65"/>
  <c r="B23" i="63"/>
  <c r="Z25" i="2"/>
  <c r="AF25"/>
  <c r="AG25"/>
  <c r="X27"/>
  <c r="AE26"/>
  <c r="A25" i="63"/>
  <c r="AI24" i="3"/>
  <c r="D26" i="65"/>
  <c r="Q26" i="2"/>
  <c r="I27" i="65"/>
  <c r="AD25" i="3"/>
  <c r="E24" i="63"/>
  <c r="BE27" i="7"/>
  <c r="BG27"/>
  <c r="J9" i="65"/>
  <c r="AI7" i="2"/>
  <c r="M26"/>
  <c r="E25" i="82"/>
  <c r="K27" i="2"/>
  <c r="F26" i="82"/>
  <c r="I27" i="2"/>
  <c r="G26" i="82"/>
  <c r="G28" i="2"/>
  <c r="I27" i="82"/>
  <c r="N24" i="2"/>
  <c r="O24"/>
  <c r="H23" i="82"/>
  <c r="E25" i="2"/>
  <c r="J24" i="65"/>
  <c r="AI22" i="2"/>
  <c r="R23"/>
  <c r="S24" i="76"/>
  <c r="T24" s="1"/>
  <c r="F22" i="81" s="1"/>
  <c r="E22"/>
  <c r="C22" i="63"/>
  <c r="D22" s="1"/>
  <c r="O28" i="79"/>
  <c r="H28"/>
  <c r="H23" i="63"/>
  <c r="I28" i="79"/>
  <c r="K28" i="5"/>
  <c r="L28"/>
  <c r="Q19" i="3"/>
  <c r="P20"/>
  <c r="AX21" i="1"/>
  <c r="J17" i="81"/>
  <c r="AV23" i="7"/>
  <c r="H18" i="81"/>
  <c r="AU26" i="5"/>
  <c r="AZ25"/>
  <c r="BC25"/>
  <c r="AA25" i="3"/>
  <c r="V25"/>
  <c r="AB24"/>
  <c r="Q20" i="5"/>
  <c r="M16" i="81"/>
  <c r="X19" i="3"/>
  <c r="Y18"/>
  <c r="P21" i="5"/>
  <c r="G15" i="81"/>
  <c r="AS22" i="5"/>
  <c r="AY21"/>
  <c r="BB21"/>
  <c r="BE21"/>
  <c r="I16" i="63"/>
  <c r="BF20" i="5"/>
  <c r="BG20"/>
  <c r="G20" i="65"/>
  <c r="B19"/>
  <c r="E19"/>
  <c r="AI19" i="1"/>
  <c r="AW20" i="7"/>
  <c r="AJ19" i="1" s="1"/>
  <c r="N21" i="5"/>
  <c r="N20" i="1"/>
  <c r="V20"/>
  <c r="H31" i="5"/>
  <c r="E29" i="3"/>
  <c r="I28"/>
  <c r="C28"/>
  <c r="F28"/>
  <c r="Y30" i="5"/>
  <c r="J26" i="82"/>
  <c r="AO30" i="1"/>
  <c r="AT29"/>
  <c r="AU29"/>
  <c r="I26" i="81"/>
  <c r="AA30" i="1"/>
  <c r="Y30"/>
  <c r="AB30"/>
  <c r="L31"/>
  <c r="V28" i="2"/>
  <c r="T29"/>
  <c r="K29" i="76"/>
  <c r="N29"/>
  <c r="I28"/>
  <c r="M28"/>
  <c r="D27"/>
  <c r="E27"/>
  <c r="L27"/>
  <c r="G28"/>
  <c r="C27"/>
  <c r="U26" i="3"/>
  <c r="S29"/>
  <c r="M28"/>
  <c r="K26"/>
  <c r="Z25"/>
  <c r="N25"/>
  <c r="AC24"/>
  <c r="F24" i="63"/>
  <c r="AK24" i="3"/>
  <c r="BA30" i="5"/>
  <c r="BD30"/>
  <c r="AA29"/>
  <c r="AJ29"/>
  <c r="K25" i="82"/>
  <c r="AL28" i="5"/>
  <c r="W29"/>
  <c r="U30"/>
  <c r="J28"/>
  <c r="L24" i="81" s="1"/>
  <c r="K24"/>
  <c r="D29" i="5"/>
  <c r="G26" i="63"/>
  <c r="I26" s="1"/>
  <c r="E29" i="5"/>
  <c r="I29"/>
  <c r="C30"/>
  <c r="AS31" i="1"/>
  <c r="AQ30"/>
  <c r="AF29"/>
  <c r="AH29"/>
  <c r="C29" i="65"/>
  <c r="AD29" i="1"/>
  <c r="AM28"/>
  <c r="F29" i="75"/>
  <c r="G29"/>
  <c r="AG28" i="1"/>
  <c r="R29"/>
  <c r="S30"/>
  <c r="T30"/>
  <c r="I31"/>
  <c r="G29"/>
  <c r="U28"/>
  <c r="J28"/>
  <c r="AL28"/>
  <c r="D29" i="75"/>
  <c r="E29"/>
  <c r="AG26" i="7"/>
  <c r="Z30"/>
  <c r="D30" i="1"/>
  <c r="E30"/>
  <c r="D29"/>
  <c r="E29"/>
  <c r="AB29" i="7"/>
  <c r="AA29"/>
  <c r="B30"/>
  <c r="C29"/>
  <c r="AD27" i="2"/>
  <c r="AB28"/>
  <c r="H27" i="65"/>
  <c r="B24" i="63"/>
  <c r="Z26" i="2"/>
  <c r="AF26"/>
  <c r="AG26"/>
  <c r="X28"/>
  <c r="AE27"/>
  <c r="A26" i="63"/>
  <c r="Q27" i="2"/>
  <c r="AI25" i="3"/>
  <c r="D27" i="65" s="1"/>
  <c r="E27" s="1"/>
  <c r="AD26" i="3"/>
  <c r="BE28" i="7"/>
  <c r="BG28" s="1"/>
  <c r="I28" i="65"/>
  <c r="E25" i="63"/>
  <c r="M27" i="2"/>
  <c r="E26" i="82"/>
  <c r="K28" i="2"/>
  <c r="F27" i="82"/>
  <c r="I28" i="2"/>
  <c r="G27" i="82"/>
  <c r="G29" i="2"/>
  <c r="I28" i="82"/>
  <c r="AI23" i="2"/>
  <c r="J25" i="65"/>
  <c r="C23" i="63"/>
  <c r="D23" s="1"/>
  <c r="R24" i="2"/>
  <c r="E23" i="81"/>
  <c r="S25" i="76"/>
  <c r="H24" i="82"/>
  <c r="N25" i="2"/>
  <c r="O25"/>
  <c r="E26"/>
  <c r="O29" i="79"/>
  <c r="H29"/>
  <c r="I29"/>
  <c r="I30"/>
  <c r="K29" i="5"/>
  <c r="L29" s="1"/>
  <c r="Q20" i="3"/>
  <c r="P21"/>
  <c r="J18" i="81"/>
  <c r="AX22" i="1"/>
  <c r="AV24" i="7"/>
  <c r="H19" i="81"/>
  <c r="AU27" i="5"/>
  <c r="AZ26"/>
  <c r="BC26"/>
  <c r="AA26" i="3"/>
  <c r="V26"/>
  <c r="AB25"/>
  <c r="Q21" i="5"/>
  <c r="M17" i="81"/>
  <c r="N21" i="1"/>
  <c r="V21"/>
  <c r="P22" i="5"/>
  <c r="AI20" i="1"/>
  <c r="AW21" i="7"/>
  <c r="AJ20" i="1" s="1"/>
  <c r="AK20" s="1"/>
  <c r="B20" i="65"/>
  <c r="E20" s="1"/>
  <c r="X20" i="3"/>
  <c r="Y19"/>
  <c r="AK19" i="1"/>
  <c r="N22" i="5"/>
  <c r="AS23"/>
  <c r="AY22"/>
  <c r="BB22"/>
  <c r="BE22"/>
  <c r="I17" i="63"/>
  <c r="BF21" i="5"/>
  <c r="BG21"/>
  <c r="G21" i="65"/>
  <c r="H32" i="5"/>
  <c r="AT30" i="1"/>
  <c r="AU30"/>
  <c r="I27" i="81"/>
  <c r="E30" i="3"/>
  <c r="I29"/>
  <c r="C29"/>
  <c r="F29"/>
  <c r="Y31" i="5"/>
  <c r="J27" i="82"/>
  <c r="AO31" i="1"/>
  <c r="AA31"/>
  <c r="Y31"/>
  <c r="AB31"/>
  <c r="L32"/>
  <c r="V29" i="2"/>
  <c r="T30"/>
  <c r="K30" i="76"/>
  <c r="N30"/>
  <c r="I29"/>
  <c r="M29"/>
  <c r="D28"/>
  <c r="E28"/>
  <c r="L28"/>
  <c r="G29"/>
  <c r="C28"/>
  <c r="U27" i="3"/>
  <c r="S30"/>
  <c r="M29"/>
  <c r="N26"/>
  <c r="Z26"/>
  <c r="AE26"/>
  <c r="AF26"/>
  <c r="AG26" s="1"/>
  <c r="K27"/>
  <c r="AC25"/>
  <c r="F25" i="63"/>
  <c r="AK25" i="3"/>
  <c r="AE25"/>
  <c r="AF25" s="1"/>
  <c r="AG25" s="1"/>
  <c r="AH25" s="1"/>
  <c r="BA31" i="5"/>
  <c r="BD31"/>
  <c r="AJ30"/>
  <c r="K26" i="82"/>
  <c r="AA30" i="5"/>
  <c r="AL29"/>
  <c r="W30"/>
  <c r="U31"/>
  <c r="C31"/>
  <c r="E30"/>
  <c r="D30"/>
  <c r="I30"/>
  <c r="G27" i="63"/>
  <c r="I27" s="1"/>
  <c r="K25" i="81"/>
  <c r="J29" i="5"/>
  <c r="L25" i="81"/>
  <c r="AS32" i="1"/>
  <c r="AQ31"/>
  <c r="AF30"/>
  <c r="AH30"/>
  <c r="C30" i="65"/>
  <c r="AM29" i="1"/>
  <c r="F30" i="75"/>
  <c r="G30"/>
  <c r="AG29" i="1"/>
  <c r="AD30"/>
  <c r="R30"/>
  <c r="S31"/>
  <c r="T31"/>
  <c r="I32"/>
  <c r="G30"/>
  <c r="AL29"/>
  <c r="D30" i="75"/>
  <c r="E30"/>
  <c r="U29" i="1"/>
  <c r="J29"/>
  <c r="Z31" i="7"/>
  <c r="B31"/>
  <c r="C31" s="1"/>
  <c r="E29"/>
  <c r="AD28" i="2"/>
  <c r="AB29"/>
  <c r="Z27"/>
  <c r="AF27"/>
  <c r="AG27"/>
  <c r="B25" i="63"/>
  <c r="H28" i="65"/>
  <c r="AE28" i="2"/>
  <c r="A27" i="63"/>
  <c r="X29" i="2"/>
  <c r="BE29" i="7"/>
  <c r="BG29"/>
  <c r="AD27" i="3"/>
  <c r="I29" i="65"/>
  <c r="E26" i="63"/>
  <c r="D26" s="1"/>
  <c r="AI26" i="3"/>
  <c r="D28" i="65" s="1"/>
  <c r="Q28" i="2"/>
  <c r="M28"/>
  <c r="E27" i="82"/>
  <c r="K29" i="2"/>
  <c r="F28" i="82"/>
  <c r="I29" i="2"/>
  <c r="G28" i="82"/>
  <c r="G30" i="2"/>
  <c r="I29" i="82"/>
  <c r="E27" i="2"/>
  <c r="H25" i="82"/>
  <c r="N26" i="2"/>
  <c r="O26"/>
  <c r="J26" i="65"/>
  <c r="AI24" i="2"/>
  <c r="E24" i="81"/>
  <c r="R25" i="2"/>
  <c r="C24" i="63"/>
  <c r="D24"/>
  <c r="S26" i="76"/>
  <c r="AK28" i="5"/>
  <c r="H25" i="63"/>
  <c r="F28" i="65"/>
  <c r="Q21" i="3"/>
  <c r="P22"/>
  <c r="AX23" i="1"/>
  <c r="J19" i="81"/>
  <c r="H20"/>
  <c r="AV25" i="7"/>
  <c r="AU28" i="5"/>
  <c r="AZ27"/>
  <c r="BC27"/>
  <c r="AA27" i="3"/>
  <c r="V27"/>
  <c r="AB26"/>
  <c r="Q22" i="5"/>
  <c r="M18" i="81"/>
  <c r="AI21" i="1"/>
  <c r="AW22" i="7"/>
  <c r="G18" i="81" s="1"/>
  <c r="B21" i="65"/>
  <c r="N22" i="1"/>
  <c r="V22"/>
  <c r="P23" i="5"/>
  <c r="AS24"/>
  <c r="AY23"/>
  <c r="BB23"/>
  <c r="BE23"/>
  <c r="N23"/>
  <c r="I18" i="63"/>
  <c r="BF22" i="5"/>
  <c r="BG22"/>
  <c r="G22" i="65"/>
  <c r="X21" i="3"/>
  <c r="X22"/>
  <c r="Y20"/>
  <c r="Y21"/>
  <c r="AT31" i="1"/>
  <c r="AU31"/>
  <c r="H33" i="5"/>
  <c r="E31" i="3"/>
  <c r="I30"/>
  <c r="C30"/>
  <c r="F30"/>
  <c r="Y32" i="5"/>
  <c r="J28" i="82"/>
  <c r="AA32" i="1"/>
  <c r="Y32"/>
  <c r="AB32"/>
  <c r="L33"/>
  <c r="V30" i="2"/>
  <c r="T31"/>
  <c r="K31" i="76"/>
  <c r="N31"/>
  <c r="I30"/>
  <c r="M30"/>
  <c r="L29"/>
  <c r="D29"/>
  <c r="E29"/>
  <c r="G30"/>
  <c r="C29"/>
  <c r="U28" i="3"/>
  <c r="S31"/>
  <c r="M30"/>
  <c r="F26" i="63"/>
  <c r="AC26" i="3"/>
  <c r="AH26"/>
  <c r="AK26"/>
  <c r="Z27"/>
  <c r="AE27"/>
  <c r="AF27"/>
  <c r="AG27" s="1"/>
  <c r="AH27" s="1"/>
  <c r="N27"/>
  <c r="K28"/>
  <c r="BA32" i="5"/>
  <c r="BD32"/>
  <c r="AJ31"/>
  <c r="K27" i="82"/>
  <c r="AA31" i="5"/>
  <c r="AL30"/>
  <c r="W31"/>
  <c r="U32"/>
  <c r="J30"/>
  <c r="L26" i="81"/>
  <c r="K26"/>
  <c r="G28" i="63"/>
  <c r="E31" i="5"/>
  <c r="D31"/>
  <c r="I31"/>
  <c r="C32"/>
  <c r="AS33" i="1"/>
  <c r="AQ32"/>
  <c r="AF31"/>
  <c r="AH31"/>
  <c r="C31" i="65"/>
  <c r="AM30" i="1"/>
  <c r="F31" i="75"/>
  <c r="G31" s="1"/>
  <c r="AG30" i="1"/>
  <c r="AD31"/>
  <c r="R31"/>
  <c r="S32"/>
  <c r="T32"/>
  <c r="I33"/>
  <c r="G31"/>
  <c r="U30"/>
  <c r="J30"/>
  <c r="AL30"/>
  <c r="D31" i="75"/>
  <c r="E31" s="1"/>
  <c r="Z32" i="7"/>
  <c r="D31" i="1"/>
  <c r="E31"/>
  <c r="B32" i="7"/>
  <c r="D31"/>
  <c r="E31" s="1"/>
  <c r="AD29" i="2"/>
  <c r="AB30"/>
  <c r="Z28"/>
  <c r="AF28"/>
  <c r="AG28"/>
  <c r="B26" i="63"/>
  <c r="H29" i="65"/>
  <c r="X30" i="2"/>
  <c r="A28" i="63"/>
  <c r="AE29" i="2"/>
  <c r="AI27" i="3"/>
  <c r="D29" i="65"/>
  <c r="I30"/>
  <c r="E27" i="63"/>
  <c r="AD28" i="3"/>
  <c r="BE30" i="7"/>
  <c r="BG30"/>
  <c r="Q29" i="2"/>
  <c r="M29"/>
  <c r="E28" i="82"/>
  <c r="K30" i="2"/>
  <c r="F29" i="82"/>
  <c r="I30" i="2"/>
  <c r="G29" i="82"/>
  <c r="G31" i="2"/>
  <c r="I30" i="82"/>
  <c r="E28" i="2"/>
  <c r="N27"/>
  <c r="O27"/>
  <c r="H26" i="82"/>
  <c r="S27" i="76"/>
  <c r="E25" i="81"/>
  <c r="C25" i="63"/>
  <c r="D25" s="1"/>
  <c r="R26" i="2"/>
  <c r="J27" i="65"/>
  <c r="AI25" i="2"/>
  <c r="O31" i="79"/>
  <c r="H31"/>
  <c r="L30" i="5"/>
  <c r="AK30" s="1"/>
  <c r="I31" i="79"/>
  <c r="K31" i="5"/>
  <c r="Q22" i="3"/>
  <c r="P23"/>
  <c r="J20" i="81"/>
  <c r="AX24" i="1"/>
  <c r="H21" i="81"/>
  <c r="AV26" i="7"/>
  <c r="AU29" i="5"/>
  <c r="AZ28"/>
  <c r="BC28"/>
  <c r="AB27" i="3"/>
  <c r="AA28"/>
  <c r="V28"/>
  <c r="AJ21" i="1"/>
  <c r="AK21"/>
  <c r="AS25" i="5"/>
  <c r="AY24"/>
  <c r="BB24"/>
  <c r="BE24"/>
  <c r="I19" i="63"/>
  <c r="BF23" i="5"/>
  <c r="BG23"/>
  <c r="G23" i="65"/>
  <c r="N24" i="5"/>
  <c r="P24"/>
  <c r="Q23"/>
  <c r="M19" i="81"/>
  <c r="N23" i="1"/>
  <c r="V23"/>
  <c r="B22" i="65"/>
  <c r="E22"/>
  <c r="AI22" i="1"/>
  <c r="AW23" i="7"/>
  <c r="AJ22" i="1" s="1"/>
  <c r="AK22" s="1"/>
  <c r="X23" i="3"/>
  <c r="Y22"/>
  <c r="H34" i="5"/>
  <c r="AT32" i="1"/>
  <c r="AU32"/>
  <c r="I29" i="81"/>
  <c r="E33" i="3"/>
  <c r="E32"/>
  <c r="I31"/>
  <c r="C31"/>
  <c r="F31"/>
  <c r="Y33" i="5"/>
  <c r="J29" i="82"/>
  <c r="AO33" i="1"/>
  <c r="AA33"/>
  <c r="Y33"/>
  <c r="AB33"/>
  <c r="L35"/>
  <c r="L34"/>
  <c r="V31" i="2"/>
  <c r="T33"/>
  <c r="T32"/>
  <c r="K32" i="76"/>
  <c r="N32"/>
  <c r="I31"/>
  <c r="M31"/>
  <c r="L30"/>
  <c r="D30"/>
  <c r="E30"/>
  <c r="G31"/>
  <c r="C30"/>
  <c r="U29" i="3"/>
  <c r="S32"/>
  <c r="M31"/>
  <c r="F27" i="63"/>
  <c r="AK27" i="3"/>
  <c r="AC27"/>
  <c r="N28"/>
  <c r="Z28"/>
  <c r="AE28"/>
  <c r="AF28"/>
  <c r="AG28" s="1"/>
  <c r="AH28" s="1"/>
  <c r="K29"/>
  <c r="Q29"/>
  <c r="BA33" i="5"/>
  <c r="BD33"/>
  <c r="AA32"/>
  <c r="AJ32"/>
  <c r="K28" i="82"/>
  <c r="AL31" i="5"/>
  <c r="W32"/>
  <c r="U33"/>
  <c r="C33"/>
  <c r="D32"/>
  <c r="E32"/>
  <c r="G29" i="63"/>
  <c r="I29" s="1"/>
  <c r="I32" i="5"/>
  <c r="K27" i="81"/>
  <c r="J31" i="5"/>
  <c r="L27" i="81"/>
  <c r="AS35" i="1"/>
  <c r="AS34"/>
  <c r="AQ33"/>
  <c r="I28" i="81"/>
  <c r="AF32" i="1"/>
  <c r="AH32"/>
  <c r="C32" i="65"/>
  <c r="AD32" i="1"/>
  <c r="AG31"/>
  <c r="AM31"/>
  <c r="F32" i="75"/>
  <c r="G32"/>
  <c r="R32" i="1"/>
  <c r="S33"/>
  <c r="I34"/>
  <c r="I35"/>
  <c r="G32"/>
  <c r="U32"/>
  <c r="J31"/>
  <c r="U31"/>
  <c r="AL31"/>
  <c r="D32" i="75"/>
  <c r="E32" s="1"/>
  <c r="D33" i="1"/>
  <c r="E33"/>
  <c r="Z33" i="7"/>
  <c r="AB33" s="1"/>
  <c r="AC33" s="1"/>
  <c r="D32" i="1"/>
  <c r="E32"/>
  <c r="B33" i="7"/>
  <c r="F31"/>
  <c r="AD30" i="2"/>
  <c r="AB31"/>
  <c r="Z29"/>
  <c r="AF29"/>
  <c r="AG29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/>
  <c r="K31" i="2"/>
  <c r="F30" i="82"/>
  <c r="I31" i="2"/>
  <c r="G30" i="82"/>
  <c r="G33" i="2"/>
  <c r="I32" i="82"/>
  <c r="G32" i="2"/>
  <c r="I31" i="82"/>
  <c r="E29" i="2"/>
  <c r="N28"/>
  <c r="H27" i="82"/>
  <c r="C26" i="63"/>
  <c r="E26" i="81"/>
  <c r="S28" i="76"/>
  <c r="T28" s="1"/>
  <c r="R27" i="2"/>
  <c r="J28" i="65"/>
  <c r="AI26" i="2"/>
  <c r="O32" i="79"/>
  <c r="H32"/>
  <c r="I32"/>
  <c r="K32" i="5"/>
  <c r="Q23" i="3"/>
  <c r="P24"/>
  <c r="T33" i="1"/>
  <c r="AA29" i="3"/>
  <c r="V29"/>
  <c r="AX25" i="1"/>
  <c r="J21" i="81"/>
  <c r="H22"/>
  <c r="AV27" i="7"/>
  <c r="AB28" i="3"/>
  <c r="AU30" i="5"/>
  <c r="AZ29"/>
  <c r="BC29"/>
  <c r="Q24"/>
  <c r="M20" i="81"/>
  <c r="X24" i="3"/>
  <c r="Y23"/>
  <c r="P25" i="5"/>
  <c r="AS26"/>
  <c r="AY25"/>
  <c r="BB25"/>
  <c r="BE25"/>
  <c r="AI23" i="1"/>
  <c r="AW24" i="7"/>
  <c r="B23" i="65"/>
  <c r="N24" i="1"/>
  <c r="V24"/>
  <c r="I20" i="63"/>
  <c r="BF24" i="5"/>
  <c r="BG24"/>
  <c r="G24" i="65"/>
  <c r="N25" i="5"/>
  <c r="H36"/>
  <c r="H35"/>
  <c r="D1"/>
  <c r="AT33" i="1"/>
  <c r="AU33"/>
  <c r="C32" i="3"/>
  <c r="F32"/>
  <c r="I32"/>
  <c r="Y34" i="5"/>
  <c r="J30" i="82"/>
  <c r="AO35" i="1"/>
  <c r="AO34"/>
  <c r="AA34"/>
  <c r="AA35"/>
  <c r="Y35"/>
  <c r="AB35"/>
  <c r="Y34"/>
  <c r="AB34"/>
  <c r="V32" i="2"/>
  <c r="V33"/>
  <c r="K33" i="76"/>
  <c r="N33"/>
  <c r="I32"/>
  <c r="M32"/>
  <c r="G32"/>
  <c r="D31"/>
  <c r="E31"/>
  <c r="L31"/>
  <c r="C31"/>
  <c r="U30" i="3"/>
  <c r="S33"/>
  <c r="M32"/>
  <c r="M33"/>
  <c r="K30"/>
  <c r="Q30"/>
  <c r="F28" i="63"/>
  <c r="AK28" i="3"/>
  <c r="AC28"/>
  <c r="Z29"/>
  <c r="N29"/>
  <c r="BA34" i="5"/>
  <c r="BD34"/>
  <c r="AA33"/>
  <c r="AJ33"/>
  <c r="K29" i="82"/>
  <c r="AL32" i="5"/>
  <c r="W33"/>
  <c r="U34"/>
  <c r="C34"/>
  <c r="K28" i="81"/>
  <c r="J32" i="5"/>
  <c r="L28" i="81"/>
  <c r="G30" i="63"/>
  <c r="D33" i="5"/>
  <c r="E33"/>
  <c r="I33"/>
  <c r="AQ35" i="1"/>
  <c r="AQ34"/>
  <c r="AF33"/>
  <c r="AH33"/>
  <c r="C33" i="65"/>
  <c r="AD33" i="1"/>
  <c r="AM32"/>
  <c r="F33" i="75"/>
  <c r="G33" s="1"/>
  <c r="AG32" i="1"/>
  <c r="R33"/>
  <c r="S34"/>
  <c r="S35"/>
  <c r="G33"/>
  <c r="U33"/>
  <c r="AL32"/>
  <c r="D33" i="75"/>
  <c r="E33"/>
  <c r="J32" i="1"/>
  <c r="D34"/>
  <c r="E34"/>
  <c r="Z34" i="7"/>
  <c r="AA33"/>
  <c r="D33"/>
  <c r="C33"/>
  <c r="B34"/>
  <c r="C34" s="1"/>
  <c r="AD31" i="2"/>
  <c r="AB32"/>
  <c r="AB33"/>
  <c r="H31" i="65"/>
  <c r="B28" i="63"/>
  <c r="Z30" i="2"/>
  <c r="AF30"/>
  <c r="AG30"/>
  <c r="A30" i="63"/>
  <c r="AE31" i="2"/>
  <c r="X32"/>
  <c r="X33"/>
  <c r="AD30" i="3"/>
  <c r="AE30" s="1"/>
  <c r="I32" i="65"/>
  <c r="BE32" i="7"/>
  <c r="BG32"/>
  <c r="E29" i="63"/>
  <c r="Q31" i="2"/>
  <c r="M31"/>
  <c r="E30" i="82"/>
  <c r="K33" i="2"/>
  <c r="F32" i="82"/>
  <c r="K32" i="2"/>
  <c r="F31" i="82"/>
  <c r="I32" i="2"/>
  <c r="G31" i="82"/>
  <c r="I33" i="2"/>
  <c r="G32" i="82"/>
  <c r="J29" i="65"/>
  <c r="AI27" i="2"/>
  <c r="N29"/>
  <c r="O29"/>
  <c r="H28" i="82"/>
  <c r="E30" i="2"/>
  <c r="C27" i="63"/>
  <c r="D27"/>
  <c r="R28" i="2"/>
  <c r="E27" i="81"/>
  <c r="S29" i="76"/>
  <c r="O33" i="79"/>
  <c r="H33"/>
  <c r="I33"/>
  <c r="K33" i="5"/>
  <c r="L33" s="1"/>
  <c r="Q24" i="3"/>
  <c r="P25"/>
  <c r="T34" i="1"/>
  <c r="T35"/>
  <c r="AB29" i="3"/>
  <c r="H37" i="5"/>
  <c r="B7" i="77"/>
  <c r="J22" i="81"/>
  <c r="AX26" i="1"/>
  <c r="AV28" i="7"/>
  <c r="H23" i="81"/>
  <c r="AU31" i="5"/>
  <c r="AZ30"/>
  <c r="BC30"/>
  <c r="AA30" i="3"/>
  <c r="V30"/>
  <c r="P26" i="5"/>
  <c r="Q25"/>
  <c r="M21" i="81"/>
  <c r="X25" i="3"/>
  <c r="Y24"/>
  <c r="N25" i="1"/>
  <c r="V25"/>
  <c r="AS27" i="5"/>
  <c r="AY26"/>
  <c r="BB26"/>
  <c r="BE26"/>
  <c r="BF26"/>
  <c r="N26"/>
  <c r="B24" i="65"/>
  <c r="AI24" i="1"/>
  <c r="AW25" i="7"/>
  <c r="AJ24" i="1" s="1"/>
  <c r="AK24" s="1"/>
  <c r="BF25" i="5"/>
  <c r="BG25"/>
  <c r="G25" i="65"/>
  <c r="AJ23" i="1"/>
  <c r="AK23"/>
  <c r="G20" i="81"/>
  <c r="AT35" i="1"/>
  <c r="AT34"/>
  <c r="AU34"/>
  <c r="I33" i="3"/>
  <c r="C33"/>
  <c r="Y36" i="5"/>
  <c r="Y35"/>
  <c r="J31" i="82"/>
  <c r="AA26" i="76"/>
  <c r="AB26"/>
  <c r="K34"/>
  <c r="N34"/>
  <c r="N35"/>
  <c r="N36"/>
  <c r="I33"/>
  <c r="M33"/>
  <c r="L32"/>
  <c r="D32"/>
  <c r="E32"/>
  <c r="G33"/>
  <c r="C32"/>
  <c r="U31" i="3"/>
  <c r="V33"/>
  <c r="S35"/>
  <c r="Z30"/>
  <c r="AF30"/>
  <c r="AG30"/>
  <c r="AH30" s="1"/>
  <c r="N30"/>
  <c r="Q31"/>
  <c r="K31"/>
  <c r="AC29"/>
  <c r="F29" i="63"/>
  <c r="AK29" i="3"/>
  <c r="BA36" i="5"/>
  <c r="BA35"/>
  <c r="BD35"/>
  <c r="AJ34"/>
  <c r="K30" i="82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/>
  <c r="AF34"/>
  <c r="AH34"/>
  <c r="C34" i="65"/>
  <c r="AM33" i="1"/>
  <c r="F34" i="75"/>
  <c r="G34"/>
  <c r="AG33" i="1"/>
  <c r="AD35"/>
  <c r="AD34"/>
  <c r="R35"/>
  <c r="R34"/>
  <c r="J33"/>
  <c r="AL33"/>
  <c r="D34" i="75"/>
  <c r="E34" s="1"/>
  <c r="G35" i="1"/>
  <c r="U35"/>
  <c r="G34"/>
  <c r="U34"/>
  <c r="AB34" i="7"/>
  <c r="AA34"/>
  <c r="Z35"/>
  <c r="Z36"/>
  <c r="AB36" s="1"/>
  <c r="E33"/>
  <c r="F33"/>
  <c r="D34"/>
  <c r="B35"/>
  <c r="B36"/>
  <c r="AD32" i="2"/>
  <c r="AD33"/>
  <c r="AE33"/>
  <c r="AG33"/>
  <c r="B29" i="63"/>
  <c r="H32" i="65"/>
  <c r="Z31" i="2"/>
  <c r="AF31"/>
  <c r="AG31"/>
  <c r="AE32"/>
  <c r="A31" i="63"/>
  <c r="AI30" i="3"/>
  <c r="D32" i="65" s="1"/>
  <c r="E32" s="1"/>
  <c r="E30" i="63"/>
  <c r="AD31" i="3"/>
  <c r="I33" i="65"/>
  <c r="BE33" i="7"/>
  <c r="BG33"/>
  <c r="Q33" i="2"/>
  <c r="AD33" i="3"/>
  <c r="AE33" s="1"/>
  <c r="AF33" s="1"/>
  <c r="AG33" s="1"/>
  <c r="AH33" s="1"/>
  <c r="Q32" i="2"/>
  <c r="M33"/>
  <c r="E32" i="82"/>
  <c r="M32" i="2"/>
  <c r="E31" i="82"/>
  <c r="C28" i="63"/>
  <c r="S30" i="76"/>
  <c r="E28" i="81"/>
  <c r="R29" i="2"/>
  <c r="N30"/>
  <c r="O30"/>
  <c r="H29" i="82"/>
  <c r="E31" i="2"/>
  <c r="J30" i="65"/>
  <c r="AI28" i="2"/>
  <c r="O34" i="79"/>
  <c r="H34"/>
  <c r="I34"/>
  <c r="K34" i="5"/>
  <c r="Q25" i="3"/>
  <c r="P26"/>
  <c r="AA31"/>
  <c r="V31"/>
  <c r="J23" i="81"/>
  <c r="AX27" i="1"/>
  <c r="AV29" i="7"/>
  <c r="H24" i="81"/>
  <c r="AU32" i="5"/>
  <c r="AZ31"/>
  <c r="BC31"/>
  <c r="Q26"/>
  <c r="M22" i="81"/>
  <c r="AG32" i="2"/>
  <c r="AB30" i="3"/>
  <c r="U37" i="5"/>
  <c r="I22" i="63"/>
  <c r="BG26" i="5"/>
  <c r="G26" i="65"/>
  <c r="P27" i="5"/>
  <c r="X26" i="3"/>
  <c r="Y25"/>
  <c r="B25" i="65"/>
  <c r="E25"/>
  <c r="AI25" i="1"/>
  <c r="AW26" i="7"/>
  <c r="N27" i="5"/>
  <c r="N26" i="1"/>
  <c r="V26"/>
  <c r="AS28" i="5"/>
  <c r="AY27"/>
  <c r="BB27"/>
  <c r="BE27"/>
  <c r="BD36"/>
  <c r="I31" i="81"/>
  <c r="AU35" i="1"/>
  <c r="I32" i="81"/>
  <c r="F33" i="3"/>
  <c r="C35"/>
  <c r="J32" i="82"/>
  <c r="Y37" i="5"/>
  <c r="I34" i="76"/>
  <c r="M34"/>
  <c r="M35"/>
  <c r="M36"/>
  <c r="AA27"/>
  <c r="AB27"/>
  <c r="AA28"/>
  <c r="G34"/>
  <c r="D33"/>
  <c r="E33"/>
  <c r="L33"/>
  <c r="C34"/>
  <c r="C33"/>
  <c r="U33" i="3"/>
  <c r="AA33"/>
  <c r="U32"/>
  <c r="AC30"/>
  <c r="F30" i="63"/>
  <c r="AK30" i="3"/>
  <c r="Q32"/>
  <c r="K32"/>
  <c r="N31"/>
  <c r="Z31"/>
  <c r="AJ35" i="5"/>
  <c r="K31" i="82"/>
  <c r="AA35" i="5"/>
  <c r="AL34"/>
  <c r="W36"/>
  <c r="W35"/>
  <c r="D35"/>
  <c r="D39"/>
  <c r="I35"/>
  <c r="E35"/>
  <c r="D36"/>
  <c r="E36"/>
  <c r="I36"/>
  <c r="C37"/>
  <c r="K30" i="81"/>
  <c r="J34" i="5"/>
  <c r="L30" i="81"/>
  <c r="AG35" i="1"/>
  <c r="AM35"/>
  <c r="AM34"/>
  <c r="F35" i="75"/>
  <c r="G35" s="1"/>
  <c r="AG34" i="1"/>
  <c r="AL34"/>
  <c r="D35" i="75"/>
  <c r="E35" s="1"/>
  <c r="J34" i="1"/>
  <c r="J36"/>
  <c r="J1"/>
  <c r="J35"/>
  <c r="AL35"/>
  <c r="AA35" i="7"/>
  <c r="AB35"/>
  <c r="AA36"/>
  <c r="D35" i="1"/>
  <c r="E35"/>
  <c r="H33" i="7"/>
  <c r="I33" s="1"/>
  <c r="G33"/>
  <c r="C35"/>
  <c r="D35"/>
  <c r="Z33" i="2"/>
  <c r="AF33"/>
  <c r="Z32"/>
  <c r="AF32"/>
  <c r="B31" i="63"/>
  <c r="H33" i="65"/>
  <c r="B30" i="63"/>
  <c r="AI31" i="3"/>
  <c r="D33" i="65" s="1"/>
  <c r="E33" s="1"/>
  <c r="AD32" i="3"/>
  <c r="AI32" s="1"/>
  <c r="D34" i="65" s="1"/>
  <c r="E31" i="63"/>
  <c r="D31" s="1"/>
  <c r="AI29" i="2"/>
  <c r="J31" i="65"/>
  <c r="R30" i="2"/>
  <c r="S31" i="76"/>
  <c r="C29" i="63"/>
  <c r="D29" s="1"/>
  <c r="E29" i="81"/>
  <c r="N31" i="2"/>
  <c r="O31"/>
  <c r="H30" i="82"/>
  <c r="E32" i="2"/>
  <c r="E33"/>
  <c r="O36" i="79"/>
  <c r="H36"/>
  <c r="O35"/>
  <c r="H35"/>
  <c r="I35"/>
  <c r="K35" i="5"/>
  <c r="L35" s="1"/>
  <c r="AK35" s="1"/>
  <c r="I36" i="79"/>
  <c r="K36" i="5"/>
  <c r="L36" s="1"/>
  <c r="AK36" s="1"/>
  <c r="A36" i="76"/>
  <c r="AB31" i="3"/>
  <c r="Q26"/>
  <c r="P27"/>
  <c r="I37" i="5"/>
  <c r="G39"/>
  <c r="J24" i="81"/>
  <c r="AX28" i="1"/>
  <c r="H25" i="81"/>
  <c r="AV30" i="7"/>
  <c r="AU33" i="5"/>
  <c r="AZ32"/>
  <c r="BC32"/>
  <c r="AA32" i="3"/>
  <c r="V32"/>
  <c r="N28" i="5"/>
  <c r="P28"/>
  <c r="X27" i="3"/>
  <c r="Y26"/>
  <c r="Q27" i="5"/>
  <c r="M23" i="81"/>
  <c r="AS29" i="5"/>
  <c r="AY28"/>
  <c r="BB28"/>
  <c r="BE28"/>
  <c r="B26" i="65"/>
  <c r="E26" s="1"/>
  <c r="AI26" i="1"/>
  <c r="AW27" i="7"/>
  <c r="I23" i="63"/>
  <c r="BF27" i="5"/>
  <c r="BG27"/>
  <c r="G27" i="65"/>
  <c r="N27" i="1"/>
  <c r="V27"/>
  <c r="AJ25"/>
  <c r="AK25"/>
  <c r="G22" i="81"/>
  <c r="AU36" i="1"/>
  <c r="AU38"/>
  <c r="AB28" i="76"/>
  <c r="AA29"/>
  <c r="D34"/>
  <c r="E34"/>
  <c r="L34"/>
  <c r="L35"/>
  <c r="L36"/>
  <c r="AK31" i="3"/>
  <c r="F31" i="63"/>
  <c r="AC31" i="3"/>
  <c r="Z32"/>
  <c r="N32"/>
  <c r="Q33"/>
  <c r="K33"/>
  <c r="AE31"/>
  <c r="AF31" s="1"/>
  <c r="AG31" s="1"/>
  <c r="AH31" s="1"/>
  <c r="AA36" i="5"/>
  <c r="AJ36"/>
  <c r="AL36"/>
  <c r="AL35"/>
  <c r="K31" i="81"/>
  <c r="J35" i="5"/>
  <c r="L31" i="81" s="1"/>
  <c r="K32"/>
  <c r="J36" i="5"/>
  <c r="L32" i="81" s="1"/>
  <c r="B6" i="77"/>
  <c r="C38" i="5"/>
  <c r="H39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D35"/>
  <c r="AC35"/>
  <c r="J33"/>
  <c r="H31" i="82"/>
  <c r="N32" i="2"/>
  <c r="O32"/>
  <c r="N33"/>
  <c r="H32" i="82"/>
  <c r="AI30" i="2"/>
  <c r="J32" i="65"/>
  <c r="R31" i="2"/>
  <c r="E30" i="81"/>
  <c r="C30" i="63"/>
  <c r="D30" s="1"/>
  <c r="S32" i="76"/>
  <c r="Q27" i="3"/>
  <c r="P28"/>
  <c r="Q28"/>
  <c r="I38" i="5"/>
  <c r="J25" i="81"/>
  <c r="AX29" i="1"/>
  <c r="AV31" i="7"/>
  <c r="H26" i="81"/>
  <c r="I36" i="76"/>
  <c r="AU34" i="5"/>
  <c r="AZ33"/>
  <c r="BC33"/>
  <c r="AB32" i="3"/>
  <c r="D38" i="73"/>
  <c r="B16" i="77"/>
  <c r="E16" s="1"/>
  <c r="AC30" i="76"/>
  <c r="W39"/>
  <c r="K35"/>
  <c r="F4" i="77"/>
  <c r="F7" s="1"/>
  <c r="G36" i="76"/>
  <c r="C36"/>
  <c r="AL37" i="5"/>
  <c r="BF28"/>
  <c r="BG28"/>
  <c r="G28" i="65"/>
  <c r="N29" i="5"/>
  <c r="B27" i="65"/>
  <c r="AI27" i="1"/>
  <c r="AW28" i="7"/>
  <c r="X28" i="3"/>
  <c r="Y27"/>
  <c r="N28" i="1"/>
  <c r="V28"/>
  <c r="P29" i="5"/>
  <c r="AS30"/>
  <c r="AY29"/>
  <c r="BB29"/>
  <c r="BE29"/>
  <c r="Q28"/>
  <c r="M24" i="81"/>
  <c r="AE28" i="76"/>
  <c r="AF28"/>
  <c r="AB30"/>
  <c r="AK32" i="3"/>
  <c r="AC32"/>
  <c r="N33"/>
  <c r="AB33"/>
  <c r="Z33"/>
  <c r="K35"/>
  <c r="U34"/>
  <c r="W31" i="76"/>
  <c r="X31"/>
  <c r="Y31"/>
  <c r="AE32" i="3"/>
  <c r="AF32" s="1"/>
  <c r="AG32" s="1"/>
  <c r="AH32" s="1"/>
  <c r="K32" i="82"/>
  <c r="AJ37" i="5"/>
  <c r="Z38"/>
  <c r="D6" i="77"/>
  <c r="G6"/>
  <c r="AJ39" i="5"/>
  <c r="AM39"/>
  <c r="AF35" i="7"/>
  <c r="AE35"/>
  <c r="S33" i="76"/>
  <c r="R32" i="2"/>
  <c r="AI32"/>
  <c r="E31" i="81"/>
  <c r="C31" i="63"/>
  <c r="E32" i="81"/>
  <c r="R33" i="2"/>
  <c r="AI33"/>
  <c r="S34" i="76"/>
  <c r="J33" i="65"/>
  <c r="AI31" i="2"/>
  <c r="AX30" i="1"/>
  <c r="J26" i="81"/>
  <c r="AV32" i="7"/>
  <c r="H27" i="81"/>
  <c r="AU35" i="5"/>
  <c r="AZ34"/>
  <c r="BC34"/>
  <c r="AC31" i="76"/>
  <c r="O5"/>
  <c r="P5"/>
  <c r="G37"/>
  <c r="AD28"/>
  <c r="K37"/>
  <c r="AD26"/>
  <c r="I37"/>
  <c r="AD27"/>
  <c r="X29" i="3"/>
  <c r="Y28"/>
  <c r="N30" i="5"/>
  <c r="P30"/>
  <c r="N29" i="1"/>
  <c r="V29"/>
  <c r="Q29" i="5"/>
  <c r="M25" i="81"/>
  <c r="AI28" i="1"/>
  <c r="AW29" i="7"/>
  <c r="B28" i="65"/>
  <c r="E28"/>
  <c r="AS31" i="5"/>
  <c r="AY30"/>
  <c r="BB30"/>
  <c r="BE30"/>
  <c r="I25" i="63"/>
  <c r="BF29" i="5"/>
  <c r="BG29"/>
  <c r="G29" i="65"/>
  <c r="K39" i="5"/>
  <c r="W42" i="76"/>
  <c r="W40"/>
  <c r="W41"/>
  <c r="AC33" i="3"/>
  <c r="Z34"/>
  <c r="B18" i="77"/>
  <c r="AG35" i="7"/>
  <c r="AH35"/>
  <c r="T34" i="76"/>
  <c r="F32" i="81" s="1"/>
  <c r="J27"/>
  <c r="AX31" i="1"/>
  <c r="H28" i="81"/>
  <c r="AV33" i="7"/>
  <c r="AU36" i="5"/>
  <c r="AZ36"/>
  <c r="AZ35"/>
  <c r="BC35"/>
  <c r="O21" i="76"/>
  <c r="P21"/>
  <c r="O8"/>
  <c r="P8"/>
  <c r="O10"/>
  <c r="P10"/>
  <c r="O34"/>
  <c r="P34"/>
  <c r="O17"/>
  <c r="P17"/>
  <c r="O7"/>
  <c r="P7"/>
  <c r="O26"/>
  <c r="P26"/>
  <c r="O13"/>
  <c r="P13"/>
  <c r="O14"/>
  <c r="P14"/>
  <c r="O9"/>
  <c r="P9"/>
  <c r="O29"/>
  <c r="P29"/>
  <c r="O25"/>
  <c r="P25"/>
  <c r="O22"/>
  <c r="P22"/>
  <c r="T22"/>
  <c r="F20" i="81" s="1"/>
  <c r="O4" i="76"/>
  <c r="P4"/>
  <c r="O33"/>
  <c r="P33"/>
  <c r="O23"/>
  <c r="P23"/>
  <c r="O15"/>
  <c r="P15"/>
  <c r="O27"/>
  <c r="P27"/>
  <c r="O32"/>
  <c r="P32"/>
  <c r="AB31"/>
  <c r="D10" i="77"/>
  <c r="E10" s="1"/>
  <c r="F10" s="1"/>
  <c r="O11" i="76"/>
  <c r="P11"/>
  <c r="O24"/>
  <c r="P24"/>
  <c r="O16"/>
  <c r="P16"/>
  <c r="O18"/>
  <c r="P18"/>
  <c r="O19"/>
  <c r="P19"/>
  <c r="O6"/>
  <c r="P6"/>
  <c r="O12"/>
  <c r="P12"/>
  <c r="O31"/>
  <c r="P31"/>
  <c r="O20"/>
  <c r="P20"/>
  <c r="O28"/>
  <c r="P28"/>
  <c r="O30"/>
  <c r="P30"/>
  <c r="C37"/>
  <c r="X30" i="3"/>
  <c r="Y29"/>
  <c r="AJ28" i="1"/>
  <c r="AK28" s="1"/>
  <c r="G25" i="81"/>
  <c r="AS32" i="5"/>
  <c r="AY31"/>
  <c r="BB31"/>
  <c r="BE31"/>
  <c r="P31"/>
  <c r="Q30"/>
  <c r="M26" i="81"/>
  <c r="N31" i="5"/>
  <c r="BF30"/>
  <c r="BG30"/>
  <c r="G30" i="65"/>
  <c r="B29"/>
  <c r="E29"/>
  <c r="AI29" i="1"/>
  <c r="N30"/>
  <c r="V30"/>
  <c r="W43" i="76"/>
  <c r="E18" i="77"/>
  <c r="AJ35" i="7"/>
  <c r="AK35" s="1"/>
  <c r="AI35"/>
  <c r="AX32" i="1"/>
  <c r="J28" i="81"/>
  <c r="AV34" i="7"/>
  <c r="H29" i="81"/>
  <c r="BC36" i="5"/>
  <c r="Q31"/>
  <c r="M27" i="81"/>
  <c r="AB37" i="76"/>
  <c r="AB39"/>
  <c r="Z40"/>
  <c r="AB35"/>
  <c r="AB36"/>
  <c r="AA41"/>
  <c r="AB41"/>
  <c r="AB42"/>
  <c r="O35"/>
  <c r="O36"/>
  <c r="BF31" i="5"/>
  <c r="BG31"/>
  <c r="G31" i="65"/>
  <c r="P32" i="5"/>
  <c r="N32"/>
  <c r="AW30" i="7"/>
  <c r="N31" i="1"/>
  <c r="V31"/>
  <c r="B30" i="65"/>
  <c r="E30" s="1"/>
  <c r="AI30" i="1"/>
  <c r="AW31" i="7"/>
  <c r="X31" i="3"/>
  <c r="Y30"/>
  <c r="AS33" i="5"/>
  <c r="AY32"/>
  <c r="BB32"/>
  <c r="BE32"/>
  <c r="P35" i="76"/>
  <c r="T26"/>
  <c r="F24" i="81" s="1"/>
  <c r="T25" i="76"/>
  <c r="F23" i="81" s="1"/>
  <c r="J29"/>
  <c r="AX33" i="1"/>
  <c r="AV35" i="7"/>
  <c r="H30" i="81"/>
  <c r="Q32" i="5"/>
  <c r="M28" i="81"/>
  <c r="AA42" i="76"/>
  <c r="N32" i="1"/>
  <c r="V32"/>
  <c r="G27" i="81"/>
  <c r="AJ30" i="1"/>
  <c r="AK30"/>
  <c r="P33" i="5"/>
  <c r="N33"/>
  <c r="I28" i="63"/>
  <c r="BF32" i="5"/>
  <c r="BG32"/>
  <c r="G32" i="65"/>
  <c r="AI31" i="1"/>
  <c r="B31" i="65"/>
  <c r="X32" i="3"/>
  <c r="Y31"/>
  <c r="AS34" i="5"/>
  <c r="AY33"/>
  <c r="BB33"/>
  <c r="BE33"/>
  <c r="G26" i="81"/>
  <c r="AJ29" i="1"/>
  <c r="AK29"/>
  <c r="J30" i="81"/>
  <c r="AX34" i="1"/>
  <c r="AV36" i="7"/>
  <c r="H32" i="81"/>
  <c r="H31"/>
  <c r="T27" i="76"/>
  <c r="F25" i="81" s="1"/>
  <c r="Q33" i="5"/>
  <c r="M29" i="81"/>
  <c r="AI32" i="1"/>
  <c r="AW33" i="7"/>
  <c r="AJ32" i="1" s="1"/>
  <c r="B32" i="65"/>
  <c r="X33" i="3"/>
  <c r="Y33"/>
  <c r="Y32"/>
  <c r="P34" i="5"/>
  <c r="AW32" i="7"/>
  <c r="N33" i="1"/>
  <c r="V33"/>
  <c r="AS35" i="5"/>
  <c r="AY34"/>
  <c r="BB34"/>
  <c r="BE34"/>
  <c r="N34"/>
  <c r="BF33"/>
  <c r="BG33"/>
  <c r="G33" i="65"/>
  <c r="F26" i="81"/>
  <c r="J31"/>
  <c r="AX35" i="1"/>
  <c r="J32" i="81"/>
  <c r="AK32" i="1"/>
  <c r="G29" i="81"/>
  <c r="N34" i="1"/>
  <c r="V34"/>
  <c r="N35"/>
  <c r="V35"/>
  <c r="AI35"/>
  <c r="AW36" i="7"/>
  <c r="AS36" i="5"/>
  <c r="AY36"/>
  <c r="AY35"/>
  <c r="BB35"/>
  <c r="BE35"/>
  <c r="N36"/>
  <c r="N35"/>
  <c r="Q34"/>
  <c r="M30" i="81"/>
  <c r="AI33" i="1"/>
  <c r="B33" i="65"/>
  <c r="I30" i="63"/>
  <c r="BF34" i="5"/>
  <c r="BG34"/>
  <c r="G34" i="65"/>
  <c r="P35" i="5"/>
  <c r="P36"/>
  <c r="G28" i="81"/>
  <c r="AJ31" i="1"/>
  <c r="AK31"/>
  <c r="T29" i="76"/>
  <c r="F27" i="81"/>
  <c r="BB36" i="5"/>
  <c r="BE36"/>
  <c r="BF36"/>
  <c r="BG36"/>
  <c r="Q35"/>
  <c r="Q37"/>
  <c r="O38"/>
  <c r="AI34" i="1"/>
  <c r="AW35" i="7"/>
  <c r="B34" i="65"/>
  <c r="E34"/>
  <c r="AW34" i="7"/>
  <c r="G32" i="81"/>
  <c r="I31" i="63"/>
  <c r="BF35" i="5"/>
  <c r="BG35"/>
  <c r="Q36"/>
  <c r="M32" i="81"/>
  <c r="M31"/>
  <c r="AI37" i="1"/>
  <c r="AJ34"/>
  <c r="AK34"/>
  <c r="G31" i="81"/>
  <c r="AJ33" i="1"/>
  <c r="AK33"/>
  <c r="G30" i="81"/>
  <c r="T31" i="76"/>
  <c r="F29" i="81"/>
  <c r="T30" i="76"/>
  <c r="F28" i="81"/>
  <c r="T32" i="76"/>
  <c r="F30" i="81" s="1"/>
  <c r="T33" i="76"/>
  <c r="F31" i="81" s="1"/>
  <c r="O6" i="79"/>
  <c r="K6" i="5"/>
  <c r="L7" s="1"/>
  <c r="G17" i="7" l="1"/>
  <c r="H17"/>
  <c r="F7" i="65"/>
  <c r="AK7" i="5"/>
  <c r="H4" i="63"/>
  <c r="J27" i="7"/>
  <c r="I27"/>
  <c r="AJ26" i="1"/>
  <c r="AK26" s="1"/>
  <c r="G23" i="81"/>
  <c r="F35" i="7"/>
  <c r="E35"/>
  <c r="AI11" i="3"/>
  <c r="AE11"/>
  <c r="AF11" s="1"/>
  <c r="AG11" s="1"/>
  <c r="AH11" s="1"/>
  <c r="O18" i="2"/>
  <c r="O17" i="81"/>
  <c r="L33" i="7"/>
  <c r="K33"/>
  <c r="L31" i="5"/>
  <c r="L32"/>
  <c r="AK29"/>
  <c r="H26" i="63"/>
  <c r="F29" i="65"/>
  <c r="AE27" i="7"/>
  <c r="AF27"/>
  <c r="AF10"/>
  <c r="AE10"/>
  <c r="AC12"/>
  <c r="AD12"/>
  <c r="F12"/>
  <c r="E12"/>
  <c r="L6" i="82"/>
  <c r="O6" i="81"/>
  <c r="H7" i="63"/>
  <c r="AK10" i="5"/>
  <c r="G10" i="77"/>
  <c r="E9"/>
  <c r="F30" i="65"/>
  <c r="G17" i="81"/>
  <c r="G27" i="7"/>
  <c r="L24" i="5"/>
  <c r="AK19"/>
  <c r="D16" i="65"/>
  <c r="E16" s="1"/>
  <c r="AK14" i="3"/>
  <c r="E10" i="7"/>
  <c r="F10"/>
  <c r="O11" i="81"/>
  <c r="O12" i="2"/>
  <c r="L11" i="82"/>
  <c r="AE29" i="3"/>
  <c r="AF29" s="1"/>
  <c r="AG29" s="1"/>
  <c r="AH29" s="1"/>
  <c r="AI29"/>
  <c r="D31" i="65" s="1"/>
  <c r="C32" i="7"/>
  <c r="D32"/>
  <c r="K21"/>
  <c r="L21"/>
  <c r="B43" i="74"/>
  <c r="N86" s="1"/>
  <c r="C43"/>
  <c r="O86" s="1"/>
  <c r="AB30" i="7"/>
  <c r="AA30"/>
  <c r="F26" i="65"/>
  <c r="AK26" i="5"/>
  <c r="AJ15" i="1"/>
  <c r="AK15" s="1"/>
  <c r="G12" i="81"/>
  <c r="AK21" i="5"/>
  <c r="F21" i="65"/>
  <c r="H18" i="63"/>
  <c r="C23" i="7"/>
  <c r="D23"/>
  <c r="AJ12" i="1"/>
  <c r="AK12" s="1"/>
  <c r="G9" i="81"/>
  <c r="L18" i="82"/>
  <c r="O19" i="2"/>
  <c r="AG6" i="7"/>
  <c r="AH6"/>
  <c r="E6" i="77"/>
  <c r="L34" i="5"/>
  <c r="D28" i="63"/>
  <c r="H27"/>
  <c r="H16"/>
  <c r="AK17" i="5"/>
  <c r="E17" i="7"/>
  <c r="AH15"/>
  <c r="AC29"/>
  <c r="AD29"/>
  <c r="H20"/>
  <c r="G20"/>
  <c r="H18"/>
  <c r="G18"/>
  <c r="AC17"/>
  <c r="AD17"/>
  <c r="AE11"/>
  <c r="AF11"/>
  <c r="H31"/>
  <c r="G31"/>
  <c r="AL23"/>
  <c r="AM23" s="1"/>
  <c r="AK23"/>
  <c r="AO23" s="1"/>
  <c r="AG8"/>
  <c r="AH8"/>
  <c r="AF7"/>
  <c r="AE7"/>
  <c r="AD13"/>
  <c r="AC13"/>
  <c r="G29"/>
  <c r="H29"/>
  <c r="AD28"/>
  <c r="AC28"/>
  <c r="AK27" i="5"/>
  <c r="H24" i="63"/>
  <c r="F27" i="65"/>
  <c r="C26" i="7"/>
  <c r="D26"/>
  <c r="D24"/>
  <c r="C24"/>
  <c r="E38" i="5"/>
  <c r="J17"/>
  <c r="L13" i="81" s="1"/>
  <c r="AJ6" i="1"/>
  <c r="AK6" s="1"/>
  <c r="G3" i="81"/>
  <c r="D16" i="7"/>
  <c r="C16"/>
  <c r="S35" i="76"/>
  <c r="D11" i="65"/>
  <c r="E11" s="1"/>
  <c r="AK9" i="3"/>
  <c r="O31" i="81"/>
  <c r="L31" i="82"/>
  <c r="AK9" i="5"/>
  <c r="H6" i="63"/>
  <c r="AJ35" i="1"/>
  <c r="AK35" s="1"/>
  <c r="D25" i="7"/>
  <c r="AH18"/>
  <c r="F17" i="65"/>
  <c r="C17" i="7"/>
  <c r="L17" i="82"/>
  <c r="G24" i="81"/>
  <c r="AJ27" i="1"/>
  <c r="AK27" s="1"/>
  <c r="F34" i="7"/>
  <c r="E34"/>
  <c r="D30"/>
  <c r="C30"/>
  <c r="H20" i="63"/>
  <c r="F23" i="65"/>
  <c r="AK23" i="5"/>
  <c r="G10" i="81"/>
  <c r="AJ13" i="1"/>
  <c r="AK13" s="1"/>
  <c r="F20" i="65"/>
  <c r="H17" i="63"/>
  <c r="AK20" i="5"/>
  <c r="AD20" i="7"/>
  <c r="AC20"/>
  <c r="Q7"/>
  <c r="R7"/>
  <c r="I8"/>
  <c r="J8"/>
  <c r="F16" i="65"/>
  <c r="AK16" i="5"/>
  <c r="H13" i="63"/>
  <c r="E14" i="7"/>
  <c r="F14"/>
  <c r="F33" i="65"/>
  <c r="AK33" i="5"/>
  <c r="AA32" i="7"/>
  <c r="AB32"/>
  <c r="AB31"/>
  <c r="AA31"/>
  <c r="H19"/>
  <c r="G19"/>
  <c r="AC19"/>
  <c r="AD19"/>
  <c r="H9" i="63"/>
  <c r="F12" i="65"/>
  <c r="AK12" i="5"/>
  <c r="O2" i="81"/>
  <c r="L2" i="82"/>
  <c r="O3" i="2"/>
  <c r="L27" i="82"/>
  <c r="O27" i="81"/>
  <c r="O28" i="2"/>
  <c r="O16"/>
  <c r="O15" i="81"/>
  <c r="L15" i="82"/>
  <c r="AL35" i="7"/>
  <c r="AM35" s="1"/>
  <c r="AO35" s="1"/>
  <c r="AD33"/>
  <c r="E21" i="65"/>
  <c r="D18"/>
  <c r="E18" s="1"/>
  <c r="L15" i="5"/>
  <c r="L37" s="1"/>
  <c r="AK37" s="1"/>
  <c r="AE36" i="7"/>
  <c r="AF36"/>
  <c r="E6"/>
  <c r="F6"/>
  <c r="C36"/>
  <c r="D36"/>
  <c r="AC34"/>
  <c r="AD34"/>
  <c r="AI26"/>
  <c r="AJ26"/>
  <c r="D28"/>
  <c r="C28"/>
  <c r="AK25" i="5"/>
  <c r="H22" i="63"/>
  <c r="F25" i="65"/>
  <c r="D22" i="7"/>
  <c r="C22"/>
  <c r="AB22"/>
  <c r="AA22"/>
  <c r="AK13" i="3"/>
  <c r="D15" i="65"/>
  <c r="E15" s="1"/>
  <c r="AH9" i="7"/>
  <c r="AG9"/>
  <c r="AK14" i="5"/>
  <c r="H11" i="63"/>
  <c r="F14" i="65"/>
  <c r="H5" i="63"/>
  <c r="AK8" i="5"/>
  <c r="E13" i="7"/>
  <c r="F13"/>
  <c r="E31" i="65"/>
  <c r="B19" i="77"/>
  <c r="E8"/>
  <c r="H30" i="63"/>
  <c r="G14" i="81"/>
  <c r="AC18" i="7"/>
  <c r="G16" i="81"/>
  <c r="AB25" i="7"/>
  <c r="AB24"/>
  <c r="AD21"/>
  <c r="E19"/>
  <c r="C18"/>
  <c r="J15"/>
  <c r="AA17"/>
  <c r="H11"/>
  <c r="F9"/>
  <c r="L21" i="82"/>
  <c r="AA15" i="7"/>
  <c r="AK3" i="3"/>
  <c r="O6" i="2"/>
  <c r="AZ31" i="7"/>
  <c r="B17" i="2"/>
  <c r="L26" i="82"/>
  <c r="E7" i="7"/>
  <c r="AD14"/>
  <c r="G21" i="81"/>
  <c r="G19"/>
  <c r="AJ5" i="1"/>
  <c r="AK5" s="1"/>
  <c r="AZ26" i="7"/>
  <c r="B14" i="2"/>
  <c r="AZ21" i="7"/>
  <c r="AA7"/>
  <c r="B11" i="2"/>
  <c r="AF16" i="7"/>
  <c r="AZ10"/>
  <c r="G8"/>
  <c r="AK13" i="5"/>
  <c r="AC11" i="7"/>
  <c r="AZ35"/>
  <c r="C14"/>
  <c r="AK19" i="3"/>
  <c r="AN35" i="7" l="1"/>
  <c r="AN23"/>
  <c r="AK11" i="3"/>
  <c r="D13" i="65"/>
  <c r="E13" s="1"/>
  <c r="AC24" i="7"/>
  <c r="AD24"/>
  <c r="AH36"/>
  <c r="AG36"/>
  <c r="AE20"/>
  <c r="AF20"/>
  <c r="AG11"/>
  <c r="AH11"/>
  <c r="AE29"/>
  <c r="AF29"/>
  <c r="AD30"/>
  <c r="AC30"/>
  <c r="G9" i="77"/>
  <c r="F9"/>
  <c r="H12" i="7"/>
  <c r="G12"/>
  <c r="F22"/>
  <c r="E22"/>
  <c r="AF17"/>
  <c r="AE17"/>
  <c r="AF14"/>
  <c r="AE14"/>
  <c r="AE21"/>
  <c r="AF21"/>
  <c r="F28"/>
  <c r="E28"/>
  <c r="AE13"/>
  <c r="AF13"/>
  <c r="I31"/>
  <c r="J31"/>
  <c r="I20"/>
  <c r="J20"/>
  <c r="AF34"/>
  <c r="AE34"/>
  <c r="AJ15"/>
  <c r="AI15"/>
  <c r="AC25"/>
  <c r="AD25"/>
  <c r="K27"/>
  <c r="L27"/>
  <c r="AD22"/>
  <c r="AC22"/>
  <c r="H6"/>
  <c r="G6"/>
  <c r="AE19"/>
  <c r="AF19"/>
  <c r="H14"/>
  <c r="G14"/>
  <c r="AJ6"/>
  <c r="AI6"/>
  <c r="J11"/>
  <c r="I11"/>
  <c r="AK32" i="5"/>
  <c r="F32" i="65"/>
  <c r="H29" i="63"/>
  <c r="G8" i="77"/>
  <c r="F8"/>
  <c r="AF12" i="7"/>
  <c r="AE12"/>
  <c r="O11" i="2"/>
  <c r="L10" i="82"/>
  <c r="O10" i="81"/>
  <c r="S7" i="7"/>
  <c r="T7"/>
  <c r="F16"/>
  <c r="E16"/>
  <c r="E26"/>
  <c r="F26"/>
  <c r="I18"/>
  <c r="J18"/>
  <c r="F23"/>
  <c r="E23"/>
  <c r="E32"/>
  <c r="F32"/>
  <c r="AG27"/>
  <c r="AH27"/>
  <c r="M33"/>
  <c r="N33"/>
  <c r="H12" i="63"/>
  <c r="F15" i="65"/>
  <c r="AK15" i="5"/>
  <c r="F30" i="7"/>
  <c r="E30"/>
  <c r="AI8"/>
  <c r="AJ8"/>
  <c r="H9"/>
  <c r="G9"/>
  <c r="AG7"/>
  <c r="AH7"/>
  <c r="AE33"/>
  <c r="AF33"/>
  <c r="L15"/>
  <c r="K15"/>
  <c r="G13"/>
  <c r="H13"/>
  <c r="AJ9"/>
  <c r="AI9"/>
  <c r="F36"/>
  <c r="E36"/>
  <c r="AD32"/>
  <c r="AC32"/>
  <c r="H34"/>
  <c r="G34"/>
  <c r="AJ18"/>
  <c r="AI18"/>
  <c r="F24"/>
  <c r="E24"/>
  <c r="I29"/>
  <c r="J29"/>
  <c r="F6" i="77"/>
  <c r="E12"/>
  <c r="G10" i="7"/>
  <c r="H10"/>
  <c r="AH10"/>
  <c r="AG10"/>
  <c r="J19"/>
  <c r="I19"/>
  <c r="E25"/>
  <c r="F25"/>
  <c r="J17"/>
  <c r="I17"/>
  <c r="AK26"/>
  <c r="AO26" s="1"/>
  <c r="AL26"/>
  <c r="AM26" s="1"/>
  <c r="AH16"/>
  <c r="AG16"/>
  <c r="O13" i="81"/>
  <c r="O14" i="2"/>
  <c r="L13" i="82"/>
  <c r="O16" i="81"/>
  <c r="L16" i="82"/>
  <c r="O17" i="2"/>
  <c r="AC31" i="7"/>
  <c r="AD31"/>
  <c r="K8"/>
  <c r="L8"/>
  <c r="AF28"/>
  <c r="AE28"/>
  <c r="AK34" i="5"/>
  <c r="H31" i="63"/>
  <c r="F34" i="65"/>
  <c r="M21" i="7"/>
  <c r="N21"/>
  <c r="F24" i="65"/>
  <c r="H21" i="63"/>
  <c r="AK24" i="5"/>
  <c r="H28" i="63"/>
  <c r="AK31" i="5"/>
  <c r="F31" i="65"/>
  <c r="G35" i="7"/>
  <c r="H35"/>
  <c r="AN26" l="1"/>
  <c r="AE24"/>
  <c r="AF24"/>
  <c r="AI36"/>
  <c r="AJ36"/>
  <c r="AG20"/>
  <c r="AH20"/>
  <c r="M8"/>
  <c r="N8"/>
  <c r="H25"/>
  <c r="G25"/>
  <c r="K29"/>
  <c r="L29"/>
  <c r="AL8"/>
  <c r="AM8" s="1"/>
  <c r="AO8" s="1"/>
  <c r="AK8"/>
  <c r="AF22"/>
  <c r="AE22"/>
  <c r="AG34"/>
  <c r="AH34"/>
  <c r="G28"/>
  <c r="H28"/>
  <c r="AH28"/>
  <c r="AG28"/>
  <c r="L17"/>
  <c r="K17"/>
  <c r="H32"/>
  <c r="G32"/>
  <c r="AH29"/>
  <c r="AG29"/>
  <c r="J13"/>
  <c r="I13"/>
  <c r="L11"/>
  <c r="K11"/>
  <c r="J6"/>
  <c r="I6"/>
  <c r="AL15"/>
  <c r="AM15" s="1"/>
  <c r="AK15"/>
  <c r="AO15" s="1"/>
  <c r="AG17"/>
  <c r="AH17"/>
  <c r="AK18"/>
  <c r="AO18" s="1"/>
  <c r="AL18"/>
  <c r="AM18" s="1"/>
  <c r="AL9"/>
  <c r="AM9" s="1"/>
  <c r="AK9"/>
  <c r="AO9" s="1"/>
  <c r="AI27"/>
  <c r="AJ27"/>
  <c r="AH13"/>
  <c r="AG13"/>
  <c r="AG14"/>
  <c r="AH14"/>
  <c r="AJ16"/>
  <c r="AI16"/>
  <c r="AI10"/>
  <c r="AJ10"/>
  <c r="H24"/>
  <c r="G24"/>
  <c r="G36"/>
  <c r="H36"/>
  <c r="H30"/>
  <c r="G30"/>
  <c r="L18"/>
  <c r="K18"/>
  <c r="AF25"/>
  <c r="AE25"/>
  <c r="L31"/>
  <c r="K31"/>
  <c r="AE31"/>
  <c r="AF31"/>
  <c r="AG33"/>
  <c r="AH33"/>
  <c r="H23"/>
  <c r="G23"/>
  <c r="I14"/>
  <c r="J14"/>
  <c r="J12"/>
  <c r="I12"/>
  <c r="AO6"/>
  <c r="H16"/>
  <c r="G16"/>
  <c r="AK6"/>
  <c r="AL6"/>
  <c r="AM6" s="1"/>
  <c r="H22"/>
  <c r="G22"/>
  <c r="J34"/>
  <c r="I34"/>
  <c r="I9"/>
  <c r="J9"/>
  <c r="AH12"/>
  <c r="AG12"/>
  <c r="AF30"/>
  <c r="AE30"/>
  <c r="H26"/>
  <c r="G26"/>
  <c r="I10"/>
  <c r="J10"/>
  <c r="AJ7"/>
  <c r="AI7"/>
  <c r="K19"/>
  <c r="L19"/>
  <c r="O33"/>
  <c r="P33"/>
  <c r="AH19"/>
  <c r="AG19"/>
  <c r="J35"/>
  <c r="I35"/>
  <c r="O21"/>
  <c r="P21"/>
  <c r="AE32"/>
  <c r="AF32"/>
  <c r="M15"/>
  <c r="N15"/>
  <c r="V7"/>
  <c r="W7" s="1"/>
  <c r="U7"/>
  <c r="M27"/>
  <c r="N27"/>
  <c r="K20"/>
  <c r="L20"/>
  <c r="AH21"/>
  <c r="AG21"/>
  <c r="AI11"/>
  <c r="AJ11"/>
  <c r="F12" i="77"/>
  <c r="G12"/>
  <c r="AN15" i="7" l="1"/>
  <c r="AN8"/>
  <c r="AO27"/>
  <c r="O27"/>
  <c r="P27"/>
  <c r="N19"/>
  <c r="M19"/>
  <c r="AH31"/>
  <c r="AG31"/>
  <c r="AJ34"/>
  <c r="AI34"/>
  <c r="AG24"/>
  <c r="AH24"/>
  <c r="K34"/>
  <c r="L34"/>
  <c r="AI29"/>
  <c r="AJ29"/>
  <c r="R33"/>
  <c r="Q33"/>
  <c r="AK10"/>
  <c r="AO10" s="1"/>
  <c r="AL10"/>
  <c r="AM10" s="1"/>
  <c r="J28"/>
  <c r="I28"/>
  <c r="AJ19"/>
  <c r="AI19"/>
  <c r="I16"/>
  <c r="J16"/>
  <c r="I23"/>
  <c r="J23"/>
  <c r="AH25"/>
  <c r="AG25"/>
  <c r="I24"/>
  <c r="J24"/>
  <c r="AJ13"/>
  <c r="AI13"/>
  <c r="K13"/>
  <c r="L13"/>
  <c r="AI28"/>
  <c r="AJ28"/>
  <c r="AL36"/>
  <c r="AM36" s="1"/>
  <c r="AK36"/>
  <c r="AO36" s="1"/>
  <c r="L10"/>
  <c r="K10"/>
  <c r="K9"/>
  <c r="L9"/>
  <c r="AI17"/>
  <c r="AJ17"/>
  <c r="AJ20"/>
  <c r="AI20"/>
  <c r="J26"/>
  <c r="I26"/>
  <c r="AN6"/>
  <c r="M18"/>
  <c r="N18"/>
  <c r="N20"/>
  <c r="M20"/>
  <c r="AL27"/>
  <c r="AM27" s="1"/>
  <c r="AK27"/>
  <c r="O15"/>
  <c r="P15"/>
  <c r="L35"/>
  <c r="K35"/>
  <c r="AJ12"/>
  <c r="AI12"/>
  <c r="N11"/>
  <c r="M11"/>
  <c r="M17"/>
  <c r="N17"/>
  <c r="AG22"/>
  <c r="AH22"/>
  <c r="I36"/>
  <c r="J36"/>
  <c r="AJ14"/>
  <c r="AI14"/>
  <c r="O8"/>
  <c r="P8"/>
  <c r="Y7"/>
  <c r="X7" s="1"/>
  <c r="R21"/>
  <c r="Q21"/>
  <c r="AN9"/>
  <c r="AH32"/>
  <c r="AG32"/>
  <c r="AI33"/>
  <c r="AJ33"/>
  <c r="N29"/>
  <c r="M29"/>
  <c r="AJ21"/>
  <c r="AI21"/>
  <c r="AK7"/>
  <c r="AO7" s="1"/>
  <c r="AL7"/>
  <c r="AM7" s="1"/>
  <c r="M31"/>
  <c r="N31"/>
  <c r="AN18"/>
  <c r="AL11"/>
  <c r="AM11" s="1"/>
  <c r="AK11"/>
  <c r="AO11" s="1"/>
  <c r="K14"/>
  <c r="L14"/>
  <c r="H14" i="77"/>
  <c r="I14"/>
  <c r="AH30" i="7"/>
  <c r="AG30"/>
  <c r="J22"/>
  <c r="I22"/>
  <c r="K12"/>
  <c r="L12"/>
  <c r="I30"/>
  <c r="J30"/>
  <c r="AL16"/>
  <c r="AM16" s="1"/>
  <c r="AK16"/>
  <c r="AO16" s="1"/>
  <c r="K6"/>
  <c r="L6"/>
  <c r="J32"/>
  <c r="I32"/>
  <c r="J25"/>
  <c r="I25"/>
  <c r="AO14" l="1"/>
  <c r="AN36"/>
  <c r="AN10"/>
  <c r="AR7"/>
  <c r="AN7"/>
  <c r="AN11"/>
  <c r="AO12"/>
  <c r="K23"/>
  <c r="L23"/>
  <c r="M6"/>
  <c r="N6"/>
  <c r="L28"/>
  <c r="K28"/>
  <c r="N34"/>
  <c r="M34"/>
  <c r="Q8"/>
  <c r="R8"/>
  <c r="AN27"/>
  <c r="P18"/>
  <c r="O18"/>
  <c r="P19"/>
  <c r="O19"/>
  <c r="L32"/>
  <c r="K32"/>
  <c r="AJ32"/>
  <c r="AI32"/>
  <c r="N14"/>
  <c r="M14"/>
  <c r="AJ31"/>
  <c r="AI31"/>
  <c r="N35"/>
  <c r="M35"/>
  <c r="AI24"/>
  <c r="AJ24"/>
  <c r="K36"/>
  <c r="L36"/>
  <c r="AL14"/>
  <c r="AM14" s="1"/>
  <c r="AK14"/>
  <c r="P11"/>
  <c r="O11"/>
  <c r="L26"/>
  <c r="K26"/>
  <c r="N9"/>
  <c r="M9"/>
  <c r="K24"/>
  <c r="L24"/>
  <c r="AL29"/>
  <c r="AM29" s="1"/>
  <c r="AK29"/>
  <c r="AO29" s="1"/>
  <c r="AN16"/>
  <c r="O17"/>
  <c r="P17"/>
  <c r="AL21"/>
  <c r="AM21" s="1"/>
  <c r="AK21"/>
  <c r="AO21" s="1"/>
  <c r="R27"/>
  <c r="Q27"/>
  <c r="N10"/>
  <c r="M10"/>
  <c r="P20"/>
  <c r="O20"/>
  <c r="AK28"/>
  <c r="AO28" s="1"/>
  <c r="AL28"/>
  <c r="AM28" s="1"/>
  <c r="M12"/>
  <c r="N12"/>
  <c r="AK19"/>
  <c r="AO19" s="1"/>
  <c r="AL19"/>
  <c r="AM19" s="1"/>
  <c r="K25"/>
  <c r="L25"/>
  <c r="K30"/>
  <c r="L30"/>
  <c r="P31"/>
  <c r="O31"/>
  <c r="AL33"/>
  <c r="AM33" s="1"/>
  <c r="AK33"/>
  <c r="AL13"/>
  <c r="AM13" s="1"/>
  <c r="AK13"/>
  <c r="S33"/>
  <c r="T33"/>
  <c r="AL34"/>
  <c r="AM34" s="1"/>
  <c r="AK34"/>
  <c r="R15"/>
  <c r="Q15"/>
  <c r="AL20"/>
  <c r="AM20" s="1"/>
  <c r="AK20"/>
  <c r="AO20" s="1"/>
  <c r="L22"/>
  <c r="K22"/>
  <c r="M13"/>
  <c r="N13"/>
  <c r="AI22"/>
  <c r="AJ22"/>
  <c r="AJ25"/>
  <c r="AI25"/>
  <c r="AL12"/>
  <c r="AM12" s="1"/>
  <c r="AK12"/>
  <c r="AI30"/>
  <c r="AJ30"/>
  <c r="P29"/>
  <c r="O29"/>
  <c r="T21"/>
  <c r="S21"/>
  <c r="AL17"/>
  <c r="AM17" s="1"/>
  <c r="AK17"/>
  <c r="AO17" s="1"/>
  <c r="K16"/>
  <c r="L16"/>
  <c r="AO34"/>
  <c r="AN17" l="1"/>
  <c r="AN20"/>
  <c r="AN28"/>
  <c r="AN21"/>
  <c r="Y21"/>
  <c r="X21" s="1"/>
  <c r="AL25"/>
  <c r="AM25" s="1"/>
  <c r="AK25"/>
  <c r="AO25" s="1"/>
  <c r="O14"/>
  <c r="P14"/>
  <c r="T27"/>
  <c r="S27"/>
  <c r="Q19"/>
  <c r="R19"/>
  <c r="AK22"/>
  <c r="AO22" s="1"/>
  <c r="AL22"/>
  <c r="AM22" s="1"/>
  <c r="P34"/>
  <c r="O34"/>
  <c r="N22"/>
  <c r="M22"/>
  <c r="Q31"/>
  <c r="R31"/>
  <c r="AL24"/>
  <c r="AM24" s="1"/>
  <c r="AK24"/>
  <c r="AO24" s="1"/>
  <c r="AL31"/>
  <c r="AM31" s="1"/>
  <c r="AK31"/>
  <c r="AN19"/>
  <c r="N32"/>
  <c r="M32"/>
  <c r="AO33"/>
  <c r="AN29"/>
  <c r="V33"/>
  <c r="W33" s="1"/>
  <c r="U33"/>
  <c r="Y33" s="1"/>
  <c r="X33" s="1"/>
  <c r="AN12"/>
  <c r="AN34"/>
  <c r="O12"/>
  <c r="P12"/>
  <c r="O10"/>
  <c r="P10"/>
  <c r="M36"/>
  <c r="N36"/>
  <c r="M16"/>
  <c r="N16"/>
  <c r="O13"/>
  <c r="P13"/>
  <c r="R20"/>
  <c r="Q20"/>
  <c r="N24"/>
  <c r="M24"/>
  <c r="T8"/>
  <c r="S8"/>
  <c r="O6"/>
  <c r="P6"/>
  <c r="AN14"/>
  <c r="V21"/>
  <c r="W21" s="1"/>
  <c r="U21"/>
  <c r="M30"/>
  <c r="N30"/>
  <c r="M26"/>
  <c r="N26"/>
  <c r="Q18"/>
  <c r="R18"/>
  <c r="P9"/>
  <c r="O9"/>
  <c r="N23"/>
  <c r="M23"/>
  <c r="AL30"/>
  <c r="AM30" s="1"/>
  <c r="AK30"/>
  <c r="AO30" s="1"/>
  <c r="Q29"/>
  <c r="R29"/>
  <c r="T15"/>
  <c r="S15"/>
  <c r="N25"/>
  <c r="M25"/>
  <c r="R17"/>
  <c r="Q17"/>
  <c r="Q11"/>
  <c r="R11"/>
  <c r="P35"/>
  <c r="O35"/>
  <c r="AL32"/>
  <c r="AM32" s="1"/>
  <c r="AK32"/>
  <c r="AO32" s="1"/>
  <c r="N28"/>
  <c r="M28"/>
  <c r="AQ7"/>
  <c r="AO13"/>
  <c r="AN32" l="1"/>
  <c r="AN30"/>
  <c r="AN24"/>
  <c r="AN25"/>
  <c r="AN13"/>
  <c r="P32"/>
  <c r="O32"/>
  <c r="O28"/>
  <c r="P28"/>
  <c r="R6"/>
  <c r="Q6"/>
  <c r="R14"/>
  <c r="Q14"/>
  <c r="R10"/>
  <c r="Q10"/>
  <c r="U27"/>
  <c r="Y27" s="1"/>
  <c r="V27"/>
  <c r="W27" s="1"/>
  <c r="Y8"/>
  <c r="O25"/>
  <c r="P25"/>
  <c r="P16"/>
  <c r="O16"/>
  <c r="AN22"/>
  <c r="S17"/>
  <c r="T17"/>
  <c r="Q12"/>
  <c r="R12"/>
  <c r="T20"/>
  <c r="S20"/>
  <c r="T29"/>
  <c r="S29"/>
  <c r="P24"/>
  <c r="O24"/>
  <c r="AN33"/>
  <c r="AR33"/>
  <c r="AO31"/>
  <c r="O23"/>
  <c r="P23"/>
  <c r="O30"/>
  <c r="P30"/>
  <c r="R13"/>
  <c r="Q13"/>
  <c r="S31"/>
  <c r="T31"/>
  <c r="P26"/>
  <c r="O26"/>
  <c r="Q34"/>
  <c r="R34"/>
  <c r="S11"/>
  <c r="T11"/>
  <c r="S18"/>
  <c r="T18"/>
  <c r="O22"/>
  <c r="P22"/>
  <c r="Q35"/>
  <c r="R35"/>
  <c r="V15"/>
  <c r="W15" s="1"/>
  <c r="U15"/>
  <c r="Q9"/>
  <c r="R9"/>
  <c r="O36"/>
  <c r="P36"/>
  <c r="V8"/>
  <c r="W8" s="1"/>
  <c r="U8"/>
  <c r="S19"/>
  <c r="T19"/>
  <c r="AR21"/>
  <c r="X27" l="1"/>
  <c r="AR27"/>
  <c r="U29"/>
  <c r="V29"/>
  <c r="W29" s="1"/>
  <c r="Y29" s="1"/>
  <c r="AQ21"/>
  <c r="U18"/>
  <c r="Y18" s="1"/>
  <c r="V18"/>
  <c r="W18" s="1"/>
  <c r="X8"/>
  <c r="AR8"/>
  <c r="R36"/>
  <c r="Q36"/>
  <c r="V31"/>
  <c r="W31" s="1"/>
  <c r="U31"/>
  <c r="Q26"/>
  <c r="R26"/>
  <c r="T6"/>
  <c r="S6"/>
  <c r="Q22"/>
  <c r="R22"/>
  <c r="R24"/>
  <c r="Q24"/>
  <c r="U17"/>
  <c r="Y17" s="1"/>
  <c r="V17"/>
  <c r="W17" s="1"/>
  <c r="Q30"/>
  <c r="R30"/>
  <c r="AQ33"/>
  <c r="T10"/>
  <c r="S10"/>
  <c r="T9"/>
  <c r="S9"/>
  <c r="R23"/>
  <c r="Q23"/>
  <c r="S14"/>
  <c r="T14"/>
  <c r="S35"/>
  <c r="T35"/>
  <c r="S34"/>
  <c r="T34"/>
  <c r="S12"/>
  <c r="T12"/>
  <c r="V20"/>
  <c r="W20" s="1"/>
  <c r="U20"/>
  <c r="Y15"/>
  <c r="AN31"/>
  <c r="Q28"/>
  <c r="R28"/>
  <c r="S13"/>
  <c r="T13"/>
  <c r="Q25"/>
  <c r="R25"/>
  <c r="R32"/>
  <c r="Q32"/>
  <c r="V19"/>
  <c r="W19" s="1"/>
  <c r="U19"/>
  <c r="V11"/>
  <c r="W11" s="1"/>
  <c r="U11"/>
  <c r="Q16"/>
  <c r="R16"/>
  <c r="Y19"/>
  <c r="Y35" l="1"/>
  <c r="X29"/>
  <c r="AR29"/>
  <c r="X17"/>
  <c r="AR17"/>
  <c r="T30"/>
  <c r="S30"/>
  <c r="X19"/>
  <c r="AR19"/>
  <c r="T22"/>
  <c r="S22"/>
  <c r="S36"/>
  <c r="T36"/>
  <c r="V12"/>
  <c r="W12" s="1"/>
  <c r="U12"/>
  <c r="AS8"/>
  <c r="AX8" s="1"/>
  <c r="AQ8"/>
  <c r="BC8"/>
  <c r="U14"/>
  <c r="Y14" s="1"/>
  <c r="V14"/>
  <c r="W14" s="1"/>
  <c r="V10"/>
  <c r="W10" s="1"/>
  <c r="U10"/>
  <c r="Y10" s="1"/>
  <c r="Y20"/>
  <c r="Y31"/>
  <c r="X18"/>
  <c r="AR18"/>
  <c r="Y9"/>
  <c r="S32"/>
  <c r="T32"/>
  <c r="AQ27"/>
  <c r="Y12"/>
  <c r="V34"/>
  <c r="W34" s="1"/>
  <c r="U34"/>
  <c r="S23"/>
  <c r="T23"/>
  <c r="T28"/>
  <c r="S28"/>
  <c r="T24"/>
  <c r="S24"/>
  <c r="U13"/>
  <c r="V13"/>
  <c r="W13" s="1"/>
  <c r="V35"/>
  <c r="W35" s="1"/>
  <c r="U35"/>
  <c r="T26"/>
  <c r="S26"/>
  <c r="T16"/>
  <c r="S16"/>
  <c r="T25"/>
  <c r="S25"/>
  <c r="X15"/>
  <c r="AR15"/>
  <c r="V9"/>
  <c r="W9" s="1"/>
  <c r="U9"/>
  <c r="V6"/>
  <c r="W6" s="1"/>
  <c r="U6"/>
  <c r="Y6" s="1"/>
  <c r="Y13"/>
  <c r="Y11"/>
  <c r="X14" l="1"/>
  <c r="AR14"/>
  <c r="AS15" s="1"/>
  <c r="AX15" s="1"/>
  <c r="Y32"/>
  <c r="Y24"/>
  <c r="X10"/>
  <c r="AR10"/>
  <c r="X6"/>
  <c r="AR6"/>
  <c r="X12"/>
  <c r="AR12"/>
  <c r="U36"/>
  <c r="V36"/>
  <c r="W36" s="1"/>
  <c r="AS18"/>
  <c r="AX18" s="1"/>
  <c r="BC19"/>
  <c r="AQ18"/>
  <c r="AQ29"/>
  <c r="AY8"/>
  <c r="Q6" i="76"/>
  <c r="R6" s="1"/>
  <c r="T6" s="1"/>
  <c r="F4" i="81" s="1"/>
  <c r="AS19" i="7"/>
  <c r="AX19" s="1"/>
  <c r="AQ19"/>
  <c r="BC20"/>
  <c r="Y16"/>
  <c r="Y34"/>
  <c r="X35"/>
  <c r="AR35"/>
  <c r="X13"/>
  <c r="AR13"/>
  <c r="V23"/>
  <c r="W23" s="1"/>
  <c r="U23"/>
  <c r="Y23" s="1"/>
  <c r="X20"/>
  <c r="AR20"/>
  <c r="V22"/>
  <c r="W22" s="1"/>
  <c r="U22"/>
  <c r="U16"/>
  <c r="V16"/>
  <c r="W16" s="1"/>
  <c r="X9"/>
  <c r="AR9"/>
  <c r="AQ15"/>
  <c r="U26"/>
  <c r="Y26" s="1"/>
  <c r="V26"/>
  <c r="W26" s="1"/>
  <c r="U28"/>
  <c r="V28"/>
  <c r="W28" s="1"/>
  <c r="X31"/>
  <c r="AR31"/>
  <c r="AQ17"/>
  <c r="BC18"/>
  <c r="V24"/>
  <c r="W24" s="1"/>
  <c r="U24"/>
  <c r="U30"/>
  <c r="Y30" s="1"/>
  <c r="V30"/>
  <c r="W30" s="1"/>
  <c r="U25"/>
  <c r="Y25" s="1"/>
  <c r="V25"/>
  <c r="W25" s="1"/>
  <c r="X11"/>
  <c r="AR11"/>
  <c r="U32"/>
  <c r="V32"/>
  <c r="W32" s="1"/>
  <c r="Y36"/>
  <c r="X25" l="1"/>
  <c r="AR25"/>
  <c r="X30"/>
  <c r="AR30"/>
  <c r="Q13" i="76"/>
  <c r="R13" s="1"/>
  <c r="T13" s="1"/>
  <c r="F11" i="81" s="1"/>
  <c r="AY15" i="7"/>
  <c r="X23"/>
  <c r="AR23"/>
  <c r="AS9"/>
  <c r="AX9" s="1"/>
  <c r="BC10"/>
  <c r="AQ9"/>
  <c r="BC9"/>
  <c r="AQ31"/>
  <c r="X34"/>
  <c r="AR34"/>
  <c r="AS35" s="1"/>
  <c r="AX35" s="1"/>
  <c r="X24"/>
  <c r="AR24"/>
  <c r="AQ35"/>
  <c r="Y22"/>
  <c r="X36"/>
  <c r="AR36"/>
  <c r="BC11"/>
  <c r="AQ10"/>
  <c r="AS10"/>
  <c r="AX10" s="1"/>
  <c r="AS20"/>
  <c r="AX20" s="1"/>
  <c r="BC21"/>
  <c r="AQ20"/>
  <c r="AS21"/>
  <c r="AX21" s="1"/>
  <c r="X26"/>
  <c r="AR26"/>
  <c r="BC14"/>
  <c r="AS13"/>
  <c r="AX13" s="1"/>
  <c r="AQ13"/>
  <c r="AY19"/>
  <c r="Q17" i="76"/>
  <c r="R17" s="1"/>
  <c r="T17" s="1"/>
  <c r="F15" i="81" s="1"/>
  <c r="Q16" i="76"/>
  <c r="R16" s="1"/>
  <c r="T16" s="1"/>
  <c r="F14" i="81" s="1"/>
  <c r="AY18" i="7"/>
  <c r="X16"/>
  <c r="AR16"/>
  <c r="AQ14"/>
  <c r="BC15"/>
  <c r="AS14"/>
  <c r="AX14" s="1"/>
  <c r="X32"/>
  <c r="AR32"/>
  <c r="BC32" s="1"/>
  <c r="BC13"/>
  <c r="AS12"/>
  <c r="AX12" s="1"/>
  <c r="AQ12"/>
  <c r="AS11"/>
  <c r="AX11" s="1"/>
  <c r="BC12"/>
  <c r="AQ11"/>
  <c r="AQ6"/>
  <c r="AS6"/>
  <c r="BC6"/>
  <c r="AS7"/>
  <c r="AX7" s="1"/>
  <c r="Y28"/>
  <c r="Q33" i="76" l="1"/>
  <c r="R33" s="1"/>
  <c r="AY35" i="7"/>
  <c r="Q10" i="76"/>
  <c r="R10" s="1"/>
  <c r="T10" s="1"/>
  <c r="F8" i="81" s="1"/>
  <c r="AY12" i="7"/>
  <c r="Q11" i="76"/>
  <c r="R11" s="1"/>
  <c r="T11" s="1"/>
  <c r="F9" i="81" s="1"/>
  <c r="AY13" i="7"/>
  <c r="Q18" i="76"/>
  <c r="R18" s="1"/>
  <c r="T18" s="1"/>
  <c r="F16" i="81" s="1"/>
  <c r="AY20" i="7"/>
  <c r="Q12" i="76"/>
  <c r="R12" s="1"/>
  <c r="T12" s="1"/>
  <c r="F10" i="81" s="1"/>
  <c r="AY14" i="7"/>
  <c r="Q7" i="76"/>
  <c r="R7" s="1"/>
  <c r="T7" s="1"/>
  <c r="F5" i="81" s="1"/>
  <c r="AY9" i="7"/>
  <c r="AQ25"/>
  <c r="AS25"/>
  <c r="AX25" s="1"/>
  <c r="BC26"/>
  <c r="AQ30"/>
  <c r="AS30"/>
  <c r="AX30" s="1"/>
  <c r="BC31"/>
  <c r="BC30"/>
  <c r="X22"/>
  <c r="AR22"/>
  <c r="AS31"/>
  <c r="AX31" s="1"/>
  <c r="Q5" i="76"/>
  <c r="R5" s="1"/>
  <c r="T5" s="1"/>
  <c r="F3" i="81" s="1"/>
  <c r="AY7" i="7"/>
  <c r="BC27"/>
  <c r="AS26"/>
  <c r="AX26" s="1"/>
  <c r="AQ26"/>
  <c r="AS27"/>
  <c r="AX27" s="1"/>
  <c r="AS34"/>
  <c r="AX34" s="1"/>
  <c r="AQ34"/>
  <c r="BC35"/>
  <c r="BC34"/>
  <c r="AS16"/>
  <c r="AX16" s="1"/>
  <c r="AQ16"/>
  <c r="BC17"/>
  <c r="BC16"/>
  <c r="AS17"/>
  <c r="AX17" s="1"/>
  <c r="Q9" i="76"/>
  <c r="R9" s="1"/>
  <c r="T9" s="1"/>
  <c r="F7" i="81" s="1"/>
  <c r="AY11" i="7"/>
  <c r="BC25"/>
  <c r="AS24"/>
  <c r="AX24" s="1"/>
  <c r="AQ24"/>
  <c r="AX6"/>
  <c r="AQ32"/>
  <c r="BC33"/>
  <c r="AS32"/>
  <c r="AX32" s="1"/>
  <c r="AS33"/>
  <c r="AX33" s="1"/>
  <c r="Q19" i="76"/>
  <c r="R19" s="1"/>
  <c r="T19" s="1"/>
  <c r="F17" i="81" s="1"/>
  <c r="AY21" i="7"/>
  <c r="X28"/>
  <c r="AR28"/>
  <c r="AY10"/>
  <c r="Q8" i="76"/>
  <c r="R8" s="1"/>
  <c r="T8" s="1"/>
  <c r="F6" i="81" s="1"/>
  <c r="AQ36" i="7"/>
  <c r="AS36"/>
  <c r="AX36" s="1"/>
  <c r="AS23"/>
  <c r="AX23" s="1"/>
  <c r="AQ23"/>
  <c r="BC24"/>
  <c r="Q14" i="76" l="1"/>
  <c r="R14" s="1"/>
  <c r="T14" s="1"/>
  <c r="F12" i="81" s="1"/>
  <c r="AY16" i="7"/>
  <c r="AY34"/>
  <c r="Q32" i="76"/>
  <c r="R32" s="1"/>
  <c r="AQ22" i="7"/>
  <c r="AS22"/>
  <c r="AX22" s="1"/>
  <c r="BC23"/>
  <c r="BC22"/>
  <c r="Q28" i="76"/>
  <c r="R28" s="1"/>
  <c r="AY30" i="7"/>
  <c r="AS28"/>
  <c r="AX28" s="1"/>
  <c r="BC29"/>
  <c r="AQ28"/>
  <c r="BC28"/>
  <c r="AS29"/>
  <c r="AX29" s="1"/>
  <c r="AY31"/>
  <c r="Q29" i="76"/>
  <c r="R29" s="1"/>
  <c r="AY25" i="7"/>
  <c r="Q23" i="76"/>
  <c r="R23" s="1"/>
  <c r="Q25"/>
  <c r="R25" s="1"/>
  <c r="AY27" i="7"/>
  <c r="AY32"/>
  <c r="Q30" i="76"/>
  <c r="R30" s="1"/>
  <c r="AY23" i="7"/>
  <c r="Q21" i="76"/>
  <c r="R21" s="1"/>
  <c r="AY24" i="7"/>
  <c r="Q22" i="76"/>
  <c r="R22" s="1"/>
  <c r="Q24"/>
  <c r="R24" s="1"/>
  <c r="AY26" i="7"/>
  <c r="Q4" i="76"/>
  <c r="AY6" i="7"/>
  <c r="AY17"/>
  <c r="Q15" i="76"/>
  <c r="R15" s="1"/>
  <c r="T15" s="1"/>
  <c r="F13" i="81" s="1"/>
  <c r="Q34" i="76"/>
  <c r="R34" s="1"/>
  <c r="AY36" i="7"/>
  <c r="AY33"/>
  <c r="Q31" i="76"/>
  <c r="R31" s="1"/>
  <c r="R4" l="1"/>
  <c r="Q35"/>
  <c r="AS40" i="7"/>
  <c r="Q26" i="76"/>
  <c r="R26" s="1"/>
  <c r="AY28" i="7"/>
  <c r="Q20" i="76"/>
  <c r="R20" s="1"/>
  <c r="T20" s="1"/>
  <c r="F18" i="81" s="1"/>
  <c r="AY22" i="7"/>
  <c r="AY29"/>
  <c r="Q27" i="76"/>
  <c r="R27" s="1"/>
  <c r="AX37" i="7"/>
  <c r="Z41" i="76" s="1"/>
  <c r="Z42" s="1"/>
  <c r="Z44" s="1"/>
  <c r="AY37" i="7"/>
  <c r="R35" i="76" l="1"/>
  <c r="T4"/>
  <c r="F2" i="81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<sst xmlns="http://schemas.openxmlformats.org/spreadsheetml/2006/main" count="652" uniqueCount="414">
  <si>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</si>
  <si>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</si>
  <si>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</si>
  <si>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</si>
  <si>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</si>
  <si>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</si>
  <si>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</si>
  <si>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</si>
  <si>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</si>
  <si>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</si>
  <si>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</si>
  <si>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</si>
  <si>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</si>
  <si>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</si>
  <si>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</si>
  <si>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</si>
  <si>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</si>
  <si>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</si>
  <si>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</si>
  <si>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</si>
  <si>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</si>
  <si>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</si>
  <si>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</si>
  <si>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</si>
  <si>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</si>
  <si>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</si>
  <si>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</si>
  <si>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</si>
  <si>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</si>
  <si>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</si>
  <si>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</si>
  <si>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</si>
  <si>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</si>
  <si>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</si>
  <si>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</si>
  <si>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</si>
  <si>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</si>
  <si>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</si>
  <si>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</si>
  <si>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</si>
  <si>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</si>
  <si>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</si>
  <si>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</si>
  <si>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</si>
  <si>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</si>
  <si>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</si>
  <si>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</si>
  <si>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</si>
  <si>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</si>
  <si>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</si>
  <si>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</si>
  <si>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</si>
  <si>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</si>
  <si>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</si>
  <si>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</si>
  <si>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</si>
  <si>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</si>
  <si>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</si>
  <si>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</si>
  <si>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</si>
  <si>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</si>
  <si>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</si>
  <si>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</si>
  <si>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</si>
  <si>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</si>
  <si>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</si>
  <si>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</si>
  <si>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</si>
  <si>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</si>
  <si>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</si>
  <si>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</si>
  <si>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</si>
  <si>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</si>
  <si>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</si>
  <si>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</si>
  <si>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</si>
  <si>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</si>
  <si>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</si>
  <si>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</si>
  <si>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</si>
  <si>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</si>
  <si>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</si>
  <si>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</si>
  <si>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</si>
  <si>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</si>
  <si>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</si>
  <si>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</si>
  <si>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</si>
  <si>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</si>
  <si>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</si>
  <si>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</si>
  <si>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</si>
  <si>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</si>
  <si>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</si>
  <si>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</si>
  <si>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</si>
  <si>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</si>
  <si>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</si>
  <si>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</si>
  <si>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</si>
  <si>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</si>
  <si>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</si>
  <si>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</si>
  <si>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</si>
  <si>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</si>
  <si>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</si>
  <si>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</si>
  <si>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</si>
  <si>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</si>
  <si>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</si>
  <si>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</si>
  <si>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</si>
  <si>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</si>
  <si>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</si>
  <si>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</si>
  <si>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</si>
  <si>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</si>
  <si>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</si>
  <si>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</si>
  <si>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</si>
  <si>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</si>
  <si>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</si>
  <si>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</si>
  <si>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</si>
  <si>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</si>
  <si>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</si>
  <si>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</si>
  <si>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</si>
  <si>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</si>
  <si>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</si>
  <si>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</si>
  <si>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</si>
  <si>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</si>
  <si>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</si>
  <si>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</si>
  <si>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</si>
  <si>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</si>
  <si>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</si>
  <si>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</si>
  <si>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</si>
  <si>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</si>
  <si>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</si>
  <si>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</si>
  <si>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</si>
  <si>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</si>
  <si>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</si>
  <si>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</si>
  <si>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</si>
  <si>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</si>
  <si>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</si>
  <si>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</si>
  <si>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</si>
  <si>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</si>
  <si>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</si>
  <si>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</si>
  <si>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</si>
  <si>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</si>
  <si>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</si>
  <si>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</si>
  <si>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</si>
  <si>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</si>
  <si>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</si>
  <si>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</si>
  <si>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</si>
  <si>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</si>
  <si>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</si>
  <si>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</si>
  <si>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</si>
  <si>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</si>
  <si>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</si>
  <si>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</si>
  <si>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</si>
  <si>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</si>
  <si>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</si>
  <si>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</si>
  <si>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</si>
  <si>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</si>
  <si>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</si>
  <si>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</si>
  <si>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</si>
  <si>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</si>
  <si>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</si>
  <si>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</si>
  <si>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</si>
  <si>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</si>
  <si>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</si>
  <si>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</si>
  <si>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</si>
  <si>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</si>
  <si>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</si>
  <si>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</si>
  <si>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</si>
  <si>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</si>
  <si>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</si>
  <si>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</si>
  <si>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</si>
  <si>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</si>
  <si>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</si>
  <si>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</si>
  <si>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</si>
  <si>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</si>
  <si>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</si>
  <si>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</si>
  <si>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</si>
  <si>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</si>
  <si>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</si>
  <si>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</si>
  <si>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</si>
  <si>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</si>
  <si>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</si>
  <si>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</si>
  <si>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</si>
  <si>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</si>
  <si>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</si>
  <si>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</si>
  <si>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</si>
  <si>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</si>
  <si>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</si>
  <si>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</si>
  <si>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</si>
  <si>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</si>
  <si>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</si>
  <si>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</si>
  <si>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</si>
  <si>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</si>
  <si>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</si>
  <si>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</si>
  <si>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</si>
  <si>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</si>
  <si>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</si>
  <si>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</si>
  <si>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</si>
  <si>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</si>
  <si>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</si>
  <si>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</si>
  <si>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</si>
  <si>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</si>
  <si>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</si>
  <si>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</si>
  <si>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</si>
  <si>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</si>
  <si>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</si>
  <si>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</si>
  <si>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</si>
  <si>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</si>
  <si>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</si>
  <si>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</si>
  <si>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</si>
  <si>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</si>
  <si>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</si>
  <si>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</si>
  <si>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</si>
  <si>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</si>
  <si>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</si>
  <si>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</si>
  <si>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</si>
  <si>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</si>
  <si>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</si>
  <si>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</si>
  <si>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</si>
  <si>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</si>
  <si>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</si>
  <si>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</si>
  <si>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</si>
  <si>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</si>
  <si>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</si>
  <si>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</si>
  <si>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</si>
  <si>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</si>
  <si>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</si>
  <si>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</si>
  <si>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</si>
  <si>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</si>
  <si>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</si>
  <si>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</si>
  <si>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</si>
  <si>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</si>
  <si>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</si>
  <si>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</si>
  <si>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</si>
  <si>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</si>
  <si>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</si>
  <si>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</si>
  <si>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</si>
  <si>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</si>
  <si>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</si>
  <si>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</si>
  <si>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</si>
  <si>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</si>
  <si>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</si>
  <si>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</si>
  <si>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</si>
  <si>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</si>
  <si>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</si>
  <si>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</si>
  <si>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</si>
  <si>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</si>
  <si>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</si>
  <si>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</si>
  <si>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</si>
  <si>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</si>
  <si>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</si>
  <si>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</si>
  <si>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</si>
  <si>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</si>
  <si>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</si>
  <si>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</si>
  <si>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</si>
  <si>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</si>
  <si>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</si>
  <si>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</si>
  <si>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</si>
  <si>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</si>
  <si>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</si>
  <si>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</si>
  <si>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</si>
  <si>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</si>
  <si>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</si>
  <si>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</si>
  <si>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</si>
  <si>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</si>
  <si>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</si>
  <si>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</si>
  <si>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</si>
  <si>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</si>
  <si>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</si>
  <si>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</si>
  <si>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</si>
  <si>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</si>
  <si>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</si>
  <si>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</si>
  <si>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</si>
  <si>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</si>
  <si>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</si>
  <si>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</si>
  <si>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</si>
  <si>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</si>
  <si>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</si>
  <si>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</si>
  <si>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</si>
  <si>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</si>
  <si>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</si>
  <si>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</si>
  <si>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</si>
  <si>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</si>
  <si>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</si>
  <si>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</si>
  <si>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</si>
  <si>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</si>
  <si>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</si>
  <si>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</si>
  <si>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</si>
  <si>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</si>
  <si>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</si>
  <si>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</si>
  <si>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</si>
  <si>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</si>
  <si>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</si>
  <si>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</si>
  <si>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</si>
  <si>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</si>
  <si>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</si>
  <si>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</si>
  <si>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</si>
  <si>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</si>
  <si>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</si>
  <si>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</si>
  <si>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</si>
  <si>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</si>
  <si>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</si>
  <si>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</si>
  <si>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</si>
  <si>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</si>
  <si>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</si>
  <si>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</si>
  <si>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</si>
  <si>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</si>
  <si>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</si>
  <si>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</si>
  <si>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</si>
  <si>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</si>
  <si>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</si>
  <si>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</si>
  <si>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</si>
  <si>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</si>
  <si>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</si>
  <si>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</si>
  <si>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</si>
  <si>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</si>
  <si>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</si>
  <si>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</si>
  <si>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</si>
  <si>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</si>
  <si>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</si>
  <si>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</si>
  <si>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</si>
  <si>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</si>
  <si>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</si>
  <si>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</si>
  <si>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</si>
  <si>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</si>
  <si>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</si>
  <si>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</si>
  <si>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</si>
  <si>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</si>
  <si>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</si>
  <si>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</si>
  <si>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</si>
  <si>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</si>
  <si>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</si>
  <si>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</si>
  <si>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</si>
  <si>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31-12-2019</t>
  </si>
  <si>
    <t>( Heating Degree Days / Cooling Degree Days ) 2020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</si>
</sst>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0" fillId="0" borderId="67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70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1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43" fontId="0" fillId="0" borderId="0" xfId="0" applyNumberFormat="1" applyBorder="1"/>
    <xf numFmtId="0" fontId="21" fillId="3" borderId="72" xfId="0" applyNumberFormat="1" applyFont="1" applyFill="1" applyBorder="1" applyAlignment="1">
      <alignment vertical="top" wrapText="1"/>
    </xf>
    <xf numFmtId="4" fontId="21" fillId="3" borderId="72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18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8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49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18" fillId="0" borderId="0" xfId="4" applyFont="1"/>
    <xf numFmtId="9" fontId="0" fillId="0" borderId="1" xfId="0" applyNumberFormat="1" applyBorder="1" applyAlignment="1">
      <alignment horizontal="center" vertical="center"/>
    </xf>
    <xf numFmtId="9" fontId="18" fillId="0" borderId="1" xfId="4" applyFont="1" applyBorder="1" applyAlignment="1">
      <alignment horizontal="center" vertical="center"/>
    </xf>
    <xf numFmtId="172" fontId="0" fillId="0" borderId="50" xfId="0" applyNumberForma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0" fillId="0" borderId="1" xfId="0" applyBorder="1" applyAlignment="1"/>
    <xf numFmtId="9" fontId="18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18" fillId="25" borderId="1" xfId="4" applyFont="1" applyFill="1" applyBorder="1"/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0" fontId="0" fillId="5" borderId="52" xfId="0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4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56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7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56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3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6"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5457152"/>
        <c:axId val="145458688"/>
      </c:lineChart>
      <c:catAx>
        <c:axId val="14545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58688"/>
        <c:crosses val="autoZero"/>
        <c:auto val="1"/>
        <c:lblAlgn val="ctr"/>
        <c:lblOffset val="100"/>
      </c:catAx>
      <c:valAx>
        <c:axId val="145458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5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6847591903772758"/>
          <c:y val="0.62975887529629726"/>
          <c:w val="0.98747392772222486"/>
          <c:h val="0.674741574258235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6998400"/>
        <c:axId val="146999936"/>
      </c:lineChart>
      <c:catAx>
        <c:axId val="14699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99936"/>
        <c:crosses val="autoZero"/>
        <c:auto val="1"/>
        <c:lblAlgn val="ctr"/>
        <c:lblOffset val="100"/>
      </c:catAx>
      <c:valAx>
        <c:axId val="146999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9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7407531836298236"/>
          <c:y val="0.61111329833770778"/>
          <c:w val="0.97037177019539222"/>
          <c:h val="0.6562521872265966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049088"/>
        <c:axId val="147054976"/>
      </c:lineChart>
      <c:catAx>
        <c:axId val="14704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54976"/>
        <c:crosses val="autoZero"/>
        <c:auto val="1"/>
        <c:lblAlgn val="ctr"/>
        <c:lblOffset val="100"/>
      </c:catAx>
      <c:valAx>
        <c:axId val="1470549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4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0404181800507255"/>
          <c:y val="0.62975887529629726"/>
          <c:w val="0.98316657387523521"/>
          <c:h val="0.674741574258235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128320"/>
        <c:axId val="147129856"/>
      </c:lineChart>
      <c:catAx>
        <c:axId val="14712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29856"/>
        <c:crosses val="autoZero"/>
        <c:auto val="1"/>
        <c:lblAlgn val="ctr"/>
        <c:lblOffset val="100"/>
      </c:catAx>
      <c:valAx>
        <c:axId val="1471298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2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0593403755066071"/>
          <c:y val="0.60764107611548557"/>
          <c:w val="0.99131753972142767"/>
          <c:h val="0.65277996500437441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157760"/>
        <c:axId val="147159296"/>
      </c:lineChart>
      <c:catAx>
        <c:axId val="14715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59296"/>
        <c:crosses val="autoZero"/>
        <c:auto val="1"/>
        <c:lblAlgn val="ctr"/>
        <c:lblOffset val="100"/>
      </c:catAx>
      <c:valAx>
        <c:axId val="1471592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5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5157699443413726"/>
          <c:y val="0.62975900739680268"/>
          <c:w val="0.98330241187384038"/>
          <c:h val="0.67474184608042875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261056"/>
        <c:axId val="143475840"/>
      </c:lineChart>
      <c:catAx>
        <c:axId val="14326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75840"/>
        <c:crosses val="autoZero"/>
        <c:auto val="1"/>
        <c:lblAlgn val="ctr"/>
        <c:lblOffset val="100"/>
      </c:catAx>
      <c:valAx>
        <c:axId val="143475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6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7578748411165575"/>
          <c:y val="0.60416885389326336"/>
          <c:w val="0.98113356113504668"/>
          <c:h val="0.649307742782152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829504"/>
        <c:axId val="147831040"/>
      </c:lineChart>
      <c:catAx>
        <c:axId val="14782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31040"/>
        <c:crosses val="autoZero"/>
        <c:auto val="1"/>
        <c:lblAlgn val="ctr"/>
        <c:lblOffset val="100"/>
      </c:catAx>
      <c:valAx>
        <c:axId val="147831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2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4188682166941518"/>
          <c:y val="0.60416885389326336"/>
          <c:w val="0.99622644514568415"/>
          <c:h val="0.649307742782152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847040"/>
        <c:axId val="147848576"/>
      </c:lineChart>
      <c:catAx>
        <c:axId val="14784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48576"/>
        <c:crosses val="autoZero"/>
        <c:auto val="1"/>
        <c:lblAlgn val="ctr"/>
        <c:lblOffset val="100"/>
      </c:catAx>
      <c:valAx>
        <c:axId val="147848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4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7451145077453551"/>
          <c:y val="0.60416885389326336"/>
          <c:w val="0.98235479388605829"/>
          <c:h val="0.649307742782152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608832"/>
        <c:axId val="143614720"/>
      </c:lineChart>
      <c:catAx>
        <c:axId val="14360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14720"/>
        <c:crosses val="autoZero"/>
        <c:auto val="1"/>
        <c:lblAlgn val="ctr"/>
        <c:lblOffset val="100"/>
      </c:catAx>
      <c:valAx>
        <c:axId val="143614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0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5304810017027433"/>
          <c:y val="0.60069663167104115"/>
          <c:w val="0.98028843168797442"/>
          <c:h val="0.64583552055992999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643392"/>
        <c:axId val="143644928"/>
      </c:lineChart>
      <c:catAx>
        <c:axId val="14364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44928"/>
        <c:crosses val="autoZero"/>
        <c:auto val="1"/>
        <c:lblAlgn val="ctr"/>
        <c:lblOffset val="100"/>
      </c:catAx>
      <c:valAx>
        <c:axId val="14364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4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1481660946227874"/>
          <c:y val="0.46026490066225167"/>
          <c:w val="0.98693047984386562"/>
          <c:h val="0.54304635761589404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1284.7999999999884</c:v>
                </c:pt>
                <c:pt idx="1">
                  <c:v>1458</c:v>
                </c:pt>
                <c:pt idx="2">
                  <c:v>1092.2999999999884</c:v>
                </c:pt>
                <c:pt idx="3">
                  <c:v>1325.9000000000233</c:v>
                </c:pt>
                <c:pt idx="4">
                  <c:v>944</c:v>
                </c:pt>
                <c:pt idx="5">
                  <c:v>1107.7000000000116</c:v>
                </c:pt>
                <c:pt idx="6">
                  <c:v>607</c:v>
                </c:pt>
                <c:pt idx="7">
                  <c:v>1019.2999999999884</c:v>
                </c:pt>
                <c:pt idx="8">
                  <c:v>816</c:v>
                </c:pt>
                <c:pt idx="9">
                  <c:v>853</c:v>
                </c:pt>
                <c:pt idx="10">
                  <c:v>1461.7999999999884</c:v>
                </c:pt>
                <c:pt idx="11">
                  <c:v>728</c:v>
                </c:pt>
                <c:pt idx="12">
                  <c:v>543</c:v>
                </c:pt>
                <c:pt idx="13">
                  <c:v>749</c:v>
                </c:pt>
                <c:pt idx="14">
                  <c:v>886.59999999997672</c:v>
                </c:pt>
                <c:pt idx="15">
                  <c:v>762.60000000003492</c:v>
                </c:pt>
                <c:pt idx="16">
                  <c:v>484</c:v>
                </c:pt>
                <c:pt idx="17">
                  <c:v>1027.0999999999767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240832"/>
        <c:axId val="147242368"/>
      </c:lineChart>
      <c:catAx>
        <c:axId val="14724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42368"/>
        <c:crosses val="autoZero"/>
        <c:auto val="1"/>
        <c:lblAlgn val="ctr"/>
        <c:lblOffset val="100"/>
      </c:catAx>
      <c:valAx>
        <c:axId val="147242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4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2291841644794395"/>
          <c:y val="0.60069663167104115"/>
          <c:w val="0.95833530183727023"/>
          <c:h val="0.64583552055992999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520</c:v>
                </c:pt>
                <c:pt idx="2">
                  <c:v>180</c:v>
                </c:pt>
                <c:pt idx="3">
                  <c:v>240</c:v>
                </c:pt>
                <c:pt idx="4">
                  <c:v>270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360</c:v>
                </c:pt>
                <c:pt idx="9">
                  <c:v>120</c:v>
                </c:pt>
                <c:pt idx="10">
                  <c:v>90</c:v>
                </c:pt>
                <c:pt idx="11">
                  <c:v>240</c:v>
                </c:pt>
                <c:pt idx="12">
                  <c:v>240</c:v>
                </c:pt>
                <c:pt idx="13">
                  <c:v>210</c:v>
                </c:pt>
                <c:pt idx="14">
                  <c:v>180</c:v>
                </c:pt>
                <c:pt idx="15">
                  <c:v>290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266560"/>
        <c:axId val="147276544"/>
      </c:lineChart>
      <c:catAx>
        <c:axId val="14726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76544"/>
        <c:crosses val="autoZero"/>
        <c:auto val="1"/>
        <c:lblAlgn val="ctr"/>
        <c:lblOffset val="100"/>
      </c:catAx>
      <c:valAx>
        <c:axId val="147276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6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6875174978127723"/>
          <c:y val="0.60069663167104115"/>
          <c:w val="0.98333530183727025"/>
          <c:h val="0.64583552055992999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308544"/>
        <c:axId val="147310080"/>
      </c:lineChart>
      <c:catAx>
        <c:axId val="14730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10080"/>
        <c:crosses val="autoZero"/>
        <c:auto val="1"/>
        <c:lblAlgn val="ctr"/>
        <c:lblOffset val="100"/>
      </c:catAx>
      <c:valAx>
        <c:axId val="147310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0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6458508311461058"/>
          <c:y val="0.62975887529629726"/>
          <c:w val="0.9875019685039369"/>
          <c:h val="0.674741574258235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342464"/>
        <c:axId val="147344000"/>
      </c:lineChart>
      <c:catAx>
        <c:axId val="14734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44000"/>
        <c:crosses val="autoZero"/>
        <c:auto val="1"/>
        <c:lblAlgn val="ctr"/>
        <c:lblOffset val="100"/>
      </c:catAx>
      <c:valAx>
        <c:axId val="147344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4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4583508311461064"/>
          <c:y val="0.60069663167104115"/>
          <c:w val="0.98125196850393692"/>
          <c:h val="0.64583552055992999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368576"/>
        <c:axId val="147382656"/>
      </c:lineChart>
      <c:catAx>
        <c:axId val="14736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82656"/>
        <c:crosses val="autoZero"/>
        <c:auto val="1"/>
        <c:lblAlgn val="ctr"/>
        <c:lblOffset val="100"/>
      </c:catAx>
      <c:valAx>
        <c:axId val="147382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6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666684164479439"/>
          <c:y val="0.54325368498487869"/>
          <c:w val="0.98125196850393692"/>
          <c:h val="0.58823638394681643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-2346.7096774193487</c:v>
                </c:pt>
                <c:pt idx="1">
                  <c:v>-2313.6451612903329</c:v>
                </c:pt>
                <c:pt idx="2">
                  <c:v>-2776.7419354838494</c:v>
                </c:pt>
                <c:pt idx="3">
                  <c:v>-2933.3870967742114</c:v>
                </c:pt>
                <c:pt idx="4">
                  <c:v>-1690.0322580645225</c:v>
                </c:pt>
                <c:pt idx="5">
                  <c:v>-3153.4193548386829</c:v>
                </c:pt>
                <c:pt idx="6">
                  <c:v>-2090.1935483871057</c:v>
                </c:pt>
                <c:pt idx="7">
                  <c:v>-3836.7741935483937</c:v>
                </c:pt>
                <c:pt idx="8">
                  <c:v>-4135.0645161290231</c:v>
                </c:pt>
                <c:pt idx="9">
                  <c:v>-1763.4516129032272</c:v>
                </c:pt>
                <c:pt idx="10">
                  <c:v>-1840.0645161290449</c:v>
                </c:pt>
                <c:pt idx="11">
                  <c:v>-1296.709677419356</c:v>
                </c:pt>
                <c:pt idx="12">
                  <c:v>-1700.0645161290158</c:v>
                </c:pt>
                <c:pt idx="13">
                  <c:v>1179.9354838709478</c:v>
                </c:pt>
                <c:pt idx="14">
                  <c:v>-2146.7419354838567</c:v>
                </c:pt>
                <c:pt idx="15">
                  <c:v>-1707.0967741935528</c:v>
                </c:pt>
                <c:pt idx="16">
                  <c:v>-1226.7096774193633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475840"/>
        <c:axId val="147481728"/>
      </c:lineChart>
      <c:catAx>
        <c:axId val="14747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81728"/>
        <c:crosses val="autoZero"/>
        <c:auto val="1"/>
        <c:lblAlgn val="ctr"/>
        <c:lblOffset val="100"/>
      </c:catAx>
      <c:valAx>
        <c:axId val="147481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7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270850831146106"/>
          <c:y val="0.56250182268883053"/>
          <c:w val="0.9791686351706036"/>
          <c:h val="0.60764071157771937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497728"/>
        <c:axId val="147499264"/>
      </c:lineChart>
      <c:catAx>
        <c:axId val="14749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99264"/>
        <c:crosses val="autoZero"/>
        <c:auto val="1"/>
        <c:lblAlgn val="ctr"/>
        <c:lblOffset val="100"/>
      </c:catAx>
      <c:valAx>
        <c:axId val="147499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9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1250174978127732"/>
          <c:y val="0.62975887529629726"/>
          <c:w val="0.9479186351706036"/>
          <c:h val="0.674741574258235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539840"/>
        <c:axId val="147541376"/>
      </c:lineChart>
      <c:catAx>
        <c:axId val="14753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41376"/>
        <c:crosses val="autoZero"/>
        <c:auto val="1"/>
        <c:lblAlgn val="ctr"/>
        <c:lblOffset val="100"/>
      </c:catAx>
      <c:valAx>
        <c:axId val="1475413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3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9027089005178695"/>
          <c:y val="0.62975887529629726"/>
          <c:w val="0.98757959602875722"/>
          <c:h val="0.674741574258235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3645"/>
          <c:y val="4.6204760737087798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557376"/>
        <c:axId val="147579648"/>
      </c:lineChart>
      <c:catAx>
        <c:axId val="14755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79648"/>
        <c:crosses val="autoZero"/>
        <c:auto val="1"/>
        <c:lblAlgn val="ctr"/>
        <c:lblOffset val="100"/>
      </c:catAx>
      <c:valAx>
        <c:axId val="1475796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5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6157111559402177"/>
          <c:y val="0.61591804484647028"/>
          <c:w val="0.98347215895533713"/>
          <c:h val="0.6609007438084080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657088"/>
        <c:axId val="147658624"/>
      </c:lineChart>
      <c:catAx>
        <c:axId val="14765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58624"/>
        <c:crosses val="autoZero"/>
        <c:auto val="1"/>
        <c:lblAlgn val="ctr"/>
        <c:lblOffset val="100"/>
      </c:catAx>
      <c:valAx>
        <c:axId val="14765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5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550742026811865"/>
          <c:y val="0.62975887529629726"/>
          <c:w val="0.98757959602875722"/>
          <c:h val="0.674741574258235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682816"/>
        <c:axId val="147684352"/>
      </c:lineChart>
      <c:catAx>
        <c:axId val="14768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84352"/>
        <c:crosses val="autoZero"/>
        <c:auto val="1"/>
        <c:lblAlgn val="ctr"/>
        <c:lblOffset val="100"/>
      </c:catAx>
      <c:valAx>
        <c:axId val="14768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8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7810004121385654"/>
          <c:y val="0.60069663167104115"/>
          <c:w val="0.99173662176525457"/>
          <c:h val="0.64583552055992999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729024"/>
        <c:axId val="147734912"/>
      </c:lineChart>
      <c:catAx>
        <c:axId val="14772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34912"/>
        <c:crosses val="autoZero"/>
        <c:auto val="1"/>
        <c:lblAlgn val="ctr"/>
        <c:lblOffset val="100"/>
      </c:catAx>
      <c:valAx>
        <c:axId val="147734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640176149529426"/>
          <c:y val="0.60764107611548557"/>
          <c:w val="0.98744879693385612"/>
          <c:h val="0.65277996500437441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7776256"/>
        <c:axId val="147777792"/>
      </c:lineChart>
      <c:catAx>
        <c:axId val="1477762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77792"/>
        <c:crosses val="autoZero"/>
        <c:auto val="1"/>
        <c:lblAlgn val="ctr"/>
        <c:lblOffset val="100"/>
      </c:catAx>
      <c:valAx>
        <c:axId val="1477777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7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2845276139645718"/>
          <c:y val="0.45486256926217555"/>
          <c:w val="0.98535674672465101"/>
          <c:h val="0.54514071157771948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797504"/>
        <c:axId val="147799040"/>
      </c:lineChart>
      <c:catAx>
        <c:axId val="14779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99040"/>
        <c:crosses val="autoZero"/>
        <c:auto val="1"/>
        <c:lblAlgn val="ctr"/>
        <c:lblOffset val="100"/>
      </c:catAx>
      <c:valAx>
        <c:axId val="1477990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9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3263686181486729"/>
          <c:y val="0.62975887529629726"/>
          <c:w val="0.98117264630624101"/>
          <c:h val="0.674741574258235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210240"/>
        <c:axId val="147211776"/>
      </c:lineChart>
      <c:catAx>
        <c:axId val="14721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11776"/>
        <c:crosses val="autoZero"/>
        <c:auto val="1"/>
        <c:lblAlgn val="ctr"/>
        <c:lblOffset val="100"/>
      </c:catAx>
      <c:valAx>
        <c:axId val="14721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1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6804123711340209"/>
          <c:y val="0.62975887529629726"/>
          <c:w val="0.98969072164948457"/>
          <c:h val="0.674741574258235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645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183872"/>
        <c:axId val="147193856"/>
      </c:lineChart>
      <c:catAx>
        <c:axId val="14718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93856"/>
        <c:crosses val="autoZero"/>
        <c:auto val="1"/>
        <c:lblAlgn val="ctr"/>
        <c:lblOffset val="100"/>
      </c:catAx>
      <c:valAx>
        <c:axId val="1471938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8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661096651621476"/>
          <c:y val="0.53819626713327495"/>
          <c:w val="0.98117264630624101"/>
          <c:h val="0.58333515602216379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5434496"/>
        <c:axId val="145436032"/>
      </c:lineChart>
      <c:catAx>
        <c:axId val="14543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36032"/>
        <c:crosses val="autoZero"/>
        <c:auto val="1"/>
        <c:lblAlgn val="ctr"/>
        <c:lblOffset val="100"/>
      </c:catAx>
      <c:valAx>
        <c:axId val="145436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3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4090592474866197"/>
          <c:y val="0.61774744027303752"/>
          <c:w val="0.99232572520913775"/>
          <c:h val="0.66211604095563137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5040128"/>
        <c:axId val="145041664"/>
      </c:lineChart>
      <c:catAx>
        <c:axId val="1450401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41664"/>
        <c:crosses val="autoZero"/>
        <c:auto val="1"/>
        <c:lblAlgn val="ctr"/>
        <c:lblOffset val="100"/>
      </c:catAx>
      <c:valAx>
        <c:axId val="1450416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4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2780082987551862"/>
          <c:y val="0.45486256926217555"/>
          <c:w val="0.98340248962655596"/>
          <c:h val="0.54514071157771948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2048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204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2048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20484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20485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3174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31746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31747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1748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31749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31750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31751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31752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31753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31754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31755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31756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31757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31758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174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5017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5128" name="Line 12"/>
        <xdr:cNvSpPr>
          <a:spLocks noChangeShapeType="1"/>
        </xdr:cNvSpPr>
      </xdr:nvSpPr>
      <xdr:spPr bwMode="auto">
        <a:xfrm flipH="1">
          <a:off x="49530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5129" name="Line 12"/>
        <xdr:cNvSpPr>
          <a:spLocks noChangeShapeType="1"/>
        </xdr:cNvSpPr>
      </xdr:nvSpPr>
      <xdr:spPr bwMode="auto">
        <a:xfrm flipH="1">
          <a:off x="80010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5130" name="Line 12"/>
        <xdr:cNvSpPr>
          <a:spLocks noChangeShapeType="1"/>
        </xdr:cNvSpPr>
      </xdr:nvSpPr>
      <xdr:spPr bwMode="auto">
        <a:xfrm flipH="1">
          <a:off x="104394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5131" name="Line 12"/>
        <xdr:cNvSpPr>
          <a:spLocks noChangeShapeType="1"/>
        </xdr:cNvSpPr>
      </xdr:nvSpPr>
      <xdr:spPr bwMode="auto">
        <a:xfrm flipH="1">
          <a:off x="128778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5132" name="Line 12"/>
        <xdr:cNvSpPr>
          <a:spLocks noChangeShapeType="1"/>
        </xdr:cNvSpPr>
      </xdr:nvSpPr>
      <xdr:spPr bwMode="auto">
        <a:xfrm flipH="1">
          <a:off x="685800" y="15020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5133" name="Line 12"/>
        <xdr:cNvSpPr>
          <a:spLocks noChangeShapeType="1"/>
        </xdr:cNvSpPr>
      </xdr:nvSpPr>
      <xdr:spPr bwMode="auto">
        <a:xfrm flipH="1">
          <a:off x="3124200" y="15020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5134" name="Line 12"/>
        <xdr:cNvSpPr>
          <a:spLocks noChangeShapeType="1"/>
        </xdr:cNvSpPr>
      </xdr:nvSpPr>
      <xdr:spPr bwMode="auto">
        <a:xfrm flipH="1">
          <a:off x="5562600" y="15020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5135" name="Line 12"/>
        <xdr:cNvSpPr>
          <a:spLocks noChangeShapeType="1"/>
        </xdr:cNvSpPr>
      </xdr:nvSpPr>
      <xdr:spPr bwMode="auto">
        <a:xfrm flipH="1">
          <a:off x="8001000" y="15020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5136" name="Line 12"/>
        <xdr:cNvSpPr>
          <a:spLocks noChangeShapeType="1"/>
        </xdr:cNvSpPr>
      </xdr:nvSpPr>
      <xdr:spPr bwMode="auto">
        <a:xfrm flipH="1">
          <a:off x="10439400" y="15020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5137" name="Line 12"/>
        <xdr:cNvSpPr>
          <a:spLocks noChangeShapeType="1"/>
        </xdr:cNvSpPr>
      </xdr:nvSpPr>
      <xdr:spPr bwMode="auto">
        <a:xfrm flipH="1">
          <a:off x="12877800" y="15020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5138" name="Line 12"/>
        <xdr:cNvSpPr>
          <a:spLocks noChangeShapeType="1"/>
        </xdr:cNvSpPr>
      </xdr:nvSpPr>
      <xdr:spPr bwMode="auto">
        <a:xfrm flipH="1">
          <a:off x="97536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5139" name="Line 12"/>
        <xdr:cNvSpPr>
          <a:spLocks noChangeShapeType="1"/>
        </xdr:cNvSpPr>
      </xdr:nvSpPr>
      <xdr:spPr bwMode="auto">
        <a:xfrm flipH="1">
          <a:off x="115824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5140" name="Line 12"/>
        <xdr:cNvSpPr>
          <a:spLocks noChangeShapeType="1"/>
        </xdr:cNvSpPr>
      </xdr:nvSpPr>
      <xdr:spPr bwMode="auto">
        <a:xfrm flipH="1">
          <a:off x="127349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5141" name="Line 12"/>
        <xdr:cNvSpPr>
          <a:spLocks noChangeShapeType="1"/>
        </xdr:cNvSpPr>
      </xdr:nvSpPr>
      <xdr:spPr bwMode="auto">
        <a:xfrm flipH="1">
          <a:off x="121920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5142" name="Line 12"/>
        <xdr:cNvSpPr>
          <a:spLocks noChangeShapeType="1"/>
        </xdr:cNvSpPr>
      </xdr:nvSpPr>
      <xdr:spPr bwMode="auto">
        <a:xfrm flipH="1">
          <a:off x="139541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5143" name="Line 12"/>
        <xdr:cNvSpPr>
          <a:spLocks noChangeShapeType="1"/>
        </xdr:cNvSpPr>
      </xdr:nvSpPr>
      <xdr:spPr bwMode="auto">
        <a:xfrm flipH="1">
          <a:off x="145637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5144" name="Line 12"/>
        <xdr:cNvSpPr>
          <a:spLocks noChangeShapeType="1"/>
        </xdr:cNvSpPr>
      </xdr:nvSpPr>
      <xdr:spPr bwMode="auto">
        <a:xfrm flipH="1">
          <a:off x="140208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8\DE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  <cell r="E33">
            <v>3678</v>
          </cell>
          <cell r="F33">
            <v>3431349</v>
          </cell>
          <cell r="G33">
            <v>2479</v>
          </cell>
          <cell r="H33">
            <v>17219918</v>
          </cell>
          <cell r="I33">
            <v>2804</v>
          </cell>
          <cell r="J33">
            <v>28230090</v>
          </cell>
          <cell r="K33">
            <v>3048</v>
          </cell>
          <cell r="L33">
            <v>22522846</v>
          </cell>
          <cell r="M33">
            <v>4076</v>
          </cell>
          <cell r="N33">
            <v>16085</v>
          </cell>
          <cell r="O33">
            <v>139.86956521739131</v>
          </cell>
          <cell r="P33">
            <v>15218.2</v>
          </cell>
          <cell r="Q33">
            <v>3495.0000000008004</v>
          </cell>
          <cell r="R33">
            <v>12589.9999999992</v>
          </cell>
          <cell r="S33">
            <v>8334</v>
          </cell>
          <cell r="T33">
            <v>0</v>
          </cell>
          <cell r="U33">
            <v>1014633</v>
          </cell>
          <cell r="V33">
            <v>0</v>
          </cell>
          <cell r="W33">
            <v>31800</v>
          </cell>
          <cell r="X33">
            <v>10</v>
          </cell>
          <cell r="Y33">
            <v>616769</v>
          </cell>
          <cell r="Z33">
            <v>1726</v>
          </cell>
          <cell r="AA33">
            <v>34851</v>
          </cell>
          <cell r="AB33">
            <v>0</v>
          </cell>
          <cell r="AC33">
            <v>735699</v>
          </cell>
          <cell r="AD33">
            <v>0</v>
          </cell>
          <cell r="AE33">
            <v>10</v>
          </cell>
          <cell r="AF33">
            <v>1726</v>
          </cell>
          <cell r="AG33">
            <v>172.6</v>
          </cell>
          <cell r="AI33">
            <v>-49239434</v>
          </cell>
        </row>
      </sheetData>
      <sheetData sheetId="3">
        <row r="35">
          <cell r="B35">
            <v>238</v>
          </cell>
          <cell r="C35">
            <v>98</v>
          </cell>
          <cell r="D35">
            <v>25</v>
          </cell>
          <cell r="E35">
            <v>209.50000000000003</v>
          </cell>
          <cell r="F35">
            <v>1303</v>
          </cell>
          <cell r="G35">
            <v>0</v>
          </cell>
          <cell r="H35">
            <v>330270</v>
          </cell>
          <cell r="I35">
            <v>0</v>
          </cell>
          <cell r="J35">
            <v>0</v>
          </cell>
          <cell r="K35">
            <v>1679</v>
          </cell>
          <cell r="L35">
            <v>13</v>
          </cell>
          <cell r="M35">
            <v>122271</v>
          </cell>
          <cell r="N35">
            <v>950</v>
          </cell>
          <cell r="O35">
            <v>996.67721861471864</v>
          </cell>
          <cell r="P35">
            <v>1452</v>
          </cell>
          <cell r="Q35">
            <v>126239</v>
          </cell>
          <cell r="R35">
            <v>0</v>
          </cell>
          <cell r="S35">
            <v>0</v>
          </cell>
          <cell r="T35">
            <v>0</v>
          </cell>
          <cell r="U35">
            <v>13</v>
          </cell>
          <cell r="V35">
            <v>950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1703</v>
          </cell>
          <cell r="AD35">
            <v>1</v>
          </cell>
          <cell r="AE35">
            <v>352700</v>
          </cell>
          <cell r="AF35">
            <v>334.79999999998836</v>
          </cell>
          <cell r="AG35">
            <v>334.79999999998836</v>
          </cell>
          <cell r="AH35">
            <v>334.79999999998836</v>
          </cell>
          <cell r="AI35">
            <v>1284.7999999999884</v>
          </cell>
          <cell r="AJ35">
            <v>1284.7999999999884</v>
          </cell>
          <cell r="AK35">
            <v>0</v>
          </cell>
          <cell r="AL35">
            <v>13</v>
          </cell>
          <cell r="AM35">
            <v>1</v>
          </cell>
          <cell r="AN35">
            <v>65</v>
          </cell>
          <cell r="AO35">
            <v>1950</v>
          </cell>
          <cell r="AP35">
            <v>67</v>
          </cell>
          <cell r="AQ35">
            <v>2010.0000000000002</v>
          </cell>
          <cell r="AR35">
            <v>68</v>
          </cell>
          <cell r="AS35">
            <v>2040.0000000000002</v>
          </cell>
          <cell r="AT35">
            <v>6000</v>
          </cell>
          <cell r="AU35">
            <v>270</v>
          </cell>
          <cell r="AX35">
            <v>0.7</v>
          </cell>
        </row>
      </sheetData>
      <sheetData sheetId="4">
        <row r="33">
          <cell r="B33">
            <v>8486</v>
          </cell>
          <cell r="C33">
            <v>1</v>
          </cell>
          <cell r="D33">
            <v>118621.7</v>
          </cell>
          <cell r="E33">
            <v>83.69999999999709</v>
          </cell>
          <cell r="F33">
            <v>83.69999999999709</v>
          </cell>
          <cell r="H33">
            <v>8497</v>
          </cell>
          <cell r="I33" t="str">
            <v>ok</v>
          </cell>
          <cell r="J33">
            <v>10588</v>
          </cell>
          <cell r="K33">
            <v>5</v>
          </cell>
          <cell r="L33">
            <v>218633</v>
          </cell>
          <cell r="M33">
            <v>507.10000000000582</v>
          </cell>
          <cell r="N33">
            <v>101.42000000000117</v>
          </cell>
          <cell r="P33">
            <v>10873</v>
          </cell>
          <cell r="Q33" t="str">
            <v>ok</v>
          </cell>
          <cell r="R33">
            <v>10884</v>
          </cell>
          <cell r="S33">
            <v>1</v>
          </cell>
          <cell r="T33">
            <v>175184.2</v>
          </cell>
          <cell r="U33">
            <v>232.60000000000582</v>
          </cell>
          <cell r="V33">
            <v>232.60000000000582</v>
          </cell>
          <cell r="X33">
            <v>10989</v>
          </cell>
          <cell r="Y33" t="str">
            <v>ok</v>
          </cell>
          <cell r="Z33">
            <v>7</v>
          </cell>
          <cell r="AA33">
            <v>823.40000000000873</v>
          </cell>
          <cell r="AB33">
            <v>417.72000000000406</v>
          </cell>
          <cell r="AC33">
            <v>117.62857142857267</v>
          </cell>
          <cell r="AD33">
            <v>3495.0000000008004</v>
          </cell>
          <cell r="AE33">
            <v>499.28571428582865</v>
          </cell>
          <cell r="AF33">
            <v>0.31205357142864293</v>
          </cell>
          <cell r="AG33">
            <v>99.857142857165741</v>
          </cell>
          <cell r="AH33">
            <v>17.771428571406929</v>
          </cell>
          <cell r="AI33">
            <v>899.55696202552258</v>
          </cell>
          <cell r="AJ33">
            <v>0.25738396624472576</v>
          </cell>
          <cell r="AK33">
            <v>128.50813743221752</v>
          </cell>
        </row>
      </sheetData>
      <sheetData sheetId="5">
        <row r="36">
          <cell r="B36">
            <v>108202</v>
          </cell>
          <cell r="C36">
            <v>132</v>
          </cell>
          <cell r="D36">
            <v>4.8888888888888893</v>
          </cell>
          <cell r="E36">
            <v>461.05548387096769</v>
          </cell>
          <cell r="G36">
            <v>584867</v>
          </cell>
          <cell r="H36">
            <v>213</v>
          </cell>
          <cell r="I36">
            <v>345</v>
          </cell>
          <cell r="J36">
            <v>1.3363927068723702</v>
          </cell>
          <cell r="K36">
            <v>5773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4363</v>
          </cell>
          <cell r="U36">
            <v>9</v>
          </cell>
          <cell r="V36">
            <v>332</v>
          </cell>
          <cell r="W36">
            <v>6</v>
          </cell>
          <cell r="X36">
            <v>138671</v>
          </cell>
          <cell r="Y36">
            <v>114</v>
          </cell>
          <cell r="Z36">
            <v>90621</v>
          </cell>
          <cell r="AA36">
            <v>94</v>
          </cell>
          <cell r="AB36">
            <v>249</v>
          </cell>
          <cell r="AC36">
            <v>670</v>
          </cell>
          <cell r="AD36">
            <v>0</v>
          </cell>
          <cell r="AE36">
            <v>60.22</v>
          </cell>
          <cell r="AF36">
            <v>2.009999999999998</v>
          </cell>
          <cell r="AG36">
            <v>961.36</v>
          </cell>
          <cell r="AH36">
            <v>19.759999999999991</v>
          </cell>
          <cell r="AI36">
            <v>21.769999999999989</v>
          </cell>
          <cell r="AJ36">
            <v>94</v>
          </cell>
          <cell r="AK36">
            <v>114</v>
          </cell>
          <cell r="AL36">
            <v>88</v>
          </cell>
          <cell r="AM36">
            <v>13.5</v>
          </cell>
          <cell r="AN36">
            <v>0</v>
          </cell>
          <cell r="AP36">
            <v>439</v>
          </cell>
          <cell r="AR36">
            <v>43830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71</v>
          </cell>
          <cell r="AW36">
            <v>2.9</v>
          </cell>
          <cell r="AX36">
            <v>76</v>
          </cell>
          <cell r="AY36">
            <v>91.8</v>
          </cell>
          <cell r="AZ36">
            <v>78.100000000000009</v>
          </cell>
          <cell r="BA36">
            <v>220.4</v>
          </cell>
          <cell r="BB36">
            <v>37.799999999999997</v>
          </cell>
          <cell r="BC36">
            <v>5.5</v>
          </cell>
          <cell r="BD36">
            <v>84.100000000000023</v>
          </cell>
          <cell r="BE36">
            <v>127.40000000000002</v>
          </cell>
          <cell r="BF36">
            <v>217.59999999999997</v>
          </cell>
          <cell r="BG36">
            <v>127.40000000000003</v>
          </cell>
        </row>
      </sheetData>
      <sheetData sheetId="6"/>
      <sheetData sheetId="7">
        <row r="36">
          <cell r="B36">
            <v>16</v>
          </cell>
          <cell r="C36">
            <v>11</v>
          </cell>
          <cell r="D36">
            <v>13.5</v>
          </cell>
          <cell r="E36">
            <v>0.67</v>
          </cell>
          <cell r="F36">
            <v>0.5</v>
          </cell>
          <cell r="G36">
            <v>115</v>
          </cell>
          <cell r="J36">
            <v>439</v>
          </cell>
          <cell r="K36">
            <v>439</v>
          </cell>
        </row>
      </sheetData>
      <sheetData sheetId="8">
        <row r="36">
          <cell r="B36">
            <v>238</v>
          </cell>
          <cell r="C36">
            <v>5120.8387096774195</v>
          </cell>
          <cell r="D36">
            <v>238</v>
          </cell>
          <cell r="E36">
            <v>5120.8387096774195</v>
          </cell>
          <cell r="F36">
            <v>238</v>
          </cell>
          <cell r="G36">
            <v>5120.8387096774195</v>
          </cell>
          <cell r="H36">
            <v>238</v>
          </cell>
          <cell r="I36">
            <v>5120.8387096774195</v>
          </cell>
          <cell r="J36">
            <v>238</v>
          </cell>
          <cell r="K36">
            <v>5120.8387096774195</v>
          </cell>
          <cell r="L36">
            <v>238</v>
          </cell>
          <cell r="M36">
            <v>5120.8387096774195</v>
          </cell>
          <cell r="N36">
            <v>238</v>
          </cell>
          <cell r="O36">
            <v>5120.8387096774195</v>
          </cell>
          <cell r="P36">
            <v>238</v>
          </cell>
          <cell r="Q36">
            <v>5120.8387096774195</v>
          </cell>
          <cell r="R36">
            <v>238</v>
          </cell>
          <cell r="S36">
            <v>5120.8387096774195</v>
          </cell>
          <cell r="T36">
            <v>238</v>
          </cell>
          <cell r="U36">
            <v>5120.8387096774195</v>
          </cell>
          <cell r="V36">
            <v>238</v>
          </cell>
          <cell r="W36">
            <v>5120.8387096774195</v>
          </cell>
          <cell r="X36">
            <v>0.76774193548387093</v>
          </cell>
          <cell r="Y36">
            <v>56329.225806451606</v>
          </cell>
          <cell r="Z36">
            <v>98</v>
          </cell>
          <cell r="AA36">
            <v>980</v>
          </cell>
          <cell r="AB36">
            <v>98</v>
          </cell>
          <cell r="AC36">
            <v>980</v>
          </cell>
          <cell r="AD36">
            <v>98</v>
          </cell>
          <cell r="AE36">
            <v>980</v>
          </cell>
          <cell r="AF36">
            <v>98</v>
          </cell>
          <cell r="AG36">
            <v>980</v>
          </cell>
          <cell r="AH36">
            <v>98</v>
          </cell>
          <cell r="AI36">
            <v>980</v>
          </cell>
          <cell r="AJ36">
            <v>98</v>
          </cell>
          <cell r="AK36">
            <v>980</v>
          </cell>
          <cell r="AL36">
            <v>98</v>
          </cell>
          <cell r="AM36">
            <v>980</v>
          </cell>
          <cell r="AN36">
            <v>0.35</v>
          </cell>
          <cell r="AO36">
            <v>6860</v>
          </cell>
          <cell r="AQ36">
            <v>0.67967329037809621</v>
          </cell>
          <cell r="AR36">
            <v>63189.225806451606</v>
          </cell>
          <cell r="AS36">
            <v>-4109.6451612903184</v>
          </cell>
          <cell r="AV36">
            <v>0.56340000000000001</v>
          </cell>
          <cell r="AW36">
            <v>-1284.7999999999884</v>
          </cell>
          <cell r="AX36">
            <v>-2824.84516129033</v>
          </cell>
          <cell r="AY36">
            <v>-4109.6451612903184</v>
          </cell>
          <cell r="AZ36">
            <v>0.5</v>
          </cell>
          <cell r="BA36">
            <v>13.5</v>
          </cell>
          <cell r="BB36">
            <v>0.67</v>
          </cell>
        </row>
      </sheetData>
      <sheetData sheetId="9">
        <row r="26">
          <cell r="V26">
            <v>17015254</v>
          </cell>
          <cell r="W26">
            <v>17085395</v>
          </cell>
          <cell r="X26" t="str">
            <v>Night</v>
          </cell>
          <cell r="Y26">
            <v>80</v>
          </cell>
          <cell r="Z26">
            <v>1</v>
          </cell>
          <cell r="AA26">
            <v>70141</v>
          </cell>
          <cell r="AB26">
            <v>5611280</v>
          </cell>
          <cell r="AC26">
            <v>1033333</v>
          </cell>
          <cell r="AD26">
            <v>0.34704197198569098</v>
          </cell>
        </row>
        <row r="27">
          <cell r="V27">
            <v>24173587</v>
          </cell>
          <cell r="W27">
            <v>24270583</v>
          </cell>
          <cell r="X27" t="str">
            <v>day</v>
          </cell>
          <cell r="Y27">
            <v>112</v>
          </cell>
          <cell r="Z27">
            <v>1</v>
          </cell>
          <cell r="AA27">
            <v>96996</v>
          </cell>
          <cell r="AB27">
            <v>10863552</v>
          </cell>
          <cell r="AC27">
            <v>6200000</v>
          </cell>
          <cell r="AD27">
            <v>0.47991450242688422</v>
          </cell>
        </row>
        <row r="28">
          <cell r="V28">
            <v>7882582</v>
          </cell>
          <cell r="W28">
            <v>7917555</v>
          </cell>
          <cell r="X28" t="str">
            <v>Peak</v>
          </cell>
          <cell r="Y28">
            <v>320</v>
          </cell>
          <cell r="Z28">
            <v>1</v>
          </cell>
          <cell r="AA28">
            <v>34973</v>
          </cell>
          <cell r="AB28">
            <v>11191360</v>
          </cell>
          <cell r="AC28">
            <v>1000</v>
          </cell>
          <cell r="AD28">
            <v>0.17303857781120277</v>
          </cell>
        </row>
        <row r="30">
          <cell r="W30">
            <v>0.21316774193548382</v>
          </cell>
          <cell r="Y30" t="str">
            <v>Per G</v>
          </cell>
          <cell r="AB30">
            <v>27666192</v>
          </cell>
          <cell r="AC30">
            <v>7234333</v>
          </cell>
        </row>
        <row r="31">
          <cell r="W31">
            <v>120.30999999999949</v>
          </cell>
          <cell r="X31">
            <v>3.8809677419354673</v>
          </cell>
          <cell r="Y31">
            <v>1.9404838709677337</v>
          </cell>
          <cell r="AB31">
            <v>34900525</v>
          </cell>
          <cell r="AC31">
            <v>7234333</v>
          </cell>
        </row>
        <row r="32">
          <cell r="W32">
            <v>0</v>
          </cell>
        </row>
        <row r="33">
          <cell r="W33">
            <v>286.49999999999983</v>
          </cell>
        </row>
        <row r="34">
          <cell r="B34">
            <v>49273533</v>
          </cell>
          <cell r="C34">
            <v>6380</v>
          </cell>
          <cell r="D34">
            <v>6380</v>
          </cell>
          <cell r="E34">
            <v>49273533</v>
          </cell>
          <cell r="F34">
            <v>7917555</v>
          </cell>
          <cell r="G34">
            <v>1092</v>
          </cell>
          <cell r="H34">
            <v>24270583</v>
          </cell>
          <cell r="I34">
            <v>2743</v>
          </cell>
          <cell r="J34">
            <v>17085395</v>
          </cell>
          <cell r="K34">
            <v>2545</v>
          </cell>
          <cell r="L34">
            <v>231.80099502487562</v>
          </cell>
          <cell r="M34">
            <v>203.7917081260365</v>
          </cell>
          <cell r="N34">
            <v>135.0580431177446</v>
          </cell>
          <cell r="O34">
            <v>154.80303857058792</v>
          </cell>
          <cell r="P34">
            <v>725.45378483924469</v>
          </cell>
          <cell r="Q34">
            <v>1531.5745495483911</v>
          </cell>
          <cell r="R34">
            <v>2257.0283343876358</v>
          </cell>
          <cell r="S34">
            <v>16085</v>
          </cell>
          <cell r="T34">
            <v>0.14031882713009858</v>
          </cell>
        </row>
        <row r="35">
          <cell r="AB35">
            <v>3839057.75</v>
          </cell>
        </row>
        <row r="36">
          <cell r="AB36">
            <v>38739582.75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C36">
            <v>7.8</v>
          </cell>
          <cell r="D36">
            <v>19</v>
          </cell>
          <cell r="E36">
            <v>1.3</v>
          </cell>
          <cell r="F36">
            <v>8.1999999999999993</v>
          </cell>
          <cell r="G36">
            <v>18</v>
          </cell>
          <cell r="H36">
            <v>5773</v>
          </cell>
          <cell r="I36">
            <v>0</v>
          </cell>
          <cell r="J36">
            <v>0.33333333333333398</v>
          </cell>
          <cell r="L36">
            <v>43830</v>
          </cell>
          <cell r="M36">
            <v>5773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AA5">
            <v>5000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B29">
            <v>0</v>
          </cell>
          <cell r="AC29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A35">
            <v>0.11</v>
          </cell>
          <cell r="AC35">
            <v>0</v>
          </cell>
        </row>
        <row r="36">
          <cell r="AC36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9">
          <cell r="Y29">
            <v>0</v>
          </cell>
          <cell r="AA29">
            <v>198838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4">
          <cell r="Z34" t="str">
            <v xml:space="preserve">VAT 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D13">
            <v>27.099999999999991</v>
          </cell>
        </row>
        <row r="14">
          <cell r="D14">
            <v>-38.399999999999991</v>
          </cell>
        </row>
        <row r="15">
          <cell r="D15">
            <v>17.93548387096774</v>
          </cell>
        </row>
        <row r="16">
          <cell r="D16">
            <v>0.49185161290322582</v>
          </cell>
        </row>
        <row r="17">
          <cell r="D17">
            <v>199</v>
          </cell>
        </row>
      </sheetData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2" sqref="D2: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2" t="s">
        <v>363</v>
      </c>
      <c r="M1" s="542" t="s">
        <v>404</v>
      </c>
      <c r="N1" s="543" t="s">
        <v>405</v>
      </c>
      <c r="O1" s="281" t="s">
        <v>347</v>
      </c>
    </row>
    <row r="2" spans="1:15">
      <c r="A2" t="s">
        <v>348</v>
      </c>
      <c r="B2">
        <v>1</v>
      </c>
      <c r="C2">
        <v>1</v>
      </c>
      <c r="D2">
        <v>2020</v>
      </c>
      <c r="E2" s="207">
        <f>ELEC!N3</f>
        <v>14239</v>
      </c>
      <c r="F2" s="347">
        <f>SUM('EDl log'!T4)</f>
        <v>8.1556957279678766E-2</v>
      </c>
      <c r="G2" s="207">
        <f>-tanks!AW6</f>
        <v>1458</v>
      </c>
      <c r="H2" s="347">
        <f>SUM(tanks!AV6)</f>
        <v>0.56340000000000001</v>
      </c>
      <c r="I2" s="10">
        <f>('B5'!AU5)*0.51</f>
        <v>91.8</v>
      </c>
      <c r="J2" s="326">
        <f>'B5'!AX5/0.51</f>
        <v>1.3725490196078429</v>
      </c>
      <c r="K2" s="207">
        <f>WATER!I6</f>
        <v>19</v>
      </c>
      <c r="L2" s="348">
        <f>SUM(WATER!J6)</f>
        <v>12.733446519524618</v>
      </c>
      <c r="M2" s="348">
        <f>WATER!Q6</f>
        <v>0</v>
      </c>
      <c r="N2" s="544">
        <v>0.6</v>
      </c>
      <c r="O2" s="10">
        <f>ELEC!B3</f>
        <v>97.98</v>
      </c>
    </row>
    <row r="3" spans="1:15">
      <c r="A3" t="s">
        <v>348</v>
      </c>
      <c r="B3">
        <f>B2+1</f>
        <v>2</v>
      </c>
      <c r="C3">
        <v>1</v>
      </c>
      <c r="D3">
        <v>2020</v>
      </c>
      <c r="E3" s="207">
        <f>ELEC!N4</f>
        <v>15103</v>
      </c>
      <c r="F3" s="347">
        <f>SUM('EDl log'!T5)</f>
        <v>8.223034262251161E-2</v>
      </c>
      <c r="G3" s="207">
        <f>-tanks!AW7</f>
        <v>1092.2999999999884</v>
      </c>
      <c r="H3" s="347">
        <f>SUM(tanks!AV7)</f>
        <v>0.56340000000000001</v>
      </c>
      <c r="I3" s="10">
        <f>('B5'!AU6)*0.51</f>
        <v>265.2</v>
      </c>
      <c r="J3" s="326">
        <f>'B5'!AX6/0.51</f>
        <v>1.3725490196078429</v>
      </c>
      <c r="K3" s="207">
        <f>WATER!I7</f>
        <v>316</v>
      </c>
      <c r="L3" s="348">
        <f>SUM(WATER!J7)</f>
        <v>1.1858717844017967</v>
      </c>
      <c r="M3" s="348">
        <f>WATER!Q7</f>
        <v>0</v>
      </c>
      <c r="N3" s="544">
        <v>0.6</v>
      </c>
      <c r="O3" s="10">
        <f>ELEC!B4</f>
        <v>77.003999999999991</v>
      </c>
    </row>
    <row r="4" spans="1:15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ELEC!N5</f>
        <v>15173</v>
      </c>
      <c r="F4" s="347">
        <f>SUM('EDl log'!T6)</f>
        <v>9.5740939103303446E-2</v>
      </c>
      <c r="G4" s="207">
        <f>-tanks!AW8</f>
        <v>1325.9000000000233</v>
      </c>
      <c r="H4" s="347">
        <f>SUM(tanks!AV8)</f>
        <v>0.56340000000000001</v>
      </c>
      <c r="I4" s="10">
        <f>('B5'!AU7)*0.51</f>
        <v>91.8</v>
      </c>
      <c r="J4" s="326">
        <f>'B5'!AX7/0.51</f>
        <v>1.3725490196078429</v>
      </c>
      <c r="K4" s="207">
        <f>WATER!I8</f>
        <v>0</v>
      </c>
      <c r="L4" s="348">
        <f>SUM(WATER!J8)</f>
        <v>0</v>
      </c>
      <c r="M4" s="348">
        <f>WATER!Q8</f>
        <v>0</v>
      </c>
      <c r="N4" s="544">
        <v>0.6</v>
      </c>
      <c r="O4" s="10">
        <f>ELEC!B5</f>
        <v>63.986000000000004</v>
      </c>
    </row>
    <row r="5" spans="1:15">
      <c r="A5" t="s">
        <v>348</v>
      </c>
      <c r="B5">
        <f t="shared" si="0"/>
        <v>4</v>
      </c>
      <c r="C5">
        <v>1</v>
      </c>
      <c r="D5">
        <v>2020</v>
      </c>
      <c r="E5" s="207">
        <f>ELEC!N6</f>
        <v>15817</v>
      </c>
      <c r="F5" s="347">
        <f>SUM('EDl log'!T7)</f>
        <v>0.11317896250171672</v>
      </c>
      <c r="G5" s="207">
        <f>-tanks!AW9</f>
        <v>944</v>
      </c>
      <c r="H5" s="347">
        <f>SUM(tanks!AV9)</f>
        <v>0.56340000000000001</v>
      </c>
      <c r="I5" s="10">
        <f>('B5'!AU8)*0.51</f>
        <v>122.4</v>
      </c>
      <c r="J5" s="326">
        <f>'B5'!AX8/0.51</f>
        <v>1.3725490196078429</v>
      </c>
      <c r="K5" s="207">
        <f>WATER!I9</f>
        <v>288</v>
      </c>
      <c r="L5" s="348">
        <f>SUM(WATER!J9)</f>
        <v>0.84005376344086025</v>
      </c>
      <c r="M5" s="348">
        <f>WATER!Q9</f>
        <v>0</v>
      </c>
      <c r="N5" s="544">
        <v>0.6</v>
      </c>
      <c r="O5" s="10">
        <f>ELEC!B6</f>
        <v>48.99</v>
      </c>
    </row>
    <row r="6" spans="1:15">
      <c r="A6" t="s">
        <v>348</v>
      </c>
      <c r="B6">
        <f t="shared" si="0"/>
        <v>5</v>
      </c>
      <c r="C6">
        <v>1</v>
      </c>
      <c r="D6">
        <v>2020</v>
      </c>
      <c r="E6" s="207">
        <f>ELEC!N7</f>
        <v>12909</v>
      </c>
      <c r="F6" s="347">
        <f>SUM('EDl log'!T8)</f>
        <v>7.3554428358015594E-2</v>
      </c>
      <c r="G6" s="207">
        <f>-tanks!AW10</f>
        <v>1107.7000000000116</v>
      </c>
      <c r="H6" s="347">
        <f>SUM(tanks!AV10)</f>
        <v>0.56340000000000001</v>
      </c>
      <c r="I6" s="10">
        <f>('B5'!AU9)*0.51</f>
        <v>137.69999999999999</v>
      </c>
      <c r="J6" s="326">
        <f>'B5'!AX9/0.51</f>
        <v>1.3725490196078429</v>
      </c>
      <c r="K6" s="207">
        <f>WATER!I10</f>
        <v>0</v>
      </c>
      <c r="L6" s="348">
        <f>SUM(WATER!J10)</f>
        <v>0</v>
      </c>
      <c r="M6" s="348">
        <f>WATER!Q10</f>
        <v>0</v>
      </c>
      <c r="N6" s="544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1</v>
      </c>
      <c r="D7">
        <v>2020</v>
      </c>
      <c r="E7" s="207">
        <f>ELEC!N8</f>
        <v>13138</v>
      </c>
      <c r="F7" s="347">
        <f>SUM('EDl log'!T9)</f>
        <v>0.14193241465477108</v>
      </c>
      <c r="G7" s="207">
        <f>-tanks!AW11</f>
        <v>607</v>
      </c>
      <c r="H7" s="347">
        <f>SUM(tanks!AV11)</f>
        <v>0.56340000000000001</v>
      </c>
      <c r="I7" s="10">
        <f>('B5'!AU10)*0.51</f>
        <v>91.8</v>
      </c>
      <c r="J7" s="326">
        <f>'B5'!AX10/0.51</f>
        <v>1.3725490196078429</v>
      </c>
      <c r="K7" s="207">
        <f>WATER!I11</f>
        <v>179</v>
      </c>
      <c r="L7" s="348">
        <f>SUM(WATER!J11)</f>
        <v>1.3515948819607138</v>
      </c>
      <c r="M7" s="348">
        <f>WATER!Q11</f>
        <v>0</v>
      </c>
      <c r="N7" s="544">
        <v>0.6</v>
      </c>
      <c r="O7" s="10">
        <f>ELEC!B8</f>
        <v>37.996000000000002</v>
      </c>
    </row>
    <row r="8" spans="1:15">
      <c r="A8" t="s">
        <v>348</v>
      </c>
      <c r="B8">
        <f t="shared" si="0"/>
        <v>7</v>
      </c>
      <c r="C8">
        <v>1</v>
      </c>
      <c r="D8">
        <v>2020</v>
      </c>
      <c r="E8" s="207">
        <f>ELEC!N9</f>
        <v>12872</v>
      </c>
      <c r="F8" s="347">
        <f>SUM('EDl log'!T10)</f>
        <v>8.232792837309455E-2</v>
      </c>
      <c r="G8" s="207">
        <f>-tanks!AW12</f>
        <v>1019.2999999999884</v>
      </c>
      <c r="H8" s="347">
        <f>SUM(tanks!AV12)</f>
        <v>0.56340000000000001</v>
      </c>
      <c r="I8" s="10">
        <f>('B5'!AU11)*0.51</f>
        <v>107.10000000000001</v>
      </c>
      <c r="J8" s="326">
        <f>'B5'!AX11/0.51</f>
        <v>1.3725490196078429</v>
      </c>
      <c r="K8" s="207">
        <f>WATER!I12</f>
        <v>79</v>
      </c>
      <c r="L8" s="348">
        <f>SUM(WATER!J12)</f>
        <v>4.7224744793793381</v>
      </c>
      <c r="M8" s="348">
        <f>WATER!Q12</f>
        <v>0</v>
      </c>
      <c r="N8" s="544">
        <v>0.6</v>
      </c>
      <c r="O8" s="10">
        <f>ELEC!B9</f>
        <v>54.004000000000005</v>
      </c>
    </row>
    <row r="9" spans="1:15">
      <c r="A9" t="s">
        <v>348</v>
      </c>
      <c r="B9">
        <f t="shared" si="0"/>
        <v>8</v>
      </c>
      <c r="C9">
        <v>1</v>
      </c>
      <c r="D9">
        <v>2020</v>
      </c>
      <c r="E9" s="207">
        <f>ELEC!N10</f>
        <v>12536.399999999907</v>
      </c>
      <c r="F9" s="347">
        <f>SUM('EDl log'!T11)</f>
        <v>0.16507208044524085</v>
      </c>
      <c r="G9" s="207">
        <f>-tanks!AW13</f>
        <v>816</v>
      </c>
      <c r="H9" s="347">
        <f>SUM(tanks!AV13)</f>
        <v>0.56340000000000001</v>
      </c>
      <c r="I9" s="10">
        <f>('B5'!AU12)*0.51</f>
        <v>122.4</v>
      </c>
      <c r="J9" s="326">
        <f>'B5'!AX12/0.51</f>
        <v>1.3725490196078429</v>
      </c>
      <c r="K9" s="207">
        <f>WATER!I13</f>
        <v>182</v>
      </c>
      <c r="L9" s="348">
        <f>SUM(WATER!J13)</f>
        <v>1.3293158454448777</v>
      </c>
      <c r="M9" s="348">
        <f>WATER!Q13</f>
        <v>0</v>
      </c>
      <c r="N9" s="544">
        <v>0.6</v>
      </c>
      <c r="O9" s="10">
        <f>ELEC!B10</f>
        <v>53.82</v>
      </c>
    </row>
    <row r="10" spans="1:15">
      <c r="A10" t="s">
        <v>348</v>
      </c>
      <c r="B10">
        <f t="shared" si="0"/>
        <v>9</v>
      </c>
      <c r="C10">
        <v>1</v>
      </c>
      <c r="D10">
        <v>2020</v>
      </c>
      <c r="E10" s="207">
        <f>ELEC!N11</f>
        <v>13631.600000000093</v>
      </c>
      <c r="F10" s="347">
        <f>SUM('EDl log'!T12)</f>
        <v>0.17418775431405073</v>
      </c>
      <c r="G10" s="207">
        <f>-tanks!AW14</f>
        <v>853</v>
      </c>
      <c r="H10" s="347">
        <f>SUM(tanks!AV14)</f>
        <v>0.57650000000000001</v>
      </c>
      <c r="I10" s="10">
        <f>('B5'!AU13)*0.51</f>
        <v>183.6</v>
      </c>
      <c r="J10" s="326">
        <f>'B5'!AX13/0.51</f>
        <v>1.3725490196078429</v>
      </c>
      <c r="K10" s="207">
        <f>WATER!I14</f>
        <v>80</v>
      </c>
      <c r="L10" s="348">
        <f>SUM(WATER!J14)</f>
        <v>4.6841935483870971</v>
      </c>
      <c r="M10" s="348">
        <f>WATER!Q14</f>
        <v>0</v>
      </c>
      <c r="N10" s="544">
        <v>0.6</v>
      </c>
      <c r="O10" s="10">
        <f>ELEC!B11</f>
        <v>48.000999999999998</v>
      </c>
    </row>
    <row r="11" spans="1:15">
      <c r="A11" t="s">
        <v>348</v>
      </c>
      <c r="B11">
        <f t="shared" si="0"/>
        <v>10</v>
      </c>
      <c r="C11">
        <v>1</v>
      </c>
      <c r="D11">
        <v>2020</v>
      </c>
      <c r="E11" s="207">
        <f>ELEC!N12</f>
        <v>13062.799999999814</v>
      </c>
      <c r="F11" s="347">
        <f>SUM('EDl log'!T13)</f>
        <v>6.0227320870339829E-2</v>
      </c>
      <c r="G11" s="207">
        <f>-tanks!AW15</f>
        <v>1461.7999999999884</v>
      </c>
      <c r="H11" s="347">
        <f>SUM(tanks!AV15)</f>
        <v>0.57650000000000001</v>
      </c>
      <c r="I11" s="10">
        <f>('B5'!AU14)*0.51</f>
        <v>61.2</v>
      </c>
      <c r="J11" s="326">
        <f>'B5'!AX14/0.51</f>
        <v>1.3725490196078429</v>
      </c>
      <c r="K11" s="207">
        <f>WATER!I15</f>
        <v>343</v>
      </c>
      <c r="L11" s="348">
        <f>SUM(WATER!J15)</f>
        <v>0.70535126492993516</v>
      </c>
      <c r="M11" s="348">
        <f>WATER!Q15</f>
        <v>0</v>
      </c>
      <c r="N11" s="544">
        <v>0.6</v>
      </c>
      <c r="O11" s="10">
        <f>ELEC!B12</f>
        <v>46</v>
      </c>
    </row>
    <row r="12" spans="1:15">
      <c r="A12" t="s">
        <v>348</v>
      </c>
      <c r="B12">
        <f t="shared" si="0"/>
        <v>11</v>
      </c>
      <c r="C12">
        <v>1</v>
      </c>
      <c r="D12">
        <v>2020</v>
      </c>
      <c r="E12" s="207">
        <f>ELEC!N13</f>
        <v>14011.200000000186</v>
      </c>
      <c r="F12" s="347">
        <f>SUM('EDl log'!T14)</f>
        <v>9.5134534211008051E-2</v>
      </c>
      <c r="G12" s="207">
        <f>-tanks!AW16</f>
        <v>728</v>
      </c>
      <c r="H12" s="347">
        <f>SUM(tanks!AV16)</f>
        <v>0.57650000000000001</v>
      </c>
      <c r="I12" s="10">
        <f>('B5'!AU15)*0.51</f>
        <v>45.9</v>
      </c>
      <c r="J12" s="326">
        <f>'B5'!AX15/0.51</f>
        <v>1.3725490196078429</v>
      </c>
      <c r="K12" s="207">
        <f>WATER!I16</f>
        <v>0</v>
      </c>
      <c r="L12" s="348">
        <f>SUM(WATER!J16)</f>
        <v>0</v>
      </c>
      <c r="M12" s="348">
        <f>WATER!Q16</f>
        <v>0</v>
      </c>
      <c r="N12" s="544">
        <v>0.6</v>
      </c>
      <c r="O12" s="10">
        <f>ELEC!B13</f>
        <v>39.008000000000003</v>
      </c>
    </row>
    <row r="13" spans="1:15">
      <c r="A13" t="s">
        <v>348</v>
      </c>
      <c r="B13">
        <f t="shared" si="0"/>
        <v>12</v>
      </c>
      <c r="C13">
        <v>1</v>
      </c>
      <c r="D13">
        <v>2020</v>
      </c>
      <c r="E13" s="207">
        <f>ELEC!N14</f>
        <v>14175</v>
      </c>
      <c r="F13" s="347">
        <f>SUM('EDl log'!T15)</f>
        <v>7.1130651547357412E-2</v>
      </c>
      <c r="G13" s="207">
        <f>-tanks!AW17</f>
        <v>543</v>
      </c>
      <c r="H13" s="347">
        <f>SUM(tanks!AV17)</f>
        <v>0.57650000000000001</v>
      </c>
      <c r="I13" s="10">
        <f>('B5'!AU16)*0.51</f>
        <v>122.4</v>
      </c>
      <c r="J13" s="326">
        <f>'B5'!AX16/0.51</f>
        <v>1.3725490196078429</v>
      </c>
      <c r="K13" s="207">
        <f>WATER!I17</f>
        <v>737</v>
      </c>
      <c r="L13" s="348">
        <f>SUM(WATER!J17)</f>
        <v>0.32827067010986127</v>
      </c>
      <c r="M13" s="348">
        <f>WATER!Q17</f>
        <v>0</v>
      </c>
      <c r="N13" s="544">
        <v>0.6</v>
      </c>
      <c r="O13" s="10">
        <f>ELEC!B14</f>
        <v>39.997</v>
      </c>
    </row>
    <row r="14" spans="1:15">
      <c r="A14" t="s">
        <v>348</v>
      </c>
      <c r="B14">
        <f t="shared" si="0"/>
        <v>13</v>
      </c>
      <c r="C14">
        <v>1</v>
      </c>
      <c r="D14">
        <v>2020</v>
      </c>
      <c r="E14" s="207">
        <f>ELEC!N15</f>
        <v>12801</v>
      </c>
      <c r="F14" s="347">
        <f>SUM('EDl log'!T16)</f>
        <v>8.9701147337237469E-2</v>
      </c>
      <c r="G14" s="207">
        <f>-tanks!AW18</f>
        <v>749</v>
      </c>
      <c r="H14" s="347">
        <f>SUM(tanks!AV18)</f>
        <v>0.57650000000000001</v>
      </c>
      <c r="I14" s="10">
        <f>('B5'!AU17)*0.51</f>
        <v>122.4</v>
      </c>
      <c r="J14" s="326">
        <f>'B5'!AX17/0.51</f>
        <v>1.3725490196078429</v>
      </c>
      <c r="K14" s="207">
        <f>WATER!I18</f>
        <v>0</v>
      </c>
      <c r="L14" s="348">
        <f>SUM(WATER!J18)</f>
        <v>0</v>
      </c>
      <c r="M14" s="348">
        <f>WATER!Q18</f>
        <v>0</v>
      </c>
      <c r="N14" s="544">
        <v>0.6</v>
      </c>
      <c r="O14" s="10">
        <f>ELEC!B15</f>
        <v>41.998000000000005</v>
      </c>
    </row>
    <row r="15" spans="1:15">
      <c r="A15" t="s">
        <v>348</v>
      </c>
      <c r="B15">
        <f t="shared" si="0"/>
        <v>14</v>
      </c>
      <c r="C15">
        <v>1</v>
      </c>
      <c r="D15">
        <v>2020</v>
      </c>
      <c r="E15" s="207">
        <f>ELEC!N16</f>
        <v>12578</v>
      </c>
      <c r="F15" s="347">
        <f>SUM('EDl log'!T17)</f>
        <v>-5.3962423452831927E-2</v>
      </c>
      <c r="G15" s="207">
        <f>-tanks!AW19</f>
        <v>886.59999999997672</v>
      </c>
      <c r="H15" s="347">
        <f>SUM(tanks!AV19)</f>
        <v>0.57650000000000001</v>
      </c>
      <c r="I15" s="10">
        <f>('B5'!AU18)*0.51</f>
        <v>107.10000000000001</v>
      </c>
      <c r="J15" s="326">
        <f>'B5'!AX18/0.51</f>
        <v>1.3725490196078429</v>
      </c>
      <c r="K15" s="207">
        <f>WATER!I19</f>
        <v>89</v>
      </c>
      <c r="L15" s="348">
        <f>SUM(WATER!J19)</f>
        <v>2.7183762232693005</v>
      </c>
      <c r="M15" s="348">
        <f>WATER!Q19</f>
        <v>0</v>
      </c>
      <c r="N15" s="544">
        <v>0.6</v>
      </c>
      <c r="O15" s="10">
        <f>ELEC!B16</f>
        <v>48.000999999999998</v>
      </c>
    </row>
    <row r="16" spans="1:15">
      <c r="A16" t="s">
        <v>348</v>
      </c>
      <c r="B16">
        <f t="shared" si="0"/>
        <v>15</v>
      </c>
      <c r="C16">
        <v>1</v>
      </c>
      <c r="D16">
        <v>2020</v>
      </c>
      <c r="E16" s="207">
        <f>ELEC!N17</f>
        <v>12879</v>
      </c>
      <c r="F16" s="347">
        <f>SUM('EDl log'!T18)</f>
        <v>0.10460987787151872</v>
      </c>
      <c r="G16" s="207">
        <f>-tanks!AW20</f>
        <v>762.60000000003492</v>
      </c>
      <c r="H16" s="347">
        <f>SUM(tanks!AV20)</f>
        <v>0.57650000000000001</v>
      </c>
      <c r="I16" s="10">
        <f>('B5'!AU19)*0.51</f>
        <v>91.8</v>
      </c>
      <c r="J16" s="326">
        <f>'B5'!AX19/0.51</f>
        <v>1.3725490196078429</v>
      </c>
      <c r="K16" s="207">
        <f>WATER!I20</f>
        <v>0</v>
      </c>
      <c r="L16" s="348">
        <f>SUM(WATER!J20)</f>
        <v>0</v>
      </c>
      <c r="M16" s="348">
        <f>WATER!Q20</f>
        <v>0</v>
      </c>
      <c r="N16" s="544">
        <v>0.6</v>
      </c>
      <c r="O16" s="10">
        <f>ELEC!B17</f>
        <v>52.003</v>
      </c>
    </row>
    <row r="17" spans="1:15">
      <c r="A17" t="s">
        <v>348</v>
      </c>
      <c r="B17">
        <f t="shared" si="0"/>
        <v>16</v>
      </c>
      <c r="C17">
        <v>1</v>
      </c>
      <c r="D17">
        <v>2020</v>
      </c>
      <c r="E17" s="207">
        <f>ELEC!N18</f>
        <v>11369.399999999907</v>
      </c>
      <c r="F17" s="347">
        <f>SUM('EDl log'!T19)</f>
        <v>0.10005122970356148</v>
      </c>
      <c r="G17" s="207">
        <f>-tanks!AW21</f>
        <v>484</v>
      </c>
      <c r="H17" s="347">
        <f>SUM(tanks!AV21)</f>
        <v>0.57999999999999996</v>
      </c>
      <c r="I17" s="10">
        <f>('B5'!AU20)*0.51</f>
        <v>147.9</v>
      </c>
      <c r="J17" s="326">
        <f>'B5'!AX20/0.51</f>
        <v>1.3725490196078429</v>
      </c>
      <c r="K17" s="207">
        <f>WATER!I21</f>
        <v>343</v>
      </c>
      <c r="L17" s="348">
        <f>SUM(WATER!J21)</f>
        <v>0.70535126492993516</v>
      </c>
      <c r="M17" s="348">
        <f>WATER!Q21</f>
        <v>0</v>
      </c>
      <c r="N17" s="544">
        <v>0.6</v>
      </c>
      <c r="O17" s="10">
        <f>ELEC!B18</f>
        <v>52.003</v>
      </c>
    </row>
    <row r="18" spans="1:15">
      <c r="A18" t="s">
        <v>348</v>
      </c>
      <c r="B18">
        <f t="shared" si="0"/>
        <v>17</v>
      </c>
      <c r="C18">
        <v>1</v>
      </c>
      <c r="D18">
        <v>2020</v>
      </c>
      <c r="E18" s="207">
        <f>ELEC!N19</f>
        <v>14249.600000000093</v>
      </c>
      <c r="F18" s="347">
        <f>SUM('EDl log'!T20)</f>
        <v>5.3472125285147658E-2</v>
      </c>
      <c r="G18" s="207">
        <f>-tanks!AW22</f>
        <v>1027.0999999999767</v>
      </c>
      <c r="H18" s="347">
        <f>SUM(tanks!AV22)</f>
        <v>0.57999999999999996</v>
      </c>
      <c r="I18" s="10">
        <f>('B5'!AU21)*0.51</f>
        <v>45.9</v>
      </c>
      <c r="J18" s="326">
        <f>'B5'!AX21/0.51</f>
        <v>1.3725490196078429</v>
      </c>
      <c r="K18" s="207">
        <f>WATER!I22</f>
        <v>0</v>
      </c>
      <c r="L18" s="348">
        <f>SUM(WATER!J22)</f>
        <v>0</v>
      </c>
      <c r="M18" s="348">
        <f>WATER!Q22</f>
        <v>0</v>
      </c>
      <c r="N18" s="544">
        <v>0.6</v>
      </c>
      <c r="O18" s="10">
        <f>ELEC!B19</f>
        <v>39.997</v>
      </c>
    </row>
    <row r="19" spans="1:15">
      <c r="A19" t="s">
        <v>348</v>
      </c>
      <c r="B19">
        <f t="shared" si="0"/>
        <v>18</v>
      </c>
      <c r="C19">
        <v>1</v>
      </c>
      <c r="D19">
        <v>2020</v>
      </c>
      <c r="E19" s="207">
        <f>ELEC!N20</f>
        <v>0</v>
      </c>
      <c r="F19" s="347">
        <f>SUM('EDl log'!T21)</f>
        <v>0</v>
      </c>
      <c r="G19" s="207">
        <f>-tanks!AW23</f>
        <v>0</v>
      </c>
      <c r="H19" s="347">
        <f>SUM(tanks!AV23)</f>
        <v>0.57999999999999996</v>
      </c>
      <c r="I19" s="10">
        <f>('B5'!AU22)*0.51</f>
        <v>0</v>
      </c>
      <c r="J19" s="326">
        <f>'B5'!AX22/0.51</f>
        <v>1.3725490196078429</v>
      </c>
      <c r="K19" s="207">
        <f>WATER!I23</f>
        <v>0</v>
      </c>
      <c r="L19" s="348">
        <f>SUM(WATER!J23)</f>
        <v>0</v>
      </c>
      <c r="M19" s="348">
        <f>WATER!Q23</f>
        <v>0</v>
      </c>
      <c r="N19" s="544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1</v>
      </c>
      <c r="D20">
        <v>2020</v>
      </c>
      <c r="E20" s="207">
        <f>ELEC!N21</f>
        <v>0</v>
      </c>
      <c r="F20" s="347">
        <f>SUM('EDl log'!T22)</f>
        <v>0</v>
      </c>
      <c r="G20" s="207">
        <f>-tanks!AW24</f>
        <v>0</v>
      </c>
      <c r="H20" s="347">
        <f>SUM(tanks!AV24)</f>
        <v>0.57999999999999996</v>
      </c>
      <c r="I20" s="10">
        <f>('B5'!AU23)*0.51</f>
        <v>0</v>
      </c>
      <c r="J20" s="326">
        <f>'B5'!AX23/0.51</f>
        <v>1.3725490196078429</v>
      </c>
      <c r="K20" s="207">
        <f>WATER!I24</f>
        <v>0</v>
      </c>
      <c r="L20" s="348">
        <f>SUM(WATER!J24)</f>
        <v>0</v>
      </c>
      <c r="M20" s="348">
        <f>WATER!Q24</f>
        <v>0</v>
      </c>
      <c r="N20" s="544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1</v>
      </c>
      <c r="D21">
        <v>2020</v>
      </c>
      <c r="E21" s="207">
        <f>ELEC!N22</f>
        <v>0</v>
      </c>
      <c r="F21" s="347">
        <f>SUM('EDl log'!T23)</f>
        <v>0</v>
      </c>
      <c r="G21" s="207">
        <f>-tanks!AW25</f>
        <v>0</v>
      </c>
      <c r="H21" s="347">
        <f>SUM(tanks!AV25)</f>
        <v>0.57999999999999996</v>
      </c>
      <c r="I21" s="10">
        <f>('B5'!AU24)*0.51</f>
        <v>0</v>
      </c>
      <c r="J21" s="326">
        <f>'B5'!AX24/0.51</f>
        <v>1.3725490196078429</v>
      </c>
      <c r="K21" s="207">
        <f>WATER!I25</f>
        <v>0</v>
      </c>
      <c r="L21" s="348">
        <f>SUM(WATER!J25)</f>
        <v>0</v>
      </c>
      <c r="M21" s="348">
        <f>WATER!Q25</f>
        <v>0</v>
      </c>
      <c r="N21" s="544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1</v>
      </c>
      <c r="D22">
        <v>2020</v>
      </c>
      <c r="E22" s="207">
        <f>ELEC!N23</f>
        <v>0</v>
      </c>
      <c r="F22" s="347">
        <f>SUM('EDl log'!T24)</f>
        <v>0</v>
      </c>
      <c r="G22" s="207">
        <f>-tanks!AW26</f>
        <v>0</v>
      </c>
      <c r="H22" s="347">
        <f>SUM(tanks!AV26)</f>
        <v>0.57999999999999996</v>
      </c>
      <c r="I22" s="10">
        <f>('B5'!AU25)*0.51</f>
        <v>0</v>
      </c>
      <c r="J22" s="326">
        <f>'B5'!AX25/0.51</f>
        <v>1.3725490196078429</v>
      </c>
      <c r="K22" s="207">
        <f>WATER!I26</f>
        <v>0</v>
      </c>
      <c r="L22" s="348">
        <f>SUM(WATER!J26)</f>
        <v>0</v>
      </c>
      <c r="M22" s="348">
        <f>WATER!Q26</f>
        <v>0</v>
      </c>
      <c r="N22" s="544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1</v>
      </c>
      <c r="D23">
        <v>2020</v>
      </c>
      <c r="E23" s="207">
        <f>ELEC!N24</f>
        <v>0</v>
      </c>
      <c r="F23" s="347">
        <f>SUM('EDl log'!T25)</f>
        <v>0</v>
      </c>
      <c r="G23" s="207">
        <f>-tanks!AW27</f>
        <v>0</v>
      </c>
      <c r="H23" s="347">
        <f>SUM(tanks!AV27)</f>
        <v>0.57999999999999996</v>
      </c>
      <c r="I23" s="10">
        <f>('B5'!AU26)*0.51</f>
        <v>0</v>
      </c>
      <c r="J23" s="326">
        <f>'B5'!AX26/0.51</f>
        <v>1.3725490196078429</v>
      </c>
      <c r="K23" s="207">
        <f>WATER!I27</f>
        <v>0</v>
      </c>
      <c r="L23" s="348">
        <f>SUM(WATER!J27)</f>
        <v>0</v>
      </c>
      <c r="M23" s="348">
        <f>WATER!Q27</f>
        <v>0</v>
      </c>
      <c r="N23" s="544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1</v>
      </c>
      <c r="D24">
        <v>2020</v>
      </c>
      <c r="E24" s="207">
        <f>ELEC!N25</f>
        <v>0</v>
      </c>
      <c r="F24" s="347">
        <f>SUM('EDl log'!T26)</f>
        <v>0</v>
      </c>
      <c r="G24" s="207">
        <f>-tanks!AW28</f>
        <v>0</v>
      </c>
      <c r="H24" s="347">
        <f>SUM(tanks!AV28)</f>
        <v>0.57999999999999996</v>
      </c>
      <c r="I24" s="10">
        <f>('B5'!AU27)*0.51</f>
        <v>0</v>
      </c>
      <c r="J24" s="326">
        <f>'B5'!AX27/0.51</f>
        <v>1.3725490196078429</v>
      </c>
      <c r="K24" s="207">
        <f>WATER!I28</f>
        <v>0</v>
      </c>
      <c r="L24" s="348">
        <f>SUM(WATER!J28)</f>
        <v>0</v>
      </c>
      <c r="M24" s="348">
        <f>WATER!Q28</f>
        <v>0</v>
      </c>
      <c r="N24" s="544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1</v>
      </c>
      <c r="D25">
        <v>2020</v>
      </c>
      <c r="E25" s="207">
        <f>ELEC!N26</f>
        <v>0</v>
      </c>
      <c r="F25" s="347">
        <f>SUM('EDl log'!T27)</f>
        <v>0</v>
      </c>
      <c r="G25" s="207">
        <f>-tanks!AW29</f>
        <v>0</v>
      </c>
      <c r="H25" s="347">
        <f>SUM(tanks!AV29)</f>
        <v>0.57999999999999996</v>
      </c>
      <c r="I25" s="10">
        <f>('B5'!AU28)*0.51</f>
        <v>0</v>
      </c>
      <c r="J25" s="326">
        <f>'B5'!AX28/0.51</f>
        <v>1.3725490196078429</v>
      </c>
      <c r="K25" s="207">
        <f>WATER!I29</f>
        <v>0</v>
      </c>
      <c r="L25" s="348">
        <f>SUM(WATER!J29)</f>
        <v>0</v>
      </c>
      <c r="M25" s="348">
        <f>WATER!Q29</f>
        <v>0</v>
      </c>
      <c r="N25" s="544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1</v>
      </c>
      <c r="D26">
        <v>2020</v>
      </c>
      <c r="E26" s="207">
        <f>ELEC!N27</f>
        <v>0</v>
      </c>
      <c r="F26" s="347">
        <f>SUM('EDl log'!T28)</f>
        <v>0</v>
      </c>
      <c r="G26" s="207">
        <f>-tanks!AW30</f>
        <v>0</v>
      </c>
      <c r="H26" s="347">
        <f>SUM(tanks!AV30)</f>
        <v>0.57999999999999996</v>
      </c>
      <c r="I26" s="10">
        <f>('B5'!AU29)*0.51</f>
        <v>0</v>
      </c>
      <c r="J26" s="326">
        <f>'B5'!AX29/0.51</f>
        <v>1.3725490196078429</v>
      </c>
      <c r="K26" s="207">
        <f>WATER!I30</f>
        <v>0</v>
      </c>
      <c r="L26" s="348">
        <f>SUM(WATER!J30)</f>
        <v>0</v>
      </c>
      <c r="M26" s="348">
        <f>WATER!Q30</f>
        <v>0</v>
      </c>
      <c r="N26" s="544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1</v>
      </c>
      <c r="D27">
        <v>2020</v>
      </c>
      <c r="E27" s="207">
        <f>ELEC!N28</f>
        <v>0</v>
      </c>
      <c r="F27" s="347">
        <f>SUM('EDl log'!T29)</f>
        <v>0</v>
      </c>
      <c r="G27" s="207">
        <f>-tanks!AW31</f>
        <v>0</v>
      </c>
      <c r="H27" s="347">
        <f>SUM(tanks!AV31)</f>
        <v>0.57999999999999996</v>
      </c>
      <c r="I27" s="10">
        <f>('B5'!AU30)*0.51</f>
        <v>0</v>
      </c>
      <c r="J27" s="326">
        <f>'B5'!AX30/0.51</f>
        <v>1.3725490196078429</v>
      </c>
      <c r="K27" s="207">
        <f>WATER!I31</f>
        <v>0</v>
      </c>
      <c r="L27" s="348">
        <f>SUM(WATER!J31)</f>
        <v>0</v>
      </c>
      <c r="M27" s="348">
        <f>WATER!Q31</f>
        <v>0</v>
      </c>
      <c r="N27" s="544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1</v>
      </c>
      <c r="D28">
        <v>2020</v>
      </c>
      <c r="E28" s="207">
        <f>ELEC!N29</f>
        <v>0</v>
      </c>
      <c r="F28" s="347">
        <f>SUM('EDl log'!T30)</f>
        <v>0</v>
      </c>
      <c r="G28" s="207">
        <f>-tanks!AW32</f>
        <v>0</v>
      </c>
      <c r="H28" s="347">
        <f>SUM(tanks!AV32)</f>
        <v>0.57999999999999996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8">
        <f>SUM(WATER!J32)</f>
        <v>0</v>
      </c>
      <c r="M28" s="348">
        <f>WATER!Q32</f>
        <v>0</v>
      </c>
      <c r="N28" s="544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1</v>
      </c>
      <c r="D29">
        <v>2020</v>
      </c>
      <c r="E29" s="207">
        <f>ELEC!N30</f>
        <v>0</v>
      </c>
      <c r="F29" s="347">
        <f>SUM('EDl log'!T31)</f>
        <v>0</v>
      </c>
      <c r="G29" s="207">
        <f>-tanks!AW33</f>
        <v>0</v>
      </c>
      <c r="H29" s="347">
        <f>SUM(tanks!AV33)</f>
        <v>0.57999999999999996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8">
        <f>SUM(WATER!J33)</f>
        <v>0</v>
      </c>
      <c r="M29" s="348">
        <f>WATER!Q33</f>
        <v>0</v>
      </c>
      <c r="N29" s="544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1</v>
      </c>
      <c r="D30">
        <v>2020</v>
      </c>
      <c r="E30" s="207">
        <f>ELEC!N31</f>
        <v>0</v>
      </c>
      <c r="F30" s="347">
        <f>SUM('EDl log'!T32)</f>
        <v>0</v>
      </c>
      <c r="G30" s="207">
        <f>-tanks!AW34</f>
        <v>0</v>
      </c>
      <c r="H30" s="347">
        <f>SUM(tanks!AV34)</f>
        <v>0.57999999999999996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8">
        <f>SUM(WATER!J34)</f>
        <v>0</v>
      </c>
      <c r="M30" s="348">
        <f>WATER!Q34</f>
        <v>0</v>
      </c>
      <c r="N30" s="544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1</v>
      </c>
      <c r="D31">
        <v>2020</v>
      </c>
      <c r="E31" s="207">
        <f>ELEC!N32</f>
        <v>0</v>
      </c>
      <c r="F31" s="347">
        <f>SUM('EDl log'!T33)</f>
        <v>0</v>
      </c>
      <c r="G31" s="207">
        <f>-tanks!AW35</f>
        <v>0</v>
      </c>
      <c r="H31" s="347">
        <f>SUM(tanks!AV35)</f>
        <v>0.57999999999999996</v>
      </c>
      <c r="I31" s="10">
        <f>('B5'!AU34)*0.51</f>
        <v>0</v>
      </c>
      <c r="J31" s="326">
        <f>'B5'!AX34/0.51</f>
        <v>1.3725490196078429</v>
      </c>
      <c r="K31" s="207">
        <f>WATER!I35</f>
        <v>0</v>
      </c>
      <c r="L31" s="348">
        <f>SUM(WATER!J35)</f>
        <v>0</v>
      </c>
      <c r="M31" s="348">
        <f>WATER!Q35</f>
        <v>0</v>
      </c>
      <c r="N31" s="544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1</v>
      </c>
      <c r="D32">
        <v>2020</v>
      </c>
      <c r="E32" s="207">
        <f>ELEC!N33</f>
        <v>0</v>
      </c>
      <c r="F32" s="347">
        <f>SUM('EDl log'!T34)</f>
        <v>0</v>
      </c>
      <c r="G32" s="207">
        <f>-tanks!AW36</f>
        <v>0</v>
      </c>
      <c r="H32" s="347">
        <f>SUM(tanks!AV36)</f>
        <v>0.57999999999999996</v>
      </c>
      <c r="I32" s="10">
        <f>('B5'!AU35)*0.51</f>
        <v>0</v>
      </c>
      <c r="J32" s="326">
        <f>'B5'!AX35/0.51</f>
        <v>1.3725490196078429</v>
      </c>
      <c r="K32" s="207">
        <f>WATER!I36</f>
        <v>0</v>
      </c>
      <c r="L32" s="348">
        <f>SUM(WATER!J36)</f>
        <v>0</v>
      </c>
      <c r="M32" s="348">
        <f>WATER!Q36</f>
        <v>0</v>
      </c>
      <c r="N32" s="544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I2" sqref="I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1</v>
      </c>
      <c r="D2">
        <v>2020</v>
      </c>
      <c r="E2" s="207">
        <f>ELEC!M3</f>
        <v>4850</v>
      </c>
      <c r="F2" s="207">
        <f>ELEC!K3</f>
        <v>1588</v>
      </c>
      <c r="G2" s="207">
        <f>ELEC!I3</f>
        <v>2628</v>
      </c>
      <c r="H2" s="207">
        <f>ELEC!E3</f>
        <v>2900</v>
      </c>
      <c r="I2" s="207">
        <f>ELEC!G3</f>
        <v>2273</v>
      </c>
      <c r="J2" s="207">
        <f>WATER!Y6</f>
        <v>48</v>
      </c>
      <c r="K2" s="207">
        <f>WATER!AJ6</f>
        <v>81</v>
      </c>
      <c r="L2" s="10">
        <f>ELEC!B3</f>
        <v>97.98</v>
      </c>
      <c r="M2" s="10"/>
    </row>
    <row r="3" spans="1:13">
      <c r="A3" t="s">
        <v>348</v>
      </c>
      <c r="B3">
        <f>B2+1</f>
        <v>2</v>
      </c>
      <c r="C3">
        <v>1</v>
      </c>
      <c r="D3">
        <v>2020</v>
      </c>
      <c r="E3" s="207">
        <f>ELEC!M4</f>
        <v>4714</v>
      </c>
      <c r="F3" s="207">
        <f>ELEC!K4</f>
        <v>1882</v>
      </c>
      <c r="G3" s="207">
        <f>ELEC!I4</f>
        <v>2598</v>
      </c>
      <c r="H3" s="207">
        <f>ELEC!E4</f>
        <v>3560</v>
      </c>
      <c r="I3" s="207">
        <f>ELEC!G4</f>
        <v>2349</v>
      </c>
      <c r="J3" s="207">
        <f>WATER!Y7</f>
        <v>88</v>
      </c>
      <c r="K3" s="207">
        <f>WATER!AJ7</f>
        <v>59</v>
      </c>
      <c r="L3" s="10">
        <f>ELEC!B4</f>
        <v>77.003999999999991</v>
      </c>
      <c r="M3" s="10"/>
    </row>
    <row r="4" spans="1:13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ELEC!M5</f>
        <v>4880</v>
      </c>
      <c r="F4" s="207">
        <f>ELEC!K5</f>
        <v>1846</v>
      </c>
      <c r="G4" s="207">
        <f>ELEC!I5</f>
        <v>2558</v>
      </c>
      <c r="H4" s="207">
        <f>ELEC!E5</f>
        <v>3438</v>
      </c>
      <c r="I4" s="207">
        <f>ELEC!G5</f>
        <v>2451</v>
      </c>
      <c r="J4" s="207">
        <f>WATER!Y8</f>
        <v>20</v>
      </c>
      <c r="K4" s="207">
        <f>WATER!AJ8</f>
        <v>27</v>
      </c>
      <c r="L4" s="10">
        <f>ELEC!B5</f>
        <v>63.986000000000004</v>
      </c>
      <c r="M4" s="10"/>
    </row>
    <row r="5" spans="1:13">
      <c r="A5" t="s">
        <v>348</v>
      </c>
      <c r="B5">
        <f t="shared" si="0"/>
        <v>4</v>
      </c>
      <c r="C5">
        <v>1</v>
      </c>
      <c r="D5">
        <v>2020</v>
      </c>
      <c r="E5" s="207">
        <f>ELEC!M6</f>
        <v>5028</v>
      </c>
      <c r="F5" s="207">
        <f>ELEC!K6</f>
        <v>2324</v>
      </c>
      <c r="G5" s="207">
        <f>ELEC!I6</f>
        <v>2522</v>
      </c>
      <c r="H5" s="207">
        <f>ELEC!E6</f>
        <v>3480</v>
      </c>
      <c r="I5" s="207">
        <f>ELEC!G6</f>
        <v>2463</v>
      </c>
      <c r="J5" s="207">
        <f>WATER!Y9</f>
        <v>98</v>
      </c>
      <c r="K5" s="207">
        <f>WATER!AJ9</f>
        <v>2</v>
      </c>
      <c r="L5" s="10">
        <f>ELEC!B6</f>
        <v>48.99</v>
      </c>
      <c r="M5" s="10"/>
    </row>
    <row r="6" spans="1:13">
      <c r="A6" t="s">
        <v>348</v>
      </c>
      <c r="B6">
        <f t="shared" si="0"/>
        <v>5</v>
      </c>
      <c r="C6">
        <v>1</v>
      </c>
      <c r="D6">
        <v>2020</v>
      </c>
      <c r="E6" s="207">
        <f>ELEC!M7</f>
        <v>4398</v>
      </c>
      <c r="F6" s="207">
        <f>ELEC!K7</f>
        <v>1702</v>
      </c>
      <c r="G6" s="207">
        <f>ELEC!I7</f>
        <v>2078</v>
      </c>
      <c r="H6" s="207">
        <f>ELEC!E7</f>
        <v>2736</v>
      </c>
      <c r="I6" s="207">
        <f>ELEC!G7</f>
        <v>1995</v>
      </c>
      <c r="J6" s="207">
        <f>WATER!Y10</f>
        <v>4</v>
      </c>
      <c r="K6" s="207">
        <f>WATER!AJ10</f>
        <v>53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1</v>
      </c>
      <c r="D7">
        <v>2020</v>
      </c>
      <c r="E7" s="207">
        <f>ELEC!M8</f>
        <v>3870</v>
      </c>
      <c r="F7" s="207">
        <f>ELEC!K8</f>
        <v>1900</v>
      </c>
      <c r="G7" s="207">
        <f>ELEC!I8</f>
        <v>2188</v>
      </c>
      <c r="H7" s="207">
        <f>ELEC!E8</f>
        <v>3034</v>
      </c>
      <c r="I7" s="207">
        <f>ELEC!G8</f>
        <v>2146</v>
      </c>
      <c r="J7" s="207">
        <f>WATER!Y11</f>
        <v>54</v>
      </c>
      <c r="K7" s="207">
        <f>WATER!AJ11</f>
        <v>57</v>
      </c>
      <c r="L7" s="10">
        <f>ELEC!B8</f>
        <v>37.996000000000002</v>
      </c>
      <c r="M7" s="10"/>
    </row>
    <row r="8" spans="1:13">
      <c r="A8" t="s">
        <v>348</v>
      </c>
      <c r="B8">
        <f t="shared" si="0"/>
        <v>7</v>
      </c>
      <c r="C8">
        <v>1</v>
      </c>
      <c r="D8">
        <v>2020</v>
      </c>
      <c r="E8" s="207">
        <f>ELEC!M9</f>
        <v>3880</v>
      </c>
      <c r="F8" s="207">
        <f>ELEC!K9</f>
        <v>1810</v>
      </c>
      <c r="G8" s="207">
        <f>ELEC!I9</f>
        <v>2068</v>
      </c>
      <c r="H8" s="207">
        <f>ELEC!E9</f>
        <v>2972</v>
      </c>
      <c r="I8" s="207">
        <f>ELEC!G9</f>
        <v>2142</v>
      </c>
      <c r="J8" s="207">
        <f>WATER!Y12</f>
        <v>0</v>
      </c>
      <c r="K8" s="207">
        <f>WATER!AJ12</f>
        <v>31</v>
      </c>
      <c r="L8" s="10">
        <f>ELEC!B9</f>
        <v>54.004000000000005</v>
      </c>
      <c r="M8" s="10"/>
    </row>
    <row r="9" spans="1:13">
      <c r="A9" t="s">
        <v>348</v>
      </c>
      <c r="B9">
        <f t="shared" si="0"/>
        <v>8</v>
      </c>
      <c r="C9">
        <v>1</v>
      </c>
      <c r="D9">
        <v>2020</v>
      </c>
      <c r="E9" s="207">
        <f>ELEC!M10</f>
        <v>3650</v>
      </c>
      <c r="F9" s="207">
        <f>ELEC!K10</f>
        <v>1850</v>
      </c>
      <c r="G9" s="207">
        <f>ELEC!I10</f>
        <v>2170</v>
      </c>
      <c r="H9" s="207">
        <f>ELEC!E10</f>
        <v>2648</v>
      </c>
      <c r="I9" s="207">
        <f>ELEC!G10</f>
        <v>2218.3999999999069</v>
      </c>
      <c r="J9" s="207">
        <f>WATER!Y13</f>
        <v>68</v>
      </c>
      <c r="K9" s="207">
        <f>WATER!AJ13</f>
        <v>58</v>
      </c>
      <c r="L9" s="10">
        <f>ELEC!B10</f>
        <v>53.82</v>
      </c>
      <c r="M9" s="10"/>
    </row>
    <row r="10" spans="1:13">
      <c r="A10" t="s">
        <v>348</v>
      </c>
      <c r="B10">
        <f t="shared" si="0"/>
        <v>9</v>
      </c>
      <c r="C10">
        <v>1</v>
      </c>
      <c r="D10">
        <v>2020</v>
      </c>
      <c r="E10" s="207">
        <f>ELEC!M11</f>
        <v>4112</v>
      </c>
      <c r="F10" s="207">
        <f>ELEC!K11</f>
        <v>1578</v>
      </c>
      <c r="G10" s="207">
        <f>ELEC!I11</f>
        <v>2178</v>
      </c>
      <c r="H10" s="207">
        <f>ELEC!E11</f>
        <v>3440</v>
      </c>
      <c r="I10" s="207">
        <f>ELEC!G11</f>
        <v>2323.6000000000931</v>
      </c>
      <c r="J10" s="207">
        <f>WATER!Y14</f>
        <v>52</v>
      </c>
      <c r="K10" s="207">
        <f>WATER!AJ14</f>
        <v>4</v>
      </c>
      <c r="L10" s="10">
        <f>ELEC!B11</f>
        <v>48.000999999999998</v>
      </c>
      <c r="M10" s="10"/>
    </row>
    <row r="11" spans="1:13">
      <c r="A11" t="s">
        <v>348</v>
      </c>
      <c r="B11">
        <f t="shared" si="0"/>
        <v>10</v>
      </c>
      <c r="C11">
        <v>1</v>
      </c>
      <c r="D11">
        <v>2020</v>
      </c>
      <c r="E11" s="207">
        <f>ELEC!M12</f>
        <v>3938</v>
      </c>
      <c r="F11" s="207">
        <f>ELEC!K12</f>
        <v>1634</v>
      </c>
      <c r="G11" s="207">
        <f>ELEC!I12</f>
        <v>2182</v>
      </c>
      <c r="H11" s="207">
        <f>ELEC!E12</f>
        <v>3044</v>
      </c>
      <c r="I11" s="207">
        <f>ELEC!G12</f>
        <v>2264.7999999998137</v>
      </c>
      <c r="J11" s="207">
        <f>WATER!Y15</f>
        <v>140</v>
      </c>
      <c r="K11" s="207">
        <f>WATER!AJ15</f>
        <v>51</v>
      </c>
      <c r="L11" s="10">
        <f>ELEC!B12</f>
        <v>46</v>
      </c>
      <c r="M11" s="10"/>
    </row>
    <row r="12" spans="1:13">
      <c r="A12" t="s">
        <v>348</v>
      </c>
      <c r="B12">
        <f t="shared" si="0"/>
        <v>11</v>
      </c>
      <c r="C12">
        <v>1</v>
      </c>
      <c r="D12">
        <v>2020</v>
      </c>
      <c r="E12" s="207">
        <f>ELEC!M13</f>
        <v>4798</v>
      </c>
      <c r="F12" s="207">
        <f>ELEC!K13</f>
        <v>1598</v>
      </c>
      <c r="G12" s="207">
        <f>ELEC!I13</f>
        <v>2306</v>
      </c>
      <c r="H12" s="207">
        <f>ELEC!E13</f>
        <v>3078</v>
      </c>
      <c r="I12" s="207">
        <f>ELEC!G13</f>
        <v>2231.2000000001863</v>
      </c>
      <c r="J12" s="207">
        <f>WATER!Y16</f>
        <v>67</v>
      </c>
      <c r="K12" s="207">
        <f>WATER!AJ16</f>
        <v>35</v>
      </c>
      <c r="L12" s="10">
        <f>ELEC!B13</f>
        <v>39.008000000000003</v>
      </c>
      <c r="M12" s="10"/>
    </row>
    <row r="13" spans="1:13">
      <c r="A13" t="s">
        <v>348</v>
      </c>
      <c r="B13">
        <f t="shared" si="0"/>
        <v>12</v>
      </c>
      <c r="C13">
        <v>1</v>
      </c>
      <c r="D13">
        <v>2020</v>
      </c>
      <c r="E13" s="207">
        <f>ELEC!M14</f>
        <v>4462</v>
      </c>
      <c r="F13" s="207">
        <f>ELEC!K14</f>
        <v>1534</v>
      </c>
      <c r="G13" s="207">
        <f>ELEC!I14</f>
        <v>2480</v>
      </c>
      <c r="H13" s="207">
        <f>ELEC!E14</f>
        <v>3214</v>
      </c>
      <c r="I13" s="207">
        <f>ELEC!G14</f>
        <v>2485</v>
      </c>
      <c r="J13" s="207">
        <f>WATER!Y17</f>
        <v>101</v>
      </c>
      <c r="K13" s="207">
        <f>WATER!AJ17</f>
        <v>110</v>
      </c>
      <c r="L13" s="10">
        <f>ELEC!B14</f>
        <v>39.997</v>
      </c>
      <c r="M13" s="10"/>
    </row>
    <row r="14" spans="1:13">
      <c r="A14" t="s">
        <v>348</v>
      </c>
      <c r="B14">
        <f t="shared" si="0"/>
        <v>13</v>
      </c>
      <c r="C14">
        <v>1</v>
      </c>
      <c r="D14">
        <v>2020</v>
      </c>
      <c r="E14" s="207">
        <f>ELEC!M15</f>
        <v>3916</v>
      </c>
      <c r="F14" s="207">
        <f>ELEC!K15</f>
        <v>2088</v>
      </c>
      <c r="G14" s="207">
        <f>ELEC!I15</f>
        <v>2052</v>
      </c>
      <c r="H14" s="207">
        <f>ELEC!E15</f>
        <v>2560</v>
      </c>
      <c r="I14" s="207">
        <f>ELEC!G15</f>
        <v>2185</v>
      </c>
      <c r="J14" s="207">
        <f>WATER!Y18</f>
        <v>75</v>
      </c>
      <c r="K14" s="207">
        <f>WATER!AJ18</f>
        <v>0</v>
      </c>
      <c r="L14" s="10">
        <f>ELEC!B15</f>
        <v>41.998000000000005</v>
      </c>
      <c r="M14" s="10"/>
    </row>
    <row r="15" spans="1:13">
      <c r="A15" t="s">
        <v>348</v>
      </c>
      <c r="B15">
        <f t="shared" si="0"/>
        <v>14</v>
      </c>
      <c r="C15">
        <v>1</v>
      </c>
      <c r="D15">
        <v>2020</v>
      </c>
      <c r="E15" s="207">
        <f>ELEC!M16</f>
        <v>4372</v>
      </c>
      <c r="F15" s="207">
        <f>ELEC!K16</f>
        <v>1628</v>
      </c>
      <c r="G15" s="207">
        <f>ELEC!I16</f>
        <v>2136</v>
      </c>
      <c r="H15" s="207">
        <f>ELEC!E16</f>
        <v>2400</v>
      </c>
      <c r="I15" s="207">
        <f>ELEC!G16</f>
        <v>2042</v>
      </c>
      <c r="J15" s="207">
        <f>WATER!Y19</f>
        <v>90</v>
      </c>
      <c r="K15" s="207">
        <f>WATER!AJ19</f>
        <v>57</v>
      </c>
      <c r="L15" s="10">
        <f>ELEC!B16</f>
        <v>48.000999999999998</v>
      </c>
      <c r="M15" s="10"/>
    </row>
    <row r="16" spans="1:13">
      <c r="A16" t="s">
        <v>348</v>
      </c>
      <c r="B16">
        <f t="shared" si="0"/>
        <v>15</v>
      </c>
      <c r="C16">
        <v>1</v>
      </c>
      <c r="D16">
        <v>2020</v>
      </c>
      <c r="E16" s="207">
        <f>ELEC!M17</f>
        <v>4270</v>
      </c>
      <c r="F16" s="207">
        <f>ELEC!K17</f>
        <v>1678</v>
      </c>
      <c r="G16" s="207">
        <f>ELEC!I17</f>
        <v>2104</v>
      </c>
      <c r="H16" s="207">
        <f>ELEC!E17</f>
        <v>2696</v>
      </c>
      <c r="I16" s="207">
        <f>ELEC!G17</f>
        <v>2131</v>
      </c>
      <c r="J16" s="207">
        <f>WATER!Y20</f>
        <v>2</v>
      </c>
      <c r="K16" s="207">
        <f>WATER!AJ20</f>
        <v>0</v>
      </c>
      <c r="L16" s="10">
        <f>ELEC!B17</f>
        <v>52.003</v>
      </c>
      <c r="M16" s="10"/>
    </row>
    <row r="17" spans="1:13">
      <c r="A17" t="s">
        <v>348</v>
      </c>
      <c r="B17">
        <f t="shared" si="0"/>
        <v>16</v>
      </c>
      <c r="C17">
        <v>1</v>
      </c>
      <c r="D17">
        <v>2020</v>
      </c>
      <c r="E17" s="207">
        <f>ELEC!M18</f>
        <v>3682</v>
      </c>
      <c r="F17" s="207">
        <f>ELEC!K18</f>
        <v>1936</v>
      </c>
      <c r="G17" s="207">
        <f>ELEC!I18</f>
        <v>1696</v>
      </c>
      <c r="H17" s="207">
        <f>ELEC!E18</f>
        <v>2188</v>
      </c>
      <c r="I17" s="207">
        <f>ELEC!G18</f>
        <v>1867.3999999999069</v>
      </c>
      <c r="J17" s="207">
        <f>WATER!Y21</f>
        <v>69</v>
      </c>
      <c r="K17" s="207">
        <f>WATER!AJ21</f>
        <v>89</v>
      </c>
      <c r="L17" s="10">
        <f>ELEC!B18</f>
        <v>52.003</v>
      </c>
      <c r="M17" s="10"/>
    </row>
    <row r="18" spans="1:13">
      <c r="A18" t="s">
        <v>348</v>
      </c>
      <c r="B18">
        <f t="shared" si="0"/>
        <v>17</v>
      </c>
      <c r="C18">
        <v>1</v>
      </c>
      <c r="D18">
        <v>2020</v>
      </c>
      <c r="E18" s="207">
        <f>ELEC!M19</f>
        <v>4630</v>
      </c>
      <c r="F18" s="207">
        <f>ELEC!K19</f>
        <v>1580</v>
      </c>
      <c r="G18" s="207">
        <f>ELEC!I19</f>
        <v>2360</v>
      </c>
      <c r="H18" s="207">
        <f>ELEC!E19</f>
        <v>3306</v>
      </c>
      <c r="I18" s="207">
        <f>ELEC!G19</f>
        <v>2373.6000000000931</v>
      </c>
      <c r="J18" s="207">
        <f>WATER!Y22</f>
        <v>0</v>
      </c>
      <c r="K18" s="207">
        <f>WATER!AJ22</f>
        <v>0</v>
      </c>
      <c r="L18" s="10">
        <f>ELEC!B19</f>
        <v>39.997</v>
      </c>
      <c r="M18" s="10"/>
    </row>
    <row r="19" spans="1:13">
      <c r="A19" t="s">
        <v>348</v>
      </c>
      <c r="B19">
        <f t="shared" si="0"/>
        <v>18</v>
      </c>
      <c r="C19">
        <v>1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1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1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1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1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1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1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1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1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1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1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1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1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1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M1" zoomScaleNormal="100" zoomScaleSheetLayoutView="100" workbookViewId="0">
      <pane ySplit="1" topLeftCell="A5" activePane="bottomLeft" state="frozen"/>
      <selection activeCell="C1" sqref="C1"/>
      <selection pane="bottomLeft" activeCell="AG19" sqref="AG19"/>
    </sheetView>
  </sheetViews>
  <sheetFormatPr defaultRowHeight="15"/>
  <cols>
    <col min="1" max="1" width="7.7109375" style="501" bestFit="1" customWidth="1"/>
    <col min="2" max="2" width="10.28515625" style="510" bestFit="1" customWidth="1"/>
    <col min="3" max="3" width="11.5703125" style="501" customWidth="1"/>
    <col min="4" max="4" width="18" style="511" bestFit="1" customWidth="1"/>
    <col min="5" max="5" width="14.42578125" style="511" bestFit="1" customWidth="1"/>
    <col min="6" max="6" width="15.28515625" style="511" bestFit="1" customWidth="1"/>
    <col min="7" max="7" width="12" style="511" bestFit="1" customWidth="1"/>
    <col min="8" max="8" width="18" style="511" bestFit="1" customWidth="1"/>
    <col min="9" max="9" width="13" style="511" bestFit="1" customWidth="1"/>
    <col min="10" max="10" width="18" style="511" bestFit="1" customWidth="1"/>
    <col min="11" max="11" width="11.7109375" style="511" bestFit="1" customWidth="1"/>
    <col min="12" max="12" width="18" style="511" bestFit="1" customWidth="1"/>
    <col min="13" max="13" width="12" style="511" bestFit="1" customWidth="1"/>
    <col min="14" max="14" width="15.42578125" style="501" bestFit="1" customWidth="1"/>
    <col min="15" max="15" width="13.140625" style="512" bestFit="1" customWidth="1"/>
    <col min="16" max="16" width="14.28515625" style="501" bestFit="1" customWidth="1"/>
    <col min="17" max="17" width="13.7109375" style="501" bestFit="1" customWidth="1"/>
    <col min="18" max="18" width="12.42578125" style="501" bestFit="1" customWidth="1"/>
    <col min="19" max="21" width="11.5703125" style="501" bestFit="1" customWidth="1"/>
    <col min="22" max="22" width="13.140625" style="501" bestFit="1" customWidth="1"/>
    <col min="23" max="25" width="11.5703125" style="501" bestFit="1" customWidth="1"/>
    <col min="26" max="26" width="13.140625" style="501" bestFit="1" customWidth="1"/>
    <col min="27" max="29" width="11.5703125" style="501" bestFit="1" customWidth="1"/>
    <col min="30" max="30" width="13.140625" style="501" bestFit="1" customWidth="1"/>
    <col min="31" max="32" width="11.5703125" style="501" bestFit="1" customWidth="1"/>
    <col min="33" max="33" width="14.42578125" style="501" bestFit="1" customWidth="1"/>
    <col min="34" max="34" width="9.140625" style="501"/>
    <col min="35" max="35" width="9.7109375" style="501" bestFit="1" customWidth="1"/>
    <col min="36" max="16384" width="9.140625" style="501"/>
  </cols>
  <sheetData>
    <row r="1" spans="1:115" s="485" customFormat="1" ht="18.75" customHeight="1">
      <c r="A1" s="485" t="s">
        <v>19</v>
      </c>
      <c r="B1" s="486" t="s">
        <v>155</v>
      </c>
      <c r="C1" s="487"/>
      <c r="D1" s="488" t="s">
        <v>20</v>
      </c>
      <c r="E1" s="488" t="s">
        <v>21</v>
      </c>
      <c r="F1" s="488" t="s">
        <v>22</v>
      </c>
      <c r="G1" s="488" t="s">
        <v>23</v>
      </c>
      <c r="H1" s="488" t="s">
        <v>24</v>
      </c>
      <c r="I1" s="488" t="s">
        <v>25</v>
      </c>
      <c r="J1" s="488" t="s">
        <v>26</v>
      </c>
      <c r="K1" s="488" t="s">
        <v>27</v>
      </c>
      <c r="L1" s="488" t="s">
        <v>28</v>
      </c>
      <c r="M1" s="488" t="s">
        <v>29</v>
      </c>
      <c r="N1" s="489" t="s">
        <v>30</v>
      </c>
      <c r="O1" s="490" t="s">
        <v>156</v>
      </c>
      <c r="P1" s="491" t="s">
        <v>329</v>
      </c>
      <c r="Q1" s="489" t="s">
        <v>31</v>
      </c>
      <c r="R1" s="489" t="s">
        <v>32</v>
      </c>
      <c r="S1" s="489" t="s">
        <v>364</v>
      </c>
      <c r="T1" s="489" t="s">
        <v>33</v>
      </c>
      <c r="U1" s="489" t="s">
        <v>34</v>
      </c>
      <c r="V1" s="489" t="s">
        <v>35</v>
      </c>
      <c r="W1" s="489" t="s">
        <v>36</v>
      </c>
      <c r="X1" s="489" t="s">
        <v>33</v>
      </c>
      <c r="Y1" s="489" t="s">
        <v>37</v>
      </c>
      <c r="Z1" s="489" t="s">
        <v>38</v>
      </c>
      <c r="AA1" s="489" t="s">
        <v>39</v>
      </c>
      <c r="AB1" s="489" t="s">
        <v>33</v>
      </c>
      <c r="AC1" s="489" t="s">
        <v>77</v>
      </c>
      <c r="AD1" s="489" t="s">
        <v>40</v>
      </c>
      <c r="AE1" s="489" t="s">
        <v>41</v>
      </c>
      <c r="AF1" s="489" t="s">
        <v>42</v>
      </c>
      <c r="AG1" s="485" t="s">
        <v>132</v>
      </c>
    </row>
    <row r="2" spans="1:115" s="484" customFormat="1">
      <c r="A2" s="548">
        <v>0.1391</v>
      </c>
      <c r="B2" s="548">
        <v>0.1391</v>
      </c>
      <c r="C2" s="493" t="s">
        <v>412</v>
      </c>
      <c r="D2" s="517">
        <f>[1]ELEC!D33</f>
        <v>31308238</v>
      </c>
      <c r="E2" s="517">
        <f>[1]ELEC!E33</f>
        <v>3678</v>
      </c>
      <c r="F2" s="517">
        <f>[1]ELEC!F33</f>
        <v>3431349</v>
      </c>
      <c r="G2" s="517">
        <f>[1]ELEC!G33</f>
        <v>2479</v>
      </c>
      <c r="H2" s="517">
        <f>[1]ELEC!H33</f>
        <v>17219918</v>
      </c>
      <c r="I2" s="517">
        <f>[1]ELEC!I33</f>
        <v>2804</v>
      </c>
      <c r="J2" s="517">
        <f>[1]ELEC!J33</f>
        <v>28230090</v>
      </c>
      <c r="K2" s="517">
        <f>[1]ELEC!K33</f>
        <v>3048</v>
      </c>
      <c r="L2" s="517">
        <f>[1]ELEC!L33</f>
        <v>22522846</v>
      </c>
      <c r="M2" s="517">
        <f>[1]ELEC!M33</f>
        <v>4076</v>
      </c>
      <c r="N2" s="517">
        <f>[1]ELEC!N33</f>
        <v>16085</v>
      </c>
      <c r="O2" s="517">
        <f>[1]ELEC!O33</f>
        <v>139.86956521739131</v>
      </c>
      <c r="P2" s="517">
        <f>[1]ELEC!P33</f>
        <v>15218.2</v>
      </c>
      <c r="Q2" s="517">
        <f>[1]ELEC!Q33</f>
        <v>3495.0000000008004</v>
      </c>
      <c r="R2" s="517">
        <f>[1]ELEC!R33</f>
        <v>12589.9999999992</v>
      </c>
      <c r="S2" s="517">
        <f>[1]ELEC!S33</f>
        <v>8334</v>
      </c>
      <c r="T2" s="517">
        <f>[1]ELEC!T33</f>
        <v>0</v>
      </c>
      <c r="U2" s="517">
        <f>[1]ELEC!U33</f>
        <v>1014633</v>
      </c>
      <c r="V2" s="517">
        <f>[1]ELEC!V33</f>
        <v>0</v>
      </c>
      <c r="W2" s="517">
        <f>[1]ELEC!W33</f>
        <v>31800</v>
      </c>
      <c r="X2" s="517">
        <f>[1]ELEC!X33</f>
        <v>10</v>
      </c>
      <c r="Y2" s="517">
        <f>[1]ELEC!Y33</f>
        <v>616769</v>
      </c>
      <c r="Z2" s="517">
        <f>[1]ELEC!Z33</f>
        <v>1726</v>
      </c>
      <c r="AA2" s="517">
        <f>[1]ELEC!AA33</f>
        <v>34851</v>
      </c>
      <c r="AB2" s="517">
        <f>[1]ELEC!AB33</f>
        <v>0</v>
      </c>
      <c r="AC2" s="517">
        <f>[1]ELEC!AC33</f>
        <v>735699</v>
      </c>
      <c r="AD2" s="517">
        <f>[1]ELEC!AD33</f>
        <v>0</v>
      </c>
      <c r="AE2" s="517">
        <f>[1]ELEC!AE33</f>
        <v>10</v>
      </c>
      <c r="AF2" s="517">
        <f>[1]ELEC!AF33</f>
        <v>1726</v>
      </c>
      <c r="AG2" s="517">
        <f>[1]ELEC!AG33</f>
        <v>172.6</v>
      </c>
      <c r="AH2" s="517">
        <f>[1]ELEC!AH33</f>
        <v>0</v>
      </c>
      <c r="AI2" s="517">
        <f>[1]ELEC!AI33</f>
        <v>-49239434</v>
      </c>
      <c r="AJ2" s="517"/>
      <c r="AK2" s="517"/>
      <c r="AL2" s="517"/>
      <c r="AM2" s="517"/>
      <c r="AN2" s="517"/>
      <c r="AO2" s="517"/>
      <c r="AP2" s="517"/>
      <c r="AQ2" s="517"/>
      <c r="AR2" s="517"/>
      <c r="AS2" s="517"/>
      <c r="AT2" s="517"/>
      <c r="AU2" s="517"/>
      <c r="AV2" s="517"/>
      <c r="AW2" s="517"/>
      <c r="AX2" s="517"/>
      <c r="AY2" s="517"/>
      <c r="AZ2" s="517"/>
      <c r="BA2" s="517"/>
      <c r="BB2" s="517"/>
      <c r="BC2" s="517"/>
      <c r="BD2" s="517"/>
      <c r="BE2" s="517"/>
      <c r="BF2" s="517"/>
      <c r="BG2" s="517"/>
      <c r="BH2" s="517"/>
      <c r="BI2" s="517"/>
      <c r="BJ2" s="517"/>
      <c r="BK2" s="517"/>
      <c r="BL2" s="517"/>
      <c r="BM2" s="517"/>
      <c r="BN2" s="517"/>
      <c r="BO2" s="517"/>
      <c r="BP2" s="517"/>
      <c r="BQ2" s="517"/>
      <c r="BR2" s="517"/>
      <c r="BS2" s="517"/>
      <c r="BT2" s="517"/>
      <c r="BU2" s="517"/>
      <c r="BV2" s="517"/>
      <c r="BW2" s="517"/>
      <c r="BX2" s="517"/>
      <c r="BY2" s="517"/>
      <c r="BZ2" s="517"/>
      <c r="CA2" s="517"/>
      <c r="CB2" s="517"/>
      <c r="CC2" s="517"/>
      <c r="CD2" s="517"/>
      <c r="CE2" s="517"/>
      <c r="CF2" s="517"/>
      <c r="CG2" s="517"/>
      <c r="CH2" s="517"/>
      <c r="CI2" s="517"/>
      <c r="CJ2" s="517"/>
      <c r="CK2" s="517"/>
      <c r="CL2" s="517"/>
      <c r="CM2" s="517"/>
      <c r="CN2" s="517"/>
      <c r="CO2" s="517"/>
      <c r="CP2" s="517"/>
      <c r="CQ2" s="517"/>
      <c r="CR2" s="517"/>
      <c r="CS2" s="517"/>
      <c r="CT2" s="517"/>
      <c r="CU2" s="517"/>
      <c r="CV2" s="517"/>
      <c r="CW2" s="517"/>
      <c r="CX2" s="517"/>
      <c r="CY2" s="517"/>
      <c r="CZ2" s="517"/>
      <c r="DA2" s="517"/>
      <c r="DB2" s="517"/>
      <c r="DC2" s="517"/>
      <c r="DD2" s="517"/>
      <c r="DE2" s="517"/>
      <c r="DF2" s="517"/>
      <c r="DG2" s="517"/>
      <c r="DH2" s="517"/>
      <c r="DI2" s="517"/>
      <c r="DJ2" s="517"/>
      <c r="DK2" s="517"/>
    </row>
    <row r="3" spans="1:115">
      <c r="A3" s="492">
        <f>'General information '!F6</f>
        <v>0.42599999999999999</v>
      </c>
      <c r="B3" s="486">
        <f>SUM(230*A3)</f>
        <v>97.98</v>
      </c>
      <c r="C3" s="493">
        <v>43831</v>
      </c>
      <c r="D3" s="480">
        <v>31311138</v>
      </c>
      <c r="E3" s="481">
        <f>D3-D2</f>
        <v>2900</v>
      </c>
      <c r="F3" s="480">
        <v>3433622</v>
      </c>
      <c r="G3" s="482">
        <f t="shared" ref="G3:G31" si="0">F3-F2</f>
        <v>2273</v>
      </c>
      <c r="H3" s="480">
        <v>17222546</v>
      </c>
      <c r="I3" s="482">
        <f>H3-H2</f>
        <v>2628</v>
      </c>
      <c r="J3" s="480">
        <v>28231678</v>
      </c>
      <c r="K3" s="482">
        <f>J3-J2</f>
        <v>1588</v>
      </c>
      <c r="L3" s="480">
        <v>22527696</v>
      </c>
      <c r="M3" s="482">
        <f>L3-L2</f>
        <v>4850</v>
      </c>
      <c r="N3" s="483">
        <f>M3+K3+I3+G3+E3</f>
        <v>14239</v>
      </c>
      <c r="O3" s="494">
        <f t="shared" ref="O3:O9" si="1">IF(B3&gt;0,N3/B3,0)</f>
        <v>145.32557664829557</v>
      </c>
      <c r="P3" s="480">
        <v>15220.746999999999</v>
      </c>
      <c r="Q3" s="495">
        <f>(P3-P2)*1000</f>
        <v>2546.9999999986612</v>
      </c>
      <c r="R3" s="496">
        <f>+N3-Q3</f>
        <v>11692.000000001339</v>
      </c>
      <c r="S3" s="480">
        <v>8341</v>
      </c>
      <c r="T3" s="497">
        <f t="shared" ref="T3:T32" si="2">S3-S2</f>
        <v>7</v>
      </c>
      <c r="U3" s="480">
        <v>1015726</v>
      </c>
      <c r="V3" s="495">
        <f>U3-U2</f>
        <v>1093</v>
      </c>
      <c r="W3" s="480">
        <v>31800</v>
      </c>
      <c r="X3" s="495">
        <f t="shared" ref="X3:X8" si="3">W3-W2</f>
        <v>0</v>
      </c>
      <c r="Y3" s="480">
        <v>616769</v>
      </c>
      <c r="Z3" s="495">
        <f>Y3-Y2</f>
        <v>0</v>
      </c>
      <c r="AA3" s="480">
        <v>34851</v>
      </c>
      <c r="AB3" s="495">
        <f>AA3-AA2</f>
        <v>0</v>
      </c>
      <c r="AC3" s="480">
        <v>735699</v>
      </c>
      <c r="AD3" s="498">
        <f>AC3-AC2</f>
        <v>0</v>
      </c>
      <c r="AE3" s="499">
        <f>AB3+X3+T3</f>
        <v>7</v>
      </c>
      <c r="AF3" s="480">
        <f>V3+Z3+AD3</f>
        <v>1093</v>
      </c>
      <c r="AG3" s="500">
        <f t="shared" ref="AG3:AG9" si="4">IF(AE3&gt;0,AF3/AE3,0)</f>
        <v>156.14285714285714</v>
      </c>
    </row>
    <row r="4" spans="1:115">
      <c r="A4" s="492">
        <f>'General information '!F7</f>
        <v>0.33479999999999999</v>
      </c>
      <c r="B4" s="486">
        <f t="shared" ref="B4:B31" si="5">SUM(230*A4)</f>
        <v>77.003999999999991</v>
      </c>
      <c r="C4" s="493">
        <v>43832</v>
      </c>
      <c r="D4" s="480">
        <v>31314698</v>
      </c>
      <c r="E4" s="328">
        <f>D4-D3</f>
        <v>3560</v>
      </c>
      <c r="F4" s="480">
        <v>3435971</v>
      </c>
      <c r="G4" s="329">
        <f t="shared" si="0"/>
        <v>2349</v>
      </c>
      <c r="H4" s="480">
        <v>17225144</v>
      </c>
      <c r="I4" s="329">
        <f>H4-H3</f>
        <v>2598</v>
      </c>
      <c r="J4" s="480">
        <v>28233560</v>
      </c>
      <c r="K4" s="329">
        <f>J4-J3</f>
        <v>1882</v>
      </c>
      <c r="L4" s="480">
        <v>22532410</v>
      </c>
      <c r="M4" s="329">
        <f>L4-L3</f>
        <v>4714</v>
      </c>
      <c r="N4" s="327">
        <f>M4+K4+I4+G4+E4</f>
        <v>15103</v>
      </c>
      <c r="O4" s="502">
        <f t="shared" si="1"/>
        <v>196.13266843280871</v>
      </c>
      <c r="P4" s="480">
        <v>15225.369000000001</v>
      </c>
      <c r="Q4" s="503">
        <f t="shared" ref="Q4:Q12" si="6">(P4-P3)*1000</f>
        <v>4622.0000000012078</v>
      </c>
      <c r="R4" s="484">
        <f>N4-Q4</f>
        <v>10480.999999998792</v>
      </c>
      <c r="S4" s="480">
        <v>8345</v>
      </c>
      <c r="T4" s="504">
        <f t="shared" si="2"/>
        <v>4</v>
      </c>
      <c r="U4" s="480">
        <v>1016381</v>
      </c>
      <c r="V4" s="484">
        <f>U4-U3</f>
        <v>655</v>
      </c>
      <c r="W4" s="480">
        <v>31802</v>
      </c>
      <c r="X4" s="484">
        <f t="shared" si="3"/>
        <v>2</v>
      </c>
      <c r="Y4" s="480">
        <v>617066</v>
      </c>
      <c r="Z4" s="484">
        <f>Y4-Y3</f>
        <v>297</v>
      </c>
      <c r="AA4" s="480">
        <v>34853</v>
      </c>
      <c r="AB4" s="505">
        <f>AA4-AA3</f>
        <v>2</v>
      </c>
      <c r="AC4" s="480">
        <v>736029</v>
      </c>
      <c r="AD4" s="506">
        <f>AC4-AC3</f>
        <v>330</v>
      </c>
      <c r="AE4" s="507">
        <f t="shared" ref="AE4:AE32" si="7">AB4+X4+T4</f>
        <v>8</v>
      </c>
      <c r="AF4" s="508">
        <f t="shared" ref="AF4:AF31" si="8">V4+Z4+AD4</f>
        <v>1282</v>
      </c>
      <c r="AG4" s="500">
        <f t="shared" si="4"/>
        <v>160.25</v>
      </c>
    </row>
    <row r="5" spans="1:115">
      <c r="A5" s="492">
        <f>'General information '!F8</f>
        <v>0.2782</v>
      </c>
      <c r="B5" s="486">
        <f>SUM(230*A5)</f>
        <v>63.986000000000004</v>
      </c>
      <c r="C5" s="493">
        <v>43833</v>
      </c>
      <c r="D5" s="480">
        <v>31318136</v>
      </c>
      <c r="E5" s="328">
        <f t="shared" ref="E5:E32" si="9">D5-D4</f>
        <v>3438</v>
      </c>
      <c r="F5" s="480">
        <v>3438422</v>
      </c>
      <c r="G5" s="329">
        <f t="shared" si="0"/>
        <v>2451</v>
      </c>
      <c r="H5" s="480">
        <v>17227702</v>
      </c>
      <c r="I5" s="329">
        <f t="shared" ref="I5:I31" si="10">H5-H4</f>
        <v>2558</v>
      </c>
      <c r="J5" s="480">
        <v>28235406</v>
      </c>
      <c r="K5" s="329">
        <f t="shared" ref="K5:K31" si="11">J5-J4</f>
        <v>1846</v>
      </c>
      <c r="L5" s="480">
        <v>22537290</v>
      </c>
      <c r="M5" s="329">
        <f t="shared" ref="M5:M31" si="12">L5-L4</f>
        <v>4880</v>
      </c>
      <c r="N5" s="327">
        <f t="shared" ref="N5:N31" si="13">M5+K5+I5+G5+E5</f>
        <v>15173</v>
      </c>
      <c r="O5" s="502">
        <f t="shared" si="1"/>
        <v>237.12999718688462</v>
      </c>
      <c r="P5" s="480">
        <v>15230</v>
      </c>
      <c r="Q5" s="503">
        <f>(P5-P4)*1000</f>
        <v>4630.9999999994034</v>
      </c>
      <c r="R5" s="484">
        <f>N5-Q5</f>
        <v>10542.000000000597</v>
      </c>
      <c r="S5" s="480">
        <v>8350</v>
      </c>
      <c r="T5" s="504">
        <f t="shared" si="2"/>
        <v>5</v>
      </c>
      <c r="U5" s="480">
        <v>1017190</v>
      </c>
      <c r="V5" s="484">
        <f t="shared" ref="V5:V32" si="14">U5-U4</f>
        <v>809</v>
      </c>
      <c r="W5" s="480">
        <v>31804</v>
      </c>
      <c r="X5" s="484">
        <f t="shared" si="3"/>
        <v>2</v>
      </c>
      <c r="Y5" s="480">
        <v>617292</v>
      </c>
      <c r="Z5" s="484">
        <f>Y5-Y4</f>
        <v>226</v>
      </c>
      <c r="AA5" s="480">
        <v>34855</v>
      </c>
      <c r="AB5" s="484">
        <f t="shared" ref="AB5:AB32" si="15">AA5-AA4</f>
        <v>2</v>
      </c>
      <c r="AC5" s="480">
        <v>736416</v>
      </c>
      <c r="AD5" s="484">
        <f t="shared" ref="AD5:AD16" si="16">AC5-AC4</f>
        <v>387</v>
      </c>
      <c r="AE5" s="507">
        <f t="shared" si="7"/>
        <v>9</v>
      </c>
      <c r="AF5" s="508">
        <f t="shared" si="8"/>
        <v>1422</v>
      </c>
      <c r="AG5" s="500">
        <f t="shared" si="4"/>
        <v>158</v>
      </c>
      <c r="AI5" s="501">
        <f>R5-'EDl log'!B3</f>
        <v>-49262991</v>
      </c>
    </row>
    <row r="6" spans="1:115">
      <c r="A6" s="492">
        <f>'General information '!F9</f>
        <v>0.21299999999999999</v>
      </c>
      <c r="B6" s="486">
        <f t="shared" si="5"/>
        <v>48.99</v>
      </c>
      <c r="C6" s="493">
        <v>43834</v>
      </c>
      <c r="D6" s="480">
        <v>31321616</v>
      </c>
      <c r="E6" s="328">
        <f t="shared" si="9"/>
        <v>3480</v>
      </c>
      <c r="F6" s="480">
        <v>3440885</v>
      </c>
      <c r="G6" s="329">
        <f t="shared" si="0"/>
        <v>2463</v>
      </c>
      <c r="H6" s="480">
        <v>17230224</v>
      </c>
      <c r="I6" s="329">
        <f t="shared" si="10"/>
        <v>2522</v>
      </c>
      <c r="J6" s="480">
        <v>28237730</v>
      </c>
      <c r="K6" s="329">
        <f t="shared" si="11"/>
        <v>2324</v>
      </c>
      <c r="L6" s="480">
        <v>22542318</v>
      </c>
      <c r="M6" s="329">
        <f t="shared" si="12"/>
        <v>5028</v>
      </c>
      <c r="N6" s="327">
        <f t="shared" si="13"/>
        <v>15817</v>
      </c>
      <c r="O6" s="502">
        <f t="shared" si="1"/>
        <v>322.86180853235351</v>
      </c>
      <c r="P6" s="480">
        <v>15234</v>
      </c>
      <c r="Q6" s="484">
        <f t="shared" si="6"/>
        <v>4000</v>
      </c>
      <c r="R6" s="484">
        <f t="shared" ref="R6:R31" si="17">N6-Q6</f>
        <v>11817</v>
      </c>
      <c r="S6" s="480">
        <v>8352</v>
      </c>
      <c r="T6" s="504">
        <f t="shared" si="2"/>
        <v>2</v>
      </c>
      <c r="U6" s="480">
        <v>1017672</v>
      </c>
      <c r="V6" s="484">
        <f t="shared" si="14"/>
        <v>482</v>
      </c>
      <c r="W6" s="480">
        <v>31807</v>
      </c>
      <c r="X6" s="484">
        <f t="shared" si="3"/>
        <v>3</v>
      </c>
      <c r="Y6" s="480">
        <v>617924</v>
      </c>
      <c r="Z6" s="484">
        <f t="shared" ref="Z6:Z30" si="18">Y6-Y5</f>
        <v>632</v>
      </c>
      <c r="AA6" s="480">
        <v>34855</v>
      </c>
      <c r="AB6" s="484">
        <f t="shared" si="15"/>
        <v>0</v>
      </c>
      <c r="AC6" s="480">
        <f t="shared" ref="AC6:AC33" si="19">AC5</f>
        <v>736416</v>
      </c>
      <c r="AD6" s="484">
        <f t="shared" si="16"/>
        <v>0</v>
      </c>
      <c r="AE6" s="507">
        <f t="shared" si="7"/>
        <v>5</v>
      </c>
      <c r="AF6" s="508">
        <f t="shared" si="8"/>
        <v>1114</v>
      </c>
      <c r="AG6" s="500">
        <f t="shared" si="4"/>
        <v>222.8</v>
      </c>
      <c r="AI6" s="501">
        <f>R6-'EDl log'!B4</f>
        <v>-49267868</v>
      </c>
    </row>
    <row r="7" spans="1:115">
      <c r="A7" s="492">
        <f>'General information '!F10</f>
        <v>0.16089999999999999</v>
      </c>
      <c r="B7" s="486">
        <f t="shared" si="5"/>
        <v>37.006999999999998</v>
      </c>
      <c r="C7" s="493">
        <v>43835</v>
      </c>
      <c r="D7" s="480">
        <v>31324352</v>
      </c>
      <c r="E7" s="328">
        <f t="shared" si="9"/>
        <v>2736</v>
      </c>
      <c r="F7" s="480">
        <v>3442880</v>
      </c>
      <c r="G7" s="329">
        <f t="shared" si="0"/>
        <v>1995</v>
      </c>
      <c r="H7" s="480">
        <v>17232302</v>
      </c>
      <c r="I7" s="329">
        <f t="shared" si="10"/>
        <v>2078</v>
      </c>
      <c r="J7" s="480">
        <v>28239432</v>
      </c>
      <c r="K7" s="329">
        <f t="shared" si="11"/>
        <v>1702</v>
      </c>
      <c r="L7" s="480">
        <v>22546716</v>
      </c>
      <c r="M7" s="329">
        <f t="shared" si="12"/>
        <v>4398</v>
      </c>
      <c r="N7" s="327">
        <f t="shared" si="13"/>
        <v>12909</v>
      </c>
      <c r="O7" s="502">
        <f t="shared" si="1"/>
        <v>348.82589780311832</v>
      </c>
      <c r="P7" s="480">
        <v>15236.585999999999</v>
      </c>
      <c r="Q7" s="484">
        <f t="shared" si="6"/>
        <v>2585.9999999993306</v>
      </c>
      <c r="R7" s="484">
        <f>N7-Q24</f>
        <v>12909</v>
      </c>
      <c r="S7" s="480">
        <v>8355</v>
      </c>
      <c r="T7" s="504">
        <f t="shared" si="2"/>
        <v>3</v>
      </c>
      <c r="U7" s="480">
        <v>1018314</v>
      </c>
      <c r="V7" s="484">
        <f t="shared" si="14"/>
        <v>642</v>
      </c>
      <c r="W7" s="480">
        <v>31810</v>
      </c>
      <c r="X7" s="484">
        <f t="shared" si="3"/>
        <v>3</v>
      </c>
      <c r="Y7" s="480">
        <v>618493</v>
      </c>
      <c r="Z7" s="484">
        <f t="shared" si="18"/>
        <v>569</v>
      </c>
      <c r="AA7" s="480">
        <v>34856</v>
      </c>
      <c r="AB7" s="484">
        <f t="shared" si="15"/>
        <v>1</v>
      </c>
      <c r="AC7" s="480">
        <v>736573</v>
      </c>
      <c r="AD7" s="484">
        <f t="shared" si="16"/>
        <v>157</v>
      </c>
      <c r="AE7" s="507">
        <f t="shared" si="7"/>
        <v>7</v>
      </c>
      <c r="AF7" s="508">
        <f t="shared" si="8"/>
        <v>1368</v>
      </c>
      <c r="AG7" s="500">
        <f t="shared" si="4"/>
        <v>195.42857142857142</v>
      </c>
      <c r="AI7" s="501">
        <f>R7-'EDl log'!B5</f>
        <v>-49272196</v>
      </c>
    </row>
    <row r="8" spans="1:115">
      <c r="A8" s="492">
        <f>'General information '!F11</f>
        <v>0.16520000000000001</v>
      </c>
      <c r="B8" s="486">
        <f t="shared" si="5"/>
        <v>37.996000000000002</v>
      </c>
      <c r="C8" s="493">
        <v>43836</v>
      </c>
      <c r="D8" s="480">
        <v>31327386</v>
      </c>
      <c r="E8" s="328">
        <f t="shared" si="9"/>
        <v>3034</v>
      </c>
      <c r="F8" s="480">
        <v>3445026</v>
      </c>
      <c r="G8" s="329">
        <f t="shared" si="0"/>
        <v>2146</v>
      </c>
      <c r="H8" s="480">
        <v>17234490</v>
      </c>
      <c r="I8" s="329">
        <f t="shared" si="10"/>
        <v>2188</v>
      </c>
      <c r="J8" s="480">
        <v>28241332</v>
      </c>
      <c r="K8" s="329">
        <f t="shared" si="11"/>
        <v>1900</v>
      </c>
      <c r="L8" s="480">
        <v>22550586</v>
      </c>
      <c r="M8" s="329">
        <f t="shared" si="12"/>
        <v>3870</v>
      </c>
      <c r="N8" s="327">
        <f t="shared" si="13"/>
        <v>13138</v>
      </c>
      <c r="O8" s="502">
        <f t="shared" si="1"/>
        <v>345.77323928834613</v>
      </c>
      <c r="P8" s="480">
        <v>15241.82</v>
      </c>
      <c r="Q8" s="484">
        <f t="shared" si="6"/>
        <v>5234.0000000003783</v>
      </c>
      <c r="R8" s="484">
        <f t="shared" si="17"/>
        <v>7903.9999999996217</v>
      </c>
      <c r="S8" s="480">
        <v>8357</v>
      </c>
      <c r="T8" s="504">
        <f t="shared" si="2"/>
        <v>2</v>
      </c>
      <c r="U8" s="480">
        <v>1018561</v>
      </c>
      <c r="V8" s="484">
        <f t="shared" si="14"/>
        <v>247</v>
      </c>
      <c r="W8" s="480">
        <v>31813</v>
      </c>
      <c r="X8" s="484">
        <f t="shared" si="3"/>
        <v>3</v>
      </c>
      <c r="Y8" s="480">
        <v>619036</v>
      </c>
      <c r="Z8" s="484">
        <f t="shared" si="18"/>
        <v>543</v>
      </c>
      <c r="AA8" s="480">
        <v>34857</v>
      </c>
      <c r="AB8" s="484">
        <f t="shared" si="15"/>
        <v>1</v>
      </c>
      <c r="AC8" s="480">
        <v>736709</v>
      </c>
      <c r="AD8" s="484">
        <f t="shared" si="16"/>
        <v>136</v>
      </c>
      <c r="AE8" s="507">
        <f t="shared" si="7"/>
        <v>6</v>
      </c>
      <c r="AF8" s="508">
        <f t="shared" si="8"/>
        <v>926</v>
      </c>
      <c r="AG8" s="500">
        <f t="shared" si="4"/>
        <v>154.33333333333334</v>
      </c>
      <c r="AI8" s="501">
        <f>R8-'EDl log'!B6</f>
        <v>-49282366</v>
      </c>
    </row>
    <row r="9" spans="1:115">
      <c r="A9" s="492">
        <f>'General information '!F12</f>
        <v>0.23480000000000001</v>
      </c>
      <c r="B9" s="486">
        <f t="shared" si="5"/>
        <v>54.004000000000005</v>
      </c>
      <c r="C9" s="493">
        <v>43837</v>
      </c>
      <c r="D9" s="480">
        <v>31330358</v>
      </c>
      <c r="E9" s="328">
        <f t="shared" si="9"/>
        <v>2972</v>
      </c>
      <c r="F9" s="480">
        <v>3447168</v>
      </c>
      <c r="G9" s="329">
        <f t="shared" si="0"/>
        <v>2142</v>
      </c>
      <c r="H9" s="480">
        <v>17236558</v>
      </c>
      <c r="I9" s="329">
        <f t="shared" si="10"/>
        <v>2068</v>
      </c>
      <c r="J9" s="480">
        <v>28243142</v>
      </c>
      <c r="K9" s="329">
        <f t="shared" si="11"/>
        <v>1810</v>
      </c>
      <c r="L9" s="480">
        <v>22554466</v>
      </c>
      <c r="M9" s="329">
        <f t="shared" si="12"/>
        <v>3880</v>
      </c>
      <c r="N9" s="327">
        <f t="shared" si="13"/>
        <v>12872</v>
      </c>
      <c r="O9" s="502">
        <f t="shared" si="1"/>
        <v>238.3527146137323</v>
      </c>
      <c r="P9" s="480">
        <v>15246.699000000001</v>
      </c>
      <c r="Q9" s="484">
        <f t="shared" si="6"/>
        <v>4879.0000000008149</v>
      </c>
      <c r="R9" s="484">
        <f t="shared" si="17"/>
        <v>7992.9999999991851</v>
      </c>
      <c r="S9" s="480">
        <v>8358</v>
      </c>
      <c r="T9" s="504">
        <f t="shared" si="2"/>
        <v>1</v>
      </c>
      <c r="U9" s="480">
        <v>1018775</v>
      </c>
      <c r="V9" s="484">
        <f t="shared" si="14"/>
        <v>214</v>
      </c>
      <c r="W9" s="480">
        <v>31816</v>
      </c>
      <c r="X9" s="484">
        <f t="shared" ref="X9:X32" si="20">W9-W8</f>
        <v>3</v>
      </c>
      <c r="Y9" s="480">
        <v>619479</v>
      </c>
      <c r="Z9" s="484">
        <f t="shared" si="18"/>
        <v>443</v>
      </c>
      <c r="AA9" s="480">
        <v>34858</v>
      </c>
      <c r="AB9" s="484">
        <f t="shared" si="15"/>
        <v>1</v>
      </c>
      <c r="AC9" s="480">
        <v>736958</v>
      </c>
      <c r="AD9" s="484">
        <f t="shared" si="16"/>
        <v>249</v>
      </c>
      <c r="AE9" s="507">
        <f t="shared" si="7"/>
        <v>5</v>
      </c>
      <c r="AF9" s="508">
        <f t="shared" si="8"/>
        <v>906</v>
      </c>
      <c r="AG9" s="500">
        <f t="shared" si="4"/>
        <v>181.2</v>
      </c>
      <c r="AI9" s="501">
        <f>R9-'EDl log'!B7</f>
        <v>-49288394</v>
      </c>
    </row>
    <row r="10" spans="1:115">
      <c r="A10" s="492">
        <f>'General information '!F13</f>
        <v>0.23400000000000001</v>
      </c>
      <c r="B10" s="486">
        <f t="shared" si="5"/>
        <v>53.82</v>
      </c>
      <c r="C10" s="493">
        <v>43838</v>
      </c>
      <c r="D10" s="480">
        <v>31333006</v>
      </c>
      <c r="E10" s="328">
        <f t="shared" si="9"/>
        <v>2648</v>
      </c>
      <c r="F10" s="480">
        <v>3449386.4</v>
      </c>
      <c r="G10" s="329">
        <f t="shared" si="0"/>
        <v>2218.3999999999069</v>
      </c>
      <c r="H10" s="480">
        <v>17238728</v>
      </c>
      <c r="I10" s="329">
        <f t="shared" si="10"/>
        <v>2170</v>
      </c>
      <c r="J10" s="480">
        <v>28244992</v>
      </c>
      <c r="K10" s="329">
        <f t="shared" si="11"/>
        <v>1850</v>
      </c>
      <c r="L10" s="480">
        <v>22558116</v>
      </c>
      <c r="M10" s="329">
        <f t="shared" si="12"/>
        <v>3650</v>
      </c>
      <c r="N10" s="327">
        <f t="shared" si="13"/>
        <v>12536.399999999907</v>
      </c>
      <c r="O10" s="502">
        <f t="shared" ref="O10:O32" si="21">IF(B10&gt;0,N10/B10,0)</f>
        <v>232.93199554068946</v>
      </c>
      <c r="P10" s="480">
        <v>15253.7</v>
      </c>
      <c r="Q10" s="484">
        <f t="shared" si="6"/>
        <v>7001.0000000002037</v>
      </c>
      <c r="R10" s="484">
        <f t="shared" si="17"/>
        <v>5535.3999999997031</v>
      </c>
      <c r="S10" s="480">
        <f>S9</f>
        <v>8358</v>
      </c>
      <c r="T10" s="504">
        <f t="shared" si="2"/>
        <v>0</v>
      </c>
      <c r="U10" s="480">
        <f>U9</f>
        <v>1018775</v>
      </c>
      <c r="V10" s="484">
        <f t="shared" si="14"/>
        <v>0</v>
      </c>
      <c r="W10" s="480">
        <v>31819</v>
      </c>
      <c r="X10" s="484">
        <f t="shared" si="20"/>
        <v>3</v>
      </c>
      <c r="Y10" s="480">
        <v>619891</v>
      </c>
      <c r="Z10" s="484">
        <f t="shared" si="18"/>
        <v>412</v>
      </c>
      <c r="AA10" s="480">
        <v>34858</v>
      </c>
      <c r="AB10" s="484">
        <f t="shared" si="15"/>
        <v>0</v>
      </c>
      <c r="AC10" s="480">
        <f t="shared" si="19"/>
        <v>736958</v>
      </c>
      <c r="AD10" s="484">
        <f t="shared" si="16"/>
        <v>0</v>
      </c>
      <c r="AE10" s="507">
        <f t="shared" si="7"/>
        <v>3</v>
      </c>
      <c r="AF10" s="508">
        <f t="shared" si="8"/>
        <v>412</v>
      </c>
      <c r="AG10" s="500">
        <f t="shared" ref="AG10:AG33" si="22">IF(AE10&gt;0,AF10/AE10,0)</f>
        <v>137.33333333333334</v>
      </c>
      <c r="AI10" s="501">
        <f>R10-'EDl log'!B8</f>
        <v>-49296482.600000001</v>
      </c>
    </row>
    <row r="11" spans="1:115">
      <c r="A11" s="492">
        <f>'General information '!F14</f>
        <v>0.2087</v>
      </c>
      <c r="B11" s="486">
        <f>SUM(230*A11)</f>
        <v>48.000999999999998</v>
      </c>
      <c r="C11" s="493">
        <v>43839</v>
      </c>
      <c r="D11" s="480">
        <v>31336446</v>
      </c>
      <c r="E11" s="328">
        <f t="shared" si="9"/>
        <v>3440</v>
      </c>
      <c r="F11" s="480">
        <v>3451710</v>
      </c>
      <c r="G11" s="329">
        <f t="shared" si="0"/>
        <v>2323.6000000000931</v>
      </c>
      <c r="H11" s="480">
        <v>17240906</v>
      </c>
      <c r="I11" s="329">
        <f t="shared" si="10"/>
        <v>2178</v>
      </c>
      <c r="J11" s="480">
        <v>28246570</v>
      </c>
      <c r="K11" s="329">
        <f t="shared" si="11"/>
        <v>1578</v>
      </c>
      <c r="L11" s="480">
        <v>22562228</v>
      </c>
      <c r="M11" s="329">
        <f t="shared" si="12"/>
        <v>4112</v>
      </c>
      <c r="N11" s="327">
        <f>M11+K11+I11+G11+E11</f>
        <v>13631.600000000093</v>
      </c>
      <c r="O11" s="502">
        <f t="shared" si="21"/>
        <v>283.98575029687078</v>
      </c>
      <c r="P11" s="480">
        <v>15258.585999999999</v>
      </c>
      <c r="Q11" s="484">
        <f t="shared" si="6"/>
        <v>4885.999999998603</v>
      </c>
      <c r="R11" s="484">
        <f t="shared" si="17"/>
        <v>8745.6000000014901</v>
      </c>
      <c r="S11" s="480">
        <v>8359</v>
      </c>
      <c r="T11" s="504">
        <f t="shared" si="2"/>
        <v>1</v>
      </c>
      <c r="U11" s="480">
        <v>1019129</v>
      </c>
      <c r="V11" s="484">
        <f t="shared" si="14"/>
        <v>354</v>
      </c>
      <c r="W11" s="480">
        <v>31819</v>
      </c>
      <c r="X11" s="484">
        <f t="shared" si="20"/>
        <v>0</v>
      </c>
      <c r="Y11" s="480">
        <v>619891</v>
      </c>
      <c r="Z11" s="484">
        <f t="shared" si="18"/>
        <v>0</v>
      </c>
      <c r="AA11" s="480">
        <v>34861</v>
      </c>
      <c r="AB11" s="484">
        <f t="shared" si="15"/>
        <v>3</v>
      </c>
      <c r="AC11" s="480">
        <v>737484</v>
      </c>
      <c r="AD11" s="484">
        <f t="shared" si="16"/>
        <v>526</v>
      </c>
      <c r="AE11" s="507">
        <f t="shared" si="7"/>
        <v>4</v>
      </c>
      <c r="AF11" s="508">
        <f t="shared" si="8"/>
        <v>880</v>
      </c>
      <c r="AG11" s="500">
        <f t="shared" si="22"/>
        <v>220</v>
      </c>
      <c r="AI11" s="501">
        <f>R11-'EDl log'!B9</f>
        <v>-49297371.399999999</v>
      </c>
    </row>
    <row r="12" spans="1:115">
      <c r="A12" s="492">
        <f>'General information '!F15</f>
        <v>0.2</v>
      </c>
      <c r="B12" s="486">
        <f t="shared" si="5"/>
        <v>46</v>
      </c>
      <c r="C12" s="493">
        <v>43840</v>
      </c>
      <c r="D12" s="480">
        <v>31339490</v>
      </c>
      <c r="E12" s="328">
        <f t="shared" si="9"/>
        <v>3044</v>
      </c>
      <c r="F12" s="480">
        <v>3453974.8</v>
      </c>
      <c r="G12" s="329">
        <f t="shared" si="0"/>
        <v>2264.7999999998137</v>
      </c>
      <c r="H12" s="480">
        <v>17243088</v>
      </c>
      <c r="I12" s="329">
        <f t="shared" si="10"/>
        <v>2182</v>
      </c>
      <c r="J12" s="480">
        <v>28248204</v>
      </c>
      <c r="K12" s="329">
        <f t="shared" si="11"/>
        <v>1634</v>
      </c>
      <c r="L12" s="480">
        <v>22566166</v>
      </c>
      <c r="M12" s="329">
        <f t="shared" si="12"/>
        <v>3938</v>
      </c>
      <c r="N12" s="327">
        <f>M12+K12+I12+G12+E12</f>
        <v>13062.799999999814</v>
      </c>
      <c r="O12" s="502">
        <f t="shared" si="21"/>
        <v>283.97391304347423</v>
      </c>
      <c r="P12" s="480">
        <v>15261</v>
      </c>
      <c r="Q12" s="484">
        <f t="shared" si="6"/>
        <v>2414.0000000006694</v>
      </c>
      <c r="R12" s="484">
        <f t="shared" si="17"/>
        <v>10648.799999999144</v>
      </c>
      <c r="S12" s="480">
        <v>8360</v>
      </c>
      <c r="T12" s="504">
        <f t="shared" si="2"/>
        <v>1</v>
      </c>
      <c r="U12" s="480">
        <v>1019198</v>
      </c>
      <c r="V12" s="484">
        <f t="shared" si="14"/>
        <v>69</v>
      </c>
      <c r="W12" s="480">
        <v>31820</v>
      </c>
      <c r="X12" s="484">
        <f t="shared" si="20"/>
        <v>1</v>
      </c>
      <c r="Y12" s="480">
        <v>620062</v>
      </c>
      <c r="Z12" s="484">
        <f t="shared" si="18"/>
        <v>171</v>
      </c>
      <c r="AA12" s="480">
        <v>34864</v>
      </c>
      <c r="AB12" s="484">
        <f t="shared" si="15"/>
        <v>3</v>
      </c>
      <c r="AC12" s="480">
        <v>737985</v>
      </c>
      <c r="AD12" s="484">
        <f t="shared" si="16"/>
        <v>501</v>
      </c>
      <c r="AE12" s="507">
        <f t="shared" si="7"/>
        <v>5</v>
      </c>
      <c r="AF12" s="508">
        <f t="shared" si="8"/>
        <v>741</v>
      </c>
      <c r="AG12" s="500">
        <f t="shared" si="22"/>
        <v>148.19999999999999</v>
      </c>
      <c r="AI12" s="501">
        <f>R12-'EDl log'!B10</f>
        <v>-49299637.200000003</v>
      </c>
    </row>
    <row r="13" spans="1:115">
      <c r="A13" s="492">
        <f>'General information '!F16</f>
        <v>0.1696</v>
      </c>
      <c r="B13" s="486">
        <f t="shared" si="5"/>
        <v>39.008000000000003</v>
      </c>
      <c r="C13" s="493">
        <v>43841</v>
      </c>
      <c r="D13" s="480">
        <v>31342568</v>
      </c>
      <c r="E13" s="328">
        <f t="shared" si="9"/>
        <v>3078</v>
      </c>
      <c r="F13" s="480">
        <v>3456206</v>
      </c>
      <c r="G13" s="329">
        <f t="shared" si="0"/>
        <v>2231.2000000001863</v>
      </c>
      <c r="H13" s="480">
        <v>17245394</v>
      </c>
      <c r="I13" s="329">
        <f t="shared" si="10"/>
        <v>2306</v>
      </c>
      <c r="J13" s="480">
        <v>28249802</v>
      </c>
      <c r="K13" s="329">
        <f t="shared" si="11"/>
        <v>1598</v>
      </c>
      <c r="L13" s="480">
        <v>22570964</v>
      </c>
      <c r="M13" s="329">
        <f t="shared" si="12"/>
        <v>4798</v>
      </c>
      <c r="N13" s="327">
        <f t="shared" si="13"/>
        <v>14011.200000000186</v>
      </c>
      <c r="O13" s="502">
        <f t="shared" si="21"/>
        <v>359.18785890074304</v>
      </c>
      <c r="P13" s="480">
        <v>15262.643</v>
      </c>
      <c r="Q13" s="484">
        <f t="shared" ref="Q13:Q31" si="23">(P13-P12)*1000</f>
        <v>1643.0000000000291</v>
      </c>
      <c r="R13" s="484">
        <f t="shared" si="17"/>
        <v>12368.200000000157</v>
      </c>
      <c r="S13" s="480">
        <v>8362</v>
      </c>
      <c r="T13" s="504">
        <f t="shared" si="2"/>
        <v>2</v>
      </c>
      <c r="U13" s="480">
        <v>1019557</v>
      </c>
      <c r="V13" s="484">
        <f t="shared" si="14"/>
        <v>359</v>
      </c>
      <c r="W13" s="480">
        <v>31821</v>
      </c>
      <c r="X13" s="484">
        <f t="shared" si="20"/>
        <v>1</v>
      </c>
      <c r="Y13" s="480">
        <v>620205</v>
      </c>
      <c r="Z13" s="484">
        <f t="shared" si="18"/>
        <v>143</v>
      </c>
      <c r="AA13" s="480">
        <v>34865</v>
      </c>
      <c r="AB13" s="484">
        <f t="shared" si="15"/>
        <v>1</v>
      </c>
      <c r="AC13" s="480">
        <v>738305</v>
      </c>
      <c r="AD13" s="484">
        <f t="shared" si="16"/>
        <v>320</v>
      </c>
      <c r="AE13" s="507">
        <f t="shared" si="7"/>
        <v>4</v>
      </c>
      <c r="AF13" s="508">
        <f t="shared" si="8"/>
        <v>822</v>
      </c>
      <c r="AG13" s="500">
        <f t="shared" si="22"/>
        <v>205.5</v>
      </c>
      <c r="AI13" s="501">
        <f>R13-'EDl log'!B11</f>
        <v>-49300714.799999997</v>
      </c>
    </row>
    <row r="14" spans="1:115">
      <c r="A14" s="492">
        <f>'General information '!F17</f>
        <v>0.1739</v>
      </c>
      <c r="B14" s="486">
        <f t="shared" si="5"/>
        <v>39.997</v>
      </c>
      <c r="C14" s="493">
        <v>43842</v>
      </c>
      <c r="D14" s="480">
        <v>31345782</v>
      </c>
      <c r="E14" s="328">
        <f t="shared" si="9"/>
        <v>3214</v>
      </c>
      <c r="F14" s="480">
        <v>3458691</v>
      </c>
      <c r="G14" s="329">
        <f t="shared" si="0"/>
        <v>2485</v>
      </c>
      <c r="H14" s="480">
        <v>17247874</v>
      </c>
      <c r="I14" s="329">
        <f t="shared" si="10"/>
        <v>2480</v>
      </c>
      <c r="J14" s="480">
        <v>28251336</v>
      </c>
      <c r="K14" s="329">
        <f t="shared" si="11"/>
        <v>1534</v>
      </c>
      <c r="L14" s="480">
        <v>22575426</v>
      </c>
      <c r="M14" s="329">
        <f t="shared" si="12"/>
        <v>4462</v>
      </c>
      <c r="N14" s="327">
        <f t="shared" si="13"/>
        <v>14175</v>
      </c>
      <c r="O14" s="502">
        <f t="shared" si="21"/>
        <v>354.40158011850889</v>
      </c>
      <c r="P14" s="480">
        <v>15264.76</v>
      </c>
      <c r="Q14" s="484">
        <f t="shared" si="23"/>
        <v>2117.0000000001892</v>
      </c>
      <c r="R14" s="484">
        <f t="shared" si="17"/>
        <v>12057.999999999811</v>
      </c>
      <c r="S14" s="480">
        <v>8362</v>
      </c>
      <c r="T14" s="504">
        <f t="shared" si="2"/>
        <v>0</v>
      </c>
      <c r="U14" s="480">
        <v>1019557</v>
      </c>
      <c r="V14" s="484">
        <f t="shared" si="14"/>
        <v>0</v>
      </c>
      <c r="W14" s="480">
        <v>31821</v>
      </c>
      <c r="X14" s="484">
        <f t="shared" si="20"/>
        <v>0</v>
      </c>
      <c r="Y14" s="480">
        <v>620205</v>
      </c>
      <c r="Z14" s="484">
        <f t="shared" si="18"/>
        <v>0</v>
      </c>
      <c r="AA14" s="480">
        <v>34868</v>
      </c>
      <c r="AB14" s="484">
        <f t="shared" si="15"/>
        <v>3</v>
      </c>
      <c r="AC14" s="480">
        <v>738769</v>
      </c>
      <c r="AD14" s="484">
        <f t="shared" si="16"/>
        <v>464</v>
      </c>
      <c r="AE14" s="507">
        <f t="shared" si="7"/>
        <v>3</v>
      </c>
      <c r="AF14" s="508">
        <f t="shared" si="8"/>
        <v>464</v>
      </c>
      <c r="AG14" s="500">
        <f t="shared" si="22"/>
        <v>154.66666666666666</v>
      </c>
      <c r="AI14" s="501">
        <f>R14-'EDl log'!B12</f>
        <v>-49305644</v>
      </c>
    </row>
    <row r="15" spans="1:115">
      <c r="A15" s="492">
        <f>'General information '!F18</f>
        <v>0.18260000000000001</v>
      </c>
      <c r="B15" s="486">
        <f t="shared" si="5"/>
        <v>41.998000000000005</v>
      </c>
      <c r="C15" s="493">
        <v>43843</v>
      </c>
      <c r="D15" s="480">
        <v>31348342</v>
      </c>
      <c r="E15" s="328">
        <f t="shared" si="9"/>
        <v>2560</v>
      </c>
      <c r="F15" s="480">
        <v>3460876</v>
      </c>
      <c r="G15" s="329">
        <f t="shared" si="0"/>
        <v>2185</v>
      </c>
      <c r="H15" s="480">
        <v>17249926</v>
      </c>
      <c r="I15" s="329">
        <f t="shared" si="10"/>
        <v>2052</v>
      </c>
      <c r="J15" s="480">
        <v>28253424</v>
      </c>
      <c r="K15" s="329">
        <f t="shared" si="11"/>
        <v>2088</v>
      </c>
      <c r="L15" s="480">
        <v>22579342</v>
      </c>
      <c r="M15" s="329">
        <f t="shared" si="12"/>
        <v>3916</v>
      </c>
      <c r="N15" s="327">
        <f t="shared" si="13"/>
        <v>12801</v>
      </c>
      <c r="O15" s="502">
        <f t="shared" si="21"/>
        <v>304.80022858231342</v>
      </c>
      <c r="P15" s="480">
        <v>15267.071</v>
      </c>
      <c r="Q15" s="484">
        <f>(P15-P14)*1000</f>
        <v>2310.9999999996944</v>
      </c>
      <c r="R15" s="484">
        <f t="shared" si="17"/>
        <v>10490.000000000306</v>
      </c>
      <c r="S15" s="480">
        <v>8362</v>
      </c>
      <c r="T15" s="504">
        <f t="shared" si="2"/>
        <v>0</v>
      </c>
      <c r="U15" s="480">
        <v>1019557</v>
      </c>
      <c r="V15" s="484">
        <f t="shared" si="14"/>
        <v>0</v>
      </c>
      <c r="W15" s="480">
        <v>31825</v>
      </c>
      <c r="X15" s="484">
        <f t="shared" si="20"/>
        <v>4</v>
      </c>
      <c r="Y15" s="480">
        <v>620936</v>
      </c>
      <c r="Z15" s="484">
        <f t="shared" si="18"/>
        <v>731</v>
      </c>
      <c r="AA15" s="480">
        <v>34868</v>
      </c>
      <c r="AB15" s="484">
        <f t="shared" si="15"/>
        <v>0</v>
      </c>
      <c r="AC15" s="480">
        <v>738769</v>
      </c>
      <c r="AD15" s="484">
        <f t="shared" si="16"/>
        <v>0</v>
      </c>
      <c r="AE15" s="507">
        <f t="shared" si="7"/>
        <v>4</v>
      </c>
      <c r="AF15" s="508">
        <f t="shared" si="8"/>
        <v>731</v>
      </c>
      <c r="AG15" s="500">
        <f t="shared" si="22"/>
        <v>182.75</v>
      </c>
      <c r="AI15" s="501">
        <f>R15-'EDl log'!B13</f>
        <v>-49312756</v>
      </c>
    </row>
    <row r="16" spans="1:115">
      <c r="A16" s="492">
        <f>'General information '!F19</f>
        <v>0.2087</v>
      </c>
      <c r="B16" s="486">
        <f t="shared" si="5"/>
        <v>48.000999999999998</v>
      </c>
      <c r="C16" s="493">
        <v>43844</v>
      </c>
      <c r="D16" s="480">
        <v>31350742</v>
      </c>
      <c r="E16" s="328">
        <f t="shared" si="9"/>
        <v>2400</v>
      </c>
      <c r="F16" s="480">
        <v>3462918</v>
      </c>
      <c r="G16" s="329">
        <f t="shared" si="0"/>
        <v>2042</v>
      </c>
      <c r="H16" s="480">
        <v>17252062</v>
      </c>
      <c r="I16" s="329">
        <f t="shared" si="10"/>
        <v>2136</v>
      </c>
      <c r="J16" s="480">
        <v>28255052</v>
      </c>
      <c r="K16" s="329">
        <f t="shared" si="11"/>
        <v>1628</v>
      </c>
      <c r="L16" s="480">
        <v>22583714</v>
      </c>
      <c r="M16" s="329">
        <f t="shared" si="12"/>
        <v>4372</v>
      </c>
      <c r="N16" s="327">
        <f t="shared" si="13"/>
        <v>12578</v>
      </c>
      <c r="O16" s="502">
        <f t="shared" si="21"/>
        <v>262.03620757900876</v>
      </c>
      <c r="P16" s="480">
        <v>15269.875</v>
      </c>
      <c r="Q16" s="484">
        <f>(P16-P15)*1000</f>
        <v>2804.0000000000873</v>
      </c>
      <c r="R16" s="484">
        <f t="shared" si="17"/>
        <v>9773.9999999999127</v>
      </c>
      <c r="S16" s="480">
        <v>8363</v>
      </c>
      <c r="T16" s="504">
        <f t="shared" si="2"/>
        <v>1</v>
      </c>
      <c r="U16" s="480">
        <v>1019914</v>
      </c>
      <c r="V16" s="484">
        <f t="shared" si="14"/>
        <v>357</v>
      </c>
      <c r="W16" s="480">
        <v>31826</v>
      </c>
      <c r="X16" s="484">
        <f>W16-W15</f>
        <v>1</v>
      </c>
      <c r="Y16" s="480">
        <v>621137</v>
      </c>
      <c r="Z16" s="484">
        <f>Y16-Y15</f>
        <v>201</v>
      </c>
      <c r="AA16" s="480">
        <v>34868</v>
      </c>
      <c r="AB16" s="484">
        <f>AA16-AA15</f>
        <v>0</v>
      </c>
      <c r="AC16" s="480">
        <v>738769</v>
      </c>
      <c r="AD16" s="484">
        <f t="shared" si="16"/>
        <v>0</v>
      </c>
      <c r="AE16" s="507">
        <f t="shared" si="7"/>
        <v>2</v>
      </c>
      <c r="AF16" s="508">
        <f t="shared" si="8"/>
        <v>558</v>
      </c>
      <c r="AG16" s="500">
        <f t="shared" si="22"/>
        <v>279</v>
      </c>
      <c r="AI16" s="501">
        <f>R16-'EDl log'!B14</f>
        <v>-49319823</v>
      </c>
    </row>
    <row r="17" spans="1:35">
      <c r="A17" s="492">
        <f>'General information '!F20</f>
        <v>0.2261</v>
      </c>
      <c r="B17" s="486">
        <f t="shared" si="5"/>
        <v>52.003</v>
      </c>
      <c r="C17" s="493">
        <v>43845</v>
      </c>
      <c r="D17" s="480">
        <v>31353438</v>
      </c>
      <c r="E17" s="328">
        <f t="shared" si="9"/>
        <v>2696</v>
      </c>
      <c r="F17" s="480">
        <v>3465049</v>
      </c>
      <c r="G17" s="329">
        <f t="shared" si="0"/>
        <v>2131</v>
      </c>
      <c r="H17" s="480">
        <v>17254166</v>
      </c>
      <c r="I17" s="329">
        <f t="shared" si="10"/>
        <v>2104</v>
      </c>
      <c r="J17" s="480">
        <v>28256730</v>
      </c>
      <c r="K17" s="329">
        <f t="shared" si="11"/>
        <v>1678</v>
      </c>
      <c r="L17" s="480">
        <v>22587984</v>
      </c>
      <c r="M17" s="329">
        <f t="shared" si="12"/>
        <v>4270</v>
      </c>
      <c r="N17" s="327">
        <f t="shared" si="13"/>
        <v>12879</v>
      </c>
      <c r="O17" s="502">
        <f t="shared" si="21"/>
        <v>247.65878891602406</v>
      </c>
      <c r="P17" s="480">
        <v>15272.521000000001</v>
      </c>
      <c r="Q17" s="484">
        <f t="shared" si="23"/>
        <v>2646.0000000006403</v>
      </c>
      <c r="R17" s="484">
        <f t="shared" si="17"/>
        <v>10232.99999999936</v>
      </c>
      <c r="S17" s="480">
        <v>8364</v>
      </c>
      <c r="T17" s="504">
        <f t="shared" si="2"/>
        <v>1</v>
      </c>
      <c r="U17" s="480">
        <v>1020115</v>
      </c>
      <c r="V17" s="484">
        <f t="shared" si="14"/>
        <v>201</v>
      </c>
      <c r="W17" s="480">
        <v>31827</v>
      </c>
      <c r="X17" s="484">
        <f t="shared" si="20"/>
        <v>1</v>
      </c>
      <c r="Y17" s="480">
        <v>621317</v>
      </c>
      <c r="Z17" s="484">
        <f t="shared" si="18"/>
        <v>180</v>
      </c>
      <c r="AA17" s="480">
        <v>34869</v>
      </c>
      <c r="AB17" s="484">
        <f t="shared" si="15"/>
        <v>1</v>
      </c>
      <c r="AC17" s="480">
        <v>739022</v>
      </c>
      <c r="AD17" s="484">
        <f t="shared" ref="AD17:AD32" si="24">AC17-AC16</f>
        <v>253</v>
      </c>
      <c r="AE17" s="507">
        <f t="shared" si="7"/>
        <v>3</v>
      </c>
      <c r="AF17" s="508">
        <f t="shared" si="8"/>
        <v>634</v>
      </c>
      <c r="AG17" s="500">
        <f t="shared" si="22"/>
        <v>211.33333333333334</v>
      </c>
      <c r="AI17" s="501">
        <f>R17-'EDl log'!B15</f>
        <v>-49325513</v>
      </c>
    </row>
    <row r="18" spans="1:35">
      <c r="A18" s="492">
        <f>'General information '!F21</f>
        <v>0.2261</v>
      </c>
      <c r="B18" s="486">
        <f t="shared" si="5"/>
        <v>52.003</v>
      </c>
      <c r="C18" s="493">
        <v>43846</v>
      </c>
      <c r="D18" s="480">
        <v>31355626</v>
      </c>
      <c r="E18" s="328">
        <f t="shared" si="9"/>
        <v>2188</v>
      </c>
      <c r="F18" s="480">
        <v>3466916.4</v>
      </c>
      <c r="G18" s="329">
        <f t="shared" si="0"/>
        <v>1867.3999999999069</v>
      </c>
      <c r="H18" s="480">
        <v>17255862</v>
      </c>
      <c r="I18" s="329">
        <f t="shared" si="10"/>
        <v>1696</v>
      </c>
      <c r="J18" s="480">
        <v>28258666</v>
      </c>
      <c r="K18" s="329">
        <f t="shared" si="11"/>
        <v>1936</v>
      </c>
      <c r="L18" s="480">
        <v>22591666</v>
      </c>
      <c r="M18" s="329">
        <f t="shared" si="12"/>
        <v>3682</v>
      </c>
      <c r="N18" s="327">
        <f t="shared" si="13"/>
        <v>11369.399999999907</v>
      </c>
      <c r="O18" s="502">
        <f t="shared" si="21"/>
        <v>218.62969444070356</v>
      </c>
      <c r="P18" s="480">
        <v>15277.001</v>
      </c>
      <c r="Q18" s="484">
        <f t="shared" si="23"/>
        <v>4479.9999999995634</v>
      </c>
      <c r="R18" s="484">
        <f t="shared" si="17"/>
        <v>6889.4000000003434</v>
      </c>
      <c r="S18" s="480">
        <v>8366</v>
      </c>
      <c r="T18" s="504">
        <f t="shared" si="2"/>
        <v>2</v>
      </c>
      <c r="U18" s="480">
        <v>1020406</v>
      </c>
      <c r="V18" s="484">
        <f t="shared" si="14"/>
        <v>291</v>
      </c>
      <c r="W18" s="480">
        <v>31831</v>
      </c>
      <c r="X18" s="484">
        <f t="shared" si="20"/>
        <v>4</v>
      </c>
      <c r="Y18" s="480">
        <v>622008</v>
      </c>
      <c r="Z18" s="484">
        <f t="shared" si="18"/>
        <v>691</v>
      </c>
      <c r="AA18" s="480">
        <f t="shared" ref="AA18:AA33" si="25">AA17</f>
        <v>34869</v>
      </c>
      <c r="AB18" s="484">
        <f t="shared" si="15"/>
        <v>0</v>
      </c>
      <c r="AC18" s="480">
        <f t="shared" si="19"/>
        <v>739022</v>
      </c>
      <c r="AD18" s="484">
        <f t="shared" si="24"/>
        <v>0</v>
      </c>
      <c r="AE18" s="507">
        <f t="shared" si="7"/>
        <v>6</v>
      </c>
      <c r="AF18" s="508">
        <f t="shared" si="8"/>
        <v>982</v>
      </c>
      <c r="AG18" s="500">
        <f t="shared" si="22"/>
        <v>163.66666666666666</v>
      </c>
      <c r="AI18" s="501">
        <f>R18-'EDl log'!B16</f>
        <v>-49334318.600000001</v>
      </c>
    </row>
    <row r="19" spans="1:35">
      <c r="A19" s="492">
        <f>'General information '!F22</f>
        <v>0.1739</v>
      </c>
      <c r="B19" s="486">
        <f t="shared" si="5"/>
        <v>39.997</v>
      </c>
      <c r="C19" s="493">
        <v>43847</v>
      </c>
      <c r="D19" s="480">
        <v>31358932</v>
      </c>
      <c r="E19" s="328">
        <f t="shared" si="9"/>
        <v>3306</v>
      </c>
      <c r="F19" s="480">
        <v>3469290</v>
      </c>
      <c r="G19" s="329">
        <f t="shared" si="0"/>
        <v>2373.6000000000931</v>
      </c>
      <c r="H19" s="480">
        <v>17258222</v>
      </c>
      <c r="I19" s="329">
        <f t="shared" si="10"/>
        <v>2360</v>
      </c>
      <c r="J19" s="480">
        <v>28260246</v>
      </c>
      <c r="K19" s="329">
        <f t="shared" si="11"/>
        <v>1580</v>
      </c>
      <c r="L19" s="480">
        <v>22596296</v>
      </c>
      <c r="M19" s="329">
        <f t="shared" si="12"/>
        <v>4630</v>
      </c>
      <c r="N19" s="327">
        <f t="shared" si="13"/>
        <v>14249.600000000093</v>
      </c>
      <c r="O19" s="502">
        <f t="shared" si="21"/>
        <v>356.26672000400265</v>
      </c>
      <c r="P19" s="480">
        <v>15279.014999999999</v>
      </c>
      <c r="Q19" s="484">
        <f t="shared" si="23"/>
        <v>2013.9999999992142</v>
      </c>
      <c r="R19" s="484">
        <f t="shared" si="17"/>
        <v>12235.600000000879</v>
      </c>
      <c r="S19" s="480">
        <v>8367</v>
      </c>
      <c r="T19" s="504">
        <f t="shared" si="2"/>
        <v>1</v>
      </c>
      <c r="U19" s="480">
        <v>1020832</v>
      </c>
      <c r="V19" s="484">
        <f t="shared" si="14"/>
        <v>426</v>
      </c>
      <c r="W19" s="480">
        <f t="shared" ref="W19:W33" si="26">W18</f>
        <v>31831</v>
      </c>
      <c r="X19" s="484">
        <f t="shared" si="20"/>
        <v>0</v>
      </c>
      <c r="Y19" s="480">
        <f t="shared" ref="Y19:Y33" si="27">Y18</f>
        <v>622008</v>
      </c>
      <c r="Z19" s="484">
        <f t="shared" si="18"/>
        <v>0</v>
      </c>
      <c r="AA19" s="480">
        <v>34871</v>
      </c>
      <c r="AB19" s="484">
        <f t="shared" si="15"/>
        <v>2</v>
      </c>
      <c r="AC19" s="480">
        <v>739336</v>
      </c>
      <c r="AD19" s="484">
        <f t="shared" si="24"/>
        <v>314</v>
      </c>
      <c r="AE19" s="507">
        <f t="shared" si="7"/>
        <v>3</v>
      </c>
      <c r="AF19" s="508">
        <f t="shared" si="8"/>
        <v>740</v>
      </c>
      <c r="AG19" s="500">
        <f t="shared" si="22"/>
        <v>246.66666666666666</v>
      </c>
      <c r="AI19" s="501">
        <f>R19-'EDl log'!B17</f>
        <v>-49333934.399999999</v>
      </c>
    </row>
    <row r="20" spans="1:35">
      <c r="A20" s="492">
        <f>'General information '!F23</f>
        <v>0</v>
      </c>
      <c r="B20" s="486">
        <f t="shared" si="5"/>
        <v>0</v>
      </c>
      <c r="C20" s="493">
        <v>43848</v>
      </c>
      <c r="D20" s="480">
        <f t="shared" ref="D20:L33" si="28">D19</f>
        <v>31358932</v>
      </c>
      <c r="E20" s="328">
        <f t="shared" si="9"/>
        <v>0</v>
      </c>
      <c r="F20" s="480">
        <f t="shared" si="28"/>
        <v>3469290</v>
      </c>
      <c r="G20" s="329">
        <f t="shared" si="0"/>
        <v>0</v>
      </c>
      <c r="H20" s="480">
        <f t="shared" si="28"/>
        <v>17258222</v>
      </c>
      <c r="I20" s="329">
        <f t="shared" si="10"/>
        <v>0</v>
      </c>
      <c r="J20" s="480">
        <f t="shared" si="28"/>
        <v>28260246</v>
      </c>
      <c r="K20" s="329">
        <f t="shared" si="11"/>
        <v>0</v>
      </c>
      <c r="L20" s="480">
        <f t="shared" si="28"/>
        <v>22596296</v>
      </c>
      <c r="M20" s="329">
        <f t="shared" si="12"/>
        <v>0</v>
      </c>
      <c r="N20" s="327">
        <f t="shared" si="13"/>
        <v>0</v>
      </c>
      <c r="O20" s="502">
        <f t="shared" si="21"/>
        <v>0</v>
      </c>
      <c r="P20" s="480">
        <f t="shared" ref="P20:P33" si="29">P19</f>
        <v>15279.014999999999</v>
      </c>
      <c r="Q20" s="484">
        <f t="shared" si="23"/>
        <v>0</v>
      </c>
      <c r="R20" s="484">
        <f t="shared" si="17"/>
        <v>0</v>
      </c>
      <c r="S20" s="480">
        <f t="shared" ref="S20:S33" si="30">S19</f>
        <v>8367</v>
      </c>
      <c r="T20" s="504">
        <f t="shared" si="2"/>
        <v>0</v>
      </c>
      <c r="U20" s="480">
        <f t="shared" ref="U20:U33" si="31">U19</f>
        <v>1020832</v>
      </c>
      <c r="V20" s="484">
        <f t="shared" si="14"/>
        <v>0</v>
      </c>
      <c r="W20" s="480">
        <f t="shared" si="26"/>
        <v>31831</v>
      </c>
      <c r="X20" s="484">
        <f t="shared" si="20"/>
        <v>0</v>
      </c>
      <c r="Y20" s="480">
        <f t="shared" si="27"/>
        <v>622008</v>
      </c>
      <c r="Z20" s="484">
        <f t="shared" si="18"/>
        <v>0</v>
      </c>
      <c r="AA20" s="480">
        <f t="shared" si="25"/>
        <v>34871</v>
      </c>
      <c r="AB20" s="484">
        <f t="shared" si="15"/>
        <v>0</v>
      </c>
      <c r="AC20" s="480">
        <f t="shared" si="19"/>
        <v>739336</v>
      </c>
      <c r="AD20" s="484">
        <f t="shared" si="24"/>
        <v>0</v>
      </c>
      <c r="AE20" s="507">
        <f t="shared" si="7"/>
        <v>0</v>
      </c>
      <c r="AF20" s="508">
        <f t="shared" si="8"/>
        <v>0</v>
      </c>
      <c r="AG20" s="500">
        <f t="shared" si="22"/>
        <v>0</v>
      </c>
      <c r="AI20" s="501">
        <f>R20-'EDl log'!B18</f>
        <v>-49351598</v>
      </c>
    </row>
    <row r="21" spans="1:35">
      <c r="A21" s="492">
        <f>'General information '!F24</f>
        <v>0</v>
      </c>
      <c r="B21" s="486">
        <f t="shared" si="5"/>
        <v>0</v>
      </c>
      <c r="C21" s="493">
        <v>43849</v>
      </c>
      <c r="D21" s="480">
        <f t="shared" si="28"/>
        <v>31358932</v>
      </c>
      <c r="E21" s="328">
        <f t="shared" si="9"/>
        <v>0</v>
      </c>
      <c r="F21" s="480">
        <f t="shared" si="28"/>
        <v>3469290</v>
      </c>
      <c r="G21" s="329">
        <f t="shared" si="0"/>
        <v>0</v>
      </c>
      <c r="H21" s="480">
        <f t="shared" si="28"/>
        <v>17258222</v>
      </c>
      <c r="I21" s="329">
        <f t="shared" si="10"/>
        <v>0</v>
      </c>
      <c r="J21" s="480">
        <f t="shared" si="28"/>
        <v>28260246</v>
      </c>
      <c r="K21" s="329">
        <f t="shared" si="11"/>
        <v>0</v>
      </c>
      <c r="L21" s="480">
        <f t="shared" si="28"/>
        <v>22596296</v>
      </c>
      <c r="M21" s="329">
        <f t="shared" si="12"/>
        <v>0</v>
      </c>
      <c r="N21" s="327">
        <f t="shared" si="13"/>
        <v>0</v>
      </c>
      <c r="O21" s="502">
        <f t="shared" si="21"/>
        <v>0</v>
      </c>
      <c r="P21" s="480">
        <f t="shared" si="29"/>
        <v>15279.014999999999</v>
      </c>
      <c r="Q21" s="484">
        <f>(P21-P20)*1000</f>
        <v>0</v>
      </c>
      <c r="R21" s="484">
        <f t="shared" si="17"/>
        <v>0</v>
      </c>
      <c r="S21" s="480">
        <f t="shared" si="30"/>
        <v>8367</v>
      </c>
      <c r="T21" s="504">
        <f t="shared" si="2"/>
        <v>0</v>
      </c>
      <c r="U21" s="480">
        <f t="shared" si="31"/>
        <v>1020832</v>
      </c>
      <c r="V21" s="484">
        <f t="shared" si="14"/>
        <v>0</v>
      </c>
      <c r="W21" s="480">
        <f t="shared" si="26"/>
        <v>31831</v>
      </c>
      <c r="X21" s="484">
        <f t="shared" si="20"/>
        <v>0</v>
      </c>
      <c r="Y21" s="480">
        <f t="shared" si="27"/>
        <v>622008</v>
      </c>
      <c r="Z21" s="484">
        <f t="shared" si="18"/>
        <v>0</v>
      </c>
      <c r="AA21" s="480">
        <f t="shared" si="25"/>
        <v>34871</v>
      </c>
      <c r="AB21" s="484">
        <f t="shared" si="15"/>
        <v>0</v>
      </c>
      <c r="AC21" s="480">
        <f t="shared" si="19"/>
        <v>739336</v>
      </c>
      <c r="AD21" s="484">
        <f t="shared" si="24"/>
        <v>0</v>
      </c>
      <c r="AE21" s="507">
        <f t="shared" si="7"/>
        <v>0</v>
      </c>
      <c r="AF21" s="508">
        <f t="shared" si="8"/>
        <v>0</v>
      </c>
      <c r="AG21" s="500">
        <f t="shared" si="22"/>
        <v>0</v>
      </c>
      <c r="AI21" s="501">
        <f>R21-'EDl log'!B19</f>
        <v>-49355220</v>
      </c>
    </row>
    <row r="22" spans="1:35">
      <c r="A22" s="492">
        <f>'General information '!F25</f>
        <v>0</v>
      </c>
      <c r="B22" s="486">
        <f t="shared" si="5"/>
        <v>0</v>
      </c>
      <c r="C22" s="493">
        <v>43850</v>
      </c>
      <c r="D22" s="480">
        <f t="shared" si="28"/>
        <v>31358932</v>
      </c>
      <c r="E22" s="328">
        <f t="shared" si="9"/>
        <v>0</v>
      </c>
      <c r="F22" s="480">
        <f t="shared" si="28"/>
        <v>3469290</v>
      </c>
      <c r="G22" s="329">
        <f t="shared" si="0"/>
        <v>0</v>
      </c>
      <c r="H22" s="480">
        <f t="shared" si="28"/>
        <v>17258222</v>
      </c>
      <c r="I22" s="329">
        <f t="shared" si="10"/>
        <v>0</v>
      </c>
      <c r="J22" s="480">
        <f t="shared" si="28"/>
        <v>28260246</v>
      </c>
      <c r="K22" s="329">
        <f t="shared" si="11"/>
        <v>0</v>
      </c>
      <c r="L22" s="480">
        <f t="shared" si="28"/>
        <v>22596296</v>
      </c>
      <c r="M22" s="329">
        <f t="shared" si="12"/>
        <v>0</v>
      </c>
      <c r="N22" s="327">
        <f t="shared" si="13"/>
        <v>0</v>
      </c>
      <c r="O22" s="502">
        <f t="shared" si="21"/>
        <v>0</v>
      </c>
      <c r="P22" s="480">
        <f t="shared" si="29"/>
        <v>15279.014999999999</v>
      </c>
      <c r="Q22" s="484">
        <f t="shared" si="23"/>
        <v>0</v>
      </c>
      <c r="R22" s="484">
        <f t="shared" si="17"/>
        <v>0</v>
      </c>
      <c r="S22" s="480">
        <f t="shared" si="30"/>
        <v>8367</v>
      </c>
      <c r="T22" s="504">
        <f t="shared" si="2"/>
        <v>0</v>
      </c>
      <c r="U22" s="480">
        <f t="shared" si="31"/>
        <v>1020832</v>
      </c>
      <c r="V22" s="484">
        <f t="shared" si="14"/>
        <v>0</v>
      </c>
      <c r="W22" s="480">
        <f t="shared" si="26"/>
        <v>31831</v>
      </c>
      <c r="X22" s="484">
        <f t="shared" si="20"/>
        <v>0</v>
      </c>
      <c r="Y22" s="480">
        <f t="shared" si="27"/>
        <v>622008</v>
      </c>
      <c r="Z22" s="484">
        <f t="shared" si="18"/>
        <v>0</v>
      </c>
      <c r="AA22" s="480">
        <f t="shared" si="25"/>
        <v>34871</v>
      </c>
      <c r="AB22" s="484">
        <f t="shared" si="15"/>
        <v>0</v>
      </c>
      <c r="AC22" s="480">
        <f t="shared" si="19"/>
        <v>739336</v>
      </c>
      <c r="AD22" s="484">
        <f t="shared" si="24"/>
        <v>0</v>
      </c>
      <c r="AE22" s="507">
        <f t="shared" si="7"/>
        <v>0</v>
      </c>
      <c r="AF22" s="508">
        <f t="shared" si="8"/>
        <v>0</v>
      </c>
      <c r="AG22" s="500">
        <f t="shared" si="22"/>
        <v>0</v>
      </c>
      <c r="AI22" s="501">
        <f>R22-'EDl log'!B20</f>
        <v>-49361506</v>
      </c>
    </row>
    <row r="23" spans="1:35">
      <c r="A23" s="492">
        <f>'General information '!F26</f>
        <v>0</v>
      </c>
      <c r="B23" s="486">
        <f t="shared" si="5"/>
        <v>0</v>
      </c>
      <c r="C23" s="493">
        <v>43851</v>
      </c>
      <c r="D23" s="480">
        <f t="shared" si="28"/>
        <v>31358932</v>
      </c>
      <c r="E23" s="328">
        <f t="shared" si="9"/>
        <v>0</v>
      </c>
      <c r="F23" s="480">
        <f t="shared" si="28"/>
        <v>3469290</v>
      </c>
      <c r="G23" s="329">
        <f t="shared" si="0"/>
        <v>0</v>
      </c>
      <c r="H23" s="480">
        <f t="shared" si="28"/>
        <v>17258222</v>
      </c>
      <c r="I23" s="473">
        <f t="shared" si="10"/>
        <v>0</v>
      </c>
      <c r="J23" s="480">
        <f t="shared" si="28"/>
        <v>28260246</v>
      </c>
      <c r="K23" s="329">
        <f t="shared" si="11"/>
        <v>0</v>
      </c>
      <c r="L23" s="480">
        <f t="shared" si="28"/>
        <v>22596296</v>
      </c>
      <c r="M23" s="329">
        <f t="shared" si="12"/>
        <v>0</v>
      </c>
      <c r="N23" s="327">
        <f t="shared" si="13"/>
        <v>0</v>
      </c>
      <c r="O23" s="502">
        <f t="shared" si="21"/>
        <v>0</v>
      </c>
      <c r="P23" s="480">
        <f t="shared" si="29"/>
        <v>15279.014999999999</v>
      </c>
      <c r="Q23" s="484">
        <f t="shared" si="23"/>
        <v>0</v>
      </c>
      <c r="R23" s="484">
        <f t="shared" si="17"/>
        <v>0</v>
      </c>
      <c r="S23" s="480">
        <f t="shared" si="30"/>
        <v>8367</v>
      </c>
      <c r="T23" s="504">
        <f t="shared" si="2"/>
        <v>0</v>
      </c>
      <c r="U23" s="480">
        <f t="shared" si="31"/>
        <v>1020832</v>
      </c>
      <c r="V23" s="484">
        <f t="shared" si="14"/>
        <v>0</v>
      </c>
      <c r="W23" s="480">
        <f t="shared" si="26"/>
        <v>31831</v>
      </c>
      <c r="X23" s="484">
        <f t="shared" si="20"/>
        <v>0</v>
      </c>
      <c r="Y23" s="480">
        <f t="shared" si="27"/>
        <v>622008</v>
      </c>
      <c r="Z23" s="484">
        <f t="shared" si="18"/>
        <v>0</v>
      </c>
      <c r="AA23" s="480">
        <f t="shared" si="25"/>
        <v>34871</v>
      </c>
      <c r="AB23" s="484">
        <f t="shared" si="15"/>
        <v>0</v>
      </c>
      <c r="AC23" s="480">
        <f t="shared" si="19"/>
        <v>739336</v>
      </c>
      <c r="AD23" s="484">
        <f t="shared" si="24"/>
        <v>0</v>
      </c>
      <c r="AE23" s="507">
        <f t="shared" si="7"/>
        <v>0</v>
      </c>
      <c r="AF23" s="508">
        <f t="shared" si="8"/>
        <v>0</v>
      </c>
      <c r="AG23" s="500">
        <f t="shared" si="22"/>
        <v>0</v>
      </c>
      <c r="AI23" s="501">
        <f>R23-'EDl log'!B21</f>
        <v>-49361506</v>
      </c>
    </row>
    <row r="24" spans="1:35">
      <c r="A24" s="492">
        <f>'General information '!F27</f>
        <v>0</v>
      </c>
      <c r="B24" s="486">
        <f t="shared" si="5"/>
        <v>0</v>
      </c>
      <c r="C24" s="493">
        <v>43852</v>
      </c>
      <c r="D24" s="480">
        <f t="shared" si="28"/>
        <v>31358932</v>
      </c>
      <c r="E24" s="328">
        <f t="shared" si="9"/>
        <v>0</v>
      </c>
      <c r="F24" s="480">
        <f t="shared" si="28"/>
        <v>3469290</v>
      </c>
      <c r="G24" s="329">
        <f t="shared" si="0"/>
        <v>0</v>
      </c>
      <c r="H24" s="480">
        <f t="shared" si="28"/>
        <v>17258222</v>
      </c>
      <c r="I24" s="329">
        <f t="shared" si="10"/>
        <v>0</v>
      </c>
      <c r="J24" s="480">
        <f t="shared" si="28"/>
        <v>28260246</v>
      </c>
      <c r="K24" s="329">
        <f t="shared" si="11"/>
        <v>0</v>
      </c>
      <c r="L24" s="480">
        <f t="shared" si="28"/>
        <v>22596296</v>
      </c>
      <c r="M24" s="329">
        <f t="shared" si="12"/>
        <v>0</v>
      </c>
      <c r="N24" s="327">
        <f t="shared" si="13"/>
        <v>0</v>
      </c>
      <c r="O24" s="502">
        <f t="shared" si="21"/>
        <v>0</v>
      </c>
      <c r="P24" s="480">
        <f t="shared" si="29"/>
        <v>15279.014999999999</v>
      </c>
      <c r="Q24" s="484">
        <f t="shared" si="23"/>
        <v>0</v>
      </c>
      <c r="R24" s="484">
        <f t="shared" si="17"/>
        <v>0</v>
      </c>
      <c r="S24" s="480">
        <f t="shared" si="30"/>
        <v>8367</v>
      </c>
      <c r="T24" s="504">
        <f t="shared" si="2"/>
        <v>0</v>
      </c>
      <c r="U24" s="480">
        <f t="shared" si="31"/>
        <v>1020832</v>
      </c>
      <c r="V24" s="484">
        <f t="shared" si="14"/>
        <v>0</v>
      </c>
      <c r="W24" s="480">
        <f t="shared" si="26"/>
        <v>31831</v>
      </c>
      <c r="X24" s="484">
        <f t="shared" si="20"/>
        <v>0</v>
      </c>
      <c r="Y24" s="480">
        <f t="shared" si="27"/>
        <v>622008</v>
      </c>
      <c r="Z24" s="484">
        <f t="shared" si="18"/>
        <v>0</v>
      </c>
      <c r="AA24" s="480">
        <f t="shared" si="25"/>
        <v>34871</v>
      </c>
      <c r="AB24" s="484">
        <f t="shared" si="15"/>
        <v>0</v>
      </c>
      <c r="AC24" s="480">
        <f t="shared" si="19"/>
        <v>739336</v>
      </c>
      <c r="AD24" s="484">
        <f t="shared" si="24"/>
        <v>0</v>
      </c>
      <c r="AE24" s="507">
        <f t="shared" si="7"/>
        <v>0</v>
      </c>
      <c r="AF24" s="508">
        <f t="shared" si="8"/>
        <v>0</v>
      </c>
      <c r="AG24" s="500">
        <f t="shared" si="22"/>
        <v>0</v>
      </c>
      <c r="AI24" s="501">
        <f>R24-'EDl log'!B22</f>
        <v>-49361506</v>
      </c>
    </row>
    <row r="25" spans="1:35">
      <c r="A25" s="492">
        <f>'General information '!F28</f>
        <v>0</v>
      </c>
      <c r="B25" s="486">
        <f t="shared" si="5"/>
        <v>0</v>
      </c>
      <c r="C25" s="493">
        <v>43853</v>
      </c>
      <c r="D25" s="480">
        <f t="shared" si="28"/>
        <v>31358932</v>
      </c>
      <c r="E25" s="328">
        <f t="shared" si="9"/>
        <v>0</v>
      </c>
      <c r="F25" s="480">
        <f t="shared" si="28"/>
        <v>3469290</v>
      </c>
      <c r="G25" s="329">
        <f t="shared" si="0"/>
        <v>0</v>
      </c>
      <c r="H25" s="480">
        <f t="shared" si="28"/>
        <v>17258222</v>
      </c>
      <c r="I25" s="329">
        <f t="shared" si="10"/>
        <v>0</v>
      </c>
      <c r="J25" s="480">
        <f t="shared" si="28"/>
        <v>28260246</v>
      </c>
      <c r="K25" s="329">
        <f t="shared" si="11"/>
        <v>0</v>
      </c>
      <c r="L25" s="480">
        <f t="shared" si="28"/>
        <v>22596296</v>
      </c>
      <c r="M25" s="329">
        <f t="shared" si="12"/>
        <v>0</v>
      </c>
      <c r="N25" s="327">
        <f t="shared" si="13"/>
        <v>0</v>
      </c>
      <c r="O25" s="502">
        <f t="shared" si="21"/>
        <v>0</v>
      </c>
      <c r="P25" s="480">
        <f t="shared" si="29"/>
        <v>15279.014999999999</v>
      </c>
      <c r="Q25" s="484">
        <f t="shared" si="23"/>
        <v>0</v>
      </c>
      <c r="R25" s="484">
        <f t="shared" si="17"/>
        <v>0</v>
      </c>
      <c r="S25" s="480">
        <f t="shared" si="30"/>
        <v>8367</v>
      </c>
      <c r="T25" s="504">
        <f t="shared" si="2"/>
        <v>0</v>
      </c>
      <c r="U25" s="480">
        <f t="shared" si="31"/>
        <v>1020832</v>
      </c>
      <c r="V25" s="484">
        <f t="shared" si="14"/>
        <v>0</v>
      </c>
      <c r="W25" s="480">
        <f t="shared" si="26"/>
        <v>31831</v>
      </c>
      <c r="X25" s="484">
        <f t="shared" si="20"/>
        <v>0</v>
      </c>
      <c r="Y25" s="480">
        <f t="shared" si="27"/>
        <v>622008</v>
      </c>
      <c r="Z25" s="484">
        <f t="shared" si="18"/>
        <v>0</v>
      </c>
      <c r="AA25" s="480">
        <f t="shared" si="25"/>
        <v>34871</v>
      </c>
      <c r="AB25" s="484">
        <f t="shared" si="15"/>
        <v>0</v>
      </c>
      <c r="AC25" s="480">
        <f t="shared" si="19"/>
        <v>739336</v>
      </c>
      <c r="AD25" s="484">
        <f t="shared" si="24"/>
        <v>0</v>
      </c>
      <c r="AE25" s="507">
        <f t="shared" si="7"/>
        <v>0</v>
      </c>
      <c r="AF25" s="508">
        <f t="shared" si="8"/>
        <v>0</v>
      </c>
      <c r="AG25" s="500">
        <f t="shared" si="22"/>
        <v>0</v>
      </c>
      <c r="AI25" s="501">
        <f>R25-'EDl log'!B23</f>
        <v>-49361506</v>
      </c>
    </row>
    <row r="26" spans="1:35">
      <c r="A26" s="492">
        <f>'General information '!F29</f>
        <v>0</v>
      </c>
      <c r="B26" s="486">
        <f t="shared" si="5"/>
        <v>0</v>
      </c>
      <c r="C26" s="493">
        <v>43854</v>
      </c>
      <c r="D26" s="480">
        <f t="shared" si="28"/>
        <v>31358932</v>
      </c>
      <c r="E26" s="328">
        <f t="shared" si="9"/>
        <v>0</v>
      </c>
      <c r="F26" s="480">
        <f t="shared" si="28"/>
        <v>3469290</v>
      </c>
      <c r="G26" s="329">
        <f t="shared" si="0"/>
        <v>0</v>
      </c>
      <c r="H26" s="480">
        <f t="shared" si="28"/>
        <v>17258222</v>
      </c>
      <c r="I26" s="329">
        <f t="shared" si="10"/>
        <v>0</v>
      </c>
      <c r="J26" s="480">
        <f t="shared" si="28"/>
        <v>28260246</v>
      </c>
      <c r="K26" s="329">
        <f t="shared" si="11"/>
        <v>0</v>
      </c>
      <c r="L26" s="480">
        <f t="shared" si="28"/>
        <v>22596296</v>
      </c>
      <c r="M26" s="329">
        <f t="shared" si="12"/>
        <v>0</v>
      </c>
      <c r="N26" s="327">
        <f t="shared" si="13"/>
        <v>0</v>
      </c>
      <c r="O26" s="502">
        <f t="shared" si="21"/>
        <v>0</v>
      </c>
      <c r="P26" s="480">
        <f t="shared" si="29"/>
        <v>15279.014999999999</v>
      </c>
      <c r="Q26" s="484">
        <f t="shared" si="23"/>
        <v>0</v>
      </c>
      <c r="R26" s="509">
        <f>N26-Q26</f>
        <v>0</v>
      </c>
      <c r="S26" s="480">
        <f t="shared" si="30"/>
        <v>8367</v>
      </c>
      <c r="T26" s="504">
        <f t="shared" si="2"/>
        <v>0</v>
      </c>
      <c r="U26" s="480">
        <f t="shared" si="31"/>
        <v>1020832</v>
      </c>
      <c r="V26" s="484">
        <f t="shared" si="14"/>
        <v>0</v>
      </c>
      <c r="W26" s="480">
        <f t="shared" si="26"/>
        <v>31831</v>
      </c>
      <c r="X26" s="484">
        <f t="shared" si="20"/>
        <v>0</v>
      </c>
      <c r="Y26" s="480">
        <f t="shared" si="27"/>
        <v>622008</v>
      </c>
      <c r="Z26" s="484">
        <f t="shared" si="18"/>
        <v>0</v>
      </c>
      <c r="AA26" s="480">
        <f t="shared" si="25"/>
        <v>34871</v>
      </c>
      <c r="AB26" s="484">
        <f t="shared" si="15"/>
        <v>0</v>
      </c>
      <c r="AC26" s="480">
        <f t="shared" si="19"/>
        <v>739336</v>
      </c>
      <c r="AD26" s="484">
        <f t="shared" si="24"/>
        <v>0</v>
      </c>
      <c r="AE26" s="507">
        <f t="shared" si="7"/>
        <v>0</v>
      </c>
      <c r="AF26" s="508">
        <f t="shared" si="8"/>
        <v>0</v>
      </c>
      <c r="AG26" s="500">
        <f t="shared" si="22"/>
        <v>0</v>
      </c>
      <c r="AI26" s="501">
        <f>R26-'EDl log'!B24</f>
        <v>-49361506</v>
      </c>
    </row>
    <row r="27" spans="1:35">
      <c r="A27" s="492">
        <f>'General information '!F30</f>
        <v>0</v>
      </c>
      <c r="B27" s="486">
        <f t="shared" si="5"/>
        <v>0</v>
      </c>
      <c r="C27" s="493">
        <v>43855</v>
      </c>
      <c r="D27" s="480">
        <f t="shared" si="28"/>
        <v>31358932</v>
      </c>
      <c r="E27" s="328">
        <f t="shared" si="9"/>
        <v>0</v>
      </c>
      <c r="F27" s="480">
        <f t="shared" si="28"/>
        <v>3469290</v>
      </c>
      <c r="G27" s="329">
        <f>F27-F26</f>
        <v>0</v>
      </c>
      <c r="H27" s="480">
        <f t="shared" si="28"/>
        <v>17258222</v>
      </c>
      <c r="I27" s="329">
        <f t="shared" si="10"/>
        <v>0</v>
      </c>
      <c r="J27" s="480">
        <f t="shared" si="28"/>
        <v>28260246</v>
      </c>
      <c r="K27" s="329">
        <f t="shared" si="11"/>
        <v>0</v>
      </c>
      <c r="L27" s="480">
        <f t="shared" si="28"/>
        <v>22596296</v>
      </c>
      <c r="M27" s="329">
        <f t="shared" si="12"/>
        <v>0</v>
      </c>
      <c r="N27" s="327">
        <f t="shared" si="13"/>
        <v>0</v>
      </c>
      <c r="O27" s="502">
        <f t="shared" si="21"/>
        <v>0</v>
      </c>
      <c r="P27" s="480">
        <f t="shared" si="29"/>
        <v>15279.014999999999</v>
      </c>
      <c r="Q27" s="484">
        <f t="shared" si="23"/>
        <v>0</v>
      </c>
      <c r="R27" s="484">
        <f t="shared" si="17"/>
        <v>0</v>
      </c>
      <c r="S27" s="480">
        <f t="shared" si="30"/>
        <v>8367</v>
      </c>
      <c r="T27" s="504">
        <f t="shared" si="2"/>
        <v>0</v>
      </c>
      <c r="U27" s="480">
        <f t="shared" si="31"/>
        <v>1020832</v>
      </c>
      <c r="V27" s="484">
        <f t="shared" si="14"/>
        <v>0</v>
      </c>
      <c r="W27" s="480">
        <f t="shared" si="26"/>
        <v>31831</v>
      </c>
      <c r="X27" s="484">
        <f t="shared" si="20"/>
        <v>0</v>
      </c>
      <c r="Y27" s="480">
        <f t="shared" si="27"/>
        <v>622008</v>
      </c>
      <c r="Z27" s="484">
        <f t="shared" si="18"/>
        <v>0</v>
      </c>
      <c r="AA27" s="480">
        <f t="shared" si="25"/>
        <v>34871</v>
      </c>
      <c r="AB27" s="484">
        <f t="shared" si="15"/>
        <v>0</v>
      </c>
      <c r="AC27" s="480">
        <f t="shared" si="19"/>
        <v>739336</v>
      </c>
      <c r="AD27" s="484">
        <f t="shared" si="24"/>
        <v>0</v>
      </c>
      <c r="AE27" s="507">
        <f t="shared" si="7"/>
        <v>0</v>
      </c>
      <c r="AF27" s="508">
        <f t="shared" si="8"/>
        <v>0</v>
      </c>
      <c r="AG27" s="500">
        <f t="shared" si="22"/>
        <v>0</v>
      </c>
      <c r="AI27" s="501">
        <f>R27-'EDl log'!B25</f>
        <v>-49361506</v>
      </c>
    </row>
    <row r="28" spans="1:35">
      <c r="A28" s="492">
        <f>'General information '!F31</f>
        <v>0</v>
      </c>
      <c r="B28" s="486">
        <f t="shared" si="5"/>
        <v>0</v>
      </c>
      <c r="C28" s="493">
        <v>43856</v>
      </c>
      <c r="D28" s="480">
        <f t="shared" si="28"/>
        <v>31358932</v>
      </c>
      <c r="E28" s="328">
        <f t="shared" si="9"/>
        <v>0</v>
      </c>
      <c r="F28" s="480">
        <f t="shared" si="28"/>
        <v>3469290</v>
      </c>
      <c r="G28" s="329">
        <f t="shared" si="0"/>
        <v>0</v>
      </c>
      <c r="H28" s="480">
        <f t="shared" si="28"/>
        <v>17258222</v>
      </c>
      <c r="I28" s="329">
        <f t="shared" si="10"/>
        <v>0</v>
      </c>
      <c r="J28" s="480">
        <f t="shared" si="28"/>
        <v>28260246</v>
      </c>
      <c r="K28" s="329">
        <f t="shared" si="11"/>
        <v>0</v>
      </c>
      <c r="L28" s="480">
        <f t="shared" si="28"/>
        <v>22596296</v>
      </c>
      <c r="M28" s="329">
        <f t="shared" si="12"/>
        <v>0</v>
      </c>
      <c r="N28" s="327">
        <f t="shared" si="13"/>
        <v>0</v>
      </c>
      <c r="O28" s="502">
        <f t="shared" si="21"/>
        <v>0</v>
      </c>
      <c r="P28" s="480">
        <f t="shared" si="29"/>
        <v>15279.014999999999</v>
      </c>
      <c r="Q28" s="484">
        <f t="shared" si="23"/>
        <v>0</v>
      </c>
      <c r="R28" s="484">
        <f>N28-Q28</f>
        <v>0</v>
      </c>
      <c r="S28" s="480">
        <f t="shared" si="30"/>
        <v>8367</v>
      </c>
      <c r="T28" s="504">
        <f t="shared" si="2"/>
        <v>0</v>
      </c>
      <c r="U28" s="480">
        <f t="shared" si="31"/>
        <v>1020832</v>
      </c>
      <c r="V28" s="484">
        <f t="shared" si="14"/>
        <v>0</v>
      </c>
      <c r="W28" s="480">
        <f t="shared" si="26"/>
        <v>31831</v>
      </c>
      <c r="X28" s="484">
        <f t="shared" si="20"/>
        <v>0</v>
      </c>
      <c r="Y28" s="480">
        <f t="shared" si="27"/>
        <v>622008</v>
      </c>
      <c r="Z28" s="484">
        <f t="shared" si="18"/>
        <v>0</v>
      </c>
      <c r="AA28" s="480">
        <f t="shared" si="25"/>
        <v>34871</v>
      </c>
      <c r="AB28" s="484">
        <f t="shared" si="15"/>
        <v>0</v>
      </c>
      <c r="AC28" s="480">
        <f t="shared" si="19"/>
        <v>739336</v>
      </c>
      <c r="AD28" s="484">
        <f t="shared" si="24"/>
        <v>0</v>
      </c>
      <c r="AE28" s="507">
        <f t="shared" si="7"/>
        <v>0</v>
      </c>
      <c r="AF28" s="508">
        <f t="shared" si="8"/>
        <v>0</v>
      </c>
      <c r="AG28" s="500">
        <f t="shared" si="22"/>
        <v>0</v>
      </c>
      <c r="AI28" s="501">
        <f>R28-'EDl log'!B26</f>
        <v>-49361506</v>
      </c>
    </row>
    <row r="29" spans="1:35">
      <c r="A29" s="492">
        <f>'General information '!F32</f>
        <v>0</v>
      </c>
      <c r="B29" s="486">
        <f>SUM(230*A29)</f>
        <v>0</v>
      </c>
      <c r="C29" s="493">
        <v>43857</v>
      </c>
      <c r="D29" s="480">
        <f t="shared" si="28"/>
        <v>31358932</v>
      </c>
      <c r="E29" s="328">
        <f t="shared" si="9"/>
        <v>0</v>
      </c>
      <c r="F29" s="480">
        <f t="shared" si="28"/>
        <v>3469290</v>
      </c>
      <c r="G29" s="329">
        <f t="shared" si="0"/>
        <v>0</v>
      </c>
      <c r="H29" s="480">
        <f t="shared" si="28"/>
        <v>17258222</v>
      </c>
      <c r="I29" s="329">
        <f t="shared" si="10"/>
        <v>0</v>
      </c>
      <c r="J29" s="480">
        <f t="shared" si="28"/>
        <v>28260246</v>
      </c>
      <c r="K29" s="329">
        <f t="shared" si="11"/>
        <v>0</v>
      </c>
      <c r="L29" s="480">
        <f t="shared" si="28"/>
        <v>22596296</v>
      </c>
      <c r="M29" s="329">
        <f t="shared" si="12"/>
        <v>0</v>
      </c>
      <c r="N29" s="327">
        <f t="shared" si="13"/>
        <v>0</v>
      </c>
      <c r="O29" s="502">
        <f t="shared" si="21"/>
        <v>0</v>
      </c>
      <c r="P29" s="480">
        <f t="shared" si="29"/>
        <v>15279.014999999999</v>
      </c>
      <c r="Q29" s="484">
        <f t="shared" si="23"/>
        <v>0</v>
      </c>
      <c r="R29" s="484">
        <f t="shared" si="17"/>
        <v>0</v>
      </c>
      <c r="S29" s="480">
        <f t="shared" si="30"/>
        <v>8367</v>
      </c>
      <c r="T29" s="504">
        <f t="shared" si="2"/>
        <v>0</v>
      </c>
      <c r="U29" s="480">
        <f t="shared" si="31"/>
        <v>1020832</v>
      </c>
      <c r="V29" s="484">
        <f t="shared" si="14"/>
        <v>0</v>
      </c>
      <c r="W29" s="480">
        <f t="shared" si="26"/>
        <v>31831</v>
      </c>
      <c r="X29" s="484">
        <f t="shared" si="20"/>
        <v>0</v>
      </c>
      <c r="Y29" s="480">
        <f t="shared" si="27"/>
        <v>622008</v>
      </c>
      <c r="Z29" s="484">
        <f t="shared" si="18"/>
        <v>0</v>
      </c>
      <c r="AA29" s="480">
        <f t="shared" si="25"/>
        <v>34871</v>
      </c>
      <c r="AB29" s="484">
        <f t="shared" si="15"/>
        <v>0</v>
      </c>
      <c r="AC29" s="480">
        <f t="shared" si="19"/>
        <v>739336</v>
      </c>
      <c r="AD29" s="484">
        <f t="shared" si="24"/>
        <v>0</v>
      </c>
      <c r="AE29" s="507">
        <f t="shared" si="7"/>
        <v>0</v>
      </c>
      <c r="AF29" s="508">
        <f t="shared" si="8"/>
        <v>0</v>
      </c>
      <c r="AG29" s="500">
        <f t="shared" si="22"/>
        <v>0</v>
      </c>
      <c r="AI29" s="501">
        <f>R29-'EDl log'!B27</f>
        <v>-49361506</v>
      </c>
    </row>
    <row r="30" spans="1:35">
      <c r="A30" s="492">
        <f>'General information '!F33</f>
        <v>0</v>
      </c>
      <c r="B30" s="486">
        <f t="shared" si="5"/>
        <v>0</v>
      </c>
      <c r="C30" s="493">
        <v>43858</v>
      </c>
      <c r="D30" s="480">
        <f t="shared" si="28"/>
        <v>31358932</v>
      </c>
      <c r="E30" s="328">
        <f t="shared" si="9"/>
        <v>0</v>
      </c>
      <c r="F30" s="480">
        <f t="shared" si="28"/>
        <v>3469290</v>
      </c>
      <c r="G30" s="329">
        <f t="shared" si="0"/>
        <v>0</v>
      </c>
      <c r="H30" s="480">
        <f t="shared" si="28"/>
        <v>17258222</v>
      </c>
      <c r="I30" s="329">
        <f t="shared" si="10"/>
        <v>0</v>
      </c>
      <c r="J30" s="480">
        <f t="shared" si="28"/>
        <v>28260246</v>
      </c>
      <c r="K30" s="329">
        <f t="shared" si="11"/>
        <v>0</v>
      </c>
      <c r="L30" s="480">
        <f t="shared" si="28"/>
        <v>22596296</v>
      </c>
      <c r="M30" s="329">
        <f t="shared" si="12"/>
        <v>0</v>
      </c>
      <c r="N30" s="327">
        <f t="shared" si="13"/>
        <v>0</v>
      </c>
      <c r="O30" s="502">
        <f t="shared" si="21"/>
        <v>0</v>
      </c>
      <c r="P30" s="480">
        <f t="shared" si="29"/>
        <v>15279.014999999999</v>
      </c>
      <c r="Q30" s="484">
        <f t="shared" si="23"/>
        <v>0</v>
      </c>
      <c r="R30" s="484">
        <f t="shared" si="17"/>
        <v>0</v>
      </c>
      <c r="S30" s="480">
        <f t="shared" si="30"/>
        <v>8367</v>
      </c>
      <c r="T30" s="504">
        <f t="shared" si="2"/>
        <v>0</v>
      </c>
      <c r="U30" s="480">
        <f t="shared" si="31"/>
        <v>1020832</v>
      </c>
      <c r="V30" s="484">
        <f t="shared" si="14"/>
        <v>0</v>
      </c>
      <c r="W30" s="480">
        <f t="shared" si="26"/>
        <v>31831</v>
      </c>
      <c r="X30" s="505">
        <f t="shared" si="20"/>
        <v>0</v>
      </c>
      <c r="Y30" s="480">
        <f t="shared" si="27"/>
        <v>622008</v>
      </c>
      <c r="Z30" s="484">
        <f t="shared" si="18"/>
        <v>0</v>
      </c>
      <c r="AA30" s="480">
        <f t="shared" si="25"/>
        <v>34871</v>
      </c>
      <c r="AB30" s="484">
        <f t="shared" si="15"/>
        <v>0</v>
      </c>
      <c r="AC30" s="480">
        <f t="shared" si="19"/>
        <v>739336</v>
      </c>
      <c r="AD30" s="484">
        <f t="shared" si="24"/>
        <v>0</v>
      </c>
      <c r="AE30" s="507">
        <f t="shared" si="7"/>
        <v>0</v>
      </c>
      <c r="AF30" s="508">
        <f t="shared" si="8"/>
        <v>0</v>
      </c>
      <c r="AG30" s="500">
        <f t="shared" si="22"/>
        <v>0</v>
      </c>
      <c r="AI30" s="501">
        <f>R30-'EDl log'!B28</f>
        <v>-49361506</v>
      </c>
    </row>
    <row r="31" spans="1:35">
      <c r="A31" s="492">
        <f>'General information '!F34</f>
        <v>0</v>
      </c>
      <c r="B31" s="486">
        <f t="shared" si="5"/>
        <v>0</v>
      </c>
      <c r="C31" s="493">
        <v>43859</v>
      </c>
      <c r="D31" s="480">
        <f t="shared" si="28"/>
        <v>31358932</v>
      </c>
      <c r="E31" s="328">
        <f t="shared" si="9"/>
        <v>0</v>
      </c>
      <c r="F31" s="480">
        <f t="shared" si="28"/>
        <v>3469290</v>
      </c>
      <c r="G31" s="329">
        <f t="shared" si="0"/>
        <v>0</v>
      </c>
      <c r="H31" s="480">
        <f t="shared" si="28"/>
        <v>17258222</v>
      </c>
      <c r="I31" s="329">
        <f t="shared" si="10"/>
        <v>0</v>
      </c>
      <c r="J31" s="480">
        <f t="shared" si="28"/>
        <v>28260246</v>
      </c>
      <c r="K31" s="329">
        <f t="shared" si="11"/>
        <v>0</v>
      </c>
      <c r="L31" s="480">
        <f t="shared" si="28"/>
        <v>22596296</v>
      </c>
      <c r="M31" s="329">
        <f t="shared" si="12"/>
        <v>0</v>
      </c>
      <c r="N31" s="327">
        <f t="shared" si="13"/>
        <v>0</v>
      </c>
      <c r="O31" s="502">
        <f t="shared" si="21"/>
        <v>0</v>
      </c>
      <c r="P31" s="480">
        <f t="shared" si="29"/>
        <v>15279.014999999999</v>
      </c>
      <c r="Q31" s="484">
        <f t="shared" si="23"/>
        <v>0</v>
      </c>
      <c r="R31" s="484">
        <f t="shared" si="17"/>
        <v>0</v>
      </c>
      <c r="S31" s="480">
        <f t="shared" si="30"/>
        <v>8367</v>
      </c>
      <c r="T31" s="504">
        <f t="shared" si="2"/>
        <v>0</v>
      </c>
      <c r="U31" s="480">
        <f t="shared" si="31"/>
        <v>1020832</v>
      </c>
      <c r="V31" s="484">
        <f t="shared" si="14"/>
        <v>0</v>
      </c>
      <c r="W31" s="480">
        <f t="shared" si="26"/>
        <v>31831</v>
      </c>
      <c r="X31" s="484">
        <f t="shared" si="20"/>
        <v>0</v>
      </c>
      <c r="Y31" s="480">
        <f t="shared" si="27"/>
        <v>622008</v>
      </c>
      <c r="Z31" s="506">
        <f>Y31-Y30</f>
        <v>0</v>
      </c>
      <c r="AA31" s="480">
        <f t="shared" si="25"/>
        <v>34871</v>
      </c>
      <c r="AB31" s="484">
        <f t="shared" si="15"/>
        <v>0</v>
      </c>
      <c r="AC31" s="480">
        <f t="shared" si="19"/>
        <v>739336</v>
      </c>
      <c r="AD31" s="484">
        <f t="shared" si="24"/>
        <v>0</v>
      </c>
      <c r="AE31" s="507">
        <f t="shared" si="7"/>
        <v>0</v>
      </c>
      <c r="AF31" s="508">
        <f t="shared" si="8"/>
        <v>0</v>
      </c>
      <c r="AG31" s="500">
        <f t="shared" si="22"/>
        <v>0</v>
      </c>
      <c r="AI31" s="501">
        <f>R31-'EDl log'!B29</f>
        <v>-49361506</v>
      </c>
    </row>
    <row r="32" spans="1:35">
      <c r="A32" s="492">
        <f>'General information '!F35</f>
        <v>0</v>
      </c>
      <c r="B32" s="486">
        <f>SUM(230*A32)</f>
        <v>0</v>
      </c>
      <c r="C32" s="493">
        <v>43860</v>
      </c>
      <c r="D32" s="480">
        <f t="shared" si="28"/>
        <v>31358932</v>
      </c>
      <c r="E32" s="328">
        <f t="shared" si="9"/>
        <v>0</v>
      </c>
      <c r="F32" s="480">
        <f t="shared" si="28"/>
        <v>3469290</v>
      </c>
      <c r="G32" s="329">
        <f>F32-F31</f>
        <v>0</v>
      </c>
      <c r="H32" s="480">
        <f t="shared" si="28"/>
        <v>17258222</v>
      </c>
      <c r="I32" s="329">
        <f>H32-H31</f>
        <v>0</v>
      </c>
      <c r="J32" s="480">
        <f t="shared" si="28"/>
        <v>28260246</v>
      </c>
      <c r="K32" s="329">
        <f>J32-J31</f>
        <v>0</v>
      </c>
      <c r="L32" s="480">
        <f t="shared" si="28"/>
        <v>22596296</v>
      </c>
      <c r="M32" s="329">
        <f>L32-L31</f>
        <v>0</v>
      </c>
      <c r="N32" s="327">
        <f>M32+K32+I32+G32+E32</f>
        <v>0</v>
      </c>
      <c r="O32" s="502">
        <f t="shared" si="21"/>
        <v>0</v>
      </c>
      <c r="P32" s="480">
        <f t="shared" si="29"/>
        <v>15279.014999999999</v>
      </c>
      <c r="Q32" s="484">
        <f>(P32-P31)*1000</f>
        <v>0</v>
      </c>
      <c r="R32" s="484">
        <f>N32-Q32</f>
        <v>0</v>
      </c>
      <c r="S32" s="480">
        <f t="shared" si="30"/>
        <v>8367</v>
      </c>
      <c r="T32" s="504">
        <f t="shared" si="2"/>
        <v>0</v>
      </c>
      <c r="U32" s="480">
        <f t="shared" si="31"/>
        <v>1020832</v>
      </c>
      <c r="V32" s="484">
        <f t="shared" si="14"/>
        <v>0</v>
      </c>
      <c r="W32" s="480">
        <f t="shared" si="26"/>
        <v>31831</v>
      </c>
      <c r="X32" s="484">
        <f t="shared" si="20"/>
        <v>0</v>
      </c>
      <c r="Y32" s="480">
        <f t="shared" si="27"/>
        <v>622008</v>
      </c>
      <c r="Z32" s="506">
        <f>Y32-Y31</f>
        <v>0</v>
      </c>
      <c r="AA32" s="480">
        <f t="shared" si="25"/>
        <v>34871</v>
      </c>
      <c r="AB32" s="484">
        <f t="shared" si="15"/>
        <v>0</v>
      </c>
      <c r="AC32" s="480">
        <f t="shared" si="19"/>
        <v>739336</v>
      </c>
      <c r="AD32" s="484">
        <f t="shared" si="24"/>
        <v>0</v>
      </c>
      <c r="AE32" s="507">
        <f t="shared" si="7"/>
        <v>0</v>
      </c>
      <c r="AF32" s="508">
        <f>V32+Z32+AD32</f>
        <v>0</v>
      </c>
      <c r="AG32" s="500">
        <f t="shared" si="22"/>
        <v>0</v>
      </c>
      <c r="AI32" s="501">
        <f>R32-'EDl log'!B30</f>
        <v>-49361506</v>
      </c>
    </row>
    <row r="33" spans="1:35">
      <c r="A33" s="492">
        <f>'General information '!F36</f>
        <v>0</v>
      </c>
      <c r="B33" s="486">
        <f>SUM(230*A33)</f>
        <v>0</v>
      </c>
      <c r="C33" s="493">
        <v>43861</v>
      </c>
      <c r="D33" s="480">
        <f t="shared" si="28"/>
        <v>31358932</v>
      </c>
      <c r="E33" s="328">
        <f>D33-D32</f>
        <v>0</v>
      </c>
      <c r="F33" s="480">
        <f t="shared" si="28"/>
        <v>3469290</v>
      </c>
      <c r="G33" s="329">
        <f>F33-F32</f>
        <v>0</v>
      </c>
      <c r="H33" s="480">
        <f t="shared" si="28"/>
        <v>17258222</v>
      </c>
      <c r="I33" s="329">
        <f>H33-H32</f>
        <v>0</v>
      </c>
      <c r="J33" s="480">
        <f t="shared" si="28"/>
        <v>28260246</v>
      </c>
      <c r="K33" s="329">
        <f>J33-J32</f>
        <v>0</v>
      </c>
      <c r="L33" s="480">
        <f t="shared" si="28"/>
        <v>22596296</v>
      </c>
      <c r="M33" s="329">
        <f>L33-L32</f>
        <v>0</v>
      </c>
      <c r="N33" s="327">
        <f>M33+K33+I33+G33+E33</f>
        <v>0</v>
      </c>
      <c r="O33" s="502">
        <f>IF(B33&gt;0,N33/B33,0)</f>
        <v>0</v>
      </c>
      <c r="P33" s="480">
        <f t="shared" si="29"/>
        <v>15279.014999999999</v>
      </c>
      <c r="Q33" s="484">
        <f>(P33-P32)*1000</f>
        <v>0</v>
      </c>
      <c r="R33" s="484">
        <f>N33-Q33</f>
        <v>0</v>
      </c>
      <c r="S33" s="480">
        <f t="shared" si="30"/>
        <v>8367</v>
      </c>
      <c r="T33" s="504">
        <f>S33-S32</f>
        <v>0</v>
      </c>
      <c r="U33" s="480">
        <f t="shared" si="31"/>
        <v>1020832</v>
      </c>
      <c r="V33" s="484">
        <f>U33-U32</f>
        <v>0</v>
      </c>
      <c r="W33" s="480">
        <f t="shared" si="26"/>
        <v>31831</v>
      </c>
      <c r="X33" s="484">
        <f>W33-W32</f>
        <v>0</v>
      </c>
      <c r="Y33" s="480">
        <f t="shared" si="27"/>
        <v>622008</v>
      </c>
      <c r="Z33" s="506">
        <f>Y33-Y32</f>
        <v>0</v>
      </c>
      <c r="AA33" s="480">
        <f t="shared" si="25"/>
        <v>34871</v>
      </c>
      <c r="AB33" s="484">
        <f>AA33-AA32</f>
        <v>0</v>
      </c>
      <c r="AC33" s="480">
        <f t="shared" si="19"/>
        <v>739336</v>
      </c>
      <c r="AD33" s="484">
        <f>AC33-AC32</f>
        <v>0</v>
      </c>
      <c r="AE33" s="507">
        <f>AB33+X33+T33</f>
        <v>0</v>
      </c>
      <c r="AF33" s="508">
        <f>V33+Z33+AD33</f>
        <v>0</v>
      </c>
      <c r="AG33" s="500">
        <f t="shared" si="22"/>
        <v>0</v>
      </c>
      <c r="AI33" s="501">
        <f>R33-'EDl log'!B31</f>
        <v>-49361506</v>
      </c>
    </row>
    <row r="34" spans="1:35">
      <c r="P34" s="51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Q1" zoomScale="90" zoomScaleNormal="90" workbookViewId="0">
      <pane ySplit="1" topLeftCell="A2" activePane="bottomLeft" state="frozen"/>
      <selection activeCell="K1" sqref="K1"/>
      <selection pane="bottomLeft" activeCell="AV21" sqref="AV21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8" customWidth="1"/>
    <col min="38" max="38" width="11.140625" style="338" bestFit="1" customWidth="1"/>
    <col min="39" max="39" width="11.42578125" style="338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30"/>
    <col min="51" max="16384" width="9.140625" style="42"/>
  </cols>
  <sheetData>
    <row r="1" spans="1:50" ht="30.75" thickBot="1">
      <c r="F1" s="581" t="s">
        <v>2</v>
      </c>
      <c r="G1" s="582"/>
      <c r="H1" s="582"/>
      <c r="I1" s="583"/>
      <c r="J1" s="294">
        <f>J36</f>
        <v>68.868750000000006</v>
      </c>
      <c r="K1" s="584" t="s">
        <v>4</v>
      </c>
      <c r="L1" s="585"/>
      <c r="M1" s="585"/>
      <c r="N1" s="585"/>
      <c r="O1" s="586"/>
      <c r="P1" s="575" t="s">
        <v>6</v>
      </c>
      <c r="Q1" s="576"/>
      <c r="R1" s="576"/>
      <c r="S1" s="576"/>
      <c r="T1" s="577"/>
      <c r="U1" s="420"/>
      <c r="V1" s="27" t="s">
        <v>104</v>
      </c>
      <c r="W1" s="421"/>
      <c r="X1" s="575" t="s">
        <v>8</v>
      </c>
      <c r="Y1" s="576"/>
      <c r="Z1" s="576"/>
      <c r="AA1" s="576"/>
      <c r="AB1" s="576"/>
      <c r="AC1" s="578" t="s">
        <v>10</v>
      </c>
      <c r="AD1" s="579"/>
      <c r="AE1" s="579"/>
      <c r="AF1" s="580"/>
      <c r="AG1" s="211"/>
      <c r="AH1" s="86" t="s">
        <v>105</v>
      </c>
      <c r="AI1" s="331" t="s">
        <v>128</v>
      </c>
      <c r="AJ1" s="331"/>
      <c r="AK1" s="331"/>
      <c r="AL1" s="331" t="s">
        <v>133</v>
      </c>
      <c r="AM1" s="331" t="s">
        <v>134</v>
      </c>
      <c r="AN1" s="333" t="s">
        <v>12</v>
      </c>
      <c r="AO1" s="333" t="s">
        <v>13</v>
      </c>
      <c r="AP1" s="333" t="s">
        <v>14</v>
      </c>
      <c r="AQ1" s="333" t="s">
        <v>15</v>
      </c>
      <c r="AR1" s="333" t="s">
        <v>16</v>
      </c>
      <c r="AS1" s="333" t="s">
        <v>17</v>
      </c>
      <c r="AT1" s="333"/>
      <c r="AU1" s="334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3"/>
      <c r="R2" s="574"/>
      <c r="S2" s="52" t="s">
        <v>7</v>
      </c>
      <c r="T2" s="53"/>
      <c r="U2" s="424" t="s">
        <v>384</v>
      </c>
      <c r="V2" s="54" t="s">
        <v>103</v>
      </c>
      <c r="W2" s="422"/>
      <c r="X2" s="55" t="s">
        <v>8</v>
      </c>
      <c r="Y2" s="46" t="s">
        <v>9</v>
      </c>
      <c r="Z2" s="411" t="s">
        <v>380</v>
      </c>
      <c r="AA2" s="412" t="s">
        <v>381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2" t="s">
        <v>103</v>
      </c>
      <c r="AJ2" s="415"/>
      <c r="AK2" s="415"/>
      <c r="AL2" s="415"/>
      <c r="AM2" s="415"/>
      <c r="AN2" s="414"/>
      <c r="AO2" s="414"/>
      <c r="AP2" s="414"/>
      <c r="AQ2" s="414"/>
      <c r="AR2" s="414"/>
      <c r="AS2" s="414"/>
      <c r="AT2" s="414"/>
      <c r="AU2" s="414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4"/>
      <c r="V3" s="59"/>
      <c r="W3" s="42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5"/>
      <c r="AJ3" s="336"/>
      <c r="AK3" s="336"/>
      <c r="AL3" s="336"/>
      <c r="AM3" s="336"/>
    </row>
    <row r="4" spans="1:50" s="357" customFormat="1">
      <c r="A4" s="63" t="s">
        <v>412</v>
      </c>
      <c r="B4" s="418">
        <f>[1]B5!B35</f>
        <v>238</v>
      </c>
      <c r="C4" s="418">
        <f>[1]B5!C35</f>
        <v>98</v>
      </c>
      <c r="D4" s="418">
        <f>[1]B5!D35</f>
        <v>25</v>
      </c>
      <c r="E4" s="418">
        <f>[1]B5!E35</f>
        <v>209.50000000000003</v>
      </c>
      <c r="F4" s="418">
        <f>[1]B5!F35</f>
        <v>1303</v>
      </c>
      <c r="G4" s="418">
        <f>[1]B5!G35</f>
        <v>0</v>
      </c>
      <c r="H4" s="418">
        <f>[1]B5!H35</f>
        <v>330270</v>
      </c>
      <c r="I4" s="418">
        <f>[1]B5!I35</f>
        <v>0</v>
      </c>
      <c r="J4" s="418">
        <f>[1]B5!J35</f>
        <v>0</v>
      </c>
      <c r="K4" s="418">
        <f>[1]B5!K35</f>
        <v>1679</v>
      </c>
      <c r="L4" s="418">
        <f>[1]B5!L35</f>
        <v>13</v>
      </c>
      <c r="M4" s="418">
        <f>[1]B5!M35</f>
        <v>122271</v>
      </c>
      <c r="N4" s="418">
        <f>[1]B5!N35</f>
        <v>950</v>
      </c>
      <c r="O4" s="418">
        <f>[1]B5!O35</f>
        <v>996.67721861471864</v>
      </c>
      <c r="P4" s="418">
        <f>[1]B5!P35</f>
        <v>1452</v>
      </c>
      <c r="Q4" s="418">
        <f>[1]B5!Q35</f>
        <v>126239</v>
      </c>
      <c r="R4" s="418">
        <f>[1]B5!R35</f>
        <v>0</v>
      </c>
      <c r="S4" s="418">
        <f>[1]B5!S35</f>
        <v>0</v>
      </c>
      <c r="T4" s="418">
        <f>[1]B5!T35</f>
        <v>0</v>
      </c>
      <c r="U4" s="418">
        <f>[1]B5!U35</f>
        <v>13</v>
      </c>
      <c r="V4" s="418">
        <f>[1]B5!V35</f>
        <v>950</v>
      </c>
      <c r="W4" s="418">
        <f>[1]B5!W35</f>
        <v>0</v>
      </c>
      <c r="X4" s="418">
        <f>[1]B5!X35</f>
        <v>2320</v>
      </c>
      <c r="Y4" s="418">
        <f>[1]B5!Y35</f>
        <v>0</v>
      </c>
      <c r="Z4" s="418">
        <f>[1]B5!Z35</f>
        <v>130593</v>
      </c>
      <c r="AA4" s="418">
        <f>[1]B5!AA35</f>
        <v>0</v>
      </c>
      <c r="AB4" s="418">
        <f>[1]B5!AB35</f>
        <v>0</v>
      </c>
      <c r="AC4" s="418">
        <f>[1]B5!AC35</f>
        <v>1703</v>
      </c>
      <c r="AD4" s="418">
        <f>[1]B5!AD35</f>
        <v>1</v>
      </c>
      <c r="AE4" s="418">
        <f>[1]B5!AE35</f>
        <v>352700</v>
      </c>
      <c r="AF4" s="418">
        <f>[1]B5!AF35</f>
        <v>334.79999999998836</v>
      </c>
      <c r="AG4" s="418">
        <f>[1]B5!AG35</f>
        <v>334.79999999998836</v>
      </c>
      <c r="AH4" s="418">
        <f>[1]B5!AH35</f>
        <v>334.79999999998836</v>
      </c>
      <c r="AI4" s="418">
        <f>[1]B5!AI35</f>
        <v>1284.7999999999884</v>
      </c>
      <c r="AJ4" s="418">
        <f>[1]B5!AJ35</f>
        <v>1284.7999999999884</v>
      </c>
      <c r="AK4" s="418">
        <f>[1]B5!AK35</f>
        <v>0</v>
      </c>
      <c r="AL4" s="418">
        <f>[1]B5!AL35</f>
        <v>13</v>
      </c>
      <c r="AM4" s="418">
        <f>[1]B5!AM35</f>
        <v>1</v>
      </c>
      <c r="AN4" s="418">
        <f>[1]B5!AN35</f>
        <v>65</v>
      </c>
      <c r="AO4" s="418">
        <f>[1]B5!AO35</f>
        <v>1950</v>
      </c>
      <c r="AP4" s="418">
        <f>[1]B5!AP35</f>
        <v>67</v>
      </c>
      <c r="AQ4" s="418">
        <f>[1]B5!AQ35</f>
        <v>2010.0000000000002</v>
      </c>
      <c r="AR4" s="418">
        <f>[1]B5!AR35</f>
        <v>68</v>
      </c>
      <c r="AS4" s="418">
        <f>[1]B5!AS35</f>
        <v>2040.0000000000002</v>
      </c>
      <c r="AT4" s="418">
        <f>[1]B5!AT35</f>
        <v>6000</v>
      </c>
      <c r="AU4" s="418">
        <f>[1]B5!AU35</f>
        <v>270</v>
      </c>
      <c r="AV4" s="418">
        <f>[1]B5!AV35</f>
        <v>0</v>
      </c>
      <c r="AW4" s="418">
        <f>[1]B5!AW35</f>
        <v>0</v>
      </c>
      <c r="AX4" s="418">
        <f>[1]B5!AX35</f>
        <v>0.7</v>
      </c>
    </row>
    <row r="5" spans="1:50">
      <c r="A5" s="63">
        <v>43831</v>
      </c>
      <c r="B5" s="64">
        <v>234</v>
      </c>
      <c r="C5" s="64">
        <v>78</v>
      </c>
      <c r="D5" s="45">
        <f t="shared" ref="D5:D34" si="0">C4-C5</f>
        <v>20</v>
      </c>
      <c r="E5" s="45">
        <f>D5*8.38</f>
        <v>167.60000000000002</v>
      </c>
      <c r="F5" s="64">
        <v>1303</v>
      </c>
      <c r="G5" s="52">
        <f t="shared" ref="G5:G34" si="1">F5-F4</f>
        <v>0</v>
      </c>
      <c r="H5" s="64">
        <v>330270</v>
      </c>
      <c r="I5" s="419">
        <f t="shared" ref="I5:I34" si="2">SUM(H5-H4)</f>
        <v>0</v>
      </c>
      <c r="J5" s="66">
        <v>1</v>
      </c>
      <c r="K5" s="64">
        <v>1693</v>
      </c>
      <c r="L5" s="52">
        <f t="shared" ref="L5:L34" si="3">K5-K4</f>
        <v>14</v>
      </c>
      <c r="M5" s="64">
        <v>123329</v>
      </c>
      <c r="N5" s="419">
        <f t="shared" ref="N5:N30" si="4">M5-M4</f>
        <v>1058</v>
      </c>
      <c r="O5" s="360">
        <f t="shared" ref="O5:O34" si="5">SUM(L5*$J$1)</f>
        <v>964.16250000000014</v>
      </c>
      <c r="P5" s="64">
        <v>1452</v>
      </c>
      <c r="Q5" s="64">
        <v>126239</v>
      </c>
      <c r="R5" s="418">
        <f t="shared" ref="R5:R10" si="6">Q5-Q4</f>
        <v>0</v>
      </c>
      <c r="S5" s="52">
        <f>SUM(P5-P4)</f>
        <v>0</v>
      </c>
      <c r="T5" s="68">
        <f>SUM(S5*$T$2)</f>
        <v>0</v>
      </c>
      <c r="U5" s="425">
        <f>SUM(G5+L5+S5)</f>
        <v>14</v>
      </c>
      <c r="V5" s="62">
        <f>R5+N5+I5:I5</f>
        <v>1058</v>
      </c>
      <c r="W5" s="423">
        <f>SUM(V5/U5)</f>
        <v>75.571428571428569</v>
      </c>
      <c r="X5" s="64">
        <v>2320</v>
      </c>
      <c r="Y5" s="52">
        <f>X5-X4</f>
        <v>0</v>
      </c>
      <c r="Z5" s="64">
        <v>130593</v>
      </c>
      <c r="AA5" s="65">
        <f t="shared" ref="AA5:AA34" si="7">Z5-Z4</f>
        <v>0</v>
      </c>
      <c r="AB5" s="296">
        <f>SUM(Y5*$AB$2)</f>
        <v>0</v>
      </c>
      <c r="AC5" s="64">
        <v>1712</v>
      </c>
      <c r="AD5" s="45">
        <f t="shared" ref="AD5:AD34" si="8">AC5-AC4</f>
        <v>9</v>
      </c>
      <c r="AE5" s="64">
        <v>353100</v>
      </c>
      <c r="AF5" s="323">
        <f>AE5-AE4</f>
        <v>400</v>
      </c>
      <c r="AG5" s="213">
        <f>IF(AD5&gt;0,AF5/AD5,0)</f>
        <v>44.444444444444443</v>
      </c>
      <c r="AH5" s="62">
        <f>AF5+AA5</f>
        <v>400</v>
      </c>
      <c r="AI5" s="335">
        <f>SUM(AH5+V5)</f>
        <v>1458</v>
      </c>
      <c r="AJ5" s="335">
        <f>-tanks!AW6</f>
        <v>1458</v>
      </c>
      <c r="AK5" s="335">
        <f>SUM(AJ5-AI5)</f>
        <v>0</v>
      </c>
      <c r="AL5" s="335">
        <f t="shared" ref="AL5:AL18" si="9">S5+L5+G5</f>
        <v>14</v>
      </c>
      <c r="AM5" s="335">
        <f>Y5+AD5</f>
        <v>9</v>
      </c>
      <c r="AN5" s="64">
        <v>64</v>
      </c>
      <c r="AO5" s="337">
        <f>(AN5/100)*3000</f>
        <v>1920</v>
      </c>
      <c r="AP5" s="64">
        <v>65</v>
      </c>
      <c r="AQ5" s="337">
        <f>(AP5/100)*3000</f>
        <v>1950</v>
      </c>
      <c r="AR5" s="64">
        <v>65</v>
      </c>
      <c r="AS5" s="337">
        <f>(AR5/100)*3000</f>
        <v>1950</v>
      </c>
      <c r="AT5" s="337">
        <f>SUM(AO5+AQ5+AS5)</f>
        <v>5820</v>
      </c>
      <c r="AU5" s="337">
        <f>AT4-AT5+AV5</f>
        <v>180</v>
      </c>
      <c r="AV5" s="276"/>
      <c r="AW5" s="276"/>
      <c r="AX5" s="330">
        <f>IF(AV5&gt;0,AW5,AX4)</f>
        <v>0.7</v>
      </c>
    </row>
    <row r="6" spans="1:50">
      <c r="A6" s="63">
        <v>43832</v>
      </c>
      <c r="B6" s="64">
        <v>205</v>
      </c>
      <c r="C6" s="64">
        <v>143</v>
      </c>
      <c r="D6" s="45">
        <f t="shared" si="0"/>
        <v>-65</v>
      </c>
      <c r="E6" s="45">
        <f t="shared" ref="E6:E28" si="10">D6*8.38</f>
        <v>-544.70000000000005</v>
      </c>
      <c r="F6" s="64">
        <v>1303</v>
      </c>
      <c r="G6" s="52">
        <f t="shared" si="1"/>
        <v>0</v>
      </c>
      <c r="H6" s="64">
        <v>330270</v>
      </c>
      <c r="I6" s="419">
        <f t="shared" si="2"/>
        <v>0</v>
      </c>
      <c r="J6" s="66">
        <f t="shared" ref="J6:J34" si="11">IF(G6&gt;0,I6/G6,0)</f>
        <v>0</v>
      </c>
      <c r="K6" s="64">
        <v>1702</v>
      </c>
      <c r="L6" s="52">
        <f t="shared" si="3"/>
        <v>9</v>
      </c>
      <c r="M6" s="64">
        <v>123970</v>
      </c>
      <c r="N6" s="419">
        <f t="shared" si="4"/>
        <v>641</v>
      </c>
      <c r="O6" s="67">
        <f t="shared" si="5"/>
        <v>619.81875000000002</v>
      </c>
      <c r="P6" s="64">
        <v>1456</v>
      </c>
      <c r="Q6" s="64">
        <v>126593</v>
      </c>
      <c r="R6" s="418">
        <f t="shared" si="6"/>
        <v>354</v>
      </c>
      <c r="S6" s="52">
        <f t="shared" ref="S6:S23" si="12">SUM(P6-P5)</f>
        <v>4</v>
      </c>
      <c r="T6" s="68">
        <f>SUM(S6*$T$2)</f>
        <v>0</v>
      </c>
      <c r="U6" s="425">
        <f t="shared" ref="U6:U35" si="13">SUM(G6+L6+S6)</f>
        <v>13</v>
      </c>
      <c r="V6" s="62">
        <f t="shared" ref="V6:V34" si="14">R6+N6+I6:I6</f>
        <v>995</v>
      </c>
      <c r="W6" s="423">
        <f t="shared" ref="W6:W16" si="15">SUM(V6/U6)</f>
        <v>76.538461538461533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1714</v>
      </c>
      <c r="AD6" s="45">
        <f t="shared" si="8"/>
        <v>2</v>
      </c>
      <c r="AE6" s="64">
        <v>353197.3</v>
      </c>
      <c r="AF6" s="323">
        <f t="shared" ref="AF6:AF34" si="17">AE6-AE5</f>
        <v>97.299999999988358</v>
      </c>
      <c r="AG6" s="213">
        <f>IF(AD6&gt;0,AF6/AD6,0)</f>
        <v>48.649999999994179</v>
      </c>
      <c r="AH6" s="62">
        <f>AF6+AA6</f>
        <v>97.299999999988358</v>
      </c>
      <c r="AI6" s="335">
        <f t="shared" ref="AI6:AI34" si="18">SUM(AH6+V6)</f>
        <v>1092.2999999999884</v>
      </c>
      <c r="AJ6" s="335">
        <f>-tanks!AW7</f>
        <v>1092.2999999999884</v>
      </c>
      <c r="AK6" s="335">
        <f t="shared" ref="AK6:AK34" si="19">SUM(AJ6-AI6)</f>
        <v>0</v>
      </c>
      <c r="AL6" s="335">
        <f t="shared" si="9"/>
        <v>13</v>
      </c>
      <c r="AM6" s="335">
        <f t="shared" ref="AM6:AM33" si="20">Y6+AD6</f>
        <v>2</v>
      </c>
      <c r="AN6" s="64">
        <v>80</v>
      </c>
      <c r="AO6" s="337">
        <f t="shared" ref="AO6:AO26" si="21">(AN6/100)*3000</f>
        <v>2400</v>
      </c>
      <c r="AP6" s="64">
        <v>80</v>
      </c>
      <c r="AQ6" s="337">
        <f t="shared" ref="AQ6:AQ24" si="22">(AP6/100)*3000</f>
        <v>2400</v>
      </c>
      <c r="AR6" s="64">
        <v>80</v>
      </c>
      <c r="AS6" s="337">
        <f>(AR6/100)*3000</f>
        <v>2400</v>
      </c>
      <c r="AT6" s="337">
        <f>SUM(AO6+AQ6+AS6)</f>
        <v>7200</v>
      </c>
      <c r="AU6" s="337">
        <f>AT5-AT6+AV6</f>
        <v>520</v>
      </c>
      <c r="AV6" s="276">
        <v>1900</v>
      </c>
      <c r="AW6" s="276">
        <v>0.7</v>
      </c>
      <c r="AX6" s="330">
        <f t="shared" ref="AX6:AX34" si="23">IF(AV6&gt;0,AW6,AX5)</f>
        <v>0.7</v>
      </c>
    </row>
    <row r="7" spans="1:50">
      <c r="A7" s="63">
        <v>43833</v>
      </c>
      <c r="B7" s="64">
        <v>198</v>
      </c>
      <c r="C7" s="64">
        <v>127</v>
      </c>
      <c r="D7" s="45">
        <f t="shared" si="0"/>
        <v>16</v>
      </c>
      <c r="E7" s="45">
        <f t="shared" si="10"/>
        <v>134.08000000000001</v>
      </c>
      <c r="F7" s="64">
        <f>F6</f>
        <v>1303</v>
      </c>
      <c r="G7" s="52">
        <f t="shared" si="1"/>
        <v>0</v>
      </c>
      <c r="H7" s="64">
        <f>H6</f>
        <v>330270</v>
      </c>
      <c r="I7" s="419">
        <f t="shared" si="2"/>
        <v>0</v>
      </c>
      <c r="J7" s="66">
        <f t="shared" si="11"/>
        <v>0</v>
      </c>
      <c r="K7" s="64">
        <f>K6</f>
        <v>1702</v>
      </c>
      <c r="L7" s="52">
        <f t="shared" si="3"/>
        <v>0</v>
      </c>
      <c r="M7" s="64">
        <f>M6</f>
        <v>123970</v>
      </c>
      <c r="N7" s="419">
        <f>M7-M6</f>
        <v>0</v>
      </c>
      <c r="O7" s="67">
        <v>1</v>
      </c>
      <c r="P7" s="64">
        <v>1467</v>
      </c>
      <c r="Q7" s="64">
        <v>127436</v>
      </c>
      <c r="R7" s="418">
        <f t="shared" si="6"/>
        <v>843</v>
      </c>
      <c r="S7" s="52">
        <f t="shared" si="12"/>
        <v>11</v>
      </c>
      <c r="T7" s="68">
        <f t="shared" ref="T7:T34" si="24">SUM(S7*$T$2)</f>
        <v>0</v>
      </c>
      <c r="U7" s="425">
        <f t="shared" si="13"/>
        <v>11</v>
      </c>
      <c r="V7" s="62">
        <f t="shared" si="14"/>
        <v>843</v>
      </c>
      <c r="W7" s="423">
        <f t="shared" si="15"/>
        <v>76.63636363636364</v>
      </c>
      <c r="X7" s="64">
        <f>X6</f>
        <v>2320</v>
      </c>
      <c r="Y7" s="52">
        <f t="shared" si="16"/>
        <v>0</v>
      </c>
      <c r="Z7" s="64">
        <f>Z6</f>
        <v>130593</v>
      </c>
      <c r="AA7" s="65">
        <f t="shared" si="7"/>
        <v>0</v>
      </c>
      <c r="AB7" s="296">
        <f t="shared" ref="AB7:AB17" si="25">SUM(Y7*$AB$2)</f>
        <v>0</v>
      </c>
      <c r="AC7" s="64">
        <v>1723</v>
      </c>
      <c r="AD7" s="45">
        <f t="shared" si="8"/>
        <v>9</v>
      </c>
      <c r="AE7" s="64">
        <v>353680.2</v>
      </c>
      <c r="AF7" s="323">
        <f t="shared" si="17"/>
        <v>482.90000000002328</v>
      </c>
      <c r="AG7" s="213">
        <f t="shared" ref="AG7:AG34" si="26">IF(AD7&gt;0,AF7/AD7,0)</f>
        <v>53.655555555558145</v>
      </c>
      <c r="AH7" s="62">
        <f t="shared" ref="AH7:AH34" si="27">AF7+AA7</f>
        <v>482.90000000002328</v>
      </c>
      <c r="AI7" s="335">
        <f t="shared" si="18"/>
        <v>1325.9000000000233</v>
      </c>
      <c r="AJ7" s="335">
        <f>-tanks!AW8</f>
        <v>1325.9000000000233</v>
      </c>
      <c r="AK7" s="335">
        <f t="shared" si="19"/>
        <v>0</v>
      </c>
      <c r="AL7" s="335">
        <f t="shared" si="9"/>
        <v>11</v>
      </c>
      <c r="AM7" s="335">
        <f t="shared" si="20"/>
        <v>9</v>
      </c>
      <c r="AN7" s="64">
        <v>78</v>
      </c>
      <c r="AO7" s="337">
        <f t="shared" si="21"/>
        <v>2340</v>
      </c>
      <c r="AP7" s="64">
        <v>78</v>
      </c>
      <c r="AQ7" s="337">
        <f t="shared" si="22"/>
        <v>2340</v>
      </c>
      <c r="AR7" s="64">
        <v>78</v>
      </c>
      <c r="AS7" s="337">
        <f t="shared" ref="AS7:AS34" si="28">(AR7/100)*3000</f>
        <v>2340</v>
      </c>
      <c r="AT7" s="337">
        <f t="shared" ref="AT7:AT23" si="29">SUM(AO7+AQ7+AS7)</f>
        <v>7020</v>
      </c>
      <c r="AU7" s="337">
        <f t="shared" ref="AU7:AU34" si="30">AT6-AT7+AV7</f>
        <v>180</v>
      </c>
      <c r="AV7" s="276"/>
      <c r="AW7" s="276"/>
      <c r="AX7" s="330">
        <f t="shared" si="23"/>
        <v>0.7</v>
      </c>
    </row>
    <row r="8" spans="1:50">
      <c r="A8" s="63">
        <v>43834</v>
      </c>
      <c r="B8" s="64">
        <v>193</v>
      </c>
      <c r="C8" s="64">
        <v>102</v>
      </c>
      <c r="D8" s="45">
        <f t="shared" si="0"/>
        <v>25</v>
      </c>
      <c r="E8" s="45">
        <f t="shared" si="10"/>
        <v>209.50000000000003</v>
      </c>
      <c r="F8" s="64">
        <f>F7</f>
        <v>1303</v>
      </c>
      <c r="G8" s="52">
        <f t="shared" si="1"/>
        <v>0</v>
      </c>
      <c r="H8" s="64">
        <f>H7</f>
        <v>330270</v>
      </c>
      <c r="I8" s="419">
        <f t="shared" si="2"/>
        <v>0</v>
      </c>
      <c r="J8" s="66">
        <f t="shared" si="11"/>
        <v>0</v>
      </c>
      <c r="K8" s="64">
        <f>K7</f>
        <v>1702</v>
      </c>
      <c r="L8" s="52">
        <f t="shared" si="3"/>
        <v>0</v>
      </c>
      <c r="M8" s="64">
        <f>M7</f>
        <v>123970</v>
      </c>
      <c r="N8" s="419">
        <f t="shared" si="4"/>
        <v>0</v>
      </c>
      <c r="O8" s="67">
        <v>1479</v>
      </c>
      <c r="P8" s="64">
        <v>1479</v>
      </c>
      <c r="Q8" s="64">
        <v>128380</v>
      </c>
      <c r="R8" s="418">
        <f t="shared" si="6"/>
        <v>944</v>
      </c>
      <c r="S8" s="52">
        <f t="shared" si="12"/>
        <v>12</v>
      </c>
      <c r="T8" s="68">
        <f t="shared" si="24"/>
        <v>0</v>
      </c>
      <c r="U8" s="425">
        <f t="shared" si="13"/>
        <v>12</v>
      </c>
      <c r="V8" s="62">
        <f t="shared" si="14"/>
        <v>944</v>
      </c>
      <c r="W8" s="423">
        <f t="shared" si="15"/>
        <v>78.666666666666671</v>
      </c>
      <c r="X8" s="64">
        <v>2320</v>
      </c>
      <c r="Y8" s="52">
        <f t="shared" si="16"/>
        <v>0</v>
      </c>
      <c r="Z8" s="64">
        <v>130593</v>
      </c>
      <c r="AA8" s="65">
        <f t="shared" si="7"/>
        <v>0</v>
      </c>
      <c r="AB8" s="296">
        <f t="shared" si="25"/>
        <v>0</v>
      </c>
      <c r="AC8" s="64">
        <v>1723</v>
      </c>
      <c r="AD8" s="45">
        <f t="shared" si="8"/>
        <v>0</v>
      </c>
      <c r="AE8" s="64">
        <f>AE7</f>
        <v>353680.2</v>
      </c>
      <c r="AF8" s="323">
        <f t="shared" si="17"/>
        <v>0</v>
      </c>
      <c r="AG8" s="213">
        <f t="shared" si="26"/>
        <v>0</v>
      </c>
      <c r="AH8" s="62">
        <f t="shared" si="27"/>
        <v>0</v>
      </c>
      <c r="AI8" s="335">
        <f t="shared" si="18"/>
        <v>944</v>
      </c>
      <c r="AJ8" s="335">
        <f>-tanks!AW9</f>
        <v>944</v>
      </c>
      <c r="AK8" s="335">
        <f t="shared" si="19"/>
        <v>0</v>
      </c>
      <c r="AL8" s="335">
        <f t="shared" si="9"/>
        <v>12</v>
      </c>
      <c r="AM8" s="335">
        <f t="shared" si="20"/>
        <v>0</v>
      </c>
      <c r="AN8" s="64">
        <v>75</v>
      </c>
      <c r="AO8" s="337">
        <f t="shared" si="21"/>
        <v>2250</v>
      </c>
      <c r="AP8" s="64">
        <v>76</v>
      </c>
      <c r="AQ8" s="337">
        <f t="shared" si="22"/>
        <v>2280</v>
      </c>
      <c r="AR8" s="64">
        <v>75</v>
      </c>
      <c r="AS8" s="337">
        <f t="shared" si="28"/>
        <v>2250</v>
      </c>
      <c r="AT8" s="337">
        <f t="shared" si="29"/>
        <v>6780</v>
      </c>
      <c r="AU8" s="337">
        <f t="shared" si="30"/>
        <v>240</v>
      </c>
      <c r="AV8" s="276"/>
      <c r="AW8" s="276"/>
      <c r="AX8" s="330">
        <f t="shared" si="23"/>
        <v>0.7</v>
      </c>
    </row>
    <row r="9" spans="1:50">
      <c r="A9" s="63">
        <v>43835</v>
      </c>
      <c r="B9" s="64">
        <v>190</v>
      </c>
      <c r="C9" s="64">
        <v>88</v>
      </c>
      <c r="D9" s="45">
        <f t="shared" si="0"/>
        <v>14</v>
      </c>
      <c r="E9" s="45">
        <f t="shared" si="10"/>
        <v>117.32000000000001</v>
      </c>
      <c r="F9" s="64">
        <v>1303</v>
      </c>
      <c r="G9" s="52">
        <f t="shared" si="1"/>
        <v>0</v>
      </c>
      <c r="H9" s="64">
        <v>330270</v>
      </c>
      <c r="I9" s="419">
        <f t="shared" si="2"/>
        <v>0</v>
      </c>
      <c r="J9" s="66">
        <f t="shared" si="11"/>
        <v>0</v>
      </c>
      <c r="K9" s="64">
        <v>1702</v>
      </c>
      <c r="L9" s="52">
        <f t="shared" si="3"/>
        <v>0</v>
      </c>
      <c r="M9" s="64">
        <v>123970</v>
      </c>
      <c r="N9" s="419">
        <f t="shared" si="4"/>
        <v>0</v>
      </c>
      <c r="O9" s="67">
        <f t="shared" si="5"/>
        <v>0</v>
      </c>
      <c r="P9" s="64">
        <v>1489</v>
      </c>
      <c r="Q9" s="64">
        <v>129086</v>
      </c>
      <c r="R9" s="418">
        <f t="shared" si="6"/>
        <v>706</v>
      </c>
      <c r="S9" s="52">
        <f t="shared" si="12"/>
        <v>10</v>
      </c>
      <c r="T9" s="68">
        <f t="shared" si="24"/>
        <v>0</v>
      </c>
      <c r="U9" s="425">
        <f t="shared" si="13"/>
        <v>10</v>
      </c>
      <c r="V9" s="62">
        <f t="shared" si="14"/>
        <v>706</v>
      </c>
      <c r="W9" s="423">
        <f t="shared" si="15"/>
        <v>70.599999999999994</v>
      </c>
      <c r="X9" s="64">
        <v>2320</v>
      </c>
      <c r="Y9" s="52">
        <f t="shared" si="16"/>
        <v>0</v>
      </c>
      <c r="Z9" s="64">
        <v>130593</v>
      </c>
      <c r="AA9" s="65">
        <f t="shared" si="7"/>
        <v>0</v>
      </c>
      <c r="AB9" s="296">
        <f t="shared" si="25"/>
        <v>0</v>
      </c>
      <c r="AC9" s="64">
        <v>1732</v>
      </c>
      <c r="AD9" s="45">
        <f t="shared" si="8"/>
        <v>9</v>
      </c>
      <c r="AE9" s="64">
        <v>354081.9</v>
      </c>
      <c r="AF9" s="323">
        <f t="shared" si="17"/>
        <v>401.70000000001164</v>
      </c>
      <c r="AG9" s="213">
        <f t="shared" si="26"/>
        <v>44.633333333334626</v>
      </c>
      <c r="AH9" s="62">
        <f t="shared" si="27"/>
        <v>401.70000000001164</v>
      </c>
      <c r="AI9" s="335">
        <f t="shared" si="18"/>
        <v>1107.7000000000116</v>
      </c>
      <c r="AJ9" s="335">
        <f>-tanks!AW10</f>
        <v>1107.7000000000116</v>
      </c>
      <c r="AK9" s="335">
        <f t="shared" si="19"/>
        <v>0</v>
      </c>
      <c r="AL9" s="335">
        <f t="shared" si="9"/>
        <v>10</v>
      </c>
      <c r="AM9" s="335">
        <f t="shared" si="20"/>
        <v>9</v>
      </c>
      <c r="AN9" s="64">
        <v>71</v>
      </c>
      <c r="AO9" s="337">
        <f t="shared" si="21"/>
        <v>2130</v>
      </c>
      <c r="AP9" s="64">
        <v>73</v>
      </c>
      <c r="AQ9" s="337">
        <f t="shared" si="22"/>
        <v>2190</v>
      </c>
      <c r="AR9" s="64">
        <v>73</v>
      </c>
      <c r="AS9" s="337">
        <f>(AR9/100)*3000</f>
        <v>2190</v>
      </c>
      <c r="AT9" s="337">
        <f t="shared" si="29"/>
        <v>6510</v>
      </c>
      <c r="AU9" s="337">
        <f t="shared" si="30"/>
        <v>270</v>
      </c>
      <c r="AV9" s="276"/>
      <c r="AW9" s="276"/>
      <c r="AX9" s="330">
        <f t="shared" si="23"/>
        <v>0.7</v>
      </c>
    </row>
    <row r="10" spans="1:50">
      <c r="A10" s="63">
        <v>43836</v>
      </c>
      <c r="B10" s="64">
        <v>182</v>
      </c>
      <c r="C10" s="64">
        <v>70</v>
      </c>
      <c r="D10" s="45">
        <f t="shared" si="0"/>
        <v>18</v>
      </c>
      <c r="E10" s="45">
        <f t="shared" si="10"/>
        <v>150.84</v>
      </c>
      <c r="F10" s="64">
        <v>1303</v>
      </c>
      <c r="G10" s="52">
        <f t="shared" si="1"/>
        <v>0</v>
      </c>
      <c r="H10" s="64">
        <v>330270</v>
      </c>
      <c r="I10" s="419">
        <f t="shared" si="2"/>
        <v>0</v>
      </c>
      <c r="J10" s="66">
        <f t="shared" si="11"/>
        <v>0</v>
      </c>
      <c r="K10" s="64">
        <v>1702</v>
      </c>
      <c r="L10" s="52">
        <f t="shared" si="3"/>
        <v>0</v>
      </c>
      <c r="M10" s="64">
        <v>123970</v>
      </c>
      <c r="N10" s="419">
        <f t="shared" si="4"/>
        <v>0</v>
      </c>
      <c r="O10" s="67">
        <f t="shared" si="5"/>
        <v>0</v>
      </c>
      <c r="P10" s="64">
        <v>1497</v>
      </c>
      <c r="Q10" s="64">
        <v>129693</v>
      </c>
      <c r="R10" s="418">
        <f t="shared" si="6"/>
        <v>607</v>
      </c>
      <c r="S10" s="52">
        <f t="shared" si="12"/>
        <v>8</v>
      </c>
      <c r="T10" s="68">
        <f t="shared" si="24"/>
        <v>0</v>
      </c>
      <c r="U10" s="425">
        <f t="shared" si="13"/>
        <v>8</v>
      </c>
      <c r="V10" s="62">
        <f t="shared" si="14"/>
        <v>607</v>
      </c>
      <c r="W10" s="423">
        <f t="shared" si="15"/>
        <v>75.875</v>
      </c>
      <c r="X10" s="64">
        <v>2320</v>
      </c>
      <c r="Y10" s="52">
        <f t="shared" si="16"/>
        <v>0</v>
      </c>
      <c r="Z10" s="64">
        <v>130593</v>
      </c>
      <c r="AA10" s="65">
        <f t="shared" si="7"/>
        <v>0</v>
      </c>
      <c r="AB10" s="296">
        <f t="shared" si="25"/>
        <v>0</v>
      </c>
      <c r="AC10" s="64">
        <v>1732</v>
      </c>
      <c r="AD10" s="45">
        <f t="shared" si="8"/>
        <v>0</v>
      </c>
      <c r="AE10" s="64">
        <v>354081.9</v>
      </c>
      <c r="AF10" s="323">
        <f t="shared" si="17"/>
        <v>0</v>
      </c>
      <c r="AG10" s="213">
        <f t="shared" si="26"/>
        <v>0</v>
      </c>
      <c r="AH10" s="62">
        <f t="shared" si="27"/>
        <v>0</v>
      </c>
      <c r="AI10" s="335">
        <f>SUM(AH10+V10)</f>
        <v>607</v>
      </c>
      <c r="AJ10" s="335">
        <f>-tanks!AW11</f>
        <v>607</v>
      </c>
      <c r="AK10" s="335">
        <f t="shared" si="19"/>
        <v>0</v>
      </c>
      <c r="AL10" s="335">
        <f t="shared" si="9"/>
        <v>8</v>
      </c>
      <c r="AM10" s="335">
        <f t="shared" si="20"/>
        <v>0</v>
      </c>
      <c r="AN10" s="64">
        <v>69</v>
      </c>
      <c r="AO10" s="337">
        <f t="shared" si="21"/>
        <v>2070</v>
      </c>
      <c r="AP10" s="64">
        <v>71</v>
      </c>
      <c r="AQ10" s="337">
        <f t="shared" si="22"/>
        <v>2130</v>
      </c>
      <c r="AR10" s="64">
        <v>71</v>
      </c>
      <c r="AS10" s="337">
        <f t="shared" si="28"/>
        <v>2130</v>
      </c>
      <c r="AT10" s="337">
        <f t="shared" si="29"/>
        <v>6330</v>
      </c>
      <c r="AU10" s="337">
        <f t="shared" si="30"/>
        <v>180</v>
      </c>
      <c r="AV10" s="276"/>
      <c r="AW10" s="276"/>
      <c r="AX10" s="330">
        <f t="shared" si="23"/>
        <v>0.7</v>
      </c>
    </row>
    <row r="11" spans="1:50">
      <c r="A11" s="63">
        <v>43837</v>
      </c>
      <c r="B11" s="64">
        <v>164</v>
      </c>
      <c r="C11" s="64">
        <v>101</v>
      </c>
      <c r="D11" s="45">
        <f t="shared" si="0"/>
        <v>-31</v>
      </c>
      <c r="E11" s="45">
        <f t="shared" si="10"/>
        <v>-259.78000000000003</v>
      </c>
      <c r="F11" s="64">
        <v>1303</v>
      </c>
      <c r="G11" s="52">
        <f t="shared" si="1"/>
        <v>0</v>
      </c>
      <c r="H11" s="64">
        <v>330270</v>
      </c>
      <c r="I11" s="419">
        <f t="shared" si="2"/>
        <v>0</v>
      </c>
      <c r="J11" s="66">
        <f t="shared" si="11"/>
        <v>0</v>
      </c>
      <c r="K11" s="64">
        <v>1702</v>
      </c>
      <c r="L11" s="52">
        <f t="shared" si="3"/>
        <v>0</v>
      </c>
      <c r="M11" s="64">
        <v>123970</v>
      </c>
      <c r="N11" s="419">
        <f t="shared" si="4"/>
        <v>0</v>
      </c>
      <c r="O11" s="67">
        <f t="shared" si="5"/>
        <v>0</v>
      </c>
      <c r="P11" s="64">
        <v>1505</v>
      </c>
      <c r="Q11" s="64">
        <v>130331</v>
      </c>
      <c r="R11" s="418">
        <f t="shared" ref="R11:R34" si="31">Q11-Q10</f>
        <v>638</v>
      </c>
      <c r="S11" s="52">
        <f t="shared" si="12"/>
        <v>8</v>
      </c>
      <c r="T11" s="68">
        <f t="shared" si="24"/>
        <v>0</v>
      </c>
      <c r="U11" s="425">
        <f t="shared" si="13"/>
        <v>8</v>
      </c>
      <c r="V11" s="62">
        <f t="shared" si="14"/>
        <v>638</v>
      </c>
      <c r="W11" s="423">
        <f t="shared" si="15"/>
        <v>79.75</v>
      </c>
      <c r="X11" s="64">
        <v>2320</v>
      </c>
      <c r="Y11" s="52">
        <f t="shared" si="16"/>
        <v>0</v>
      </c>
      <c r="Z11" s="64">
        <v>130593</v>
      </c>
      <c r="AA11" s="65">
        <f t="shared" si="7"/>
        <v>0</v>
      </c>
      <c r="AB11" s="296">
        <f t="shared" si="25"/>
        <v>0</v>
      </c>
      <c r="AC11" s="64">
        <v>1740</v>
      </c>
      <c r="AD11" s="45">
        <f t="shared" si="8"/>
        <v>8</v>
      </c>
      <c r="AE11" s="64">
        <v>354463.2</v>
      </c>
      <c r="AF11" s="323">
        <f t="shared" si="17"/>
        <v>381.29999999998836</v>
      </c>
      <c r="AG11" s="213">
        <f t="shared" si="26"/>
        <v>47.662499999998545</v>
      </c>
      <c r="AH11" s="62">
        <f>AF11+AA11</f>
        <v>381.29999999998836</v>
      </c>
      <c r="AI11" s="335">
        <f>SUM(AH11+V11)</f>
        <v>1019.2999999999884</v>
      </c>
      <c r="AJ11" s="335">
        <f>-tanks!AW12</f>
        <v>1019.2999999999884</v>
      </c>
      <c r="AK11" s="335">
        <f t="shared" si="19"/>
        <v>0</v>
      </c>
      <c r="AL11" s="335">
        <f t="shared" si="9"/>
        <v>8</v>
      </c>
      <c r="AM11" s="335">
        <f t="shared" si="20"/>
        <v>8</v>
      </c>
      <c r="AN11" s="64">
        <v>67</v>
      </c>
      <c r="AO11" s="337">
        <f t="shared" si="21"/>
        <v>2010.0000000000002</v>
      </c>
      <c r="AP11" s="64">
        <v>68</v>
      </c>
      <c r="AQ11" s="337">
        <f t="shared" si="22"/>
        <v>2040.0000000000002</v>
      </c>
      <c r="AR11" s="64">
        <v>69</v>
      </c>
      <c r="AS11" s="337">
        <f t="shared" si="28"/>
        <v>2070</v>
      </c>
      <c r="AT11" s="337">
        <f t="shared" si="29"/>
        <v>6120</v>
      </c>
      <c r="AU11" s="337">
        <f t="shared" si="30"/>
        <v>210</v>
      </c>
      <c r="AV11" s="276"/>
      <c r="AW11" s="276"/>
      <c r="AX11" s="330">
        <f t="shared" si="23"/>
        <v>0.7</v>
      </c>
    </row>
    <row r="12" spans="1:50">
      <c r="A12" s="63">
        <v>43838</v>
      </c>
      <c r="B12" s="64">
        <v>154</v>
      </c>
      <c r="C12" s="64">
        <v>80</v>
      </c>
      <c r="D12" s="45">
        <f t="shared" si="0"/>
        <v>21</v>
      </c>
      <c r="E12" s="45">
        <f t="shared" si="10"/>
        <v>175.98000000000002</v>
      </c>
      <c r="F12" s="64">
        <f>F11</f>
        <v>1303</v>
      </c>
      <c r="G12" s="52">
        <f t="shared" si="1"/>
        <v>0</v>
      </c>
      <c r="H12" s="64">
        <f>H11</f>
        <v>330270</v>
      </c>
      <c r="I12" s="419">
        <f t="shared" si="2"/>
        <v>0</v>
      </c>
      <c r="J12" s="66">
        <f t="shared" si="11"/>
        <v>0</v>
      </c>
      <c r="K12" s="64">
        <f>K11</f>
        <v>1702</v>
      </c>
      <c r="L12" s="52">
        <f t="shared" si="3"/>
        <v>0</v>
      </c>
      <c r="M12" s="64">
        <f>M11</f>
        <v>123970</v>
      </c>
      <c r="N12" s="419">
        <f t="shared" si="4"/>
        <v>0</v>
      </c>
      <c r="O12" s="67">
        <f t="shared" si="5"/>
        <v>0</v>
      </c>
      <c r="P12" s="64">
        <v>1516</v>
      </c>
      <c r="Q12" s="64">
        <v>131147</v>
      </c>
      <c r="R12" s="418">
        <f t="shared" si="31"/>
        <v>816</v>
      </c>
      <c r="S12" s="52">
        <f t="shared" si="12"/>
        <v>11</v>
      </c>
      <c r="T12" s="68">
        <f t="shared" si="24"/>
        <v>0</v>
      </c>
      <c r="U12" s="425">
        <f t="shared" si="13"/>
        <v>11</v>
      </c>
      <c r="V12" s="62">
        <f t="shared" si="14"/>
        <v>816</v>
      </c>
      <c r="W12" s="423">
        <f t="shared" si="15"/>
        <v>74.181818181818187</v>
      </c>
      <c r="X12" s="64">
        <v>2320</v>
      </c>
      <c r="Y12" s="52">
        <f t="shared" si="16"/>
        <v>0</v>
      </c>
      <c r="Z12" s="64">
        <f>Z11</f>
        <v>130593</v>
      </c>
      <c r="AA12" s="65">
        <f t="shared" si="7"/>
        <v>0</v>
      </c>
      <c r="AB12" s="296">
        <f t="shared" si="25"/>
        <v>0</v>
      </c>
      <c r="AC12" s="64">
        <f>AC11</f>
        <v>1740</v>
      </c>
      <c r="AD12" s="45">
        <f t="shared" si="8"/>
        <v>0</v>
      </c>
      <c r="AE12" s="64">
        <f>AE11</f>
        <v>354463.2</v>
      </c>
      <c r="AF12" s="323">
        <f t="shared" si="17"/>
        <v>0</v>
      </c>
      <c r="AG12" s="213">
        <f t="shared" si="26"/>
        <v>0</v>
      </c>
      <c r="AH12" s="62">
        <f t="shared" si="27"/>
        <v>0</v>
      </c>
      <c r="AI12" s="335">
        <f t="shared" si="18"/>
        <v>816</v>
      </c>
      <c r="AJ12" s="335">
        <f>-tanks!AW13</f>
        <v>816</v>
      </c>
      <c r="AK12" s="335">
        <f t="shared" si="19"/>
        <v>0</v>
      </c>
      <c r="AL12" s="335">
        <f t="shared" si="9"/>
        <v>11</v>
      </c>
      <c r="AM12" s="335">
        <f t="shared" si="20"/>
        <v>0</v>
      </c>
      <c r="AN12" s="64">
        <v>64</v>
      </c>
      <c r="AO12" s="337">
        <f t="shared" si="21"/>
        <v>1920</v>
      </c>
      <c r="AP12" s="64">
        <v>66</v>
      </c>
      <c r="AQ12" s="337">
        <f t="shared" si="22"/>
        <v>1980</v>
      </c>
      <c r="AR12" s="64">
        <v>66</v>
      </c>
      <c r="AS12" s="337">
        <f t="shared" si="28"/>
        <v>1980</v>
      </c>
      <c r="AT12" s="337">
        <f t="shared" si="29"/>
        <v>5880</v>
      </c>
      <c r="AU12" s="337">
        <f t="shared" si="30"/>
        <v>240</v>
      </c>
      <c r="AV12" s="276"/>
      <c r="AW12" s="276"/>
      <c r="AX12" s="330">
        <f t="shared" si="23"/>
        <v>0.7</v>
      </c>
    </row>
    <row r="13" spans="1:50">
      <c r="A13" s="63">
        <v>43839</v>
      </c>
      <c r="B13" s="64">
        <v>179</v>
      </c>
      <c r="C13" s="64">
        <v>162</v>
      </c>
      <c r="D13" s="45">
        <f t="shared" si="0"/>
        <v>-82</v>
      </c>
      <c r="E13" s="45">
        <f t="shared" si="10"/>
        <v>-687.16000000000008</v>
      </c>
      <c r="F13" s="64">
        <v>1303</v>
      </c>
      <c r="G13" s="52">
        <f t="shared" si="1"/>
        <v>0</v>
      </c>
      <c r="H13" s="64">
        <v>330270</v>
      </c>
      <c r="I13" s="419">
        <f t="shared" si="2"/>
        <v>0</v>
      </c>
      <c r="J13" s="66">
        <f t="shared" si="11"/>
        <v>0</v>
      </c>
      <c r="K13" s="64">
        <v>1702</v>
      </c>
      <c r="L13" s="52">
        <f t="shared" si="3"/>
        <v>0</v>
      </c>
      <c r="M13" s="64">
        <v>123970</v>
      </c>
      <c r="N13" s="419">
        <f t="shared" si="4"/>
        <v>0</v>
      </c>
      <c r="O13" s="67">
        <f t="shared" si="5"/>
        <v>0</v>
      </c>
      <c r="P13" s="64">
        <v>1527</v>
      </c>
      <c r="Q13" s="64">
        <v>132000</v>
      </c>
      <c r="R13" s="418">
        <f t="shared" si="31"/>
        <v>853</v>
      </c>
      <c r="S13" s="52">
        <f t="shared" si="12"/>
        <v>11</v>
      </c>
      <c r="T13" s="68">
        <f t="shared" si="24"/>
        <v>0</v>
      </c>
      <c r="U13" s="425">
        <f t="shared" si="13"/>
        <v>11</v>
      </c>
      <c r="V13" s="62">
        <f>R13+N13+I13:I13</f>
        <v>853</v>
      </c>
      <c r="W13" s="423">
        <f t="shared" si="15"/>
        <v>77.545454545454547</v>
      </c>
      <c r="X13" s="64">
        <v>2320</v>
      </c>
      <c r="Y13" s="52">
        <f t="shared" si="16"/>
        <v>0</v>
      </c>
      <c r="Z13" s="64">
        <v>130593</v>
      </c>
      <c r="AA13" s="296">
        <f t="shared" si="7"/>
        <v>0</v>
      </c>
      <c r="AB13" s="296">
        <f t="shared" si="25"/>
        <v>0</v>
      </c>
      <c r="AC13" s="64">
        <v>1740</v>
      </c>
      <c r="AD13" s="45">
        <f t="shared" si="8"/>
        <v>0</v>
      </c>
      <c r="AE13" s="64">
        <v>354463.2</v>
      </c>
      <c r="AF13" s="323">
        <f t="shared" si="17"/>
        <v>0</v>
      </c>
      <c r="AG13" s="213">
        <f t="shared" si="26"/>
        <v>0</v>
      </c>
      <c r="AH13" s="62">
        <f t="shared" si="27"/>
        <v>0</v>
      </c>
      <c r="AI13" s="335">
        <f t="shared" si="18"/>
        <v>853</v>
      </c>
      <c r="AJ13" s="335">
        <f>-tanks!AW14</f>
        <v>853</v>
      </c>
      <c r="AK13" s="335">
        <f t="shared" si="19"/>
        <v>0</v>
      </c>
      <c r="AL13" s="335">
        <f t="shared" si="9"/>
        <v>11</v>
      </c>
      <c r="AM13" s="335">
        <f t="shared" si="20"/>
        <v>0</v>
      </c>
      <c r="AN13" s="64">
        <v>79</v>
      </c>
      <c r="AO13" s="337">
        <f t="shared" si="21"/>
        <v>2370</v>
      </c>
      <c r="AP13" s="64">
        <v>79</v>
      </c>
      <c r="AQ13" s="337">
        <f t="shared" si="22"/>
        <v>2370</v>
      </c>
      <c r="AR13" s="64">
        <v>81</v>
      </c>
      <c r="AS13" s="337">
        <f t="shared" si="28"/>
        <v>2430</v>
      </c>
      <c r="AT13" s="337">
        <f t="shared" si="29"/>
        <v>7170</v>
      </c>
      <c r="AU13" s="337">
        <f t="shared" si="30"/>
        <v>360</v>
      </c>
      <c r="AV13" s="276">
        <v>1650</v>
      </c>
      <c r="AW13" s="276">
        <v>0.7</v>
      </c>
      <c r="AX13" s="330">
        <f t="shared" si="23"/>
        <v>0.7</v>
      </c>
    </row>
    <row r="14" spans="1:50">
      <c r="A14" s="63">
        <v>43840</v>
      </c>
      <c r="B14" s="64">
        <v>168</v>
      </c>
      <c r="C14" s="64">
        <v>174</v>
      </c>
      <c r="D14" s="45">
        <f t="shared" si="0"/>
        <v>-12</v>
      </c>
      <c r="E14" s="45">
        <f t="shared" si="10"/>
        <v>-100.56</v>
      </c>
      <c r="F14" s="64">
        <v>1309</v>
      </c>
      <c r="G14" s="52">
        <f t="shared" si="1"/>
        <v>6</v>
      </c>
      <c r="H14" s="64">
        <v>330804</v>
      </c>
      <c r="I14" s="419">
        <f t="shared" si="2"/>
        <v>534</v>
      </c>
      <c r="J14" s="66">
        <f t="shared" si="11"/>
        <v>89</v>
      </c>
      <c r="K14" s="64">
        <f>K13</f>
        <v>1702</v>
      </c>
      <c r="L14" s="52">
        <f t="shared" si="3"/>
        <v>0</v>
      </c>
      <c r="M14" s="64">
        <f>M13</f>
        <v>123970</v>
      </c>
      <c r="N14" s="419">
        <f t="shared" si="4"/>
        <v>0</v>
      </c>
      <c r="O14" s="67">
        <f t="shared" si="5"/>
        <v>0</v>
      </c>
      <c r="P14" s="64">
        <v>1534</v>
      </c>
      <c r="Q14" s="64">
        <v>132477</v>
      </c>
      <c r="R14" s="418">
        <f t="shared" si="31"/>
        <v>477</v>
      </c>
      <c r="S14" s="52">
        <f t="shared" si="12"/>
        <v>7</v>
      </c>
      <c r="T14" s="68">
        <f t="shared" si="24"/>
        <v>0</v>
      </c>
      <c r="U14" s="425">
        <f t="shared" si="13"/>
        <v>13</v>
      </c>
      <c r="V14" s="62">
        <f t="shared" si="14"/>
        <v>1011</v>
      </c>
      <c r="W14" s="423">
        <f t="shared" si="15"/>
        <v>77.769230769230774</v>
      </c>
      <c r="X14" s="64">
        <v>2320</v>
      </c>
      <c r="Y14" s="52">
        <f t="shared" si="16"/>
        <v>0</v>
      </c>
      <c r="Z14" s="64">
        <f>Z13</f>
        <v>130593</v>
      </c>
      <c r="AA14" s="65">
        <f t="shared" si="7"/>
        <v>0</v>
      </c>
      <c r="AB14" s="296">
        <f t="shared" si="25"/>
        <v>0</v>
      </c>
      <c r="AC14" s="64">
        <v>1749</v>
      </c>
      <c r="AD14" s="45">
        <f t="shared" si="8"/>
        <v>9</v>
      </c>
      <c r="AE14" s="64">
        <v>354914</v>
      </c>
      <c r="AF14" s="323">
        <f t="shared" si="17"/>
        <v>450.79999999998836</v>
      </c>
      <c r="AG14" s="213">
        <f t="shared" si="26"/>
        <v>50.088888888887595</v>
      </c>
      <c r="AH14" s="62">
        <f t="shared" si="27"/>
        <v>450.79999999998836</v>
      </c>
      <c r="AI14" s="335">
        <f t="shared" si="18"/>
        <v>1461.7999999999884</v>
      </c>
      <c r="AJ14" s="335">
        <f>-tanks!AW15</f>
        <v>1461.7999999999884</v>
      </c>
      <c r="AK14" s="335">
        <f t="shared" si="19"/>
        <v>0</v>
      </c>
      <c r="AL14" s="335">
        <f t="shared" si="9"/>
        <v>13</v>
      </c>
      <c r="AM14" s="335">
        <f t="shared" si="20"/>
        <v>9</v>
      </c>
      <c r="AN14" s="64">
        <v>78</v>
      </c>
      <c r="AO14" s="337">
        <f t="shared" si="21"/>
        <v>2340</v>
      </c>
      <c r="AP14" s="64">
        <v>77</v>
      </c>
      <c r="AQ14" s="337">
        <f t="shared" si="22"/>
        <v>2310</v>
      </c>
      <c r="AR14" s="64">
        <v>80</v>
      </c>
      <c r="AS14" s="337">
        <f t="shared" si="28"/>
        <v>2400</v>
      </c>
      <c r="AT14" s="337">
        <f t="shared" si="29"/>
        <v>7050</v>
      </c>
      <c r="AU14" s="337">
        <f t="shared" si="30"/>
        <v>120</v>
      </c>
      <c r="AV14" s="276"/>
      <c r="AW14" s="276"/>
      <c r="AX14" s="330">
        <f t="shared" si="23"/>
        <v>0.7</v>
      </c>
    </row>
    <row r="15" spans="1:50" ht="15" customHeight="1">
      <c r="A15" s="63">
        <v>43841</v>
      </c>
      <c r="B15" s="64">
        <v>162</v>
      </c>
      <c r="C15" s="64">
        <v>168</v>
      </c>
      <c r="D15" s="45">
        <f t="shared" si="0"/>
        <v>6</v>
      </c>
      <c r="E15" s="45">
        <f t="shared" si="10"/>
        <v>50.28</v>
      </c>
      <c r="F15" s="64">
        <v>1314</v>
      </c>
      <c r="G15" s="52">
        <f t="shared" si="1"/>
        <v>5</v>
      </c>
      <c r="H15" s="64">
        <v>331161</v>
      </c>
      <c r="I15" s="419">
        <f t="shared" si="2"/>
        <v>357</v>
      </c>
      <c r="J15" s="66">
        <f t="shared" si="11"/>
        <v>71.400000000000006</v>
      </c>
      <c r="K15" s="64">
        <v>1707</v>
      </c>
      <c r="L15" s="52">
        <f t="shared" si="3"/>
        <v>5</v>
      </c>
      <c r="M15" s="64">
        <v>124341</v>
      </c>
      <c r="N15" s="419">
        <f t="shared" si="4"/>
        <v>371</v>
      </c>
      <c r="O15" s="67">
        <f t="shared" si="5"/>
        <v>344.34375</v>
      </c>
      <c r="P15" s="64">
        <f t="shared" ref="P15:Q35" si="32">P14</f>
        <v>1534</v>
      </c>
      <c r="Q15" s="64">
        <f t="shared" si="32"/>
        <v>132477</v>
      </c>
      <c r="R15" s="418">
        <f t="shared" si="31"/>
        <v>0</v>
      </c>
      <c r="S15" s="52">
        <f t="shared" si="12"/>
        <v>0</v>
      </c>
      <c r="T15" s="68">
        <f t="shared" si="24"/>
        <v>0</v>
      </c>
      <c r="U15" s="425">
        <f t="shared" si="13"/>
        <v>10</v>
      </c>
      <c r="V15" s="62">
        <f t="shared" si="14"/>
        <v>728</v>
      </c>
      <c r="W15" s="423">
        <f t="shared" si="15"/>
        <v>72.8</v>
      </c>
      <c r="X15" s="64">
        <f>X14</f>
        <v>2320</v>
      </c>
      <c r="Y15" s="52">
        <f t="shared" si="16"/>
        <v>0</v>
      </c>
      <c r="Z15" s="64">
        <f>Z14</f>
        <v>130593</v>
      </c>
      <c r="AA15" s="65">
        <f t="shared" si="7"/>
        <v>0</v>
      </c>
      <c r="AB15" s="296">
        <f t="shared" si="25"/>
        <v>0</v>
      </c>
      <c r="AC15" s="64">
        <f>AC14</f>
        <v>1749</v>
      </c>
      <c r="AD15" s="45">
        <f t="shared" si="8"/>
        <v>0</v>
      </c>
      <c r="AE15" s="64">
        <f>AE14</f>
        <v>354914</v>
      </c>
      <c r="AF15" s="323">
        <f t="shared" si="17"/>
        <v>0</v>
      </c>
      <c r="AG15" s="213">
        <f t="shared" si="26"/>
        <v>0</v>
      </c>
      <c r="AH15" s="62">
        <f t="shared" si="27"/>
        <v>0</v>
      </c>
      <c r="AI15" s="335">
        <f t="shared" si="18"/>
        <v>728</v>
      </c>
      <c r="AJ15" s="335">
        <f>-tanks!AW16</f>
        <v>728</v>
      </c>
      <c r="AK15" s="335">
        <f t="shared" si="19"/>
        <v>0</v>
      </c>
      <c r="AL15" s="335">
        <f t="shared" si="9"/>
        <v>10</v>
      </c>
      <c r="AM15" s="335">
        <f t="shared" si="20"/>
        <v>0</v>
      </c>
      <c r="AN15" s="64">
        <v>77</v>
      </c>
      <c r="AO15" s="337">
        <f t="shared" si="21"/>
        <v>2310</v>
      </c>
      <c r="AP15" s="64">
        <f>AP14</f>
        <v>77</v>
      </c>
      <c r="AQ15" s="337">
        <f t="shared" si="22"/>
        <v>2310</v>
      </c>
      <c r="AR15" s="64">
        <v>78</v>
      </c>
      <c r="AS15" s="337">
        <f t="shared" si="28"/>
        <v>2340</v>
      </c>
      <c r="AT15" s="337">
        <f t="shared" si="29"/>
        <v>6960</v>
      </c>
      <c r="AU15" s="337">
        <f t="shared" si="30"/>
        <v>90</v>
      </c>
      <c r="AV15" s="276"/>
      <c r="AW15" s="276"/>
      <c r="AX15" s="330">
        <f t="shared" si="23"/>
        <v>0.7</v>
      </c>
    </row>
    <row r="16" spans="1:50">
      <c r="A16" s="63">
        <v>43842</v>
      </c>
      <c r="B16" s="64">
        <v>158</v>
      </c>
      <c r="C16" s="64">
        <v>163</v>
      </c>
      <c r="D16" s="45">
        <f t="shared" si="0"/>
        <v>5</v>
      </c>
      <c r="E16" s="45">
        <f t="shared" si="10"/>
        <v>41.900000000000006</v>
      </c>
      <c r="F16" s="64">
        <f>F15</f>
        <v>1314</v>
      </c>
      <c r="G16" s="52">
        <f t="shared" si="1"/>
        <v>0</v>
      </c>
      <c r="H16" s="64">
        <v>331161</v>
      </c>
      <c r="I16" s="419">
        <f t="shared" si="2"/>
        <v>0</v>
      </c>
      <c r="J16" s="66">
        <f t="shared" si="11"/>
        <v>0</v>
      </c>
      <c r="K16" s="64">
        <v>1711</v>
      </c>
      <c r="L16" s="52">
        <f t="shared" si="3"/>
        <v>4</v>
      </c>
      <c r="M16" s="64">
        <v>124632</v>
      </c>
      <c r="N16" s="419">
        <f t="shared" si="4"/>
        <v>291</v>
      </c>
      <c r="O16" s="67">
        <f t="shared" si="5"/>
        <v>275.47500000000002</v>
      </c>
      <c r="P16" s="64">
        <v>1537</v>
      </c>
      <c r="Q16" s="64">
        <v>132729</v>
      </c>
      <c r="R16" s="418">
        <f t="shared" si="31"/>
        <v>252</v>
      </c>
      <c r="S16" s="52">
        <f t="shared" si="12"/>
        <v>3</v>
      </c>
      <c r="T16" s="68">
        <f t="shared" si="24"/>
        <v>0</v>
      </c>
      <c r="U16" s="425">
        <f t="shared" si="13"/>
        <v>7</v>
      </c>
      <c r="V16" s="62">
        <f t="shared" si="14"/>
        <v>543</v>
      </c>
      <c r="W16" s="423">
        <f t="shared" si="15"/>
        <v>77.571428571428569</v>
      </c>
      <c r="X16" s="64">
        <v>2320</v>
      </c>
      <c r="Y16" s="52">
        <f t="shared" si="16"/>
        <v>0</v>
      </c>
      <c r="Z16" s="64">
        <v>130593</v>
      </c>
      <c r="AA16" s="65">
        <f t="shared" si="7"/>
        <v>0</v>
      </c>
      <c r="AB16" s="296">
        <f t="shared" si="25"/>
        <v>0</v>
      </c>
      <c r="AC16" s="64">
        <v>1749</v>
      </c>
      <c r="AD16" s="45">
        <f t="shared" si="8"/>
        <v>0</v>
      </c>
      <c r="AE16" s="64">
        <v>354914</v>
      </c>
      <c r="AF16" s="323">
        <f t="shared" si="17"/>
        <v>0</v>
      </c>
      <c r="AG16" s="213">
        <f t="shared" si="26"/>
        <v>0</v>
      </c>
      <c r="AH16" s="62">
        <f t="shared" si="27"/>
        <v>0</v>
      </c>
      <c r="AI16" s="335">
        <f t="shared" si="18"/>
        <v>543</v>
      </c>
      <c r="AJ16" s="335">
        <f>-tanks!AW17</f>
        <v>543</v>
      </c>
      <c r="AK16" s="335">
        <f t="shared" si="19"/>
        <v>0</v>
      </c>
      <c r="AL16" s="335">
        <f t="shared" si="9"/>
        <v>7</v>
      </c>
      <c r="AM16" s="335">
        <f t="shared" si="20"/>
        <v>0</v>
      </c>
      <c r="AN16" s="64">
        <v>74</v>
      </c>
      <c r="AO16" s="337">
        <f t="shared" si="21"/>
        <v>2220</v>
      </c>
      <c r="AP16" s="64">
        <v>74</v>
      </c>
      <c r="AQ16" s="337">
        <f t="shared" si="22"/>
        <v>2220</v>
      </c>
      <c r="AR16" s="64">
        <v>76</v>
      </c>
      <c r="AS16" s="337">
        <f t="shared" si="28"/>
        <v>2280</v>
      </c>
      <c r="AT16" s="337">
        <f t="shared" si="29"/>
        <v>6720</v>
      </c>
      <c r="AU16" s="337">
        <f t="shared" si="30"/>
        <v>240</v>
      </c>
      <c r="AV16" s="276"/>
      <c r="AW16" s="276"/>
      <c r="AX16" s="330">
        <f t="shared" si="23"/>
        <v>0.7</v>
      </c>
    </row>
    <row r="17" spans="1:50">
      <c r="A17" s="63">
        <v>43843</v>
      </c>
      <c r="B17" s="64">
        <v>152</v>
      </c>
      <c r="C17" s="64">
        <v>159</v>
      </c>
      <c r="D17" s="45">
        <f t="shared" si="0"/>
        <v>4</v>
      </c>
      <c r="E17" s="45">
        <f t="shared" si="10"/>
        <v>33.520000000000003</v>
      </c>
      <c r="F17" s="64">
        <v>1319</v>
      </c>
      <c r="G17" s="52">
        <f t="shared" si="1"/>
        <v>5</v>
      </c>
      <c r="H17" s="64">
        <v>331585</v>
      </c>
      <c r="I17" s="419">
        <f t="shared" si="2"/>
        <v>424</v>
      </c>
      <c r="J17" s="66">
        <f t="shared" si="11"/>
        <v>84.8</v>
      </c>
      <c r="K17" s="64">
        <v>1711</v>
      </c>
      <c r="L17" s="52">
        <f t="shared" si="3"/>
        <v>0</v>
      </c>
      <c r="M17" s="64">
        <v>124632</v>
      </c>
      <c r="N17" s="419">
        <f t="shared" si="4"/>
        <v>0</v>
      </c>
      <c r="O17" s="67">
        <f t="shared" si="5"/>
        <v>0</v>
      </c>
      <c r="P17" s="64">
        <v>1541</v>
      </c>
      <c r="Q17" s="64">
        <v>133054</v>
      </c>
      <c r="R17" s="418">
        <f t="shared" si="31"/>
        <v>325</v>
      </c>
      <c r="S17" s="52">
        <f t="shared" si="12"/>
        <v>4</v>
      </c>
      <c r="T17" s="68">
        <f t="shared" si="24"/>
        <v>0</v>
      </c>
      <c r="U17" s="425">
        <f t="shared" si="13"/>
        <v>9</v>
      </c>
      <c r="V17" s="62">
        <f t="shared" si="14"/>
        <v>749</v>
      </c>
      <c r="W17" s="423"/>
      <c r="X17" s="64">
        <v>2320</v>
      </c>
      <c r="Y17" s="52">
        <f t="shared" si="16"/>
        <v>0</v>
      </c>
      <c r="Z17" s="64">
        <v>130593</v>
      </c>
      <c r="AA17" s="65">
        <f t="shared" si="7"/>
        <v>0</v>
      </c>
      <c r="AB17" s="296">
        <f t="shared" si="25"/>
        <v>0</v>
      </c>
      <c r="AC17" s="64">
        <v>1749</v>
      </c>
      <c r="AD17" s="45">
        <f t="shared" si="8"/>
        <v>0</v>
      </c>
      <c r="AE17" s="64">
        <v>354914</v>
      </c>
      <c r="AF17" s="323">
        <f t="shared" si="17"/>
        <v>0</v>
      </c>
      <c r="AG17" s="213">
        <f t="shared" si="26"/>
        <v>0</v>
      </c>
      <c r="AH17" s="62">
        <f t="shared" si="27"/>
        <v>0</v>
      </c>
      <c r="AI17" s="335">
        <f t="shared" si="18"/>
        <v>749</v>
      </c>
      <c r="AJ17" s="335">
        <f>-tanks!AW18</f>
        <v>749</v>
      </c>
      <c r="AK17" s="335">
        <f t="shared" si="19"/>
        <v>0</v>
      </c>
      <c r="AL17" s="335">
        <f t="shared" si="9"/>
        <v>9</v>
      </c>
      <c r="AM17" s="335">
        <f t="shared" si="20"/>
        <v>0</v>
      </c>
      <c r="AN17" s="64">
        <v>71</v>
      </c>
      <c r="AO17" s="337">
        <f t="shared" si="21"/>
        <v>2130</v>
      </c>
      <c r="AP17" s="64">
        <v>71</v>
      </c>
      <c r="AQ17" s="337">
        <f t="shared" si="22"/>
        <v>2130</v>
      </c>
      <c r="AR17" s="64">
        <v>74</v>
      </c>
      <c r="AS17" s="337">
        <f t="shared" si="28"/>
        <v>2220</v>
      </c>
      <c r="AT17" s="337">
        <f t="shared" si="29"/>
        <v>6480</v>
      </c>
      <c r="AU17" s="337">
        <f t="shared" si="30"/>
        <v>240</v>
      </c>
      <c r="AV17" s="276"/>
      <c r="AW17" s="276"/>
      <c r="AX17" s="330">
        <f t="shared" si="23"/>
        <v>0.7</v>
      </c>
    </row>
    <row r="18" spans="1:50">
      <c r="A18" s="63">
        <v>43844</v>
      </c>
      <c r="B18" s="64">
        <v>208</v>
      </c>
      <c r="C18" s="64">
        <v>214</v>
      </c>
      <c r="D18" s="45">
        <f t="shared" si="0"/>
        <v>-55</v>
      </c>
      <c r="E18" s="45">
        <f t="shared" si="10"/>
        <v>-460.90000000000003</v>
      </c>
      <c r="F18" s="64">
        <v>1323</v>
      </c>
      <c r="G18" s="52">
        <f t="shared" si="1"/>
        <v>4</v>
      </c>
      <c r="H18" s="64">
        <v>331908</v>
      </c>
      <c r="I18" s="419">
        <f t="shared" si="2"/>
        <v>323</v>
      </c>
      <c r="J18" s="66">
        <f t="shared" si="11"/>
        <v>80.75</v>
      </c>
      <c r="K18" s="64">
        <v>1712</v>
      </c>
      <c r="L18" s="52">
        <f t="shared" si="3"/>
        <v>1</v>
      </c>
      <c r="M18" s="64">
        <v>124752</v>
      </c>
      <c r="N18" s="419">
        <f t="shared" si="4"/>
        <v>120</v>
      </c>
      <c r="O18" s="67">
        <f t="shared" si="5"/>
        <v>68.868750000000006</v>
      </c>
      <c r="P18" s="64">
        <v>1542</v>
      </c>
      <c r="Q18" s="64">
        <v>133071</v>
      </c>
      <c r="R18" s="418">
        <f t="shared" si="31"/>
        <v>17</v>
      </c>
      <c r="S18" s="52">
        <f t="shared" si="12"/>
        <v>1</v>
      </c>
      <c r="T18" s="68">
        <f t="shared" si="24"/>
        <v>0</v>
      </c>
      <c r="U18" s="425">
        <f t="shared" si="13"/>
        <v>6</v>
      </c>
      <c r="V18" s="62">
        <f t="shared" si="14"/>
        <v>460</v>
      </c>
      <c r="W18" s="423"/>
      <c r="X18" s="64">
        <v>2320</v>
      </c>
      <c r="Y18" s="52">
        <f t="shared" si="16"/>
        <v>0</v>
      </c>
      <c r="Z18" s="64">
        <v>130593</v>
      </c>
      <c r="AA18" s="65">
        <f t="shared" si="7"/>
        <v>0</v>
      </c>
      <c r="AB18" s="296">
        <f t="shared" ref="AB18:AB23" si="33">SUM(Y18*$AB$2)</f>
        <v>0</v>
      </c>
      <c r="AC18" s="64">
        <v>1759</v>
      </c>
      <c r="AD18" s="45">
        <f t="shared" si="8"/>
        <v>10</v>
      </c>
      <c r="AE18" s="64">
        <v>355340.6</v>
      </c>
      <c r="AF18" s="323">
        <f t="shared" si="17"/>
        <v>426.59999999997672</v>
      </c>
      <c r="AG18" s="213">
        <f t="shared" si="26"/>
        <v>42.659999999997673</v>
      </c>
      <c r="AH18" s="62">
        <f t="shared" si="27"/>
        <v>426.59999999997672</v>
      </c>
      <c r="AI18" s="335">
        <f t="shared" si="18"/>
        <v>886.59999999997672</v>
      </c>
      <c r="AJ18" s="335">
        <f>-tanks!AW19</f>
        <v>886.59999999997672</v>
      </c>
      <c r="AK18" s="335">
        <f t="shared" si="19"/>
        <v>0</v>
      </c>
      <c r="AL18" s="335">
        <f t="shared" si="9"/>
        <v>6</v>
      </c>
      <c r="AM18" s="335">
        <f t="shared" si="20"/>
        <v>10</v>
      </c>
      <c r="AN18" s="64">
        <v>69</v>
      </c>
      <c r="AO18" s="337">
        <f t="shared" si="21"/>
        <v>2070</v>
      </c>
      <c r="AP18" s="64">
        <v>69</v>
      </c>
      <c r="AQ18" s="337">
        <f t="shared" si="22"/>
        <v>2070</v>
      </c>
      <c r="AR18" s="64">
        <v>71</v>
      </c>
      <c r="AS18" s="337">
        <f t="shared" si="28"/>
        <v>2130</v>
      </c>
      <c r="AT18" s="337">
        <f t="shared" si="29"/>
        <v>6270</v>
      </c>
      <c r="AU18" s="337">
        <f t="shared" si="30"/>
        <v>210</v>
      </c>
      <c r="AV18" s="276"/>
      <c r="AW18" s="276"/>
      <c r="AX18" s="330">
        <f t="shared" si="23"/>
        <v>0.7</v>
      </c>
    </row>
    <row r="19" spans="1:50">
      <c r="A19" s="63">
        <v>43845</v>
      </c>
      <c r="B19" s="64">
        <v>201</v>
      </c>
      <c r="C19" s="64">
        <v>207</v>
      </c>
      <c r="D19" s="45">
        <f t="shared" si="0"/>
        <v>7</v>
      </c>
      <c r="E19" s="45">
        <f t="shared" si="10"/>
        <v>58.660000000000004</v>
      </c>
      <c r="F19" s="64">
        <v>1324</v>
      </c>
      <c r="G19" s="52">
        <f t="shared" si="1"/>
        <v>1</v>
      </c>
      <c r="H19" s="64">
        <v>331958</v>
      </c>
      <c r="I19" s="419">
        <f t="shared" si="2"/>
        <v>50</v>
      </c>
      <c r="J19" s="66">
        <f t="shared" si="11"/>
        <v>50</v>
      </c>
      <c r="K19" s="64">
        <v>1715</v>
      </c>
      <c r="L19" s="52">
        <f t="shared" si="3"/>
        <v>3</v>
      </c>
      <c r="M19" s="64">
        <v>124996</v>
      </c>
      <c r="N19" s="419">
        <f t="shared" si="4"/>
        <v>244</v>
      </c>
      <c r="O19" s="67">
        <f t="shared" si="5"/>
        <v>206.60625000000002</v>
      </c>
      <c r="P19" s="64">
        <v>1545</v>
      </c>
      <c r="Q19" s="64">
        <v>133365</v>
      </c>
      <c r="R19" s="418">
        <f t="shared" si="31"/>
        <v>294</v>
      </c>
      <c r="S19" s="52">
        <f t="shared" si="12"/>
        <v>3</v>
      </c>
      <c r="T19" s="68">
        <f t="shared" si="24"/>
        <v>0</v>
      </c>
      <c r="U19" s="425">
        <f t="shared" si="13"/>
        <v>7</v>
      </c>
      <c r="V19" s="62">
        <f t="shared" si="14"/>
        <v>588</v>
      </c>
      <c r="W19" s="423"/>
      <c r="X19" s="64">
        <v>2320</v>
      </c>
      <c r="Y19" s="52">
        <f t="shared" si="16"/>
        <v>0</v>
      </c>
      <c r="Z19" s="64">
        <v>130593</v>
      </c>
      <c r="AA19" s="65">
        <f t="shared" si="7"/>
        <v>0</v>
      </c>
      <c r="AB19" s="296">
        <f t="shared" si="33"/>
        <v>0</v>
      </c>
      <c r="AC19" s="64">
        <v>1762</v>
      </c>
      <c r="AD19" s="45">
        <f t="shared" si="8"/>
        <v>3</v>
      </c>
      <c r="AE19" s="64">
        <v>355515.2</v>
      </c>
      <c r="AF19" s="323">
        <f t="shared" si="17"/>
        <v>174.60000000003492</v>
      </c>
      <c r="AG19" s="213">
        <f t="shared" si="26"/>
        <v>58.200000000011642</v>
      </c>
      <c r="AH19" s="62">
        <f t="shared" si="27"/>
        <v>174.60000000003492</v>
      </c>
      <c r="AI19" s="335">
        <f t="shared" si="18"/>
        <v>762.60000000003492</v>
      </c>
      <c r="AJ19" s="335">
        <f>-tanks!AW20</f>
        <v>762.60000000003492</v>
      </c>
      <c r="AK19" s="335">
        <f t="shared" si="19"/>
        <v>0</v>
      </c>
      <c r="AL19" s="335">
        <f>S19+L20+G19</f>
        <v>4</v>
      </c>
      <c r="AM19" s="335">
        <f t="shared" si="20"/>
        <v>3</v>
      </c>
      <c r="AN19" s="64">
        <v>67</v>
      </c>
      <c r="AO19" s="337">
        <f t="shared" si="21"/>
        <v>2010.0000000000002</v>
      </c>
      <c r="AP19" s="64">
        <v>67</v>
      </c>
      <c r="AQ19" s="337">
        <f t="shared" si="22"/>
        <v>2010.0000000000002</v>
      </c>
      <c r="AR19" s="64">
        <v>69</v>
      </c>
      <c r="AS19" s="337">
        <f t="shared" si="28"/>
        <v>2070</v>
      </c>
      <c r="AT19" s="337">
        <f t="shared" si="29"/>
        <v>6090</v>
      </c>
      <c r="AU19" s="337">
        <f t="shared" si="30"/>
        <v>180</v>
      </c>
      <c r="AV19" s="276"/>
      <c r="AW19" s="276"/>
      <c r="AX19" s="330">
        <f t="shared" si="23"/>
        <v>0.7</v>
      </c>
    </row>
    <row r="20" spans="1:50">
      <c r="A20" s="63">
        <v>43846</v>
      </c>
      <c r="B20" s="64">
        <v>223</v>
      </c>
      <c r="C20" s="64">
        <v>229</v>
      </c>
      <c r="D20" s="45">
        <f>C19-C20</f>
        <v>-22</v>
      </c>
      <c r="E20" s="45">
        <f t="shared" si="10"/>
        <v>-184.36</v>
      </c>
      <c r="F20" s="64">
        <v>1327</v>
      </c>
      <c r="G20" s="52">
        <f t="shared" si="1"/>
        <v>3</v>
      </c>
      <c r="H20" s="64">
        <v>332212</v>
      </c>
      <c r="I20" s="419">
        <f t="shared" si="2"/>
        <v>254</v>
      </c>
      <c r="J20" s="66">
        <f t="shared" si="11"/>
        <v>84.666666666666671</v>
      </c>
      <c r="K20" s="64">
        <v>1715</v>
      </c>
      <c r="L20" s="52">
        <f t="shared" si="3"/>
        <v>0</v>
      </c>
      <c r="M20" s="64">
        <f>M19</f>
        <v>124996</v>
      </c>
      <c r="N20" s="419">
        <f t="shared" si="4"/>
        <v>0</v>
      </c>
      <c r="O20" s="67">
        <f t="shared" si="5"/>
        <v>0</v>
      </c>
      <c r="P20" s="64">
        <v>1548</v>
      </c>
      <c r="Q20" s="64">
        <v>133595</v>
      </c>
      <c r="R20" s="418">
        <f t="shared" si="31"/>
        <v>230</v>
      </c>
      <c r="S20" s="52">
        <f t="shared" si="12"/>
        <v>3</v>
      </c>
      <c r="T20" s="68">
        <f t="shared" si="24"/>
        <v>0</v>
      </c>
      <c r="U20" s="425">
        <f t="shared" si="13"/>
        <v>6</v>
      </c>
      <c r="V20" s="62">
        <f t="shared" si="14"/>
        <v>484</v>
      </c>
      <c r="W20" s="423"/>
      <c r="X20" s="64">
        <f t="shared" ref="X20:X35" si="34">X19</f>
        <v>2320</v>
      </c>
      <c r="Y20" s="52">
        <f t="shared" si="16"/>
        <v>0</v>
      </c>
      <c r="Z20" s="64">
        <f t="shared" ref="Z20:Z35" si="35">Z19</f>
        <v>130593</v>
      </c>
      <c r="AA20" s="65">
        <f t="shared" si="7"/>
        <v>0</v>
      </c>
      <c r="AB20" s="296">
        <f t="shared" si="33"/>
        <v>0</v>
      </c>
      <c r="AC20" s="64">
        <f>AC19</f>
        <v>1762</v>
      </c>
      <c r="AD20" s="45">
        <f t="shared" si="8"/>
        <v>0</v>
      </c>
      <c r="AE20" s="64">
        <f>AE19</f>
        <v>355515.2</v>
      </c>
      <c r="AF20" s="323">
        <f t="shared" si="17"/>
        <v>0</v>
      </c>
      <c r="AG20" s="213">
        <f t="shared" si="26"/>
        <v>0</v>
      </c>
      <c r="AH20" s="62">
        <f t="shared" si="27"/>
        <v>0</v>
      </c>
      <c r="AI20" s="335">
        <f t="shared" si="18"/>
        <v>484</v>
      </c>
      <c r="AJ20" s="335">
        <f>-tanks!AW21</f>
        <v>484</v>
      </c>
      <c r="AK20" s="335">
        <f t="shared" si="19"/>
        <v>0</v>
      </c>
      <c r="AL20" s="335">
        <f>S20+L21+G20</f>
        <v>10</v>
      </c>
      <c r="AM20" s="335">
        <f t="shared" si="20"/>
        <v>0</v>
      </c>
      <c r="AN20" s="64">
        <v>79</v>
      </c>
      <c r="AO20" s="337">
        <f t="shared" si="21"/>
        <v>2370</v>
      </c>
      <c r="AP20" s="64">
        <v>79</v>
      </c>
      <c r="AQ20" s="337">
        <f t="shared" si="22"/>
        <v>2370</v>
      </c>
      <c r="AR20" s="64">
        <v>82</v>
      </c>
      <c r="AS20" s="337">
        <f t="shared" si="28"/>
        <v>2460</v>
      </c>
      <c r="AT20" s="337">
        <f t="shared" si="29"/>
        <v>7200</v>
      </c>
      <c r="AU20" s="337">
        <f t="shared" si="30"/>
        <v>290</v>
      </c>
      <c r="AV20" s="276">
        <v>1400</v>
      </c>
      <c r="AW20" s="276">
        <v>0.7</v>
      </c>
      <c r="AX20" s="330">
        <f t="shared" si="23"/>
        <v>0.7</v>
      </c>
    </row>
    <row r="21" spans="1:50">
      <c r="A21" s="63">
        <v>43847</v>
      </c>
      <c r="B21" s="64">
        <v>219</v>
      </c>
      <c r="C21" s="64">
        <v>225</v>
      </c>
      <c r="D21" s="45">
        <f t="shared" si="0"/>
        <v>4</v>
      </c>
      <c r="E21" s="45">
        <f t="shared" si="10"/>
        <v>33.520000000000003</v>
      </c>
      <c r="F21" s="64">
        <v>1330</v>
      </c>
      <c r="G21" s="52">
        <f t="shared" si="1"/>
        <v>3</v>
      </c>
      <c r="H21" s="64">
        <v>332480</v>
      </c>
      <c r="I21" s="419">
        <f t="shared" si="2"/>
        <v>268</v>
      </c>
      <c r="J21" s="66">
        <f t="shared" si="11"/>
        <v>89.333333333333329</v>
      </c>
      <c r="K21" s="64">
        <v>1719</v>
      </c>
      <c r="L21" s="52">
        <f t="shared" si="3"/>
        <v>4</v>
      </c>
      <c r="M21" s="64">
        <v>125236</v>
      </c>
      <c r="N21" s="419">
        <f t="shared" si="4"/>
        <v>240</v>
      </c>
      <c r="O21" s="67">
        <f t="shared" si="5"/>
        <v>275.47500000000002</v>
      </c>
      <c r="P21" s="64">
        <v>1549</v>
      </c>
      <c r="Q21" s="64">
        <v>133617</v>
      </c>
      <c r="R21" s="418">
        <f t="shared" si="31"/>
        <v>22</v>
      </c>
      <c r="S21" s="52">
        <f t="shared" si="12"/>
        <v>1</v>
      </c>
      <c r="T21" s="68">
        <f t="shared" si="24"/>
        <v>0</v>
      </c>
      <c r="U21" s="425">
        <f t="shared" si="13"/>
        <v>8</v>
      </c>
      <c r="V21" s="62">
        <f t="shared" si="14"/>
        <v>530</v>
      </c>
      <c r="W21" s="423"/>
      <c r="X21" s="64">
        <f t="shared" si="34"/>
        <v>2320</v>
      </c>
      <c r="Y21" s="52">
        <f t="shared" si="16"/>
        <v>0</v>
      </c>
      <c r="Z21" s="64">
        <f t="shared" si="35"/>
        <v>130593</v>
      </c>
      <c r="AA21" s="65">
        <f t="shared" si="7"/>
        <v>0</v>
      </c>
      <c r="AB21" s="296">
        <f t="shared" si="33"/>
        <v>0</v>
      </c>
      <c r="AC21" s="64">
        <v>1771</v>
      </c>
      <c r="AD21" s="45">
        <f t="shared" si="8"/>
        <v>9</v>
      </c>
      <c r="AE21" s="64">
        <v>356012.3</v>
      </c>
      <c r="AF21" s="323">
        <f t="shared" si="17"/>
        <v>497.09999999997672</v>
      </c>
      <c r="AG21" s="213">
        <f t="shared" si="26"/>
        <v>55.233333333330748</v>
      </c>
      <c r="AH21" s="62">
        <f t="shared" si="27"/>
        <v>497.09999999997672</v>
      </c>
      <c r="AI21" s="335">
        <f t="shared" si="18"/>
        <v>1027.0999999999767</v>
      </c>
      <c r="AJ21" s="335">
        <f>-tanks!AW22</f>
        <v>1027.0999999999767</v>
      </c>
      <c r="AK21" s="335">
        <f t="shared" si="19"/>
        <v>0</v>
      </c>
      <c r="AL21" s="335">
        <f t="shared" ref="AL21:AL34" si="36">S21+L21+G21</f>
        <v>8</v>
      </c>
      <c r="AM21" s="335">
        <f t="shared" si="20"/>
        <v>9</v>
      </c>
      <c r="AN21" s="64">
        <v>78</v>
      </c>
      <c r="AO21" s="337">
        <f t="shared" si="21"/>
        <v>2340</v>
      </c>
      <c r="AP21" s="64">
        <v>78</v>
      </c>
      <c r="AQ21" s="337">
        <f t="shared" si="22"/>
        <v>2340</v>
      </c>
      <c r="AR21" s="64">
        <v>81</v>
      </c>
      <c r="AS21" s="337">
        <f t="shared" si="28"/>
        <v>2430</v>
      </c>
      <c r="AT21" s="337">
        <f t="shared" si="29"/>
        <v>7110</v>
      </c>
      <c r="AU21" s="337">
        <f t="shared" si="30"/>
        <v>90</v>
      </c>
      <c r="AV21" s="276"/>
      <c r="AW21" s="276"/>
      <c r="AX21" s="330">
        <f t="shared" si="23"/>
        <v>0.7</v>
      </c>
    </row>
    <row r="22" spans="1:50" ht="16.5" customHeight="1">
      <c r="A22" s="63">
        <v>43848</v>
      </c>
      <c r="B22" s="64">
        <f t="shared" ref="B22:C35" si="37">B21</f>
        <v>219</v>
      </c>
      <c r="C22" s="64">
        <f t="shared" si="37"/>
        <v>225</v>
      </c>
      <c r="D22" s="45">
        <f t="shared" si="0"/>
        <v>0</v>
      </c>
      <c r="E22" s="45">
        <f t="shared" si="10"/>
        <v>0</v>
      </c>
      <c r="F22" s="64">
        <f t="shared" ref="F22:F35" si="38">F21</f>
        <v>1330</v>
      </c>
      <c r="G22" s="52">
        <f t="shared" si="1"/>
        <v>0</v>
      </c>
      <c r="H22" s="64">
        <f t="shared" ref="H22:H35" si="39">H21</f>
        <v>332480</v>
      </c>
      <c r="I22" s="419">
        <f t="shared" si="2"/>
        <v>0</v>
      </c>
      <c r="J22" s="66">
        <f t="shared" si="11"/>
        <v>0</v>
      </c>
      <c r="K22" s="64">
        <f t="shared" ref="K22:K35" si="40">K21</f>
        <v>1719</v>
      </c>
      <c r="L22" s="52">
        <f t="shared" si="3"/>
        <v>0</v>
      </c>
      <c r="M22" s="64">
        <f t="shared" ref="M22:M35" si="41">M21</f>
        <v>125236</v>
      </c>
      <c r="N22" s="419">
        <f t="shared" si="4"/>
        <v>0</v>
      </c>
      <c r="O22" s="67">
        <f t="shared" si="5"/>
        <v>0</v>
      </c>
      <c r="P22" s="64">
        <f t="shared" si="32"/>
        <v>1549</v>
      </c>
      <c r="Q22" s="64">
        <f t="shared" si="32"/>
        <v>133617</v>
      </c>
      <c r="R22" s="418">
        <f t="shared" si="31"/>
        <v>0</v>
      </c>
      <c r="S22" s="52">
        <f t="shared" si="12"/>
        <v>0</v>
      </c>
      <c r="T22" s="68">
        <f t="shared" si="24"/>
        <v>0</v>
      </c>
      <c r="U22" s="425">
        <f t="shared" si="13"/>
        <v>0</v>
      </c>
      <c r="V22" s="62">
        <f t="shared" si="14"/>
        <v>0</v>
      </c>
      <c r="W22" s="423"/>
      <c r="X22" s="64">
        <f t="shared" si="34"/>
        <v>2320</v>
      </c>
      <c r="Y22" s="52">
        <f t="shared" si="16"/>
        <v>0</v>
      </c>
      <c r="Z22" s="64">
        <f t="shared" si="35"/>
        <v>130593</v>
      </c>
      <c r="AA22" s="65">
        <f t="shared" si="7"/>
        <v>0</v>
      </c>
      <c r="AB22" s="296">
        <f t="shared" si="33"/>
        <v>0</v>
      </c>
      <c r="AC22" s="64">
        <f t="shared" ref="AC22:AC35" si="42">AC21</f>
        <v>1771</v>
      </c>
      <c r="AD22" s="45">
        <f t="shared" si="8"/>
        <v>0</v>
      </c>
      <c r="AE22" s="64">
        <f t="shared" ref="AE22:AE35" si="43">AE21</f>
        <v>356012.3</v>
      </c>
      <c r="AF22" s="323">
        <f t="shared" si="17"/>
        <v>0</v>
      </c>
      <c r="AG22" s="213">
        <f t="shared" si="26"/>
        <v>0</v>
      </c>
      <c r="AH22" s="62">
        <f t="shared" si="27"/>
        <v>0</v>
      </c>
      <c r="AI22" s="335">
        <f t="shared" si="18"/>
        <v>0</v>
      </c>
      <c r="AJ22" s="335">
        <f>-tanks!AW23</f>
        <v>0</v>
      </c>
      <c r="AK22" s="335">
        <f t="shared" si="19"/>
        <v>0</v>
      </c>
      <c r="AL22" s="335">
        <f t="shared" si="36"/>
        <v>0</v>
      </c>
      <c r="AM22" s="335">
        <f t="shared" si="20"/>
        <v>0</v>
      </c>
      <c r="AN22" s="64">
        <f t="shared" ref="AN22:AN35" si="44">AN21</f>
        <v>78</v>
      </c>
      <c r="AO22" s="337">
        <f t="shared" si="21"/>
        <v>2340</v>
      </c>
      <c r="AP22" s="64">
        <f t="shared" ref="AP22:AP35" si="45">AP21</f>
        <v>78</v>
      </c>
      <c r="AQ22" s="337">
        <f t="shared" si="22"/>
        <v>2340</v>
      </c>
      <c r="AR22" s="64">
        <f t="shared" ref="AR22:AR35" si="46">AR21</f>
        <v>81</v>
      </c>
      <c r="AS22" s="337">
        <f t="shared" si="28"/>
        <v>2430</v>
      </c>
      <c r="AT22" s="337">
        <f t="shared" si="29"/>
        <v>7110</v>
      </c>
      <c r="AU22" s="337">
        <f t="shared" si="30"/>
        <v>0</v>
      </c>
      <c r="AV22" s="276"/>
      <c r="AW22" s="276"/>
      <c r="AX22" s="330">
        <f t="shared" si="23"/>
        <v>0.7</v>
      </c>
    </row>
    <row r="23" spans="1:50">
      <c r="A23" s="63">
        <v>43849</v>
      </c>
      <c r="B23" s="64">
        <f t="shared" si="37"/>
        <v>219</v>
      </c>
      <c r="C23" s="64">
        <f t="shared" si="37"/>
        <v>225</v>
      </c>
      <c r="D23" s="45">
        <f t="shared" si="0"/>
        <v>0</v>
      </c>
      <c r="E23" s="45">
        <f t="shared" si="10"/>
        <v>0</v>
      </c>
      <c r="F23" s="64">
        <f t="shared" si="38"/>
        <v>1330</v>
      </c>
      <c r="G23" s="52">
        <f t="shared" si="1"/>
        <v>0</v>
      </c>
      <c r="H23" s="64">
        <f t="shared" si="39"/>
        <v>332480</v>
      </c>
      <c r="I23" s="419">
        <f t="shared" si="2"/>
        <v>0</v>
      </c>
      <c r="J23" s="66">
        <f t="shared" si="11"/>
        <v>0</v>
      </c>
      <c r="K23" s="64">
        <f t="shared" si="40"/>
        <v>1719</v>
      </c>
      <c r="L23" s="52">
        <f t="shared" si="3"/>
        <v>0</v>
      </c>
      <c r="M23" s="64">
        <f t="shared" si="41"/>
        <v>125236</v>
      </c>
      <c r="N23" s="419">
        <f t="shared" si="4"/>
        <v>0</v>
      </c>
      <c r="O23" s="67">
        <f t="shared" si="5"/>
        <v>0</v>
      </c>
      <c r="P23" s="64">
        <f t="shared" si="32"/>
        <v>1549</v>
      </c>
      <c r="Q23" s="64">
        <f t="shared" si="32"/>
        <v>133617</v>
      </c>
      <c r="R23" s="418">
        <f t="shared" si="31"/>
        <v>0</v>
      </c>
      <c r="S23" s="52">
        <f t="shared" si="12"/>
        <v>0</v>
      </c>
      <c r="T23" s="68">
        <f t="shared" si="24"/>
        <v>0</v>
      </c>
      <c r="U23" s="425">
        <f t="shared" si="13"/>
        <v>0</v>
      </c>
      <c r="V23" s="62">
        <f t="shared" si="14"/>
        <v>0</v>
      </c>
      <c r="W23" s="423"/>
      <c r="X23" s="64">
        <f t="shared" si="34"/>
        <v>2320</v>
      </c>
      <c r="Y23" s="52">
        <f t="shared" si="16"/>
        <v>0</v>
      </c>
      <c r="Z23" s="64">
        <f t="shared" si="35"/>
        <v>130593</v>
      </c>
      <c r="AA23" s="65">
        <f t="shared" si="7"/>
        <v>0</v>
      </c>
      <c r="AB23" s="296">
        <f t="shared" si="33"/>
        <v>0</v>
      </c>
      <c r="AC23" s="64">
        <f t="shared" si="42"/>
        <v>1771</v>
      </c>
      <c r="AD23" s="45">
        <f t="shared" si="8"/>
        <v>0</v>
      </c>
      <c r="AE23" s="64">
        <f t="shared" si="43"/>
        <v>356012.3</v>
      </c>
      <c r="AF23" s="323">
        <f t="shared" si="17"/>
        <v>0</v>
      </c>
      <c r="AG23" s="213">
        <f t="shared" si="26"/>
        <v>0</v>
      </c>
      <c r="AH23" s="62">
        <f t="shared" si="27"/>
        <v>0</v>
      </c>
      <c r="AI23" s="335">
        <f t="shared" si="18"/>
        <v>0</v>
      </c>
      <c r="AJ23" s="335">
        <f>-tanks!AW24</f>
        <v>0</v>
      </c>
      <c r="AK23" s="335">
        <f t="shared" si="19"/>
        <v>0</v>
      </c>
      <c r="AL23" s="335">
        <f t="shared" si="36"/>
        <v>0</v>
      </c>
      <c r="AM23" s="335">
        <f t="shared" si="20"/>
        <v>0</v>
      </c>
      <c r="AN23" s="64">
        <f t="shared" si="44"/>
        <v>78</v>
      </c>
      <c r="AO23" s="337">
        <f t="shared" si="21"/>
        <v>2340</v>
      </c>
      <c r="AP23" s="64">
        <f t="shared" si="45"/>
        <v>78</v>
      </c>
      <c r="AQ23" s="337">
        <f t="shared" si="22"/>
        <v>2340</v>
      </c>
      <c r="AR23" s="64">
        <f t="shared" si="46"/>
        <v>81</v>
      </c>
      <c r="AS23" s="337">
        <f t="shared" si="28"/>
        <v>2430</v>
      </c>
      <c r="AT23" s="337">
        <f t="shared" si="29"/>
        <v>7110</v>
      </c>
      <c r="AU23" s="337">
        <f t="shared" si="30"/>
        <v>0</v>
      </c>
      <c r="AV23" s="276"/>
      <c r="AW23" s="276"/>
      <c r="AX23" s="330">
        <f t="shared" si="23"/>
        <v>0.7</v>
      </c>
    </row>
    <row r="24" spans="1:50">
      <c r="A24" s="63">
        <v>43850</v>
      </c>
      <c r="B24" s="64">
        <f t="shared" si="37"/>
        <v>219</v>
      </c>
      <c r="C24" s="64">
        <f t="shared" si="37"/>
        <v>225</v>
      </c>
      <c r="D24" s="45">
        <f t="shared" si="0"/>
        <v>0</v>
      </c>
      <c r="E24" s="45">
        <f t="shared" si="10"/>
        <v>0</v>
      </c>
      <c r="F24" s="64">
        <f t="shared" si="38"/>
        <v>1330</v>
      </c>
      <c r="G24" s="52">
        <f t="shared" si="1"/>
        <v>0</v>
      </c>
      <c r="H24" s="64">
        <f t="shared" si="39"/>
        <v>332480</v>
      </c>
      <c r="I24" s="419">
        <f t="shared" si="2"/>
        <v>0</v>
      </c>
      <c r="J24" s="66">
        <f t="shared" si="11"/>
        <v>0</v>
      </c>
      <c r="K24" s="64">
        <f t="shared" si="40"/>
        <v>1719</v>
      </c>
      <c r="L24" s="52">
        <f t="shared" si="3"/>
        <v>0</v>
      </c>
      <c r="M24" s="64">
        <f t="shared" si="41"/>
        <v>125236</v>
      </c>
      <c r="N24" s="419">
        <f t="shared" si="4"/>
        <v>0</v>
      </c>
      <c r="O24" s="67">
        <f t="shared" si="5"/>
        <v>0</v>
      </c>
      <c r="P24" s="64">
        <f t="shared" si="32"/>
        <v>1549</v>
      </c>
      <c r="Q24" s="64">
        <f t="shared" si="32"/>
        <v>133617</v>
      </c>
      <c r="R24" s="418">
        <f t="shared" si="31"/>
        <v>0</v>
      </c>
      <c r="S24" s="52">
        <f t="shared" ref="S24:S33" si="47">SUM(P24-P23)</f>
        <v>0</v>
      </c>
      <c r="T24" s="68">
        <f t="shared" si="24"/>
        <v>0</v>
      </c>
      <c r="U24" s="425">
        <f t="shared" si="13"/>
        <v>0</v>
      </c>
      <c r="V24" s="62">
        <f t="shared" si="14"/>
        <v>0</v>
      </c>
      <c r="W24" s="423"/>
      <c r="X24" s="64">
        <f t="shared" si="34"/>
        <v>2320</v>
      </c>
      <c r="Y24" s="52">
        <f t="shared" si="16"/>
        <v>0</v>
      </c>
      <c r="Z24" s="64">
        <f t="shared" si="35"/>
        <v>130593</v>
      </c>
      <c r="AA24" s="65">
        <f t="shared" si="7"/>
        <v>0</v>
      </c>
      <c r="AB24" s="296">
        <f t="shared" ref="AB24:AB34" si="48">SUM(Y24*$AB$2)</f>
        <v>0</v>
      </c>
      <c r="AC24" s="64">
        <f t="shared" si="42"/>
        <v>1771</v>
      </c>
      <c r="AD24" s="45">
        <f t="shared" si="8"/>
        <v>0</v>
      </c>
      <c r="AE24" s="64">
        <f t="shared" si="43"/>
        <v>356012.3</v>
      </c>
      <c r="AF24" s="323">
        <f t="shared" si="17"/>
        <v>0</v>
      </c>
      <c r="AG24" s="213">
        <f t="shared" si="26"/>
        <v>0</v>
      </c>
      <c r="AH24" s="62">
        <f t="shared" si="27"/>
        <v>0</v>
      </c>
      <c r="AI24" s="335">
        <f t="shared" si="18"/>
        <v>0</v>
      </c>
      <c r="AJ24" s="335">
        <f>-tanks!AW25</f>
        <v>0</v>
      </c>
      <c r="AK24" s="335">
        <f t="shared" si="19"/>
        <v>0</v>
      </c>
      <c r="AL24" s="335">
        <f t="shared" si="36"/>
        <v>0</v>
      </c>
      <c r="AM24" s="335">
        <f t="shared" si="20"/>
        <v>0</v>
      </c>
      <c r="AN24" s="64">
        <f t="shared" si="44"/>
        <v>78</v>
      </c>
      <c r="AO24" s="337">
        <f t="shared" si="21"/>
        <v>2340</v>
      </c>
      <c r="AP24" s="64">
        <f t="shared" si="45"/>
        <v>78</v>
      </c>
      <c r="AQ24" s="337">
        <f t="shared" si="22"/>
        <v>2340</v>
      </c>
      <c r="AR24" s="64">
        <f t="shared" si="46"/>
        <v>81</v>
      </c>
      <c r="AS24" s="337">
        <f t="shared" si="28"/>
        <v>2430</v>
      </c>
      <c r="AT24" s="337">
        <f t="shared" ref="AT24:AT34" si="49">SUM(AO24+AQ24+AS24)</f>
        <v>7110</v>
      </c>
      <c r="AU24" s="337">
        <f t="shared" si="30"/>
        <v>0</v>
      </c>
      <c r="AV24" s="276"/>
      <c r="AW24" s="276"/>
      <c r="AX24" s="330">
        <f t="shared" si="23"/>
        <v>0.7</v>
      </c>
    </row>
    <row r="25" spans="1:50" ht="13.5" customHeight="1">
      <c r="A25" s="63">
        <v>43851</v>
      </c>
      <c r="B25" s="64">
        <f t="shared" si="37"/>
        <v>219</v>
      </c>
      <c r="C25" s="64">
        <f t="shared" si="37"/>
        <v>225</v>
      </c>
      <c r="D25" s="45">
        <f t="shared" si="0"/>
        <v>0</v>
      </c>
      <c r="E25" s="45">
        <f t="shared" si="10"/>
        <v>0</v>
      </c>
      <c r="F25" s="64">
        <f t="shared" si="38"/>
        <v>1330</v>
      </c>
      <c r="G25" s="52">
        <f t="shared" si="1"/>
        <v>0</v>
      </c>
      <c r="H25" s="64">
        <f t="shared" si="39"/>
        <v>332480</v>
      </c>
      <c r="I25" s="419">
        <f t="shared" si="2"/>
        <v>0</v>
      </c>
      <c r="J25" s="66">
        <f t="shared" si="11"/>
        <v>0</v>
      </c>
      <c r="K25" s="64">
        <f t="shared" si="40"/>
        <v>1719</v>
      </c>
      <c r="L25" s="52">
        <f t="shared" si="3"/>
        <v>0</v>
      </c>
      <c r="M25" s="64">
        <f t="shared" si="41"/>
        <v>125236</v>
      </c>
      <c r="N25" s="419">
        <f t="shared" si="4"/>
        <v>0</v>
      </c>
      <c r="O25" s="67">
        <f t="shared" si="5"/>
        <v>0</v>
      </c>
      <c r="P25" s="64">
        <f t="shared" si="32"/>
        <v>1549</v>
      </c>
      <c r="Q25" s="64">
        <f t="shared" si="32"/>
        <v>133617</v>
      </c>
      <c r="R25" s="418">
        <f t="shared" si="31"/>
        <v>0</v>
      </c>
      <c r="S25" s="52">
        <f t="shared" si="47"/>
        <v>0</v>
      </c>
      <c r="T25" s="68">
        <f t="shared" si="24"/>
        <v>0</v>
      </c>
      <c r="U25" s="425">
        <f t="shared" si="13"/>
        <v>0</v>
      </c>
      <c r="V25" s="62">
        <f t="shared" si="14"/>
        <v>0</v>
      </c>
      <c r="W25" s="423"/>
      <c r="X25" s="64">
        <f t="shared" si="34"/>
        <v>2320</v>
      </c>
      <c r="Y25" s="52">
        <f t="shared" si="16"/>
        <v>0</v>
      </c>
      <c r="Z25" s="64">
        <f t="shared" si="35"/>
        <v>130593</v>
      </c>
      <c r="AA25" s="65">
        <f t="shared" si="7"/>
        <v>0</v>
      </c>
      <c r="AB25" s="296">
        <f t="shared" si="48"/>
        <v>0</v>
      </c>
      <c r="AC25" s="64">
        <f t="shared" si="42"/>
        <v>1771</v>
      </c>
      <c r="AD25" s="45">
        <f t="shared" si="8"/>
        <v>0</v>
      </c>
      <c r="AE25" s="64">
        <f t="shared" si="43"/>
        <v>356012.3</v>
      </c>
      <c r="AF25" s="323">
        <f t="shared" si="17"/>
        <v>0</v>
      </c>
      <c r="AG25" s="213">
        <f t="shared" si="26"/>
        <v>0</v>
      </c>
      <c r="AH25" s="62">
        <f t="shared" si="27"/>
        <v>0</v>
      </c>
      <c r="AI25" s="335">
        <f t="shared" si="18"/>
        <v>0</v>
      </c>
      <c r="AJ25" s="335">
        <f>-tanks!AW26</f>
        <v>0</v>
      </c>
      <c r="AK25" s="335">
        <f t="shared" si="19"/>
        <v>0</v>
      </c>
      <c r="AL25" s="335">
        <f t="shared" si="36"/>
        <v>0</v>
      </c>
      <c r="AM25" s="335">
        <f t="shared" si="20"/>
        <v>0</v>
      </c>
      <c r="AN25" s="64">
        <f t="shared" si="44"/>
        <v>78</v>
      </c>
      <c r="AO25" s="337">
        <f t="shared" si="21"/>
        <v>2340</v>
      </c>
      <c r="AP25" s="64">
        <f t="shared" si="45"/>
        <v>78</v>
      </c>
      <c r="AQ25" s="337">
        <f t="shared" ref="AQ25:AQ34" si="50">(AP25/100)*3000</f>
        <v>2340</v>
      </c>
      <c r="AR25" s="64">
        <f t="shared" si="46"/>
        <v>81</v>
      </c>
      <c r="AS25" s="337">
        <f t="shared" si="28"/>
        <v>2430</v>
      </c>
      <c r="AT25" s="337">
        <f t="shared" si="49"/>
        <v>7110</v>
      </c>
      <c r="AU25" s="337">
        <f t="shared" si="30"/>
        <v>0</v>
      </c>
      <c r="AV25" s="276"/>
      <c r="AW25" s="276"/>
      <c r="AX25" s="330">
        <f t="shared" si="23"/>
        <v>0.7</v>
      </c>
    </row>
    <row r="26" spans="1:50" ht="14.25" customHeight="1">
      <c r="A26" s="63">
        <v>43852</v>
      </c>
      <c r="B26" s="64">
        <f t="shared" si="37"/>
        <v>219</v>
      </c>
      <c r="C26" s="64">
        <f t="shared" si="37"/>
        <v>225</v>
      </c>
      <c r="D26" s="45">
        <f t="shared" si="0"/>
        <v>0</v>
      </c>
      <c r="E26" s="45">
        <f t="shared" si="10"/>
        <v>0</v>
      </c>
      <c r="F26" s="64">
        <f t="shared" si="38"/>
        <v>1330</v>
      </c>
      <c r="G26" s="52">
        <f t="shared" si="1"/>
        <v>0</v>
      </c>
      <c r="H26" s="64">
        <f t="shared" si="39"/>
        <v>332480</v>
      </c>
      <c r="I26" s="419">
        <f t="shared" si="2"/>
        <v>0</v>
      </c>
      <c r="J26" s="66">
        <f t="shared" si="11"/>
        <v>0</v>
      </c>
      <c r="K26" s="64">
        <f t="shared" si="40"/>
        <v>1719</v>
      </c>
      <c r="L26" s="52">
        <f t="shared" si="3"/>
        <v>0</v>
      </c>
      <c r="M26" s="64">
        <f t="shared" si="41"/>
        <v>125236</v>
      </c>
      <c r="N26" s="419">
        <f t="shared" si="4"/>
        <v>0</v>
      </c>
      <c r="O26" s="67">
        <f t="shared" si="5"/>
        <v>0</v>
      </c>
      <c r="P26" s="64">
        <f t="shared" si="32"/>
        <v>1549</v>
      </c>
      <c r="Q26" s="64">
        <f t="shared" si="32"/>
        <v>133617</v>
      </c>
      <c r="R26" s="418">
        <f t="shared" si="31"/>
        <v>0</v>
      </c>
      <c r="S26" s="52">
        <f t="shared" si="47"/>
        <v>0</v>
      </c>
      <c r="T26" s="68">
        <f t="shared" si="24"/>
        <v>0</v>
      </c>
      <c r="U26" s="425">
        <f t="shared" si="13"/>
        <v>0</v>
      </c>
      <c r="V26" s="62">
        <f t="shared" si="14"/>
        <v>0</v>
      </c>
      <c r="W26" s="423"/>
      <c r="X26" s="64">
        <f t="shared" si="34"/>
        <v>2320</v>
      </c>
      <c r="Y26" s="52">
        <f t="shared" si="16"/>
        <v>0</v>
      </c>
      <c r="Z26" s="64">
        <f t="shared" si="35"/>
        <v>130593</v>
      </c>
      <c r="AA26" s="65">
        <f t="shared" si="7"/>
        <v>0</v>
      </c>
      <c r="AB26" s="296">
        <f t="shared" si="48"/>
        <v>0</v>
      </c>
      <c r="AC26" s="64">
        <f t="shared" si="42"/>
        <v>1771</v>
      </c>
      <c r="AD26" s="45">
        <f t="shared" si="8"/>
        <v>0</v>
      </c>
      <c r="AE26" s="64">
        <f t="shared" si="43"/>
        <v>356012.3</v>
      </c>
      <c r="AF26" s="323">
        <f t="shared" si="17"/>
        <v>0</v>
      </c>
      <c r="AG26" s="213">
        <f t="shared" si="26"/>
        <v>0</v>
      </c>
      <c r="AH26" s="62">
        <f t="shared" si="27"/>
        <v>0</v>
      </c>
      <c r="AI26" s="335">
        <f t="shared" si="18"/>
        <v>0</v>
      </c>
      <c r="AJ26" s="335">
        <f>-tanks!AW27</f>
        <v>0</v>
      </c>
      <c r="AK26" s="335">
        <f t="shared" si="19"/>
        <v>0</v>
      </c>
      <c r="AL26" s="335">
        <f t="shared" si="36"/>
        <v>0</v>
      </c>
      <c r="AM26" s="335">
        <f t="shared" si="20"/>
        <v>0</v>
      </c>
      <c r="AN26" s="64">
        <f t="shared" si="44"/>
        <v>78</v>
      </c>
      <c r="AO26" s="337">
        <f t="shared" si="21"/>
        <v>2340</v>
      </c>
      <c r="AP26" s="64">
        <f t="shared" si="45"/>
        <v>78</v>
      </c>
      <c r="AQ26" s="337">
        <f t="shared" si="50"/>
        <v>2340</v>
      </c>
      <c r="AR26" s="64">
        <f t="shared" si="46"/>
        <v>81</v>
      </c>
      <c r="AS26" s="337">
        <f t="shared" si="28"/>
        <v>2430</v>
      </c>
      <c r="AT26" s="337">
        <f t="shared" si="49"/>
        <v>7110</v>
      </c>
      <c r="AU26" s="337">
        <f t="shared" si="30"/>
        <v>0</v>
      </c>
      <c r="AV26" s="276"/>
      <c r="AW26" s="276"/>
      <c r="AX26" s="330">
        <f t="shared" si="23"/>
        <v>0.7</v>
      </c>
    </row>
    <row r="27" spans="1:50">
      <c r="A27" s="63">
        <v>43853</v>
      </c>
      <c r="B27" s="64">
        <f t="shared" si="37"/>
        <v>219</v>
      </c>
      <c r="C27" s="64">
        <f t="shared" si="37"/>
        <v>225</v>
      </c>
      <c r="D27" s="45">
        <f t="shared" si="0"/>
        <v>0</v>
      </c>
      <c r="E27" s="45">
        <f t="shared" si="10"/>
        <v>0</v>
      </c>
      <c r="F27" s="64">
        <f t="shared" si="38"/>
        <v>1330</v>
      </c>
      <c r="G27" s="52">
        <f t="shared" si="1"/>
        <v>0</v>
      </c>
      <c r="H27" s="64">
        <f t="shared" si="39"/>
        <v>332480</v>
      </c>
      <c r="I27" s="419">
        <f t="shared" si="2"/>
        <v>0</v>
      </c>
      <c r="J27" s="66">
        <f t="shared" si="11"/>
        <v>0</v>
      </c>
      <c r="K27" s="64">
        <f t="shared" si="40"/>
        <v>1719</v>
      </c>
      <c r="L27" s="52">
        <f t="shared" si="3"/>
        <v>0</v>
      </c>
      <c r="M27" s="64">
        <f t="shared" si="41"/>
        <v>125236</v>
      </c>
      <c r="N27" s="419">
        <f t="shared" si="4"/>
        <v>0</v>
      </c>
      <c r="O27" s="67">
        <f t="shared" si="5"/>
        <v>0</v>
      </c>
      <c r="P27" s="64">
        <f t="shared" si="32"/>
        <v>1549</v>
      </c>
      <c r="Q27" s="64">
        <f t="shared" si="32"/>
        <v>133617</v>
      </c>
      <c r="R27" s="418">
        <f t="shared" si="31"/>
        <v>0</v>
      </c>
      <c r="S27" s="52">
        <f t="shared" si="47"/>
        <v>0</v>
      </c>
      <c r="T27" s="68">
        <f t="shared" si="24"/>
        <v>0</v>
      </c>
      <c r="U27" s="425">
        <f t="shared" si="13"/>
        <v>0</v>
      </c>
      <c r="V27" s="62">
        <f t="shared" si="14"/>
        <v>0</v>
      </c>
      <c r="W27" s="423"/>
      <c r="X27" s="64">
        <f t="shared" si="34"/>
        <v>2320</v>
      </c>
      <c r="Y27" s="52">
        <f t="shared" si="16"/>
        <v>0</v>
      </c>
      <c r="Z27" s="64">
        <f t="shared" si="35"/>
        <v>130593</v>
      </c>
      <c r="AA27" s="65">
        <f t="shared" si="7"/>
        <v>0</v>
      </c>
      <c r="AB27" s="296">
        <f t="shared" si="48"/>
        <v>0</v>
      </c>
      <c r="AC27" s="64">
        <f t="shared" si="42"/>
        <v>1771</v>
      </c>
      <c r="AD27" s="45">
        <f t="shared" si="8"/>
        <v>0</v>
      </c>
      <c r="AE27" s="64">
        <f t="shared" si="43"/>
        <v>356012.3</v>
      </c>
      <c r="AF27" s="323">
        <f t="shared" si="17"/>
        <v>0</v>
      </c>
      <c r="AG27" s="213">
        <f t="shared" si="26"/>
        <v>0</v>
      </c>
      <c r="AH27" s="62">
        <f t="shared" si="27"/>
        <v>0</v>
      </c>
      <c r="AI27" s="335">
        <f t="shared" si="18"/>
        <v>0</v>
      </c>
      <c r="AJ27" s="335">
        <f>-tanks!AW28</f>
        <v>0</v>
      </c>
      <c r="AK27" s="335">
        <f t="shared" si="19"/>
        <v>0</v>
      </c>
      <c r="AL27" s="335">
        <f t="shared" si="36"/>
        <v>0</v>
      </c>
      <c r="AM27" s="335">
        <f t="shared" si="20"/>
        <v>0</v>
      </c>
      <c r="AN27" s="64">
        <f t="shared" si="44"/>
        <v>78</v>
      </c>
      <c r="AO27" s="337">
        <f>(AN27/100)*3000</f>
        <v>2340</v>
      </c>
      <c r="AP27" s="64">
        <f t="shared" si="45"/>
        <v>78</v>
      </c>
      <c r="AQ27" s="337">
        <f t="shared" si="50"/>
        <v>2340</v>
      </c>
      <c r="AR27" s="64">
        <f t="shared" si="46"/>
        <v>81</v>
      </c>
      <c r="AS27" s="337">
        <f t="shared" si="28"/>
        <v>2430</v>
      </c>
      <c r="AT27" s="337">
        <f t="shared" si="49"/>
        <v>7110</v>
      </c>
      <c r="AU27" s="337">
        <f t="shared" si="30"/>
        <v>0</v>
      </c>
      <c r="AV27" s="276"/>
      <c r="AW27" s="549"/>
      <c r="AX27" s="330">
        <f t="shared" si="23"/>
        <v>0.7</v>
      </c>
    </row>
    <row r="28" spans="1:50">
      <c r="A28" s="63">
        <v>43854</v>
      </c>
      <c r="B28" s="64">
        <f t="shared" si="37"/>
        <v>219</v>
      </c>
      <c r="C28" s="64">
        <f t="shared" si="37"/>
        <v>225</v>
      </c>
      <c r="D28" s="45">
        <f t="shared" si="0"/>
        <v>0</v>
      </c>
      <c r="E28" s="45">
        <f t="shared" si="10"/>
        <v>0</v>
      </c>
      <c r="F28" s="64">
        <f t="shared" si="38"/>
        <v>1330</v>
      </c>
      <c r="G28" s="52">
        <f t="shared" si="1"/>
        <v>0</v>
      </c>
      <c r="H28" s="64">
        <f t="shared" si="39"/>
        <v>332480</v>
      </c>
      <c r="I28" s="419">
        <f t="shared" si="2"/>
        <v>0</v>
      </c>
      <c r="J28" s="66">
        <f t="shared" si="11"/>
        <v>0</v>
      </c>
      <c r="K28" s="64">
        <f t="shared" si="40"/>
        <v>1719</v>
      </c>
      <c r="L28" s="52">
        <f t="shared" si="3"/>
        <v>0</v>
      </c>
      <c r="M28" s="64">
        <f t="shared" si="41"/>
        <v>125236</v>
      </c>
      <c r="N28" s="419">
        <f t="shared" si="4"/>
        <v>0</v>
      </c>
      <c r="O28" s="67">
        <f t="shared" si="5"/>
        <v>0</v>
      </c>
      <c r="P28" s="64">
        <f t="shared" si="32"/>
        <v>1549</v>
      </c>
      <c r="Q28" s="64">
        <f t="shared" si="32"/>
        <v>133617</v>
      </c>
      <c r="R28" s="418">
        <f t="shared" si="31"/>
        <v>0</v>
      </c>
      <c r="S28" s="52">
        <f t="shared" si="47"/>
        <v>0</v>
      </c>
      <c r="T28" s="68">
        <f t="shared" si="24"/>
        <v>0</v>
      </c>
      <c r="U28" s="425">
        <f t="shared" si="13"/>
        <v>0</v>
      </c>
      <c r="V28" s="62">
        <f t="shared" si="14"/>
        <v>0</v>
      </c>
      <c r="W28" s="423"/>
      <c r="X28" s="64">
        <f t="shared" si="34"/>
        <v>2320</v>
      </c>
      <c r="Y28" s="52">
        <f t="shared" si="16"/>
        <v>0</v>
      </c>
      <c r="Z28" s="64">
        <f t="shared" si="35"/>
        <v>130593</v>
      </c>
      <c r="AA28" s="65">
        <f t="shared" si="7"/>
        <v>0</v>
      </c>
      <c r="AB28" s="296">
        <f t="shared" si="48"/>
        <v>0</v>
      </c>
      <c r="AC28" s="64">
        <f t="shared" si="42"/>
        <v>1771</v>
      </c>
      <c r="AD28" s="45">
        <f t="shared" si="8"/>
        <v>0</v>
      </c>
      <c r="AE28" s="64">
        <f t="shared" si="43"/>
        <v>356012.3</v>
      </c>
      <c r="AF28" s="323">
        <f t="shared" si="17"/>
        <v>0</v>
      </c>
      <c r="AG28" s="213">
        <f t="shared" si="26"/>
        <v>0</v>
      </c>
      <c r="AH28" s="62">
        <f t="shared" si="27"/>
        <v>0</v>
      </c>
      <c r="AI28" s="335">
        <f t="shared" si="18"/>
        <v>0</v>
      </c>
      <c r="AJ28" s="335">
        <f>-tanks!AW29</f>
        <v>0</v>
      </c>
      <c r="AK28" s="335">
        <f t="shared" si="19"/>
        <v>0</v>
      </c>
      <c r="AL28" s="335">
        <f t="shared" si="36"/>
        <v>0</v>
      </c>
      <c r="AM28" s="335">
        <f t="shared" si="20"/>
        <v>0</v>
      </c>
      <c r="AN28" s="64">
        <f t="shared" si="44"/>
        <v>78</v>
      </c>
      <c r="AO28" s="337">
        <f t="shared" ref="AO28:AO34" si="51">(AN28/100)*3000</f>
        <v>2340</v>
      </c>
      <c r="AP28" s="64">
        <f t="shared" si="45"/>
        <v>78</v>
      </c>
      <c r="AQ28" s="337">
        <f t="shared" si="50"/>
        <v>2340</v>
      </c>
      <c r="AR28" s="64">
        <f t="shared" si="46"/>
        <v>81</v>
      </c>
      <c r="AS28" s="337">
        <f t="shared" si="28"/>
        <v>2430</v>
      </c>
      <c r="AT28" s="337">
        <f t="shared" si="49"/>
        <v>7110</v>
      </c>
      <c r="AU28" s="337">
        <f t="shared" si="30"/>
        <v>0</v>
      </c>
      <c r="AV28" s="276"/>
      <c r="AW28" s="276"/>
      <c r="AX28" s="330">
        <f t="shared" si="23"/>
        <v>0.7</v>
      </c>
    </row>
    <row r="29" spans="1:50">
      <c r="A29" s="63">
        <v>43855</v>
      </c>
      <c r="B29" s="64">
        <f t="shared" si="37"/>
        <v>219</v>
      </c>
      <c r="C29" s="64">
        <f t="shared" si="37"/>
        <v>225</v>
      </c>
      <c r="D29" s="45">
        <f t="shared" si="0"/>
        <v>0</v>
      </c>
      <c r="E29" s="45">
        <f t="shared" ref="E29:E34" si="52">D29*8.38</f>
        <v>0</v>
      </c>
      <c r="F29" s="64">
        <f t="shared" si="38"/>
        <v>1330</v>
      </c>
      <c r="G29" s="52">
        <f t="shared" si="1"/>
        <v>0</v>
      </c>
      <c r="H29" s="64">
        <f t="shared" si="39"/>
        <v>332480</v>
      </c>
      <c r="I29" s="419">
        <f t="shared" si="2"/>
        <v>0</v>
      </c>
      <c r="J29" s="66">
        <f t="shared" si="11"/>
        <v>0</v>
      </c>
      <c r="K29" s="64">
        <f t="shared" si="40"/>
        <v>1719</v>
      </c>
      <c r="L29" s="52">
        <f t="shared" si="3"/>
        <v>0</v>
      </c>
      <c r="M29" s="64">
        <f t="shared" si="41"/>
        <v>125236</v>
      </c>
      <c r="N29" s="419">
        <f t="shared" si="4"/>
        <v>0</v>
      </c>
      <c r="O29" s="67">
        <f t="shared" si="5"/>
        <v>0</v>
      </c>
      <c r="P29" s="64">
        <f t="shared" si="32"/>
        <v>1549</v>
      </c>
      <c r="Q29" s="64">
        <f t="shared" si="32"/>
        <v>133617</v>
      </c>
      <c r="R29" s="418">
        <f t="shared" si="31"/>
        <v>0</v>
      </c>
      <c r="S29" s="52">
        <f t="shared" si="47"/>
        <v>0</v>
      </c>
      <c r="T29" s="68">
        <f t="shared" si="24"/>
        <v>0</v>
      </c>
      <c r="U29" s="425">
        <f t="shared" si="13"/>
        <v>0</v>
      </c>
      <c r="V29" s="62">
        <f t="shared" si="14"/>
        <v>0</v>
      </c>
      <c r="W29" s="423"/>
      <c r="X29" s="64">
        <f t="shared" si="34"/>
        <v>2320</v>
      </c>
      <c r="Y29" s="52">
        <f t="shared" si="16"/>
        <v>0</v>
      </c>
      <c r="Z29" s="64">
        <f t="shared" si="35"/>
        <v>130593</v>
      </c>
      <c r="AA29" s="65">
        <f t="shared" si="7"/>
        <v>0</v>
      </c>
      <c r="AB29" s="296">
        <f t="shared" si="48"/>
        <v>0</v>
      </c>
      <c r="AC29" s="64">
        <f t="shared" si="42"/>
        <v>1771</v>
      </c>
      <c r="AD29" s="45">
        <f t="shared" si="8"/>
        <v>0</v>
      </c>
      <c r="AE29" s="64">
        <f t="shared" si="43"/>
        <v>356012.3</v>
      </c>
      <c r="AF29" s="323">
        <f t="shared" si="17"/>
        <v>0</v>
      </c>
      <c r="AG29" s="213">
        <f t="shared" si="26"/>
        <v>0</v>
      </c>
      <c r="AH29" s="62">
        <f t="shared" si="27"/>
        <v>0</v>
      </c>
      <c r="AI29" s="335">
        <f t="shared" si="18"/>
        <v>0</v>
      </c>
      <c r="AJ29" s="335">
        <f>-tanks!AW30</f>
        <v>0</v>
      </c>
      <c r="AK29" s="335">
        <f t="shared" si="19"/>
        <v>0</v>
      </c>
      <c r="AL29" s="335">
        <f t="shared" si="36"/>
        <v>0</v>
      </c>
      <c r="AM29" s="335">
        <f t="shared" si="20"/>
        <v>0</v>
      </c>
      <c r="AN29" s="64">
        <f t="shared" si="44"/>
        <v>78</v>
      </c>
      <c r="AO29" s="337">
        <f t="shared" si="51"/>
        <v>2340</v>
      </c>
      <c r="AP29" s="64">
        <f t="shared" si="45"/>
        <v>78</v>
      </c>
      <c r="AQ29" s="337">
        <f t="shared" si="50"/>
        <v>2340</v>
      </c>
      <c r="AR29" s="64">
        <f t="shared" si="46"/>
        <v>81</v>
      </c>
      <c r="AS29" s="337">
        <f t="shared" si="28"/>
        <v>2430</v>
      </c>
      <c r="AT29" s="337">
        <f>SUM(AO29+AQ29+AS29)</f>
        <v>7110</v>
      </c>
      <c r="AU29" s="337">
        <f>AT28-AT29+AV29</f>
        <v>0</v>
      </c>
      <c r="AV29" s="276"/>
      <c r="AW29" s="276"/>
      <c r="AX29" s="330">
        <f t="shared" si="23"/>
        <v>0.7</v>
      </c>
    </row>
    <row r="30" spans="1:50">
      <c r="A30" s="63">
        <v>43856</v>
      </c>
      <c r="B30" s="64">
        <f t="shared" si="37"/>
        <v>219</v>
      </c>
      <c r="C30" s="64">
        <f t="shared" si="37"/>
        <v>225</v>
      </c>
      <c r="D30" s="45">
        <f t="shared" si="0"/>
        <v>0</v>
      </c>
      <c r="E30" s="45">
        <f t="shared" si="52"/>
        <v>0</v>
      </c>
      <c r="F30" s="64">
        <f t="shared" si="38"/>
        <v>1330</v>
      </c>
      <c r="G30" s="52">
        <f t="shared" si="1"/>
        <v>0</v>
      </c>
      <c r="H30" s="64">
        <f t="shared" si="39"/>
        <v>332480</v>
      </c>
      <c r="I30" s="419">
        <f t="shared" si="2"/>
        <v>0</v>
      </c>
      <c r="J30" s="66">
        <f t="shared" si="11"/>
        <v>0</v>
      </c>
      <c r="K30" s="64">
        <f t="shared" si="40"/>
        <v>1719</v>
      </c>
      <c r="L30" s="52">
        <f t="shared" si="3"/>
        <v>0</v>
      </c>
      <c r="M30" s="64">
        <f t="shared" si="41"/>
        <v>125236</v>
      </c>
      <c r="N30" s="419">
        <f t="shared" si="4"/>
        <v>0</v>
      </c>
      <c r="O30" s="67">
        <f t="shared" si="5"/>
        <v>0</v>
      </c>
      <c r="P30" s="64">
        <f t="shared" si="32"/>
        <v>1549</v>
      </c>
      <c r="Q30" s="64">
        <f t="shared" si="32"/>
        <v>133617</v>
      </c>
      <c r="R30" s="418">
        <f t="shared" si="31"/>
        <v>0</v>
      </c>
      <c r="S30" s="52">
        <f t="shared" si="47"/>
        <v>0</v>
      </c>
      <c r="T30" s="68">
        <f t="shared" si="24"/>
        <v>0</v>
      </c>
      <c r="U30" s="425">
        <f t="shared" si="13"/>
        <v>0</v>
      </c>
      <c r="V30" s="62">
        <f t="shared" si="14"/>
        <v>0</v>
      </c>
      <c r="W30" s="423"/>
      <c r="X30" s="64">
        <f t="shared" si="34"/>
        <v>2320</v>
      </c>
      <c r="Y30" s="52">
        <f t="shared" si="16"/>
        <v>0</v>
      </c>
      <c r="Z30" s="64">
        <f t="shared" si="35"/>
        <v>130593</v>
      </c>
      <c r="AA30" s="65">
        <f t="shared" si="7"/>
        <v>0</v>
      </c>
      <c r="AB30" s="296">
        <f t="shared" si="48"/>
        <v>0</v>
      </c>
      <c r="AC30" s="64">
        <f t="shared" si="42"/>
        <v>1771</v>
      </c>
      <c r="AD30" s="45">
        <f t="shared" si="8"/>
        <v>0</v>
      </c>
      <c r="AE30" s="64">
        <f t="shared" si="43"/>
        <v>356012.3</v>
      </c>
      <c r="AF30" s="323">
        <f t="shared" si="17"/>
        <v>0</v>
      </c>
      <c r="AG30" s="213">
        <f t="shared" si="26"/>
        <v>0</v>
      </c>
      <c r="AH30" s="62">
        <f t="shared" si="27"/>
        <v>0</v>
      </c>
      <c r="AI30" s="335">
        <f t="shared" si="18"/>
        <v>0</v>
      </c>
      <c r="AJ30" s="335">
        <f>-tanks!AW31</f>
        <v>0</v>
      </c>
      <c r="AK30" s="335">
        <f t="shared" si="19"/>
        <v>0</v>
      </c>
      <c r="AL30" s="335">
        <f t="shared" si="36"/>
        <v>0</v>
      </c>
      <c r="AM30" s="335">
        <f t="shared" si="20"/>
        <v>0</v>
      </c>
      <c r="AN30" s="64">
        <f t="shared" si="44"/>
        <v>78</v>
      </c>
      <c r="AO30" s="337">
        <f t="shared" si="51"/>
        <v>2340</v>
      </c>
      <c r="AP30" s="64">
        <f t="shared" si="45"/>
        <v>78</v>
      </c>
      <c r="AQ30" s="337">
        <f t="shared" si="50"/>
        <v>2340</v>
      </c>
      <c r="AR30" s="64">
        <f t="shared" si="46"/>
        <v>81</v>
      </c>
      <c r="AS30" s="337">
        <f t="shared" si="28"/>
        <v>2430</v>
      </c>
      <c r="AT30" s="337">
        <f t="shared" si="49"/>
        <v>7110</v>
      </c>
      <c r="AU30" s="337">
        <f t="shared" si="30"/>
        <v>0</v>
      </c>
      <c r="AV30" s="276"/>
      <c r="AW30" s="276"/>
      <c r="AX30" s="330">
        <f t="shared" si="23"/>
        <v>0.7</v>
      </c>
    </row>
    <row r="31" spans="1:50">
      <c r="A31" s="63">
        <v>43857</v>
      </c>
      <c r="B31" s="64">
        <f t="shared" si="37"/>
        <v>219</v>
      </c>
      <c r="C31" s="64">
        <f t="shared" si="37"/>
        <v>225</v>
      </c>
      <c r="D31" s="45">
        <f t="shared" si="0"/>
        <v>0</v>
      </c>
      <c r="E31" s="45">
        <f t="shared" si="52"/>
        <v>0</v>
      </c>
      <c r="F31" s="64">
        <f t="shared" si="38"/>
        <v>1330</v>
      </c>
      <c r="G31" s="52">
        <f t="shared" si="1"/>
        <v>0</v>
      </c>
      <c r="H31" s="64">
        <f t="shared" si="39"/>
        <v>332480</v>
      </c>
      <c r="I31" s="419">
        <f t="shared" si="2"/>
        <v>0</v>
      </c>
      <c r="J31" s="66">
        <f t="shared" si="11"/>
        <v>0</v>
      </c>
      <c r="K31" s="64">
        <f t="shared" si="40"/>
        <v>1719</v>
      </c>
      <c r="L31" s="52">
        <f t="shared" si="3"/>
        <v>0</v>
      </c>
      <c r="M31" s="64">
        <f t="shared" si="41"/>
        <v>125236</v>
      </c>
      <c r="N31" s="419">
        <f>M31-M30</f>
        <v>0</v>
      </c>
      <c r="O31" s="67">
        <f t="shared" si="5"/>
        <v>0</v>
      </c>
      <c r="P31" s="64">
        <f t="shared" si="32"/>
        <v>1549</v>
      </c>
      <c r="Q31" s="64">
        <f t="shared" si="32"/>
        <v>133617</v>
      </c>
      <c r="R31" s="418">
        <f t="shared" si="31"/>
        <v>0</v>
      </c>
      <c r="S31" s="52">
        <f t="shared" si="47"/>
        <v>0</v>
      </c>
      <c r="T31" s="68">
        <f t="shared" si="24"/>
        <v>0</v>
      </c>
      <c r="U31" s="425">
        <f t="shared" si="13"/>
        <v>0</v>
      </c>
      <c r="V31" s="62">
        <f t="shared" si="14"/>
        <v>0</v>
      </c>
      <c r="W31" s="423"/>
      <c r="X31" s="64">
        <f t="shared" si="34"/>
        <v>2320</v>
      </c>
      <c r="Y31" s="52">
        <f t="shared" si="16"/>
        <v>0</v>
      </c>
      <c r="Z31" s="64">
        <f t="shared" si="35"/>
        <v>130593</v>
      </c>
      <c r="AA31" s="65">
        <f t="shared" si="7"/>
        <v>0</v>
      </c>
      <c r="AB31" s="296">
        <f t="shared" si="48"/>
        <v>0</v>
      </c>
      <c r="AC31" s="64">
        <f t="shared" si="42"/>
        <v>1771</v>
      </c>
      <c r="AD31" s="276">
        <f t="shared" si="8"/>
        <v>0</v>
      </c>
      <c r="AE31" s="64">
        <f t="shared" si="43"/>
        <v>356012.3</v>
      </c>
      <c r="AF31" s="323">
        <f t="shared" si="17"/>
        <v>0</v>
      </c>
      <c r="AG31" s="213">
        <f t="shared" si="26"/>
        <v>0</v>
      </c>
      <c r="AH31" s="62">
        <f t="shared" si="27"/>
        <v>0</v>
      </c>
      <c r="AI31" s="335">
        <f t="shared" si="18"/>
        <v>0</v>
      </c>
      <c r="AJ31" s="335">
        <f>-tanks!AW32</f>
        <v>0</v>
      </c>
      <c r="AK31" s="335">
        <f t="shared" si="19"/>
        <v>0</v>
      </c>
      <c r="AL31" s="335">
        <f t="shared" si="36"/>
        <v>0</v>
      </c>
      <c r="AM31" s="335">
        <f t="shared" si="20"/>
        <v>0</v>
      </c>
      <c r="AN31" s="64">
        <f t="shared" si="44"/>
        <v>78</v>
      </c>
      <c r="AO31" s="337">
        <f t="shared" si="51"/>
        <v>2340</v>
      </c>
      <c r="AP31" s="64">
        <f t="shared" si="45"/>
        <v>78</v>
      </c>
      <c r="AQ31" s="337">
        <f t="shared" si="50"/>
        <v>2340</v>
      </c>
      <c r="AR31" s="64">
        <f t="shared" si="46"/>
        <v>81</v>
      </c>
      <c r="AS31" s="337">
        <f t="shared" si="28"/>
        <v>2430</v>
      </c>
      <c r="AT31" s="337">
        <f t="shared" si="49"/>
        <v>7110</v>
      </c>
      <c r="AU31" s="337">
        <f t="shared" si="30"/>
        <v>0</v>
      </c>
      <c r="AV31" s="276"/>
      <c r="AW31" s="276"/>
      <c r="AX31" s="330">
        <f t="shared" si="23"/>
        <v>0.7</v>
      </c>
    </row>
    <row r="32" spans="1:50">
      <c r="A32" s="63">
        <v>43858</v>
      </c>
      <c r="B32" s="64">
        <f t="shared" si="37"/>
        <v>219</v>
      </c>
      <c r="C32" s="64">
        <f t="shared" si="37"/>
        <v>225</v>
      </c>
      <c r="D32" s="45">
        <f t="shared" si="0"/>
        <v>0</v>
      </c>
      <c r="E32" s="45">
        <f t="shared" si="52"/>
        <v>0</v>
      </c>
      <c r="F32" s="64">
        <f t="shared" si="38"/>
        <v>1330</v>
      </c>
      <c r="G32" s="52">
        <f t="shared" si="1"/>
        <v>0</v>
      </c>
      <c r="H32" s="64">
        <f t="shared" si="39"/>
        <v>332480</v>
      </c>
      <c r="I32" s="419">
        <f t="shared" si="2"/>
        <v>0</v>
      </c>
      <c r="J32" s="66">
        <f t="shared" si="11"/>
        <v>0</v>
      </c>
      <c r="K32" s="64">
        <f t="shared" si="40"/>
        <v>1719</v>
      </c>
      <c r="L32" s="52">
        <f t="shared" si="3"/>
        <v>0</v>
      </c>
      <c r="M32" s="64">
        <f t="shared" si="41"/>
        <v>125236</v>
      </c>
      <c r="N32" s="419">
        <f>M32-M31</f>
        <v>0</v>
      </c>
      <c r="O32" s="67">
        <f t="shared" si="5"/>
        <v>0</v>
      </c>
      <c r="P32" s="64">
        <f t="shared" si="32"/>
        <v>1549</v>
      </c>
      <c r="Q32" s="64">
        <f t="shared" si="32"/>
        <v>133617</v>
      </c>
      <c r="R32" s="418">
        <f t="shared" si="31"/>
        <v>0</v>
      </c>
      <c r="S32" s="52">
        <f t="shared" si="47"/>
        <v>0</v>
      </c>
      <c r="T32" s="68">
        <f t="shared" si="24"/>
        <v>0</v>
      </c>
      <c r="U32" s="425">
        <f t="shared" si="13"/>
        <v>0</v>
      </c>
      <c r="V32" s="62">
        <f t="shared" si="14"/>
        <v>0</v>
      </c>
      <c r="W32" s="423"/>
      <c r="X32" s="64">
        <f t="shared" si="34"/>
        <v>2320</v>
      </c>
      <c r="Y32" s="52">
        <f t="shared" si="16"/>
        <v>0</v>
      </c>
      <c r="Z32" s="64">
        <f t="shared" si="35"/>
        <v>130593</v>
      </c>
      <c r="AA32" s="65">
        <f t="shared" si="7"/>
        <v>0</v>
      </c>
      <c r="AB32" s="296">
        <f t="shared" si="48"/>
        <v>0</v>
      </c>
      <c r="AC32" s="64">
        <f t="shared" si="42"/>
        <v>1771</v>
      </c>
      <c r="AD32" s="276">
        <f t="shared" si="8"/>
        <v>0</v>
      </c>
      <c r="AE32" s="64">
        <f t="shared" si="43"/>
        <v>356012.3</v>
      </c>
      <c r="AF32" s="323">
        <f t="shared" si="17"/>
        <v>0</v>
      </c>
      <c r="AG32" s="213">
        <f t="shared" si="26"/>
        <v>0</v>
      </c>
      <c r="AH32" s="62">
        <f t="shared" si="27"/>
        <v>0</v>
      </c>
      <c r="AI32" s="335">
        <f t="shared" si="18"/>
        <v>0</v>
      </c>
      <c r="AJ32" s="335">
        <f>-tanks!AW33</f>
        <v>0</v>
      </c>
      <c r="AK32" s="335">
        <f t="shared" si="19"/>
        <v>0</v>
      </c>
      <c r="AL32" s="335">
        <f t="shared" si="36"/>
        <v>0</v>
      </c>
      <c r="AM32" s="335">
        <f t="shared" si="20"/>
        <v>0</v>
      </c>
      <c r="AN32" s="64">
        <f t="shared" si="44"/>
        <v>78</v>
      </c>
      <c r="AO32" s="337">
        <f t="shared" si="51"/>
        <v>2340</v>
      </c>
      <c r="AP32" s="64">
        <f t="shared" si="45"/>
        <v>78</v>
      </c>
      <c r="AQ32" s="337">
        <f t="shared" si="50"/>
        <v>2340</v>
      </c>
      <c r="AR32" s="64">
        <f t="shared" si="46"/>
        <v>81</v>
      </c>
      <c r="AS32" s="337">
        <f t="shared" si="28"/>
        <v>2430</v>
      </c>
      <c r="AT32" s="337">
        <f t="shared" si="49"/>
        <v>7110</v>
      </c>
      <c r="AU32" s="337">
        <f t="shared" si="30"/>
        <v>0</v>
      </c>
      <c r="AV32" s="276"/>
      <c r="AW32" s="276"/>
      <c r="AX32" s="330">
        <f t="shared" si="23"/>
        <v>0.7</v>
      </c>
    </row>
    <row r="33" spans="1:50">
      <c r="A33" s="63">
        <v>43859</v>
      </c>
      <c r="B33" s="64">
        <f t="shared" si="37"/>
        <v>219</v>
      </c>
      <c r="C33" s="64">
        <f t="shared" si="37"/>
        <v>225</v>
      </c>
      <c r="D33" s="45">
        <f t="shared" si="0"/>
        <v>0</v>
      </c>
      <c r="E33" s="45">
        <f t="shared" si="52"/>
        <v>0</v>
      </c>
      <c r="F33" s="64">
        <f t="shared" si="38"/>
        <v>1330</v>
      </c>
      <c r="G33" s="52">
        <f t="shared" si="1"/>
        <v>0</v>
      </c>
      <c r="H33" s="64">
        <f t="shared" si="39"/>
        <v>332480</v>
      </c>
      <c r="I33" s="419">
        <f t="shared" si="2"/>
        <v>0</v>
      </c>
      <c r="J33" s="66">
        <f t="shared" si="11"/>
        <v>0</v>
      </c>
      <c r="K33" s="64">
        <f t="shared" si="40"/>
        <v>1719</v>
      </c>
      <c r="L33" s="52">
        <f t="shared" si="3"/>
        <v>0</v>
      </c>
      <c r="M33" s="64">
        <f t="shared" si="41"/>
        <v>125236</v>
      </c>
      <c r="N33" s="419">
        <f>M33-M32</f>
        <v>0</v>
      </c>
      <c r="O33" s="67">
        <f t="shared" si="5"/>
        <v>0</v>
      </c>
      <c r="P33" s="64">
        <f t="shared" si="32"/>
        <v>1549</v>
      </c>
      <c r="Q33" s="64">
        <f t="shared" si="32"/>
        <v>133617</v>
      </c>
      <c r="R33" s="418">
        <f t="shared" si="31"/>
        <v>0</v>
      </c>
      <c r="S33" s="52">
        <f t="shared" si="47"/>
        <v>0</v>
      </c>
      <c r="T33" s="68">
        <f t="shared" si="24"/>
        <v>0</v>
      </c>
      <c r="U33" s="425">
        <f t="shared" si="13"/>
        <v>0</v>
      </c>
      <c r="V33" s="62">
        <f t="shared" si="14"/>
        <v>0</v>
      </c>
      <c r="W33" s="423"/>
      <c r="X33" s="64">
        <f t="shared" si="34"/>
        <v>2320</v>
      </c>
      <c r="Y33" s="52">
        <f t="shared" si="16"/>
        <v>0</v>
      </c>
      <c r="Z33" s="64">
        <f t="shared" si="35"/>
        <v>130593</v>
      </c>
      <c r="AA33" s="65">
        <f t="shared" si="7"/>
        <v>0</v>
      </c>
      <c r="AB33" s="296">
        <f t="shared" si="48"/>
        <v>0</v>
      </c>
      <c r="AC33" s="64">
        <f t="shared" si="42"/>
        <v>1771</v>
      </c>
      <c r="AD33" s="45">
        <f t="shared" si="8"/>
        <v>0</v>
      </c>
      <c r="AE33" s="64">
        <f t="shared" si="43"/>
        <v>356012.3</v>
      </c>
      <c r="AF33" s="323">
        <f t="shared" si="17"/>
        <v>0</v>
      </c>
      <c r="AG33" s="213">
        <f t="shared" si="26"/>
        <v>0</v>
      </c>
      <c r="AH33" s="62">
        <f t="shared" si="27"/>
        <v>0</v>
      </c>
      <c r="AI33" s="335">
        <f t="shared" si="18"/>
        <v>0</v>
      </c>
      <c r="AJ33" s="335">
        <f>-tanks!AW34</f>
        <v>0</v>
      </c>
      <c r="AK33" s="335">
        <f t="shared" si="19"/>
        <v>0</v>
      </c>
      <c r="AL33" s="335">
        <f t="shared" si="36"/>
        <v>0</v>
      </c>
      <c r="AM33" s="335">
        <f t="shared" si="20"/>
        <v>0</v>
      </c>
      <c r="AN33" s="64">
        <f t="shared" si="44"/>
        <v>78</v>
      </c>
      <c r="AO33" s="337">
        <f t="shared" si="51"/>
        <v>2340</v>
      </c>
      <c r="AP33" s="64">
        <f t="shared" si="45"/>
        <v>78</v>
      </c>
      <c r="AQ33" s="337">
        <f t="shared" si="50"/>
        <v>2340</v>
      </c>
      <c r="AR33" s="64">
        <f t="shared" si="46"/>
        <v>81</v>
      </c>
      <c r="AS33" s="337">
        <f t="shared" si="28"/>
        <v>2430</v>
      </c>
      <c r="AT33" s="337">
        <f t="shared" si="49"/>
        <v>7110</v>
      </c>
      <c r="AU33" s="337">
        <f t="shared" si="30"/>
        <v>0</v>
      </c>
      <c r="AV33" s="276"/>
      <c r="AW33" s="276"/>
      <c r="AX33" s="330">
        <f t="shared" si="23"/>
        <v>0.7</v>
      </c>
    </row>
    <row r="34" spans="1:50">
      <c r="A34" s="63">
        <v>43860</v>
      </c>
      <c r="B34" s="64">
        <f t="shared" si="37"/>
        <v>219</v>
      </c>
      <c r="C34" s="64">
        <f t="shared" si="37"/>
        <v>225</v>
      </c>
      <c r="D34" s="45">
        <f t="shared" si="0"/>
        <v>0</v>
      </c>
      <c r="E34" s="45">
        <f t="shared" si="52"/>
        <v>0</v>
      </c>
      <c r="F34" s="64">
        <f t="shared" si="38"/>
        <v>1330</v>
      </c>
      <c r="G34" s="52">
        <f t="shared" si="1"/>
        <v>0</v>
      </c>
      <c r="H34" s="64">
        <f t="shared" si="39"/>
        <v>332480</v>
      </c>
      <c r="I34" s="419">
        <f t="shared" si="2"/>
        <v>0</v>
      </c>
      <c r="J34" s="66">
        <f t="shared" si="11"/>
        <v>0</v>
      </c>
      <c r="K34" s="64">
        <f t="shared" si="40"/>
        <v>1719</v>
      </c>
      <c r="L34" s="52">
        <f t="shared" si="3"/>
        <v>0</v>
      </c>
      <c r="M34" s="64">
        <f t="shared" si="41"/>
        <v>125236</v>
      </c>
      <c r="N34" s="419">
        <f>M34-M33</f>
        <v>0</v>
      </c>
      <c r="O34" s="67">
        <f t="shared" si="5"/>
        <v>0</v>
      </c>
      <c r="P34" s="64">
        <f t="shared" si="32"/>
        <v>1549</v>
      </c>
      <c r="Q34" s="64">
        <f t="shared" si="32"/>
        <v>133617</v>
      </c>
      <c r="R34" s="418">
        <f t="shared" si="31"/>
        <v>0</v>
      </c>
      <c r="S34" s="52">
        <f>SUM(P34-P33)</f>
        <v>0</v>
      </c>
      <c r="T34" s="68">
        <f t="shared" si="24"/>
        <v>0</v>
      </c>
      <c r="U34" s="425">
        <f t="shared" si="13"/>
        <v>0</v>
      </c>
      <c r="V34" s="62">
        <f t="shared" si="14"/>
        <v>0</v>
      </c>
      <c r="W34" s="423"/>
      <c r="X34" s="64">
        <f t="shared" si="34"/>
        <v>2320</v>
      </c>
      <c r="Y34" s="52">
        <f t="shared" si="16"/>
        <v>0</v>
      </c>
      <c r="Z34" s="64">
        <f t="shared" si="35"/>
        <v>130593</v>
      </c>
      <c r="AA34" s="65">
        <f t="shared" si="7"/>
        <v>0</v>
      </c>
      <c r="AB34" s="296">
        <f t="shared" si="48"/>
        <v>0</v>
      </c>
      <c r="AC34" s="64">
        <f t="shared" si="42"/>
        <v>1771</v>
      </c>
      <c r="AD34" s="45">
        <f t="shared" si="8"/>
        <v>0</v>
      </c>
      <c r="AE34" s="64">
        <f t="shared" si="43"/>
        <v>356012.3</v>
      </c>
      <c r="AF34" s="323">
        <f t="shared" si="17"/>
        <v>0</v>
      </c>
      <c r="AG34" s="213">
        <f t="shared" si="26"/>
        <v>0</v>
      </c>
      <c r="AH34" s="62">
        <f t="shared" si="27"/>
        <v>0</v>
      </c>
      <c r="AI34" s="335">
        <f t="shared" si="18"/>
        <v>0</v>
      </c>
      <c r="AJ34" s="335">
        <f>-tanks!AW35</f>
        <v>0</v>
      </c>
      <c r="AK34" s="335">
        <f t="shared" si="19"/>
        <v>0</v>
      </c>
      <c r="AL34" s="335">
        <f t="shared" si="36"/>
        <v>0</v>
      </c>
      <c r="AM34" s="335">
        <f>Y34+AD34</f>
        <v>0</v>
      </c>
      <c r="AN34" s="64">
        <f t="shared" si="44"/>
        <v>78</v>
      </c>
      <c r="AO34" s="337">
        <f t="shared" si="51"/>
        <v>2340</v>
      </c>
      <c r="AP34" s="64">
        <f t="shared" si="45"/>
        <v>78</v>
      </c>
      <c r="AQ34" s="337">
        <f t="shared" si="50"/>
        <v>2340</v>
      </c>
      <c r="AR34" s="64">
        <f t="shared" si="46"/>
        <v>81</v>
      </c>
      <c r="AS34" s="337">
        <f t="shared" si="28"/>
        <v>2430</v>
      </c>
      <c r="AT34" s="337">
        <f t="shared" si="49"/>
        <v>7110</v>
      </c>
      <c r="AU34" s="337">
        <f t="shared" si="30"/>
        <v>0</v>
      </c>
      <c r="AV34" s="276"/>
      <c r="AW34" s="276"/>
      <c r="AX34" s="330">
        <f t="shared" si="23"/>
        <v>0.7</v>
      </c>
    </row>
    <row r="35" spans="1:50">
      <c r="A35" s="63">
        <v>43861</v>
      </c>
      <c r="B35" s="64">
        <f t="shared" si="37"/>
        <v>219</v>
      </c>
      <c r="C35" s="64">
        <f t="shared" si="37"/>
        <v>225</v>
      </c>
      <c r="D35" s="45">
        <f>C34-C35</f>
        <v>0</v>
      </c>
      <c r="E35" s="45">
        <f>D35*8.38</f>
        <v>0</v>
      </c>
      <c r="F35" s="64">
        <f t="shared" si="38"/>
        <v>1330</v>
      </c>
      <c r="G35" s="52">
        <f>F35-F34</f>
        <v>0</v>
      </c>
      <c r="H35" s="64">
        <f t="shared" si="39"/>
        <v>332480</v>
      </c>
      <c r="I35" s="419">
        <f>SUM(H35-H34)</f>
        <v>0</v>
      </c>
      <c r="J35" s="66">
        <f>IF(G35&gt;0,I35/G35,0)</f>
        <v>0</v>
      </c>
      <c r="K35" s="64">
        <f t="shared" si="40"/>
        <v>1719</v>
      </c>
      <c r="L35" s="52">
        <f>K35-K34</f>
        <v>0</v>
      </c>
      <c r="M35" s="64">
        <f t="shared" si="41"/>
        <v>125236</v>
      </c>
      <c r="N35" s="419">
        <f>M35-M34</f>
        <v>0</v>
      </c>
      <c r="O35" s="67">
        <f>SUM(L35*$J$1)</f>
        <v>0</v>
      </c>
      <c r="P35" s="64">
        <f t="shared" si="32"/>
        <v>1549</v>
      </c>
      <c r="Q35" s="64">
        <f t="shared" si="32"/>
        <v>133617</v>
      </c>
      <c r="R35" s="418">
        <f>Q35-Q34</f>
        <v>0</v>
      </c>
      <c r="S35" s="52">
        <f>SUM(P35-P34)</f>
        <v>0</v>
      </c>
      <c r="T35" s="68">
        <f>SUM(S35*$T$2)</f>
        <v>0</v>
      </c>
      <c r="U35" s="425">
        <f t="shared" si="13"/>
        <v>0</v>
      </c>
      <c r="V35" s="62">
        <f>R35+N35+I35:I35</f>
        <v>0</v>
      </c>
      <c r="W35" s="423"/>
      <c r="X35" s="64">
        <f t="shared" si="34"/>
        <v>2320</v>
      </c>
      <c r="Y35" s="52">
        <f>X35-X34</f>
        <v>0</v>
      </c>
      <c r="Z35" s="64">
        <f t="shared" si="35"/>
        <v>130593</v>
      </c>
      <c r="AA35" s="65">
        <f>Z35-Z34</f>
        <v>0</v>
      </c>
      <c r="AB35" s="296">
        <f>SUM(Y35*$AB$2)</f>
        <v>0</v>
      </c>
      <c r="AC35" s="64">
        <f t="shared" si="42"/>
        <v>1771</v>
      </c>
      <c r="AD35" s="45">
        <f>AC35-AC34</f>
        <v>0</v>
      </c>
      <c r="AE35" s="64">
        <f t="shared" si="43"/>
        <v>356012.3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5">
        <f>SUM(AH35+V35)</f>
        <v>0</v>
      </c>
      <c r="AJ35" s="335">
        <f>-tanks!AW36</f>
        <v>0</v>
      </c>
      <c r="AK35" s="335">
        <f>SUM(AJ35-AI35)</f>
        <v>0</v>
      </c>
      <c r="AL35" s="335">
        <f>S35+L35+G35</f>
        <v>0</v>
      </c>
      <c r="AM35" s="335">
        <f>Y35+AD35</f>
        <v>0</v>
      </c>
      <c r="AN35" s="64">
        <f t="shared" si="44"/>
        <v>78</v>
      </c>
      <c r="AO35" s="337">
        <f>(AN35/100)*3000</f>
        <v>2340</v>
      </c>
      <c r="AP35" s="64">
        <f t="shared" si="45"/>
        <v>78</v>
      </c>
      <c r="AQ35" s="337">
        <f>(AP35/100)*3000</f>
        <v>2340</v>
      </c>
      <c r="AR35" s="64">
        <f t="shared" si="46"/>
        <v>81</v>
      </c>
      <c r="AS35" s="337">
        <f>(AR35/100)*3000</f>
        <v>2430</v>
      </c>
      <c r="AT35" s="337">
        <f>SUM(AO35+AQ35+AS35)</f>
        <v>7110</v>
      </c>
      <c r="AU35" s="337">
        <f>AT34-AT35+AV35</f>
        <v>0</v>
      </c>
      <c r="AV35" s="276"/>
      <c r="AW35" s="276"/>
      <c r="AX35" s="330">
        <f>IF(AV35&gt;0,AW35,AX34)</f>
        <v>0.7</v>
      </c>
    </row>
    <row r="36" spans="1:50">
      <c r="J36" s="295">
        <f>SUM(J5:J34)/(COUNT(J5:J34)-COUNTIF(J5:J34,0))</f>
        <v>68.868750000000006</v>
      </c>
      <c r="AE36" s="72" t="s">
        <v>386</v>
      </c>
      <c r="AG36" s="365"/>
      <c r="AH36" s="62"/>
      <c r="AP36" s="330"/>
      <c r="AQ36" s="330"/>
      <c r="AR36" s="330" t="s">
        <v>225</v>
      </c>
      <c r="AS36" s="330">
        <f>COUNT(AW5:AW35)</f>
        <v>3</v>
      </c>
      <c r="AT36" s="330"/>
      <c r="AU36" s="330">
        <f>SUM(AU5:AU35)</f>
        <v>3840</v>
      </c>
      <c r="AV36" s="72">
        <f>SUM(AV5:AV35)</f>
        <v>4950</v>
      </c>
      <c r="AW36" s="330">
        <f>SUM(AW5:AW35)/AS36</f>
        <v>0.69999999999999984</v>
      </c>
    </row>
    <row r="37" spans="1:50">
      <c r="AH37" s="62">
        <f>AF37+AA37</f>
        <v>0</v>
      </c>
      <c r="AI37" s="338">
        <f>SUM(AI5:AI35)</f>
        <v>15865.299999999988</v>
      </c>
      <c r="AP37" s="330"/>
      <c r="AQ37" s="330"/>
      <c r="AR37" s="330"/>
      <c r="AS37" s="330"/>
      <c r="AT37" s="330"/>
      <c r="AU37" s="330"/>
      <c r="AV37" s="330"/>
      <c r="AW37" s="330"/>
    </row>
    <row r="38" spans="1:50">
      <c r="AH38" s="62">
        <f>AF38+AA38</f>
        <v>0</v>
      </c>
      <c r="AP38" s="330"/>
      <c r="AQ38" s="330"/>
      <c r="AR38" s="330"/>
      <c r="AS38" s="330"/>
      <c r="AT38" s="330"/>
      <c r="AU38" s="330">
        <f>AU36*0.51</f>
        <v>1958.4</v>
      </c>
      <c r="AV38" s="330">
        <f>AV36/0.51</f>
        <v>9705.8823529411766</v>
      </c>
      <c r="AW38" s="330">
        <f>SUM(AW5:AW35)/AS36</f>
        <v>0.69999999999999984</v>
      </c>
    </row>
    <row r="39" spans="1:50">
      <c r="AP39" s="330"/>
      <c r="AQ39" s="330"/>
      <c r="AR39" s="330"/>
      <c r="AS39" s="330"/>
      <c r="AT39" s="330"/>
      <c r="AU39" s="330"/>
      <c r="AV39" s="330">
        <f>AV36*0.51</f>
        <v>2524.5</v>
      </c>
      <c r="AW39" s="330"/>
    </row>
    <row r="40" spans="1:50">
      <c r="AP40" s="330"/>
      <c r="AQ40" s="330"/>
      <c r="AR40" s="330"/>
      <c r="AS40" s="330"/>
      <c r="AT40" s="330"/>
      <c r="AU40" s="330"/>
      <c r="AV40" s="330"/>
      <c r="AW40" s="330"/>
    </row>
    <row r="41" spans="1:50">
      <c r="P41" s="70"/>
      <c r="Q41" s="70"/>
      <c r="R41" s="70"/>
      <c r="AP41" s="330"/>
      <c r="AQ41" s="330"/>
      <c r="AR41" s="330"/>
      <c r="AS41" s="330"/>
      <c r="AT41" s="330"/>
      <c r="AU41" s="330"/>
      <c r="AV41" s="330"/>
      <c r="AW41" s="330"/>
    </row>
    <row r="43" spans="1:50">
      <c r="AG43" s="378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abSelected="1" topLeftCell="N1" zoomScaleNormal="100" workbookViewId="0">
      <pane ySplit="3" topLeftCell="A4" activePane="bottomLeft" state="frozen"/>
      <selection pane="bottomLeft" activeCell="W22" sqref="A22:IV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9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9" customWidth="1"/>
    <col min="11" max="11" width="13.5703125" style="1" customWidth="1"/>
    <col min="12" max="12" width="13.28515625" style="1" customWidth="1"/>
    <col min="13" max="13" width="10.7109375" style="538" customWidth="1"/>
    <col min="14" max="14" width="10.7109375" style="540" customWidth="1"/>
    <col min="15" max="15" width="11.140625" style="538" customWidth="1"/>
    <col min="16" max="16" width="11.140625" style="540" customWidth="1"/>
    <col min="17" max="17" width="17.28515625" style="538" customWidth="1"/>
    <col min="18" max="18" width="10.85546875" style="538" customWidth="1"/>
    <col min="19" max="19" width="10.7109375" style="538" customWidth="1"/>
    <col min="20" max="20" width="13.28515625" style="429" customWidth="1"/>
    <col min="21" max="21" width="8.7109375" style="433" customWidth="1"/>
    <col min="22" max="22" width="13.28515625" style="339" customWidth="1"/>
    <col min="23" max="23" width="9.7109375" style="339" bestFit="1" customWidth="1"/>
    <col min="24" max="27" width="9.7109375" style="339" customWidth="1"/>
    <col min="28" max="28" width="14.42578125" style="339" customWidth="1"/>
    <col min="29" max="32" width="9.7109375" style="339" customWidth="1"/>
    <col min="33" max="33" width="11.28515625" style="339" customWidth="1"/>
    <col min="34" max="36" width="9.7109375" style="339" customWidth="1"/>
    <col min="37" max="37" width="7.42578125" style="339" customWidth="1"/>
    <col min="38" max="39" width="8.7109375" style="33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80" customFormat="1" ht="15.75" thickBot="1">
      <c r="B1" s="381"/>
      <c r="C1" s="381"/>
      <c r="D1" s="440">
        <f>SUM(G21:G35)</f>
        <v>8809245</v>
      </c>
      <c r="E1" s="382"/>
      <c r="F1" s="382"/>
      <c r="G1" s="381"/>
      <c r="H1" s="381"/>
      <c r="I1" s="381"/>
      <c r="J1" s="382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1"/>
      <c r="AR1" s="384" t="s">
        <v>92</v>
      </c>
      <c r="AS1" s="385"/>
      <c r="AT1" s="385" t="s">
        <v>60</v>
      </c>
      <c r="AU1" s="385"/>
      <c r="AV1" s="386" t="s">
        <v>61</v>
      </c>
    </row>
    <row r="2" spans="1:65" s="380" customFormat="1" ht="15.75" customHeight="1" thickBot="1">
      <c r="B2" s="381"/>
      <c r="C2" s="381"/>
      <c r="D2" s="381"/>
      <c r="E2" s="382"/>
      <c r="F2" s="382"/>
      <c r="G2" s="381"/>
      <c r="H2" s="381"/>
      <c r="I2" s="381"/>
      <c r="J2" s="382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3"/>
      <c r="W2" s="383"/>
      <c r="X2" s="383"/>
      <c r="Y2" s="383"/>
      <c r="Z2" s="383"/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1"/>
      <c r="AR2" s="590" t="s">
        <v>95</v>
      </c>
      <c r="AS2" s="591"/>
      <c r="AT2" s="591"/>
      <c r="AU2" s="591"/>
      <c r="AV2" s="592"/>
      <c r="AW2" s="590" t="s">
        <v>96</v>
      </c>
      <c r="AX2" s="591"/>
      <c r="AY2" s="592"/>
      <c r="AZ2" s="590" t="s">
        <v>98</v>
      </c>
      <c r="BA2" s="591"/>
      <c r="BB2" s="592"/>
      <c r="BC2" s="387"/>
      <c r="BE2" s="388"/>
    </row>
    <row r="3" spans="1:65" s="380" customFormat="1" ht="48" customHeight="1" thickBot="1">
      <c r="A3" s="389" t="s">
        <v>51</v>
      </c>
      <c r="B3" s="390" t="s">
        <v>52</v>
      </c>
      <c r="C3" s="390" t="s">
        <v>53</v>
      </c>
      <c r="D3" s="390" t="s">
        <v>54</v>
      </c>
      <c r="E3" s="391"/>
      <c r="F3" s="392" t="s">
        <v>80</v>
      </c>
      <c r="G3" s="390" t="s">
        <v>55</v>
      </c>
      <c r="H3" s="390" t="s">
        <v>56</v>
      </c>
      <c r="I3" s="390" t="s">
        <v>100</v>
      </c>
      <c r="J3" s="391"/>
      <c r="K3" s="390" t="s">
        <v>395</v>
      </c>
      <c r="L3" s="393" t="s">
        <v>330</v>
      </c>
      <c r="M3" s="562" t="s">
        <v>402</v>
      </c>
      <c r="N3" s="563"/>
      <c r="O3" s="564" t="s">
        <v>403</v>
      </c>
      <c r="P3" s="564"/>
      <c r="Q3" s="564" t="s">
        <v>399</v>
      </c>
      <c r="R3" s="564" t="s">
        <v>401</v>
      </c>
      <c r="S3" s="564" t="s">
        <v>400</v>
      </c>
      <c r="T3" s="390" t="s">
        <v>383</v>
      </c>
      <c r="U3" s="390" t="s">
        <v>385</v>
      </c>
      <c r="V3" s="394" t="s">
        <v>334</v>
      </c>
      <c r="W3" s="395" t="s">
        <v>335</v>
      </c>
      <c r="X3" s="394" t="s">
        <v>338</v>
      </c>
      <c r="Y3" s="395" t="s">
        <v>339</v>
      </c>
      <c r="Z3" s="396" t="s">
        <v>340</v>
      </c>
      <c r="AA3" s="397" t="s">
        <v>398</v>
      </c>
      <c r="AB3" s="476" t="s">
        <v>397</v>
      </c>
      <c r="AC3" s="474" t="s">
        <v>396</v>
      </c>
      <c r="AD3" s="474"/>
      <c r="AE3" s="398" t="s">
        <v>407</v>
      </c>
      <c r="AF3" s="398" t="s">
        <v>408</v>
      </c>
      <c r="AG3" s="398" t="s">
        <v>409</v>
      </c>
      <c r="AH3" s="398" t="s">
        <v>410</v>
      </c>
      <c r="AI3" s="397" t="s">
        <v>411</v>
      </c>
      <c r="AJ3" s="397" t="s">
        <v>341</v>
      </c>
      <c r="AK3" s="398" t="s">
        <v>343</v>
      </c>
      <c r="AL3" s="398" t="s">
        <v>342</v>
      </c>
      <c r="AM3" s="399" t="s">
        <v>125</v>
      </c>
      <c r="AN3" s="587" t="s">
        <v>126</v>
      </c>
      <c r="AO3" s="588"/>
      <c r="AP3" s="589"/>
      <c r="AR3" s="400" t="s">
        <v>51</v>
      </c>
      <c r="AS3" s="401"/>
      <c r="AT3" s="400" t="s">
        <v>94</v>
      </c>
      <c r="AU3" s="401"/>
      <c r="AV3" s="402" t="s">
        <v>57</v>
      </c>
      <c r="AW3" s="403"/>
      <c r="AX3" s="401" t="s">
        <v>59</v>
      </c>
      <c r="AY3" s="404" t="s">
        <v>93</v>
      </c>
      <c r="AZ3" s="402" t="s">
        <v>57</v>
      </c>
      <c r="BA3" s="405" t="s">
        <v>59</v>
      </c>
      <c r="BB3" s="406" t="s">
        <v>57</v>
      </c>
      <c r="BC3" s="406" t="s">
        <v>58</v>
      </c>
      <c r="BD3" s="407" t="s">
        <v>59</v>
      </c>
      <c r="BE3" s="408" t="s">
        <v>99</v>
      </c>
      <c r="BF3" s="407" t="s">
        <v>97</v>
      </c>
      <c r="BG3" s="409"/>
      <c r="BI3" s="410"/>
      <c r="BJ3" s="410"/>
      <c r="BK3" s="410"/>
      <c r="BL3" s="410"/>
      <c r="BM3" s="410"/>
    </row>
    <row r="4" spans="1:65" ht="16.5" thickBot="1">
      <c r="A4" s="88"/>
      <c r="B4" s="5"/>
      <c r="C4" s="5"/>
      <c r="D4" s="273"/>
      <c r="E4" s="350">
        <v>1.66</v>
      </c>
      <c r="F4" s="350"/>
      <c r="G4" s="5"/>
      <c r="H4" s="5"/>
      <c r="I4" s="5"/>
      <c r="J4" s="351"/>
      <c r="K4" s="5"/>
      <c r="L4" s="84"/>
      <c r="M4" s="565"/>
      <c r="N4" s="565"/>
      <c r="O4" s="565"/>
      <c r="P4" s="565"/>
      <c r="Q4" s="565"/>
      <c r="R4" s="565"/>
      <c r="S4" s="565"/>
      <c r="T4" s="84"/>
      <c r="U4" s="84"/>
      <c r="V4" s="340"/>
      <c r="W4" s="341"/>
      <c r="X4" s="340"/>
      <c r="Y4" s="341"/>
      <c r="Z4" s="342"/>
      <c r="AA4" s="475"/>
      <c r="AB4" s="477"/>
      <c r="AC4" s="475"/>
      <c r="AD4" s="475"/>
      <c r="AE4" s="475"/>
      <c r="AF4" s="475"/>
      <c r="AG4" s="475"/>
      <c r="AH4" s="475"/>
      <c r="AI4" s="475"/>
      <c r="AJ4" s="343"/>
      <c r="AK4" s="344"/>
      <c r="AL4" s="344"/>
      <c r="AM4" s="345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4">
        <f>[1]WATER!B36</f>
        <v>108202</v>
      </c>
      <c r="C5" s="434">
        <f>[1]WATER!C36</f>
        <v>132</v>
      </c>
      <c r="D5" s="434">
        <f>[1]WATER!D36</f>
        <v>4.8888888888888893</v>
      </c>
      <c r="E5" s="434">
        <f>[1]WATER!E36</f>
        <v>461.05548387096769</v>
      </c>
      <c r="F5" s="434">
        <f>[1]WATER!F36</f>
        <v>0</v>
      </c>
      <c r="G5" s="434">
        <f>[1]WATER!G36</f>
        <v>584867</v>
      </c>
      <c r="H5" s="434">
        <f>[1]WATER!H36</f>
        <v>213</v>
      </c>
      <c r="I5" s="434">
        <f>[1]WATER!I36</f>
        <v>345</v>
      </c>
      <c r="J5" s="434">
        <f>[1]WATER!J36</f>
        <v>1.3363927068723702</v>
      </c>
      <c r="K5" s="434">
        <f>[1]WATER!K36</f>
        <v>5773</v>
      </c>
      <c r="L5" s="434">
        <f>[1]WATER!L36</f>
        <v>0</v>
      </c>
      <c r="M5" s="434">
        <f>[1]WATER!M36</f>
        <v>457.44</v>
      </c>
      <c r="N5" s="434">
        <f>[1]WATER!N36</f>
        <v>0</v>
      </c>
      <c r="O5" s="434">
        <f>[1]WATER!O36</f>
        <v>529.52</v>
      </c>
      <c r="P5" s="434">
        <f>[1]WATER!P36</f>
        <v>0</v>
      </c>
      <c r="Q5" s="434">
        <f>[1]WATER!Q36</f>
        <v>0</v>
      </c>
      <c r="R5" s="434">
        <f>[1]WATER!R36</f>
        <v>0</v>
      </c>
      <c r="S5" s="434">
        <f>[1]WATER!S36</f>
        <v>0</v>
      </c>
      <c r="T5" s="434">
        <f>[1]WATER!T36</f>
        <v>4363</v>
      </c>
      <c r="U5" s="434">
        <f>[1]WATER!U36</f>
        <v>9</v>
      </c>
      <c r="V5" s="434">
        <f>[1]WATER!V36</f>
        <v>332</v>
      </c>
      <c r="W5" s="434">
        <f>[1]WATER!W36</f>
        <v>6</v>
      </c>
      <c r="X5" s="434">
        <f>[1]WATER!X36</f>
        <v>138671</v>
      </c>
      <c r="Y5" s="434">
        <f>[1]WATER!Y36</f>
        <v>114</v>
      </c>
      <c r="Z5" s="434">
        <f>[1]WATER!Z36</f>
        <v>90621</v>
      </c>
      <c r="AA5" s="434">
        <f>[1]WATER!AA36</f>
        <v>94</v>
      </c>
      <c r="AB5" s="434">
        <f>[1]WATER!AB36</f>
        <v>249</v>
      </c>
      <c r="AC5" s="434">
        <f>[1]WATER!AC36</f>
        <v>670</v>
      </c>
      <c r="AD5" s="434">
        <f>[1]WATER!AD36</f>
        <v>0</v>
      </c>
      <c r="AE5" s="434">
        <f>[1]WATER!AE36</f>
        <v>60.22</v>
      </c>
      <c r="AF5" s="434">
        <f>[1]WATER!AF36</f>
        <v>2.009999999999998</v>
      </c>
      <c r="AG5" s="434">
        <f>[1]WATER!AG36</f>
        <v>961.36</v>
      </c>
      <c r="AH5" s="434">
        <f>[1]WATER!AH36</f>
        <v>19.759999999999991</v>
      </c>
      <c r="AI5" s="434">
        <f>[1]WATER!AI36</f>
        <v>21.769999999999989</v>
      </c>
      <c r="AJ5" s="434">
        <f>[1]WATER!AJ36</f>
        <v>94</v>
      </c>
      <c r="AK5" s="434">
        <f>[1]WATER!AK36</f>
        <v>114</v>
      </c>
      <c r="AL5" s="434">
        <f>[1]WATER!AL36</f>
        <v>88</v>
      </c>
      <c r="AM5" s="434">
        <f>[1]WATER!AM36</f>
        <v>13.5</v>
      </c>
      <c r="AN5" s="434">
        <f>[1]WATER!AN36</f>
        <v>0</v>
      </c>
      <c r="AO5" s="434">
        <f>[1]WATER!AO36</f>
        <v>0</v>
      </c>
      <c r="AP5" s="434">
        <f>[1]WATER!AP36</f>
        <v>439</v>
      </c>
      <c r="AQ5" s="434">
        <f>[1]WATER!AQ36</f>
        <v>0</v>
      </c>
      <c r="AR5" s="434">
        <f>[1]WATER!AR36</f>
        <v>43830</v>
      </c>
      <c r="AS5" s="434">
        <f>[1]WATER!AS36</f>
        <v>0.9</v>
      </c>
      <c r="AT5" s="434">
        <f>[1]WATER!AT36</f>
        <v>102</v>
      </c>
      <c r="AU5" s="434">
        <f>[1]WATER!AU36</f>
        <v>1.1000000000000001</v>
      </c>
      <c r="AV5" s="434">
        <f>[1]WATER!AV36</f>
        <v>71</v>
      </c>
      <c r="AW5" s="434">
        <f>[1]WATER!AW36</f>
        <v>2.9</v>
      </c>
      <c r="AX5" s="434">
        <f>[1]WATER!AX36</f>
        <v>76</v>
      </c>
      <c r="AY5" s="434">
        <f>[1]WATER!AY36</f>
        <v>91.8</v>
      </c>
      <c r="AZ5" s="434">
        <f>[1]WATER!AZ36</f>
        <v>78.100000000000009</v>
      </c>
      <c r="BA5" s="434">
        <f>[1]WATER!BA36</f>
        <v>220.4</v>
      </c>
      <c r="BB5" s="434">
        <f>[1]WATER!BB36</f>
        <v>37.799999999999997</v>
      </c>
      <c r="BC5" s="434">
        <f>[1]WATER!BC36</f>
        <v>5.5</v>
      </c>
      <c r="BD5" s="434">
        <f>[1]WATER!BD36</f>
        <v>84.100000000000023</v>
      </c>
      <c r="BE5" s="434">
        <f>[1]WATER!BE36</f>
        <v>127.40000000000002</v>
      </c>
      <c r="BF5" s="434">
        <f>[1]WATER!BF36</f>
        <v>217.59999999999997</v>
      </c>
      <c r="BG5" s="434">
        <f>[1]WATER!BG36</f>
        <v>127.40000000000003</v>
      </c>
    </row>
    <row r="6" spans="1:65" ht="15.75" thickBot="1">
      <c r="A6" s="6">
        <f>ELEC!C3</f>
        <v>43831</v>
      </c>
      <c r="B6" s="5">
        <v>108202</v>
      </c>
      <c r="C6" s="5">
        <f>B6-B5</f>
        <v>0</v>
      </c>
      <c r="D6" s="443">
        <f>C6/27</f>
        <v>0</v>
      </c>
      <c r="E6" s="350">
        <f>SUM((C6*$E$4)+(7500/'EDl log'!$A$38))</f>
        <v>241.93548387096774</v>
      </c>
      <c r="F6" s="442"/>
      <c r="G6" s="5">
        <v>584886</v>
      </c>
      <c r="H6" s="5">
        <f>G6-G5</f>
        <v>19</v>
      </c>
      <c r="I6" s="5">
        <f t="shared" ref="I6:I35" si="0">C6+H6</f>
        <v>19</v>
      </c>
      <c r="J6" s="351">
        <f t="shared" ref="J6:J35" si="1">IF(I6&gt;0,E6/I6,0)</f>
        <v>12.733446519524618</v>
      </c>
      <c r="K6" s="5">
        <f>'Swimming Pool quality check '!H6</f>
        <v>5783</v>
      </c>
      <c r="L6" s="84">
        <v>0</v>
      </c>
      <c r="M6" s="434">
        <f>M5</f>
        <v>457.44</v>
      </c>
      <c r="N6" s="565">
        <f t="shared" ref="N6:N13" si="2">SUM(M6-M5)</f>
        <v>0</v>
      </c>
      <c r="O6" s="434">
        <f>O5</f>
        <v>529.52</v>
      </c>
      <c r="P6" s="565">
        <f t="shared" ref="P6:P13" si="3">SUM(O6-O5)</f>
        <v>0</v>
      </c>
      <c r="Q6" s="566">
        <f>P6+N6</f>
        <v>0</v>
      </c>
      <c r="R6" s="565"/>
      <c r="S6" s="565"/>
      <c r="T6" s="5">
        <v>4371</v>
      </c>
      <c r="U6" s="5">
        <f t="shared" ref="U6:U35" si="4">SUM(T6-T5)</f>
        <v>8</v>
      </c>
      <c r="V6" s="5">
        <v>336</v>
      </c>
      <c r="W6" s="341">
        <f>+V6-V5</f>
        <v>4</v>
      </c>
      <c r="X6" s="5">
        <v>138719</v>
      </c>
      <c r="Y6" s="341">
        <f>SUM(X6-X5)</f>
        <v>48</v>
      </c>
      <c r="Z6" s="5">
        <v>90702</v>
      </c>
      <c r="AA6" s="84">
        <f>Z6-Z5</f>
        <v>81</v>
      </c>
      <c r="AB6" s="5">
        <v>249</v>
      </c>
      <c r="AC6" s="5">
        <f t="shared" ref="AC6:AC36" si="5">AC5</f>
        <v>670</v>
      </c>
      <c r="AD6" s="84">
        <v>0</v>
      </c>
      <c r="AE6" s="5">
        <v>61.38</v>
      </c>
      <c r="AF6" s="84">
        <f>AE6-AE5</f>
        <v>1.1600000000000037</v>
      </c>
      <c r="AG6" s="5">
        <v>970.45</v>
      </c>
      <c r="AH6" s="84">
        <f>AG6-AG5</f>
        <v>9.0900000000000318</v>
      </c>
      <c r="AI6" s="84">
        <f>AF6+AH6</f>
        <v>10.250000000000036</v>
      </c>
      <c r="AJ6" s="343">
        <f>+Z6-Z5</f>
        <v>81</v>
      </c>
      <c r="AK6" s="344">
        <f t="shared" ref="AK6:AK38" si="6">SUM(Y6-L6)</f>
        <v>48</v>
      </c>
      <c r="AL6" s="344">
        <f>SUM(AJ6-W6)</f>
        <v>77</v>
      </c>
      <c r="AM6" s="344">
        <f>'General information '!D6</f>
        <v>13.5</v>
      </c>
      <c r="AN6" s="85">
        <f>'General information '!H6</f>
        <v>0</v>
      </c>
      <c r="AO6" s="85"/>
      <c r="AP6" s="85">
        <f>'General information '!J6</f>
        <v>549</v>
      </c>
      <c r="AQ6" s="82"/>
      <c r="AR6" s="287">
        <f>A6</f>
        <v>43831</v>
      </c>
      <c r="AS6" s="449">
        <f t="shared" ref="AS6:AS21" si="7">AS5</f>
        <v>0.9</v>
      </c>
      <c r="AT6" s="205">
        <v>0</v>
      </c>
      <c r="AU6" s="450">
        <f>AU5</f>
        <v>1.1000000000000001</v>
      </c>
      <c r="AV6" s="205">
        <v>80</v>
      </c>
      <c r="AW6" s="5">
        <v>2.9</v>
      </c>
      <c r="AX6" s="205">
        <v>72</v>
      </c>
      <c r="AY6" s="453">
        <f t="shared" ref="AY6:AY35" si="8">AS6*AT6</f>
        <v>0</v>
      </c>
      <c r="AZ6" s="453">
        <f>AU6*AV6</f>
        <v>88</v>
      </c>
      <c r="BA6" s="453">
        <f>AW6*AX6</f>
        <v>208.79999999999998</v>
      </c>
      <c r="BB6" s="21">
        <f>AY6-AY5</f>
        <v>-91.8</v>
      </c>
      <c r="BC6" s="21">
        <f>AZ6-AZ5</f>
        <v>9.8999999999999915</v>
      </c>
      <c r="BD6" s="21">
        <f>BA6-BA5</f>
        <v>-11.600000000000023</v>
      </c>
      <c r="BE6" s="24">
        <f>SUM(BB6:BD6)</f>
        <v>-93.500000000000028</v>
      </c>
      <c r="BF6" s="97">
        <f t="shared" ref="BF6:BF35" si="9">SUM(I6-BE6)</f>
        <v>112.50000000000003</v>
      </c>
      <c r="BG6" s="83">
        <f t="shared" ref="BG6:BG35" si="10">SUM(I6-BF6)</f>
        <v>-93.500000000000028</v>
      </c>
      <c r="BI6" s="17"/>
      <c r="BJ6" s="17"/>
      <c r="BK6" s="17"/>
      <c r="BL6" s="17"/>
      <c r="BM6" s="17"/>
    </row>
    <row r="7" spans="1:65" ht="15.75" thickBot="1">
      <c r="A7" s="6">
        <f>ELEC!C4</f>
        <v>43832</v>
      </c>
      <c r="B7" s="5">
        <v>108282</v>
      </c>
      <c r="C7" s="5">
        <f t="shared" ref="C7:C35" si="11">B7-B6</f>
        <v>80</v>
      </c>
      <c r="D7" s="443">
        <f t="shared" ref="D7:D36" si="12">C7/27</f>
        <v>2.9629629629629628</v>
      </c>
      <c r="E7" s="350">
        <f>SUM((C7*$E$4)+(7500/'EDl log'!$A$38))</f>
        <v>374.73548387096776</v>
      </c>
      <c r="F7" s="442">
        <v>3</v>
      </c>
      <c r="G7" s="5">
        <v>585122</v>
      </c>
      <c r="H7" s="5">
        <f t="shared" ref="H7:H35" si="13">G7-G6</f>
        <v>236</v>
      </c>
      <c r="I7" s="5">
        <f t="shared" si="0"/>
        <v>316</v>
      </c>
      <c r="J7" s="351">
        <f t="shared" si="1"/>
        <v>1.1858717844017967</v>
      </c>
      <c r="K7" s="5">
        <f>'Swimming Pool quality check '!H7</f>
        <v>5790</v>
      </c>
      <c r="L7" s="84">
        <f>K7-K6</f>
        <v>7</v>
      </c>
      <c r="M7" s="434">
        <f t="shared" ref="M7:O36" si="14">M6</f>
        <v>457.44</v>
      </c>
      <c r="N7" s="565">
        <f t="shared" si="2"/>
        <v>0</v>
      </c>
      <c r="O7" s="434">
        <f t="shared" si="14"/>
        <v>529.52</v>
      </c>
      <c r="P7" s="565">
        <f t="shared" si="3"/>
        <v>0</v>
      </c>
      <c r="Q7" s="566">
        <f>P7+N7</f>
        <v>0</v>
      </c>
      <c r="R7" s="565"/>
      <c r="S7" s="565"/>
      <c r="T7" s="5">
        <v>4376</v>
      </c>
      <c r="U7" s="5">
        <f t="shared" si="4"/>
        <v>5</v>
      </c>
      <c r="V7" s="5">
        <v>338</v>
      </c>
      <c r="W7" s="341">
        <f t="shared" ref="W7:W36" si="15">+V7-V6</f>
        <v>2</v>
      </c>
      <c r="X7" s="5">
        <v>138807</v>
      </c>
      <c r="Y7" s="341">
        <f t="shared" ref="Y7:Y35" si="16">SUM(X7-X6)</f>
        <v>88</v>
      </c>
      <c r="Z7" s="5">
        <v>90761</v>
      </c>
      <c r="AA7" s="84">
        <f t="shared" ref="AA7:AA35" si="17">Z7-Z6</f>
        <v>59</v>
      </c>
      <c r="AB7" s="5">
        <f>AB6</f>
        <v>249</v>
      </c>
      <c r="AC7" s="5">
        <f t="shared" si="5"/>
        <v>670</v>
      </c>
      <c r="AD7" s="84">
        <f>AC7-AC6</f>
        <v>0</v>
      </c>
      <c r="AE7" s="5">
        <v>63.34</v>
      </c>
      <c r="AF7" s="84">
        <f t="shared" ref="AF7:AF35" si="18">AE7-AE6</f>
        <v>1.9600000000000009</v>
      </c>
      <c r="AG7" s="5">
        <v>991.8</v>
      </c>
      <c r="AH7" s="84">
        <f t="shared" ref="AH7:AH36" si="19">AG7-AG6</f>
        <v>21.349999999999909</v>
      </c>
      <c r="AI7" s="84">
        <f t="shared" ref="AI7:AI36" si="20">AF7+AH7</f>
        <v>23.30999999999991</v>
      </c>
      <c r="AJ7" s="343">
        <f t="shared" ref="AJ7:AJ35" si="21">+Z7-Z6</f>
        <v>59</v>
      </c>
      <c r="AK7" s="344">
        <f t="shared" si="6"/>
        <v>81</v>
      </c>
      <c r="AL7" s="344">
        <f t="shared" ref="AL7:AL35" si="22">SUM(AJ7-W7)</f>
        <v>57</v>
      </c>
      <c r="AM7" s="344">
        <f>'General information '!D7</f>
        <v>14.5</v>
      </c>
      <c r="AN7" s="85">
        <f>'General information '!H7</f>
        <v>0</v>
      </c>
      <c r="AO7" s="85"/>
      <c r="AP7" s="85">
        <f>'General information '!J7</f>
        <v>371</v>
      </c>
      <c r="AQ7" s="82"/>
      <c r="AR7" s="287">
        <f t="shared" ref="AR7:AR35" si="23">A7</f>
        <v>43832</v>
      </c>
      <c r="AS7" s="449">
        <f t="shared" si="7"/>
        <v>0.9</v>
      </c>
      <c r="AT7" s="205">
        <v>57</v>
      </c>
      <c r="AU7" s="450">
        <f>AU6</f>
        <v>1.1000000000000001</v>
      </c>
      <c r="AV7" s="205">
        <v>106</v>
      </c>
      <c r="AW7" s="5">
        <v>2.9</v>
      </c>
      <c r="AX7" s="205">
        <v>70</v>
      </c>
      <c r="AY7" s="453">
        <f t="shared" si="8"/>
        <v>51.300000000000004</v>
      </c>
      <c r="AZ7" s="453">
        <f t="shared" ref="AZ7:AZ35" si="24">AU7*AV7</f>
        <v>116.60000000000001</v>
      </c>
      <c r="BA7" s="453">
        <f t="shared" ref="BA7:BA36" si="25">AW7*AX7</f>
        <v>203</v>
      </c>
      <c r="BB7" s="21">
        <f t="shared" ref="BB7:BD35" si="26">AY7-AY6</f>
        <v>51.300000000000004</v>
      </c>
      <c r="BC7" s="21">
        <f t="shared" ref="BC7:BD21" si="27">AZ7-AZ6</f>
        <v>28.600000000000009</v>
      </c>
      <c r="BD7" s="21">
        <f t="shared" si="27"/>
        <v>-5.7999999999999829</v>
      </c>
      <c r="BE7" s="24">
        <f t="shared" ref="BE7:BE35" si="28">SUM(BB7:BD7)</f>
        <v>74.100000000000023</v>
      </c>
      <c r="BF7" s="97">
        <f t="shared" si="9"/>
        <v>241.89999999999998</v>
      </c>
      <c r="BG7" s="83">
        <f t="shared" si="10"/>
        <v>74.100000000000023</v>
      </c>
      <c r="BI7" s="87"/>
      <c r="BJ7" s="17"/>
      <c r="BK7" s="17"/>
      <c r="BL7" s="17"/>
      <c r="BM7" s="17"/>
    </row>
    <row r="8" spans="1:65" ht="15.75" thickBot="1">
      <c r="A8" s="6">
        <f>ELEC!C5</f>
        <v>43833</v>
      </c>
      <c r="B8" s="5">
        <v>108282</v>
      </c>
      <c r="C8" s="5">
        <f>B8-B7</f>
        <v>0</v>
      </c>
      <c r="D8" s="443">
        <f t="shared" si="12"/>
        <v>0</v>
      </c>
      <c r="E8" s="350">
        <f>SUM((C8*$E$4)+(7500/'EDl log'!$A$38))</f>
        <v>241.93548387096774</v>
      </c>
      <c r="F8" s="442"/>
      <c r="G8" s="5">
        <f t="shared" ref="G8:G36" si="29">G7</f>
        <v>585122</v>
      </c>
      <c r="H8" s="5">
        <f t="shared" si="13"/>
        <v>0</v>
      </c>
      <c r="I8" s="5">
        <f t="shared" si="0"/>
        <v>0</v>
      </c>
      <c r="J8" s="351">
        <f t="shared" si="1"/>
        <v>0</v>
      </c>
      <c r="K8" s="5">
        <f>'Swimming Pool quality check '!H8</f>
        <v>5791</v>
      </c>
      <c r="L8" s="84">
        <f>K8-K7</f>
        <v>1</v>
      </c>
      <c r="M8" s="434">
        <f t="shared" si="14"/>
        <v>457.44</v>
      </c>
      <c r="N8" s="565">
        <f t="shared" si="2"/>
        <v>0</v>
      </c>
      <c r="O8" s="434">
        <f>O7</f>
        <v>529.52</v>
      </c>
      <c r="P8" s="565">
        <f t="shared" si="3"/>
        <v>0</v>
      </c>
      <c r="Q8" s="566">
        <f>P8+N8</f>
        <v>0</v>
      </c>
      <c r="R8" s="565"/>
      <c r="S8" s="565"/>
      <c r="T8" s="5">
        <v>4381</v>
      </c>
      <c r="U8" s="5">
        <f t="shared" si="4"/>
        <v>5</v>
      </c>
      <c r="V8" s="5">
        <v>339</v>
      </c>
      <c r="W8" s="341">
        <f t="shared" si="15"/>
        <v>1</v>
      </c>
      <c r="X8" s="5">
        <v>138827</v>
      </c>
      <c r="Y8" s="341">
        <f t="shared" si="16"/>
        <v>20</v>
      </c>
      <c r="Z8" s="5">
        <v>90788</v>
      </c>
      <c r="AA8" s="84">
        <f t="shared" si="17"/>
        <v>27</v>
      </c>
      <c r="AB8" s="5">
        <v>246</v>
      </c>
      <c r="AC8" s="5">
        <f t="shared" si="5"/>
        <v>670</v>
      </c>
      <c r="AD8" s="84">
        <f t="shared" ref="AD8:AD35" si="30">AC8-AC7</f>
        <v>0</v>
      </c>
      <c r="AE8" s="5">
        <f>AE7</f>
        <v>63.34</v>
      </c>
      <c r="AF8" s="84">
        <f t="shared" si="18"/>
        <v>0</v>
      </c>
      <c r="AG8" s="5">
        <v>993.36</v>
      </c>
      <c r="AH8" s="84">
        <f t="shared" si="19"/>
        <v>1.5600000000000591</v>
      </c>
      <c r="AI8" s="84">
        <f t="shared" si="20"/>
        <v>1.5600000000000591</v>
      </c>
      <c r="AJ8" s="343">
        <f t="shared" si="21"/>
        <v>27</v>
      </c>
      <c r="AK8" s="344">
        <f t="shared" si="6"/>
        <v>19</v>
      </c>
      <c r="AL8" s="344">
        <f t="shared" si="22"/>
        <v>26</v>
      </c>
      <c r="AM8" s="344">
        <f>'General information '!D8</f>
        <v>14</v>
      </c>
      <c r="AN8" s="85">
        <f>'General information '!H8</f>
        <v>157</v>
      </c>
      <c r="AO8" s="85"/>
      <c r="AP8" s="85">
        <f>'General information '!J8</f>
        <v>535</v>
      </c>
      <c r="AQ8" s="82"/>
      <c r="AR8" s="287">
        <f t="shared" si="23"/>
        <v>43833</v>
      </c>
      <c r="AS8" s="449">
        <f t="shared" si="7"/>
        <v>0.9</v>
      </c>
      <c r="AT8" s="205">
        <v>7</v>
      </c>
      <c r="AU8" s="450">
        <v>1.1000000000000001</v>
      </c>
      <c r="AV8" s="205">
        <v>100</v>
      </c>
      <c r="AW8" s="5">
        <v>2.9</v>
      </c>
      <c r="AX8" s="205">
        <v>59</v>
      </c>
      <c r="AY8" s="453">
        <f t="shared" si="8"/>
        <v>6.3</v>
      </c>
      <c r="AZ8" s="453">
        <f t="shared" si="24"/>
        <v>110.00000000000001</v>
      </c>
      <c r="BA8" s="453">
        <f t="shared" si="25"/>
        <v>171.1</v>
      </c>
      <c r="BB8" s="21">
        <f t="shared" si="26"/>
        <v>-45.000000000000007</v>
      </c>
      <c r="BC8" s="21">
        <f t="shared" si="27"/>
        <v>-6.5999999999999943</v>
      </c>
      <c r="BD8" s="21">
        <f t="shared" si="27"/>
        <v>-31.900000000000006</v>
      </c>
      <c r="BE8" s="24">
        <f t="shared" si="28"/>
        <v>-83.5</v>
      </c>
      <c r="BF8" s="97">
        <f t="shared" si="9"/>
        <v>83.5</v>
      </c>
      <c r="BG8" s="83">
        <f t="shared" si="10"/>
        <v>-83.5</v>
      </c>
      <c r="BI8" s="87"/>
      <c r="BJ8" s="17"/>
      <c r="BK8" s="17"/>
    </row>
    <row r="9" spans="1:65" ht="15.75" thickBot="1">
      <c r="A9" s="6">
        <f>ELEC!C6</f>
        <v>43834</v>
      </c>
      <c r="B9" s="5">
        <v>108282</v>
      </c>
      <c r="C9" s="5">
        <f t="shared" si="11"/>
        <v>0</v>
      </c>
      <c r="D9" s="443">
        <f t="shared" si="12"/>
        <v>0</v>
      </c>
      <c r="E9" s="350">
        <f>SUM((C9*$E$4)+(7500/'EDl log'!$A$38))</f>
        <v>241.93548387096774</v>
      </c>
      <c r="F9" s="442"/>
      <c r="G9" s="5">
        <v>585410</v>
      </c>
      <c r="H9" s="5">
        <f t="shared" si="13"/>
        <v>288</v>
      </c>
      <c r="I9" s="5">
        <f t="shared" si="0"/>
        <v>288</v>
      </c>
      <c r="J9" s="351">
        <f t="shared" si="1"/>
        <v>0.84005376344086025</v>
      </c>
      <c r="K9" s="5">
        <f>'Swimming Pool quality check '!H9</f>
        <v>5794</v>
      </c>
      <c r="L9" s="84">
        <f t="shared" ref="L9:L35" si="31">K9-K8</f>
        <v>3</v>
      </c>
      <c r="M9" s="434">
        <f t="shared" si="14"/>
        <v>457.44</v>
      </c>
      <c r="N9" s="565">
        <f t="shared" si="2"/>
        <v>0</v>
      </c>
      <c r="O9" s="434">
        <f t="shared" si="14"/>
        <v>529.52</v>
      </c>
      <c r="P9" s="565">
        <f t="shared" si="3"/>
        <v>0</v>
      </c>
      <c r="Q9" s="566">
        <f>P9+N9</f>
        <v>0</v>
      </c>
      <c r="R9" s="565"/>
      <c r="S9" s="565"/>
      <c r="T9" s="5">
        <v>4388</v>
      </c>
      <c r="U9" s="5">
        <f t="shared" si="4"/>
        <v>7</v>
      </c>
      <c r="V9" s="5">
        <v>339</v>
      </c>
      <c r="W9" s="341">
        <f t="shared" si="15"/>
        <v>0</v>
      </c>
      <c r="X9" s="5">
        <v>138925</v>
      </c>
      <c r="Y9" s="341">
        <f t="shared" si="16"/>
        <v>98</v>
      </c>
      <c r="Z9" s="5">
        <v>90790</v>
      </c>
      <c r="AA9" s="84">
        <f t="shared" si="17"/>
        <v>2</v>
      </c>
      <c r="AB9" s="5">
        <f>AB8</f>
        <v>246</v>
      </c>
      <c r="AC9" s="5">
        <f t="shared" si="5"/>
        <v>670</v>
      </c>
      <c r="AD9" s="84">
        <f t="shared" si="30"/>
        <v>0</v>
      </c>
      <c r="AE9" s="5">
        <v>67.05</v>
      </c>
      <c r="AF9" s="84">
        <f t="shared" si="18"/>
        <v>3.7099999999999937</v>
      </c>
      <c r="AG9" s="5">
        <v>1020.78</v>
      </c>
      <c r="AH9" s="84">
        <f t="shared" si="19"/>
        <v>27.419999999999959</v>
      </c>
      <c r="AI9" s="84">
        <f t="shared" si="20"/>
        <v>31.129999999999953</v>
      </c>
      <c r="AJ9" s="343">
        <f t="shared" si="21"/>
        <v>2</v>
      </c>
      <c r="AK9" s="344">
        <f t="shared" si="6"/>
        <v>95</v>
      </c>
      <c r="AL9" s="344">
        <f t="shared" si="22"/>
        <v>2</v>
      </c>
      <c r="AM9" s="344">
        <f>'General information '!D9</f>
        <v>13</v>
      </c>
      <c r="AN9" s="85">
        <f>'General information '!H9</f>
        <v>260</v>
      </c>
      <c r="AO9" s="85"/>
      <c r="AP9" s="85">
        <f>'General information '!J9</f>
        <v>650</v>
      </c>
      <c r="AQ9" s="82"/>
      <c r="AR9" s="287">
        <f t="shared" si="23"/>
        <v>43834</v>
      </c>
      <c r="AS9" s="449">
        <f t="shared" si="7"/>
        <v>0.9</v>
      </c>
      <c r="AT9" s="205">
        <v>79</v>
      </c>
      <c r="AU9" s="450">
        <f t="shared" ref="AU9:AU36" si="32">AU8</f>
        <v>1.1000000000000001</v>
      </c>
      <c r="AV9" s="205">
        <v>54</v>
      </c>
      <c r="AW9" s="5">
        <v>2.9</v>
      </c>
      <c r="AX9" s="205">
        <v>69</v>
      </c>
      <c r="AY9" s="453">
        <f t="shared" si="8"/>
        <v>71.100000000000009</v>
      </c>
      <c r="AZ9" s="453">
        <f t="shared" si="24"/>
        <v>59.400000000000006</v>
      </c>
      <c r="BA9" s="453">
        <f t="shared" si="25"/>
        <v>200.1</v>
      </c>
      <c r="BB9" s="21">
        <f t="shared" si="26"/>
        <v>64.800000000000011</v>
      </c>
      <c r="BC9" s="21">
        <f t="shared" si="27"/>
        <v>-50.600000000000009</v>
      </c>
      <c r="BD9" s="21">
        <f t="shared" si="27"/>
        <v>29</v>
      </c>
      <c r="BE9" s="24">
        <f t="shared" si="28"/>
        <v>43.2</v>
      </c>
      <c r="BF9" s="366">
        <f t="shared" si="9"/>
        <v>244.8</v>
      </c>
      <c r="BG9" s="83">
        <f t="shared" si="10"/>
        <v>43.199999999999989</v>
      </c>
    </row>
    <row r="10" spans="1:65" ht="15.75" thickBot="1">
      <c r="A10" s="6">
        <f>ELEC!C7</f>
        <v>43835</v>
      </c>
      <c r="B10" s="5">
        <v>108282</v>
      </c>
      <c r="C10" s="5">
        <f t="shared" si="11"/>
        <v>0</v>
      </c>
      <c r="D10" s="443">
        <f t="shared" si="12"/>
        <v>0</v>
      </c>
      <c r="E10" s="350">
        <f>SUM((C10*$E$4)+(7500/'EDl log'!$A$38))</f>
        <v>241.93548387096774</v>
      </c>
      <c r="F10" s="442"/>
      <c r="G10" s="5">
        <v>585410</v>
      </c>
      <c r="H10" s="5">
        <f t="shared" si="13"/>
        <v>0</v>
      </c>
      <c r="I10" s="5">
        <f t="shared" si="0"/>
        <v>0</v>
      </c>
      <c r="J10" s="351">
        <f t="shared" si="1"/>
        <v>0</v>
      </c>
      <c r="K10" s="5">
        <f>'Swimming Pool quality check '!H10</f>
        <v>5796</v>
      </c>
      <c r="L10" s="84">
        <f>K10-K9</f>
        <v>2</v>
      </c>
      <c r="M10" s="434">
        <f t="shared" si="14"/>
        <v>457.44</v>
      </c>
      <c r="N10" s="565">
        <f t="shared" si="2"/>
        <v>0</v>
      </c>
      <c r="O10" s="434">
        <f t="shared" si="14"/>
        <v>529.52</v>
      </c>
      <c r="P10" s="565">
        <f t="shared" si="3"/>
        <v>0</v>
      </c>
      <c r="Q10" s="566">
        <f>P10+N10</f>
        <v>0</v>
      </c>
      <c r="R10" s="565"/>
      <c r="S10" s="565"/>
      <c r="T10" s="5">
        <v>4396</v>
      </c>
      <c r="U10" s="5">
        <f t="shared" si="4"/>
        <v>8</v>
      </c>
      <c r="V10" s="5">
        <v>342</v>
      </c>
      <c r="W10" s="341">
        <f t="shared" si="15"/>
        <v>3</v>
      </c>
      <c r="X10" s="5">
        <v>138929</v>
      </c>
      <c r="Y10" s="341">
        <f t="shared" si="16"/>
        <v>4</v>
      </c>
      <c r="Z10" s="5">
        <v>90843</v>
      </c>
      <c r="AA10" s="84">
        <f t="shared" si="17"/>
        <v>53</v>
      </c>
      <c r="AB10" s="5">
        <v>246</v>
      </c>
      <c r="AC10" s="5">
        <f t="shared" si="5"/>
        <v>670</v>
      </c>
      <c r="AD10" s="84">
        <f t="shared" si="30"/>
        <v>0</v>
      </c>
      <c r="AE10" s="5">
        <v>67.540000000000006</v>
      </c>
      <c r="AF10" s="84">
        <f t="shared" si="18"/>
        <v>0.49000000000000909</v>
      </c>
      <c r="AG10" s="5">
        <v>1025.94</v>
      </c>
      <c r="AH10" s="84">
        <f t="shared" si="19"/>
        <v>5.1600000000000819</v>
      </c>
      <c r="AI10" s="84">
        <f t="shared" si="20"/>
        <v>5.6500000000000909</v>
      </c>
      <c r="AJ10" s="343">
        <f t="shared" si="21"/>
        <v>53</v>
      </c>
      <c r="AK10" s="344">
        <f t="shared" si="6"/>
        <v>2</v>
      </c>
      <c r="AL10" s="344">
        <f t="shared" si="22"/>
        <v>50</v>
      </c>
      <c r="AM10" s="344">
        <f>'General information '!D10</f>
        <v>13</v>
      </c>
      <c r="AN10" s="85">
        <f>'General information '!H10</f>
        <v>0</v>
      </c>
      <c r="AO10" s="85"/>
      <c r="AP10" s="85">
        <f>'General information '!J10</f>
        <v>287</v>
      </c>
      <c r="AQ10" s="82"/>
      <c r="AR10" s="287">
        <f t="shared" si="23"/>
        <v>43835</v>
      </c>
      <c r="AS10" s="449">
        <f t="shared" si="7"/>
        <v>0.9</v>
      </c>
      <c r="AT10" s="205">
        <v>23</v>
      </c>
      <c r="AU10" s="450">
        <f t="shared" si="32"/>
        <v>1.1000000000000001</v>
      </c>
      <c r="AV10" s="205">
        <v>67</v>
      </c>
      <c r="AW10" s="5">
        <v>2.9</v>
      </c>
      <c r="AX10" s="205">
        <v>60</v>
      </c>
      <c r="AY10" s="453">
        <f t="shared" si="8"/>
        <v>20.7</v>
      </c>
      <c r="AZ10" s="453">
        <f t="shared" si="24"/>
        <v>73.7</v>
      </c>
      <c r="BA10" s="453">
        <f t="shared" si="25"/>
        <v>174</v>
      </c>
      <c r="BB10" s="21">
        <f t="shared" si="26"/>
        <v>-50.400000000000006</v>
      </c>
      <c r="BC10" s="21">
        <f t="shared" si="27"/>
        <v>14.299999999999997</v>
      </c>
      <c r="BD10" s="21">
        <f t="shared" si="27"/>
        <v>-26.099999999999994</v>
      </c>
      <c r="BE10" s="24">
        <f t="shared" si="28"/>
        <v>-62.2</v>
      </c>
      <c r="BF10" s="97">
        <f t="shared" si="9"/>
        <v>62.2</v>
      </c>
      <c r="BG10" s="83">
        <f t="shared" si="10"/>
        <v>-62.2</v>
      </c>
    </row>
    <row r="11" spans="1:65" ht="15.75" thickBot="1">
      <c r="A11" s="6">
        <f>ELEC!C8</f>
        <v>43836</v>
      </c>
      <c r="B11" s="5">
        <v>108282</v>
      </c>
      <c r="C11" s="5">
        <f t="shared" si="11"/>
        <v>0</v>
      </c>
      <c r="D11" s="443">
        <f t="shared" si="12"/>
        <v>0</v>
      </c>
      <c r="E11" s="350">
        <f>SUM((C11*$E$4)+(7500/'EDl log'!$A$38))</f>
        <v>241.93548387096774</v>
      </c>
      <c r="F11" s="442"/>
      <c r="G11" s="5">
        <v>585589</v>
      </c>
      <c r="H11" s="5">
        <f t="shared" si="13"/>
        <v>179</v>
      </c>
      <c r="I11" s="5">
        <f t="shared" si="0"/>
        <v>179</v>
      </c>
      <c r="J11" s="351">
        <f t="shared" si="1"/>
        <v>1.3515948819607138</v>
      </c>
      <c r="K11" s="5">
        <f>'Swimming Pool quality check '!H11</f>
        <v>5800</v>
      </c>
      <c r="L11" s="84">
        <f t="shared" si="31"/>
        <v>4</v>
      </c>
      <c r="M11" s="434">
        <f t="shared" si="14"/>
        <v>457.44</v>
      </c>
      <c r="N11" s="565">
        <f t="shared" si="2"/>
        <v>0</v>
      </c>
      <c r="O11" s="434">
        <f t="shared" si="14"/>
        <v>529.52</v>
      </c>
      <c r="P11" s="565">
        <f t="shared" si="3"/>
        <v>0</v>
      </c>
      <c r="Q11" s="565">
        <f>SUM(P11+N11)</f>
        <v>0</v>
      </c>
      <c r="R11" s="565"/>
      <c r="S11" s="565"/>
      <c r="T11" s="5">
        <v>4400</v>
      </c>
      <c r="U11" s="5">
        <f t="shared" si="4"/>
        <v>4</v>
      </c>
      <c r="V11" s="5">
        <v>342</v>
      </c>
      <c r="W11" s="341">
        <f t="shared" si="15"/>
        <v>0</v>
      </c>
      <c r="X11" s="5">
        <v>138983</v>
      </c>
      <c r="Y11" s="341">
        <f t="shared" si="16"/>
        <v>54</v>
      </c>
      <c r="Z11" s="5">
        <v>90900</v>
      </c>
      <c r="AA11" s="84">
        <f t="shared" si="17"/>
        <v>57</v>
      </c>
      <c r="AB11" s="5">
        <f>AB10</f>
        <v>246</v>
      </c>
      <c r="AC11" s="5">
        <f t="shared" si="5"/>
        <v>670</v>
      </c>
      <c r="AD11" s="84">
        <f t="shared" si="30"/>
        <v>0</v>
      </c>
      <c r="AE11" s="5">
        <v>69.8</v>
      </c>
      <c r="AF11" s="84">
        <f t="shared" si="18"/>
        <v>2.2599999999999909</v>
      </c>
      <c r="AG11" s="5">
        <v>1046.25</v>
      </c>
      <c r="AH11" s="84">
        <f t="shared" si="19"/>
        <v>20.309999999999945</v>
      </c>
      <c r="AI11" s="84">
        <f t="shared" si="20"/>
        <v>22.569999999999936</v>
      </c>
      <c r="AJ11" s="343">
        <f t="shared" si="21"/>
        <v>57</v>
      </c>
      <c r="AK11" s="344">
        <f t="shared" si="6"/>
        <v>50</v>
      </c>
      <c r="AL11" s="344">
        <f t="shared" si="22"/>
        <v>57</v>
      </c>
      <c r="AM11" s="344">
        <f>'General information '!D11</f>
        <v>14</v>
      </c>
      <c r="AN11" s="85">
        <f>'General information '!H11</f>
        <v>0</v>
      </c>
      <c r="AO11" s="85"/>
      <c r="AP11" s="85">
        <f>'General information '!J11</f>
        <v>186</v>
      </c>
      <c r="AQ11" s="82"/>
      <c r="AR11" s="287">
        <f t="shared" si="23"/>
        <v>43836</v>
      </c>
      <c r="AS11" s="449">
        <f t="shared" si="7"/>
        <v>0.9</v>
      </c>
      <c r="AT11" s="205">
        <v>20</v>
      </c>
      <c r="AU11" s="450">
        <f t="shared" si="32"/>
        <v>1.1000000000000001</v>
      </c>
      <c r="AV11" s="205">
        <v>75</v>
      </c>
      <c r="AW11" s="5">
        <v>2.9</v>
      </c>
      <c r="AX11" s="205">
        <v>63</v>
      </c>
      <c r="AY11" s="453">
        <f t="shared" si="8"/>
        <v>18</v>
      </c>
      <c r="AZ11" s="453">
        <f t="shared" si="24"/>
        <v>82.5</v>
      </c>
      <c r="BA11" s="453">
        <f t="shared" si="25"/>
        <v>182.7</v>
      </c>
      <c r="BB11" s="21">
        <f t="shared" si="26"/>
        <v>-2.6999999999999993</v>
      </c>
      <c r="BC11" s="21">
        <f t="shared" si="27"/>
        <v>8.7999999999999972</v>
      </c>
      <c r="BD11" s="21">
        <f t="shared" si="27"/>
        <v>8.6999999999999886</v>
      </c>
      <c r="BE11" s="24">
        <f t="shared" si="28"/>
        <v>14.799999999999986</v>
      </c>
      <c r="BF11" s="97">
        <f t="shared" si="9"/>
        <v>164.20000000000002</v>
      </c>
      <c r="BG11" s="83">
        <f t="shared" si="10"/>
        <v>14.799999999999983</v>
      </c>
    </row>
    <row r="12" spans="1:65" ht="15.75" thickBot="1">
      <c r="A12" s="6">
        <f>ELEC!C9</f>
        <v>43837</v>
      </c>
      <c r="B12" s="5">
        <v>108361</v>
      </c>
      <c r="C12" s="5">
        <f>B12-B11</f>
        <v>79</v>
      </c>
      <c r="D12" s="443">
        <f t="shared" si="12"/>
        <v>2.925925925925926</v>
      </c>
      <c r="E12" s="350">
        <f>SUM((C12*$E$4)+(7500/'EDl log'!$A$38))</f>
        <v>373.07548387096773</v>
      </c>
      <c r="F12" s="442"/>
      <c r="G12" s="5">
        <v>585589</v>
      </c>
      <c r="H12" s="5">
        <f t="shared" si="13"/>
        <v>0</v>
      </c>
      <c r="I12" s="5">
        <f t="shared" si="0"/>
        <v>79</v>
      </c>
      <c r="J12" s="351">
        <f t="shared" si="1"/>
        <v>4.7224744793793381</v>
      </c>
      <c r="K12" s="5">
        <f>'Swimming Pool quality check '!H12</f>
        <v>5803</v>
      </c>
      <c r="L12" s="84">
        <f t="shared" si="31"/>
        <v>3</v>
      </c>
      <c r="M12" s="434">
        <f t="shared" si="14"/>
        <v>457.44</v>
      </c>
      <c r="N12" s="565">
        <f t="shared" si="2"/>
        <v>0</v>
      </c>
      <c r="O12" s="434">
        <f t="shared" si="14"/>
        <v>529.52</v>
      </c>
      <c r="P12" s="565">
        <f t="shared" si="3"/>
        <v>0</v>
      </c>
      <c r="Q12" s="565">
        <f>SUM(P12+N12)</f>
        <v>0</v>
      </c>
      <c r="R12" s="565"/>
      <c r="S12" s="565"/>
      <c r="T12" s="5">
        <v>4405</v>
      </c>
      <c r="U12" s="5">
        <f t="shared" si="4"/>
        <v>5</v>
      </c>
      <c r="V12" s="5">
        <v>343</v>
      </c>
      <c r="W12" s="341">
        <f t="shared" si="15"/>
        <v>1</v>
      </c>
      <c r="X12" s="5">
        <v>138983</v>
      </c>
      <c r="Y12" s="341">
        <f t="shared" si="16"/>
        <v>0</v>
      </c>
      <c r="Z12" s="5">
        <v>90931</v>
      </c>
      <c r="AA12" s="84">
        <f t="shared" si="17"/>
        <v>31</v>
      </c>
      <c r="AB12" s="5">
        <f>AB11</f>
        <v>246</v>
      </c>
      <c r="AC12" s="5">
        <f t="shared" si="5"/>
        <v>670</v>
      </c>
      <c r="AD12" s="84">
        <f t="shared" si="30"/>
        <v>0</v>
      </c>
      <c r="AE12" s="5">
        <v>70.28</v>
      </c>
      <c r="AF12" s="84">
        <f t="shared" si="18"/>
        <v>0.48000000000000398</v>
      </c>
      <c r="AG12" s="5">
        <v>1053.3</v>
      </c>
      <c r="AH12" s="84">
        <f t="shared" si="19"/>
        <v>7.0499999999999545</v>
      </c>
      <c r="AI12" s="84">
        <f t="shared" si="20"/>
        <v>7.5299999999999585</v>
      </c>
      <c r="AJ12" s="343">
        <f t="shared" si="21"/>
        <v>31</v>
      </c>
      <c r="AK12" s="344">
        <f t="shared" si="6"/>
        <v>-3</v>
      </c>
      <c r="AL12" s="344">
        <f t="shared" si="22"/>
        <v>30</v>
      </c>
      <c r="AM12" s="344">
        <f>'General information '!D12</f>
        <v>14</v>
      </c>
      <c r="AN12" s="85">
        <f>'General information '!H12</f>
        <v>0</v>
      </c>
      <c r="AO12" s="85"/>
      <c r="AP12" s="85">
        <f>'General information '!J12</f>
        <v>269</v>
      </c>
      <c r="AQ12" s="82"/>
      <c r="AR12" s="287">
        <f t="shared" si="23"/>
        <v>43837</v>
      </c>
      <c r="AS12" s="449">
        <f t="shared" si="7"/>
        <v>0.9</v>
      </c>
      <c r="AT12" s="205">
        <v>60</v>
      </c>
      <c r="AU12" s="450">
        <f t="shared" si="32"/>
        <v>1.1000000000000001</v>
      </c>
      <c r="AV12" s="205">
        <v>71</v>
      </c>
      <c r="AW12" s="5">
        <v>2.9</v>
      </c>
      <c r="AX12" s="205">
        <v>52</v>
      </c>
      <c r="AY12" s="453">
        <f t="shared" si="8"/>
        <v>54</v>
      </c>
      <c r="AZ12" s="453">
        <f t="shared" si="24"/>
        <v>78.100000000000009</v>
      </c>
      <c r="BA12" s="453">
        <f t="shared" si="25"/>
        <v>150.79999999999998</v>
      </c>
      <c r="BB12" s="21">
        <f t="shared" si="26"/>
        <v>36</v>
      </c>
      <c r="BC12" s="21">
        <f t="shared" si="27"/>
        <v>-4.3999999999999915</v>
      </c>
      <c r="BD12" s="21">
        <f t="shared" si="27"/>
        <v>-31.900000000000006</v>
      </c>
      <c r="BE12" s="24">
        <f t="shared" si="28"/>
        <v>-0.29999999999999716</v>
      </c>
      <c r="BF12" s="97">
        <f t="shared" si="9"/>
        <v>79.3</v>
      </c>
      <c r="BG12" s="83">
        <f t="shared" si="10"/>
        <v>-0.29999999999999716</v>
      </c>
    </row>
    <row r="13" spans="1:65" ht="15.75" thickBot="1">
      <c r="A13" s="6">
        <f>ELEC!C10</f>
        <v>43838</v>
      </c>
      <c r="B13" s="5">
        <v>108361</v>
      </c>
      <c r="C13" s="5">
        <f t="shared" si="11"/>
        <v>0</v>
      </c>
      <c r="D13" s="443">
        <f t="shared" si="12"/>
        <v>0</v>
      </c>
      <c r="E13" s="350">
        <f>SUM((C13*$E$4)+(7500/'EDl log'!$A$38))</f>
        <v>241.93548387096774</v>
      </c>
      <c r="F13" s="442"/>
      <c r="G13" s="5">
        <v>585771</v>
      </c>
      <c r="H13" s="5">
        <f t="shared" si="13"/>
        <v>182</v>
      </c>
      <c r="I13" s="5">
        <f t="shared" si="0"/>
        <v>182</v>
      </c>
      <c r="J13" s="351">
        <f t="shared" si="1"/>
        <v>1.3293158454448777</v>
      </c>
      <c r="K13" s="5">
        <f>'Swimming Pool quality check '!H13</f>
        <v>5803</v>
      </c>
      <c r="L13" s="84">
        <f t="shared" si="31"/>
        <v>0</v>
      </c>
      <c r="M13" s="434">
        <f t="shared" si="14"/>
        <v>457.44</v>
      </c>
      <c r="N13" s="565">
        <f t="shared" si="2"/>
        <v>0</v>
      </c>
      <c r="O13" s="434">
        <f t="shared" si="14"/>
        <v>529.52</v>
      </c>
      <c r="P13" s="565">
        <f t="shared" si="3"/>
        <v>0</v>
      </c>
      <c r="Q13" s="565">
        <f>SUM(P13+N13)</f>
        <v>0</v>
      </c>
      <c r="R13" s="565"/>
      <c r="S13" s="565"/>
      <c r="T13" s="5">
        <v>4410</v>
      </c>
      <c r="U13" s="5">
        <f t="shared" si="4"/>
        <v>5</v>
      </c>
      <c r="V13" s="5">
        <f>V12</f>
        <v>343</v>
      </c>
      <c r="W13" s="341">
        <f t="shared" si="15"/>
        <v>0</v>
      </c>
      <c r="X13" s="5">
        <v>139051</v>
      </c>
      <c r="Y13" s="341">
        <f t="shared" si="16"/>
        <v>68</v>
      </c>
      <c r="Z13" s="5">
        <v>90989</v>
      </c>
      <c r="AA13" s="84">
        <f t="shared" si="17"/>
        <v>58</v>
      </c>
      <c r="AB13" s="5">
        <f>AB12</f>
        <v>246</v>
      </c>
      <c r="AC13" s="5">
        <f t="shared" si="5"/>
        <v>670</v>
      </c>
      <c r="AD13" s="84">
        <f t="shared" si="30"/>
        <v>0</v>
      </c>
      <c r="AE13" s="5">
        <v>71.52</v>
      </c>
      <c r="AF13" s="84">
        <f t="shared" si="18"/>
        <v>1.2399999999999949</v>
      </c>
      <c r="AG13" s="5">
        <v>1065.07</v>
      </c>
      <c r="AH13" s="84">
        <f t="shared" si="19"/>
        <v>11.769999999999982</v>
      </c>
      <c r="AI13" s="84">
        <f t="shared" si="20"/>
        <v>13.009999999999977</v>
      </c>
      <c r="AJ13" s="343">
        <f t="shared" si="21"/>
        <v>58</v>
      </c>
      <c r="AK13" s="344">
        <f t="shared" si="6"/>
        <v>68</v>
      </c>
      <c r="AL13" s="344">
        <f t="shared" si="22"/>
        <v>58</v>
      </c>
      <c r="AM13" s="344">
        <f>'General information '!D13</f>
        <v>12.5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7">
        <f t="shared" si="23"/>
        <v>43838</v>
      </c>
      <c r="AS13" s="449">
        <f t="shared" si="7"/>
        <v>0.9</v>
      </c>
      <c r="AT13" s="205">
        <v>49</v>
      </c>
      <c r="AU13" s="450">
        <f t="shared" si="32"/>
        <v>1.1000000000000001</v>
      </c>
      <c r="AV13" s="205">
        <v>84</v>
      </c>
      <c r="AW13" s="5">
        <v>2.9</v>
      </c>
      <c r="AX13" s="205">
        <v>61</v>
      </c>
      <c r="AY13" s="453">
        <f t="shared" si="8"/>
        <v>44.1</v>
      </c>
      <c r="AZ13" s="453">
        <f t="shared" si="24"/>
        <v>92.4</v>
      </c>
      <c r="BA13" s="453">
        <f t="shared" si="25"/>
        <v>176.9</v>
      </c>
      <c r="BB13" s="21">
        <f t="shared" si="26"/>
        <v>-9.8999999999999986</v>
      </c>
      <c r="BC13" s="21">
        <f t="shared" si="27"/>
        <v>14.299999999999997</v>
      </c>
      <c r="BD13" s="21">
        <f t="shared" si="27"/>
        <v>26.100000000000023</v>
      </c>
      <c r="BE13" s="24">
        <f t="shared" si="28"/>
        <v>30.500000000000021</v>
      </c>
      <c r="BF13" s="97">
        <f t="shared" si="9"/>
        <v>151.49999999999997</v>
      </c>
      <c r="BG13" s="83">
        <f t="shared" si="10"/>
        <v>30.500000000000028</v>
      </c>
    </row>
    <row r="14" spans="1:65" ht="15.75" thickBot="1">
      <c r="A14" s="6">
        <f>ELEC!C11</f>
        <v>43839</v>
      </c>
      <c r="B14" s="5">
        <v>108441</v>
      </c>
      <c r="C14" s="5">
        <f t="shared" si="11"/>
        <v>80</v>
      </c>
      <c r="D14" s="443">
        <f t="shared" si="12"/>
        <v>2.9629629629629628</v>
      </c>
      <c r="E14" s="350">
        <f>SUM((C14*$E$4)+(7500/'EDl log'!$A$38))</f>
        <v>374.73548387096776</v>
      </c>
      <c r="F14" s="442"/>
      <c r="G14" s="5">
        <v>585771</v>
      </c>
      <c r="H14" s="5">
        <f t="shared" si="13"/>
        <v>0</v>
      </c>
      <c r="I14" s="5">
        <f t="shared" si="0"/>
        <v>80</v>
      </c>
      <c r="J14" s="351">
        <f t="shared" si="1"/>
        <v>4.6841935483870971</v>
      </c>
      <c r="K14" s="5">
        <f>'Swimming Pool quality check '!H14</f>
        <v>5805</v>
      </c>
      <c r="L14" s="84">
        <f t="shared" si="31"/>
        <v>2</v>
      </c>
      <c r="M14" s="434">
        <f t="shared" si="14"/>
        <v>457.44</v>
      </c>
      <c r="N14" s="565">
        <f t="shared" ref="N14:N36" si="33">SUM(M14-M13)</f>
        <v>0</v>
      </c>
      <c r="O14" s="434">
        <f t="shared" si="14"/>
        <v>529.52</v>
      </c>
      <c r="P14" s="565">
        <f t="shared" ref="P14:P36" si="34">SUM(O14-O13)</f>
        <v>0</v>
      </c>
      <c r="Q14" s="565">
        <f t="shared" ref="Q14:Q36" si="35">SUM(P14+N14)</f>
        <v>0</v>
      </c>
      <c r="R14" s="565"/>
      <c r="S14" s="565"/>
      <c r="T14" s="5">
        <v>4415</v>
      </c>
      <c r="U14" s="5">
        <f t="shared" si="4"/>
        <v>5</v>
      </c>
      <c r="V14" s="5">
        <v>347</v>
      </c>
      <c r="W14" s="341">
        <f t="shared" si="15"/>
        <v>4</v>
      </c>
      <c r="X14" s="5">
        <v>139103</v>
      </c>
      <c r="Y14" s="341">
        <f t="shared" si="16"/>
        <v>52</v>
      </c>
      <c r="Z14" s="5">
        <v>90993</v>
      </c>
      <c r="AA14" s="84">
        <f t="shared" si="17"/>
        <v>4</v>
      </c>
      <c r="AB14" s="5">
        <f>AB13</f>
        <v>246</v>
      </c>
      <c r="AC14" s="5">
        <f t="shared" si="5"/>
        <v>670</v>
      </c>
      <c r="AD14" s="84">
        <f t="shared" si="30"/>
        <v>0</v>
      </c>
      <c r="AE14" s="5">
        <v>71.52</v>
      </c>
      <c r="AF14" s="84">
        <f t="shared" si="18"/>
        <v>0</v>
      </c>
      <c r="AG14" s="5">
        <v>1065.68</v>
      </c>
      <c r="AH14" s="84">
        <f t="shared" si="19"/>
        <v>0.61000000000012733</v>
      </c>
      <c r="AI14" s="84">
        <f t="shared" si="20"/>
        <v>0.61000000000012733</v>
      </c>
      <c r="AJ14" s="343">
        <f t="shared" si="21"/>
        <v>4</v>
      </c>
      <c r="AK14" s="344">
        <f t="shared" si="6"/>
        <v>50</v>
      </c>
      <c r="AL14" s="344">
        <f t="shared" si="22"/>
        <v>0</v>
      </c>
      <c r="AM14" s="344">
        <f>'General information '!D14</f>
        <v>12.5</v>
      </c>
      <c r="AN14" s="85">
        <f>'General information '!H14</f>
        <v>0</v>
      </c>
      <c r="AO14" s="85"/>
      <c r="AP14" s="85">
        <f>'General information '!J14</f>
        <v>258</v>
      </c>
      <c r="AQ14" s="82"/>
      <c r="AR14" s="287">
        <f t="shared" si="23"/>
        <v>43839</v>
      </c>
      <c r="AS14" s="449">
        <f t="shared" si="7"/>
        <v>0.9</v>
      </c>
      <c r="AT14" s="205">
        <v>48</v>
      </c>
      <c r="AU14" s="450">
        <f t="shared" si="32"/>
        <v>1.1000000000000001</v>
      </c>
      <c r="AV14" s="205">
        <v>68</v>
      </c>
      <c r="AW14" s="5">
        <v>2.9</v>
      </c>
      <c r="AX14" s="205">
        <v>64</v>
      </c>
      <c r="AY14" s="453">
        <f t="shared" si="8"/>
        <v>43.2</v>
      </c>
      <c r="AZ14" s="453">
        <f t="shared" si="24"/>
        <v>74.800000000000011</v>
      </c>
      <c r="BA14" s="453">
        <f t="shared" si="25"/>
        <v>185.6</v>
      </c>
      <c r="BB14" s="21">
        <f t="shared" si="26"/>
        <v>-0.89999999999999858</v>
      </c>
      <c r="BC14" s="21">
        <f t="shared" si="27"/>
        <v>-17.599999999999994</v>
      </c>
      <c r="BD14" s="21">
        <f t="shared" si="27"/>
        <v>8.6999999999999886</v>
      </c>
      <c r="BE14" s="24">
        <f t="shared" si="28"/>
        <v>-9.8000000000000043</v>
      </c>
      <c r="BF14" s="97">
        <f t="shared" si="9"/>
        <v>89.800000000000011</v>
      </c>
      <c r="BG14" s="83">
        <f t="shared" si="10"/>
        <v>-9.8000000000000114</v>
      </c>
    </row>
    <row r="15" spans="1:65" ht="16.5" customHeight="1" thickBot="1">
      <c r="A15" s="6">
        <f>ELEC!C12</f>
        <v>43840</v>
      </c>
      <c r="B15" s="5">
        <f t="shared" ref="B15:B36" si="36">B14</f>
        <v>108441</v>
      </c>
      <c r="C15" s="5">
        <f t="shared" si="11"/>
        <v>0</v>
      </c>
      <c r="D15" s="443">
        <f t="shared" si="12"/>
        <v>0</v>
      </c>
      <c r="E15" s="350">
        <f>SUM((C15*$E$4)+(7500/'EDl log'!$A$38))</f>
        <v>241.93548387096774</v>
      </c>
      <c r="F15" s="442"/>
      <c r="G15" s="5">
        <v>586114</v>
      </c>
      <c r="H15" s="5">
        <f t="shared" si="13"/>
        <v>343</v>
      </c>
      <c r="I15" s="5">
        <f t="shared" si="0"/>
        <v>343</v>
      </c>
      <c r="J15" s="351">
        <f t="shared" si="1"/>
        <v>0.70535126492993516</v>
      </c>
      <c r="K15" s="5">
        <f>'Swimming Pool quality check '!H15</f>
        <v>5805</v>
      </c>
      <c r="L15" s="84">
        <f t="shared" si="31"/>
        <v>0</v>
      </c>
      <c r="M15" s="434">
        <f t="shared" si="14"/>
        <v>457.44</v>
      </c>
      <c r="N15" s="565">
        <f t="shared" si="33"/>
        <v>0</v>
      </c>
      <c r="O15" s="434">
        <f t="shared" si="14"/>
        <v>529.52</v>
      </c>
      <c r="P15" s="565">
        <f t="shared" si="34"/>
        <v>0</v>
      </c>
      <c r="Q15" s="565">
        <f t="shared" si="35"/>
        <v>0</v>
      </c>
      <c r="R15" s="565"/>
      <c r="S15" s="565"/>
      <c r="T15" s="5">
        <v>4420</v>
      </c>
      <c r="U15" s="5">
        <f t="shared" si="4"/>
        <v>5</v>
      </c>
      <c r="V15" s="5">
        <v>348</v>
      </c>
      <c r="W15" s="341">
        <f t="shared" si="15"/>
        <v>1</v>
      </c>
      <c r="X15" s="5">
        <v>139243</v>
      </c>
      <c r="Y15" s="341">
        <f t="shared" si="16"/>
        <v>140</v>
      </c>
      <c r="Z15" s="5">
        <v>91044</v>
      </c>
      <c r="AA15" s="84">
        <f t="shared" si="17"/>
        <v>51</v>
      </c>
      <c r="AB15" s="5">
        <f>AB14</f>
        <v>246</v>
      </c>
      <c r="AC15" s="5">
        <f t="shared" si="5"/>
        <v>670</v>
      </c>
      <c r="AD15" s="84">
        <f t="shared" si="30"/>
        <v>0</v>
      </c>
      <c r="AE15" s="5">
        <v>72.709999999999994</v>
      </c>
      <c r="AF15" s="84">
        <f t="shared" si="18"/>
        <v>1.1899999999999977</v>
      </c>
      <c r="AG15" s="5">
        <v>1073.6500000000001</v>
      </c>
      <c r="AH15" s="84">
        <f t="shared" si="19"/>
        <v>7.9700000000000273</v>
      </c>
      <c r="AI15" s="84">
        <f t="shared" si="20"/>
        <v>9.160000000000025</v>
      </c>
      <c r="AJ15" s="343">
        <f t="shared" si="21"/>
        <v>51</v>
      </c>
      <c r="AK15" s="344">
        <f t="shared" si="6"/>
        <v>140</v>
      </c>
      <c r="AL15" s="344">
        <f t="shared" si="22"/>
        <v>50</v>
      </c>
      <c r="AM15" s="344">
        <f>'General information '!D15</f>
        <v>14.5</v>
      </c>
      <c r="AN15" s="85">
        <f>'General information '!H15</f>
        <v>0</v>
      </c>
      <c r="AO15" s="85"/>
      <c r="AP15" s="85">
        <f>'General information '!J15</f>
        <v>276</v>
      </c>
      <c r="AQ15" s="82"/>
      <c r="AR15" s="287">
        <f t="shared" si="23"/>
        <v>43840</v>
      </c>
      <c r="AS15" s="449">
        <f t="shared" si="7"/>
        <v>0.9</v>
      </c>
      <c r="AT15" s="205">
        <v>122</v>
      </c>
      <c r="AU15" s="450">
        <f t="shared" si="32"/>
        <v>1.1000000000000001</v>
      </c>
      <c r="AV15" s="205">
        <v>79</v>
      </c>
      <c r="AW15" s="5">
        <v>2.9</v>
      </c>
      <c r="AX15" s="205">
        <v>88</v>
      </c>
      <c r="AY15" s="453">
        <f t="shared" si="8"/>
        <v>109.8</v>
      </c>
      <c r="AZ15" s="453">
        <f t="shared" si="24"/>
        <v>86.9</v>
      </c>
      <c r="BA15" s="453">
        <f t="shared" si="25"/>
        <v>255.2</v>
      </c>
      <c r="BB15" s="21">
        <f t="shared" si="26"/>
        <v>66.599999999999994</v>
      </c>
      <c r="BC15" s="21">
        <f t="shared" si="27"/>
        <v>12.099999999999994</v>
      </c>
      <c r="BD15" s="21">
        <f t="shared" si="27"/>
        <v>69.599999999999994</v>
      </c>
      <c r="BE15" s="24">
        <f t="shared" si="28"/>
        <v>148.29999999999998</v>
      </c>
      <c r="BF15" s="97">
        <f t="shared" si="9"/>
        <v>194.70000000000002</v>
      </c>
      <c r="BG15" s="83">
        <f t="shared" si="10"/>
        <v>148.29999999999998</v>
      </c>
    </row>
    <row r="16" spans="1:65" ht="15.75" thickBot="1">
      <c r="A16" s="6">
        <f>ELEC!C13</f>
        <v>43841</v>
      </c>
      <c r="B16" s="5">
        <f t="shared" si="36"/>
        <v>108441</v>
      </c>
      <c r="C16" s="5">
        <f t="shared" si="11"/>
        <v>0</v>
      </c>
      <c r="D16" s="443">
        <f t="shared" si="12"/>
        <v>0</v>
      </c>
      <c r="E16" s="350">
        <f>SUM((C16*$E$4)+(7500/'EDl log'!$A$38))</f>
        <v>241.93548387096774</v>
      </c>
      <c r="F16" s="442"/>
      <c r="G16" s="5">
        <f t="shared" si="29"/>
        <v>586114</v>
      </c>
      <c r="H16" s="5">
        <f t="shared" si="13"/>
        <v>0</v>
      </c>
      <c r="I16" s="5">
        <f t="shared" si="0"/>
        <v>0</v>
      </c>
      <c r="J16" s="351">
        <f t="shared" si="1"/>
        <v>0</v>
      </c>
      <c r="K16" s="5">
        <f>'Swimming Pool quality check '!H16</f>
        <v>5813</v>
      </c>
      <c r="L16" s="282">
        <f t="shared" si="31"/>
        <v>8</v>
      </c>
      <c r="M16" s="434">
        <f t="shared" si="14"/>
        <v>457.44</v>
      </c>
      <c r="N16" s="565">
        <f t="shared" si="33"/>
        <v>0</v>
      </c>
      <c r="O16" s="434">
        <f t="shared" si="14"/>
        <v>529.52</v>
      </c>
      <c r="P16" s="565">
        <f t="shared" si="34"/>
        <v>0</v>
      </c>
      <c r="Q16" s="565">
        <f t="shared" si="35"/>
        <v>0</v>
      </c>
      <c r="R16" s="567"/>
      <c r="S16" s="567"/>
      <c r="T16" s="5">
        <v>4427</v>
      </c>
      <c r="U16" s="5">
        <f t="shared" si="4"/>
        <v>7</v>
      </c>
      <c r="V16" s="5">
        <v>348</v>
      </c>
      <c r="W16" s="341">
        <f t="shared" si="15"/>
        <v>0</v>
      </c>
      <c r="X16" s="5">
        <v>139310</v>
      </c>
      <c r="Y16" s="341">
        <f t="shared" si="16"/>
        <v>67</v>
      </c>
      <c r="Z16" s="5">
        <v>91079</v>
      </c>
      <c r="AA16" s="84">
        <f t="shared" si="17"/>
        <v>35</v>
      </c>
      <c r="AB16" s="5">
        <v>244</v>
      </c>
      <c r="AC16" s="5">
        <f t="shared" si="5"/>
        <v>670</v>
      </c>
      <c r="AD16" s="84">
        <f t="shared" si="30"/>
        <v>0</v>
      </c>
      <c r="AE16" s="5">
        <v>74.260000000000005</v>
      </c>
      <c r="AF16" s="84">
        <f t="shared" si="18"/>
        <v>1.5500000000000114</v>
      </c>
      <c r="AG16" s="5">
        <v>1089.47</v>
      </c>
      <c r="AH16" s="84">
        <f t="shared" si="19"/>
        <v>15.819999999999936</v>
      </c>
      <c r="AI16" s="84">
        <f t="shared" si="20"/>
        <v>17.369999999999948</v>
      </c>
      <c r="AJ16" s="343">
        <f t="shared" si="21"/>
        <v>35</v>
      </c>
      <c r="AK16" s="344">
        <f t="shared" si="6"/>
        <v>59</v>
      </c>
      <c r="AL16" s="344">
        <f t="shared" si="22"/>
        <v>35</v>
      </c>
      <c r="AM16" s="344">
        <f>'General information '!D16</f>
        <v>15</v>
      </c>
      <c r="AN16" s="85">
        <f>'General information '!H16</f>
        <v>180</v>
      </c>
      <c r="AO16" s="85"/>
      <c r="AP16" s="85">
        <f>'General information '!J16</f>
        <v>536</v>
      </c>
      <c r="AQ16" s="82"/>
      <c r="AR16" s="287">
        <f t="shared" si="23"/>
        <v>43841</v>
      </c>
      <c r="AS16" s="449">
        <f t="shared" si="7"/>
        <v>0.9</v>
      </c>
      <c r="AT16" s="205">
        <v>47</v>
      </c>
      <c r="AU16" s="450">
        <f t="shared" si="32"/>
        <v>1.1000000000000001</v>
      </c>
      <c r="AV16" s="205">
        <v>70</v>
      </c>
      <c r="AW16" s="5">
        <v>2.9</v>
      </c>
      <c r="AX16" s="205">
        <v>92</v>
      </c>
      <c r="AY16" s="453">
        <f t="shared" si="8"/>
        <v>42.300000000000004</v>
      </c>
      <c r="AZ16" s="453">
        <f t="shared" si="24"/>
        <v>77</v>
      </c>
      <c r="BA16" s="453">
        <f t="shared" si="25"/>
        <v>266.8</v>
      </c>
      <c r="BB16" s="21">
        <f t="shared" si="26"/>
        <v>-67.5</v>
      </c>
      <c r="BC16" s="21">
        <f t="shared" si="27"/>
        <v>-9.9000000000000057</v>
      </c>
      <c r="BD16" s="21">
        <f t="shared" si="27"/>
        <v>11.600000000000023</v>
      </c>
      <c r="BE16" s="24">
        <f t="shared" si="28"/>
        <v>-65.799999999999983</v>
      </c>
      <c r="BF16" s="97">
        <f t="shared" si="9"/>
        <v>65.799999999999983</v>
      </c>
      <c r="BG16" s="83">
        <f t="shared" si="10"/>
        <v>-65.799999999999983</v>
      </c>
    </row>
    <row r="17" spans="1:61" ht="15.75" thickBot="1">
      <c r="A17" s="6">
        <f>ELEC!C14</f>
        <v>43842</v>
      </c>
      <c r="B17" s="5">
        <v>108441</v>
      </c>
      <c r="C17" s="5">
        <f t="shared" si="11"/>
        <v>0</v>
      </c>
      <c r="D17" s="443">
        <f t="shared" si="12"/>
        <v>0</v>
      </c>
      <c r="E17" s="350">
        <f>SUM((C17*$E$4)+(7500/'EDl log'!$A$38))</f>
        <v>241.93548387096774</v>
      </c>
      <c r="F17" s="442"/>
      <c r="G17" s="5">
        <v>586851</v>
      </c>
      <c r="H17" s="5">
        <f t="shared" si="13"/>
        <v>737</v>
      </c>
      <c r="I17" s="5">
        <f t="shared" si="0"/>
        <v>737</v>
      </c>
      <c r="J17" s="351">
        <f t="shared" si="1"/>
        <v>0.32827067010986127</v>
      </c>
      <c r="K17" s="5">
        <f>'Swimming Pool quality check '!H17</f>
        <v>5819</v>
      </c>
      <c r="L17" s="84">
        <f t="shared" si="31"/>
        <v>6</v>
      </c>
      <c r="M17" s="434">
        <f t="shared" si="14"/>
        <v>457.44</v>
      </c>
      <c r="N17" s="565">
        <f t="shared" si="33"/>
        <v>0</v>
      </c>
      <c r="O17" s="434">
        <f t="shared" si="14"/>
        <v>529.52</v>
      </c>
      <c r="P17" s="565">
        <f t="shared" si="34"/>
        <v>0</v>
      </c>
      <c r="Q17" s="565">
        <f t="shared" si="35"/>
        <v>0</v>
      </c>
      <c r="R17" s="565"/>
      <c r="S17" s="565"/>
      <c r="T17" s="5">
        <v>4434</v>
      </c>
      <c r="U17" s="5">
        <f t="shared" si="4"/>
        <v>7</v>
      </c>
      <c r="V17" s="5">
        <v>348</v>
      </c>
      <c r="W17" s="341">
        <f t="shared" si="15"/>
        <v>0</v>
      </c>
      <c r="X17" s="5">
        <v>139411</v>
      </c>
      <c r="Y17" s="341">
        <f t="shared" si="16"/>
        <v>101</v>
      </c>
      <c r="Z17" s="5">
        <v>91189</v>
      </c>
      <c r="AA17" s="84">
        <f t="shared" si="17"/>
        <v>110</v>
      </c>
      <c r="AB17" s="5">
        <f>AB16</f>
        <v>244</v>
      </c>
      <c r="AC17" s="5">
        <f t="shared" si="5"/>
        <v>670</v>
      </c>
      <c r="AD17" s="84">
        <f t="shared" si="30"/>
        <v>0</v>
      </c>
      <c r="AE17" s="5">
        <v>74.260000000000005</v>
      </c>
      <c r="AF17" s="84">
        <f t="shared" si="18"/>
        <v>0</v>
      </c>
      <c r="AG17" s="5">
        <v>1090.3</v>
      </c>
      <c r="AH17" s="84">
        <f t="shared" si="19"/>
        <v>0.82999999999992724</v>
      </c>
      <c r="AI17" s="84">
        <f t="shared" si="20"/>
        <v>0.82999999999992724</v>
      </c>
      <c r="AJ17" s="343">
        <f t="shared" si="21"/>
        <v>110</v>
      </c>
      <c r="AK17" s="344">
        <f t="shared" si="6"/>
        <v>95</v>
      </c>
      <c r="AL17" s="344">
        <f t="shared" si="22"/>
        <v>110</v>
      </c>
      <c r="AM17" s="344">
        <f>'General information '!D17</f>
        <v>14</v>
      </c>
      <c r="AN17" s="85">
        <f>'General information '!H17</f>
        <v>0</v>
      </c>
      <c r="AO17" s="85"/>
      <c r="AP17" s="85">
        <f>'General information '!J17</f>
        <v>233</v>
      </c>
      <c r="AQ17" s="96"/>
      <c r="AR17" s="287">
        <f t="shared" si="23"/>
        <v>43842</v>
      </c>
      <c r="AS17" s="449">
        <f t="shared" si="7"/>
        <v>0.9</v>
      </c>
      <c r="AT17" s="205">
        <v>36</v>
      </c>
      <c r="AU17" s="450">
        <f t="shared" si="32"/>
        <v>1.1000000000000001</v>
      </c>
      <c r="AV17" s="205">
        <v>120</v>
      </c>
      <c r="AW17" s="5">
        <v>2.9</v>
      </c>
      <c r="AX17" s="205">
        <v>109</v>
      </c>
      <c r="AY17" s="453">
        <f t="shared" si="8"/>
        <v>32.4</v>
      </c>
      <c r="AZ17" s="453">
        <f t="shared" si="24"/>
        <v>132</v>
      </c>
      <c r="BA17" s="453">
        <f t="shared" si="25"/>
        <v>316.09999999999997</v>
      </c>
      <c r="BB17" s="21">
        <f t="shared" si="26"/>
        <v>-9.9000000000000057</v>
      </c>
      <c r="BC17" s="21">
        <f t="shared" si="27"/>
        <v>55</v>
      </c>
      <c r="BD17" s="21">
        <f t="shared" si="27"/>
        <v>49.299999999999955</v>
      </c>
      <c r="BE17" s="24">
        <f t="shared" si="28"/>
        <v>94.399999999999949</v>
      </c>
      <c r="BF17" s="97">
        <f t="shared" si="9"/>
        <v>642.6</v>
      </c>
      <c r="BG17" s="83">
        <f t="shared" si="10"/>
        <v>94.399999999999977</v>
      </c>
    </row>
    <row r="18" spans="1:61" ht="15.75" thickBot="1">
      <c r="A18" s="6">
        <f>ELEC!C15</f>
        <v>43843</v>
      </c>
      <c r="B18" s="5">
        <v>108441</v>
      </c>
      <c r="C18" s="5">
        <f t="shared" si="11"/>
        <v>0</v>
      </c>
      <c r="D18" s="443">
        <f t="shared" si="12"/>
        <v>0</v>
      </c>
      <c r="E18" s="350">
        <f>SUM((C18*$E$4)+(7500/'EDl log'!$A$38))</f>
        <v>241.93548387096774</v>
      </c>
      <c r="F18" s="442"/>
      <c r="G18" s="5">
        <v>586851</v>
      </c>
      <c r="H18" s="5">
        <f t="shared" si="13"/>
        <v>0</v>
      </c>
      <c r="I18" s="5">
        <f t="shared" si="0"/>
        <v>0</v>
      </c>
      <c r="J18" s="351">
        <f t="shared" si="1"/>
        <v>0</v>
      </c>
      <c r="K18" s="5">
        <f>'Swimming Pool quality check '!H18</f>
        <v>5822</v>
      </c>
      <c r="L18" s="84">
        <f t="shared" si="31"/>
        <v>3</v>
      </c>
      <c r="M18" s="434">
        <f t="shared" si="14"/>
        <v>457.44</v>
      </c>
      <c r="N18" s="565">
        <f t="shared" si="33"/>
        <v>0</v>
      </c>
      <c r="O18" s="434">
        <f t="shared" si="14"/>
        <v>529.52</v>
      </c>
      <c r="P18" s="565">
        <f t="shared" si="34"/>
        <v>0</v>
      </c>
      <c r="Q18" s="565">
        <f t="shared" si="35"/>
        <v>0</v>
      </c>
      <c r="R18" s="565"/>
      <c r="S18" s="565"/>
      <c r="T18" s="5">
        <v>4443</v>
      </c>
      <c r="U18" s="5">
        <f t="shared" si="4"/>
        <v>9</v>
      </c>
      <c r="V18" s="5">
        <v>348</v>
      </c>
      <c r="W18" s="341">
        <f t="shared" si="15"/>
        <v>0</v>
      </c>
      <c r="X18" s="5">
        <v>139486</v>
      </c>
      <c r="Y18" s="341">
        <f t="shared" si="16"/>
        <v>75</v>
      </c>
      <c r="Z18" s="5">
        <v>91189</v>
      </c>
      <c r="AA18" s="84">
        <f t="shared" si="17"/>
        <v>0</v>
      </c>
      <c r="AB18" s="5">
        <v>244</v>
      </c>
      <c r="AC18" s="5">
        <f t="shared" si="5"/>
        <v>670</v>
      </c>
      <c r="AD18" s="84">
        <f t="shared" si="30"/>
        <v>0</v>
      </c>
      <c r="AE18" s="5">
        <v>74.260000000000005</v>
      </c>
      <c r="AF18" s="84">
        <f t="shared" si="18"/>
        <v>0</v>
      </c>
      <c r="AG18" s="5">
        <v>1090.83</v>
      </c>
      <c r="AH18" s="84">
        <f t="shared" si="19"/>
        <v>0.52999999999997272</v>
      </c>
      <c r="AI18" s="84">
        <f t="shared" si="20"/>
        <v>0.52999999999997272</v>
      </c>
      <c r="AJ18" s="343">
        <f t="shared" si="21"/>
        <v>0</v>
      </c>
      <c r="AK18" s="344">
        <f t="shared" si="6"/>
        <v>72</v>
      </c>
      <c r="AL18" s="344">
        <f t="shared" si="22"/>
        <v>0</v>
      </c>
      <c r="AM18" s="344">
        <f>'General information '!D18</f>
        <v>15</v>
      </c>
      <c r="AN18" s="85">
        <f>'General information '!H18</f>
        <v>0</v>
      </c>
      <c r="AO18" s="85"/>
      <c r="AP18" s="85">
        <f>'General information '!J18</f>
        <v>540</v>
      </c>
      <c r="AQ18" s="96"/>
      <c r="AR18" s="287">
        <f t="shared" si="23"/>
        <v>43843</v>
      </c>
      <c r="AS18" s="449">
        <f t="shared" si="7"/>
        <v>0.9</v>
      </c>
      <c r="AT18" s="205">
        <v>73</v>
      </c>
      <c r="AU18" s="450">
        <f t="shared" si="32"/>
        <v>1.1000000000000001</v>
      </c>
      <c r="AV18" s="205">
        <v>107</v>
      </c>
      <c r="AW18" s="5">
        <v>2.9</v>
      </c>
      <c r="AX18" s="205">
        <v>115</v>
      </c>
      <c r="AY18" s="453">
        <f t="shared" si="8"/>
        <v>65.7</v>
      </c>
      <c r="AZ18" s="453">
        <f t="shared" si="24"/>
        <v>117.7</v>
      </c>
      <c r="BA18" s="453">
        <f t="shared" si="25"/>
        <v>333.5</v>
      </c>
      <c r="BB18" s="21">
        <f t="shared" si="26"/>
        <v>33.300000000000004</v>
      </c>
      <c r="BC18" s="21">
        <f t="shared" si="27"/>
        <v>-14.299999999999997</v>
      </c>
      <c r="BD18" s="21">
        <f t="shared" si="27"/>
        <v>17.400000000000034</v>
      </c>
      <c r="BE18" s="24">
        <f t="shared" si="28"/>
        <v>36.400000000000041</v>
      </c>
      <c r="BF18" s="97">
        <f t="shared" si="9"/>
        <v>-36.400000000000041</v>
      </c>
      <c r="BG18" s="83">
        <f t="shared" si="10"/>
        <v>36.400000000000041</v>
      </c>
    </row>
    <row r="19" spans="1:61" ht="15.75" thickBot="1">
      <c r="A19" s="6">
        <f>ELEC!C16</f>
        <v>43844</v>
      </c>
      <c r="B19" s="5">
        <v>108441</v>
      </c>
      <c r="C19" s="5">
        <f t="shared" si="11"/>
        <v>0</v>
      </c>
      <c r="D19" s="443">
        <f t="shared" si="12"/>
        <v>0</v>
      </c>
      <c r="E19" s="350">
        <f>SUM((C19*$E$4)+(7500/'EDl log'!$A$38))</f>
        <v>241.93548387096774</v>
      </c>
      <c r="F19" s="442"/>
      <c r="G19" s="5">
        <v>586940</v>
      </c>
      <c r="H19" s="5">
        <f t="shared" si="13"/>
        <v>89</v>
      </c>
      <c r="I19" s="5">
        <f t="shared" si="0"/>
        <v>89</v>
      </c>
      <c r="J19" s="351">
        <f t="shared" si="1"/>
        <v>2.7183762232693005</v>
      </c>
      <c r="K19" s="5">
        <f>'Swimming Pool quality check '!H19</f>
        <v>5826</v>
      </c>
      <c r="L19" s="84">
        <f t="shared" si="31"/>
        <v>4</v>
      </c>
      <c r="M19" s="434">
        <f t="shared" si="14"/>
        <v>457.44</v>
      </c>
      <c r="N19" s="565">
        <f t="shared" si="33"/>
        <v>0</v>
      </c>
      <c r="O19" s="434">
        <f t="shared" si="14"/>
        <v>529.52</v>
      </c>
      <c r="P19" s="565">
        <f t="shared" si="34"/>
        <v>0</v>
      </c>
      <c r="Q19" s="565">
        <f t="shared" si="35"/>
        <v>0</v>
      </c>
      <c r="R19" s="565"/>
      <c r="S19" s="565"/>
      <c r="T19" s="5">
        <v>4446</v>
      </c>
      <c r="U19" s="5">
        <f t="shared" si="4"/>
        <v>3</v>
      </c>
      <c r="V19" s="5">
        <v>349</v>
      </c>
      <c r="W19" s="341">
        <f t="shared" si="15"/>
        <v>1</v>
      </c>
      <c r="X19" s="5">
        <v>139576</v>
      </c>
      <c r="Y19" s="341">
        <f t="shared" si="16"/>
        <v>90</v>
      </c>
      <c r="Z19" s="5">
        <v>91246</v>
      </c>
      <c r="AA19" s="84">
        <f t="shared" si="17"/>
        <v>57</v>
      </c>
      <c r="AB19" s="5">
        <f t="shared" ref="AB19:AB36" si="37">AB18</f>
        <v>244</v>
      </c>
      <c r="AC19" s="5">
        <f t="shared" si="5"/>
        <v>670</v>
      </c>
      <c r="AD19" s="84">
        <f t="shared" si="30"/>
        <v>0</v>
      </c>
      <c r="AE19" s="5">
        <v>74.28</v>
      </c>
      <c r="AF19" s="84">
        <f t="shared" si="18"/>
        <v>1.9999999999996021E-2</v>
      </c>
      <c r="AG19" s="5">
        <v>1091.76</v>
      </c>
      <c r="AH19" s="84">
        <f t="shared" si="19"/>
        <v>0.93000000000006366</v>
      </c>
      <c r="AI19" s="84">
        <f t="shared" si="20"/>
        <v>0.95000000000005969</v>
      </c>
      <c r="AJ19" s="343">
        <f t="shared" si="21"/>
        <v>57</v>
      </c>
      <c r="AK19" s="344">
        <f t="shared" si="6"/>
        <v>86</v>
      </c>
      <c r="AL19" s="344">
        <f t="shared" si="22"/>
        <v>56</v>
      </c>
      <c r="AM19" s="344">
        <f>'General information '!D19</f>
        <v>14</v>
      </c>
      <c r="AN19" s="85">
        <f>'General information '!H19</f>
        <v>0</v>
      </c>
      <c r="AO19" s="85"/>
      <c r="AP19" s="85">
        <f>'General information '!J19</f>
        <v>184</v>
      </c>
      <c r="AQ19" s="82"/>
      <c r="AR19" s="287">
        <f t="shared" si="23"/>
        <v>43844</v>
      </c>
      <c r="AS19" s="449">
        <f t="shared" si="7"/>
        <v>0.9</v>
      </c>
      <c r="AT19" s="205">
        <v>133</v>
      </c>
      <c r="AU19" s="450">
        <f t="shared" si="32"/>
        <v>1.1000000000000001</v>
      </c>
      <c r="AV19" s="205">
        <v>59</v>
      </c>
      <c r="AW19" s="5">
        <v>2.9</v>
      </c>
      <c r="AX19" s="205">
        <v>131</v>
      </c>
      <c r="AY19" s="453">
        <f t="shared" si="8"/>
        <v>119.7</v>
      </c>
      <c r="AZ19" s="453">
        <f t="shared" si="24"/>
        <v>64.900000000000006</v>
      </c>
      <c r="BA19" s="453">
        <f t="shared" si="25"/>
        <v>379.9</v>
      </c>
      <c r="BB19" s="21">
        <f t="shared" si="26"/>
        <v>54</v>
      </c>
      <c r="BC19" s="21">
        <f t="shared" si="27"/>
        <v>-52.8</v>
      </c>
      <c r="BD19" s="21">
        <f t="shared" si="27"/>
        <v>46.399999999999977</v>
      </c>
      <c r="BE19" s="24">
        <f t="shared" si="28"/>
        <v>47.59999999999998</v>
      </c>
      <c r="BF19" s="97">
        <f t="shared" si="9"/>
        <v>41.40000000000002</v>
      </c>
      <c r="BG19" s="83">
        <f t="shared" si="10"/>
        <v>47.59999999999998</v>
      </c>
    </row>
    <row r="20" spans="1:61" ht="15.75" thickBot="1">
      <c r="A20" s="6">
        <f>ELEC!C17</f>
        <v>43845</v>
      </c>
      <c r="B20" s="5">
        <v>108441</v>
      </c>
      <c r="C20" s="5">
        <f t="shared" si="11"/>
        <v>0</v>
      </c>
      <c r="D20" s="443">
        <f t="shared" si="12"/>
        <v>0</v>
      </c>
      <c r="E20" s="350">
        <f>SUM((C20*$E$4)+(7500/'EDl log'!$A$38))</f>
        <v>241.93548387096774</v>
      </c>
      <c r="F20" s="442"/>
      <c r="G20" s="5">
        <v>586940</v>
      </c>
      <c r="H20" s="5">
        <f t="shared" si="13"/>
        <v>0</v>
      </c>
      <c r="I20" s="5">
        <f t="shared" si="0"/>
        <v>0</v>
      </c>
      <c r="J20" s="351">
        <f t="shared" si="1"/>
        <v>0</v>
      </c>
      <c r="K20" s="5">
        <f>'Swimming Pool quality check '!H20</f>
        <v>5832</v>
      </c>
      <c r="L20" s="84">
        <f t="shared" si="31"/>
        <v>6</v>
      </c>
      <c r="M20" s="434">
        <f t="shared" si="14"/>
        <v>457.44</v>
      </c>
      <c r="N20" s="565">
        <f t="shared" si="33"/>
        <v>0</v>
      </c>
      <c r="O20" s="434">
        <f t="shared" si="14"/>
        <v>529.52</v>
      </c>
      <c r="P20" s="565">
        <f t="shared" si="34"/>
        <v>0</v>
      </c>
      <c r="Q20" s="565">
        <f t="shared" si="35"/>
        <v>0</v>
      </c>
      <c r="R20" s="565"/>
      <c r="S20" s="565"/>
      <c r="T20" s="5">
        <v>4450</v>
      </c>
      <c r="U20" s="5">
        <f t="shared" si="4"/>
        <v>4</v>
      </c>
      <c r="V20" s="5">
        <v>350</v>
      </c>
      <c r="W20" s="341">
        <f t="shared" si="15"/>
        <v>1</v>
      </c>
      <c r="X20" s="5">
        <v>139578</v>
      </c>
      <c r="Y20" s="341">
        <f t="shared" si="16"/>
        <v>2</v>
      </c>
      <c r="Z20" s="5">
        <v>91246</v>
      </c>
      <c r="AA20" s="84">
        <f t="shared" si="17"/>
        <v>0</v>
      </c>
      <c r="AB20" s="5">
        <f t="shared" si="37"/>
        <v>244</v>
      </c>
      <c r="AC20" s="5">
        <f t="shared" si="5"/>
        <v>670</v>
      </c>
      <c r="AD20" s="84">
        <f t="shared" si="30"/>
        <v>0</v>
      </c>
      <c r="AE20" s="5">
        <v>78.03</v>
      </c>
      <c r="AF20" s="84">
        <f t="shared" si="18"/>
        <v>3.75</v>
      </c>
      <c r="AG20" s="5">
        <v>1117.74</v>
      </c>
      <c r="AH20" s="84">
        <f t="shared" si="19"/>
        <v>25.980000000000018</v>
      </c>
      <c r="AI20" s="84">
        <f t="shared" si="20"/>
        <v>29.730000000000018</v>
      </c>
      <c r="AJ20" s="343">
        <f t="shared" si="21"/>
        <v>0</v>
      </c>
      <c r="AK20" s="344">
        <f t="shared" si="6"/>
        <v>-4</v>
      </c>
      <c r="AL20" s="344">
        <f t="shared" si="22"/>
        <v>-1</v>
      </c>
      <c r="AM20" s="344">
        <f>'General information '!D20</f>
        <v>15</v>
      </c>
      <c r="AN20" s="85">
        <f>'General information '!H20</f>
        <v>0</v>
      </c>
      <c r="AO20" s="85"/>
      <c r="AP20" s="85">
        <f>'General information '!J20</f>
        <v>345</v>
      </c>
      <c r="AQ20" s="82"/>
      <c r="AR20" s="287">
        <f t="shared" si="23"/>
        <v>43845</v>
      </c>
      <c r="AS20" s="449">
        <f t="shared" si="7"/>
        <v>0.9</v>
      </c>
      <c r="AT20" s="205">
        <v>62</v>
      </c>
      <c r="AU20" s="450">
        <f t="shared" si="32"/>
        <v>1.1000000000000001</v>
      </c>
      <c r="AV20" s="205">
        <v>95</v>
      </c>
      <c r="AW20" s="5">
        <v>2.9</v>
      </c>
      <c r="AX20" s="205">
        <v>117</v>
      </c>
      <c r="AY20" s="453">
        <f t="shared" si="8"/>
        <v>55.800000000000004</v>
      </c>
      <c r="AZ20" s="453">
        <f t="shared" si="24"/>
        <v>104.50000000000001</v>
      </c>
      <c r="BA20" s="453">
        <f t="shared" si="25"/>
        <v>339.3</v>
      </c>
      <c r="BB20" s="21">
        <f t="shared" si="26"/>
        <v>-63.9</v>
      </c>
      <c r="BC20" s="21">
        <f t="shared" si="27"/>
        <v>39.600000000000009</v>
      </c>
      <c r="BD20" s="21">
        <f t="shared" si="27"/>
        <v>-40.599999999999966</v>
      </c>
      <c r="BE20" s="24">
        <f t="shared" si="28"/>
        <v>-64.899999999999949</v>
      </c>
      <c r="BF20" s="97">
        <f t="shared" si="9"/>
        <v>64.899999999999949</v>
      </c>
      <c r="BG20" s="83">
        <f t="shared" si="10"/>
        <v>-64.899999999999949</v>
      </c>
    </row>
    <row r="21" spans="1:61" ht="15.75" thickBot="1">
      <c r="A21" s="6">
        <f>ELEC!C18</f>
        <v>43846</v>
      </c>
      <c r="B21" s="5">
        <f t="shared" si="36"/>
        <v>108441</v>
      </c>
      <c r="C21" s="5">
        <f t="shared" si="11"/>
        <v>0</v>
      </c>
      <c r="D21" s="443">
        <f t="shared" si="12"/>
        <v>0</v>
      </c>
      <c r="E21" s="350">
        <f>SUM((C21*$E$4)+(7500/'EDl log'!$A$38))</f>
        <v>241.93548387096774</v>
      </c>
      <c r="F21" s="344"/>
      <c r="G21" s="5">
        <v>587283</v>
      </c>
      <c r="H21" s="5">
        <f t="shared" si="13"/>
        <v>343</v>
      </c>
      <c r="I21" s="5">
        <f t="shared" si="0"/>
        <v>343</v>
      </c>
      <c r="J21" s="351">
        <f t="shared" si="1"/>
        <v>0.70535126492993516</v>
      </c>
      <c r="K21" s="5">
        <f>'Swimming Pool quality check '!H21</f>
        <v>5834</v>
      </c>
      <c r="L21" s="84">
        <f t="shared" si="31"/>
        <v>2</v>
      </c>
      <c r="M21" s="434">
        <f t="shared" si="14"/>
        <v>457.44</v>
      </c>
      <c r="N21" s="565">
        <f t="shared" si="33"/>
        <v>0</v>
      </c>
      <c r="O21" s="434">
        <f t="shared" si="14"/>
        <v>529.52</v>
      </c>
      <c r="P21" s="565">
        <f t="shared" si="34"/>
        <v>0</v>
      </c>
      <c r="Q21" s="565">
        <f t="shared" si="35"/>
        <v>0</v>
      </c>
      <c r="R21" s="565"/>
      <c r="S21" s="565"/>
      <c r="T21" s="5">
        <v>4456</v>
      </c>
      <c r="U21" s="5">
        <f t="shared" si="4"/>
        <v>6</v>
      </c>
      <c r="V21" s="5">
        <f>V20</f>
        <v>350</v>
      </c>
      <c r="W21" s="341">
        <f t="shared" si="15"/>
        <v>0</v>
      </c>
      <c r="X21" s="5">
        <v>139647</v>
      </c>
      <c r="Y21" s="341">
        <f>SUM(X21-X20)</f>
        <v>69</v>
      </c>
      <c r="Z21" s="5">
        <v>91335</v>
      </c>
      <c r="AA21" s="84">
        <f t="shared" si="17"/>
        <v>89</v>
      </c>
      <c r="AB21" s="5">
        <f t="shared" si="37"/>
        <v>244</v>
      </c>
      <c r="AC21" s="5">
        <f t="shared" si="5"/>
        <v>670</v>
      </c>
      <c r="AD21" s="84">
        <f t="shared" si="30"/>
        <v>0</v>
      </c>
      <c r="AE21" s="5">
        <f>AE20</f>
        <v>78.03</v>
      </c>
      <c r="AF21" s="84">
        <f t="shared" si="18"/>
        <v>0</v>
      </c>
      <c r="AG21" s="5">
        <v>1122.72</v>
      </c>
      <c r="AH21" s="84">
        <f t="shared" si="19"/>
        <v>4.9800000000000182</v>
      </c>
      <c r="AI21" s="84">
        <f t="shared" si="20"/>
        <v>4.9800000000000182</v>
      </c>
      <c r="AJ21" s="343">
        <f t="shared" si="21"/>
        <v>89</v>
      </c>
      <c r="AK21" s="344">
        <f t="shared" si="6"/>
        <v>67</v>
      </c>
      <c r="AL21" s="344">
        <f t="shared" si="22"/>
        <v>89</v>
      </c>
      <c r="AM21" s="344">
        <f>'General information '!D21</f>
        <v>16</v>
      </c>
      <c r="AN21" s="85">
        <f>'General information '!H21</f>
        <v>107</v>
      </c>
      <c r="AO21" s="85"/>
      <c r="AP21" s="85">
        <f>'General information '!J21</f>
        <v>331</v>
      </c>
      <c r="AQ21" s="82"/>
      <c r="AR21" s="287">
        <f t="shared" si="23"/>
        <v>43846</v>
      </c>
      <c r="AS21" s="449">
        <f t="shared" si="7"/>
        <v>0.9</v>
      </c>
      <c r="AT21" s="205">
        <v>118</v>
      </c>
      <c r="AU21" s="450">
        <f t="shared" si="32"/>
        <v>1.1000000000000001</v>
      </c>
      <c r="AV21" s="205">
        <v>140</v>
      </c>
      <c r="AW21" s="5">
        <v>2.9</v>
      </c>
      <c r="AX21" s="205">
        <v>125</v>
      </c>
      <c r="AY21" s="453">
        <f t="shared" si="8"/>
        <v>106.2</v>
      </c>
      <c r="AZ21" s="453">
        <f t="shared" si="24"/>
        <v>154</v>
      </c>
      <c r="BA21" s="453">
        <f t="shared" si="25"/>
        <v>362.5</v>
      </c>
      <c r="BB21" s="21">
        <f t="shared" si="26"/>
        <v>50.4</v>
      </c>
      <c r="BC21" s="21">
        <f t="shared" si="27"/>
        <v>49.499999999999986</v>
      </c>
      <c r="BD21" s="21">
        <f t="shared" si="27"/>
        <v>23.199999999999989</v>
      </c>
      <c r="BE21" s="24">
        <f t="shared" si="28"/>
        <v>123.09999999999997</v>
      </c>
      <c r="BF21" s="97">
        <f t="shared" si="9"/>
        <v>219.90000000000003</v>
      </c>
      <c r="BG21" s="83">
        <f t="shared" si="10"/>
        <v>123.09999999999997</v>
      </c>
    </row>
    <row r="22" spans="1:61" ht="15.75" thickBot="1">
      <c r="A22" s="6">
        <f>ELEC!C19</f>
        <v>43847</v>
      </c>
      <c r="B22" s="5">
        <f t="shared" si="36"/>
        <v>108441</v>
      </c>
      <c r="C22" s="5">
        <f t="shared" si="11"/>
        <v>0</v>
      </c>
      <c r="D22" s="443">
        <f t="shared" si="12"/>
        <v>0</v>
      </c>
      <c r="E22" s="350">
        <f>SUM((C22*$E$4)+(7500/'EDl log'!$A$38))</f>
        <v>241.93548387096774</v>
      </c>
      <c r="F22" s="344"/>
      <c r="G22" s="5">
        <f t="shared" si="29"/>
        <v>587283</v>
      </c>
      <c r="H22" s="5">
        <f t="shared" si="13"/>
        <v>0</v>
      </c>
      <c r="I22" s="5">
        <f t="shared" si="0"/>
        <v>0</v>
      </c>
      <c r="J22" s="351">
        <f t="shared" si="1"/>
        <v>0</v>
      </c>
      <c r="K22" s="5">
        <f>'Swimming Pool quality check '!H22</f>
        <v>5834</v>
      </c>
      <c r="L22" s="84">
        <f t="shared" si="31"/>
        <v>0</v>
      </c>
      <c r="M22" s="434">
        <f t="shared" si="14"/>
        <v>457.44</v>
      </c>
      <c r="N22" s="565">
        <f t="shared" si="33"/>
        <v>0</v>
      </c>
      <c r="O22" s="434">
        <f t="shared" si="14"/>
        <v>529.52</v>
      </c>
      <c r="P22" s="565">
        <f t="shared" si="34"/>
        <v>0</v>
      </c>
      <c r="Q22" s="565">
        <f t="shared" si="35"/>
        <v>0</v>
      </c>
      <c r="R22" s="565"/>
      <c r="S22" s="565"/>
      <c r="T22" s="5">
        <v>4460</v>
      </c>
      <c r="U22" s="5">
        <f t="shared" si="4"/>
        <v>4</v>
      </c>
      <c r="V22" s="5">
        <v>353</v>
      </c>
      <c r="W22" s="341">
        <f t="shared" si="15"/>
        <v>3</v>
      </c>
      <c r="X22" s="5">
        <v>139647</v>
      </c>
      <c r="Y22" s="341">
        <f t="shared" si="16"/>
        <v>0</v>
      </c>
      <c r="Z22" s="5">
        <f t="shared" ref="Z22:Z36" si="38">Z21</f>
        <v>91335</v>
      </c>
      <c r="AA22" s="84">
        <f t="shared" si="17"/>
        <v>0</v>
      </c>
      <c r="AB22" s="5">
        <f t="shared" si="37"/>
        <v>244</v>
      </c>
      <c r="AC22" s="5">
        <f t="shared" si="5"/>
        <v>670</v>
      </c>
      <c r="AD22" s="84">
        <f t="shared" si="30"/>
        <v>0</v>
      </c>
      <c r="AE22" s="5">
        <v>81.78</v>
      </c>
      <c r="AF22" s="84">
        <f t="shared" si="18"/>
        <v>3.75</v>
      </c>
      <c r="AG22" s="5">
        <v>1126.6099999999999</v>
      </c>
      <c r="AH22" s="84">
        <f t="shared" si="19"/>
        <v>3.8899999999998727</v>
      </c>
      <c r="AI22" s="84">
        <f t="shared" si="20"/>
        <v>7.6399999999998727</v>
      </c>
      <c r="AJ22" s="343">
        <f t="shared" si="21"/>
        <v>0</v>
      </c>
      <c r="AK22" s="344">
        <f t="shared" si="6"/>
        <v>0</v>
      </c>
      <c r="AL22" s="344">
        <f t="shared" si="22"/>
        <v>-3</v>
      </c>
      <c r="AM22" s="344">
        <f>'General information '!D22</f>
        <v>16.5</v>
      </c>
      <c r="AN22" s="85">
        <f>'General information '!H22</f>
        <v>100</v>
      </c>
      <c r="AO22" s="85"/>
      <c r="AP22" s="85">
        <f>'General information '!J22</f>
        <v>340</v>
      </c>
      <c r="AR22" s="287">
        <f t="shared" si="23"/>
        <v>43847</v>
      </c>
      <c r="AS22" s="449">
        <f t="shared" ref="AS22:AT37" si="39">AS21</f>
        <v>0.9</v>
      </c>
      <c r="AT22" s="205">
        <v>127</v>
      </c>
      <c r="AU22" s="450">
        <f t="shared" si="32"/>
        <v>1.1000000000000001</v>
      </c>
      <c r="AV22" s="205">
        <v>120</v>
      </c>
      <c r="AW22" s="5">
        <v>2.9</v>
      </c>
      <c r="AX22" s="205">
        <v>113</v>
      </c>
      <c r="AY22" s="453">
        <f t="shared" si="8"/>
        <v>114.3</v>
      </c>
      <c r="AZ22" s="453">
        <f t="shared" si="24"/>
        <v>132</v>
      </c>
      <c r="BA22" s="453">
        <f t="shared" si="25"/>
        <v>327.7</v>
      </c>
      <c r="BB22" s="21">
        <f t="shared" si="26"/>
        <v>8.0999999999999943</v>
      </c>
      <c r="BC22" s="21">
        <f t="shared" si="26"/>
        <v>-22</v>
      </c>
      <c r="BD22" s="21">
        <f t="shared" si="26"/>
        <v>-34.800000000000011</v>
      </c>
      <c r="BE22" s="24">
        <f t="shared" si="28"/>
        <v>-48.700000000000017</v>
      </c>
      <c r="BF22" s="97">
        <f t="shared" si="9"/>
        <v>48.700000000000017</v>
      </c>
      <c r="BG22" s="83">
        <f t="shared" si="10"/>
        <v>-48.700000000000017</v>
      </c>
    </row>
    <row r="23" spans="1:61" ht="15.75" thickBot="1">
      <c r="A23" s="6">
        <f>ELEC!C20</f>
        <v>43848</v>
      </c>
      <c r="B23" s="5">
        <f t="shared" si="36"/>
        <v>108441</v>
      </c>
      <c r="C23" s="5">
        <f t="shared" si="11"/>
        <v>0</v>
      </c>
      <c r="D23" s="443">
        <f t="shared" si="12"/>
        <v>0</v>
      </c>
      <c r="E23" s="350">
        <f>SUM((C23*$E$4)+(7500/'EDl log'!$A$38))</f>
        <v>241.93548387096774</v>
      </c>
      <c r="F23" s="344"/>
      <c r="G23" s="5">
        <f t="shared" si="29"/>
        <v>587283</v>
      </c>
      <c r="H23" s="5">
        <f t="shared" si="13"/>
        <v>0</v>
      </c>
      <c r="I23" s="5">
        <f t="shared" si="0"/>
        <v>0</v>
      </c>
      <c r="J23" s="351">
        <f t="shared" si="1"/>
        <v>0</v>
      </c>
      <c r="K23" s="5">
        <f>'Swimming Pool quality check '!H23</f>
        <v>5834</v>
      </c>
      <c r="L23" s="282">
        <f t="shared" si="31"/>
        <v>0</v>
      </c>
      <c r="M23" s="434">
        <f t="shared" si="14"/>
        <v>457.44</v>
      </c>
      <c r="N23" s="565">
        <f t="shared" si="33"/>
        <v>0</v>
      </c>
      <c r="O23" s="434">
        <f t="shared" si="14"/>
        <v>529.52</v>
      </c>
      <c r="P23" s="565">
        <f t="shared" si="34"/>
        <v>0</v>
      </c>
      <c r="Q23" s="565">
        <f t="shared" si="35"/>
        <v>0</v>
      </c>
      <c r="R23" s="567"/>
      <c r="S23" s="567"/>
      <c r="T23" s="5">
        <f t="shared" ref="T23:T36" si="40">T22</f>
        <v>4460</v>
      </c>
      <c r="U23" s="5">
        <f t="shared" si="4"/>
        <v>0</v>
      </c>
      <c r="V23" s="5">
        <f t="shared" ref="V23:V36" si="41">V22</f>
        <v>353</v>
      </c>
      <c r="W23" s="341">
        <f t="shared" si="15"/>
        <v>0</v>
      </c>
      <c r="X23" s="5">
        <f t="shared" ref="X23:X36" si="42">X22</f>
        <v>139647</v>
      </c>
      <c r="Y23" s="341">
        <f t="shared" si="16"/>
        <v>0</v>
      </c>
      <c r="Z23" s="5">
        <f t="shared" si="38"/>
        <v>91335</v>
      </c>
      <c r="AA23" s="84">
        <f t="shared" si="17"/>
        <v>0</v>
      </c>
      <c r="AB23" s="5">
        <f t="shared" si="37"/>
        <v>244</v>
      </c>
      <c r="AC23" s="5">
        <f t="shared" si="5"/>
        <v>670</v>
      </c>
      <c r="AD23" s="84">
        <f t="shared" si="30"/>
        <v>0</v>
      </c>
      <c r="AE23" s="5">
        <f t="shared" ref="AE23:AE36" si="43">AE22</f>
        <v>81.78</v>
      </c>
      <c r="AF23" s="84">
        <f t="shared" si="18"/>
        <v>0</v>
      </c>
      <c r="AG23" s="5">
        <f t="shared" ref="AG23:AG36" si="44">AG22</f>
        <v>1126.6099999999999</v>
      </c>
      <c r="AH23" s="84">
        <f t="shared" si="19"/>
        <v>0</v>
      </c>
      <c r="AI23" s="84">
        <f t="shared" si="20"/>
        <v>0</v>
      </c>
      <c r="AJ23" s="343">
        <f t="shared" si="21"/>
        <v>0</v>
      </c>
      <c r="AK23" s="344">
        <f t="shared" si="6"/>
        <v>0</v>
      </c>
      <c r="AL23" s="344">
        <f t="shared" si="22"/>
        <v>0</v>
      </c>
      <c r="AM23" s="344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7">
        <f t="shared" si="23"/>
        <v>43848</v>
      </c>
      <c r="AS23" s="449">
        <f t="shared" si="39"/>
        <v>0.9</v>
      </c>
      <c r="AT23" s="205">
        <f t="shared" si="39"/>
        <v>127</v>
      </c>
      <c r="AU23" s="450">
        <f t="shared" si="32"/>
        <v>1.1000000000000001</v>
      </c>
      <c r="AV23" s="205">
        <f t="shared" ref="AV23:AV36" si="45">AV22</f>
        <v>120</v>
      </c>
      <c r="AW23" s="5">
        <v>2.9</v>
      </c>
      <c r="AX23" s="205">
        <f t="shared" ref="AX23:AX36" si="46">AX22</f>
        <v>113</v>
      </c>
      <c r="AY23" s="453">
        <f t="shared" si="8"/>
        <v>114.3</v>
      </c>
      <c r="AZ23" s="453">
        <f t="shared" si="24"/>
        <v>132</v>
      </c>
      <c r="BA23" s="453">
        <f t="shared" si="25"/>
        <v>327.7</v>
      </c>
      <c r="BB23" s="21">
        <f t="shared" si="26"/>
        <v>0</v>
      </c>
      <c r="BC23" s="21">
        <f t="shared" si="26"/>
        <v>0</v>
      </c>
      <c r="BD23" s="21">
        <f t="shared" si="26"/>
        <v>0</v>
      </c>
      <c r="BE23" s="24">
        <f t="shared" si="28"/>
        <v>0</v>
      </c>
      <c r="BF23" s="97">
        <f t="shared" si="9"/>
        <v>0</v>
      </c>
      <c r="BG23" s="83">
        <f t="shared" si="10"/>
        <v>0</v>
      </c>
    </row>
    <row r="24" spans="1:61" ht="15.75" thickBot="1">
      <c r="A24" s="6">
        <f>ELEC!C21</f>
        <v>43849</v>
      </c>
      <c r="B24" s="5">
        <f t="shared" si="36"/>
        <v>108441</v>
      </c>
      <c r="C24" s="5">
        <f t="shared" si="11"/>
        <v>0</v>
      </c>
      <c r="D24" s="443">
        <f t="shared" si="12"/>
        <v>0</v>
      </c>
      <c r="E24" s="350">
        <f>SUM((C24*$E$4)+(7500/'EDl log'!$A$38))</f>
        <v>241.93548387096774</v>
      </c>
      <c r="F24" s="344"/>
      <c r="G24" s="5">
        <f t="shared" si="29"/>
        <v>587283</v>
      </c>
      <c r="H24" s="5">
        <f t="shared" si="13"/>
        <v>0</v>
      </c>
      <c r="I24" s="5">
        <f t="shared" si="0"/>
        <v>0</v>
      </c>
      <c r="J24" s="351">
        <f t="shared" si="1"/>
        <v>0</v>
      </c>
      <c r="K24" s="5">
        <f>'Swimming Pool quality check '!H24</f>
        <v>5834</v>
      </c>
      <c r="L24" s="282">
        <f t="shared" si="31"/>
        <v>0</v>
      </c>
      <c r="M24" s="434">
        <f t="shared" si="14"/>
        <v>457.44</v>
      </c>
      <c r="N24" s="565">
        <f t="shared" si="33"/>
        <v>0</v>
      </c>
      <c r="O24" s="434">
        <f t="shared" si="14"/>
        <v>529.52</v>
      </c>
      <c r="P24" s="565">
        <f t="shared" si="34"/>
        <v>0</v>
      </c>
      <c r="Q24" s="565">
        <f t="shared" si="35"/>
        <v>0</v>
      </c>
      <c r="R24" s="567"/>
      <c r="S24" s="567"/>
      <c r="T24" s="5">
        <f t="shared" si="40"/>
        <v>4460</v>
      </c>
      <c r="U24" s="5">
        <f t="shared" si="4"/>
        <v>0</v>
      </c>
      <c r="V24" s="5">
        <f t="shared" si="41"/>
        <v>353</v>
      </c>
      <c r="W24" s="341">
        <f t="shared" si="15"/>
        <v>0</v>
      </c>
      <c r="X24" s="5">
        <f t="shared" si="42"/>
        <v>139647</v>
      </c>
      <c r="Y24" s="341">
        <f t="shared" si="16"/>
        <v>0</v>
      </c>
      <c r="Z24" s="5">
        <f t="shared" si="38"/>
        <v>91335</v>
      </c>
      <c r="AA24" s="84">
        <f t="shared" si="17"/>
        <v>0</v>
      </c>
      <c r="AB24" s="5">
        <f t="shared" si="37"/>
        <v>244</v>
      </c>
      <c r="AC24" s="5">
        <f t="shared" si="5"/>
        <v>670</v>
      </c>
      <c r="AD24" s="84">
        <f t="shared" si="30"/>
        <v>0</v>
      </c>
      <c r="AE24" s="5">
        <f t="shared" si="43"/>
        <v>81.78</v>
      </c>
      <c r="AF24" s="84">
        <f t="shared" si="18"/>
        <v>0</v>
      </c>
      <c r="AG24" s="5">
        <f t="shared" si="44"/>
        <v>1126.6099999999999</v>
      </c>
      <c r="AH24" s="84">
        <f t="shared" si="19"/>
        <v>0</v>
      </c>
      <c r="AI24" s="84">
        <f t="shared" si="20"/>
        <v>0</v>
      </c>
      <c r="AJ24" s="343">
        <f t="shared" si="21"/>
        <v>0</v>
      </c>
      <c r="AK24" s="344">
        <f t="shared" si="6"/>
        <v>0</v>
      </c>
      <c r="AL24" s="344">
        <f t="shared" si="22"/>
        <v>0</v>
      </c>
      <c r="AM24" s="344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7">
        <f t="shared" si="23"/>
        <v>43849</v>
      </c>
      <c r="AS24" s="449">
        <f t="shared" si="39"/>
        <v>0.9</v>
      </c>
      <c r="AT24" s="205">
        <f t="shared" si="39"/>
        <v>127</v>
      </c>
      <c r="AU24" s="450">
        <f t="shared" si="32"/>
        <v>1.1000000000000001</v>
      </c>
      <c r="AV24" s="205">
        <f t="shared" si="45"/>
        <v>120</v>
      </c>
      <c r="AW24" s="5">
        <v>2.9</v>
      </c>
      <c r="AX24" s="205">
        <f t="shared" si="46"/>
        <v>113</v>
      </c>
      <c r="AY24" s="453">
        <f t="shared" si="8"/>
        <v>114.3</v>
      </c>
      <c r="AZ24" s="453">
        <f t="shared" si="24"/>
        <v>132</v>
      </c>
      <c r="BA24" s="453">
        <f t="shared" si="25"/>
        <v>327.7</v>
      </c>
      <c r="BB24" s="21">
        <f t="shared" si="26"/>
        <v>0</v>
      </c>
      <c r="BC24" s="21">
        <f t="shared" si="26"/>
        <v>0</v>
      </c>
      <c r="BD24" s="21">
        <f t="shared" si="26"/>
        <v>0</v>
      </c>
      <c r="BE24" s="24">
        <f t="shared" si="28"/>
        <v>0</v>
      </c>
      <c r="BF24" s="97">
        <f t="shared" si="9"/>
        <v>0</v>
      </c>
      <c r="BG24" s="83">
        <f t="shared" si="10"/>
        <v>0</v>
      </c>
      <c r="BI24" s="83"/>
    </row>
    <row r="25" spans="1:61" ht="15.75" thickBot="1">
      <c r="A25" s="6">
        <f>ELEC!C22</f>
        <v>43850</v>
      </c>
      <c r="B25" s="5">
        <f t="shared" si="36"/>
        <v>108441</v>
      </c>
      <c r="C25" s="5">
        <f t="shared" si="11"/>
        <v>0</v>
      </c>
      <c r="D25" s="443">
        <f t="shared" si="12"/>
        <v>0</v>
      </c>
      <c r="E25" s="350">
        <f>SUM((C25*$E$4)+(7500/'EDl log'!$A$38))</f>
        <v>241.93548387096774</v>
      </c>
      <c r="F25" s="344"/>
      <c r="G25" s="5">
        <f t="shared" si="29"/>
        <v>587283</v>
      </c>
      <c r="H25" s="5">
        <f t="shared" si="13"/>
        <v>0</v>
      </c>
      <c r="I25" s="5">
        <f t="shared" si="0"/>
        <v>0</v>
      </c>
      <c r="J25" s="351">
        <f t="shared" si="1"/>
        <v>0</v>
      </c>
      <c r="K25" s="5">
        <f>'Swimming Pool quality check '!H25</f>
        <v>5834</v>
      </c>
      <c r="L25" s="282">
        <f t="shared" si="31"/>
        <v>0</v>
      </c>
      <c r="M25" s="434">
        <f t="shared" si="14"/>
        <v>457.44</v>
      </c>
      <c r="N25" s="565">
        <f t="shared" si="33"/>
        <v>0</v>
      </c>
      <c r="O25" s="434">
        <f t="shared" si="14"/>
        <v>529.52</v>
      </c>
      <c r="P25" s="565">
        <f t="shared" si="34"/>
        <v>0</v>
      </c>
      <c r="Q25" s="565">
        <f t="shared" si="35"/>
        <v>0</v>
      </c>
      <c r="R25" s="567"/>
      <c r="S25" s="567"/>
      <c r="T25" s="5">
        <f t="shared" si="40"/>
        <v>4460</v>
      </c>
      <c r="U25" s="5">
        <f t="shared" si="4"/>
        <v>0</v>
      </c>
      <c r="V25" s="5">
        <f t="shared" si="41"/>
        <v>353</v>
      </c>
      <c r="W25" s="341">
        <f t="shared" si="15"/>
        <v>0</v>
      </c>
      <c r="X25" s="5">
        <f t="shared" si="42"/>
        <v>139647</v>
      </c>
      <c r="Y25" s="341">
        <f t="shared" si="16"/>
        <v>0</v>
      </c>
      <c r="Z25" s="5">
        <f t="shared" si="38"/>
        <v>91335</v>
      </c>
      <c r="AA25" s="84">
        <f t="shared" si="17"/>
        <v>0</v>
      </c>
      <c r="AB25" s="5">
        <f t="shared" si="37"/>
        <v>244</v>
      </c>
      <c r="AC25" s="5">
        <f t="shared" si="5"/>
        <v>670</v>
      </c>
      <c r="AD25" s="84">
        <f t="shared" si="30"/>
        <v>0</v>
      </c>
      <c r="AE25" s="5">
        <f t="shared" si="43"/>
        <v>81.78</v>
      </c>
      <c r="AF25" s="84">
        <f t="shared" si="18"/>
        <v>0</v>
      </c>
      <c r="AG25" s="5">
        <f t="shared" si="44"/>
        <v>1126.6099999999999</v>
      </c>
      <c r="AH25" s="84">
        <f t="shared" si="19"/>
        <v>0</v>
      </c>
      <c r="AI25" s="84">
        <f t="shared" si="20"/>
        <v>0</v>
      </c>
      <c r="AJ25" s="343">
        <f t="shared" si="21"/>
        <v>0</v>
      </c>
      <c r="AK25" s="344">
        <f t="shared" si="6"/>
        <v>0</v>
      </c>
      <c r="AL25" s="344">
        <f t="shared" si="22"/>
        <v>0</v>
      </c>
      <c r="AM25" s="344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7">
        <f t="shared" si="23"/>
        <v>43850</v>
      </c>
      <c r="AS25" s="449">
        <f t="shared" si="39"/>
        <v>0.9</v>
      </c>
      <c r="AT25" s="205">
        <f t="shared" si="39"/>
        <v>127</v>
      </c>
      <c r="AU25" s="450">
        <f t="shared" si="32"/>
        <v>1.1000000000000001</v>
      </c>
      <c r="AV25" s="205">
        <f t="shared" si="45"/>
        <v>120</v>
      </c>
      <c r="AW25" s="5">
        <v>2.9</v>
      </c>
      <c r="AX25" s="205">
        <f t="shared" si="46"/>
        <v>113</v>
      </c>
      <c r="AY25" s="453">
        <f t="shared" si="8"/>
        <v>114.3</v>
      </c>
      <c r="AZ25" s="453">
        <f t="shared" si="24"/>
        <v>132</v>
      </c>
      <c r="BA25" s="453">
        <f t="shared" si="25"/>
        <v>327.7</v>
      </c>
      <c r="BB25" s="21">
        <f t="shared" si="26"/>
        <v>0</v>
      </c>
      <c r="BC25" s="21">
        <f t="shared" si="26"/>
        <v>0</v>
      </c>
      <c r="BD25" s="21">
        <f t="shared" si="26"/>
        <v>0</v>
      </c>
      <c r="BE25" s="24">
        <f t="shared" si="28"/>
        <v>0</v>
      </c>
      <c r="BF25" s="97">
        <f t="shared" si="9"/>
        <v>0</v>
      </c>
      <c r="BG25" s="83">
        <f t="shared" si="10"/>
        <v>0</v>
      </c>
    </row>
    <row r="26" spans="1:61" ht="15.75" thickBot="1">
      <c r="A26" s="6">
        <f>ELEC!C23</f>
        <v>43851</v>
      </c>
      <c r="B26" s="5">
        <f t="shared" si="36"/>
        <v>108441</v>
      </c>
      <c r="C26" s="5">
        <f t="shared" si="11"/>
        <v>0</v>
      </c>
      <c r="D26" s="443">
        <f t="shared" si="12"/>
        <v>0</v>
      </c>
      <c r="E26" s="350">
        <f>SUM((C26*$E$4)+(7500/'EDl log'!$A$38))</f>
        <v>241.93548387096774</v>
      </c>
      <c r="F26" s="344"/>
      <c r="G26" s="5">
        <f t="shared" si="29"/>
        <v>587283</v>
      </c>
      <c r="H26" s="5">
        <f>G26-G25</f>
        <v>0</v>
      </c>
      <c r="I26" s="5">
        <f t="shared" si="0"/>
        <v>0</v>
      </c>
      <c r="J26" s="351">
        <f t="shared" si="1"/>
        <v>0</v>
      </c>
      <c r="K26" s="5">
        <f>'Swimming Pool quality check '!H26</f>
        <v>5834</v>
      </c>
      <c r="L26" s="282">
        <f t="shared" si="31"/>
        <v>0</v>
      </c>
      <c r="M26" s="434">
        <f t="shared" si="14"/>
        <v>457.44</v>
      </c>
      <c r="N26" s="565">
        <f t="shared" si="33"/>
        <v>0</v>
      </c>
      <c r="O26" s="434">
        <f t="shared" si="14"/>
        <v>529.52</v>
      </c>
      <c r="P26" s="565">
        <f t="shared" si="34"/>
        <v>0</v>
      </c>
      <c r="Q26" s="565">
        <f t="shared" si="35"/>
        <v>0</v>
      </c>
      <c r="R26" s="567"/>
      <c r="S26" s="567"/>
      <c r="T26" s="5">
        <f t="shared" si="40"/>
        <v>4460</v>
      </c>
      <c r="U26" s="5">
        <f t="shared" si="4"/>
        <v>0</v>
      </c>
      <c r="V26" s="5">
        <f t="shared" si="41"/>
        <v>353</v>
      </c>
      <c r="W26" s="341">
        <f t="shared" si="15"/>
        <v>0</v>
      </c>
      <c r="X26" s="5">
        <f t="shared" si="42"/>
        <v>139647</v>
      </c>
      <c r="Y26" s="341">
        <f t="shared" si="16"/>
        <v>0</v>
      </c>
      <c r="Z26" s="5">
        <f t="shared" si="38"/>
        <v>91335</v>
      </c>
      <c r="AA26" s="84">
        <f t="shared" si="17"/>
        <v>0</v>
      </c>
      <c r="AB26" s="5">
        <f t="shared" si="37"/>
        <v>244</v>
      </c>
      <c r="AC26" s="5">
        <f t="shared" si="5"/>
        <v>670</v>
      </c>
      <c r="AD26" s="84">
        <f t="shared" si="30"/>
        <v>0</v>
      </c>
      <c r="AE26" s="5">
        <f t="shared" si="43"/>
        <v>81.78</v>
      </c>
      <c r="AF26" s="84">
        <f t="shared" si="18"/>
        <v>0</v>
      </c>
      <c r="AG26" s="5">
        <f t="shared" si="44"/>
        <v>1126.6099999999999</v>
      </c>
      <c r="AH26" s="84">
        <f t="shared" si="19"/>
        <v>0</v>
      </c>
      <c r="AI26" s="84">
        <f t="shared" si="20"/>
        <v>0</v>
      </c>
      <c r="AJ26" s="343">
        <f t="shared" si="21"/>
        <v>0</v>
      </c>
      <c r="AK26" s="344">
        <f t="shared" si="6"/>
        <v>0</v>
      </c>
      <c r="AL26" s="344">
        <f>SUM(AJ26-W26)</f>
        <v>0</v>
      </c>
      <c r="AM26" s="344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7">
        <f t="shared" si="23"/>
        <v>43851</v>
      </c>
      <c r="AS26" s="449">
        <f t="shared" si="39"/>
        <v>0.9</v>
      </c>
      <c r="AT26" s="205">
        <f t="shared" si="39"/>
        <v>127</v>
      </c>
      <c r="AU26" s="450">
        <f t="shared" si="32"/>
        <v>1.1000000000000001</v>
      </c>
      <c r="AV26" s="205">
        <f t="shared" si="45"/>
        <v>120</v>
      </c>
      <c r="AW26" s="5">
        <v>2.9</v>
      </c>
      <c r="AX26" s="205">
        <f t="shared" si="46"/>
        <v>113</v>
      </c>
      <c r="AY26" s="453">
        <f t="shared" si="8"/>
        <v>114.3</v>
      </c>
      <c r="AZ26" s="453">
        <f t="shared" si="24"/>
        <v>132</v>
      </c>
      <c r="BA26" s="453">
        <f t="shared" si="25"/>
        <v>327.7</v>
      </c>
      <c r="BB26" s="21">
        <f t="shared" si="26"/>
        <v>0</v>
      </c>
      <c r="BC26" s="21">
        <f t="shared" si="26"/>
        <v>0</v>
      </c>
      <c r="BD26" s="21">
        <f t="shared" si="26"/>
        <v>0</v>
      </c>
      <c r="BE26" s="24">
        <f t="shared" si="28"/>
        <v>0</v>
      </c>
      <c r="BF26" s="361">
        <f t="shared" si="9"/>
        <v>0</v>
      </c>
      <c r="BG26" s="83">
        <f t="shared" si="10"/>
        <v>0</v>
      </c>
    </row>
    <row r="27" spans="1:61" ht="15.75" thickBot="1">
      <c r="A27" s="6">
        <f>ELEC!C24</f>
        <v>43852</v>
      </c>
      <c r="B27" s="5">
        <f t="shared" si="36"/>
        <v>108441</v>
      </c>
      <c r="C27" s="5">
        <f t="shared" si="11"/>
        <v>0</v>
      </c>
      <c r="D27" s="443">
        <f t="shared" si="12"/>
        <v>0</v>
      </c>
      <c r="E27" s="350">
        <f>SUM((C27*$E$4)+(7500/'EDl log'!$A$38))</f>
        <v>241.93548387096774</v>
      </c>
      <c r="F27" s="344"/>
      <c r="G27" s="5">
        <f t="shared" si="29"/>
        <v>587283</v>
      </c>
      <c r="H27" s="5">
        <f t="shared" si="13"/>
        <v>0</v>
      </c>
      <c r="I27" s="5">
        <f t="shared" si="0"/>
        <v>0</v>
      </c>
      <c r="J27" s="351">
        <f t="shared" si="1"/>
        <v>0</v>
      </c>
      <c r="K27" s="5">
        <f>'Swimming Pool quality check '!H27</f>
        <v>5834</v>
      </c>
      <c r="L27" s="282">
        <f t="shared" si="31"/>
        <v>0</v>
      </c>
      <c r="M27" s="434">
        <f t="shared" si="14"/>
        <v>457.44</v>
      </c>
      <c r="N27" s="565">
        <f t="shared" si="33"/>
        <v>0</v>
      </c>
      <c r="O27" s="434">
        <f t="shared" si="14"/>
        <v>529.52</v>
      </c>
      <c r="P27" s="565">
        <f t="shared" si="34"/>
        <v>0</v>
      </c>
      <c r="Q27" s="565">
        <f t="shared" si="35"/>
        <v>0</v>
      </c>
      <c r="R27" s="567"/>
      <c r="S27" s="567"/>
      <c r="T27" s="5">
        <f t="shared" si="40"/>
        <v>4460</v>
      </c>
      <c r="U27" s="5">
        <f t="shared" si="4"/>
        <v>0</v>
      </c>
      <c r="V27" s="5">
        <f t="shared" si="41"/>
        <v>353</v>
      </c>
      <c r="W27" s="341">
        <f t="shared" si="15"/>
        <v>0</v>
      </c>
      <c r="X27" s="5">
        <f t="shared" si="42"/>
        <v>139647</v>
      </c>
      <c r="Y27" s="341">
        <f>SUM(X27-X26)</f>
        <v>0</v>
      </c>
      <c r="Z27" s="5">
        <f t="shared" si="38"/>
        <v>91335</v>
      </c>
      <c r="AA27" s="84">
        <f t="shared" si="17"/>
        <v>0</v>
      </c>
      <c r="AB27" s="5">
        <f t="shared" si="37"/>
        <v>244</v>
      </c>
      <c r="AC27" s="5">
        <f t="shared" si="5"/>
        <v>670</v>
      </c>
      <c r="AD27" s="84">
        <f t="shared" si="30"/>
        <v>0</v>
      </c>
      <c r="AE27" s="5">
        <f t="shared" si="43"/>
        <v>81.78</v>
      </c>
      <c r="AF27" s="84">
        <f t="shared" si="18"/>
        <v>0</v>
      </c>
      <c r="AG27" s="5">
        <f t="shared" si="44"/>
        <v>1126.6099999999999</v>
      </c>
      <c r="AH27" s="84">
        <f t="shared" si="19"/>
        <v>0</v>
      </c>
      <c r="AI27" s="84">
        <f t="shared" si="20"/>
        <v>0</v>
      </c>
      <c r="AJ27" s="343">
        <f t="shared" si="21"/>
        <v>0</v>
      </c>
      <c r="AK27" s="344">
        <f t="shared" si="6"/>
        <v>0</v>
      </c>
      <c r="AL27" s="344">
        <f t="shared" si="22"/>
        <v>0</v>
      </c>
      <c r="AM27" s="344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7">
        <f t="shared" si="23"/>
        <v>43852</v>
      </c>
      <c r="AS27" s="449">
        <f t="shared" si="39"/>
        <v>0.9</v>
      </c>
      <c r="AT27" s="205">
        <f t="shared" si="39"/>
        <v>127</v>
      </c>
      <c r="AU27" s="450">
        <f t="shared" si="32"/>
        <v>1.1000000000000001</v>
      </c>
      <c r="AV27" s="205">
        <f t="shared" si="45"/>
        <v>120</v>
      </c>
      <c r="AW27" s="5">
        <v>2.9</v>
      </c>
      <c r="AX27" s="205">
        <f t="shared" si="46"/>
        <v>113</v>
      </c>
      <c r="AY27" s="453">
        <f t="shared" si="8"/>
        <v>114.3</v>
      </c>
      <c r="AZ27" s="453">
        <f t="shared" si="24"/>
        <v>132</v>
      </c>
      <c r="BA27" s="453">
        <f t="shared" si="25"/>
        <v>327.7</v>
      </c>
      <c r="BB27" s="21">
        <f t="shared" si="26"/>
        <v>0</v>
      </c>
      <c r="BC27" s="21">
        <f t="shared" si="26"/>
        <v>0</v>
      </c>
      <c r="BD27" s="21">
        <f t="shared" si="26"/>
        <v>0</v>
      </c>
      <c r="BE27" s="24">
        <f t="shared" si="28"/>
        <v>0</v>
      </c>
      <c r="BF27" s="97">
        <f t="shared" si="9"/>
        <v>0</v>
      </c>
      <c r="BG27" s="83">
        <f t="shared" si="10"/>
        <v>0</v>
      </c>
    </row>
    <row r="28" spans="1:61" ht="15.75" thickBot="1">
      <c r="A28" s="6">
        <f>ELEC!C25</f>
        <v>43853</v>
      </c>
      <c r="B28" s="5">
        <f t="shared" si="36"/>
        <v>108441</v>
      </c>
      <c r="C28" s="5">
        <f t="shared" si="11"/>
        <v>0</v>
      </c>
      <c r="D28" s="443">
        <f t="shared" si="12"/>
        <v>0</v>
      </c>
      <c r="E28" s="350">
        <f>SUM((C28*$E$4)+(7500/'EDl log'!$A$38))</f>
        <v>241.93548387096774</v>
      </c>
      <c r="F28" s="344"/>
      <c r="G28" s="5">
        <f t="shared" si="29"/>
        <v>587283</v>
      </c>
      <c r="H28" s="5">
        <f t="shared" si="13"/>
        <v>0</v>
      </c>
      <c r="I28" s="5">
        <f t="shared" si="0"/>
        <v>0</v>
      </c>
      <c r="J28" s="351">
        <f t="shared" si="1"/>
        <v>0</v>
      </c>
      <c r="K28" s="5">
        <f>'Swimming Pool quality check '!H28</f>
        <v>5834</v>
      </c>
      <c r="L28" s="282">
        <f t="shared" si="31"/>
        <v>0</v>
      </c>
      <c r="M28" s="434">
        <f t="shared" si="14"/>
        <v>457.44</v>
      </c>
      <c r="N28" s="565">
        <f t="shared" si="33"/>
        <v>0</v>
      </c>
      <c r="O28" s="434">
        <f t="shared" si="14"/>
        <v>529.52</v>
      </c>
      <c r="P28" s="565">
        <f t="shared" si="34"/>
        <v>0</v>
      </c>
      <c r="Q28" s="565">
        <f t="shared" si="35"/>
        <v>0</v>
      </c>
      <c r="R28" s="567"/>
      <c r="S28" s="567"/>
      <c r="T28" s="5">
        <f t="shared" si="40"/>
        <v>4460</v>
      </c>
      <c r="U28" s="5">
        <f t="shared" si="4"/>
        <v>0</v>
      </c>
      <c r="V28" s="5">
        <f t="shared" si="41"/>
        <v>353</v>
      </c>
      <c r="W28" s="341">
        <f t="shared" si="15"/>
        <v>0</v>
      </c>
      <c r="X28" s="5">
        <f t="shared" si="42"/>
        <v>139647</v>
      </c>
      <c r="Y28" s="341">
        <f t="shared" si="16"/>
        <v>0</v>
      </c>
      <c r="Z28" s="5">
        <f t="shared" si="38"/>
        <v>91335</v>
      </c>
      <c r="AA28" s="84">
        <f t="shared" si="17"/>
        <v>0</v>
      </c>
      <c r="AB28" s="5">
        <f t="shared" si="37"/>
        <v>244</v>
      </c>
      <c r="AC28" s="5">
        <f t="shared" si="5"/>
        <v>670</v>
      </c>
      <c r="AD28" s="84">
        <f t="shared" si="30"/>
        <v>0</v>
      </c>
      <c r="AE28" s="5">
        <f t="shared" si="43"/>
        <v>81.78</v>
      </c>
      <c r="AF28" s="84">
        <f t="shared" si="18"/>
        <v>0</v>
      </c>
      <c r="AG28" s="5">
        <f t="shared" si="44"/>
        <v>1126.6099999999999</v>
      </c>
      <c r="AH28" s="84">
        <f t="shared" si="19"/>
        <v>0</v>
      </c>
      <c r="AI28" s="84">
        <f t="shared" si="20"/>
        <v>0</v>
      </c>
      <c r="AJ28" s="343">
        <f t="shared" si="21"/>
        <v>0</v>
      </c>
      <c r="AK28" s="344">
        <f t="shared" si="6"/>
        <v>0</v>
      </c>
      <c r="AL28" s="344">
        <f t="shared" si="22"/>
        <v>0</v>
      </c>
      <c r="AM28" s="344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7">
        <f t="shared" si="23"/>
        <v>43853</v>
      </c>
      <c r="AS28" s="449">
        <f t="shared" si="39"/>
        <v>0.9</v>
      </c>
      <c r="AT28" s="205">
        <f t="shared" si="39"/>
        <v>127</v>
      </c>
      <c r="AU28" s="450">
        <f t="shared" si="32"/>
        <v>1.1000000000000001</v>
      </c>
      <c r="AV28" s="205">
        <f t="shared" si="45"/>
        <v>120</v>
      </c>
      <c r="AW28" s="5">
        <v>2.9</v>
      </c>
      <c r="AX28" s="205">
        <f t="shared" si="46"/>
        <v>113</v>
      </c>
      <c r="AY28" s="453">
        <f t="shared" si="8"/>
        <v>114.3</v>
      </c>
      <c r="AZ28" s="453">
        <f t="shared" si="24"/>
        <v>132</v>
      </c>
      <c r="BA28" s="453">
        <f t="shared" si="25"/>
        <v>327.7</v>
      </c>
      <c r="BB28" s="21">
        <f t="shared" si="26"/>
        <v>0</v>
      </c>
      <c r="BC28" s="21">
        <f t="shared" si="26"/>
        <v>0</v>
      </c>
      <c r="BD28" s="21">
        <f t="shared" si="26"/>
        <v>0</v>
      </c>
      <c r="BE28" s="24">
        <f t="shared" si="28"/>
        <v>0</v>
      </c>
      <c r="BF28" s="97">
        <f t="shared" si="9"/>
        <v>0</v>
      </c>
      <c r="BG28" s="83">
        <f t="shared" si="10"/>
        <v>0</v>
      </c>
    </row>
    <row r="29" spans="1:61" ht="15.75" thickBot="1">
      <c r="A29" s="6">
        <f>ELEC!C26</f>
        <v>43854</v>
      </c>
      <c r="B29" s="5">
        <f t="shared" si="36"/>
        <v>108441</v>
      </c>
      <c r="C29" s="5">
        <f t="shared" si="11"/>
        <v>0</v>
      </c>
      <c r="D29" s="443">
        <f t="shared" si="12"/>
        <v>0</v>
      </c>
      <c r="E29" s="350">
        <f>SUM((C29*$E$4)+(7500/'EDl log'!$A$38))</f>
        <v>241.93548387096774</v>
      </c>
      <c r="F29" s="344"/>
      <c r="G29" s="5">
        <f t="shared" si="29"/>
        <v>587283</v>
      </c>
      <c r="H29" s="5">
        <f t="shared" si="13"/>
        <v>0</v>
      </c>
      <c r="I29" s="5">
        <f t="shared" si="0"/>
        <v>0</v>
      </c>
      <c r="J29" s="351">
        <f t="shared" si="1"/>
        <v>0</v>
      </c>
      <c r="K29" s="5">
        <f>'Swimming Pool quality check '!H29</f>
        <v>5834</v>
      </c>
      <c r="L29" s="282">
        <f t="shared" si="31"/>
        <v>0</v>
      </c>
      <c r="M29" s="434">
        <f t="shared" si="14"/>
        <v>457.44</v>
      </c>
      <c r="N29" s="565">
        <f t="shared" si="33"/>
        <v>0</v>
      </c>
      <c r="O29" s="434">
        <f t="shared" si="14"/>
        <v>529.52</v>
      </c>
      <c r="P29" s="565">
        <f t="shared" si="34"/>
        <v>0</v>
      </c>
      <c r="Q29" s="565">
        <f t="shared" si="35"/>
        <v>0</v>
      </c>
      <c r="R29" s="567"/>
      <c r="S29" s="567"/>
      <c r="T29" s="5">
        <f t="shared" si="40"/>
        <v>4460</v>
      </c>
      <c r="U29" s="5">
        <f t="shared" si="4"/>
        <v>0</v>
      </c>
      <c r="V29" s="5">
        <f t="shared" si="41"/>
        <v>353</v>
      </c>
      <c r="W29" s="341">
        <f t="shared" si="15"/>
        <v>0</v>
      </c>
      <c r="X29" s="5">
        <f t="shared" si="42"/>
        <v>139647</v>
      </c>
      <c r="Y29" s="341">
        <f t="shared" si="16"/>
        <v>0</v>
      </c>
      <c r="Z29" s="5">
        <f t="shared" si="38"/>
        <v>91335</v>
      </c>
      <c r="AA29" s="84">
        <f t="shared" si="17"/>
        <v>0</v>
      </c>
      <c r="AB29" s="5">
        <f t="shared" si="37"/>
        <v>244</v>
      </c>
      <c r="AC29" s="5">
        <f t="shared" si="5"/>
        <v>670</v>
      </c>
      <c r="AD29" s="84">
        <f t="shared" si="30"/>
        <v>0</v>
      </c>
      <c r="AE29" s="5">
        <f t="shared" si="43"/>
        <v>81.78</v>
      </c>
      <c r="AF29" s="84">
        <f t="shared" si="18"/>
        <v>0</v>
      </c>
      <c r="AG29" s="5">
        <f t="shared" si="44"/>
        <v>1126.6099999999999</v>
      </c>
      <c r="AH29" s="84">
        <f t="shared" si="19"/>
        <v>0</v>
      </c>
      <c r="AI29" s="84">
        <f t="shared" si="20"/>
        <v>0</v>
      </c>
      <c r="AJ29" s="343">
        <f t="shared" si="21"/>
        <v>0</v>
      </c>
      <c r="AK29" s="344">
        <f t="shared" si="6"/>
        <v>0</v>
      </c>
      <c r="AL29" s="344">
        <f t="shared" si="22"/>
        <v>0</v>
      </c>
      <c r="AM29" s="344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3"/>
        <v>43854</v>
      </c>
      <c r="AS29" s="449">
        <f t="shared" si="39"/>
        <v>0.9</v>
      </c>
      <c r="AT29" s="205">
        <f t="shared" si="39"/>
        <v>127</v>
      </c>
      <c r="AU29" s="450">
        <f t="shared" si="32"/>
        <v>1.1000000000000001</v>
      </c>
      <c r="AV29" s="205">
        <f t="shared" si="45"/>
        <v>120</v>
      </c>
      <c r="AW29" s="5">
        <v>2.9</v>
      </c>
      <c r="AX29" s="205">
        <f t="shared" si="46"/>
        <v>113</v>
      </c>
      <c r="AY29" s="453">
        <f t="shared" si="8"/>
        <v>114.3</v>
      </c>
      <c r="AZ29" s="453">
        <f t="shared" si="24"/>
        <v>132</v>
      </c>
      <c r="BA29" s="453">
        <f t="shared" si="25"/>
        <v>327.7</v>
      </c>
      <c r="BB29" s="21">
        <f t="shared" si="26"/>
        <v>0</v>
      </c>
      <c r="BC29" s="21">
        <f t="shared" si="26"/>
        <v>0</v>
      </c>
      <c r="BD29" s="21">
        <f t="shared" si="26"/>
        <v>0</v>
      </c>
      <c r="BE29" s="24">
        <f t="shared" si="28"/>
        <v>0</v>
      </c>
      <c r="BF29" s="97">
        <f t="shared" si="9"/>
        <v>0</v>
      </c>
      <c r="BG29" s="83">
        <f t="shared" si="10"/>
        <v>0</v>
      </c>
    </row>
    <row r="30" spans="1:61" ht="15.75" thickBot="1">
      <c r="A30" s="6">
        <f>ELEC!C27</f>
        <v>43855</v>
      </c>
      <c r="B30" s="5">
        <f t="shared" si="36"/>
        <v>108441</v>
      </c>
      <c r="C30" s="5">
        <f t="shared" si="11"/>
        <v>0</v>
      </c>
      <c r="D30" s="443">
        <f t="shared" si="12"/>
        <v>0</v>
      </c>
      <c r="E30" s="350">
        <f>SUM((C30*$E$4)+(7500/'EDl log'!$A$38))</f>
        <v>241.93548387096774</v>
      </c>
      <c r="F30" s="344"/>
      <c r="G30" s="5">
        <f t="shared" si="29"/>
        <v>587283</v>
      </c>
      <c r="H30" s="5">
        <f t="shared" si="13"/>
        <v>0</v>
      </c>
      <c r="I30" s="5">
        <f t="shared" si="0"/>
        <v>0</v>
      </c>
      <c r="J30" s="351">
        <f t="shared" si="1"/>
        <v>0</v>
      </c>
      <c r="K30" s="5">
        <f>'Swimming Pool quality check '!H30</f>
        <v>5834</v>
      </c>
      <c r="L30" s="282">
        <f t="shared" si="31"/>
        <v>0</v>
      </c>
      <c r="M30" s="434">
        <f t="shared" si="14"/>
        <v>457.44</v>
      </c>
      <c r="N30" s="565">
        <f t="shared" si="33"/>
        <v>0</v>
      </c>
      <c r="O30" s="434">
        <f t="shared" si="14"/>
        <v>529.52</v>
      </c>
      <c r="P30" s="565">
        <f t="shared" si="34"/>
        <v>0</v>
      </c>
      <c r="Q30" s="565">
        <f t="shared" si="35"/>
        <v>0</v>
      </c>
      <c r="R30" s="567"/>
      <c r="S30" s="567"/>
      <c r="T30" s="5">
        <f t="shared" si="40"/>
        <v>4460</v>
      </c>
      <c r="U30" s="5">
        <f t="shared" si="4"/>
        <v>0</v>
      </c>
      <c r="V30" s="5">
        <f t="shared" si="41"/>
        <v>353</v>
      </c>
      <c r="W30" s="341">
        <f t="shared" si="15"/>
        <v>0</v>
      </c>
      <c r="X30" s="5">
        <f t="shared" si="42"/>
        <v>139647</v>
      </c>
      <c r="Y30" s="341">
        <f t="shared" si="16"/>
        <v>0</v>
      </c>
      <c r="Z30" s="5">
        <f t="shared" si="38"/>
        <v>91335</v>
      </c>
      <c r="AA30" s="84">
        <f t="shared" si="17"/>
        <v>0</v>
      </c>
      <c r="AB30" s="5">
        <f t="shared" si="37"/>
        <v>244</v>
      </c>
      <c r="AC30" s="5">
        <f t="shared" si="5"/>
        <v>670</v>
      </c>
      <c r="AD30" s="84">
        <f t="shared" si="30"/>
        <v>0</v>
      </c>
      <c r="AE30" s="5">
        <f t="shared" si="43"/>
        <v>81.78</v>
      </c>
      <c r="AF30" s="84">
        <f t="shared" si="18"/>
        <v>0</v>
      </c>
      <c r="AG30" s="5">
        <f t="shared" si="44"/>
        <v>1126.6099999999999</v>
      </c>
      <c r="AH30" s="84">
        <f t="shared" si="19"/>
        <v>0</v>
      </c>
      <c r="AI30" s="84">
        <f t="shared" si="20"/>
        <v>0</v>
      </c>
      <c r="AJ30" s="343">
        <f t="shared" si="21"/>
        <v>0</v>
      </c>
      <c r="AK30" s="344">
        <f t="shared" si="6"/>
        <v>0</v>
      </c>
      <c r="AL30" s="344">
        <f t="shared" si="22"/>
        <v>0</v>
      </c>
      <c r="AM30" s="344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3"/>
        <v>43855</v>
      </c>
      <c r="AS30" s="449">
        <f t="shared" si="39"/>
        <v>0.9</v>
      </c>
      <c r="AT30" s="205">
        <f t="shared" si="39"/>
        <v>127</v>
      </c>
      <c r="AU30" s="450">
        <f t="shared" si="32"/>
        <v>1.1000000000000001</v>
      </c>
      <c r="AV30" s="205">
        <f t="shared" si="45"/>
        <v>120</v>
      </c>
      <c r="AW30" s="5">
        <v>2.9</v>
      </c>
      <c r="AX30" s="205">
        <f t="shared" si="46"/>
        <v>113</v>
      </c>
      <c r="AY30" s="453">
        <f t="shared" si="8"/>
        <v>114.3</v>
      </c>
      <c r="AZ30" s="453">
        <f t="shared" si="24"/>
        <v>132</v>
      </c>
      <c r="BA30" s="453">
        <f t="shared" si="25"/>
        <v>327.7</v>
      </c>
      <c r="BB30" s="21">
        <f t="shared" si="26"/>
        <v>0</v>
      </c>
      <c r="BC30" s="21">
        <f t="shared" si="26"/>
        <v>0</v>
      </c>
      <c r="BD30" s="21">
        <f t="shared" si="26"/>
        <v>0</v>
      </c>
      <c r="BE30" s="24">
        <f t="shared" si="28"/>
        <v>0</v>
      </c>
      <c r="BF30" s="97">
        <f t="shared" si="9"/>
        <v>0</v>
      </c>
      <c r="BG30" s="83">
        <f t="shared" si="10"/>
        <v>0</v>
      </c>
    </row>
    <row r="31" spans="1:61" ht="15.75" thickBot="1">
      <c r="A31" s="6">
        <f>ELEC!C28</f>
        <v>43856</v>
      </c>
      <c r="B31" s="5">
        <f t="shared" si="36"/>
        <v>108441</v>
      </c>
      <c r="C31" s="5">
        <f t="shared" si="11"/>
        <v>0</v>
      </c>
      <c r="D31" s="443">
        <f t="shared" si="12"/>
        <v>0</v>
      </c>
      <c r="E31" s="350">
        <f>SUM((C31*$E$4)+(7500/'EDl log'!$A$38))</f>
        <v>241.93548387096774</v>
      </c>
      <c r="F31" s="344"/>
      <c r="G31" s="5">
        <f t="shared" si="29"/>
        <v>587283</v>
      </c>
      <c r="H31" s="5">
        <f t="shared" si="13"/>
        <v>0</v>
      </c>
      <c r="I31" s="5">
        <f t="shared" si="0"/>
        <v>0</v>
      </c>
      <c r="J31" s="351">
        <f t="shared" si="1"/>
        <v>0</v>
      </c>
      <c r="K31" s="5">
        <f>'Swimming Pool quality check '!H31</f>
        <v>5834</v>
      </c>
      <c r="L31" s="282">
        <f t="shared" si="31"/>
        <v>0</v>
      </c>
      <c r="M31" s="434">
        <f t="shared" si="14"/>
        <v>457.44</v>
      </c>
      <c r="N31" s="565">
        <f t="shared" si="33"/>
        <v>0</v>
      </c>
      <c r="O31" s="434">
        <f t="shared" si="14"/>
        <v>529.52</v>
      </c>
      <c r="P31" s="565">
        <f t="shared" si="34"/>
        <v>0</v>
      </c>
      <c r="Q31" s="565">
        <f t="shared" si="35"/>
        <v>0</v>
      </c>
      <c r="R31" s="567"/>
      <c r="S31" s="567"/>
      <c r="T31" s="5">
        <f t="shared" si="40"/>
        <v>4460</v>
      </c>
      <c r="U31" s="5">
        <f t="shared" si="4"/>
        <v>0</v>
      </c>
      <c r="V31" s="5">
        <f t="shared" si="41"/>
        <v>353</v>
      </c>
      <c r="W31" s="341">
        <f t="shared" si="15"/>
        <v>0</v>
      </c>
      <c r="X31" s="5">
        <f t="shared" si="42"/>
        <v>139647</v>
      </c>
      <c r="Y31" s="341">
        <f t="shared" si="16"/>
        <v>0</v>
      </c>
      <c r="Z31" s="5">
        <f t="shared" si="38"/>
        <v>91335</v>
      </c>
      <c r="AA31" s="84">
        <f t="shared" si="17"/>
        <v>0</v>
      </c>
      <c r="AB31" s="5">
        <f t="shared" si="37"/>
        <v>244</v>
      </c>
      <c r="AC31" s="5">
        <f t="shared" si="5"/>
        <v>670</v>
      </c>
      <c r="AD31" s="84">
        <f t="shared" si="30"/>
        <v>0</v>
      </c>
      <c r="AE31" s="5">
        <f t="shared" si="43"/>
        <v>81.78</v>
      </c>
      <c r="AF31" s="84">
        <f t="shared" si="18"/>
        <v>0</v>
      </c>
      <c r="AG31" s="5">
        <f t="shared" si="44"/>
        <v>1126.6099999999999</v>
      </c>
      <c r="AH31" s="84">
        <f t="shared" si="19"/>
        <v>0</v>
      </c>
      <c r="AI31" s="84">
        <f t="shared" si="20"/>
        <v>0</v>
      </c>
      <c r="AJ31" s="343">
        <f t="shared" si="21"/>
        <v>0</v>
      </c>
      <c r="AK31" s="344">
        <f t="shared" si="6"/>
        <v>0</v>
      </c>
      <c r="AL31" s="344">
        <f t="shared" si="22"/>
        <v>0</v>
      </c>
      <c r="AM31" s="344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3"/>
        <v>43856</v>
      </c>
      <c r="AS31" s="449">
        <f t="shared" si="39"/>
        <v>0.9</v>
      </c>
      <c r="AT31" s="205">
        <f t="shared" si="39"/>
        <v>127</v>
      </c>
      <c r="AU31" s="450">
        <f t="shared" si="32"/>
        <v>1.1000000000000001</v>
      </c>
      <c r="AV31" s="205">
        <f t="shared" si="45"/>
        <v>120</v>
      </c>
      <c r="AW31" s="5">
        <v>2.9</v>
      </c>
      <c r="AX31" s="205">
        <f t="shared" si="46"/>
        <v>113</v>
      </c>
      <c r="AY31" s="453">
        <f t="shared" si="8"/>
        <v>114.3</v>
      </c>
      <c r="AZ31" s="453">
        <f t="shared" si="24"/>
        <v>132</v>
      </c>
      <c r="BA31" s="453">
        <f t="shared" si="25"/>
        <v>327.7</v>
      </c>
      <c r="BB31" s="21">
        <f t="shared" si="26"/>
        <v>0</v>
      </c>
      <c r="BC31" s="21">
        <f t="shared" si="26"/>
        <v>0</v>
      </c>
      <c r="BD31" s="21">
        <f t="shared" si="26"/>
        <v>0</v>
      </c>
      <c r="BE31" s="24">
        <f t="shared" si="28"/>
        <v>0</v>
      </c>
      <c r="BF31" s="97">
        <f t="shared" si="9"/>
        <v>0</v>
      </c>
      <c r="BG31" s="83">
        <f t="shared" si="10"/>
        <v>0</v>
      </c>
    </row>
    <row r="32" spans="1:61" ht="15.75" thickBot="1">
      <c r="A32" s="6">
        <f>ELEC!C29</f>
        <v>43857</v>
      </c>
      <c r="B32" s="5">
        <f t="shared" si="36"/>
        <v>108441</v>
      </c>
      <c r="C32" s="5">
        <f t="shared" si="11"/>
        <v>0</v>
      </c>
      <c r="D32" s="443">
        <f t="shared" si="12"/>
        <v>0</v>
      </c>
      <c r="E32" s="350">
        <f>SUM((C32*$E$4)+(7500/'EDl log'!$A$38))</f>
        <v>241.93548387096774</v>
      </c>
      <c r="F32" s="344"/>
      <c r="G32" s="5">
        <f t="shared" si="29"/>
        <v>587283</v>
      </c>
      <c r="H32" s="5">
        <f t="shared" si="13"/>
        <v>0</v>
      </c>
      <c r="I32" s="5">
        <f t="shared" si="0"/>
        <v>0</v>
      </c>
      <c r="J32" s="351">
        <f t="shared" si="1"/>
        <v>0</v>
      </c>
      <c r="K32" s="5">
        <f>'Swimming Pool quality check '!H32</f>
        <v>5834</v>
      </c>
      <c r="L32" s="282">
        <f t="shared" si="31"/>
        <v>0</v>
      </c>
      <c r="M32" s="434">
        <f t="shared" si="14"/>
        <v>457.44</v>
      </c>
      <c r="N32" s="565">
        <f t="shared" si="33"/>
        <v>0</v>
      </c>
      <c r="O32" s="434">
        <f t="shared" si="14"/>
        <v>529.52</v>
      </c>
      <c r="P32" s="565">
        <f t="shared" si="34"/>
        <v>0</v>
      </c>
      <c r="Q32" s="565">
        <f t="shared" si="35"/>
        <v>0</v>
      </c>
      <c r="R32" s="567"/>
      <c r="S32" s="567"/>
      <c r="T32" s="5">
        <f t="shared" si="40"/>
        <v>4460</v>
      </c>
      <c r="U32" s="5">
        <f t="shared" si="4"/>
        <v>0</v>
      </c>
      <c r="V32" s="5">
        <f t="shared" si="41"/>
        <v>353</v>
      </c>
      <c r="W32" s="341">
        <f t="shared" si="15"/>
        <v>0</v>
      </c>
      <c r="X32" s="5">
        <f t="shared" si="42"/>
        <v>139647</v>
      </c>
      <c r="Y32" s="341">
        <f t="shared" si="16"/>
        <v>0</v>
      </c>
      <c r="Z32" s="5">
        <f t="shared" si="38"/>
        <v>91335</v>
      </c>
      <c r="AA32" s="84">
        <f t="shared" si="17"/>
        <v>0</v>
      </c>
      <c r="AB32" s="5">
        <f t="shared" si="37"/>
        <v>244</v>
      </c>
      <c r="AC32" s="5">
        <f t="shared" si="5"/>
        <v>670</v>
      </c>
      <c r="AD32" s="84">
        <f t="shared" si="30"/>
        <v>0</v>
      </c>
      <c r="AE32" s="5">
        <f t="shared" si="43"/>
        <v>81.78</v>
      </c>
      <c r="AF32" s="84">
        <f t="shared" si="18"/>
        <v>0</v>
      </c>
      <c r="AG32" s="5">
        <f t="shared" si="44"/>
        <v>1126.6099999999999</v>
      </c>
      <c r="AH32" s="84">
        <f t="shared" si="19"/>
        <v>0</v>
      </c>
      <c r="AI32" s="84">
        <f t="shared" si="20"/>
        <v>0</v>
      </c>
      <c r="AJ32" s="343">
        <f t="shared" si="21"/>
        <v>0</v>
      </c>
      <c r="AK32" s="344">
        <f t="shared" si="6"/>
        <v>0</v>
      </c>
      <c r="AL32" s="344">
        <f t="shared" si="22"/>
        <v>0</v>
      </c>
      <c r="AM32" s="344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3"/>
        <v>43857</v>
      </c>
      <c r="AS32" s="449">
        <f t="shared" si="39"/>
        <v>0.9</v>
      </c>
      <c r="AT32" s="205">
        <f t="shared" si="39"/>
        <v>127</v>
      </c>
      <c r="AU32" s="450">
        <f t="shared" si="32"/>
        <v>1.1000000000000001</v>
      </c>
      <c r="AV32" s="205">
        <f t="shared" si="45"/>
        <v>120</v>
      </c>
      <c r="AW32" s="5">
        <v>2.9</v>
      </c>
      <c r="AX32" s="205">
        <f t="shared" si="46"/>
        <v>113</v>
      </c>
      <c r="AY32" s="453">
        <f t="shared" si="8"/>
        <v>114.3</v>
      </c>
      <c r="AZ32" s="453">
        <f t="shared" si="24"/>
        <v>132</v>
      </c>
      <c r="BA32" s="453">
        <f t="shared" si="25"/>
        <v>327.7</v>
      </c>
      <c r="BB32" s="21">
        <f t="shared" si="26"/>
        <v>0</v>
      </c>
      <c r="BC32" s="21">
        <f t="shared" si="26"/>
        <v>0</v>
      </c>
      <c r="BD32" s="21">
        <f t="shared" si="26"/>
        <v>0</v>
      </c>
      <c r="BE32" s="24">
        <f t="shared" si="28"/>
        <v>0</v>
      </c>
      <c r="BF32" s="97">
        <f t="shared" si="9"/>
        <v>0</v>
      </c>
      <c r="BG32" s="83">
        <f t="shared" si="10"/>
        <v>0</v>
      </c>
    </row>
    <row r="33" spans="1:59" ht="15.75" thickBot="1">
      <c r="A33" s="6">
        <f>ELEC!C30</f>
        <v>43858</v>
      </c>
      <c r="B33" s="5">
        <f t="shared" si="36"/>
        <v>108441</v>
      </c>
      <c r="C33" s="5">
        <f t="shared" si="11"/>
        <v>0</v>
      </c>
      <c r="D33" s="443">
        <f t="shared" si="12"/>
        <v>0</v>
      </c>
      <c r="E33" s="350">
        <f>SUM((C33*$E$4)+(7500/'EDl log'!$A$38))</f>
        <v>241.93548387096774</v>
      </c>
      <c r="F33" s="344"/>
      <c r="G33" s="5">
        <f t="shared" si="29"/>
        <v>587283</v>
      </c>
      <c r="H33" s="5">
        <f t="shared" si="13"/>
        <v>0</v>
      </c>
      <c r="I33" s="5">
        <f t="shared" si="0"/>
        <v>0</v>
      </c>
      <c r="J33" s="351">
        <f t="shared" si="1"/>
        <v>0</v>
      </c>
      <c r="K33" s="5">
        <f>'Swimming Pool quality check '!H33</f>
        <v>5834</v>
      </c>
      <c r="L33" s="282">
        <f t="shared" si="31"/>
        <v>0</v>
      </c>
      <c r="M33" s="434">
        <f t="shared" si="14"/>
        <v>457.44</v>
      </c>
      <c r="N33" s="565">
        <f t="shared" si="33"/>
        <v>0</v>
      </c>
      <c r="O33" s="434">
        <f t="shared" si="14"/>
        <v>529.52</v>
      </c>
      <c r="P33" s="565">
        <f t="shared" si="34"/>
        <v>0</v>
      </c>
      <c r="Q33" s="565">
        <f t="shared" si="35"/>
        <v>0</v>
      </c>
      <c r="R33" s="567"/>
      <c r="S33" s="567"/>
      <c r="T33" s="5">
        <f t="shared" si="40"/>
        <v>4460</v>
      </c>
      <c r="U33" s="5">
        <f t="shared" si="4"/>
        <v>0</v>
      </c>
      <c r="V33" s="5">
        <f t="shared" si="41"/>
        <v>353</v>
      </c>
      <c r="W33" s="341">
        <f t="shared" si="15"/>
        <v>0</v>
      </c>
      <c r="X33" s="5">
        <f t="shared" si="42"/>
        <v>139647</v>
      </c>
      <c r="Y33" s="341">
        <f t="shared" si="16"/>
        <v>0</v>
      </c>
      <c r="Z33" s="5">
        <f t="shared" si="38"/>
        <v>91335</v>
      </c>
      <c r="AA33" s="84">
        <f t="shared" si="17"/>
        <v>0</v>
      </c>
      <c r="AB33" s="5">
        <f t="shared" si="37"/>
        <v>244</v>
      </c>
      <c r="AC33" s="5">
        <f t="shared" si="5"/>
        <v>670</v>
      </c>
      <c r="AD33" s="84">
        <f t="shared" si="30"/>
        <v>0</v>
      </c>
      <c r="AE33" s="5">
        <f t="shared" si="43"/>
        <v>81.78</v>
      </c>
      <c r="AF33" s="84">
        <f>AE33-AE32</f>
        <v>0</v>
      </c>
      <c r="AG33" s="5">
        <f t="shared" si="44"/>
        <v>1126.6099999999999</v>
      </c>
      <c r="AH33" s="84">
        <f t="shared" si="19"/>
        <v>0</v>
      </c>
      <c r="AI33" s="84">
        <f t="shared" si="20"/>
        <v>0</v>
      </c>
      <c r="AJ33" s="343">
        <f t="shared" si="21"/>
        <v>0</v>
      </c>
      <c r="AK33" s="344">
        <f t="shared" si="6"/>
        <v>0</v>
      </c>
      <c r="AL33" s="344">
        <f t="shared" si="22"/>
        <v>0</v>
      </c>
      <c r="AM33" s="344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3"/>
        <v>43858</v>
      </c>
      <c r="AS33" s="449">
        <f t="shared" si="39"/>
        <v>0.9</v>
      </c>
      <c r="AT33" s="205">
        <f t="shared" si="39"/>
        <v>127</v>
      </c>
      <c r="AU33" s="450">
        <f t="shared" si="32"/>
        <v>1.1000000000000001</v>
      </c>
      <c r="AV33" s="205">
        <f t="shared" si="45"/>
        <v>120</v>
      </c>
      <c r="AW33" s="5">
        <v>2.9</v>
      </c>
      <c r="AX33" s="205">
        <f t="shared" si="46"/>
        <v>113</v>
      </c>
      <c r="AY33" s="453">
        <f t="shared" si="8"/>
        <v>114.3</v>
      </c>
      <c r="AZ33" s="453">
        <f t="shared" si="24"/>
        <v>132</v>
      </c>
      <c r="BA33" s="453">
        <f t="shared" si="25"/>
        <v>327.7</v>
      </c>
      <c r="BB33" s="21">
        <f t="shared" si="26"/>
        <v>0</v>
      </c>
      <c r="BC33" s="21">
        <f t="shared" si="26"/>
        <v>0</v>
      </c>
      <c r="BD33" s="21">
        <f t="shared" si="26"/>
        <v>0</v>
      </c>
      <c r="BE33" s="24">
        <f t="shared" si="28"/>
        <v>0</v>
      </c>
      <c r="BF33" s="97">
        <f t="shared" si="9"/>
        <v>0</v>
      </c>
      <c r="BG33" s="83">
        <f t="shared" si="10"/>
        <v>0</v>
      </c>
    </row>
    <row r="34" spans="1:59" ht="15.75" thickBot="1">
      <c r="A34" s="6">
        <f>ELEC!C31</f>
        <v>43859</v>
      </c>
      <c r="B34" s="5">
        <f t="shared" si="36"/>
        <v>108441</v>
      </c>
      <c r="C34" s="5">
        <f t="shared" si="11"/>
        <v>0</v>
      </c>
      <c r="D34" s="443">
        <f t="shared" si="12"/>
        <v>0</v>
      </c>
      <c r="E34" s="350">
        <f>SUM((C34*$E$4)+(7500/'EDl log'!$A$38))</f>
        <v>241.93548387096774</v>
      </c>
      <c r="F34" s="344"/>
      <c r="G34" s="5">
        <f t="shared" si="29"/>
        <v>587283</v>
      </c>
      <c r="H34" s="5">
        <f t="shared" si="13"/>
        <v>0</v>
      </c>
      <c r="I34" s="5">
        <f t="shared" si="0"/>
        <v>0</v>
      </c>
      <c r="J34" s="351">
        <f t="shared" si="1"/>
        <v>0</v>
      </c>
      <c r="K34" s="5">
        <f>'Swimming Pool quality check '!H34</f>
        <v>5834</v>
      </c>
      <c r="L34" s="282">
        <f t="shared" si="31"/>
        <v>0</v>
      </c>
      <c r="M34" s="434">
        <f t="shared" si="14"/>
        <v>457.44</v>
      </c>
      <c r="N34" s="565">
        <f t="shared" si="33"/>
        <v>0</v>
      </c>
      <c r="O34" s="434">
        <f t="shared" si="14"/>
        <v>529.52</v>
      </c>
      <c r="P34" s="565">
        <f t="shared" si="34"/>
        <v>0</v>
      </c>
      <c r="Q34" s="565">
        <f t="shared" si="35"/>
        <v>0</v>
      </c>
      <c r="R34" s="567"/>
      <c r="S34" s="567"/>
      <c r="T34" s="5">
        <f t="shared" si="40"/>
        <v>4460</v>
      </c>
      <c r="U34" s="5">
        <f t="shared" si="4"/>
        <v>0</v>
      </c>
      <c r="V34" s="5">
        <f t="shared" si="41"/>
        <v>353</v>
      </c>
      <c r="W34" s="341">
        <f t="shared" si="15"/>
        <v>0</v>
      </c>
      <c r="X34" s="5">
        <f t="shared" si="42"/>
        <v>139647</v>
      </c>
      <c r="Y34" s="341">
        <f t="shared" si="16"/>
        <v>0</v>
      </c>
      <c r="Z34" s="5">
        <f t="shared" si="38"/>
        <v>91335</v>
      </c>
      <c r="AA34" s="84">
        <f t="shared" si="17"/>
        <v>0</v>
      </c>
      <c r="AB34" s="5">
        <f t="shared" si="37"/>
        <v>244</v>
      </c>
      <c r="AC34" s="5">
        <f t="shared" si="5"/>
        <v>670</v>
      </c>
      <c r="AD34" s="84">
        <f t="shared" si="30"/>
        <v>0</v>
      </c>
      <c r="AE34" s="5">
        <f t="shared" si="43"/>
        <v>81.78</v>
      </c>
      <c r="AF34" s="84">
        <f t="shared" si="18"/>
        <v>0</v>
      </c>
      <c r="AG34" s="5">
        <f t="shared" si="44"/>
        <v>1126.6099999999999</v>
      </c>
      <c r="AH34" s="84">
        <f t="shared" si="19"/>
        <v>0</v>
      </c>
      <c r="AI34" s="84">
        <f t="shared" si="20"/>
        <v>0</v>
      </c>
      <c r="AJ34" s="343">
        <f t="shared" si="21"/>
        <v>0</v>
      </c>
      <c r="AK34" s="344">
        <f t="shared" si="6"/>
        <v>0</v>
      </c>
      <c r="AL34" s="344">
        <f t="shared" si="22"/>
        <v>0</v>
      </c>
      <c r="AM34" s="344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3"/>
        <v>43859</v>
      </c>
      <c r="AS34" s="449">
        <f t="shared" si="39"/>
        <v>0.9</v>
      </c>
      <c r="AT34" s="205">
        <f t="shared" si="39"/>
        <v>127</v>
      </c>
      <c r="AU34" s="451">
        <f t="shared" si="32"/>
        <v>1.1000000000000001</v>
      </c>
      <c r="AV34" s="205">
        <f t="shared" si="45"/>
        <v>120</v>
      </c>
      <c r="AW34" s="5">
        <v>2.9</v>
      </c>
      <c r="AX34" s="205">
        <f t="shared" si="46"/>
        <v>113</v>
      </c>
      <c r="AY34" s="453">
        <f t="shared" si="8"/>
        <v>114.3</v>
      </c>
      <c r="AZ34" s="453">
        <f t="shared" si="24"/>
        <v>132</v>
      </c>
      <c r="BA34" s="453">
        <f t="shared" si="25"/>
        <v>327.7</v>
      </c>
      <c r="BB34" s="21">
        <f t="shared" si="26"/>
        <v>0</v>
      </c>
      <c r="BC34" s="21">
        <f t="shared" si="26"/>
        <v>0</v>
      </c>
      <c r="BD34" s="21">
        <f t="shared" si="26"/>
        <v>0</v>
      </c>
      <c r="BE34" s="24">
        <f t="shared" si="28"/>
        <v>0</v>
      </c>
      <c r="BF34" s="97">
        <f t="shared" si="9"/>
        <v>0</v>
      </c>
      <c r="BG34" s="83">
        <f t="shared" si="10"/>
        <v>0</v>
      </c>
    </row>
    <row r="35" spans="1:59" ht="15.75" thickBot="1">
      <c r="A35" s="6">
        <f>ELEC!C32</f>
        <v>43860</v>
      </c>
      <c r="B35" s="5">
        <f t="shared" si="36"/>
        <v>108441</v>
      </c>
      <c r="C35" s="5">
        <f t="shared" si="11"/>
        <v>0</v>
      </c>
      <c r="D35" s="443">
        <f t="shared" si="12"/>
        <v>0</v>
      </c>
      <c r="E35" s="350">
        <f>SUM((C35*$E$4)+(7500/'EDl log'!$A$38))</f>
        <v>241.93548387096774</v>
      </c>
      <c r="F35" s="344"/>
      <c r="G35" s="5">
        <f t="shared" si="29"/>
        <v>587283</v>
      </c>
      <c r="H35" s="5">
        <f t="shared" si="13"/>
        <v>0</v>
      </c>
      <c r="I35" s="5">
        <f t="shared" si="0"/>
        <v>0</v>
      </c>
      <c r="J35" s="351">
        <f t="shared" si="1"/>
        <v>0</v>
      </c>
      <c r="K35" s="5">
        <f>'Swimming Pool quality check '!H35</f>
        <v>5834</v>
      </c>
      <c r="L35" s="84">
        <f t="shared" si="31"/>
        <v>0</v>
      </c>
      <c r="M35" s="434">
        <f t="shared" si="14"/>
        <v>457.44</v>
      </c>
      <c r="N35" s="565">
        <f t="shared" si="33"/>
        <v>0</v>
      </c>
      <c r="O35" s="434">
        <f t="shared" si="14"/>
        <v>529.52</v>
      </c>
      <c r="P35" s="565">
        <f t="shared" si="34"/>
        <v>0</v>
      </c>
      <c r="Q35" s="565">
        <f t="shared" si="35"/>
        <v>0</v>
      </c>
      <c r="R35" s="565"/>
      <c r="S35" s="565"/>
      <c r="T35" s="5">
        <f t="shared" si="40"/>
        <v>4460</v>
      </c>
      <c r="U35" s="5">
        <f t="shared" si="4"/>
        <v>0</v>
      </c>
      <c r="V35" s="5">
        <f t="shared" si="41"/>
        <v>353</v>
      </c>
      <c r="W35" s="341">
        <f t="shared" si="15"/>
        <v>0</v>
      </c>
      <c r="X35" s="5">
        <f t="shared" si="42"/>
        <v>139647</v>
      </c>
      <c r="Y35" s="341">
        <f t="shared" si="16"/>
        <v>0</v>
      </c>
      <c r="Z35" s="5">
        <f t="shared" si="38"/>
        <v>91335</v>
      </c>
      <c r="AA35" s="84">
        <f t="shared" si="17"/>
        <v>0</v>
      </c>
      <c r="AB35" s="5">
        <f t="shared" si="37"/>
        <v>244</v>
      </c>
      <c r="AC35" s="5">
        <f t="shared" si="5"/>
        <v>670</v>
      </c>
      <c r="AD35" s="84">
        <f t="shared" si="30"/>
        <v>0</v>
      </c>
      <c r="AE35" s="5">
        <f t="shared" si="43"/>
        <v>81.78</v>
      </c>
      <c r="AF35" s="84">
        <f t="shared" si="18"/>
        <v>0</v>
      </c>
      <c r="AG35" s="5">
        <f t="shared" si="44"/>
        <v>1126.6099999999999</v>
      </c>
      <c r="AH35" s="84">
        <f t="shared" si="19"/>
        <v>0</v>
      </c>
      <c r="AI35" s="84">
        <f t="shared" si="20"/>
        <v>0</v>
      </c>
      <c r="AJ35" s="343">
        <f t="shared" si="21"/>
        <v>0</v>
      </c>
      <c r="AK35" s="344">
        <f t="shared" si="6"/>
        <v>0</v>
      </c>
      <c r="AL35" s="344">
        <f t="shared" si="22"/>
        <v>0</v>
      </c>
      <c r="AM35" s="344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>
        <f t="shared" si="23"/>
        <v>43860</v>
      </c>
      <c r="AS35" s="449">
        <f t="shared" si="39"/>
        <v>0.9</v>
      </c>
      <c r="AT35" s="205">
        <f t="shared" si="39"/>
        <v>127</v>
      </c>
      <c r="AU35" s="452">
        <f t="shared" si="32"/>
        <v>1.1000000000000001</v>
      </c>
      <c r="AV35" s="205">
        <f t="shared" si="45"/>
        <v>120</v>
      </c>
      <c r="AW35" s="5">
        <v>2.9</v>
      </c>
      <c r="AX35" s="205">
        <f t="shared" si="46"/>
        <v>113</v>
      </c>
      <c r="AY35" s="453">
        <f t="shared" si="8"/>
        <v>114.3</v>
      </c>
      <c r="AZ35" s="453">
        <f t="shared" si="24"/>
        <v>132</v>
      </c>
      <c r="BA35" s="453">
        <f t="shared" si="25"/>
        <v>327.7</v>
      </c>
      <c r="BB35" s="21">
        <f t="shared" si="26"/>
        <v>0</v>
      </c>
      <c r="BC35" s="231">
        <f t="shared" si="26"/>
        <v>0</v>
      </c>
      <c r="BD35" s="231">
        <f t="shared" si="26"/>
        <v>0</v>
      </c>
      <c r="BE35" s="24">
        <f t="shared" si="28"/>
        <v>0</v>
      </c>
      <c r="BF35" s="97">
        <f t="shared" si="9"/>
        <v>0</v>
      </c>
      <c r="BG35" s="83">
        <f t="shared" si="10"/>
        <v>0</v>
      </c>
    </row>
    <row r="36" spans="1:59" ht="15.75" thickBot="1">
      <c r="A36" s="6">
        <f>ELEC!C33</f>
        <v>43861</v>
      </c>
      <c r="B36" s="5">
        <f t="shared" si="36"/>
        <v>108441</v>
      </c>
      <c r="C36" s="5">
        <f>B36-B35</f>
        <v>0</v>
      </c>
      <c r="D36" s="443">
        <f t="shared" si="12"/>
        <v>0</v>
      </c>
      <c r="E36" s="350">
        <f>SUM((C36*$E$4)+(7500/'EDl log'!$A$38))</f>
        <v>241.93548387096774</v>
      </c>
      <c r="F36" s="344"/>
      <c r="G36" s="5">
        <f t="shared" si="29"/>
        <v>587283</v>
      </c>
      <c r="H36" s="5">
        <f>G36-G35</f>
        <v>0</v>
      </c>
      <c r="I36" s="5">
        <f>C36+H36</f>
        <v>0</v>
      </c>
      <c r="J36" s="351">
        <f>IF(I36&gt;0,E36/I36,0)</f>
        <v>0</v>
      </c>
      <c r="K36" s="5">
        <f>'Swimming Pool quality check '!H36</f>
        <v>5834</v>
      </c>
      <c r="L36" s="84">
        <f>K36-K35</f>
        <v>0</v>
      </c>
      <c r="M36" s="434">
        <f t="shared" si="14"/>
        <v>457.44</v>
      </c>
      <c r="N36" s="565">
        <f t="shared" si="33"/>
        <v>0</v>
      </c>
      <c r="O36" s="434">
        <f t="shared" si="14"/>
        <v>529.52</v>
      </c>
      <c r="P36" s="565">
        <f t="shared" si="34"/>
        <v>0</v>
      </c>
      <c r="Q36" s="565">
        <f t="shared" si="35"/>
        <v>0</v>
      </c>
      <c r="R36" s="565"/>
      <c r="S36" s="565"/>
      <c r="T36" s="5">
        <f t="shared" si="40"/>
        <v>4460</v>
      </c>
      <c r="U36" s="5">
        <f>SUM(T36-T35)</f>
        <v>0</v>
      </c>
      <c r="V36" s="5">
        <f t="shared" si="41"/>
        <v>353</v>
      </c>
      <c r="W36" s="341">
        <f t="shared" si="15"/>
        <v>0</v>
      </c>
      <c r="X36" s="5">
        <f t="shared" si="42"/>
        <v>139647</v>
      </c>
      <c r="Y36" s="341">
        <f>SUM(X36-X35)</f>
        <v>0</v>
      </c>
      <c r="Z36" s="5">
        <f t="shared" si="38"/>
        <v>91335</v>
      </c>
      <c r="AA36" s="84">
        <f>Z36-Z35</f>
        <v>0</v>
      </c>
      <c r="AB36" s="5">
        <f t="shared" si="37"/>
        <v>244</v>
      </c>
      <c r="AC36" s="5">
        <f t="shared" si="5"/>
        <v>670</v>
      </c>
      <c r="AD36" s="84">
        <f>AC36-AC35</f>
        <v>0</v>
      </c>
      <c r="AE36" s="5">
        <f t="shared" si="43"/>
        <v>81.78</v>
      </c>
      <c r="AF36" s="84">
        <f>AE36-AE35</f>
        <v>0</v>
      </c>
      <c r="AG36" s="5">
        <f t="shared" si="44"/>
        <v>1126.6099999999999</v>
      </c>
      <c r="AH36" s="84">
        <f t="shared" si="19"/>
        <v>0</v>
      </c>
      <c r="AI36" s="84">
        <f t="shared" si="20"/>
        <v>0</v>
      </c>
      <c r="AJ36" s="343">
        <f>+Z36-Z35</f>
        <v>0</v>
      </c>
      <c r="AK36" s="344">
        <f t="shared" si="6"/>
        <v>0</v>
      </c>
      <c r="AL36" s="344">
        <f>SUM(AJ36-W36)</f>
        <v>0</v>
      </c>
      <c r="AM36" s="344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>
        <f>A36</f>
        <v>43861</v>
      </c>
      <c r="AS36" s="449">
        <f t="shared" si="39"/>
        <v>0.9</v>
      </c>
      <c r="AT36" s="205">
        <f t="shared" si="39"/>
        <v>127</v>
      </c>
      <c r="AU36" s="452">
        <f t="shared" si="32"/>
        <v>1.1000000000000001</v>
      </c>
      <c r="AV36" s="205">
        <f t="shared" si="45"/>
        <v>120</v>
      </c>
      <c r="AW36" s="5">
        <v>2.9</v>
      </c>
      <c r="AX36" s="205">
        <f t="shared" si="46"/>
        <v>113</v>
      </c>
      <c r="AY36" s="453">
        <f>AS36*AT36</f>
        <v>114.3</v>
      </c>
      <c r="AZ36" s="453">
        <f>AU36*AV36</f>
        <v>132</v>
      </c>
      <c r="BA36" s="453">
        <f t="shared" si="25"/>
        <v>327.7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6">
        <f>SUM(C6:C36)</f>
        <v>239</v>
      </c>
      <c r="D37" s="339">
        <f>SUM(D6:D36)</f>
        <v>8.8518518518518512</v>
      </c>
      <c r="F37" s="438">
        <f>SUM(F6:F36)</f>
        <v>3</v>
      </c>
      <c r="H37" s="436">
        <f>SUM(H6:H36)</f>
        <v>2416</v>
      </c>
      <c r="I37" s="436">
        <f>SUM(I6:I36)</f>
        <v>2655</v>
      </c>
      <c r="L37" s="275">
        <f>SUM(L7:L36)</f>
        <v>51</v>
      </c>
      <c r="Q37" s="541">
        <f>SUM(Q5:Q35)</f>
        <v>0</v>
      </c>
      <c r="U37" s="433">
        <f>SUM(U6:U36)</f>
        <v>97</v>
      </c>
      <c r="X37" s="340"/>
      <c r="Y37" s="339">
        <f>SUM(Y35,Y33,Y31,Y29,Y27,Y25,Y23,Y21,Y19,Y17,Y15,Y13,Y11,Y9,Y7+Y36)</f>
        <v>708</v>
      </c>
      <c r="AJ37" s="339">
        <f>SUM(AJ6:AJ36)</f>
        <v>714</v>
      </c>
      <c r="AK37" s="344">
        <f t="shared" si="6"/>
        <v>657</v>
      </c>
      <c r="AL37" s="339">
        <f>SUM(AL6:AL36)</f>
        <v>693</v>
      </c>
      <c r="AP37" s="17"/>
      <c r="AQ37" s="17"/>
      <c r="AR37" s="17"/>
      <c r="AS37" s="230"/>
      <c r="AT37" s="5">
        <f t="shared" si="39"/>
        <v>127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396.74</v>
      </c>
      <c r="E38" s="349">
        <f>SUM(E6:E36)</f>
        <v>7896.7400000000016</v>
      </c>
      <c r="F38" s="441">
        <f>SUM(F6:F36)</f>
        <v>3</v>
      </c>
      <c r="H38" s="158">
        <v>7500</v>
      </c>
      <c r="I38" s="437">
        <f>SUM('General information '!G37/WATER!I37)</f>
        <v>0.33061958568738231</v>
      </c>
      <c r="L38" s="158"/>
      <c r="O38" s="538">
        <f>SUM(Q37+I37)</f>
        <v>2655</v>
      </c>
      <c r="Z38" s="339">
        <f>SUM(Y37:AJ37)</f>
        <v>1422</v>
      </c>
      <c r="AK38" s="344">
        <f t="shared" si="6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8">
        <f>SUM(D21:D35)</f>
        <v>0</v>
      </c>
      <c r="F39" s="439">
        <f>SUM(F6:F36)</f>
        <v>3</v>
      </c>
      <c r="G39" s="1">
        <f>SUM(I37)</f>
        <v>2655</v>
      </c>
      <c r="H39" s="1">
        <f>SUM(H38+C38)</f>
        <v>7896.74</v>
      </c>
      <c r="K39" s="1">
        <f>SUM(H39/G39)</f>
        <v>2.9742900188323915</v>
      </c>
      <c r="AJ39" s="339">
        <f>SUM(C38-AK38)</f>
        <v>396.74</v>
      </c>
      <c r="AM39" s="367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9" activePane="bottomLeft" state="frozen"/>
      <selection pane="bottomLeft" activeCell="K22" sqref="K22"/>
    </sheetView>
  </sheetViews>
  <sheetFormatPr defaultRowHeight="15"/>
  <cols>
    <col min="1" max="1" width="11.85546875" style="52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3" t="s">
        <v>193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5"/>
    </row>
    <row r="2" spans="1:15" ht="15.75" customHeight="1" thickBot="1">
      <c r="A2" s="596"/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8"/>
    </row>
    <row r="3" spans="1:15" ht="9" customHeight="1" thickBot="1">
      <c r="A3" s="518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9"/>
      <c r="B4" s="150" t="s">
        <v>390</v>
      </c>
      <c r="C4" s="151" t="s">
        <v>158</v>
      </c>
      <c r="D4" s="148" t="s">
        <v>160</v>
      </c>
      <c r="E4" s="152" t="s">
        <v>159</v>
      </c>
      <c r="F4" s="55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20" t="str">
        <f>ELEC!C2</f>
        <v>31-12-2019</v>
      </c>
      <c r="B5" s="377">
        <f>'[1]General information '!B36</f>
        <v>16</v>
      </c>
      <c r="C5" s="377">
        <f>'[1]General information '!C36</f>
        <v>11</v>
      </c>
      <c r="D5" s="377">
        <f>'[1]General information '!D36</f>
        <v>13.5</v>
      </c>
      <c r="E5" s="377">
        <f>'[1]General information '!E36</f>
        <v>0.67</v>
      </c>
      <c r="F5" s="377">
        <f>'[1]General information '!F36</f>
        <v>0.5</v>
      </c>
      <c r="G5" s="377">
        <f>'[1]General information '!G36</f>
        <v>115</v>
      </c>
      <c r="H5" s="377">
        <f>'[1]General information '!H36</f>
        <v>0</v>
      </c>
      <c r="I5" s="377">
        <f>'[1]General information '!I36</f>
        <v>0</v>
      </c>
      <c r="J5" s="377">
        <f>'[1]General information '!J36</f>
        <v>439</v>
      </c>
      <c r="K5" s="377">
        <f>'[1]General information '!K36</f>
        <v>439</v>
      </c>
      <c r="L5" s="377">
        <f>'[1]General information '!L36</f>
        <v>0</v>
      </c>
      <c r="M5" s="377">
        <f>'[1]General information '!M36</f>
        <v>0</v>
      </c>
      <c r="N5" s="377">
        <f>'[1]General information '!N36</f>
        <v>0</v>
      </c>
      <c r="O5" s="377">
        <f>'[1]General information '!O36</f>
        <v>0</v>
      </c>
    </row>
    <row r="6" spans="1:15">
      <c r="A6" s="520">
        <f>ELEC!C3</f>
        <v>43831</v>
      </c>
      <c r="B6" s="37">
        <v>16</v>
      </c>
      <c r="C6" s="37">
        <v>11</v>
      </c>
      <c r="D6" s="26">
        <f t="shared" ref="D6:D12" si="0">(C6+B6)/2</f>
        <v>13.5</v>
      </c>
      <c r="E6" s="358">
        <v>0.55000000000000004</v>
      </c>
      <c r="F6" s="364">
        <v>0.42599999999999999</v>
      </c>
      <c r="G6" s="246">
        <f t="shared" ref="G6:G12" si="1">F6*230</f>
        <v>97.98</v>
      </c>
      <c r="H6" s="3">
        <v>0</v>
      </c>
      <c r="I6" s="3"/>
      <c r="J6" s="37">
        <v>549</v>
      </c>
      <c r="K6" s="270">
        <f t="shared" ref="K6:K26" si="2">+J6+H6</f>
        <v>549</v>
      </c>
      <c r="L6" s="3"/>
      <c r="M6" s="3"/>
      <c r="N6" s="156"/>
      <c r="O6" s="3"/>
    </row>
    <row r="7" spans="1:15">
      <c r="A7" s="520">
        <f>ELEC!C4</f>
        <v>43832</v>
      </c>
      <c r="B7" s="37">
        <v>17</v>
      </c>
      <c r="C7" s="37">
        <v>12</v>
      </c>
      <c r="D7" s="26">
        <f t="shared" si="0"/>
        <v>14.5</v>
      </c>
      <c r="E7" s="358">
        <v>0.55000000000000004</v>
      </c>
      <c r="F7" s="364">
        <v>0.33479999999999999</v>
      </c>
      <c r="G7" s="246">
        <f t="shared" si="1"/>
        <v>77.003999999999991</v>
      </c>
      <c r="H7" s="3">
        <v>0</v>
      </c>
      <c r="I7" s="3">
        <v>0</v>
      </c>
      <c r="J7" s="37">
        <v>371</v>
      </c>
      <c r="K7" s="270">
        <f t="shared" si="2"/>
        <v>371</v>
      </c>
      <c r="L7" s="3"/>
      <c r="M7" s="3"/>
      <c r="N7" s="156"/>
      <c r="O7" s="3"/>
    </row>
    <row r="8" spans="1:15">
      <c r="A8" s="520">
        <f>ELEC!C5</f>
        <v>43833</v>
      </c>
      <c r="B8" s="37">
        <v>16</v>
      </c>
      <c r="C8" s="37">
        <v>12</v>
      </c>
      <c r="D8" s="26">
        <f t="shared" si="0"/>
        <v>14</v>
      </c>
      <c r="E8" s="358">
        <v>0.54</v>
      </c>
      <c r="F8" s="358">
        <v>0.2782</v>
      </c>
      <c r="G8" s="246">
        <f t="shared" si="1"/>
        <v>63.986000000000004</v>
      </c>
      <c r="H8" s="3">
        <v>157</v>
      </c>
      <c r="I8" s="3"/>
      <c r="J8" s="37">
        <v>535</v>
      </c>
      <c r="K8" s="270">
        <f t="shared" si="2"/>
        <v>692</v>
      </c>
      <c r="L8" s="3"/>
      <c r="M8" s="171"/>
      <c r="N8" s="156"/>
      <c r="O8" s="3"/>
    </row>
    <row r="9" spans="1:15">
      <c r="A9" s="520">
        <f>ELEC!C6</f>
        <v>43834</v>
      </c>
      <c r="B9" s="37">
        <v>15</v>
      </c>
      <c r="C9" s="37">
        <v>11</v>
      </c>
      <c r="D9" s="26">
        <f>(C9+B9)/2</f>
        <v>13</v>
      </c>
      <c r="E9" s="417">
        <v>0.55000000000000004</v>
      </c>
      <c r="F9" s="417">
        <v>0.21299999999999999</v>
      </c>
      <c r="G9" s="246">
        <f>F9*230</f>
        <v>48.99</v>
      </c>
      <c r="H9" s="3">
        <v>260</v>
      </c>
      <c r="I9" s="3"/>
      <c r="J9" s="37">
        <v>650</v>
      </c>
      <c r="K9" s="270">
        <f>+J9+H9</f>
        <v>910</v>
      </c>
      <c r="L9" s="3"/>
      <c r="M9" s="3"/>
      <c r="N9" s="156"/>
      <c r="O9" s="3"/>
    </row>
    <row r="10" spans="1:15">
      <c r="A10" s="520">
        <f>ELEC!C7</f>
        <v>43835</v>
      </c>
      <c r="B10" s="37">
        <v>15</v>
      </c>
      <c r="C10" s="37">
        <v>11</v>
      </c>
      <c r="D10" s="26">
        <f t="shared" si="0"/>
        <v>13</v>
      </c>
      <c r="E10" s="375">
        <v>0.55000000000000004</v>
      </c>
      <c r="F10" s="358">
        <v>0.16089999999999999</v>
      </c>
      <c r="G10" s="246">
        <f t="shared" si="1"/>
        <v>37.006999999999998</v>
      </c>
      <c r="H10" s="3">
        <v>0</v>
      </c>
      <c r="I10" s="3"/>
      <c r="J10" s="37">
        <v>287</v>
      </c>
      <c r="K10" s="270">
        <f t="shared" si="2"/>
        <v>287</v>
      </c>
      <c r="L10" s="3"/>
      <c r="M10" s="3"/>
      <c r="N10" s="156"/>
      <c r="O10" s="3"/>
    </row>
    <row r="11" spans="1:15">
      <c r="A11" s="520">
        <f>ELEC!C8</f>
        <v>43836</v>
      </c>
      <c r="B11" s="37">
        <v>16</v>
      </c>
      <c r="C11" s="37">
        <v>12</v>
      </c>
      <c r="D11" s="26">
        <f t="shared" si="0"/>
        <v>14</v>
      </c>
      <c r="E11" s="417">
        <v>0.57999999999999996</v>
      </c>
      <c r="F11" s="358">
        <v>0.16520000000000001</v>
      </c>
      <c r="G11" s="246">
        <f t="shared" si="1"/>
        <v>37.996000000000002</v>
      </c>
      <c r="H11" s="3">
        <v>0</v>
      </c>
      <c r="I11" s="3"/>
      <c r="J11" s="37">
        <v>186</v>
      </c>
      <c r="K11" s="270">
        <f>+J11+H11</f>
        <v>186</v>
      </c>
      <c r="L11" s="3"/>
      <c r="M11" s="3"/>
      <c r="N11" s="156"/>
      <c r="O11" s="3"/>
    </row>
    <row r="12" spans="1:15">
      <c r="A12" s="520">
        <f>ELEC!C9</f>
        <v>43837</v>
      </c>
      <c r="B12" s="37">
        <v>16</v>
      </c>
      <c r="C12" s="37">
        <v>12</v>
      </c>
      <c r="D12" s="26">
        <f t="shared" si="0"/>
        <v>14</v>
      </c>
      <c r="E12" s="417">
        <v>0.5</v>
      </c>
      <c r="F12" s="417">
        <v>0.23480000000000001</v>
      </c>
      <c r="G12" s="246">
        <f t="shared" si="1"/>
        <v>54.004000000000005</v>
      </c>
      <c r="H12" s="3">
        <v>0</v>
      </c>
      <c r="I12" s="3"/>
      <c r="J12" s="37">
        <v>269</v>
      </c>
      <c r="K12" s="270">
        <f t="shared" si="2"/>
        <v>269</v>
      </c>
      <c r="L12" s="3"/>
      <c r="M12" s="3"/>
      <c r="N12" s="156"/>
      <c r="O12" s="3"/>
    </row>
    <row r="13" spans="1:15">
      <c r="A13" s="520">
        <f>ELEC!C10</f>
        <v>43838</v>
      </c>
      <c r="B13" s="37">
        <v>14</v>
      </c>
      <c r="C13" s="37">
        <v>11</v>
      </c>
      <c r="D13" s="26">
        <f>(C13+B13)/2</f>
        <v>12.5</v>
      </c>
      <c r="E13" s="375">
        <v>0.72</v>
      </c>
      <c r="F13" s="375">
        <v>0.23400000000000001</v>
      </c>
      <c r="G13" s="246">
        <f>F13*230</f>
        <v>53.82</v>
      </c>
      <c r="H13" s="3">
        <v>0</v>
      </c>
      <c r="I13" s="3"/>
      <c r="J13" s="37"/>
      <c r="K13" s="270">
        <v>269</v>
      </c>
      <c r="L13" s="3"/>
      <c r="M13" s="3"/>
      <c r="N13" s="156"/>
      <c r="O13" s="3"/>
    </row>
    <row r="14" spans="1:15">
      <c r="A14" s="520">
        <f>ELEC!C11</f>
        <v>43839</v>
      </c>
      <c r="B14" s="37">
        <v>14</v>
      </c>
      <c r="C14" s="37">
        <v>11</v>
      </c>
      <c r="D14" s="26">
        <f t="shared" ref="D14:D35" si="3">(C14+B14)/2</f>
        <v>12.5</v>
      </c>
      <c r="E14" s="358">
        <v>0.6</v>
      </c>
      <c r="F14" s="358">
        <v>0.2087</v>
      </c>
      <c r="G14" s="246">
        <f t="shared" ref="G14:G35" si="4">F14*230</f>
        <v>48.000999999999998</v>
      </c>
      <c r="H14" s="3">
        <v>0</v>
      </c>
      <c r="I14" s="3"/>
      <c r="J14" s="37">
        <v>258</v>
      </c>
      <c r="K14" s="270">
        <f t="shared" si="2"/>
        <v>258</v>
      </c>
      <c r="L14" s="3"/>
      <c r="M14" s="3"/>
      <c r="N14" s="156"/>
      <c r="O14" s="3"/>
    </row>
    <row r="15" spans="1:15">
      <c r="A15" s="520">
        <f>ELEC!C12</f>
        <v>43840</v>
      </c>
      <c r="B15" s="37">
        <v>17</v>
      </c>
      <c r="C15" s="37">
        <v>12</v>
      </c>
      <c r="D15" s="26">
        <f t="shared" si="3"/>
        <v>14.5</v>
      </c>
      <c r="E15" s="358">
        <v>0.5</v>
      </c>
      <c r="F15" s="358">
        <v>0.2</v>
      </c>
      <c r="G15" s="246">
        <f>F15*230</f>
        <v>46</v>
      </c>
      <c r="H15" s="3">
        <v>0</v>
      </c>
      <c r="I15" s="3"/>
      <c r="J15" s="37">
        <v>276</v>
      </c>
      <c r="K15" s="270">
        <f>+J15+H15</f>
        <v>276</v>
      </c>
      <c r="L15" s="3"/>
      <c r="M15" s="3"/>
      <c r="N15" s="156"/>
      <c r="O15" s="3"/>
    </row>
    <row r="16" spans="1:15">
      <c r="A16" s="520">
        <f>ELEC!C13</f>
        <v>43841</v>
      </c>
      <c r="B16" s="37">
        <v>17</v>
      </c>
      <c r="C16" s="37">
        <v>13</v>
      </c>
      <c r="D16" s="26">
        <f t="shared" si="3"/>
        <v>15</v>
      </c>
      <c r="E16" s="358">
        <v>0.5</v>
      </c>
      <c r="F16" s="358">
        <v>0.1696</v>
      </c>
      <c r="G16" s="246">
        <f t="shared" si="4"/>
        <v>39.008000000000003</v>
      </c>
      <c r="H16" s="3">
        <v>180</v>
      </c>
      <c r="I16" s="3"/>
      <c r="J16" s="37">
        <v>536</v>
      </c>
      <c r="K16" s="270">
        <f>+J16+H16</f>
        <v>716</v>
      </c>
      <c r="L16" s="3"/>
      <c r="M16" s="3"/>
      <c r="N16" s="156"/>
      <c r="O16" s="3"/>
    </row>
    <row r="17" spans="1:15">
      <c r="A17" s="520">
        <f>ELEC!C14</f>
        <v>43842</v>
      </c>
      <c r="B17" s="37">
        <v>16</v>
      </c>
      <c r="C17" s="37">
        <v>12</v>
      </c>
      <c r="D17" s="26">
        <f t="shared" si="3"/>
        <v>14</v>
      </c>
      <c r="E17" s="358">
        <v>0.55000000000000004</v>
      </c>
      <c r="F17" s="358">
        <v>0.1739</v>
      </c>
      <c r="G17" s="246">
        <f t="shared" si="4"/>
        <v>39.997</v>
      </c>
      <c r="H17" s="3">
        <v>0</v>
      </c>
      <c r="I17" s="3"/>
      <c r="J17" s="468">
        <v>233</v>
      </c>
      <c r="K17" s="270">
        <f t="shared" si="2"/>
        <v>233</v>
      </c>
      <c r="L17" s="3"/>
      <c r="M17" s="3"/>
      <c r="N17" s="156"/>
      <c r="O17" s="3"/>
    </row>
    <row r="18" spans="1:15">
      <c r="A18" s="520">
        <f>ELEC!C15</f>
        <v>43843</v>
      </c>
      <c r="B18" s="37">
        <v>17</v>
      </c>
      <c r="C18" s="37">
        <v>13</v>
      </c>
      <c r="D18" s="26">
        <f t="shared" si="3"/>
        <v>15</v>
      </c>
      <c r="E18" s="454">
        <v>0.55000000000000004</v>
      </c>
      <c r="F18" s="358">
        <v>0.18260000000000001</v>
      </c>
      <c r="G18" s="246">
        <f t="shared" si="4"/>
        <v>41.998000000000005</v>
      </c>
      <c r="H18" s="3">
        <v>0</v>
      </c>
      <c r="I18" s="3"/>
      <c r="J18" s="3">
        <v>540</v>
      </c>
      <c r="K18" s="270">
        <f t="shared" si="2"/>
        <v>540</v>
      </c>
      <c r="L18" s="3"/>
      <c r="M18" s="3"/>
      <c r="N18" s="156"/>
      <c r="O18" s="3"/>
    </row>
    <row r="19" spans="1:15">
      <c r="A19" s="520">
        <f>ELEC!C16</f>
        <v>43844</v>
      </c>
      <c r="B19" s="37">
        <v>16</v>
      </c>
      <c r="C19" s="37">
        <v>12</v>
      </c>
      <c r="D19" s="26">
        <f t="shared" si="3"/>
        <v>14</v>
      </c>
      <c r="E19" s="358">
        <v>0.55000000000000004</v>
      </c>
      <c r="F19" s="358">
        <v>0.2087</v>
      </c>
      <c r="G19" s="246">
        <f t="shared" si="4"/>
        <v>48.000999999999998</v>
      </c>
      <c r="H19" s="3">
        <v>0</v>
      </c>
      <c r="I19" s="3"/>
      <c r="J19" s="3">
        <v>184</v>
      </c>
      <c r="K19" s="270">
        <f t="shared" si="2"/>
        <v>184</v>
      </c>
      <c r="L19" s="3"/>
      <c r="M19" s="3"/>
      <c r="N19" s="156"/>
      <c r="O19" s="3"/>
    </row>
    <row r="20" spans="1:15">
      <c r="A20" s="520">
        <f>ELEC!C17</f>
        <v>43845</v>
      </c>
      <c r="B20" s="37">
        <v>17</v>
      </c>
      <c r="C20" s="37">
        <v>13</v>
      </c>
      <c r="D20" s="26">
        <f t="shared" si="3"/>
        <v>15</v>
      </c>
      <c r="E20" s="358">
        <v>0.55000000000000004</v>
      </c>
      <c r="F20" s="358">
        <v>0.2261</v>
      </c>
      <c r="G20" s="246">
        <f t="shared" si="4"/>
        <v>52.003</v>
      </c>
      <c r="H20" s="3">
        <v>0</v>
      </c>
      <c r="I20" s="3"/>
      <c r="J20" s="3">
        <v>345</v>
      </c>
      <c r="K20" s="270">
        <f t="shared" si="2"/>
        <v>345</v>
      </c>
      <c r="L20" s="3"/>
      <c r="M20" s="3"/>
      <c r="N20" s="156"/>
      <c r="O20" s="3"/>
    </row>
    <row r="21" spans="1:15">
      <c r="A21" s="520">
        <f>ELEC!C18</f>
        <v>43846</v>
      </c>
      <c r="B21" s="37">
        <v>19</v>
      </c>
      <c r="C21" s="37">
        <v>13</v>
      </c>
      <c r="D21" s="26">
        <f>(C21+B21)/2</f>
        <v>16</v>
      </c>
      <c r="E21" s="358">
        <v>0.6</v>
      </c>
      <c r="F21" s="358">
        <v>0.2261</v>
      </c>
      <c r="G21" s="246">
        <f t="shared" si="4"/>
        <v>52.003</v>
      </c>
      <c r="H21" s="3">
        <v>107</v>
      </c>
      <c r="I21" s="3"/>
      <c r="J21" s="3">
        <v>331</v>
      </c>
      <c r="K21" s="270">
        <f t="shared" si="2"/>
        <v>438</v>
      </c>
      <c r="L21" s="3"/>
      <c r="M21" s="3"/>
      <c r="N21" s="156"/>
      <c r="O21" s="3"/>
    </row>
    <row r="22" spans="1:15">
      <c r="A22" s="520">
        <f>ELEC!C19</f>
        <v>43847</v>
      </c>
      <c r="B22" s="37">
        <v>20</v>
      </c>
      <c r="C22" s="37">
        <v>13</v>
      </c>
      <c r="D22" s="26">
        <f t="shared" si="3"/>
        <v>16.5</v>
      </c>
      <c r="E22" s="358">
        <v>0.56999999999999995</v>
      </c>
      <c r="F22" s="417">
        <v>0.1739</v>
      </c>
      <c r="G22" s="246">
        <f t="shared" si="4"/>
        <v>39.997</v>
      </c>
      <c r="H22" s="3">
        <v>100</v>
      </c>
      <c r="I22" s="3"/>
      <c r="J22" s="3">
        <v>340</v>
      </c>
      <c r="K22" s="270">
        <f t="shared" si="2"/>
        <v>440</v>
      </c>
      <c r="L22" s="3"/>
      <c r="M22" s="3"/>
      <c r="N22" s="156"/>
      <c r="O22" s="3"/>
    </row>
    <row r="23" spans="1:15">
      <c r="A23" s="520">
        <f>ELEC!C20</f>
        <v>43848</v>
      </c>
      <c r="B23" s="37"/>
      <c r="C23" s="37"/>
      <c r="D23" s="26">
        <f>(C23+B23)/2</f>
        <v>0</v>
      </c>
      <c r="E23" s="358"/>
      <c r="F23" s="358"/>
      <c r="G23" s="246">
        <f t="shared" si="4"/>
        <v>0</v>
      </c>
      <c r="H23" s="3">
        <v>0</v>
      </c>
      <c r="I23" s="3"/>
      <c r="J23" s="3"/>
      <c r="K23" s="270">
        <f t="shared" si="2"/>
        <v>0</v>
      </c>
      <c r="L23" s="3"/>
      <c r="M23" s="3"/>
      <c r="N23" s="156"/>
      <c r="O23" s="3"/>
    </row>
    <row r="24" spans="1:15">
      <c r="A24" s="520">
        <f>ELEC!C21</f>
        <v>43849</v>
      </c>
      <c r="B24" s="37"/>
      <c r="C24" s="37"/>
      <c r="D24" s="26">
        <f t="shared" si="3"/>
        <v>0</v>
      </c>
      <c r="E24" s="358"/>
      <c r="F24" s="358"/>
      <c r="G24" s="246">
        <f t="shared" si="4"/>
        <v>0</v>
      </c>
      <c r="H24" s="3">
        <v>0</v>
      </c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20">
        <f>ELEC!C22</f>
        <v>43850</v>
      </c>
      <c r="B25" s="37"/>
      <c r="C25" s="37"/>
      <c r="D25" s="26">
        <f t="shared" si="3"/>
        <v>0</v>
      </c>
      <c r="E25" s="358"/>
      <c r="F25" s="358"/>
      <c r="G25" s="246">
        <f t="shared" si="4"/>
        <v>0</v>
      </c>
      <c r="H25" s="3">
        <v>0</v>
      </c>
      <c r="I25" s="3"/>
      <c r="J25" s="3"/>
      <c r="K25" s="270">
        <f t="shared" si="2"/>
        <v>0</v>
      </c>
      <c r="L25" s="3"/>
      <c r="M25" s="3"/>
      <c r="N25" s="156"/>
      <c r="O25" s="3"/>
    </row>
    <row r="26" spans="1:15">
      <c r="A26" s="520">
        <f>ELEC!C23</f>
        <v>43851</v>
      </c>
      <c r="B26" s="37"/>
      <c r="C26" s="37"/>
      <c r="D26" s="26">
        <f>(C26+B26)/2</f>
        <v>0</v>
      </c>
      <c r="E26" s="358"/>
      <c r="F26" s="358"/>
      <c r="G26" s="246">
        <f t="shared" si="4"/>
        <v>0</v>
      </c>
      <c r="H26" s="3">
        <v>0</v>
      </c>
      <c r="I26" s="3"/>
      <c r="J26" s="3"/>
      <c r="K26" s="270">
        <f t="shared" si="2"/>
        <v>0</v>
      </c>
      <c r="L26" s="3"/>
      <c r="M26" s="3"/>
      <c r="N26" s="156"/>
      <c r="O26" s="3"/>
    </row>
    <row r="27" spans="1:15">
      <c r="A27" s="520">
        <f>ELEC!C24</f>
        <v>43852</v>
      </c>
      <c r="B27" s="37"/>
      <c r="C27" s="37"/>
      <c r="D27" s="26">
        <f t="shared" si="3"/>
        <v>0</v>
      </c>
      <c r="E27" s="358"/>
      <c r="F27" s="358"/>
      <c r="G27" s="246">
        <f t="shared" si="4"/>
        <v>0</v>
      </c>
      <c r="H27" s="3">
        <v>0</v>
      </c>
      <c r="I27" s="3"/>
      <c r="J27" s="3"/>
      <c r="K27" s="270">
        <f>+J27+H27+I27</f>
        <v>0</v>
      </c>
      <c r="L27" s="3"/>
      <c r="M27" s="3"/>
      <c r="N27" s="156"/>
      <c r="O27" s="3"/>
    </row>
    <row r="28" spans="1:15">
      <c r="A28" s="520">
        <f>ELEC!C25</f>
        <v>43853</v>
      </c>
      <c r="B28" s="37"/>
      <c r="C28" s="37"/>
      <c r="D28" s="26">
        <f t="shared" si="3"/>
        <v>0</v>
      </c>
      <c r="E28" s="358"/>
      <c r="F28" s="358"/>
      <c r="G28" s="246">
        <f t="shared" si="4"/>
        <v>0</v>
      </c>
      <c r="H28" s="3">
        <v>0</v>
      </c>
      <c r="I28" s="3"/>
      <c r="J28" s="3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20">
        <f>ELEC!C26</f>
        <v>43854</v>
      </c>
      <c r="B29" s="37"/>
      <c r="C29" s="37"/>
      <c r="D29" s="26">
        <f t="shared" si="3"/>
        <v>0</v>
      </c>
      <c r="E29" s="358"/>
      <c r="F29" s="358"/>
      <c r="G29" s="246">
        <f t="shared" si="4"/>
        <v>0</v>
      </c>
      <c r="H29" s="3">
        <v>0</v>
      </c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20">
        <f>ELEC!C27</f>
        <v>43855</v>
      </c>
      <c r="B30" s="37"/>
      <c r="C30" s="37"/>
      <c r="D30" s="26">
        <f t="shared" si="3"/>
        <v>0</v>
      </c>
      <c r="E30" s="358"/>
      <c r="F30" s="417"/>
      <c r="G30" s="246">
        <f t="shared" si="4"/>
        <v>0</v>
      </c>
      <c r="H30" s="3">
        <v>0</v>
      </c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20">
        <f>ELEC!C28</f>
        <v>43856</v>
      </c>
      <c r="B31" s="37"/>
      <c r="C31" s="37"/>
      <c r="D31" s="3">
        <f t="shared" si="3"/>
        <v>0</v>
      </c>
      <c r="E31" s="359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20">
        <f>ELEC!C29</f>
        <v>43857</v>
      </c>
      <c r="B32" s="37"/>
      <c r="C32" s="37"/>
      <c r="D32" s="291">
        <f>(C32+B32)/2</f>
        <v>0</v>
      </c>
      <c r="E32" s="359"/>
      <c r="F32" s="363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20">
        <f>ELEC!C30</f>
        <v>43858</v>
      </c>
      <c r="B33" s="37"/>
      <c r="C33" s="37"/>
      <c r="D33" s="26">
        <f t="shared" si="3"/>
        <v>0</v>
      </c>
      <c r="E33" s="358"/>
      <c r="F33" s="358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20">
        <f>ELEC!C31</f>
        <v>43859</v>
      </c>
      <c r="B34" s="37"/>
      <c r="C34" s="37"/>
      <c r="D34" s="26">
        <f t="shared" si="3"/>
        <v>0</v>
      </c>
      <c r="E34" s="358"/>
      <c r="F34" s="358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20">
        <f>ELEC!C32</f>
        <v>43860</v>
      </c>
      <c r="B35" s="37"/>
      <c r="C35" s="37"/>
      <c r="D35" s="26">
        <f t="shared" si="3"/>
        <v>0</v>
      </c>
      <c r="E35" s="375"/>
      <c r="F35" s="375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20">
        <f>ELEC!C33</f>
        <v>43861</v>
      </c>
      <c r="B36" s="37"/>
      <c r="C36" s="37"/>
      <c r="D36" s="26">
        <f>(C36+B36)/2</f>
        <v>0</v>
      </c>
      <c r="E36" s="417"/>
      <c r="F36" s="417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0.22450000000000003</v>
      </c>
      <c r="G37" s="207">
        <f>SUM(G6:G35)</f>
        <v>877.79500000000007</v>
      </c>
    </row>
    <row r="38" spans="1:15">
      <c r="D38" s="268">
        <f>SUM(D6:D36)/'EDl log'!A36</f>
        <v>14.176470588235293</v>
      </c>
      <c r="F38" s="215"/>
    </row>
    <row r="41" spans="1:15">
      <c r="I41" s="435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N1" activePane="topRight" state="frozen"/>
      <selection pane="topRight" activeCell="AU22" sqref="AU2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9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1" t="s">
        <v>108</v>
      </c>
      <c r="AS3" s="601" t="s">
        <v>234</v>
      </c>
      <c r="AT3" s="599" t="s">
        <v>302</v>
      </c>
      <c r="AU3" s="600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2"/>
      <c r="AS4" s="602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9" t="str">
        <f>ELEC!C2</f>
        <v>31-12-2019</v>
      </c>
      <c r="B5" s="207">
        <f>[1]tanks!B36</f>
        <v>238</v>
      </c>
      <c r="C5" s="207">
        <f>[1]tanks!C36</f>
        <v>5120.8387096774195</v>
      </c>
      <c r="D5" s="207">
        <f>[1]tanks!D36</f>
        <v>238</v>
      </c>
      <c r="E5" s="207">
        <f>[1]tanks!E36</f>
        <v>5120.8387096774195</v>
      </c>
      <c r="F5" s="207">
        <f>[1]tanks!F36</f>
        <v>238</v>
      </c>
      <c r="G5" s="207">
        <f>[1]tanks!G36</f>
        <v>5120.8387096774195</v>
      </c>
      <c r="H5" s="207">
        <f>[1]tanks!H36</f>
        <v>238</v>
      </c>
      <c r="I5" s="207">
        <f>[1]tanks!I36</f>
        <v>5120.8387096774195</v>
      </c>
      <c r="J5" s="207">
        <f>[1]tanks!J36</f>
        <v>238</v>
      </c>
      <c r="K5" s="207">
        <f>[1]tanks!K36</f>
        <v>5120.8387096774195</v>
      </c>
      <c r="L5" s="207">
        <f>[1]tanks!L36</f>
        <v>238</v>
      </c>
      <c r="M5" s="207">
        <f>[1]tanks!M36</f>
        <v>5120.8387096774195</v>
      </c>
      <c r="N5" s="207">
        <f>[1]tanks!N36</f>
        <v>238</v>
      </c>
      <c r="O5" s="207">
        <f>[1]tanks!O36</f>
        <v>5120.8387096774195</v>
      </c>
      <c r="P5" s="207">
        <f>[1]tanks!P36</f>
        <v>238</v>
      </c>
      <c r="Q5" s="207">
        <f>[1]tanks!Q36</f>
        <v>5120.8387096774195</v>
      </c>
      <c r="R5" s="207">
        <f>[1]tanks!R36</f>
        <v>238</v>
      </c>
      <c r="S5" s="207">
        <f>[1]tanks!S36</f>
        <v>5120.8387096774195</v>
      </c>
      <c r="T5" s="207">
        <f>[1]tanks!T36</f>
        <v>238</v>
      </c>
      <c r="U5" s="207">
        <f>[1]tanks!U36</f>
        <v>5120.8387096774195</v>
      </c>
      <c r="V5" s="207">
        <f>[1]tanks!V36</f>
        <v>238</v>
      </c>
      <c r="W5" s="207">
        <f>[1]tanks!W36</f>
        <v>5120.8387096774195</v>
      </c>
      <c r="X5" s="207">
        <f>[1]tanks!X36</f>
        <v>0.76774193548387093</v>
      </c>
      <c r="Y5" s="207">
        <f>[1]tanks!Y36</f>
        <v>56329.225806451606</v>
      </c>
      <c r="Z5" s="207">
        <f>[1]tanks!Z36</f>
        <v>98</v>
      </c>
      <c r="AA5" s="207">
        <f>[1]tanks!AA36</f>
        <v>980</v>
      </c>
      <c r="AB5" s="207">
        <f>[1]tanks!AB36</f>
        <v>98</v>
      </c>
      <c r="AC5" s="207">
        <f>[1]tanks!AC36</f>
        <v>980</v>
      </c>
      <c r="AD5" s="207">
        <f>[1]tanks!AD36</f>
        <v>98</v>
      </c>
      <c r="AE5" s="207">
        <f>[1]tanks!AE36</f>
        <v>980</v>
      </c>
      <c r="AF5" s="207">
        <f>[1]tanks!AF36</f>
        <v>98</v>
      </c>
      <c r="AG5" s="207">
        <f>[1]tanks!AG36</f>
        <v>980</v>
      </c>
      <c r="AH5" s="207">
        <f>[1]tanks!AH36</f>
        <v>98</v>
      </c>
      <c r="AI5" s="207">
        <f>[1]tanks!AI36</f>
        <v>980</v>
      </c>
      <c r="AJ5" s="207">
        <f>[1]tanks!AJ36</f>
        <v>98</v>
      </c>
      <c r="AK5" s="207">
        <f>[1]tanks!AK36</f>
        <v>980</v>
      </c>
      <c r="AL5" s="207">
        <f>[1]tanks!AL36</f>
        <v>98</v>
      </c>
      <c r="AM5" s="207">
        <f>[1]tanks!AM36</f>
        <v>980</v>
      </c>
      <c r="AN5" s="207">
        <f>[1]tanks!AN36</f>
        <v>0.35</v>
      </c>
      <c r="AO5" s="207">
        <f>[1]tanks!AO36</f>
        <v>6860</v>
      </c>
      <c r="AP5" s="207">
        <f>[1]tanks!AP36</f>
        <v>0</v>
      </c>
      <c r="AQ5" s="552">
        <f>[1]tanks!AQ36</f>
        <v>0.67967329037809621</v>
      </c>
      <c r="AR5" s="207">
        <f>[1]tanks!AR36</f>
        <v>63189.225806451606</v>
      </c>
      <c r="AS5" s="207">
        <f>[1]tanks!AS36</f>
        <v>-4109.6451612903184</v>
      </c>
      <c r="AT5" s="207">
        <f>[1]tanks!AT36</f>
        <v>0</v>
      </c>
      <c r="AU5" s="207">
        <f>[1]tanks!AU36</f>
        <v>0</v>
      </c>
      <c r="AV5" s="552">
        <f>[1]tanks!AV36</f>
        <v>0.56340000000000001</v>
      </c>
      <c r="AW5" s="207">
        <f>[1]tanks!AW36</f>
        <v>-1284.7999999999884</v>
      </c>
      <c r="AX5" s="207">
        <f>[1]tanks!AX36</f>
        <v>-2824.84516129033</v>
      </c>
      <c r="AY5" s="207">
        <f>[1]tanks!AY36</f>
        <v>-4109.6451612903184</v>
      </c>
      <c r="AZ5" s="552">
        <f>[1]tanks!AZ36</f>
        <v>0.5</v>
      </c>
      <c r="BA5" s="207">
        <f>[1]tanks!BA36</f>
        <v>13.5</v>
      </c>
      <c r="BB5" s="552">
        <f>[1]tanks!BB36</f>
        <v>0.67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79">
        <f>ELEC!C3</f>
        <v>43831</v>
      </c>
      <c r="B6">
        <f>'B5'!B5</f>
        <v>234</v>
      </c>
      <c r="C6" s="207">
        <f>B6*$B$4</f>
        <v>5034.7741935483873</v>
      </c>
      <c r="D6">
        <f>SUM(B6)</f>
        <v>234</v>
      </c>
      <c r="E6" s="207">
        <f>D6*$B$4</f>
        <v>5034.7741935483873</v>
      </c>
      <c r="F6">
        <f>SUM(D6)</f>
        <v>234</v>
      </c>
      <c r="G6" s="207">
        <f t="shared" ref="G6:G35" si="1">F6*$B$4</f>
        <v>5034.7741935483873</v>
      </c>
      <c r="H6" s="207">
        <f>SUM(F6)</f>
        <v>234</v>
      </c>
      <c r="I6" s="207">
        <f t="shared" ref="I6:I35" si="2">H6*$B$4</f>
        <v>5034.7741935483873</v>
      </c>
      <c r="J6" s="207">
        <f>SUM(H6)</f>
        <v>234</v>
      </c>
      <c r="K6" s="207">
        <f t="shared" ref="K6:K35" si="3">J6*$B$4</f>
        <v>5034.7741935483873</v>
      </c>
      <c r="L6" s="207">
        <f>SUM(J6)</f>
        <v>234</v>
      </c>
      <c r="M6" s="207">
        <f t="shared" ref="M6:M35" si="4">L6*$B$4</f>
        <v>5034.7741935483873</v>
      </c>
      <c r="N6" s="207">
        <f>SUM(L6)</f>
        <v>234</v>
      </c>
      <c r="O6" s="207">
        <f t="shared" ref="O6:O35" si="5">N6*$B$4</f>
        <v>5034.7741935483873</v>
      </c>
      <c r="P6" s="207">
        <f>SUM(N6)</f>
        <v>234</v>
      </c>
      <c r="Q6" s="207">
        <f t="shared" ref="Q6:Q35" si="6">P6*$B$4</f>
        <v>5034.7741935483873</v>
      </c>
      <c r="R6" s="207">
        <f>SUM(P6)</f>
        <v>234</v>
      </c>
      <c r="S6" s="207">
        <f t="shared" ref="S6:S35" si="7">R6*$B$4</f>
        <v>5034.7741935483873</v>
      </c>
      <c r="T6" s="207">
        <f>SUM(R6)</f>
        <v>234</v>
      </c>
      <c r="U6" s="207">
        <f t="shared" ref="U6:U35" si="8">T6*$B$4</f>
        <v>5034.7741935483873</v>
      </c>
      <c r="V6" s="207">
        <f>SUM(T6)</f>
        <v>234</v>
      </c>
      <c r="W6" s="207">
        <f t="shared" ref="W6:W35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7">
        <f>'B5'!C5</f>
        <v>78</v>
      </c>
      <c r="AA6" s="207">
        <f>SUM(Z6*$Z$4)</f>
        <v>780</v>
      </c>
      <c r="AB6" s="207">
        <f>SUM(Z6)</f>
        <v>78</v>
      </c>
      <c r="AC6" s="207">
        <f>SUM(AB6*$Z$4)</f>
        <v>780</v>
      </c>
      <c r="AD6" s="207">
        <f>SUM(AB6)</f>
        <v>78</v>
      </c>
      <c r="AE6" s="207">
        <f t="shared" ref="AE6:AE35" si="11">SUM(AD6*$Z$4)</f>
        <v>780</v>
      </c>
      <c r="AF6" s="207">
        <f>SUM(AD6)</f>
        <v>78</v>
      </c>
      <c r="AG6" s="207">
        <f t="shared" ref="AG6:AG35" si="12">SUM(AF6*$Z$4)</f>
        <v>780</v>
      </c>
      <c r="AH6" s="207">
        <f>SUM(AF6)</f>
        <v>78</v>
      </c>
      <c r="AI6" s="207">
        <f t="shared" ref="AI6:AI35" si="13">SUM(AH6*$Z$4)</f>
        <v>780</v>
      </c>
      <c r="AJ6" s="207">
        <f>SUM(AH6)</f>
        <v>78</v>
      </c>
      <c r="AK6" s="207">
        <f t="shared" ref="AK6:AK35" si="14">SUM(AJ6*$Z$4)</f>
        <v>780</v>
      </c>
      <c r="AL6" s="207">
        <f>SUM(AJ6)</f>
        <v>78</v>
      </c>
      <c r="AM6" s="207">
        <f t="shared" ref="AM6:AM35" si="15">SUM(AL6*$Z$4)</f>
        <v>780</v>
      </c>
      <c r="AN6" s="35">
        <f t="shared" ref="AN6:AN29" si="16">SUM(AO6/19600)</f>
        <v>0.27857142857142858</v>
      </c>
      <c r="AO6" s="36">
        <f t="shared" ref="AO6:AO29" si="17">SUM(AA6+AC6+AE6+AG6+AI6+AK6+AM6)</f>
        <v>5460</v>
      </c>
      <c r="AQ6" s="227">
        <f>SUM(AR6/92970)</f>
        <v>0.65443171054138172</v>
      </c>
      <c r="AR6" s="38">
        <f>SUM(AO6+Y6)</f>
        <v>60842.516129032258</v>
      </c>
      <c r="AS6" s="201">
        <f>SUM(AR6-AR5-AT6)</f>
        <v>-2346.7096774193487</v>
      </c>
      <c r="AT6" s="376"/>
      <c r="AU6" s="471"/>
      <c r="AV6" s="569">
        <f>IF(AT6&gt;0,AU6,AV5)</f>
        <v>0.56340000000000001</v>
      </c>
      <c r="AW6" s="302">
        <f>-SUM('B5'!AI5)</f>
        <v>-1458</v>
      </c>
      <c r="AX6" s="302">
        <f>-SUM(AW6-AS6)</f>
        <v>-888.70967741934874</v>
      </c>
      <c r="AY6" s="37">
        <f>SUM(AX6+AW6)</f>
        <v>-2346.7096774193487</v>
      </c>
      <c r="AZ6" s="101">
        <f>ELEC!A3</f>
        <v>0.42599999999999999</v>
      </c>
      <c r="BA6" s="119">
        <f>'General information '!D6</f>
        <v>13.5</v>
      </c>
      <c r="BB6" s="292">
        <f>SUM('General information '!E6)</f>
        <v>0.55000000000000004</v>
      </c>
      <c r="BC6" s="3">
        <f>IF(AR3&gt;=AR6,0,1)</f>
        <v>0</v>
      </c>
      <c r="BD6" s="103">
        <v>19222</v>
      </c>
      <c r="BE6" s="14">
        <f>(305/1185)*ELEC!Q4</f>
        <v>1189.6286919834333</v>
      </c>
      <c r="BF6" s="14"/>
      <c r="BG6" s="14" t="e">
        <f>#REF!-BE6</f>
        <v>#REF!</v>
      </c>
      <c r="BH6" s="11">
        <v>21</v>
      </c>
    </row>
    <row r="7" spans="1:61">
      <c r="A7" s="479">
        <f>ELEC!C4</f>
        <v>43832</v>
      </c>
      <c r="B7">
        <f>'B5'!B6</f>
        <v>205</v>
      </c>
      <c r="C7" s="207">
        <f t="shared" ref="C7:E35" si="18">B7*$B$4</f>
        <v>4410.8064516129034</v>
      </c>
      <c r="D7">
        <f t="shared" ref="D7:D29" si="19">SUM(B7)</f>
        <v>205</v>
      </c>
      <c r="E7" s="207">
        <f t="shared" si="18"/>
        <v>4410.8064516129034</v>
      </c>
      <c r="F7">
        <f t="shared" ref="F7:F29" si="20">SUM(D7)</f>
        <v>205</v>
      </c>
      <c r="G7" s="207">
        <f t="shared" si="1"/>
        <v>4410.8064516129034</v>
      </c>
      <c r="H7" s="207">
        <f t="shared" ref="H7:H29" si="21">SUM(F7)</f>
        <v>205</v>
      </c>
      <c r="I7" s="207">
        <f t="shared" si="2"/>
        <v>4410.8064516129034</v>
      </c>
      <c r="J7" s="207">
        <f t="shared" ref="J7:J29" si="22">SUM(H7)</f>
        <v>205</v>
      </c>
      <c r="K7" s="207">
        <f t="shared" si="3"/>
        <v>4410.8064516129034</v>
      </c>
      <c r="L7" s="207">
        <f t="shared" ref="L7:L29" si="23">SUM(J7)</f>
        <v>205</v>
      </c>
      <c r="M7" s="207">
        <f t="shared" si="4"/>
        <v>4410.8064516129034</v>
      </c>
      <c r="N7" s="207">
        <f t="shared" ref="N7:N29" si="24">SUM(L7)</f>
        <v>205</v>
      </c>
      <c r="O7" s="207">
        <f t="shared" si="5"/>
        <v>4410.8064516129034</v>
      </c>
      <c r="P7" s="207">
        <f t="shared" ref="P7:P29" si="25">SUM(N7)</f>
        <v>205</v>
      </c>
      <c r="Q7" s="207">
        <f t="shared" si="6"/>
        <v>4410.8064516129034</v>
      </c>
      <c r="R7" s="207">
        <f t="shared" ref="R7:R29" si="26">SUM(P7)</f>
        <v>205</v>
      </c>
      <c r="S7" s="207">
        <f t="shared" si="7"/>
        <v>4410.8064516129034</v>
      </c>
      <c r="T7" s="207">
        <f t="shared" ref="T7:T29" si="27">SUM(R7)</f>
        <v>205</v>
      </c>
      <c r="U7" s="207">
        <f t="shared" si="8"/>
        <v>4410.8064516129034</v>
      </c>
      <c r="V7" s="207">
        <f t="shared" ref="V7:V29" si="28">SUM(T7)</f>
        <v>205</v>
      </c>
      <c r="W7" s="207">
        <f t="shared" si="9"/>
        <v>4410.8064516129034</v>
      </c>
      <c r="X7" s="35">
        <f t="shared" si="10"/>
        <v>0.66129032258064502</v>
      </c>
      <c r="Y7" s="36">
        <f t="shared" ref="Y7:Y29" si="29">SUM(C7+E7+G7+I7+K7+M7+O7+Q7+S7+U7+W7)</f>
        <v>48518.870967741925</v>
      </c>
      <c r="Z7" s="207">
        <f>'B5'!C6</f>
        <v>143</v>
      </c>
      <c r="AA7" s="207">
        <f t="shared" ref="AA7:AC35" si="30">SUM(Z7*$Z$4)</f>
        <v>1430</v>
      </c>
      <c r="AB7" s="207">
        <f t="shared" ref="AB7:AB29" si="31">SUM(Z7)</f>
        <v>143</v>
      </c>
      <c r="AC7" s="207">
        <f t="shared" si="30"/>
        <v>1430</v>
      </c>
      <c r="AD7" s="207">
        <f t="shared" ref="AD7:AD29" si="32">SUM(AB7)</f>
        <v>143</v>
      </c>
      <c r="AE7" s="207">
        <f t="shared" si="11"/>
        <v>1430</v>
      </c>
      <c r="AF7" s="207">
        <f t="shared" ref="AF7:AF29" si="33">SUM(AD7)</f>
        <v>143</v>
      </c>
      <c r="AG7" s="207">
        <f t="shared" si="12"/>
        <v>1430</v>
      </c>
      <c r="AH7" s="207">
        <f t="shared" ref="AH7:AH29" si="34">SUM(AF7)</f>
        <v>143</v>
      </c>
      <c r="AI7" s="207">
        <f t="shared" si="13"/>
        <v>1430</v>
      </c>
      <c r="AJ7" s="207">
        <f t="shared" ref="AJ7:AJ29" si="35">SUM(AH7)</f>
        <v>143</v>
      </c>
      <c r="AK7" s="207">
        <f t="shared" si="14"/>
        <v>1430</v>
      </c>
      <c r="AL7" s="207">
        <f t="shared" ref="AL7:AL29" si="36">SUM(AJ7)</f>
        <v>143</v>
      </c>
      <c r="AM7" s="207">
        <f t="shared" si="15"/>
        <v>1430</v>
      </c>
      <c r="AN7" s="35">
        <f t="shared" si="16"/>
        <v>0.51071428571428568</v>
      </c>
      <c r="AO7" s="36">
        <f t="shared" si="17"/>
        <v>10010</v>
      </c>
      <c r="AQ7" s="227">
        <f t="shared" ref="AQ7:AQ33" si="37">SUM(AR7/92970)</f>
        <v>0.62954577786105115</v>
      </c>
      <c r="AR7" s="38">
        <f>SUM(AO7+Y7)</f>
        <v>58528.870967741925</v>
      </c>
      <c r="AS7" s="201">
        <f t="shared" ref="AS7:AS35" si="38">SUM(AR7-AR6-AT7)</f>
        <v>-2313.6451612903329</v>
      </c>
      <c r="AT7" s="278"/>
      <c r="AU7" s="537"/>
      <c r="AV7" s="569">
        <f>IF(AT7&gt;0,AU7,AV6)</f>
        <v>0.56340000000000001</v>
      </c>
      <c r="AW7" s="302">
        <f>-SUM('B5'!AI6)</f>
        <v>-1092.2999999999884</v>
      </c>
      <c r="AX7" s="302">
        <f t="shared" ref="AX7:AX35" si="39">-SUM(AW7-AS7)</f>
        <v>-1221.3451612903445</v>
      </c>
      <c r="AY7" s="37">
        <f t="shared" ref="AY7:AY35" si="40">SUM(AX7+AW7)</f>
        <v>-2313.6451612903329</v>
      </c>
      <c r="AZ7" s="101">
        <f>ELEC!A4</f>
        <v>0.33479999999999999</v>
      </c>
      <c r="BA7" s="119">
        <f>'General information '!D7</f>
        <v>14.5</v>
      </c>
      <c r="BB7" s="208">
        <f>SUM('General information '!E7)</f>
        <v>0.55000000000000004</v>
      </c>
      <c r="BC7" s="3">
        <v>0</v>
      </c>
      <c r="BD7" s="103">
        <v>19222</v>
      </c>
      <c r="BE7" s="14">
        <f>(305/1185)*ELEC!Q5</f>
        <v>1191.9451476791714</v>
      </c>
      <c r="BF7" s="14"/>
      <c r="BG7" s="14" t="e">
        <f>#REF!-BE7</f>
        <v>#REF!</v>
      </c>
      <c r="BH7" s="11">
        <v>19</v>
      </c>
    </row>
    <row r="8" spans="1:61">
      <c r="A8" s="479">
        <f>ELEC!C5</f>
        <v>43833</v>
      </c>
      <c r="B8">
        <f>'B5'!B7</f>
        <v>198</v>
      </c>
      <c r="C8" s="207">
        <f t="shared" si="18"/>
        <v>4260.1935483870966</v>
      </c>
      <c r="D8">
        <f t="shared" si="19"/>
        <v>198</v>
      </c>
      <c r="E8" s="207">
        <f t="shared" si="18"/>
        <v>4260.1935483870966</v>
      </c>
      <c r="F8">
        <f t="shared" si="20"/>
        <v>198</v>
      </c>
      <c r="G8" s="207">
        <f t="shared" si="1"/>
        <v>4260.1935483870966</v>
      </c>
      <c r="H8" s="207">
        <f t="shared" si="21"/>
        <v>198</v>
      </c>
      <c r="I8" s="207">
        <f t="shared" si="2"/>
        <v>4260.1935483870966</v>
      </c>
      <c r="J8" s="207">
        <f t="shared" si="22"/>
        <v>198</v>
      </c>
      <c r="K8" s="207">
        <f t="shared" si="3"/>
        <v>4260.1935483870966</v>
      </c>
      <c r="L8" s="207">
        <f t="shared" si="23"/>
        <v>198</v>
      </c>
      <c r="M8" s="207">
        <f t="shared" si="4"/>
        <v>4260.1935483870966</v>
      </c>
      <c r="N8" s="207">
        <f t="shared" si="24"/>
        <v>198</v>
      </c>
      <c r="O8" s="207">
        <f t="shared" si="5"/>
        <v>4260.1935483870966</v>
      </c>
      <c r="P8" s="207">
        <f t="shared" si="25"/>
        <v>198</v>
      </c>
      <c r="Q8" s="207">
        <f t="shared" si="6"/>
        <v>4260.1935483870966</v>
      </c>
      <c r="R8" s="207">
        <f t="shared" si="26"/>
        <v>198</v>
      </c>
      <c r="S8" s="207">
        <f t="shared" si="7"/>
        <v>4260.1935483870966</v>
      </c>
      <c r="T8" s="207">
        <f t="shared" si="27"/>
        <v>198</v>
      </c>
      <c r="U8" s="207">
        <f t="shared" si="8"/>
        <v>4260.1935483870966</v>
      </c>
      <c r="V8" s="207">
        <f t="shared" si="28"/>
        <v>198</v>
      </c>
      <c r="W8" s="207">
        <f t="shared" si="9"/>
        <v>4260.1935483870966</v>
      </c>
      <c r="X8" s="35">
        <f t="shared" si="10"/>
        <v>0.63870967741935503</v>
      </c>
      <c r="Y8" s="36">
        <f t="shared" si="29"/>
        <v>46862.129032258075</v>
      </c>
      <c r="Z8" s="207">
        <f>'B5'!C7</f>
        <v>127</v>
      </c>
      <c r="AA8" s="207">
        <f t="shared" si="30"/>
        <v>1270</v>
      </c>
      <c r="AB8" s="207">
        <f t="shared" si="31"/>
        <v>127</v>
      </c>
      <c r="AC8" s="207">
        <f t="shared" si="30"/>
        <v>1270</v>
      </c>
      <c r="AD8" s="207">
        <f t="shared" si="32"/>
        <v>127</v>
      </c>
      <c r="AE8" s="207">
        <f t="shared" si="11"/>
        <v>1270</v>
      </c>
      <c r="AF8" s="207">
        <f t="shared" si="33"/>
        <v>127</v>
      </c>
      <c r="AG8" s="207">
        <f t="shared" si="12"/>
        <v>1270</v>
      </c>
      <c r="AH8" s="207">
        <f t="shared" si="34"/>
        <v>127</v>
      </c>
      <c r="AI8" s="207">
        <f t="shared" si="13"/>
        <v>1270</v>
      </c>
      <c r="AJ8" s="207">
        <f t="shared" si="35"/>
        <v>127</v>
      </c>
      <c r="AK8" s="207">
        <f t="shared" si="14"/>
        <v>1270</v>
      </c>
      <c r="AL8" s="207">
        <f t="shared" si="36"/>
        <v>127</v>
      </c>
      <c r="AM8" s="207">
        <f t="shared" si="15"/>
        <v>1270</v>
      </c>
      <c r="AN8" s="35">
        <f t="shared" si="16"/>
        <v>0.45357142857142857</v>
      </c>
      <c r="AO8" s="36">
        <f t="shared" si="17"/>
        <v>8890</v>
      </c>
      <c r="AQ8" s="227">
        <f t="shared" si="37"/>
        <v>0.59967870315433014</v>
      </c>
      <c r="AR8" s="38">
        <f>SUM(AO8+Y8)</f>
        <v>55752.129032258075</v>
      </c>
      <c r="AS8" s="201">
        <f t="shared" si="38"/>
        <v>-2776.7419354838494</v>
      </c>
      <c r="AT8" s="376"/>
      <c r="AU8" s="471"/>
      <c r="AV8" s="569">
        <f t="shared" ref="AV8:AV34" si="41">IF(AT8&gt;0,AU8,AV7)</f>
        <v>0.56340000000000001</v>
      </c>
      <c r="AW8" s="302">
        <f>-SUM('B5'!AI7)</f>
        <v>-1325.9000000000233</v>
      </c>
      <c r="AX8" s="302">
        <f t="shared" si="39"/>
        <v>-1450.8419354838261</v>
      </c>
      <c r="AY8" s="37">
        <f t="shared" si="40"/>
        <v>-2776.7419354838494</v>
      </c>
      <c r="AZ8" s="101">
        <f>ELEC!A5</f>
        <v>0.2782</v>
      </c>
      <c r="BA8" s="119">
        <f>'General information '!D8</f>
        <v>14</v>
      </c>
      <c r="BB8" s="208">
        <f>SUM('General information '!E8)</f>
        <v>0.54</v>
      </c>
      <c r="BC8" s="3">
        <f t="shared" ref="BC8:BC33" si="42">IF(AR7&gt;=AR8,0,1)</f>
        <v>0</v>
      </c>
      <c r="BD8" s="103">
        <v>19222</v>
      </c>
      <c r="BE8" s="14">
        <f>(305/1185)*ELEC!Q6</f>
        <v>1029.535864978903</v>
      </c>
      <c r="BF8" s="14"/>
      <c r="BG8" s="14" t="e">
        <f>#REF!-BE8</f>
        <v>#REF!</v>
      </c>
      <c r="BH8" s="11">
        <v>16</v>
      </c>
    </row>
    <row r="9" spans="1:61">
      <c r="A9" s="479">
        <f>ELEC!C6</f>
        <v>43834</v>
      </c>
      <c r="B9">
        <f>'B5'!B8</f>
        <v>193</v>
      </c>
      <c r="C9" s="207">
        <f t="shared" si="18"/>
        <v>4152.6129032258068</v>
      </c>
      <c r="D9">
        <f t="shared" si="19"/>
        <v>193</v>
      </c>
      <c r="E9" s="207">
        <f t="shared" si="18"/>
        <v>4152.6129032258068</v>
      </c>
      <c r="F9">
        <f t="shared" si="20"/>
        <v>193</v>
      </c>
      <c r="G9" s="207">
        <f t="shared" si="1"/>
        <v>4152.6129032258068</v>
      </c>
      <c r="H9" s="207">
        <f t="shared" si="21"/>
        <v>193</v>
      </c>
      <c r="I9" s="207">
        <f t="shared" si="2"/>
        <v>4152.6129032258068</v>
      </c>
      <c r="J9" s="207">
        <f t="shared" si="22"/>
        <v>193</v>
      </c>
      <c r="K9" s="207">
        <f t="shared" si="3"/>
        <v>4152.6129032258068</v>
      </c>
      <c r="L9" s="207">
        <f t="shared" si="23"/>
        <v>193</v>
      </c>
      <c r="M9" s="207">
        <f t="shared" si="4"/>
        <v>4152.6129032258068</v>
      </c>
      <c r="N9" s="207">
        <f t="shared" si="24"/>
        <v>193</v>
      </c>
      <c r="O9" s="207">
        <f t="shared" si="5"/>
        <v>4152.6129032258068</v>
      </c>
      <c r="P9" s="207">
        <f t="shared" si="25"/>
        <v>193</v>
      </c>
      <c r="Q9" s="207">
        <f t="shared" si="6"/>
        <v>4152.6129032258068</v>
      </c>
      <c r="R9" s="207">
        <f t="shared" si="26"/>
        <v>193</v>
      </c>
      <c r="S9" s="207">
        <f t="shared" si="7"/>
        <v>4152.6129032258068</v>
      </c>
      <c r="T9" s="207">
        <f t="shared" si="27"/>
        <v>193</v>
      </c>
      <c r="U9" s="207">
        <f t="shared" si="8"/>
        <v>4152.6129032258068</v>
      </c>
      <c r="V9" s="207">
        <f t="shared" si="28"/>
        <v>193</v>
      </c>
      <c r="W9" s="207">
        <f t="shared" si="9"/>
        <v>4152.6129032258068</v>
      </c>
      <c r="X9" s="35">
        <f t="shared" si="10"/>
        <v>0.62258064516129019</v>
      </c>
      <c r="Y9" s="36">
        <f t="shared" si="29"/>
        <v>45678.741935483864</v>
      </c>
      <c r="Z9" s="207">
        <f>'B5'!C8</f>
        <v>102</v>
      </c>
      <c r="AA9" s="207">
        <f t="shared" si="30"/>
        <v>1020</v>
      </c>
      <c r="AB9" s="207">
        <f t="shared" si="31"/>
        <v>102</v>
      </c>
      <c r="AC9" s="207">
        <f t="shared" si="30"/>
        <v>1020</v>
      </c>
      <c r="AD9" s="207">
        <f t="shared" si="32"/>
        <v>102</v>
      </c>
      <c r="AE9" s="207">
        <f t="shared" si="11"/>
        <v>1020</v>
      </c>
      <c r="AF9" s="207">
        <f t="shared" si="33"/>
        <v>102</v>
      </c>
      <c r="AG9" s="207">
        <f t="shared" si="12"/>
        <v>1020</v>
      </c>
      <c r="AH9" s="207">
        <f t="shared" si="34"/>
        <v>102</v>
      </c>
      <c r="AI9" s="207">
        <f t="shared" si="13"/>
        <v>1020</v>
      </c>
      <c r="AJ9" s="207">
        <f t="shared" si="35"/>
        <v>102</v>
      </c>
      <c r="AK9" s="207">
        <f t="shared" si="14"/>
        <v>1020</v>
      </c>
      <c r="AL9" s="207">
        <f t="shared" si="36"/>
        <v>102</v>
      </c>
      <c r="AM9" s="207">
        <f t="shared" si="15"/>
        <v>1020</v>
      </c>
      <c r="AN9" s="35">
        <f t="shared" si="16"/>
        <v>0.36428571428571427</v>
      </c>
      <c r="AO9" s="36">
        <f>SUM(AA9+AC9+AE9+AG9+AI9+AK9+AM9)</f>
        <v>7140</v>
      </c>
      <c r="AQ9" s="227">
        <f t="shared" si="37"/>
        <v>0.56812672835843669</v>
      </c>
      <c r="AR9" s="38">
        <f>SUM(AO9+Y9)</f>
        <v>52818.741935483864</v>
      </c>
      <c r="AS9" s="201">
        <f t="shared" si="38"/>
        <v>-2933.3870967742114</v>
      </c>
      <c r="AT9" s="376"/>
      <c r="AU9" s="471"/>
      <c r="AV9" s="569">
        <f t="shared" si="41"/>
        <v>0.56340000000000001</v>
      </c>
      <c r="AW9" s="302">
        <f>-SUM('B5'!AI8)</f>
        <v>-944</v>
      </c>
      <c r="AX9" s="302">
        <f>-SUM(AW9-AS9)</f>
        <v>-1989.3870967742114</v>
      </c>
      <c r="AY9" s="37">
        <f t="shared" si="40"/>
        <v>-2933.3870967742114</v>
      </c>
      <c r="AZ9" s="101">
        <f>ELEC!A6</f>
        <v>0.21299999999999999</v>
      </c>
      <c r="BA9" s="119">
        <f>'General information '!D9</f>
        <v>13</v>
      </c>
      <c r="BB9" s="208">
        <f>SUM('General information '!E9)</f>
        <v>0.55000000000000004</v>
      </c>
      <c r="BC9" s="3">
        <f t="shared" si="42"/>
        <v>0</v>
      </c>
      <c r="BD9" s="103">
        <v>19222</v>
      </c>
      <c r="BE9" s="14">
        <f>(305/1185)*ELEC!Q7</f>
        <v>665.59493670868858</v>
      </c>
      <c r="BF9" s="14"/>
      <c r="BG9" s="14" t="e">
        <f>#REF!-BE9</f>
        <v>#REF!</v>
      </c>
      <c r="BH9" s="11">
        <v>18</v>
      </c>
    </row>
    <row r="10" spans="1:61">
      <c r="A10" s="479">
        <f>ELEC!C7</f>
        <v>43835</v>
      </c>
      <c r="B10">
        <f>'B5'!B9</f>
        <v>190</v>
      </c>
      <c r="C10" s="207">
        <f t="shared" si="18"/>
        <v>4088.0645161290322</v>
      </c>
      <c r="D10">
        <f t="shared" si="19"/>
        <v>190</v>
      </c>
      <c r="E10" s="207">
        <f t="shared" si="18"/>
        <v>4088.0645161290322</v>
      </c>
      <c r="F10">
        <f t="shared" si="20"/>
        <v>190</v>
      </c>
      <c r="G10" s="207">
        <f t="shared" si="1"/>
        <v>4088.0645161290322</v>
      </c>
      <c r="H10" s="207">
        <f t="shared" si="21"/>
        <v>190</v>
      </c>
      <c r="I10" s="207">
        <f t="shared" si="2"/>
        <v>4088.0645161290322</v>
      </c>
      <c r="J10" s="207">
        <f t="shared" si="22"/>
        <v>190</v>
      </c>
      <c r="K10" s="207">
        <f t="shared" si="3"/>
        <v>4088.0645161290322</v>
      </c>
      <c r="L10" s="207">
        <f t="shared" si="23"/>
        <v>190</v>
      </c>
      <c r="M10" s="207">
        <f t="shared" si="4"/>
        <v>4088.0645161290322</v>
      </c>
      <c r="N10" s="207">
        <f t="shared" si="24"/>
        <v>190</v>
      </c>
      <c r="O10" s="207">
        <f t="shared" si="5"/>
        <v>4088.0645161290322</v>
      </c>
      <c r="P10" s="207">
        <f t="shared" si="25"/>
        <v>190</v>
      </c>
      <c r="Q10" s="207">
        <f t="shared" si="6"/>
        <v>4088.0645161290322</v>
      </c>
      <c r="R10" s="207">
        <f t="shared" si="26"/>
        <v>190</v>
      </c>
      <c r="S10" s="207">
        <f t="shared" si="7"/>
        <v>4088.0645161290322</v>
      </c>
      <c r="T10" s="207">
        <f t="shared" si="27"/>
        <v>190</v>
      </c>
      <c r="U10" s="207">
        <f t="shared" si="8"/>
        <v>4088.0645161290322</v>
      </c>
      <c r="V10" s="207">
        <f t="shared" si="28"/>
        <v>190</v>
      </c>
      <c r="W10" s="207">
        <f t="shared" si="9"/>
        <v>4088.0645161290322</v>
      </c>
      <c r="X10" s="35">
        <f t="shared" si="10"/>
        <v>0.6129032258064514</v>
      </c>
      <c r="Y10" s="36">
        <f t="shared" si="29"/>
        <v>44968.709677419341</v>
      </c>
      <c r="Z10" s="207">
        <f>'B5'!C9</f>
        <v>88</v>
      </c>
      <c r="AA10" s="207">
        <f t="shared" si="30"/>
        <v>880</v>
      </c>
      <c r="AB10" s="207">
        <f t="shared" si="31"/>
        <v>88</v>
      </c>
      <c r="AC10" s="207">
        <f t="shared" si="30"/>
        <v>880</v>
      </c>
      <c r="AD10" s="207">
        <f t="shared" si="32"/>
        <v>88</v>
      </c>
      <c r="AE10" s="207">
        <f t="shared" si="11"/>
        <v>880</v>
      </c>
      <c r="AF10" s="207">
        <f t="shared" si="33"/>
        <v>88</v>
      </c>
      <c r="AG10" s="207">
        <f t="shared" si="12"/>
        <v>880</v>
      </c>
      <c r="AH10" s="207">
        <f t="shared" si="34"/>
        <v>88</v>
      </c>
      <c r="AI10" s="207">
        <f t="shared" si="13"/>
        <v>880</v>
      </c>
      <c r="AJ10" s="207">
        <f t="shared" si="35"/>
        <v>88</v>
      </c>
      <c r="AK10" s="207">
        <f t="shared" si="14"/>
        <v>880</v>
      </c>
      <c r="AL10" s="207">
        <f t="shared" si="36"/>
        <v>88</v>
      </c>
      <c r="AM10" s="207">
        <f t="shared" si="15"/>
        <v>880</v>
      </c>
      <c r="AN10" s="35">
        <f t="shared" si="16"/>
        <v>0.31428571428571428</v>
      </c>
      <c r="AO10" s="36">
        <f t="shared" si="17"/>
        <v>6160</v>
      </c>
      <c r="AQ10" s="227">
        <f t="shared" si="37"/>
        <v>0.54994847453392859</v>
      </c>
      <c r="AR10" s="38">
        <f t="shared" ref="AR10:AR28" si="43">SUM(AO10+Y10)</f>
        <v>51128.709677419341</v>
      </c>
      <c r="AS10" s="201">
        <f>SUM(AR10-AR9-AT10)</f>
        <v>-1690.0322580645225</v>
      </c>
      <c r="AT10" s="376"/>
      <c r="AU10" s="471"/>
      <c r="AV10" s="569">
        <f>IF(AT10&gt;0,AU10,AV9)</f>
        <v>0.56340000000000001</v>
      </c>
      <c r="AW10" s="302">
        <f>-SUM('B5'!AI9)</f>
        <v>-1107.7000000000116</v>
      </c>
      <c r="AX10" s="302">
        <f>-SUM(AW10-AS10)</f>
        <v>-582.33225806451082</v>
      </c>
      <c r="AY10" s="37">
        <f t="shared" si="40"/>
        <v>-1690.0322580645225</v>
      </c>
      <c r="AZ10" s="101">
        <f>ELEC!A7</f>
        <v>0.16089999999999999</v>
      </c>
      <c r="BA10" s="119">
        <f>'General information '!D10</f>
        <v>13</v>
      </c>
      <c r="BB10" s="208">
        <f>SUM('General information '!E10)</f>
        <v>0.55000000000000004</v>
      </c>
      <c r="BC10" s="3">
        <f t="shared" si="42"/>
        <v>0</v>
      </c>
      <c r="BD10" s="103">
        <v>19222</v>
      </c>
      <c r="BE10" s="14">
        <f>(305/1185)*ELEC!Q8</f>
        <v>1347.1476793249919</v>
      </c>
      <c r="BF10" s="14"/>
      <c r="BG10" s="14" t="e">
        <f>#REF!-BE10</f>
        <v>#REF!</v>
      </c>
      <c r="BH10" s="11">
        <v>16</v>
      </c>
    </row>
    <row r="11" spans="1:61">
      <c r="A11" s="479">
        <f>ELEC!C8</f>
        <v>43836</v>
      </c>
      <c r="B11">
        <f>'B5'!B10</f>
        <v>182</v>
      </c>
      <c r="C11" s="207">
        <f t="shared" si="18"/>
        <v>3915.9354838709678</v>
      </c>
      <c r="D11">
        <f>SUM(B11)</f>
        <v>182</v>
      </c>
      <c r="E11" s="207">
        <f t="shared" si="18"/>
        <v>3915.9354838709678</v>
      </c>
      <c r="F11">
        <f>SUM(D11)</f>
        <v>182</v>
      </c>
      <c r="G11" s="207">
        <f t="shared" si="1"/>
        <v>3915.9354838709678</v>
      </c>
      <c r="H11" s="207">
        <f>SUM(F11)</f>
        <v>182</v>
      </c>
      <c r="I11" s="207">
        <f t="shared" si="2"/>
        <v>3915.9354838709678</v>
      </c>
      <c r="J11" s="207">
        <f>SUM(H11)</f>
        <v>182</v>
      </c>
      <c r="K11" s="207">
        <f t="shared" si="3"/>
        <v>3915.9354838709678</v>
      </c>
      <c r="L11" s="207">
        <f>SUM(J11)</f>
        <v>182</v>
      </c>
      <c r="M11" s="207">
        <f t="shared" si="4"/>
        <v>3915.9354838709678</v>
      </c>
      <c r="N11" s="207">
        <f>SUM(L11)</f>
        <v>182</v>
      </c>
      <c r="O11" s="207">
        <f t="shared" si="5"/>
        <v>3915.9354838709678</v>
      </c>
      <c r="P11" s="207">
        <f>SUM(N11)</f>
        <v>182</v>
      </c>
      <c r="Q11" s="207">
        <f t="shared" si="6"/>
        <v>3915.9354838709678</v>
      </c>
      <c r="R11" s="207">
        <f>SUM(P11)</f>
        <v>182</v>
      </c>
      <c r="S11" s="207">
        <f t="shared" si="7"/>
        <v>3915.9354838709678</v>
      </c>
      <c r="T11" s="207">
        <f>SUM(R11)</f>
        <v>182</v>
      </c>
      <c r="U11" s="207">
        <f t="shared" si="8"/>
        <v>3915.9354838709678</v>
      </c>
      <c r="V11" s="207">
        <f>SUM(T11)</f>
        <v>182</v>
      </c>
      <c r="W11" s="207">
        <f t="shared" si="9"/>
        <v>3915.9354838709678</v>
      </c>
      <c r="X11" s="35">
        <f>SUM(Y11/73370)</f>
        <v>0.58709677419354855</v>
      </c>
      <c r="Y11" s="36">
        <f>SUM(C11+E11+G11+I11+K11+M11+O11+Q11+S11+U11+W11)</f>
        <v>43075.290322580659</v>
      </c>
      <c r="Z11" s="207">
        <f>'B5'!C10</f>
        <v>70</v>
      </c>
      <c r="AA11" s="207">
        <f t="shared" si="30"/>
        <v>700</v>
      </c>
      <c r="AB11" s="207">
        <f>SUM(Z11)</f>
        <v>70</v>
      </c>
      <c r="AC11" s="207">
        <f t="shared" si="30"/>
        <v>700</v>
      </c>
      <c r="AD11" s="207">
        <f>SUM(AB11)</f>
        <v>70</v>
      </c>
      <c r="AE11" s="207">
        <f t="shared" si="11"/>
        <v>700</v>
      </c>
      <c r="AF11" s="207">
        <f>SUM(AD11)</f>
        <v>70</v>
      </c>
      <c r="AG11" s="207">
        <f t="shared" si="12"/>
        <v>700</v>
      </c>
      <c r="AH11" s="207">
        <f>SUM(AF11)</f>
        <v>70</v>
      </c>
      <c r="AI11" s="207">
        <f t="shared" si="13"/>
        <v>700</v>
      </c>
      <c r="AJ11" s="207">
        <f>SUM(AH11)</f>
        <v>70</v>
      </c>
      <c r="AK11" s="207">
        <f t="shared" si="14"/>
        <v>700</v>
      </c>
      <c r="AL11" s="207">
        <f>SUM(AJ11)</f>
        <v>70</v>
      </c>
      <c r="AM11" s="207">
        <f t="shared" si="15"/>
        <v>700</v>
      </c>
      <c r="AN11" s="35">
        <f>SUM(AO11/19600)</f>
        <v>0.25</v>
      </c>
      <c r="AO11" s="36">
        <f t="shared" si="17"/>
        <v>4900</v>
      </c>
      <c r="AQ11" s="227">
        <f t="shared" si="37"/>
        <v>0.51602979802711257</v>
      </c>
      <c r="AR11" s="38">
        <f t="shared" si="43"/>
        <v>47975.290322580659</v>
      </c>
      <c r="AS11" s="201">
        <f>SUM(AR11-AR10-AT11)</f>
        <v>-3153.4193548386829</v>
      </c>
      <c r="AT11" s="376"/>
      <c r="AU11" s="471"/>
      <c r="AV11" s="569">
        <f>IF(AT11&gt;0,AU11,AV10)</f>
        <v>0.56340000000000001</v>
      </c>
      <c r="AW11" s="302">
        <f>-SUM('B5'!AI10)</f>
        <v>-607</v>
      </c>
      <c r="AX11" s="302">
        <f>-SUM(AW11-AS11)</f>
        <v>-2546.4193548386829</v>
      </c>
      <c r="AY11" s="37">
        <f t="shared" si="40"/>
        <v>-3153.4193548386829</v>
      </c>
      <c r="AZ11" s="101">
        <f>ELEC!A8</f>
        <v>0.16520000000000001</v>
      </c>
      <c r="BA11" s="119">
        <f>'General information '!D11</f>
        <v>14</v>
      </c>
      <c r="BB11" s="208">
        <f>SUM('General information '!E11)</f>
        <v>0.57999999999999996</v>
      </c>
      <c r="BC11" s="3">
        <f t="shared" si="42"/>
        <v>0</v>
      </c>
      <c r="BD11" s="103">
        <v>19222</v>
      </c>
      <c r="BE11" s="14">
        <f>(305/1185)*ELEC!Q9</f>
        <v>1255.7763713082268</v>
      </c>
      <c r="BF11" s="14"/>
      <c r="BG11" s="14" t="e">
        <f>#REF!-BE11</f>
        <v>#REF!</v>
      </c>
      <c r="BH11" s="11">
        <v>16.5</v>
      </c>
    </row>
    <row r="12" spans="1:61">
      <c r="A12" s="479">
        <f>ELEC!C9</f>
        <v>43837</v>
      </c>
      <c r="B12">
        <f>'B5'!B11</f>
        <v>164</v>
      </c>
      <c r="C12" s="207">
        <f t="shared" si="18"/>
        <v>3528.6451612903224</v>
      </c>
      <c r="D12">
        <f t="shared" si="19"/>
        <v>164</v>
      </c>
      <c r="E12" s="207">
        <f t="shared" si="18"/>
        <v>3528.6451612903224</v>
      </c>
      <c r="F12">
        <f t="shared" si="20"/>
        <v>164</v>
      </c>
      <c r="G12" s="207">
        <f t="shared" si="1"/>
        <v>3528.6451612903224</v>
      </c>
      <c r="H12" s="207">
        <f t="shared" si="21"/>
        <v>164</v>
      </c>
      <c r="I12" s="207">
        <f t="shared" si="2"/>
        <v>3528.6451612903224</v>
      </c>
      <c r="J12" s="207">
        <f t="shared" si="22"/>
        <v>164</v>
      </c>
      <c r="K12" s="207">
        <f t="shared" si="3"/>
        <v>3528.6451612903224</v>
      </c>
      <c r="L12" s="207">
        <f t="shared" si="23"/>
        <v>164</v>
      </c>
      <c r="M12" s="207">
        <f t="shared" si="4"/>
        <v>3528.6451612903224</v>
      </c>
      <c r="N12" s="207">
        <f t="shared" si="24"/>
        <v>164</v>
      </c>
      <c r="O12" s="207">
        <f t="shared" si="5"/>
        <v>3528.6451612903224</v>
      </c>
      <c r="P12" s="207">
        <f t="shared" si="25"/>
        <v>164</v>
      </c>
      <c r="Q12" s="207">
        <f t="shared" si="6"/>
        <v>3528.6451612903224</v>
      </c>
      <c r="R12" s="207">
        <f t="shared" si="26"/>
        <v>164</v>
      </c>
      <c r="S12" s="207">
        <f t="shared" si="7"/>
        <v>3528.6451612903224</v>
      </c>
      <c r="T12" s="207">
        <f t="shared" si="27"/>
        <v>164</v>
      </c>
      <c r="U12" s="207">
        <f t="shared" si="8"/>
        <v>3528.6451612903224</v>
      </c>
      <c r="V12" s="207">
        <f t="shared" si="28"/>
        <v>164</v>
      </c>
      <c r="W12" s="207">
        <f t="shared" si="9"/>
        <v>3528.6451612903224</v>
      </c>
      <c r="X12" s="35">
        <f t="shared" si="10"/>
        <v>0.52903225806451615</v>
      </c>
      <c r="Y12" s="36">
        <f t="shared" si="29"/>
        <v>38815.096774193553</v>
      </c>
      <c r="Z12" s="207">
        <f>'B5'!C11</f>
        <v>101</v>
      </c>
      <c r="AA12" s="207">
        <f t="shared" si="30"/>
        <v>1010</v>
      </c>
      <c r="AB12" s="207">
        <f t="shared" si="31"/>
        <v>101</v>
      </c>
      <c r="AC12" s="207">
        <f t="shared" si="30"/>
        <v>1010</v>
      </c>
      <c r="AD12" s="207">
        <f t="shared" si="32"/>
        <v>101</v>
      </c>
      <c r="AE12" s="207">
        <f t="shared" si="11"/>
        <v>1010</v>
      </c>
      <c r="AF12" s="207">
        <f t="shared" si="33"/>
        <v>101</v>
      </c>
      <c r="AG12" s="207">
        <f t="shared" si="12"/>
        <v>1010</v>
      </c>
      <c r="AH12" s="207">
        <f t="shared" si="34"/>
        <v>101</v>
      </c>
      <c r="AI12" s="207">
        <f t="shared" si="13"/>
        <v>1010</v>
      </c>
      <c r="AJ12" s="207">
        <f t="shared" si="35"/>
        <v>101</v>
      </c>
      <c r="AK12" s="207">
        <f t="shared" si="14"/>
        <v>1010</v>
      </c>
      <c r="AL12" s="207">
        <f t="shared" si="36"/>
        <v>101</v>
      </c>
      <c r="AM12" s="207">
        <f t="shared" si="15"/>
        <v>1010</v>
      </c>
      <c r="AN12" s="35">
        <f t="shared" si="16"/>
        <v>0.36071428571428571</v>
      </c>
      <c r="AO12" s="36">
        <f t="shared" si="17"/>
        <v>7070</v>
      </c>
      <c r="AQ12" s="227">
        <f t="shared" si="37"/>
        <v>0.49354734617826773</v>
      </c>
      <c r="AR12" s="38">
        <f t="shared" si="43"/>
        <v>45885.096774193553</v>
      </c>
      <c r="AS12" s="201">
        <f t="shared" si="38"/>
        <v>-2090.1935483871057</v>
      </c>
      <c r="AT12" s="278"/>
      <c r="AU12" s="515"/>
      <c r="AV12" s="569">
        <f t="shared" si="41"/>
        <v>0.56340000000000001</v>
      </c>
      <c r="AW12" s="302">
        <f>-SUM('B5'!AI11)</f>
        <v>-1019.2999999999884</v>
      </c>
      <c r="AX12" s="302">
        <f t="shared" si="39"/>
        <v>-1070.8935483871173</v>
      </c>
      <c r="AY12" s="37">
        <f t="shared" si="40"/>
        <v>-2090.1935483871057</v>
      </c>
      <c r="AZ12" s="101">
        <f>ELEC!A9</f>
        <v>0.23480000000000001</v>
      </c>
      <c r="BA12" s="119">
        <f>'General information '!D12</f>
        <v>14</v>
      </c>
      <c r="BB12" s="208">
        <f>SUM('General information '!E12)</f>
        <v>0.5</v>
      </c>
      <c r="BC12" s="3">
        <f t="shared" si="42"/>
        <v>0</v>
      </c>
      <c r="BD12" s="103">
        <v>19222</v>
      </c>
      <c r="BE12" s="14">
        <f>(305/1185)*ELEC!Q10</f>
        <v>1801.9451476793774</v>
      </c>
      <c r="BF12" s="14"/>
      <c r="BG12" s="14" t="e">
        <f>#REF!-BE12</f>
        <v>#REF!</v>
      </c>
      <c r="BH12" s="11">
        <v>15.5</v>
      </c>
    </row>
    <row r="13" spans="1:61">
      <c r="A13" s="479">
        <f>ELEC!C10</f>
        <v>43838</v>
      </c>
      <c r="B13">
        <f>'B5'!B12</f>
        <v>154</v>
      </c>
      <c r="C13" s="207">
        <f t="shared" si="18"/>
        <v>3313.483870967742</v>
      </c>
      <c r="D13">
        <f t="shared" si="19"/>
        <v>154</v>
      </c>
      <c r="E13" s="207">
        <f t="shared" si="18"/>
        <v>3313.483870967742</v>
      </c>
      <c r="F13">
        <f t="shared" si="20"/>
        <v>154</v>
      </c>
      <c r="G13" s="207">
        <f t="shared" si="1"/>
        <v>3313.483870967742</v>
      </c>
      <c r="H13" s="207">
        <f t="shared" si="21"/>
        <v>154</v>
      </c>
      <c r="I13" s="207">
        <f t="shared" si="2"/>
        <v>3313.483870967742</v>
      </c>
      <c r="J13" s="207">
        <f t="shared" si="22"/>
        <v>154</v>
      </c>
      <c r="K13" s="207">
        <f t="shared" si="3"/>
        <v>3313.483870967742</v>
      </c>
      <c r="L13" s="207">
        <f t="shared" si="23"/>
        <v>154</v>
      </c>
      <c r="M13" s="207">
        <f t="shared" si="4"/>
        <v>3313.483870967742</v>
      </c>
      <c r="N13" s="207">
        <f t="shared" si="24"/>
        <v>154</v>
      </c>
      <c r="O13" s="207">
        <f t="shared" si="5"/>
        <v>3313.483870967742</v>
      </c>
      <c r="P13" s="207">
        <f t="shared" si="25"/>
        <v>154</v>
      </c>
      <c r="Q13" s="207">
        <f t="shared" si="6"/>
        <v>3313.483870967742</v>
      </c>
      <c r="R13" s="207">
        <f t="shared" si="26"/>
        <v>154</v>
      </c>
      <c r="S13" s="207">
        <f t="shared" si="7"/>
        <v>3313.483870967742</v>
      </c>
      <c r="T13" s="207">
        <f t="shared" si="27"/>
        <v>154</v>
      </c>
      <c r="U13" s="207">
        <f t="shared" si="8"/>
        <v>3313.483870967742</v>
      </c>
      <c r="V13" s="207">
        <f t="shared" si="28"/>
        <v>154</v>
      </c>
      <c r="W13" s="207">
        <f t="shared" si="9"/>
        <v>3313.483870967742</v>
      </c>
      <c r="X13" s="35">
        <f t="shared" si="10"/>
        <v>0.49677419354838709</v>
      </c>
      <c r="Y13" s="36">
        <f t="shared" si="29"/>
        <v>36448.322580645159</v>
      </c>
      <c r="Z13" s="207">
        <f>'B5'!C12</f>
        <v>80</v>
      </c>
      <c r="AA13" s="207">
        <f t="shared" si="30"/>
        <v>800</v>
      </c>
      <c r="AB13" s="207">
        <f t="shared" si="31"/>
        <v>80</v>
      </c>
      <c r="AC13" s="207">
        <f t="shared" si="30"/>
        <v>800</v>
      </c>
      <c r="AD13" s="207">
        <f t="shared" si="32"/>
        <v>80</v>
      </c>
      <c r="AE13" s="207">
        <f t="shared" si="11"/>
        <v>800</v>
      </c>
      <c r="AF13" s="207">
        <f t="shared" si="33"/>
        <v>80</v>
      </c>
      <c r="AG13" s="207">
        <f t="shared" si="12"/>
        <v>800</v>
      </c>
      <c r="AH13" s="207">
        <f t="shared" si="34"/>
        <v>80</v>
      </c>
      <c r="AI13" s="207">
        <f t="shared" si="13"/>
        <v>800</v>
      </c>
      <c r="AJ13" s="207">
        <f t="shared" si="35"/>
        <v>80</v>
      </c>
      <c r="AK13" s="207">
        <f t="shared" si="14"/>
        <v>800</v>
      </c>
      <c r="AL13" s="207">
        <f t="shared" si="36"/>
        <v>80</v>
      </c>
      <c r="AM13" s="207">
        <f t="shared" si="15"/>
        <v>800</v>
      </c>
      <c r="AN13" s="35">
        <f t="shared" si="16"/>
        <v>0.2857142857142857</v>
      </c>
      <c r="AO13" s="36">
        <f t="shared" si="17"/>
        <v>5600</v>
      </c>
      <c r="AQ13" s="227">
        <f t="shared" si="37"/>
        <v>0.45227839712428913</v>
      </c>
      <c r="AR13" s="38">
        <f t="shared" si="43"/>
        <v>42048.322580645159</v>
      </c>
      <c r="AS13" s="201">
        <f t="shared" si="38"/>
        <v>-3836.7741935483937</v>
      </c>
      <c r="AT13" s="278"/>
      <c r="AU13" s="471"/>
      <c r="AV13" s="569">
        <f t="shared" si="41"/>
        <v>0.56340000000000001</v>
      </c>
      <c r="AW13" s="302">
        <f>-SUM('B5'!AI12)</f>
        <v>-816</v>
      </c>
      <c r="AX13" s="302">
        <f t="shared" si="39"/>
        <v>-3020.7741935483937</v>
      </c>
      <c r="AY13" s="37">
        <f t="shared" si="40"/>
        <v>-3836.7741935483937</v>
      </c>
      <c r="AZ13" s="101">
        <f>ELEC!A10</f>
        <v>0.23400000000000001</v>
      </c>
      <c r="BA13" s="119">
        <f>'General information '!D13</f>
        <v>12.5</v>
      </c>
      <c r="BB13" s="208">
        <f>SUM('General information '!E13)</f>
        <v>0.72</v>
      </c>
      <c r="BC13" s="3">
        <f t="shared" si="42"/>
        <v>0</v>
      </c>
      <c r="BD13" s="103">
        <v>19222</v>
      </c>
      <c r="BE13" s="14">
        <f>(305/1185)*ELEC!Q11</f>
        <v>1257.5780590713705</v>
      </c>
      <c r="BF13" s="14"/>
      <c r="BG13" s="14" t="e">
        <f>#REF!-BE13</f>
        <v>#REF!</v>
      </c>
      <c r="BH13" s="11"/>
    </row>
    <row r="14" spans="1:61">
      <c r="A14" s="479">
        <f>ELEC!C11</f>
        <v>43839</v>
      </c>
      <c r="B14">
        <f>'B5'!B13</f>
        <v>179</v>
      </c>
      <c r="C14" s="207">
        <f t="shared" si="18"/>
        <v>3851.3870967741937</v>
      </c>
      <c r="D14">
        <f t="shared" si="19"/>
        <v>179</v>
      </c>
      <c r="E14" s="207">
        <f t="shared" si="18"/>
        <v>3851.3870967741937</v>
      </c>
      <c r="F14">
        <f t="shared" si="20"/>
        <v>179</v>
      </c>
      <c r="G14" s="207">
        <f t="shared" si="1"/>
        <v>3851.3870967741937</v>
      </c>
      <c r="H14" s="207">
        <f t="shared" si="21"/>
        <v>179</v>
      </c>
      <c r="I14" s="207">
        <f t="shared" si="2"/>
        <v>3851.3870967741937</v>
      </c>
      <c r="J14" s="207">
        <f t="shared" si="22"/>
        <v>179</v>
      </c>
      <c r="K14" s="207">
        <f t="shared" si="3"/>
        <v>3851.3870967741937</v>
      </c>
      <c r="L14" s="207">
        <f t="shared" si="23"/>
        <v>179</v>
      </c>
      <c r="M14" s="207">
        <f t="shared" si="4"/>
        <v>3851.3870967741937</v>
      </c>
      <c r="N14" s="207">
        <f t="shared" si="24"/>
        <v>179</v>
      </c>
      <c r="O14" s="207">
        <f t="shared" si="5"/>
        <v>3851.3870967741937</v>
      </c>
      <c r="P14" s="207">
        <f t="shared" si="25"/>
        <v>179</v>
      </c>
      <c r="Q14" s="207">
        <f t="shared" si="6"/>
        <v>3851.3870967741937</v>
      </c>
      <c r="R14" s="207">
        <f t="shared" si="26"/>
        <v>179</v>
      </c>
      <c r="S14" s="207">
        <f t="shared" si="7"/>
        <v>3851.3870967741937</v>
      </c>
      <c r="T14" s="207">
        <f t="shared" si="27"/>
        <v>179</v>
      </c>
      <c r="U14" s="207">
        <f t="shared" si="8"/>
        <v>3851.3870967741937</v>
      </c>
      <c r="V14" s="207">
        <f t="shared" si="28"/>
        <v>179</v>
      </c>
      <c r="W14" s="207">
        <f t="shared" si="9"/>
        <v>3851.3870967741937</v>
      </c>
      <c r="X14" s="35">
        <f t="shared" si="10"/>
        <v>0.57741935483870976</v>
      </c>
      <c r="Y14" s="36">
        <f t="shared" si="29"/>
        <v>42365.258064516136</v>
      </c>
      <c r="Z14" s="207">
        <f>'B5'!C13</f>
        <v>162</v>
      </c>
      <c r="AA14" s="207">
        <f t="shared" si="30"/>
        <v>1620</v>
      </c>
      <c r="AB14" s="207">
        <f t="shared" si="31"/>
        <v>162</v>
      </c>
      <c r="AC14" s="207">
        <f t="shared" si="30"/>
        <v>1620</v>
      </c>
      <c r="AD14" s="207">
        <f t="shared" si="32"/>
        <v>162</v>
      </c>
      <c r="AE14" s="207">
        <f t="shared" si="11"/>
        <v>1620</v>
      </c>
      <c r="AF14" s="207">
        <f t="shared" si="33"/>
        <v>162</v>
      </c>
      <c r="AG14" s="207">
        <f t="shared" si="12"/>
        <v>1620</v>
      </c>
      <c r="AH14" s="207">
        <f t="shared" si="34"/>
        <v>162</v>
      </c>
      <c r="AI14" s="207">
        <f t="shared" si="13"/>
        <v>1620</v>
      </c>
      <c r="AJ14" s="207">
        <f t="shared" si="35"/>
        <v>162</v>
      </c>
      <c r="AK14" s="207">
        <f t="shared" si="14"/>
        <v>1620</v>
      </c>
      <c r="AL14" s="207">
        <f t="shared" si="36"/>
        <v>162</v>
      </c>
      <c r="AM14" s="207">
        <f t="shared" si="15"/>
        <v>1620</v>
      </c>
      <c r="AN14" s="35">
        <f t="shared" si="16"/>
        <v>0.57857142857142863</v>
      </c>
      <c r="AO14" s="36">
        <f t="shared" si="17"/>
        <v>11340</v>
      </c>
      <c r="AQ14" s="227">
        <f t="shared" si="37"/>
        <v>0.57766223582355747</v>
      </c>
      <c r="AR14" s="38">
        <f t="shared" si="43"/>
        <v>53705.258064516136</v>
      </c>
      <c r="AS14" s="201">
        <f t="shared" si="38"/>
        <v>-4135.0645161290231</v>
      </c>
      <c r="AT14" s="278">
        <v>15792</v>
      </c>
      <c r="AU14" s="515">
        <v>0.57650000000000001</v>
      </c>
      <c r="AV14" s="569">
        <f t="shared" si="41"/>
        <v>0.57650000000000001</v>
      </c>
      <c r="AW14" s="302">
        <f>-SUM('B5'!AI13)</f>
        <v>-853</v>
      </c>
      <c r="AX14" s="302">
        <f t="shared" si="39"/>
        <v>-3282.0645161290231</v>
      </c>
      <c r="AY14" s="37">
        <f t="shared" si="40"/>
        <v>-4135.0645161290231</v>
      </c>
      <c r="AZ14" s="101">
        <f>ELEC!A11</f>
        <v>0.2087</v>
      </c>
      <c r="BA14" s="119">
        <f>'General information '!D14</f>
        <v>12.5</v>
      </c>
      <c r="BB14" s="208">
        <f>SUM('General information '!E14)</f>
        <v>0.6</v>
      </c>
      <c r="BC14" s="3">
        <f t="shared" si="42"/>
        <v>1</v>
      </c>
      <c r="BD14" s="103">
        <v>19222</v>
      </c>
      <c r="BE14" s="14">
        <f>(305/1185)*ELEC!Q12</f>
        <v>621.3248945149403</v>
      </c>
      <c r="BF14" s="14"/>
      <c r="BG14" s="14" t="e">
        <f>#REF!-BE14</f>
        <v>#REF!</v>
      </c>
      <c r="BH14" s="11"/>
    </row>
    <row r="15" spans="1:61" ht="13.5" customHeight="1">
      <c r="A15" s="479">
        <f>ELEC!C12</f>
        <v>43840</v>
      </c>
      <c r="B15">
        <f>'B5'!B14</f>
        <v>168</v>
      </c>
      <c r="C15" s="207">
        <f t="shared" si="18"/>
        <v>3614.7096774193546</v>
      </c>
      <c r="D15">
        <f t="shared" si="19"/>
        <v>168</v>
      </c>
      <c r="E15" s="207">
        <f t="shared" si="18"/>
        <v>3614.7096774193546</v>
      </c>
      <c r="F15">
        <f t="shared" si="20"/>
        <v>168</v>
      </c>
      <c r="G15" s="207">
        <f t="shared" si="1"/>
        <v>3614.7096774193546</v>
      </c>
      <c r="H15" s="207">
        <f t="shared" si="21"/>
        <v>168</v>
      </c>
      <c r="I15" s="207">
        <f t="shared" si="2"/>
        <v>3614.7096774193546</v>
      </c>
      <c r="J15" s="207">
        <f t="shared" si="22"/>
        <v>168</v>
      </c>
      <c r="K15" s="207">
        <f t="shared" si="3"/>
        <v>3614.7096774193546</v>
      </c>
      <c r="L15" s="207">
        <f t="shared" si="23"/>
        <v>168</v>
      </c>
      <c r="M15" s="207">
        <f t="shared" si="4"/>
        <v>3614.7096774193546</v>
      </c>
      <c r="N15" s="207">
        <f t="shared" si="24"/>
        <v>168</v>
      </c>
      <c r="O15" s="207">
        <f t="shared" si="5"/>
        <v>3614.7096774193546</v>
      </c>
      <c r="P15" s="207">
        <f t="shared" si="25"/>
        <v>168</v>
      </c>
      <c r="Q15" s="207">
        <f t="shared" si="6"/>
        <v>3614.7096774193546</v>
      </c>
      <c r="R15" s="207">
        <f t="shared" si="26"/>
        <v>168</v>
      </c>
      <c r="S15" s="207">
        <f t="shared" si="7"/>
        <v>3614.7096774193546</v>
      </c>
      <c r="T15" s="207">
        <f t="shared" si="27"/>
        <v>168</v>
      </c>
      <c r="U15" s="207">
        <f t="shared" si="8"/>
        <v>3614.7096774193546</v>
      </c>
      <c r="V15" s="207">
        <f t="shared" si="28"/>
        <v>168</v>
      </c>
      <c r="W15" s="207">
        <f t="shared" si="9"/>
        <v>3614.7096774193546</v>
      </c>
      <c r="X15" s="35">
        <f t="shared" si="10"/>
        <v>0.54193548387096779</v>
      </c>
      <c r="Y15" s="36">
        <f t="shared" si="29"/>
        <v>39761.806451612909</v>
      </c>
      <c r="Z15" s="207">
        <f>'B5'!C14</f>
        <v>174</v>
      </c>
      <c r="AA15" s="207">
        <f t="shared" si="30"/>
        <v>1740</v>
      </c>
      <c r="AB15" s="207">
        <f t="shared" si="31"/>
        <v>174</v>
      </c>
      <c r="AC15" s="207">
        <f t="shared" si="30"/>
        <v>1740</v>
      </c>
      <c r="AD15" s="207">
        <f t="shared" si="32"/>
        <v>174</v>
      </c>
      <c r="AE15" s="207">
        <f t="shared" si="11"/>
        <v>1740</v>
      </c>
      <c r="AF15" s="207">
        <f t="shared" si="33"/>
        <v>174</v>
      </c>
      <c r="AG15" s="207">
        <f t="shared" si="12"/>
        <v>1740</v>
      </c>
      <c r="AH15" s="207">
        <f t="shared" si="34"/>
        <v>174</v>
      </c>
      <c r="AI15" s="207">
        <f t="shared" si="13"/>
        <v>1740</v>
      </c>
      <c r="AJ15" s="207">
        <f t="shared" si="35"/>
        <v>174</v>
      </c>
      <c r="AK15" s="207">
        <f t="shared" si="14"/>
        <v>1740</v>
      </c>
      <c r="AL15" s="207">
        <f t="shared" si="36"/>
        <v>174</v>
      </c>
      <c r="AM15" s="207">
        <f t="shared" si="15"/>
        <v>1740</v>
      </c>
      <c r="AN15" s="35">
        <f t="shared" si="16"/>
        <v>0.62142857142857144</v>
      </c>
      <c r="AO15" s="36">
        <f t="shared" si="17"/>
        <v>12180</v>
      </c>
      <c r="AQ15" s="227">
        <f t="shared" si="37"/>
        <v>0.55869427182545883</v>
      </c>
      <c r="AR15" s="38">
        <f t="shared" si="43"/>
        <v>51941.806451612909</v>
      </c>
      <c r="AS15" s="201">
        <f>SUM(AR15-AR14-AT15)</f>
        <v>-1763.4516129032272</v>
      </c>
      <c r="AT15" s="278"/>
      <c r="AU15" s="471"/>
      <c r="AV15" s="569">
        <f>IF(AT15&gt;0,AU15,AV14)</f>
        <v>0.57650000000000001</v>
      </c>
      <c r="AW15" s="302">
        <f>-SUM('B5'!AI14)</f>
        <v>-1461.7999999999884</v>
      </c>
      <c r="AX15" s="302">
        <f t="shared" si="39"/>
        <v>-301.65161290323886</v>
      </c>
      <c r="AY15" s="37">
        <f t="shared" si="40"/>
        <v>-1763.4516129032272</v>
      </c>
      <c r="AZ15" s="101">
        <f>ELEC!A12</f>
        <v>0.2</v>
      </c>
      <c r="BA15" s="119">
        <f>'General information '!D15</f>
        <v>14.5</v>
      </c>
      <c r="BB15" s="208">
        <f>SUM('General information '!E15)</f>
        <v>0.5</v>
      </c>
      <c r="BC15" s="3">
        <f t="shared" si="42"/>
        <v>0</v>
      </c>
      <c r="BD15" s="103">
        <v>19222</v>
      </c>
      <c r="BE15" s="14">
        <f>(305/1185)*ELEC!Q13</f>
        <v>422.88185654009192</v>
      </c>
      <c r="BF15" s="14"/>
      <c r="BG15" s="14" t="e">
        <f>#REF!-BE15</f>
        <v>#REF!</v>
      </c>
      <c r="BH15" s="11"/>
    </row>
    <row r="16" spans="1:61">
      <c r="A16" s="479">
        <f>ELEC!C13</f>
        <v>43841</v>
      </c>
      <c r="B16">
        <f>'B5'!B15</f>
        <v>162</v>
      </c>
      <c r="C16" s="207">
        <f t="shared" si="18"/>
        <v>3485.6129032258063</v>
      </c>
      <c r="D16">
        <f t="shared" si="19"/>
        <v>162</v>
      </c>
      <c r="E16" s="207">
        <f t="shared" si="18"/>
        <v>3485.6129032258063</v>
      </c>
      <c r="F16">
        <f t="shared" si="20"/>
        <v>162</v>
      </c>
      <c r="G16" s="207">
        <f t="shared" si="1"/>
        <v>3485.6129032258063</v>
      </c>
      <c r="H16" s="207">
        <f t="shared" si="21"/>
        <v>162</v>
      </c>
      <c r="I16" s="207">
        <f t="shared" si="2"/>
        <v>3485.6129032258063</v>
      </c>
      <c r="J16" s="207">
        <f t="shared" si="22"/>
        <v>162</v>
      </c>
      <c r="K16" s="207">
        <f t="shared" si="3"/>
        <v>3485.6129032258063</v>
      </c>
      <c r="L16" s="207">
        <f t="shared" si="23"/>
        <v>162</v>
      </c>
      <c r="M16" s="207">
        <f t="shared" si="4"/>
        <v>3485.6129032258063</v>
      </c>
      <c r="N16" s="207">
        <f t="shared" si="24"/>
        <v>162</v>
      </c>
      <c r="O16" s="207">
        <f t="shared" si="5"/>
        <v>3485.6129032258063</v>
      </c>
      <c r="P16" s="207">
        <f t="shared" si="25"/>
        <v>162</v>
      </c>
      <c r="Q16" s="207">
        <f t="shared" si="6"/>
        <v>3485.6129032258063</v>
      </c>
      <c r="R16" s="207">
        <f t="shared" si="26"/>
        <v>162</v>
      </c>
      <c r="S16" s="207">
        <f t="shared" si="7"/>
        <v>3485.6129032258063</v>
      </c>
      <c r="T16" s="207">
        <f t="shared" si="27"/>
        <v>162</v>
      </c>
      <c r="U16" s="207">
        <f t="shared" si="8"/>
        <v>3485.6129032258063</v>
      </c>
      <c r="V16" s="207">
        <f t="shared" si="28"/>
        <v>162</v>
      </c>
      <c r="W16" s="207">
        <f t="shared" si="9"/>
        <v>3485.6129032258063</v>
      </c>
      <c r="X16" s="35">
        <f t="shared" si="10"/>
        <v>0.52258064516129021</v>
      </c>
      <c r="Y16" s="36">
        <f t="shared" si="29"/>
        <v>38341.741935483864</v>
      </c>
      <c r="Z16" s="207">
        <f>'B5'!C15</f>
        <v>168</v>
      </c>
      <c r="AA16" s="207">
        <f t="shared" si="30"/>
        <v>1680</v>
      </c>
      <c r="AB16" s="207">
        <f t="shared" si="31"/>
        <v>168</v>
      </c>
      <c r="AC16" s="207">
        <f t="shared" si="30"/>
        <v>1680</v>
      </c>
      <c r="AD16" s="207">
        <f t="shared" si="32"/>
        <v>168</v>
      </c>
      <c r="AE16" s="207">
        <f t="shared" si="11"/>
        <v>1680</v>
      </c>
      <c r="AF16" s="207">
        <f t="shared" si="33"/>
        <v>168</v>
      </c>
      <c r="AG16" s="207">
        <f t="shared" si="12"/>
        <v>1680</v>
      </c>
      <c r="AH16" s="207">
        <f t="shared" si="34"/>
        <v>168</v>
      </c>
      <c r="AI16" s="207">
        <f t="shared" si="13"/>
        <v>1680</v>
      </c>
      <c r="AJ16" s="207">
        <f t="shared" si="35"/>
        <v>168</v>
      </c>
      <c r="AK16" s="207">
        <f t="shared" si="14"/>
        <v>1680</v>
      </c>
      <c r="AL16" s="207">
        <f t="shared" si="36"/>
        <v>168</v>
      </c>
      <c r="AM16" s="207">
        <f t="shared" si="15"/>
        <v>1680</v>
      </c>
      <c r="AN16" s="35">
        <f t="shared" si="16"/>
        <v>0.6</v>
      </c>
      <c r="AO16" s="36">
        <f t="shared" si="17"/>
        <v>11760</v>
      </c>
      <c r="AQ16" s="227">
        <f t="shared" si="37"/>
        <v>0.53890224734305547</v>
      </c>
      <c r="AR16" s="38">
        <f t="shared" si="43"/>
        <v>50101.741935483864</v>
      </c>
      <c r="AS16" s="201">
        <f>SUM(AR16-AR15-AT16)</f>
        <v>-1840.0645161290449</v>
      </c>
      <c r="AT16" s="278"/>
      <c r="AU16" s="471"/>
      <c r="AV16" s="569">
        <f>IF(AT16&gt;0,AU16,AV15)</f>
        <v>0.57650000000000001</v>
      </c>
      <c r="AW16" s="302">
        <f>-SUM('B5'!AI15)</f>
        <v>-728</v>
      </c>
      <c r="AX16" s="302">
        <f>-SUM(AW16-AS16)</f>
        <v>-1112.0645161290449</v>
      </c>
      <c r="AY16" s="37">
        <f t="shared" si="40"/>
        <v>-1840.0645161290449</v>
      </c>
      <c r="AZ16" s="101">
        <f>ELEC!A13</f>
        <v>0.1696</v>
      </c>
      <c r="BA16" s="119">
        <f>'General information '!D16</f>
        <v>15</v>
      </c>
      <c r="BB16" s="208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544.88185654013307</v>
      </c>
      <c r="BF16" s="14"/>
      <c r="BG16" s="14" t="e">
        <f>#REF!-BE16</f>
        <v>#REF!</v>
      </c>
      <c r="BH16" s="11"/>
    </row>
    <row r="17" spans="1:61">
      <c r="A17" s="479">
        <f>ELEC!C14</f>
        <v>43842</v>
      </c>
      <c r="B17">
        <f>'B5'!B16</f>
        <v>158</v>
      </c>
      <c r="C17" s="207">
        <f t="shared" si="18"/>
        <v>3399.5483870967741</v>
      </c>
      <c r="D17">
        <f t="shared" si="19"/>
        <v>158</v>
      </c>
      <c r="E17" s="207">
        <f t="shared" si="18"/>
        <v>3399.5483870967741</v>
      </c>
      <c r="F17">
        <f t="shared" si="20"/>
        <v>158</v>
      </c>
      <c r="G17" s="207">
        <f t="shared" si="1"/>
        <v>3399.5483870967741</v>
      </c>
      <c r="H17" s="207">
        <f t="shared" si="21"/>
        <v>158</v>
      </c>
      <c r="I17" s="207">
        <f t="shared" si="2"/>
        <v>3399.5483870967741</v>
      </c>
      <c r="J17" s="207">
        <f t="shared" si="22"/>
        <v>158</v>
      </c>
      <c r="K17" s="207">
        <f t="shared" si="3"/>
        <v>3399.5483870967741</v>
      </c>
      <c r="L17" s="207">
        <f t="shared" si="23"/>
        <v>158</v>
      </c>
      <c r="M17" s="207">
        <f t="shared" si="4"/>
        <v>3399.5483870967741</v>
      </c>
      <c r="N17" s="207">
        <f t="shared" si="24"/>
        <v>158</v>
      </c>
      <c r="O17" s="207">
        <f t="shared" si="5"/>
        <v>3399.5483870967741</v>
      </c>
      <c r="P17" s="207">
        <f t="shared" si="25"/>
        <v>158</v>
      </c>
      <c r="Q17" s="207">
        <f t="shared" si="6"/>
        <v>3399.5483870967741</v>
      </c>
      <c r="R17" s="207">
        <f t="shared" si="26"/>
        <v>158</v>
      </c>
      <c r="S17" s="207">
        <f t="shared" si="7"/>
        <v>3399.5483870967741</v>
      </c>
      <c r="T17" s="207">
        <f t="shared" si="27"/>
        <v>158</v>
      </c>
      <c r="U17" s="207">
        <f t="shared" si="8"/>
        <v>3399.5483870967741</v>
      </c>
      <c r="V17" s="207">
        <f t="shared" si="28"/>
        <v>158</v>
      </c>
      <c r="W17" s="207">
        <f t="shared" si="9"/>
        <v>3399.5483870967741</v>
      </c>
      <c r="X17" s="35">
        <f t="shared" si="10"/>
        <v>0.50967741935483857</v>
      </c>
      <c r="Y17" s="36">
        <f t="shared" si="29"/>
        <v>37395.032258064508</v>
      </c>
      <c r="Z17" s="207">
        <f>'B5'!C16</f>
        <v>163</v>
      </c>
      <c r="AA17" s="207">
        <f t="shared" si="30"/>
        <v>1630</v>
      </c>
      <c r="AB17" s="207">
        <f t="shared" si="31"/>
        <v>163</v>
      </c>
      <c r="AC17" s="207">
        <f t="shared" si="30"/>
        <v>1630</v>
      </c>
      <c r="AD17" s="207">
        <f t="shared" si="32"/>
        <v>163</v>
      </c>
      <c r="AE17" s="207">
        <f t="shared" si="11"/>
        <v>1630</v>
      </c>
      <c r="AF17" s="207">
        <f t="shared" si="33"/>
        <v>163</v>
      </c>
      <c r="AG17" s="207">
        <f t="shared" si="12"/>
        <v>1630</v>
      </c>
      <c r="AH17" s="207">
        <f t="shared" si="34"/>
        <v>163</v>
      </c>
      <c r="AI17" s="207">
        <f t="shared" si="13"/>
        <v>1630</v>
      </c>
      <c r="AJ17" s="207">
        <f t="shared" si="35"/>
        <v>163</v>
      </c>
      <c r="AK17" s="207">
        <f t="shared" si="14"/>
        <v>1630</v>
      </c>
      <c r="AL17" s="207">
        <f t="shared" si="36"/>
        <v>163</v>
      </c>
      <c r="AM17" s="207">
        <f t="shared" si="15"/>
        <v>1630</v>
      </c>
      <c r="AN17" s="35">
        <f t="shared" si="16"/>
        <v>0.58214285714285718</v>
      </c>
      <c r="AO17" s="36">
        <f>SUM(AA17+AC17+AE17+AG17+AI17+AK17+AM17)</f>
        <v>11410</v>
      </c>
      <c r="AQ17" s="227">
        <f t="shared" si="37"/>
        <v>0.52495463330175873</v>
      </c>
      <c r="AR17" s="38">
        <f t="shared" si="43"/>
        <v>48805.032258064508</v>
      </c>
      <c r="AS17" s="201">
        <f t="shared" si="38"/>
        <v>-1296.709677419356</v>
      </c>
      <c r="AT17" s="376"/>
      <c r="AU17" s="515"/>
      <c r="AV17" s="569">
        <f t="shared" si="41"/>
        <v>0.57650000000000001</v>
      </c>
      <c r="AW17" s="302">
        <f>-SUM('B5'!AI16)</f>
        <v>-543</v>
      </c>
      <c r="AX17" s="302">
        <f t="shared" si="39"/>
        <v>-753.70967741935601</v>
      </c>
      <c r="AY17" s="37">
        <f t="shared" si="40"/>
        <v>-1296.709677419356</v>
      </c>
      <c r="AZ17" s="101">
        <f>ELEC!A14</f>
        <v>0.1739</v>
      </c>
      <c r="BA17" s="119">
        <f>'General information '!D17</f>
        <v>14</v>
      </c>
      <c r="BB17" s="208">
        <f>SUM('General information '!E17)</f>
        <v>0.55000000000000004</v>
      </c>
      <c r="BC17" s="3">
        <f t="shared" si="42"/>
        <v>0</v>
      </c>
      <c r="BD17" s="103">
        <v>19222</v>
      </c>
      <c r="BE17" s="14">
        <f>(305/1185)*ELEC!Q15</f>
        <v>594.81434599148258</v>
      </c>
      <c r="BF17" s="14"/>
      <c r="BG17" s="14" t="e">
        <f>#REF!-BE17</f>
        <v>#REF!</v>
      </c>
      <c r="BH17" s="11"/>
    </row>
    <row r="18" spans="1:61">
      <c r="A18" s="479">
        <f>ELEC!C15</f>
        <v>43843</v>
      </c>
      <c r="B18">
        <f>'B5'!B17</f>
        <v>152</v>
      </c>
      <c r="C18" s="207">
        <f t="shared" si="18"/>
        <v>3270.4516129032259</v>
      </c>
      <c r="D18">
        <f t="shared" si="19"/>
        <v>152</v>
      </c>
      <c r="E18" s="207">
        <f t="shared" si="18"/>
        <v>3270.4516129032259</v>
      </c>
      <c r="F18">
        <f t="shared" si="20"/>
        <v>152</v>
      </c>
      <c r="G18" s="207">
        <f t="shared" si="1"/>
        <v>3270.4516129032259</v>
      </c>
      <c r="H18" s="207">
        <f t="shared" si="21"/>
        <v>152</v>
      </c>
      <c r="I18" s="207">
        <f t="shared" si="2"/>
        <v>3270.4516129032259</v>
      </c>
      <c r="J18" s="207">
        <f t="shared" si="22"/>
        <v>152</v>
      </c>
      <c r="K18" s="207">
        <f t="shared" si="3"/>
        <v>3270.4516129032259</v>
      </c>
      <c r="L18" s="207">
        <f t="shared" si="23"/>
        <v>152</v>
      </c>
      <c r="M18" s="207">
        <f t="shared" si="4"/>
        <v>3270.4516129032259</v>
      </c>
      <c r="N18" s="207">
        <f t="shared" si="24"/>
        <v>152</v>
      </c>
      <c r="O18" s="207">
        <f t="shared" si="5"/>
        <v>3270.4516129032259</v>
      </c>
      <c r="P18" s="207">
        <f t="shared" si="25"/>
        <v>152</v>
      </c>
      <c r="Q18" s="207">
        <f t="shared" si="6"/>
        <v>3270.4516129032259</v>
      </c>
      <c r="R18" s="207">
        <f t="shared" si="26"/>
        <v>152</v>
      </c>
      <c r="S18" s="207">
        <f t="shared" si="7"/>
        <v>3270.4516129032259</v>
      </c>
      <c r="T18" s="207">
        <f t="shared" si="27"/>
        <v>152</v>
      </c>
      <c r="U18" s="207">
        <f t="shared" si="8"/>
        <v>3270.4516129032259</v>
      </c>
      <c r="V18" s="207">
        <f t="shared" si="28"/>
        <v>152</v>
      </c>
      <c r="W18" s="207">
        <f t="shared" si="9"/>
        <v>3270.4516129032259</v>
      </c>
      <c r="X18" s="35">
        <f t="shared" si="10"/>
        <v>0.49032258064516138</v>
      </c>
      <c r="Y18" s="36">
        <f t="shared" si="29"/>
        <v>35974.967741935492</v>
      </c>
      <c r="Z18" s="207">
        <f>'B5'!C17</f>
        <v>159</v>
      </c>
      <c r="AA18" s="207">
        <f t="shared" si="30"/>
        <v>1590</v>
      </c>
      <c r="AB18" s="207">
        <f t="shared" si="31"/>
        <v>159</v>
      </c>
      <c r="AC18" s="207">
        <f t="shared" si="30"/>
        <v>1590</v>
      </c>
      <c r="AD18" s="207">
        <f t="shared" si="32"/>
        <v>159</v>
      </c>
      <c r="AE18" s="207">
        <f t="shared" si="11"/>
        <v>1590</v>
      </c>
      <c r="AF18" s="207">
        <f t="shared" si="33"/>
        <v>159</v>
      </c>
      <c r="AG18" s="207">
        <f t="shared" si="12"/>
        <v>1590</v>
      </c>
      <c r="AH18" s="207">
        <f t="shared" si="34"/>
        <v>159</v>
      </c>
      <c r="AI18" s="207">
        <f t="shared" si="13"/>
        <v>1590</v>
      </c>
      <c r="AJ18" s="207">
        <f t="shared" si="35"/>
        <v>159</v>
      </c>
      <c r="AK18" s="207">
        <f t="shared" si="14"/>
        <v>1590</v>
      </c>
      <c r="AL18" s="207">
        <f t="shared" si="36"/>
        <v>159</v>
      </c>
      <c r="AM18" s="207">
        <f t="shared" si="15"/>
        <v>1590</v>
      </c>
      <c r="AN18" s="35">
        <f t="shared" si="16"/>
        <v>0.56785714285714284</v>
      </c>
      <c r="AO18" s="36">
        <f t="shared" si="17"/>
        <v>11130</v>
      </c>
      <c r="AQ18" s="227">
        <f t="shared" si="37"/>
        <v>0.50666847092541134</v>
      </c>
      <c r="AR18" s="38">
        <f t="shared" si="43"/>
        <v>47104.967741935492</v>
      </c>
      <c r="AS18" s="201">
        <f t="shared" si="38"/>
        <v>-1700.0645161290158</v>
      </c>
      <c r="AT18" s="278"/>
      <c r="AU18" s="471"/>
      <c r="AV18" s="569">
        <f>IF(AT18&gt;0,AU18,AV17)</f>
        <v>0.57650000000000001</v>
      </c>
      <c r="AW18" s="302">
        <f>-SUM('B5'!AI17)</f>
        <v>-749</v>
      </c>
      <c r="AX18" s="302">
        <f t="shared" si="39"/>
        <v>-951.06451612901583</v>
      </c>
      <c r="AY18" s="37">
        <f t="shared" si="40"/>
        <v>-1700.0645161290158</v>
      </c>
      <c r="AZ18" s="101">
        <f>ELEC!A15</f>
        <v>0.18260000000000001</v>
      </c>
      <c r="BA18" s="119">
        <f>'General information '!D18</f>
        <v>15</v>
      </c>
      <c r="BB18" s="417">
        <f>SUM('General information '!E18)</f>
        <v>0.55000000000000004</v>
      </c>
      <c r="BC18" s="3">
        <f t="shared" si="42"/>
        <v>0</v>
      </c>
      <c r="BD18" s="103">
        <v>19222</v>
      </c>
      <c r="BE18" s="14">
        <f>(305/1185)*ELEC!Q16</f>
        <v>721.70464135023349</v>
      </c>
      <c r="BF18" s="14"/>
      <c r="BG18" s="14" t="e">
        <f>#REF!-BE18</f>
        <v>#REF!</v>
      </c>
      <c r="BH18" s="11"/>
    </row>
    <row r="19" spans="1:61">
      <c r="A19" s="479">
        <f>ELEC!C16</f>
        <v>43844</v>
      </c>
      <c r="B19">
        <f>'B5'!B18</f>
        <v>208</v>
      </c>
      <c r="C19" s="207">
        <f t="shared" si="18"/>
        <v>4475.3548387096771</v>
      </c>
      <c r="D19">
        <f t="shared" si="19"/>
        <v>208</v>
      </c>
      <c r="E19" s="207">
        <f t="shared" si="18"/>
        <v>4475.3548387096771</v>
      </c>
      <c r="F19">
        <f t="shared" si="20"/>
        <v>208</v>
      </c>
      <c r="G19" s="207">
        <f t="shared" si="1"/>
        <v>4475.3548387096771</v>
      </c>
      <c r="H19" s="207">
        <f t="shared" si="21"/>
        <v>208</v>
      </c>
      <c r="I19" s="207">
        <f t="shared" si="2"/>
        <v>4475.3548387096771</v>
      </c>
      <c r="J19" s="207">
        <f t="shared" si="22"/>
        <v>208</v>
      </c>
      <c r="K19" s="207">
        <f t="shared" si="3"/>
        <v>4475.3548387096771</v>
      </c>
      <c r="L19" s="207">
        <f t="shared" si="23"/>
        <v>208</v>
      </c>
      <c r="M19" s="207">
        <f t="shared" si="4"/>
        <v>4475.3548387096771</v>
      </c>
      <c r="N19" s="207">
        <f t="shared" si="24"/>
        <v>208</v>
      </c>
      <c r="O19" s="207">
        <f t="shared" si="5"/>
        <v>4475.3548387096771</v>
      </c>
      <c r="P19" s="207">
        <f t="shared" si="25"/>
        <v>208</v>
      </c>
      <c r="Q19" s="207">
        <f t="shared" si="6"/>
        <v>4475.3548387096771</v>
      </c>
      <c r="R19" s="207">
        <f t="shared" si="26"/>
        <v>208</v>
      </c>
      <c r="S19" s="207">
        <f t="shared" si="7"/>
        <v>4475.3548387096771</v>
      </c>
      <c r="T19" s="207">
        <f t="shared" si="27"/>
        <v>208</v>
      </c>
      <c r="U19" s="207">
        <f t="shared" si="8"/>
        <v>4475.3548387096771</v>
      </c>
      <c r="V19" s="207">
        <f t="shared" si="28"/>
        <v>208</v>
      </c>
      <c r="W19" s="207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7">
        <f>'B5'!C18</f>
        <v>214</v>
      </c>
      <c r="AA19" s="207">
        <f t="shared" si="30"/>
        <v>2140</v>
      </c>
      <c r="AB19" s="207">
        <f t="shared" si="31"/>
        <v>214</v>
      </c>
      <c r="AC19" s="207">
        <f t="shared" si="30"/>
        <v>2140</v>
      </c>
      <c r="AD19" s="207">
        <f t="shared" si="32"/>
        <v>214</v>
      </c>
      <c r="AE19" s="207">
        <f t="shared" si="11"/>
        <v>2140</v>
      </c>
      <c r="AF19" s="207">
        <f t="shared" si="33"/>
        <v>214</v>
      </c>
      <c r="AG19" s="207">
        <f t="shared" si="12"/>
        <v>2140</v>
      </c>
      <c r="AH19" s="207">
        <f t="shared" si="34"/>
        <v>214</v>
      </c>
      <c r="AI19" s="207">
        <f t="shared" si="13"/>
        <v>2140</v>
      </c>
      <c r="AJ19" s="207">
        <f t="shared" si="35"/>
        <v>214</v>
      </c>
      <c r="AK19" s="207">
        <f t="shared" si="14"/>
        <v>2140</v>
      </c>
      <c r="AL19" s="207">
        <f t="shared" si="36"/>
        <v>214</v>
      </c>
      <c r="AM19" s="207">
        <f t="shared" si="15"/>
        <v>2140</v>
      </c>
      <c r="AN19" s="35">
        <f t="shared" si="16"/>
        <v>0.76428571428571423</v>
      </c>
      <c r="AO19" s="36">
        <f t="shared" si="17"/>
        <v>14980</v>
      </c>
      <c r="AQ19" s="227">
        <f t="shared" si="37"/>
        <v>0.69064110170814719</v>
      </c>
      <c r="AR19" s="38">
        <f t="shared" si="43"/>
        <v>64208.90322580644</v>
      </c>
      <c r="AS19" s="201">
        <f t="shared" si="38"/>
        <v>1179.9354838709478</v>
      </c>
      <c r="AT19" s="278">
        <v>15924</v>
      </c>
      <c r="AU19" s="515">
        <v>0.57650000000000001</v>
      </c>
      <c r="AV19" s="569">
        <f t="shared" si="41"/>
        <v>0.57650000000000001</v>
      </c>
      <c r="AW19" s="302">
        <f>-SUM('B5'!AI18)</f>
        <v>-886.59999999997672</v>
      </c>
      <c r="AX19" s="302">
        <f t="shared" si="39"/>
        <v>2066.5354838709245</v>
      </c>
      <c r="AY19" s="37">
        <f t="shared" si="40"/>
        <v>1179.9354838709478</v>
      </c>
      <c r="AZ19" s="101">
        <f>ELEC!A16</f>
        <v>0.2087</v>
      </c>
      <c r="BA19" s="119">
        <f>'General information '!D19</f>
        <v>14</v>
      </c>
      <c r="BB19" s="208">
        <f>SUM('General information '!E19)</f>
        <v>0.55000000000000004</v>
      </c>
      <c r="BC19" s="3">
        <f t="shared" si="42"/>
        <v>1</v>
      </c>
      <c r="BD19" s="103">
        <v>19222</v>
      </c>
      <c r="BE19" s="14">
        <f>(305/1185)*ELEC!Q17</f>
        <v>681.03797468370919</v>
      </c>
      <c r="BF19" s="14"/>
      <c r="BG19" s="14" t="e">
        <f>#REF!-BE19</f>
        <v>#REF!</v>
      </c>
      <c r="BH19" s="11"/>
    </row>
    <row r="20" spans="1:61">
      <c r="A20" s="479">
        <f>ELEC!C17</f>
        <v>43845</v>
      </c>
      <c r="B20">
        <f>'B5'!B19</f>
        <v>201</v>
      </c>
      <c r="C20" s="207">
        <f t="shared" si="18"/>
        <v>4324.7419354838712</v>
      </c>
      <c r="D20">
        <f t="shared" si="19"/>
        <v>201</v>
      </c>
      <c r="E20" s="207">
        <f t="shared" si="18"/>
        <v>4324.7419354838712</v>
      </c>
      <c r="F20">
        <f t="shared" si="20"/>
        <v>201</v>
      </c>
      <c r="G20" s="207">
        <f t="shared" si="1"/>
        <v>4324.7419354838712</v>
      </c>
      <c r="H20" s="207">
        <f t="shared" si="21"/>
        <v>201</v>
      </c>
      <c r="I20" s="207">
        <f t="shared" si="2"/>
        <v>4324.7419354838712</v>
      </c>
      <c r="J20" s="207">
        <f t="shared" si="22"/>
        <v>201</v>
      </c>
      <c r="K20" s="207">
        <f t="shared" si="3"/>
        <v>4324.7419354838712</v>
      </c>
      <c r="L20" s="207">
        <f t="shared" si="23"/>
        <v>201</v>
      </c>
      <c r="M20" s="207">
        <f t="shared" si="4"/>
        <v>4324.7419354838712</v>
      </c>
      <c r="N20" s="207">
        <f t="shared" si="24"/>
        <v>201</v>
      </c>
      <c r="O20" s="207">
        <f t="shared" si="5"/>
        <v>4324.7419354838712</v>
      </c>
      <c r="P20" s="207">
        <f t="shared" si="25"/>
        <v>201</v>
      </c>
      <c r="Q20" s="207">
        <f t="shared" si="6"/>
        <v>4324.7419354838712</v>
      </c>
      <c r="R20" s="207">
        <f t="shared" si="26"/>
        <v>201</v>
      </c>
      <c r="S20" s="207">
        <f t="shared" si="7"/>
        <v>4324.7419354838712</v>
      </c>
      <c r="T20" s="207">
        <f t="shared" si="27"/>
        <v>201</v>
      </c>
      <c r="U20" s="207">
        <f t="shared" si="8"/>
        <v>4324.7419354838712</v>
      </c>
      <c r="V20" s="207">
        <f t="shared" si="28"/>
        <v>201</v>
      </c>
      <c r="W20" s="207">
        <f t="shared" si="9"/>
        <v>4324.7419354838712</v>
      </c>
      <c r="X20" s="35">
        <f t="shared" si="10"/>
        <v>0.64838709677419359</v>
      </c>
      <c r="Y20" s="36">
        <f t="shared" si="29"/>
        <v>47572.161290322583</v>
      </c>
      <c r="Z20" s="207">
        <f>'B5'!C19</f>
        <v>207</v>
      </c>
      <c r="AA20" s="207">
        <f t="shared" si="30"/>
        <v>2070</v>
      </c>
      <c r="AB20" s="207">
        <f t="shared" si="31"/>
        <v>207</v>
      </c>
      <c r="AC20" s="207">
        <f t="shared" si="30"/>
        <v>2070</v>
      </c>
      <c r="AD20" s="207">
        <f t="shared" si="32"/>
        <v>207</v>
      </c>
      <c r="AE20" s="207">
        <f t="shared" si="11"/>
        <v>2070</v>
      </c>
      <c r="AF20" s="207">
        <f t="shared" si="33"/>
        <v>207</v>
      </c>
      <c r="AG20" s="207">
        <f t="shared" si="12"/>
        <v>2070</v>
      </c>
      <c r="AH20" s="207">
        <f t="shared" si="34"/>
        <v>207</v>
      </c>
      <c r="AI20" s="207">
        <f t="shared" si="13"/>
        <v>2070</v>
      </c>
      <c r="AJ20" s="207">
        <f t="shared" si="35"/>
        <v>207</v>
      </c>
      <c r="AK20" s="207">
        <f t="shared" si="14"/>
        <v>2070</v>
      </c>
      <c r="AL20" s="207">
        <f t="shared" si="36"/>
        <v>207</v>
      </c>
      <c r="AM20" s="207">
        <f t="shared" si="15"/>
        <v>2070</v>
      </c>
      <c r="AN20" s="35">
        <f t="shared" si="16"/>
        <v>0.73928571428571432</v>
      </c>
      <c r="AO20" s="36">
        <f t="shared" si="17"/>
        <v>14490</v>
      </c>
      <c r="AQ20" s="227">
        <f t="shared" si="37"/>
        <v>0.66755040647867681</v>
      </c>
      <c r="AR20" s="38">
        <f t="shared" si="43"/>
        <v>62062.161290322583</v>
      </c>
      <c r="AS20" s="201">
        <f t="shared" si="38"/>
        <v>-2146.7419354838567</v>
      </c>
      <c r="AT20" s="278"/>
      <c r="AU20" s="471"/>
      <c r="AV20" s="569">
        <f t="shared" si="41"/>
        <v>0.57650000000000001</v>
      </c>
      <c r="AW20" s="302">
        <f>-SUM('B5'!AI19)</f>
        <v>-762.60000000003492</v>
      </c>
      <c r="AX20" s="302">
        <f t="shared" si="39"/>
        <v>-1384.1419354838217</v>
      </c>
      <c r="AY20" s="37">
        <f t="shared" si="40"/>
        <v>-2146.7419354838567</v>
      </c>
      <c r="AZ20" s="101">
        <f>ELEC!A17</f>
        <v>0.2261</v>
      </c>
      <c r="BA20" s="119">
        <f>'General information '!D20</f>
        <v>15</v>
      </c>
      <c r="BB20" s="208">
        <f>SUM('General information '!E20)</f>
        <v>0.55000000000000004</v>
      </c>
      <c r="BC20" s="3">
        <f t="shared" si="42"/>
        <v>0</v>
      </c>
      <c r="BD20" s="103">
        <v>19222</v>
      </c>
      <c r="BE20" s="14">
        <f>(305/1185)*ELEC!Q18</f>
        <v>1153.0801687762591</v>
      </c>
      <c r="BF20" s="14"/>
      <c r="BG20" s="14" t="e">
        <f>#REF!-BE20</f>
        <v>#REF!</v>
      </c>
      <c r="BH20" s="11"/>
    </row>
    <row r="21" spans="1:61">
      <c r="A21" s="479">
        <f>ELEC!C18</f>
        <v>43846</v>
      </c>
      <c r="B21">
        <f>'B5'!B20</f>
        <v>223</v>
      </c>
      <c r="C21" s="207">
        <f t="shared" si="18"/>
        <v>4798.0967741935483</v>
      </c>
      <c r="D21">
        <f t="shared" si="19"/>
        <v>223</v>
      </c>
      <c r="E21" s="207">
        <f t="shared" si="18"/>
        <v>4798.0967741935483</v>
      </c>
      <c r="F21">
        <f t="shared" si="20"/>
        <v>223</v>
      </c>
      <c r="G21" s="207">
        <f t="shared" si="1"/>
        <v>4798.0967741935483</v>
      </c>
      <c r="H21" s="207">
        <f t="shared" si="21"/>
        <v>223</v>
      </c>
      <c r="I21" s="207">
        <f t="shared" si="2"/>
        <v>4798.0967741935483</v>
      </c>
      <c r="J21" s="207">
        <f t="shared" si="22"/>
        <v>223</v>
      </c>
      <c r="K21" s="207">
        <f t="shared" si="3"/>
        <v>4798.0967741935483</v>
      </c>
      <c r="L21" s="207">
        <f t="shared" si="23"/>
        <v>223</v>
      </c>
      <c r="M21" s="207">
        <f t="shared" si="4"/>
        <v>4798.0967741935483</v>
      </c>
      <c r="N21" s="207">
        <f t="shared" si="24"/>
        <v>223</v>
      </c>
      <c r="O21" s="207">
        <f t="shared" si="5"/>
        <v>4798.0967741935483</v>
      </c>
      <c r="P21" s="207">
        <f t="shared" si="25"/>
        <v>223</v>
      </c>
      <c r="Q21" s="207">
        <f t="shared" si="6"/>
        <v>4798.0967741935483</v>
      </c>
      <c r="R21" s="207">
        <f t="shared" si="26"/>
        <v>223</v>
      </c>
      <c r="S21" s="207">
        <f t="shared" si="7"/>
        <v>4798.0967741935483</v>
      </c>
      <c r="T21" s="207">
        <f t="shared" si="27"/>
        <v>223</v>
      </c>
      <c r="U21" s="207">
        <f t="shared" si="8"/>
        <v>4798.0967741935483</v>
      </c>
      <c r="V21" s="207">
        <f t="shared" si="28"/>
        <v>223</v>
      </c>
      <c r="W21" s="207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7">
        <f>'B5'!C20</f>
        <v>229</v>
      </c>
      <c r="AA21" s="207">
        <f t="shared" si="30"/>
        <v>2290</v>
      </c>
      <c r="AB21" s="207">
        <f t="shared" si="31"/>
        <v>229</v>
      </c>
      <c r="AC21" s="207">
        <f t="shared" si="30"/>
        <v>2290</v>
      </c>
      <c r="AD21" s="207">
        <f t="shared" si="32"/>
        <v>229</v>
      </c>
      <c r="AE21" s="207">
        <f t="shared" si="11"/>
        <v>2290</v>
      </c>
      <c r="AF21" s="207">
        <f t="shared" si="33"/>
        <v>229</v>
      </c>
      <c r="AG21" s="207">
        <f t="shared" si="12"/>
        <v>2290</v>
      </c>
      <c r="AH21" s="207">
        <f t="shared" si="34"/>
        <v>229</v>
      </c>
      <c r="AI21" s="207">
        <f t="shared" si="13"/>
        <v>2290</v>
      </c>
      <c r="AJ21" s="207">
        <f t="shared" si="35"/>
        <v>229</v>
      </c>
      <c r="AK21" s="207">
        <f t="shared" si="14"/>
        <v>2290</v>
      </c>
      <c r="AL21" s="207">
        <f t="shared" si="36"/>
        <v>229</v>
      </c>
      <c r="AM21" s="207">
        <f t="shared" si="15"/>
        <v>2290</v>
      </c>
      <c r="AN21" s="35">
        <f t="shared" si="16"/>
        <v>0.81785714285714284</v>
      </c>
      <c r="AO21" s="36">
        <f t="shared" si="17"/>
        <v>16030</v>
      </c>
      <c r="AQ21" s="227">
        <f t="shared" si="37"/>
        <v>0.74012116291415542</v>
      </c>
      <c r="AR21" s="38">
        <f>SUM(AO21+Y21)</f>
        <v>68809.06451612903</v>
      </c>
      <c r="AS21" s="201">
        <f>SUM(AR21-AR20-AT21)</f>
        <v>-1707.0967741935528</v>
      </c>
      <c r="AT21" s="278">
        <v>8454</v>
      </c>
      <c r="AU21" s="471">
        <v>0.57999999999999996</v>
      </c>
      <c r="AV21" s="569">
        <f t="shared" si="41"/>
        <v>0.57999999999999996</v>
      </c>
      <c r="AW21" s="302">
        <f>-SUM('B5'!AI20)</f>
        <v>-484</v>
      </c>
      <c r="AX21" s="302">
        <f t="shared" si="39"/>
        <v>-1223.0967741935528</v>
      </c>
      <c r="AY21" s="37">
        <f t="shared" si="40"/>
        <v>-1707.0967741935528</v>
      </c>
      <c r="AZ21" s="101">
        <f>ELEC!A18</f>
        <v>0.2261</v>
      </c>
      <c r="BA21" s="119">
        <f>'General information '!D21</f>
        <v>16</v>
      </c>
      <c r="BB21" s="208">
        <f>SUM('General information '!E21)</f>
        <v>0.6</v>
      </c>
      <c r="BC21" s="3">
        <f t="shared" si="42"/>
        <v>1</v>
      </c>
      <c r="BD21" s="103">
        <v>19222</v>
      </c>
      <c r="BE21" s="14">
        <f>(305/1185)*ELEC!Q19</f>
        <v>518.37130801667547</v>
      </c>
      <c r="BF21" s="14"/>
      <c r="BG21" s="14" t="e">
        <f>#REF!-BE21</f>
        <v>#REF!</v>
      </c>
      <c r="BH21" s="11"/>
    </row>
    <row r="22" spans="1:61">
      <c r="A22" s="479">
        <f>ELEC!C19</f>
        <v>43847</v>
      </c>
      <c r="B22">
        <f>'B5'!B21</f>
        <v>219</v>
      </c>
      <c r="C22" s="207">
        <f t="shared" si="18"/>
        <v>4712.0322580645161</v>
      </c>
      <c r="D22">
        <f t="shared" si="19"/>
        <v>219</v>
      </c>
      <c r="E22" s="207">
        <f t="shared" si="18"/>
        <v>4712.0322580645161</v>
      </c>
      <c r="F22">
        <f t="shared" si="20"/>
        <v>219</v>
      </c>
      <c r="G22" s="207">
        <f t="shared" si="1"/>
        <v>4712.0322580645161</v>
      </c>
      <c r="H22" s="207">
        <f t="shared" si="21"/>
        <v>219</v>
      </c>
      <c r="I22" s="207">
        <f t="shared" si="2"/>
        <v>4712.0322580645161</v>
      </c>
      <c r="J22" s="207">
        <f t="shared" si="22"/>
        <v>219</v>
      </c>
      <c r="K22" s="207">
        <f t="shared" si="3"/>
        <v>4712.0322580645161</v>
      </c>
      <c r="L22" s="207">
        <f t="shared" si="23"/>
        <v>219</v>
      </c>
      <c r="M22" s="207">
        <f t="shared" si="4"/>
        <v>4712.0322580645161</v>
      </c>
      <c r="N22" s="207">
        <f t="shared" si="24"/>
        <v>219</v>
      </c>
      <c r="O22" s="207">
        <f t="shared" si="5"/>
        <v>4712.0322580645161</v>
      </c>
      <c r="P22" s="207">
        <f t="shared" si="25"/>
        <v>219</v>
      </c>
      <c r="Q22" s="207">
        <f t="shared" si="6"/>
        <v>4712.0322580645161</v>
      </c>
      <c r="R22" s="207">
        <f t="shared" si="26"/>
        <v>219</v>
      </c>
      <c r="S22" s="207">
        <f t="shared" si="7"/>
        <v>4712.0322580645161</v>
      </c>
      <c r="T22" s="207">
        <f t="shared" si="27"/>
        <v>219</v>
      </c>
      <c r="U22" s="207">
        <f t="shared" si="8"/>
        <v>4712.0322580645161</v>
      </c>
      <c r="V22" s="207">
        <f t="shared" si="28"/>
        <v>219</v>
      </c>
      <c r="W22" s="207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7">
        <f>'B5'!C21</f>
        <v>225</v>
      </c>
      <c r="AA22" s="207">
        <f t="shared" si="30"/>
        <v>2250</v>
      </c>
      <c r="AB22" s="207">
        <f t="shared" si="31"/>
        <v>225</v>
      </c>
      <c r="AC22" s="207">
        <f t="shared" si="30"/>
        <v>2250</v>
      </c>
      <c r="AD22" s="207">
        <f t="shared" si="32"/>
        <v>225</v>
      </c>
      <c r="AE22" s="207">
        <f t="shared" si="11"/>
        <v>2250</v>
      </c>
      <c r="AF22" s="207">
        <f t="shared" si="33"/>
        <v>225</v>
      </c>
      <c r="AG22" s="207">
        <f t="shared" si="12"/>
        <v>2250</v>
      </c>
      <c r="AH22" s="207">
        <f t="shared" si="34"/>
        <v>225</v>
      </c>
      <c r="AI22" s="207">
        <f t="shared" si="13"/>
        <v>2250</v>
      </c>
      <c r="AJ22" s="207">
        <f t="shared" si="35"/>
        <v>225</v>
      </c>
      <c r="AK22" s="207">
        <f t="shared" si="14"/>
        <v>2250</v>
      </c>
      <c r="AL22" s="207">
        <f t="shared" si="36"/>
        <v>225</v>
      </c>
      <c r="AM22" s="207">
        <f t="shared" si="15"/>
        <v>2250</v>
      </c>
      <c r="AN22" s="35">
        <f t="shared" si="16"/>
        <v>0.8035714285714286</v>
      </c>
      <c r="AO22" s="36">
        <f t="shared" si="17"/>
        <v>15750</v>
      </c>
      <c r="AQ22" s="227">
        <f t="shared" si="37"/>
        <v>0.72692647992588644</v>
      </c>
      <c r="AR22" s="38">
        <f t="shared" si="43"/>
        <v>67582.354838709667</v>
      </c>
      <c r="AS22" s="201">
        <f t="shared" si="38"/>
        <v>-1226.7096774193633</v>
      </c>
      <c r="AT22" s="278"/>
      <c r="AU22" s="471"/>
      <c r="AV22" s="569">
        <f t="shared" si="41"/>
        <v>0.57999999999999996</v>
      </c>
      <c r="AW22" s="302">
        <f>-SUM('B5'!AI21)</f>
        <v>-1027.0999999999767</v>
      </c>
      <c r="AX22" s="302">
        <f t="shared" si="39"/>
        <v>-199.60967741938657</v>
      </c>
      <c r="AY22" s="37">
        <f t="shared" si="40"/>
        <v>-1226.7096774193633</v>
      </c>
      <c r="AZ22" s="101">
        <f>ELEC!A19</f>
        <v>0.1739</v>
      </c>
      <c r="BA22" s="119">
        <f>'General information '!D22</f>
        <v>16.5</v>
      </c>
      <c r="BB22" s="208">
        <f>SUM('General information '!E22)</f>
        <v>0.56999999999999995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79">
        <f>ELEC!C20</f>
        <v>43848</v>
      </c>
      <c r="B23">
        <f>'B5'!B22</f>
        <v>219</v>
      </c>
      <c r="C23" s="207">
        <f t="shared" si="18"/>
        <v>4712.0322580645161</v>
      </c>
      <c r="D23">
        <f t="shared" si="19"/>
        <v>219</v>
      </c>
      <c r="E23" s="207">
        <f t="shared" si="18"/>
        <v>4712.0322580645161</v>
      </c>
      <c r="F23">
        <f t="shared" si="20"/>
        <v>219</v>
      </c>
      <c r="G23" s="207">
        <f t="shared" si="1"/>
        <v>4712.0322580645161</v>
      </c>
      <c r="H23" s="207">
        <f t="shared" si="21"/>
        <v>219</v>
      </c>
      <c r="I23" s="207">
        <f t="shared" si="2"/>
        <v>4712.0322580645161</v>
      </c>
      <c r="J23" s="207">
        <f t="shared" si="22"/>
        <v>219</v>
      </c>
      <c r="K23" s="207">
        <f t="shared" si="3"/>
        <v>4712.0322580645161</v>
      </c>
      <c r="L23" s="207">
        <f t="shared" si="23"/>
        <v>219</v>
      </c>
      <c r="M23" s="207">
        <f t="shared" si="4"/>
        <v>4712.0322580645161</v>
      </c>
      <c r="N23" s="207">
        <f t="shared" si="24"/>
        <v>219</v>
      </c>
      <c r="O23" s="207">
        <f t="shared" si="5"/>
        <v>4712.0322580645161</v>
      </c>
      <c r="P23" s="207">
        <f t="shared" si="25"/>
        <v>219</v>
      </c>
      <c r="Q23" s="207">
        <f t="shared" si="6"/>
        <v>4712.0322580645161</v>
      </c>
      <c r="R23" s="207">
        <f t="shared" si="26"/>
        <v>219</v>
      </c>
      <c r="S23" s="207">
        <f t="shared" si="7"/>
        <v>4712.0322580645161</v>
      </c>
      <c r="T23" s="207">
        <f t="shared" si="27"/>
        <v>219</v>
      </c>
      <c r="U23" s="207">
        <f t="shared" si="8"/>
        <v>4712.0322580645161</v>
      </c>
      <c r="V23" s="207">
        <f t="shared" si="28"/>
        <v>219</v>
      </c>
      <c r="W23" s="207">
        <f t="shared" si="9"/>
        <v>4712.0322580645161</v>
      </c>
      <c r="X23" s="35">
        <f t="shared" si="10"/>
        <v>0.70645161290322578</v>
      </c>
      <c r="Y23" s="36">
        <f t="shared" si="29"/>
        <v>51832.354838709674</v>
      </c>
      <c r="Z23" s="207">
        <f>'B5'!C22</f>
        <v>225</v>
      </c>
      <c r="AA23" s="207">
        <f t="shared" si="30"/>
        <v>2250</v>
      </c>
      <c r="AB23" s="207">
        <f t="shared" si="31"/>
        <v>225</v>
      </c>
      <c r="AC23" s="207">
        <f t="shared" si="30"/>
        <v>2250</v>
      </c>
      <c r="AD23" s="207">
        <f t="shared" si="32"/>
        <v>225</v>
      </c>
      <c r="AE23" s="207">
        <f t="shared" si="11"/>
        <v>2250</v>
      </c>
      <c r="AF23" s="207">
        <f t="shared" si="33"/>
        <v>225</v>
      </c>
      <c r="AG23" s="207">
        <f t="shared" si="12"/>
        <v>2250</v>
      </c>
      <c r="AH23" s="207">
        <f t="shared" si="34"/>
        <v>225</v>
      </c>
      <c r="AI23" s="207">
        <f t="shared" si="13"/>
        <v>2250</v>
      </c>
      <c r="AJ23" s="207">
        <f t="shared" si="35"/>
        <v>225</v>
      </c>
      <c r="AK23" s="207">
        <f t="shared" si="14"/>
        <v>2250</v>
      </c>
      <c r="AL23" s="207">
        <f t="shared" si="36"/>
        <v>225</v>
      </c>
      <c r="AM23" s="207">
        <f t="shared" si="15"/>
        <v>2250</v>
      </c>
      <c r="AN23" s="35">
        <f t="shared" si="16"/>
        <v>0.8035714285714286</v>
      </c>
      <c r="AO23" s="36">
        <f t="shared" si="17"/>
        <v>15750</v>
      </c>
      <c r="AQ23" s="227">
        <f t="shared" si="37"/>
        <v>0.72692647992588644</v>
      </c>
      <c r="AR23" s="38">
        <f t="shared" si="43"/>
        <v>67582.354838709667</v>
      </c>
      <c r="AS23" s="201">
        <f t="shared" si="38"/>
        <v>0</v>
      </c>
      <c r="AT23" s="278"/>
      <c r="AU23" s="471"/>
      <c r="AV23" s="569">
        <f t="shared" si="41"/>
        <v>0.57999999999999996</v>
      </c>
      <c r="AW23" s="302">
        <f>-SUM('B5'!AI22)</f>
        <v>0</v>
      </c>
      <c r="AX23" s="302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208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79">
        <f>ELEC!C21</f>
        <v>43849</v>
      </c>
      <c r="B24">
        <f>'B5'!B23</f>
        <v>219</v>
      </c>
      <c r="C24" s="207">
        <f t="shared" si="18"/>
        <v>4712.0322580645161</v>
      </c>
      <c r="D24">
        <f t="shared" si="19"/>
        <v>219</v>
      </c>
      <c r="E24" s="207">
        <f t="shared" si="18"/>
        <v>4712.0322580645161</v>
      </c>
      <c r="F24">
        <f t="shared" si="20"/>
        <v>219</v>
      </c>
      <c r="G24" s="207">
        <f t="shared" si="1"/>
        <v>4712.0322580645161</v>
      </c>
      <c r="H24" s="207">
        <f t="shared" si="21"/>
        <v>219</v>
      </c>
      <c r="I24" s="207">
        <f t="shared" si="2"/>
        <v>4712.0322580645161</v>
      </c>
      <c r="J24" s="207">
        <f t="shared" si="22"/>
        <v>219</v>
      </c>
      <c r="K24" s="207">
        <f t="shared" si="3"/>
        <v>4712.0322580645161</v>
      </c>
      <c r="L24" s="207">
        <f t="shared" si="23"/>
        <v>219</v>
      </c>
      <c r="M24" s="207">
        <f t="shared" si="4"/>
        <v>4712.0322580645161</v>
      </c>
      <c r="N24" s="207">
        <f t="shared" si="24"/>
        <v>219</v>
      </c>
      <c r="O24" s="207">
        <f t="shared" si="5"/>
        <v>4712.0322580645161</v>
      </c>
      <c r="P24" s="207">
        <f t="shared" si="25"/>
        <v>219</v>
      </c>
      <c r="Q24" s="207">
        <f t="shared" si="6"/>
        <v>4712.0322580645161</v>
      </c>
      <c r="R24" s="207">
        <f t="shared" si="26"/>
        <v>219</v>
      </c>
      <c r="S24" s="207">
        <f t="shared" si="7"/>
        <v>4712.0322580645161</v>
      </c>
      <c r="T24" s="207">
        <f t="shared" si="27"/>
        <v>219</v>
      </c>
      <c r="U24" s="207">
        <f t="shared" si="8"/>
        <v>4712.0322580645161</v>
      </c>
      <c r="V24" s="207">
        <f t="shared" si="28"/>
        <v>219</v>
      </c>
      <c r="W24" s="207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7">
        <f>'B5'!C23</f>
        <v>225</v>
      </c>
      <c r="AA24" s="207">
        <f t="shared" si="30"/>
        <v>2250</v>
      </c>
      <c r="AB24" s="207">
        <f t="shared" si="31"/>
        <v>225</v>
      </c>
      <c r="AC24" s="207">
        <f t="shared" si="30"/>
        <v>2250</v>
      </c>
      <c r="AD24" s="207">
        <f t="shared" si="32"/>
        <v>225</v>
      </c>
      <c r="AE24" s="207">
        <f t="shared" si="11"/>
        <v>2250</v>
      </c>
      <c r="AF24" s="207">
        <f t="shared" si="33"/>
        <v>225</v>
      </c>
      <c r="AG24" s="207">
        <f t="shared" si="12"/>
        <v>2250</v>
      </c>
      <c r="AH24" s="207">
        <f t="shared" si="34"/>
        <v>225</v>
      </c>
      <c r="AI24" s="207">
        <f t="shared" si="13"/>
        <v>2250</v>
      </c>
      <c r="AJ24" s="207">
        <f t="shared" si="35"/>
        <v>225</v>
      </c>
      <c r="AK24" s="207">
        <f t="shared" si="14"/>
        <v>2250</v>
      </c>
      <c r="AL24" s="207">
        <f t="shared" si="36"/>
        <v>225</v>
      </c>
      <c r="AM24" s="207">
        <f t="shared" si="15"/>
        <v>2250</v>
      </c>
      <c r="AN24" s="35">
        <f t="shared" si="16"/>
        <v>0.8035714285714286</v>
      </c>
      <c r="AO24" s="36">
        <f t="shared" si="17"/>
        <v>15750</v>
      </c>
      <c r="AQ24" s="227">
        <f t="shared" si="37"/>
        <v>0.72692647992588644</v>
      </c>
      <c r="AR24" s="38">
        <f t="shared" si="43"/>
        <v>67582.354838709667</v>
      </c>
      <c r="AS24" s="201">
        <f t="shared" si="38"/>
        <v>0</v>
      </c>
      <c r="AT24" s="278"/>
      <c r="AU24" s="471"/>
      <c r="AV24" s="569">
        <f t="shared" si="41"/>
        <v>0.57999999999999996</v>
      </c>
      <c r="AW24" s="302">
        <f>-SUM('B5'!AI23)</f>
        <v>0</v>
      </c>
      <c r="AX24" s="302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208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79">
        <f>ELEC!C22</f>
        <v>43850</v>
      </c>
      <c r="B25">
        <f>'B5'!B24</f>
        <v>219</v>
      </c>
      <c r="C25" s="207">
        <f t="shared" si="18"/>
        <v>4712.0322580645161</v>
      </c>
      <c r="D25">
        <f t="shared" si="19"/>
        <v>219</v>
      </c>
      <c r="E25" s="207">
        <f t="shared" si="18"/>
        <v>4712.0322580645161</v>
      </c>
      <c r="F25">
        <f t="shared" si="20"/>
        <v>219</v>
      </c>
      <c r="G25" s="207">
        <f t="shared" si="1"/>
        <v>4712.0322580645161</v>
      </c>
      <c r="H25" s="207">
        <f t="shared" si="21"/>
        <v>219</v>
      </c>
      <c r="I25" s="207">
        <f t="shared" si="2"/>
        <v>4712.0322580645161</v>
      </c>
      <c r="J25" s="207">
        <f t="shared" si="22"/>
        <v>219</v>
      </c>
      <c r="K25" s="207">
        <f t="shared" si="3"/>
        <v>4712.0322580645161</v>
      </c>
      <c r="L25" s="207">
        <f t="shared" si="23"/>
        <v>219</v>
      </c>
      <c r="M25" s="207">
        <f t="shared" si="4"/>
        <v>4712.0322580645161</v>
      </c>
      <c r="N25" s="207">
        <f t="shared" si="24"/>
        <v>219</v>
      </c>
      <c r="O25" s="207">
        <f t="shared" si="5"/>
        <v>4712.0322580645161</v>
      </c>
      <c r="P25" s="207">
        <f t="shared" si="25"/>
        <v>219</v>
      </c>
      <c r="Q25" s="207">
        <f t="shared" si="6"/>
        <v>4712.0322580645161</v>
      </c>
      <c r="R25" s="207">
        <f t="shared" si="26"/>
        <v>219</v>
      </c>
      <c r="S25" s="207">
        <f t="shared" si="7"/>
        <v>4712.0322580645161</v>
      </c>
      <c r="T25" s="207">
        <f t="shared" si="27"/>
        <v>219</v>
      </c>
      <c r="U25" s="207">
        <f t="shared" si="8"/>
        <v>4712.0322580645161</v>
      </c>
      <c r="V25" s="207">
        <f t="shared" si="28"/>
        <v>219</v>
      </c>
      <c r="W25" s="207">
        <f t="shared" si="9"/>
        <v>4712.0322580645161</v>
      </c>
      <c r="X25" s="35">
        <f t="shared" si="10"/>
        <v>0.70645161290322578</v>
      </c>
      <c r="Y25" s="36">
        <f t="shared" si="29"/>
        <v>51832.354838709674</v>
      </c>
      <c r="Z25" s="207">
        <f>'B5'!C24</f>
        <v>225</v>
      </c>
      <c r="AA25" s="207">
        <f t="shared" si="30"/>
        <v>2250</v>
      </c>
      <c r="AB25" s="207">
        <f t="shared" si="31"/>
        <v>225</v>
      </c>
      <c r="AC25" s="207">
        <f t="shared" si="30"/>
        <v>2250</v>
      </c>
      <c r="AD25" s="207">
        <f t="shared" si="32"/>
        <v>225</v>
      </c>
      <c r="AE25" s="207">
        <f t="shared" si="11"/>
        <v>2250</v>
      </c>
      <c r="AF25" s="207">
        <f t="shared" si="33"/>
        <v>225</v>
      </c>
      <c r="AG25" s="207">
        <f t="shared" si="12"/>
        <v>2250</v>
      </c>
      <c r="AH25" s="207">
        <f t="shared" si="34"/>
        <v>225</v>
      </c>
      <c r="AI25" s="207">
        <f t="shared" si="13"/>
        <v>2250</v>
      </c>
      <c r="AJ25" s="207">
        <f t="shared" si="35"/>
        <v>225</v>
      </c>
      <c r="AK25" s="207">
        <f t="shared" si="14"/>
        <v>2250</v>
      </c>
      <c r="AL25" s="207">
        <f t="shared" si="36"/>
        <v>225</v>
      </c>
      <c r="AM25" s="207">
        <f t="shared" si="15"/>
        <v>2250</v>
      </c>
      <c r="AN25" s="35">
        <f t="shared" si="16"/>
        <v>0.8035714285714286</v>
      </c>
      <c r="AO25" s="36">
        <f t="shared" si="17"/>
        <v>15750</v>
      </c>
      <c r="AQ25" s="227">
        <f t="shared" si="37"/>
        <v>0.72692647992588644</v>
      </c>
      <c r="AR25" s="38">
        <f t="shared" si="43"/>
        <v>67582.354838709667</v>
      </c>
      <c r="AS25" s="201">
        <f t="shared" si="38"/>
        <v>0</v>
      </c>
      <c r="AT25" s="278"/>
      <c r="AU25" s="471"/>
      <c r="AV25" s="569">
        <f t="shared" si="41"/>
        <v>0.57999999999999996</v>
      </c>
      <c r="AW25" s="302">
        <f>-SUM('B5'!AI24)</f>
        <v>0</v>
      </c>
      <c r="AX25" s="302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208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79">
        <f>ELEC!C23</f>
        <v>43851</v>
      </c>
      <c r="B26">
        <f>'B5'!B25</f>
        <v>219</v>
      </c>
      <c r="C26" s="207">
        <f t="shared" si="18"/>
        <v>4712.0322580645161</v>
      </c>
      <c r="D26">
        <f t="shared" si="19"/>
        <v>219</v>
      </c>
      <c r="E26" s="207">
        <f t="shared" si="18"/>
        <v>4712.0322580645161</v>
      </c>
      <c r="F26">
        <f t="shared" si="20"/>
        <v>219</v>
      </c>
      <c r="G26" s="207">
        <f t="shared" si="1"/>
        <v>4712.0322580645161</v>
      </c>
      <c r="H26" s="207">
        <f t="shared" si="21"/>
        <v>219</v>
      </c>
      <c r="I26" s="207">
        <f t="shared" si="2"/>
        <v>4712.0322580645161</v>
      </c>
      <c r="J26" s="207">
        <f t="shared" si="22"/>
        <v>219</v>
      </c>
      <c r="K26" s="207">
        <f t="shared" si="3"/>
        <v>4712.0322580645161</v>
      </c>
      <c r="L26" s="207">
        <f t="shared" si="23"/>
        <v>219</v>
      </c>
      <c r="M26" s="207">
        <f t="shared" si="4"/>
        <v>4712.0322580645161</v>
      </c>
      <c r="N26" s="207">
        <f t="shared" si="24"/>
        <v>219</v>
      </c>
      <c r="O26" s="207">
        <f t="shared" si="5"/>
        <v>4712.0322580645161</v>
      </c>
      <c r="P26" s="207">
        <f t="shared" si="25"/>
        <v>219</v>
      </c>
      <c r="Q26" s="207">
        <f t="shared" si="6"/>
        <v>4712.0322580645161</v>
      </c>
      <c r="R26" s="207">
        <f t="shared" si="26"/>
        <v>219</v>
      </c>
      <c r="S26" s="207">
        <f t="shared" si="7"/>
        <v>4712.0322580645161</v>
      </c>
      <c r="T26" s="207">
        <f t="shared" si="27"/>
        <v>219</v>
      </c>
      <c r="U26" s="207">
        <f t="shared" si="8"/>
        <v>4712.0322580645161</v>
      </c>
      <c r="V26" s="207">
        <f t="shared" si="28"/>
        <v>219</v>
      </c>
      <c r="W26" s="207">
        <f t="shared" si="9"/>
        <v>4712.0322580645161</v>
      </c>
      <c r="X26" s="35">
        <f t="shared" si="10"/>
        <v>0.70645161290322578</v>
      </c>
      <c r="Y26" s="36">
        <f t="shared" si="29"/>
        <v>51832.354838709674</v>
      </c>
      <c r="Z26" s="207">
        <f>'B5'!C25</f>
        <v>225</v>
      </c>
      <c r="AA26" s="207">
        <f t="shared" si="30"/>
        <v>2250</v>
      </c>
      <c r="AB26" s="207">
        <f t="shared" si="31"/>
        <v>225</v>
      </c>
      <c r="AC26" s="207">
        <f t="shared" si="30"/>
        <v>2250</v>
      </c>
      <c r="AD26" s="207">
        <f t="shared" si="32"/>
        <v>225</v>
      </c>
      <c r="AE26" s="207">
        <f t="shared" si="11"/>
        <v>2250</v>
      </c>
      <c r="AF26" s="207">
        <f t="shared" si="33"/>
        <v>225</v>
      </c>
      <c r="AG26" s="207">
        <f t="shared" si="12"/>
        <v>2250</v>
      </c>
      <c r="AH26" s="207">
        <f t="shared" si="34"/>
        <v>225</v>
      </c>
      <c r="AI26" s="207">
        <f t="shared" si="13"/>
        <v>2250</v>
      </c>
      <c r="AJ26" s="207">
        <f t="shared" si="35"/>
        <v>225</v>
      </c>
      <c r="AK26" s="207">
        <f t="shared" si="14"/>
        <v>2250</v>
      </c>
      <c r="AL26" s="207">
        <f t="shared" si="36"/>
        <v>225</v>
      </c>
      <c r="AM26" s="207">
        <f t="shared" si="15"/>
        <v>2250</v>
      </c>
      <c r="AN26" s="35">
        <f t="shared" si="16"/>
        <v>0.8035714285714286</v>
      </c>
      <c r="AO26" s="36">
        <f t="shared" si="17"/>
        <v>15750</v>
      </c>
      <c r="AQ26" s="227">
        <f t="shared" si="37"/>
        <v>0.72692647992588644</v>
      </c>
      <c r="AR26" s="38">
        <f t="shared" si="43"/>
        <v>67582.354838709667</v>
      </c>
      <c r="AS26" s="201">
        <f t="shared" si="38"/>
        <v>0</v>
      </c>
      <c r="AT26" s="278"/>
      <c r="AU26" s="471"/>
      <c r="AV26" s="569">
        <f t="shared" si="41"/>
        <v>0.57999999999999996</v>
      </c>
      <c r="AW26" s="302">
        <f>-SUM('B5'!AI25)</f>
        <v>0</v>
      </c>
      <c r="AX26" s="302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208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79">
        <f>ELEC!C24</f>
        <v>43852</v>
      </c>
      <c r="B27">
        <f>'B5'!B26</f>
        <v>219</v>
      </c>
      <c r="C27" s="207">
        <f t="shared" si="18"/>
        <v>4712.0322580645161</v>
      </c>
      <c r="D27">
        <f t="shared" si="19"/>
        <v>219</v>
      </c>
      <c r="E27" s="207">
        <f t="shared" si="18"/>
        <v>4712.0322580645161</v>
      </c>
      <c r="F27">
        <f t="shared" si="20"/>
        <v>219</v>
      </c>
      <c r="G27" s="207">
        <f t="shared" si="1"/>
        <v>4712.0322580645161</v>
      </c>
      <c r="H27" s="207">
        <f t="shared" si="21"/>
        <v>219</v>
      </c>
      <c r="I27" s="207">
        <f t="shared" si="2"/>
        <v>4712.0322580645161</v>
      </c>
      <c r="J27" s="207">
        <f t="shared" si="22"/>
        <v>219</v>
      </c>
      <c r="K27" s="207">
        <f t="shared" si="3"/>
        <v>4712.0322580645161</v>
      </c>
      <c r="L27" s="207">
        <f t="shared" si="23"/>
        <v>219</v>
      </c>
      <c r="M27" s="207">
        <f t="shared" si="4"/>
        <v>4712.0322580645161</v>
      </c>
      <c r="N27" s="207">
        <f t="shared" si="24"/>
        <v>219</v>
      </c>
      <c r="O27" s="207">
        <f t="shared" si="5"/>
        <v>4712.0322580645161</v>
      </c>
      <c r="P27" s="207">
        <f t="shared" si="25"/>
        <v>219</v>
      </c>
      <c r="Q27" s="207">
        <f t="shared" si="6"/>
        <v>4712.0322580645161</v>
      </c>
      <c r="R27" s="207">
        <f t="shared" si="26"/>
        <v>219</v>
      </c>
      <c r="S27" s="207">
        <f t="shared" si="7"/>
        <v>4712.0322580645161</v>
      </c>
      <c r="T27" s="207">
        <f t="shared" si="27"/>
        <v>219</v>
      </c>
      <c r="U27" s="207">
        <f t="shared" si="8"/>
        <v>4712.0322580645161</v>
      </c>
      <c r="V27" s="207">
        <f t="shared" si="28"/>
        <v>219</v>
      </c>
      <c r="W27" s="207">
        <f t="shared" si="9"/>
        <v>4712.0322580645161</v>
      </c>
      <c r="X27" s="35">
        <f t="shared" si="10"/>
        <v>0.70645161290322578</v>
      </c>
      <c r="Y27" s="36">
        <f t="shared" si="29"/>
        <v>51832.354838709674</v>
      </c>
      <c r="Z27" s="207">
        <f>'B5'!C26</f>
        <v>225</v>
      </c>
      <c r="AA27" s="207">
        <f t="shared" si="30"/>
        <v>2250</v>
      </c>
      <c r="AB27" s="207">
        <f t="shared" si="31"/>
        <v>225</v>
      </c>
      <c r="AC27" s="207">
        <f t="shared" si="30"/>
        <v>2250</v>
      </c>
      <c r="AD27" s="207">
        <f t="shared" si="32"/>
        <v>225</v>
      </c>
      <c r="AE27" s="207">
        <f t="shared" si="11"/>
        <v>2250</v>
      </c>
      <c r="AF27" s="207">
        <f t="shared" si="33"/>
        <v>225</v>
      </c>
      <c r="AG27" s="207">
        <f t="shared" si="12"/>
        <v>2250</v>
      </c>
      <c r="AH27" s="207">
        <f t="shared" si="34"/>
        <v>225</v>
      </c>
      <c r="AI27" s="207">
        <f t="shared" si="13"/>
        <v>2250</v>
      </c>
      <c r="AJ27" s="207">
        <f t="shared" si="35"/>
        <v>225</v>
      </c>
      <c r="AK27" s="207">
        <f t="shared" si="14"/>
        <v>2250</v>
      </c>
      <c r="AL27" s="207">
        <f t="shared" si="36"/>
        <v>225</v>
      </c>
      <c r="AM27" s="207">
        <f t="shared" si="15"/>
        <v>2250</v>
      </c>
      <c r="AN27" s="35">
        <f t="shared" si="16"/>
        <v>0.8035714285714286</v>
      </c>
      <c r="AO27" s="36">
        <f t="shared" si="17"/>
        <v>15750</v>
      </c>
      <c r="AQ27" s="227">
        <f t="shared" si="37"/>
        <v>0.72692647992588644</v>
      </c>
      <c r="AR27" s="38">
        <f t="shared" si="43"/>
        <v>67582.354838709667</v>
      </c>
      <c r="AS27" s="201">
        <f t="shared" si="38"/>
        <v>0</v>
      </c>
      <c r="AT27" s="278"/>
      <c r="AU27" s="471"/>
      <c r="AV27" s="569">
        <f t="shared" si="41"/>
        <v>0.57999999999999996</v>
      </c>
      <c r="AW27" s="302">
        <f>-SUM('B5'!AI26)</f>
        <v>0</v>
      </c>
      <c r="AX27" s="302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208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79">
        <f>ELEC!C25</f>
        <v>43853</v>
      </c>
      <c r="B28">
        <f>'B5'!B27</f>
        <v>219</v>
      </c>
      <c r="C28" s="207">
        <f t="shared" si="18"/>
        <v>4712.0322580645161</v>
      </c>
      <c r="D28">
        <f t="shared" si="19"/>
        <v>219</v>
      </c>
      <c r="E28" s="207">
        <f t="shared" si="18"/>
        <v>4712.0322580645161</v>
      </c>
      <c r="F28">
        <f t="shared" si="20"/>
        <v>219</v>
      </c>
      <c r="G28" s="207">
        <f t="shared" si="1"/>
        <v>4712.0322580645161</v>
      </c>
      <c r="H28" s="207">
        <f t="shared" si="21"/>
        <v>219</v>
      </c>
      <c r="I28" s="207">
        <f t="shared" si="2"/>
        <v>4712.0322580645161</v>
      </c>
      <c r="J28" s="207">
        <f t="shared" si="22"/>
        <v>219</v>
      </c>
      <c r="K28" s="207">
        <f t="shared" si="3"/>
        <v>4712.0322580645161</v>
      </c>
      <c r="L28" s="207">
        <f t="shared" si="23"/>
        <v>219</v>
      </c>
      <c r="M28" s="207">
        <f t="shared" si="4"/>
        <v>4712.0322580645161</v>
      </c>
      <c r="N28" s="207">
        <f t="shared" si="24"/>
        <v>219</v>
      </c>
      <c r="O28" s="207">
        <f t="shared" si="5"/>
        <v>4712.0322580645161</v>
      </c>
      <c r="P28" s="207">
        <f t="shared" si="25"/>
        <v>219</v>
      </c>
      <c r="Q28" s="207">
        <f t="shared" si="6"/>
        <v>4712.0322580645161</v>
      </c>
      <c r="R28" s="207">
        <f t="shared" si="26"/>
        <v>219</v>
      </c>
      <c r="S28" s="207">
        <f t="shared" si="7"/>
        <v>4712.0322580645161</v>
      </c>
      <c r="T28" s="207">
        <f t="shared" si="27"/>
        <v>219</v>
      </c>
      <c r="U28" s="207">
        <f t="shared" si="8"/>
        <v>4712.0322580645161</v>
      </c>
      <c r="V28" s="207">
        <f t="shared" si="28"/>
        <v>219</v>
      </c>
      <c r="W28" s="207">
        <f t="shared" si="9"/>
        <v>4712.0322580645161</v>
      </c>
      <c r="X28" s="35">
        <f t="shared" si="10"/>
        <v>0.70645161290322578</v>
      </c>
      <c r="Y28" s="36">
        <f t="shared" si="29"/>
        <v>51832.354838709674</v>
      </c>
      <c r="Z28" s="207">
        <f>'B5'!C27</f>
        <v>225</v>
      </c>
      <c r="AA28" s="207">
        <f t="shared" si="30"/>
        <v>2250</v>
      </c>
      <c r="AB28" s="207">
        <f t="shared" si="31"/>
        <v>225</v>
      </c>
      <c r="AC28" s="207">
        <f t="shared" si="30"/>
        <v>2250</v>
      </c>
      <c r="AD28" s="207">
        <f t="shared" si="32"/>
        <v>225</v>
      </c>
      <c r="AE28" s="207">
        <f t="shared" si="11"/>
        <v>2250</v>
      </c>
      <c r="AF28" s="207">
        <f t="shared" si="33"/>
        <v>225</v>
      </c>
      <c r="AG28" s="207">
        <f t="shared" si="12"/>
        <v>2250</v>
      </c>
      <c r="AH28" s="207">
        <f t="shared" si="34"/>
        <v>225</v>
      </c>
      <c r="AI28" s="207">
        <f t="shared" si="13"/>
        <v>2250</v>
      </c>
      <c r="AJ28" s="207">
        <f t="shared" si="35"/>
        <v>225</v>
      </c>
      <c r="AK28" s="207">
        <f t="shared" si="14"/>
        <v>2250</v>
      </c>
      <c r="AL28" s="207">
        <f t="shared" si="36"/>
        <v>225</v>
      </c>
      <c r="AM28" s="207">
        <f t="shared" si="15"/>
        <v>2250</v>
      </c>
      <c r="AN28" s="35">
        <f t="shared" si="16"/>
        <v>0.8035714285714286</v>
      </c>
      <c r="AO28" s="36">
        <f t="shared" si="17"/>
        <v>15750</v>
      </c>
      <c r="AQ28" s="227">
        <f t="shared" si="37"/>
        <v>0.72692647992588644</v>
      </c>
      <c r="AR28" s="38">
        <f t="shared" si="43"/>
        <v>67582.354838709667</v>
      </c>
      <c r="AS28" s="201">
        <f t="shared" si="38"/>
        <v>0</v>
      </c>
      <c r="AT28" s="376"/>
      <c r="AU28" s="471"/>
      <c r="AV28" s="569">
        <f t="shared" si="41"/>
        <v>0.57999999999999996</v>
      </c>
      <c r="AW28" s="302">
        <f>-SUM('B5'!AI27)</f>
        <v>0</v>
      </c>
      <c r="AX28" s="302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208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9">
        <f>ELEC!C26</f>
        <v>43854</v>
      </c>
      <c r="B29">
        <f>'B5'!B28</f>
        <v>219</v>
      </c>
      <c r="C29" s="207">
        <f t="shared" si="18"/>
        <v>4712.0322580645161</v>
      </c>
      <c r="D29">
        <f t="shared" si="19"/>
        <v>219</v>
      </c>
      <c r="E29" s="207">
        <f t="shared" si="18"/>
        <v>4712.0322580645161</v>
      </c>
      <c r="F29">
        <f t="shared" si="20"/>
        <v>219</v>
      </c>
      <c r="G29" s="207">
        <f t="shared" si="1"/>
        <v>4712.0322580645161</v>
      </c>
      <c r="H29" s="207">
        <f t="shared" si="21"/>
        <v>219</v>
      </c>
      <c r="I29" s="207">
        <f t="shared" si="2"/>
        <v>4712.0322580645161</v>
      </c>
      <c r="J29" s="207">
        <f t="shared" si="22"/>
        <v>219</v>
      </c>
      <c r="K29" s="207">
        <f t="shared" si="3"/>
        <v>4712.0322580645161</v>
      </c>
      <c r="L29" s="207">
        <f t="shared" si="23"/>
        <v>219</v>
      </c>
      <c r="M29" s="207">
        <f t="shared" si="4"/>
        <v>4712.0322580645161</v>
      </c>
      <c r="N29" s="207">
        <f t="shared" si="24"/>
        <v>219</v>
      </c>
      <c r="O29" s="207">
        <f t="shared" si="5"/>
        <v>4712.0322580645161</v>
      </c>
      <c r="P29" s="207">
        <f t="shared" si="25"/>
        <v>219</v>
      </c>
      <c r="Q29" s="207">
        <f t="shared" si="6"/>
        <v>4712.0322580645161</v>
      </c>
      <c r="R29" s="207">
        <f t="shared" si="26"/>
        <v>219</v>
      </c>
      <c r="S29" s="207">
        <f t="shared" si="7"/>
        <v>4712.0322580645161</v>
      </c>
      <c r="T29" s="207">
        <f t="shared" si="27"/>
        <v>219</v>
      </c>
      <c r="U29" s="207">
        <f t="shared" si="8"/>
        <v>4712.0322580645161</v>
      </c>
      <c r="V29" s="207">
        <f t="shared" si="28"/>
        <v>219</v>
      </c>
      <c r="W29" s="207">
        <f t="shared" si="9"/>
        <v>4712.0322580645161</v>
      </c>
      <c r="X29" s="35">
        <f t="shared" si="10"/>
        <v>0.70645161290322578</v>
      </c>
      <c r="Y29" s="36">
        <f t="shared" si="29"/>
        <v>51832.354838709674</v>
      </c>
      <c r="Z29" s="207">
        <f>'B5'!C28</f>
        <v>225</v>
      </c>
      <c r="AA29" s="207">
        <f t="shared" si="30"/>
        <v>2250</v>
      </c>
      <c r="AB29" s="207">
        <f t="shared" si="31"/>
        <v>225</v>
      </c>
      <c r="AC29" s="207">
        <f t="shared" si="30"/>
        <v>2250</v>
      </c>
      <c r="AD29" s="207">
        <f t="shared" si="32"/>
        <v>225</v>
      </c>
      <c r="AE29" s="207">
        <f t="shared" si="11"/>
        <v>2250</v>
      </c>
      <c r="AF29" s="207">
        <f t="shared" si="33"/>
        <v>225</v>
      </c>
      <c r="AG29" s="207">
        <f t="shared" si="12"/>
        <v>2250</v>
      </c>
      <c r="AH29" s="207">
        <f t="shared" si="34"/>
        <v>225</v>
      </c>
      <c r="AI29" s="207">
        <f t="shared" si="13"/>
        <v>2250</v>
      </c>
      <c r="AJ29" s="207">
        <f t="shared" si="35"/>
        <v>225</v>
      </c>
      <c r="AK29" s="207">
        <f t="shared" si="14"/>
        <v>2250</v>
      </c>
      <c r="AL29" s="207">
        <f t="shared" si="36"/>
        <v>225</v>
      </c>
      <c r="AM29" s="207">
        <f t="shared" si="15"/>
        <v>2250</v>
      </c>
      <c r="AN29" s="35">
        <f t="shared" si="16"/>
        <v>0.8035714285714286</v>
      </c>
      <c r="AO29" s="36">
        <f t="shared" si="17"/>
        <v>15750</v>
      </c>
      <c r="AQ29" s="227">
        <f t="shared" si="37"/>
        <v>0.72692647992588644</v>
      </c>
      <c r="AR29" s="38">
        <f t="shared" ref="AR29:AR35" si="44">SUM(AO29+Y29)</f>
        <v>67582.354838709667</v>
      </c>
      <c r="AS29" s="201">
        <f t="shared" si="38"/>
        <v>0</v>
      </c>
      <c r="AT29" s="376"/>
      <c r="AU29" s="471"/>
      <c r="AV29" s="569">
        <f t="shared" si="41"/>
        <v>0.57999999999999996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208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9">
        <f>ELEC!C27</f>
        <v>43855</v>
      </c>
      <c r="B30">
        <f>'B5'!B29</f>
        <v>219</v>
      </c>
      <c r="C30" s="207">
        <f t="shared" si="18"/>
        <v>4712.0322580645161</v>
      </c>
      <c r="D30">
        <f t="shared" ref="D30:D35" si="45">SUM(B30)</f>
        <v>219</v>
      </c>
      <c r="E30" s="207">
        <f t="shared" si="18"/>
        <v>4712.0322580645161</v>
      </c>
      <c r="F30">
        <f t="shared" ref="F30:F35" si="46">SUM(D30)</f>
        <v>219</v>
      </c>
      <c r="G30" s="207">
        <f t="shared" si="1"/>
        <v>4712.0322580645161</v>
      </c>
      <c r="H30" s="207">
        <f t="shared" ref="H30:H35" si="47">SUM(F30)</f>
        <v>219</v>
      </c>
      <c r="I30" s="207">
        <f t="shared" si="2"/>
        <v>4712.0322580645161</v>
      </c>
      <c r="J30" s="207">
        <f t="shared" ref="J30:J35" si="48">SUM(H30)</f>
        <v>219</v>
      </c>
      <c r="K30" s="207">
        <f t="shared" si="3"/>
        <v>4712.0322580645161</v>
      </c>
      <c r="L30" s="207">
        <f t="shared" ref="L30:L35" si="49">SUM(J30)</f>
        <v>219</v>
      </c>
      <c r="M30" s="207">
        <f t="shared" si="4"/>
        <v>4712.0322580645161</v>
      </c>
      <c r="N30" s="207">
        <f t="shared" ref="N30:N35" si="50">SUM(L30)</f>
        <v>219</v>
      </c>
      <c r="O30" s="207">
        <f t="shared" si="5"/>
        <v>4712.0322580645161</v>
      </c>
      <c r="P30" s="207">
        <f t="shared" ref="P30:P35" si="51">SUM(N30)</f>
        <v>219</v>
      </c>
      <c r="Q30" s="207">
        <f t="shared" si="6"/>
        <v>4712.0322580645161</v>
      </c>
      <c r="R30" s="207">
        <f t="shared" ref="R30:R35" si="52">SUM(P30)</f>
        <v>219</v>
      </c>
      <c r="S30" s="207">
        <f t="shared" si="7"/>
        <v>4712.0322580645161</v>
      </c>
      <c r="T30" s="207">
        <f t="shared" ref="T30:T35" si="53">SUM(R30)</f>
        <v>219</v>
      </c>
      <c r="U30" s="207">
        <f t="shared" si="8"/>
        <v>4712.0322580645161</v>
      </c>
      <c r="V30" s="207">
        <f t="shared" ref="V30:V35" si="54">SUM(T30)</f>
        <v>219</v>
      </c>
      <c r="W30" s="207">
        <f t="shared" si="9"/>
        <v>4712.0322580645161</v>
      </c>
      <c r="X30" s="35">
        <f t="shared" ref="X30:X35" si="55">SUM(Y30/73370)</f>
        <v>0.70645161290322578</v>
      </c>
      <c r="Y30" s="36">
        <f t="shared" ref="Y30:Y35" si="56">SUM(C30+E30+G30+I30+K30+M30+O30+Q30+S30+U30+W30)</f>
        <v>51832.354838709674</v>
      </c>
      <c r="Z30" s="207">
        <f>'B5'!C29</f>
        <v>225</v>
      </c>
      <c r="AA30" s="207">
        <f t="shared" si="30"/>
        <v>2250</v>
      </c>
      <c r="AB30" s="207">
        <f t="shared" ref="AB30:AB35" si="57">SUM(Z30)</f>
        <v>225</v>
      </c>
      <c r="AC30" s="207">
        <f t="shared" si="30"/>
        <v>2250</v>
      </c>
      <c r="AD30" s="207">
        <f t="shared" ref="AD30:AD35" si="58">SUM(AB30)</f>
        <v>225</v>
      </c>
      <c r="AE30" s="207">
        <f t="shared" si="11"/>
        <v>2250</v>
      </c>
      <c r="AF30" s="207">
        <f t="shared" ref="AF30:AF35" si="59">SUM(AD30)</f>
        <v>225</v>
      </c>
      <c r="AG30" s="207">
        <f t="shared" si="12"/>
        <v>2250</v>
      </c>
      <c r="AH30" s="207">
        <f t="shared" ref="AH30:AH35" si="60">SUM(AF30)</f>
        <v>225</v>
      </c>
      <c r="AI30" s="207">
        <f t="shared" si="13"/>
        <v>2250</v>
      </c>
      <c r="AJ30" s="207">
        <f t="shared" ref="AJ30:AJ35" si="61">SUM(AH30)</f>
        <v>225</v>
      </c>
      <c r="AK30" s="207">
        <f t="shared" si="14"/>
        <v>2250</v>
      </c>
      <c r="AL30" s="207">
        <f t="shared" ref="AL30:AL35" si="62">SUM(AJ30)</f>
        <v>225</v>
      </c>
      <c r="AM30" s="207">
        <f t="shared" si="15"/>
        <v>2250</v>
      </c>
      <c r="AN30" s="35">
        <f t="shared" ref="AN30:AN35" si="63">SUM(AO30/19600)</f>
        <v>0.8035714285714286</v>
      </c>
      <c r="AO30" s="36">
        <f t="shared" ref="AO30:AO35" si="64">SUM(AA30+AC30+AE30+AG30+AI30+AK30+AM30)</f>
        <v>15750</v>
      </c>
      <c r="AQ30" s="227">
        <f t="shared" si="37"/>
        <v>0.72692647992588644</v>
      </c>
      <c r="AR30" s="38">
        <f t="shared" si="44"/>
        <v>67582.354838709667</v>
      </c>
      <c r="AS30" s="201">
        <f t="shared" si="38"/>
        <v>0</v>
      </c>
      <c r="AT30" s="376"/>
      <c r="AU30" s="471"/>
      <c r="AV30" s="569">
        <f t="shared" si="41"/>
        <v>0.57999999999999996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208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9">
        <f>ELEC!C28</f>
        <v>43856</v>
      </c>
      <c r="B31">
        <f>'B5'!B30</f>
        <v>219</v>
      </c>
      <c r="C31" s="207">
        <f t="shared" si="18"/>
        <v>4712.0322580645161</v>
      </c>
      <c r="D31">
        <f t="shared" si="45"/>
        <v>219</v>
      </c>
      <c r="E31" s="207">
        <f t="shared" si="18"/>
        <v>4712.0322580645161</v>
      </c>
      <c r="F31">
        <f t="shared" si="46"/>
        <v>219</v>
      </c>
      <c r="G31" s="207">
        <f t="shared" si="1"/>
        <v>4712.0322580645161</v>
      </c>
      <c r="H31" s="207">
        <f t="shared" si="47"/>
        <v>219</v>
      </c>
      <c r="I31" s="207">
        <f t="shared" si="2"/>
        <v>4712.0322580645161</v>
      </c>
      <c r="J31" s="207">
        <f t="shared" si="48"/>
        <v>219</v>
      </c>
      <c r="K31" s="207">
        <f t="shared" si="3"/>
        <v>4712.0322580645161</v>
      </c>
      <c r="L31" s="207">
        <f t="shared" si="49"/>
        <v>219</v>
      </c>
      <c r="M31" s="207">
        <f t="shared" si="4"/>
        <v>4712.0322580645161</v>
      </c>
      <c r="N31" s="207">
        <f t="shared" si="50"/>
        <v>219</v>
      </c>
      <c r="O31" s="207">
        <f t="shared" si="5"/>
        <v>4712.0322580645161</v>
      </c>
      <c r="P31" s="207">
        <f t="shared" si="51"/>
        <v>219</v>
      </c>
      <c r="Q31" s="207">
        <f t="shared" si="6"/>
        <v>4712.0322580645161</v>
      </c>
      <c r="R31" s="207">
        <f t="shared" si="52"/>
        <v>219</v>
      </c>
      <c r="S31" s="207">
        <f t="shared" si="7"/>
        <v>4712.0322580645161</v>
      </c>
      <c r="T31" s="207">
        <f t="shared" si="53"/>
        <v>219</v>
      </c>
      <c r="U31" s="207">
        <f t="shared" si="8"/>
        <v>4712.0322580645161</v>
      </c>
      <c r="V31" s="207">
        <f t="shared" si="54"/>
        <v>219</v>
      </c>
      <c r="W31" s="207">
        <f t="shared" si="9"/>
        <v>4712.0322580645161</v>
      </c>
      <c r="X31" s="35">
        <f t="shared" si="55"/>
        <v>0.70645161290322578</v>
      </c>
      <c r="Y31" s="36">
        <f t="shared" si="56"/>
        <v>51832.354838709674</v>
      </c>
      <c r="Z31" s="207">
        <f>'B5'!C30</f>
        <v>225</v>
      </c>
      <c r="AA31" s="207">
        <f t="shared" si="30"/>
        <v>2250</v>
      </c>
      <c r="AB31" s="207">
        <f t="shared" si="57"/>
        <v>225</v>
      </c>
      <c r="AC31" s="207">
        <f t="shared" si="30"/>
        <v>2250</v>
      </c>
      <c r="AD31" s="207">
        <f t="shared" si="58"/>
        <v>225</v>
      </c>
      <c r="AE31" s="207">
        <f t="shared" si="11"/>
        <v>2250</v>
      </c>
      <c r="AF31" s="207">
        <f t="shared" si="59"/>
        <v>225</v>
      </c>
      <c r="AG31" s="207">
        <f t="shared" si="12"/>
        <v>2250</v>
      </c>
      <c r="AH31" s="207">
        <f t="shared" si="60"/>
        <v>225</v>
      </c>
      <c r="AI31" s="207">
        <f t="shared" si="13"/>
        <v>2250</v>
      </c>
      <c r="AJ31" s="207">
        <f t="shared" si="61"/>
        <v>225</v>
      </c>
      <c r="AK31" s="207">
        <f t="shared" si="14"/>
        <v>2250</v>
      </c>
      <c r="AL31" s="207">
        <f t="shared" si="62"/>
        <v>225</v>
      </c>
      <c r="AM31" s="207">
        <f t="shared" si="15"/>
        <v>2250</v>
      </c>
      <c r="AN31" s="35">
        <f t="shared" si="63"/>
        <v>0.8035714285714286</v>
      </c>
      <c r="AO31" s="36">
        <f t="shared" si="64"/>
        <v>15750</v>
      </c>
      <c r="AQ31" s="227">
        <f t="shared" si="37"/>
        <v>0.72692647992588644</v>
      </c>
      <c r="AR31" s="38">
        <f t="shared" si="44"/>
        <v>67582.354838709667</v>
      </c>
      <c r="AS31" s="201">
        <f t="shared" si="38"/>
        <v>0</v>
      </c>
      <c r="AT31" s="376"/>
      <c r="AU31" s="471"/>
      <c r="AV31" s="569">
        <f t="shared" si="41"/>
        <v>0.57999999999999996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208">
        <f>SUM('General information '!E32)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9">
        <f>ELEC!C29</f>
        <v>43857</v>
      </c>
      <c r="B32">
        <f>'B5'!B31</f>
        <v>219</v>
      </c>
      <c r="C32" s="207">
        <f t="shared" si="18"/>
        <v>4712.0322580645161</v>
      </c>
      <c r="D32">
        <f t="shared" si="45"/>
        <v>219</v>
      </c>
      <c r="E32" s="207">
        <f t="shared" si="18"/>
        <v>4712.0322580645161</v>
      </c>
      <c r="F32">
        <f t="shared" si="46"/>
        <v>219</v>
      </c>
      <c r="G32" s="207">
        <f t="shared" si="1"/>
        <v>4712.0322580645161</v>
      </c>
      <c r="H32" s="207">
        <f t="shared" si="47"/>
        <v>219</v>
      </c>
      <c r="I32" s="207">
        <f t="shared" si="2"/>
        <v>4712.0322580645161</v>
      </c>
      <c r="J32" s="207">
        <f t="shared" si="48"/>
        <v>219</v>
      </c>
      <c r="K32" s="207">
        <f t="shared" si="3"/>
        <v>4712.0322580645161</v>
      </c>
      <c r="L32" s="207">
        <f t="shared" si="49"/>
        <v>219</v>
      </c>
      <c r="M32" s="207">
        <f t="shared" si="4"/>
        <v>4712.0322580645161</v>
      </c>
      <c r="N32" s="207">
        <f t="shared" si="50"/>
        <v>219</v>
      </c>
      <c r="O32" s="207">
        <f t="shared" si="5"/>
        <v>4712.0322580645161</v>
      </c>
      <c r="P32" s="207">
        <f t="shared" si="51"/>
        <v>219</v>
      </c>
      <c r="Q32" s="207">
        <f t="shared" si="6"/>
        <v>4712.0322580645161</v>
      </c>
      <c r="R32" s="207">
        <f t="shared" si="52"/>
        <v>219</v>
      </c>
      <c r="S32" s="207">
        <f t="shared" si="7"/>
        <v>4712.0322580645161</v>
      </c>
      <c r="T32" s="207">
        <f t="shared" si="53"/>
        <v>219</v>
      </c>
      <c r="U32" s="207">
        <f t="shared" si="8"/>
        <v>4712.0322580645161</v>
      </c>
      <c r="V32" s="207">
        <f t="shared" si="54"/>
        <v>219</v>
      </c>
      <c r="W32" s="207">
        <f t="shared" si="9"/>
        <v>4712.0322580645161</v>
      </c>
      <c r="X32" s="35">
        <f t="shared" si="55"/>
        <v>0.70645161290322578</v>
      </c>
      <c r="Y32" s="36">
        <f t="shared" si="56"/>
        <v>51832.354838709674</v>
      </c>
      <c r="Z32" s="207">
        <f>'B5'!C31</f>
        <v>225</v>
      </c>
      <c r="AA32" s="207">
        <f t="shared" si="30"/>
        <v>2250</v>
      </c>
      <c r="AB32" s="207">
        <f t="shared" si="57"/>
        <v>225</v>
      </c>
      <c r="AC32" s="207">
        <f t="shared" si="30"/>
        <v>2250</v>
      </c>
      <c r="AD32" s="207">
        <f t="shared" si="58"/>
        <v>225</v>
      </c>
      <c r="AE32" s="207">
        <f t="shared" si="11"/>
        <v>2250</v>
      </c>
      <c r="AF32" s="207">
        <f t="shared" si="59"/>
        <v>225</v>
      </c>
      <c r="AG32" s="207">
        <f t="shared" si="12"/>
        <v>2250</v>
      </c>
      <c r="AH32" s="207">
        <f t="shared" si="60"/>
        <v>225</v>
      </c>
      <c r="AI32" s="207">
        <f t="shared" si="13"/>
        <v>2250</v>
      </c>
      <c r="AJ32" s="207">
        <f t="shared" si="61"/>
        <v>225</v>
      </c>
      <c r="AK32" s="207">
        <f t="shared" si="14"/>
        <v>2250</v>
      </c>
      <c r="AL32" s="207">
        <f t="shared" si="62"/>
        <v>225</v>
      </c>
      <c r="AM32" s="207">
        <f t="shared" si="15"/>
        <v>2250</v>
      </c>
      <c r="AN32" s="35">
        <f t="shared" si="63"/>
        <v>0.8035714285714286</v>
      </c>
      <c r="AO32" s="36">
        <f t="shared" si="64"/>
        <v>15750</v>
      </c>
      <c r="AQ32" s="227">
        <f t="shared" si="37"/>
        <v>0.72692647992588644</v>
      </c>
      <c r="AR32" s="38">
        <f t="shared" si="44"/>
        <v>67582.354838709667</v>
      </c>
      <c r="AS32" s="201">
        <f t="shared" si="38"/>
        <v>0</v>
      </c>
      <c r="AT32" s="376"/>
      <c r="AU32" s="471"/>
      <c r="AV32" s="569">
        <f>IF(AT32&gt;0,AU32,AV31)</f>
        <v>0.57999999999999996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292">
        <f>SUM('General information '!E33)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9">
        <f>ELEC!C30</f>
        <v>43858</v>
      </c>
      <c r="B33">
        <f>'B5'!B32</f>
        <v>219</v>
      </c>
      <c r="C33" s="207">
        <f t="shared" si="18"/>
        <v>4712.0322580645161</v>
      </c>
      <c r="D33">
        <f t="shared" si="45"/>
        <v>219</v>
      </c>
      <c r="E33" s="207">
        <f t="shared" si="18"/>
        <v>4712.0322580645161</v>
      </c>
      <c r="F33">
        <f t="shared" si="46"/>
        <v>219</v>
      </c>
      <c r="G33" s="207">
        <f t="shared" si="1"/>
        <v>4712.0322580645161</v>
      </c>
      <c r="H33" s="207">
        <f t="shared" si="47"/>
        <v>219</v>
      </c>
      <c r="I33" s="207">
        <f t="shared" si="2"/>
        <v>4712.0322580645161</v>
      </c>
      <c r="J33" s="207">
        <f t="shared" si="48"/>
        <v>219</v>
      </c>
      <c r="K33" s="207">
        <f t="shared" si="3"/>
        <v>4712.0322580645161</v>
      </c>
      <c r="L33" s="207">
        <f t="shared" si="49"/>
        <v>219</v>
      </c>
      <c r="M33" s="207">
        <f t="shared" si="4"/>
        <v>4712.0322580645161</v>
      </c>
      <c r="N33" s="207">
        <f t="shared" si="50"/>
        <v>219</v>
      </c>
      <c r="O33" s="207">
        <f t="shared" si="5"/>
        <v>4712.0322580645161</v>
      </c>
      <c r="P33" s="207">
        <f t="shared" si="51"/>
        <v>219</v>
      </c>
      <c r="Q33" s="207">
        <f t="shared" si="6"/>
        <v>4712.0322580645161</v>
      </c>
      <c r="R33" s="207">
        <f t="shared" si="52"/>
        <v>219</v>
      </c>
      <c r="S33" s="207">
        <f t="shared" si="7"/>
        <v>4712.0322580645161</v>
      </c>
      <c r="T33" s="207">
        <f t="shared" si="53"/>
        <v>219</v>
      </c>
      <c r="U33" s="207">
        <f t="shared" si="8"/>
        <v>4712.0322580645161</v>
      </c>
      <c r="V33" s="207">
        <f t="shared" si="54"/>
        <v>219</v>
      </c>
      <c r="W33" s="207">
        <f t="shared" si="9"/>
        <v>4712.0322580645161</v>
      </c>
      <c r="X33" s="35">
        <f t="shared" si="55"/>
        <v>0.70645161290322578</v>
      </c>
      <c r="Y33" s="36">
        <f t="shared" si="56"/>
        <v>51832.354838709674</v>
      </c>
      <c r="Z33" s="207">
        <f>'B5'!C32</f>
        <v>225</v>
      </c>
      <c r="AA33" s="207">
        <f t="shared" si="30"/>
        <v>2250</v>
      </c>
      <c r="AB33" s="207">
        <f t="shared" si="57"/>
        <v>225</v>
      </c>
      <c r="AC33" s="207">
        <f t="shared" si="30"/>
        <v>2250</v>
      </c>
      <c r="AD33" s="207">
        <f t="shared" si="58"/>
        <v>225</v>
      </c>
      <c r="AE33" s="207">
        <f t="shared" si="11"/>
        <v>2250</v>
      </c>
      <c r="AF33" s="207">
        <f t="shared" si="59"/>
        <v>225</v>
      </c>
      <c r="AG33" s="207">
        <f t="shared" si="12"/>
        <v>2250</v>
      </c>
      <c r="AH33" s="207">
        <f t="shared" si="60"/>
        <v>225</v>
      </c>
      <c r="AI33" s="207">
        <f t="shared" si="13"/>
        <v>2250</v>
      </c>
      <c r="AJ33" s="207">
        <f t="shared" si="61"/>
        <v>225</v>
      </c>
      <c r="AK33" s="207">
        <f t="shared" si="14"/>
        <v>2250</v>
      </c>
      <c r="AL33" s="207">
        <f t="shared" si="62"/>
        <v>225</v>
      </c>
      <c r="AM33" s="207">
        <f t="shared" si="15"/>
        <v>2250</v>
      </c>
      <c r="AN33" s="35">
        <f t="shared" si="63"/>
        <v>0.8035714285714286</v>
      </c>
      <c r="AO33" s="36">
        <f t="shared" si="64"/>
        <v>15750</v>
      </c>
      <c r="AQ33" s="227">
        <f t="shared" si="37"/>
        <v>0.72692647992588644</v>
      </c>
      <c r="AR33" s="38">
        <f t="shared" si="44"/>
        <v>67582.354838709667</v>
      </c>
      <c r="AS33" s="201">
        <f t="shared" si="38"/>
        <v>0</v>
      </c>
      <c r="AT33" s="376"/>
      <c r="AU33" s="471"/>
      <c r="AV33" s="569">
        <f>IF(AT33&gt;0,AU33,AV32)</f>
        <v>0.57999999999999996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9">
        <f>ELEC!C31</f>
        <v>43859</v>
      </c>
      <c r="B34">
        <f>'B5'!B33</f>
        <v>219</v>
      </c>
      <c r="C34" s="207">
        <f t="shared" si="18"/>
        <v>4712.0322580645161</v>
      </c>
      <c r="D34">
        <f t="shared" si="45"/>
        <v>219</v>
      </c>
      <c r="E34" s="207">
        <f t="shared" si="18"/>
        <v>4712.0322580645161</v>
      </c>
      <c r="F34">
        <f t="shared" si="46"/>
        <v>219</v>
      </c>
      <c r="G34" s="207">
        <f t="shared" si="1"/>
        <v>4712.0322580645161</v>
      </c>
      <c r="H34" s="207">
        <f t="shared" si="47"/>
        <v>219</v>
      </c>
      <c r="I34" s="207">
        <f t="shared" si="2"/>
        <v>4712.0322580645161</v>
      </c>
      <c r="J34" s="207">
        <f t="shared" si="48"/>
        <v>219</v>
      </c>
      <c r="K34" s="207">
        <f t="shared" si="3"/>
        <v>4712.0322580645161</v>
      </c>
      <c r="L34" s="207">
        <f t="shared" si="49"/>
        <v>219</v>
      </c>
      <c r="M34" s="207">
        <f t="shared" si="4"/>
        <v>4712.0322580645161</v>
      </c>
      <c r="N34" s="207">
        <f t="shared" si="50"/>
        <v>219</v>
      </c>
      <c r="O34" s="207">
        <f t="shared" si="5"/>
        <v>4712.0322580645161</v>
      </c>
      <c r="P34" s="207">
        <f t="shared" si="51"/>
        <v>219</v>
      </c>
      <c r="Q34" s="207">
        <f t="shared" si="6"/>
        <v>4712.0322580645161</v>
      </c>
      <c r="R34" s="207">
        <f t="shared" si="52"/>
        <v>219</v>
      </c>
      <c r="S34" s="207">
        <f t="shared" si="7"/>
        <v>4712.0322580645161</v>
      </c>
      <c r="T34" s="207">
        <f t="shared" si="53"/>
        <v>219</v>
      </c>
      <c r="U34" s="207">
        <f t="shared" si="8"/>
        <v>4712.0322580645161</v>
      </c>
      <c r="V34" s="207">
        <f t="shared" si="54"/>
        <v>219</v>
      </c>
      <c r="W34" s="207">
        <f t="shared" si="9"/>
        <v>4712.0322580645161</v>
      </c>
      <c r="X34" s="35">
        <f t="shared" si="55"/>
        <v>0.70645161290322578</v>
      </c>
      <c r="Y34" s="36">
        <f t="shared" si="56"/>
        <v>51832.354838709674</v>
      </c>
      <c r="Z34" s="207">
        <f>'B5'!C33</f>
        <v>225</v>
      </c>
      <c r="AA34" s="207">
        <f t="shared" si="30"/>
        <v>2250</v>
      </c>
      <c r="AB34" s="207">
        <f t="shared" si="57"/>
        <v>225</v>
      </c>
      <c r="AC34" s="207">
        <f t="shared" si="30"/>
        <v>2250</v>
      </c>
      <c r="AD34" s="207">
        <f t="shared" si="58"/>
        <v>225</v>
      </c>
      <c r="AE34" s="207">
        <f t="shared" si="11"/>
        <v>2250</v>
      </c>
      <c r="AF34" s="207">
        <f t="shared" si="59"/>
        <v>225</v>
      </c>
      <c r="AG34" s="207">
        <f t="shared" si="12"/>
        <v>2250</v>
      </c>
      <c r="AH34" s="207">
        <f t="shared" si="60"/>
        <v>225</v>
      </c>
      <c r="AI34" s="207">
        <f t="shared" si="13"/>
        <v>2250</v>
      </c>
      <c r="AJ34" s="207">
        <f t="shared" si="61"/>
        <v>225</v>
      </c>
      <c r="AK34" s="207">
        <f t="shared" si="14"/>
        <v>2250</v>
      </c>
      <c r="AL34" s="207">
        <f t="shared" si="62"/>
        <v>225</v>
      </c>
      <c r="AM34" s="207">
        <f t="shared" si="15"/>
        <v>2250</v>
      </c>
      <c r="AN34" s="35">
        <f t="shared" si="63"/>
        <v>0.8035714285714286</v>
      </c>
      <c r="AO34" s="36">
        <f t="shared" si="64"/>
        <v>15750</v>
      </c>
      <c r="AQ34" s="227">
        <f>SUM(AR34/92970)</f>
        <v>0.72692647992588644</v>
      </c>
      <c r="AR34" s="38">
        <f t="shared" si="44"/>
        <v>67582.354838709667</v>
      </c>
      <c r="AS34" s="201">
        <f t="shared" si="38"/>
        <v>0</v>
      </c>
      <c r="AT34" s="376"/>
      <c r="AU34" s="471"/>
      <c r="AV34" s="569">
        <f t="shared" si="41"/>
        <v>0.57999999999999996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9">
        <f>ELEC!C32</f>
        <v>43860</v>
      </c>
      <c r="B35">
        <f>'B5'!B34</f>
        <v>219</v>
      </c>
      <c r="C35" s="207">
        <f t="shared" si="18"/>
        <v>4712.0322580645161</v>
      </c>
      <c r="D35">
        <f t="shared" si="45"/>
        <v>219</v>
      </c>
      <c r="E35" s="207">
        <f t="shared" si="18"/>
        <v>4712.0322580645161</v>
      </c>
      <c r="F35">
        <f t="shared" si="46"/>
        <v>219</v>
      </c>
      <c r="G35" s="207">
        <f t="shared" si="1"/>
        <v>4712.0322580645161</v>
      </c>
      <c r="H35" s="207">
        <f t="shared" si="47"/>
        <v>219</v>
      </c>
      <c r="I35" s="207">
        <f t="shared" si="2"/>
        <v>4712.0322580645161</v>
      </c>
      <c r="J35" s="207">
        <f t="shared" si="48"/>
        <v>219</v>
      </c>
      <c r="K35" s="207">
        <f t="shared" si="3"/>
        <v>4712.0322580645161</v>
      </c>
      <c r="L35" s="207">
        <f t="shared" si="49"/>
        <v>219</v>
      </c>
      <c r="M35" s="207">
        <f t="shared" si="4"/>
        <v>4712.0322580645161</v>
      </c>
      <c r="N35" s="207">
        <f t="shared" si="50"/>
        <v>219</v>
      </c>
      <c r="O35" s="207">
        <f t="shared" si="5"/>
        <v>4712.0322580645161</v>
      </c>
      <c r="P35" s="207">
        <f t="shared" si="51"/>
        <v>219</v>
      </c>
      <c r="Q35" s="207">
        <f t="shared" si="6"/>
        <v>4712.0322580645161</v>
      </c>
      <c r="R35" s="207">
        <f t="shared" si="52"/>
        <v>219</v>
      </c>
      <c r="S35" s="207">
        <f t="shared" si="7"/>
        <v>4712.0322580645161</v>
      </c>
      <c r="T35" s="207">
        <f t="shared" si="53"/>
        <v>219</v>
      </c>
      <c r="U35" s="207">
        <f t="shared" si="8"/>
        <v>4712.0322580645161</v>
      </c>
      <c r="V35" s="207">
        <f t="shared" si="54"/>
        <v>219</v>
      </c>
      <c r="W35" s="207">
        <f t="shared" si="9"/>
        <v>4712.0322580645161</v>
      </c>
      <c r="X35" s="35">
        <f t="shared" si="55"/>
        <v>0.70645161290322578</v>
      </c>
      <c r="Y35" s="36">
        <f t="shared" si="56"/>
        <v>51832.354838709674</v>
      </c>
      <c r="Z35" s="207">
        <f>'B5'!C34</f>
        <v>225</v>
      </c>
      <c r="AA35" s="207">
        <f t="shared" si="30"/>
        <v>2250</v>
      </c>
      <c r="AB35" s="207">
        <f t="shared" si="57"/>
        <v>225</v>
      </c>
      <c r="AC35" s="207">
        <f t="shared" si="30"/>
        <v>2250</v>
      </c>
      <c r="AD35" s="207">
        <f t="shared" si="58"/>
        <v>225</v>
      </c>
      <c r="AE35" s="207">
        <f t="shared" si="11"/>
        <v>2250</v>
      </c>
      <c r="AF35" s="207">
        <f t="shared" si="59"/>
        <v>225</v>
      </c>
      <c r="AG35" s="207">
        <f t="shared" si="12"/>
        <v>2250</v>
      </c>
      <c r="AH35" s="207">
        <f t="shared" si="60"/>
        <v>225</v>
      </c>
      <c r="AI35" s="207">
        <f t="shared" si="13"/>
        <v>2250</v>
      </c>
      <c r="AJ35" s="207">
        <f t="shared" si="61"/>
        <v>225</v>
      </c>
      <c r="AK35" s="207">
        <f t="shared" si="14"/>
        <v>2250</v>
      </c>
      <c r="AL35" s="207">
        <f t="shared" si="62"/>
        <v>225</v>
      </c>
      <c r="AM35" s="207">
        <f t="shared" si="15"/>
        <v>2250</v>
      </c>
      <c r="AN35" s="35">
        <f t="shared" si="63"/>
        <v>0.8035714285714286</v>
      </c>
      <c r="AO35" s="36">
        <f t="shared" si="64"/>
        <v>15750</v>
      </c>
      <c r="AQ35" s="227">
        <f>SUM(AR35/92970)</f>
        <v>0.72692647992588644</v>
      </c>
      <c r="AR35" s="38">
        <f t="shared" si="44"/>
        <v>67582.354838709667</v>
      </c>
      <c r="AS35" s="201">
        <f t="shared" si="38"/>
        <v>0</v>
      </c>
      <c r="AT35" s="376"/>
      <c r="AU35" s="471"/>
      <c r="AV35" s="569">
        <f>IF(AT35&gt;0,AU35,AV34)</f>
        <v>0.57999999999999996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9">
        <f>ELEC!C33</f>
        <v>43861</v>
      </c>
      <c r="B36">
        <f>'B5'!B35</f>
        <v>219</v>
      </c>
      <c r="C36" s="207">
        <f>B36*$B$4</f>
        <v>4712.0322580645161</v>
      </c>
      <c r="D36">
        <f>SUM(B36)</f>
        <v>219</v>
      </c>
      <c r="E36" s="207">
        <f>D36*$B$4</f>
        <v>4712.0322580645161</v>
      </c>
      <c r="F36">
        <f>SUM(D36)</f>
        <v>219</v>
      </c>
      <c r="G36" s="207">
        <f>F36*$B$4</f>
        <v>4712.0322580645161</v>
      </c>
      <c r="H36" s="207">
        <f>SUM(F36)</f>
        <v>219</v>
      </c>
      <c r="I36" s="207">
        <f>H36*$B$4</f>
        <v>4712.0322580645161</v>
      </c>
      <c r="J36" s="207">
        <f>SUM(H36)</f>
        <v>219</v>
      </c>
      <c r="K36" s="207">
        <f>J36*$B$4</f>
        <v>4712.0322580645161</v>
      </c>
      <c r="L36" s="207">
        <f>SUM(J36)</f>
        <v>219</v>
      </c>
      <c r="M36" s="207">
        <f>L36*$B$4</f>
        <v>4712.0322580645161</v>
      </c>
      <c r="N36" s="207">
        <f>SUM(L36)</f>
        <v>219</v>
      </c>
      <c r="O36" s="207">
        <f>N36*$B$4</f>
        <v>4712.0322580645161</v>
      </c>
      <c r="P36" s="207">
        <f>SUM(N36)</f>
        <v>219</v>
      </c>
      <c r="Q36" s="207">
        <f>P36*$B$4</f>
        <v>4712.0322580645161</v>
      </c>
      <c r="R36" s="207">
        <f>SUM(P36)</f>
        <v>219</v>
      </c>
      <c r="S36" s="207">
        <f>R36*$B$4</f>
        <v>4712.0322580645161</v>
      </c>
      <c r="T36" s="207">
        <f>SUM(R36)</f>
        <v>219</v>
      </c>
      <c r="U36" s="207">
        <f>T36*$B$4</f>
        <v>4712.0322580645161</v>
      </c>
      <c r="V36" s="207">
        <f>SUM(T36)</f>
        <v>219</v>
      </c>
      <c r="W36" s="207">
        <f>V36*$B$4</f>
        <v>4712.0322580645161</v>
      </c>
      <c r="X36" s="35">
        <f>SUM(Y36/73370)</f>
        <v>0.70645161290322578</v>
      </c>
      <c r="Y36" s="36">
        <f>SUM(C36+E36+G36+I36+K36+M36+O36+Q36+S36+U36+W36)</f>
        <v>51832.354838709674</v>
      </c>
      <c r="Z36" s="207">
        <f>'B5'!C35</f>
        <v>225</v>
      </c>
      <c r="AA36" s="207">
        <f>SUM(Z36*$Z$4)</f>
        <v>2250</v>
      </c>
      <c r="AB36" s="207">
        <f>SUM(Z36)</f>
        <v>225</v>
      </c>
      <c r="AC36" s="207">
        <f>SUM(AB36*$Z$4)</f>
        <v>2250</v>
      </c>
      <c r="AD36" s="207">
        <f>SUM(AB36)</f>
        <v>225</v>
      </c>
      <c r="AE36" s="207">
        <f>SUM(AD36*$Z$4)</f>
        <v>2250</v>
      </c>
      <c r="AF36" s="207">
        <f>SUM(AD36)</f>
        <v>225</v>
      </c>
      <c r="AG36" s="207">
        <f>SUM(AF36*$Z$4)</f>
        <v>2250</v>
      </c>
      <c r="AH36" s="207">
        <f>SUM(AF36)</f>
        <v>225</v>
      </c>
      <c r="AI36" s="207">
        <f>SUM(AH36*$Z$4)</f>
        <v>2250</v>
      </c>
      <c r="AJ36" s="207">
        <f>SUM(AH36)</f>
        <v>225</v>
      </c>
      <c r="AK36" s="207">
        <f>SUM(AJ36*$Z$4)</f>
        <v>2250</v>
      </c>
      <c r="AL36" s="207">
        <f>SUM(AJ36)</f>
        <v>225</v>
      </c>
      <c r="AM36" s="207">
        <f>SUM(AL36*$Z$4)</f>
        <v>2250</v>
      </c>
      <c r="AN36" s="35">
        <f>SUM(AO36/19600)</f>
        <v>0.8035714285714286</v>
      </c>
      <c r="AO36" s="36">
        <f>SUM(AA36+AC36+AE36+AG36+AI36+AK36+AM36)</f>
        <v>15750</v>
      </c>
      <c r="AP36" s="259"/>
      <c r="AQ36" s="227">
        <f>SUM(AR36/92970)</f>
        <v>0.72692647992588644</v>
      </c>
      <c r="AR36" s="38">
        <f>SUM(AO36+Y36)</f>
        <v>67582.354838709667</v>
      </c>
      <c r="AS36" s="201">
        <f>SUM(AR36-AR35-AT36)</f>
        <v>0</v>
      </c>
      <c r="AT36" s="376"/>
      <c r="AU36" s="471"/>
      <c r="AV36" s="569">
        <f>IF(AT36&gt;0,AU36,AV35)</f>
        <v>0.57999999999999996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7">
        <f>SUM('General information '!E36)</f>
        <v>0</v>
      </c>
      <c r="BC36" s="17"/>
      <c r="BD36" s="522"/>
      <c r="BE36" s="523"/>
      <c r="BF36" s="523"/>
      <c r="BG36" s="523"/>
      <c r="BH36" s="524"/>
    </row>
    <row r="37" spans="1:60">
      <c r="AQ37" s="20"/>
      <c r="AR37" s="516" t="s">
        <v>226</v>
      </c>
      <c r="AS37" s="525">
        <f>COUNT(AT6:AT36)</f>
        <v>3</v>
      </c>
      <c r="AT37" s="207">
        <f>SUM(AT6:AT36)</f>
        <v>40170</v>
      </c>
      <c r="AU37">
        <f>SUM(AU6:AU36)/AS37</f>
        <v>0.57766666666666666</v>
      </c>
      <c r="AX37" s="207">
        <f>SUM(AX6:AX36)</f>
        <v>-19911.570967741951</v>
      </c>
      <c r="AY37" s="207">
        <f>SUM(AY6:AY36)</f>
        <v>-35776.870967741939</v>
      </c>
    </row>
    <row r="38" spans="1:60">
      <c r="AS38" s="210"/>
      <c r="AT38">
        <f>+AT37*AU37</f>
        <v>23204.87</v>
      </c>
    </row>
    <row r="40" spans="1:60">
      <c r="AS40" s="166">
        <f>SUM(AS6:AS36)/'EDl log'!A36</f>
        <v>-2104.521821631879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4" priority="3" stopIfTrue="1" operator="greaterThan">
      <formula>0</formula>
    </cfRule>
  </conditionalFormatting>
  <conditionalFormatting sqref="AT6:AU36">
    <cfRule type="cellIs" dxfId="3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" activePane="bottomLeft" state="frozen"/>
      <selection pane="bottomLeft" activeCell="Z19" sqref="Z1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8"/>
      <c r="P1" s="25" t="s">
        <v>46</v>
      </c>
      <c r="Q1" s="25" t="s">
        <v>49</v>
      </c>
      <c r="R1" s="43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8" t="s">
        <v>375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 t="str">
        <f>ELEC!C2</f>
        <v>31-12-2019</v>
      </c>
      <c r="B2" s="277">
        <f>[1]GEN!B33</f>
        <v>8486</v>
      </c>
      <c r="C2" s="277">
        <f>[1]GEN!C33</f>
        <v>1</v>
      </c>
      <c r="D2" s="277">
        <f>[1]GEN!D33</f>
        <v>118621.7</v>
      </c>
      <c r="E2" s="277">
        <f>[1]GEN!E33</f>
        <v>83.69999999999709</v>
      </c>
      <c r="F2" s="277">
        <f>[1]GEN!F33</f>
        <v>83.69999999999709</v>
      </c>
      <c r="G2" s="277">
        <f>[1]GEN!G33</f>
        <v>0</v>
      </c>
      <c r="H2" s="277">
        <f>[1]GEN!H33</f>
        <v>8497</v>
      </c>
      <c r="I2" s="277" t="str">
        <f>[1]GEN!I33</f>
        <v>ok</v>
      </c>
      <c r="J2" s="277">
        <f>[1]GEN!J33</f>
        <v>10588</v>
      </c>
      <c r="K2" s="277">
        <f>[1]GEN!K33</f>
        <v>5</v>
      </c>
      <c r="L2" s="277">
        <f>[1]GEN!L33</f>
        <v>218633</v>
      </c>
      <c r="M2" s="277">
        <f>[1]GEN!M33</f>
        <v>507.10000000000582</v>
      </c>
      <c r="N2" s="277">
        <f>[1]GEN!N33</f>
        <v>101.42000000000117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10884</v>
      </c>
      <c r="S2" s="277">
        <f>[1]GEN!S33</f>
        <v>1</v>
      </c>
      <c r="T2" s="277">
        <f>[1]GEN!T33</f>
        <v>175184.2</v>
      </c>
      <c r="U2" s="277">
        <f>[1]GEN!U33</f>
        <v>232.60000000000582</v>
      </c>
      <c r="V2" s="277">
        <f>[1]GEN!V33</f>
        <v>232.60000000000582</v>
      </c>
      <c r="W2" s="277">
        <f>[1]GEN!W33</f>
        <v>0</v>
      </c>
      <c r="X2" s="277">
        <f>[1]GEN!X33</f>
        <v>10989</v>
      </c>
      <c r="Y2" s="277" t="str">
        <f>[1]GEN!Y33</f>
        <v>ok</v>
      </c>
      <c r="Z2" s="277">
        <f>[1]GEN!Z33</f>
        <v>7</v>
      </c>
      <c r="AA2" s="277">
        <f>[1]GEN!AA33</f>
        <v>823.40000000000873</v>
      </c>
      <c r="AB2" s="277">
        <f>[1]GEN!AB33</f>
        <v>417.72000000000406</v>
      </c>
      <c r="AC2" s="277">
        <f>[1]GEN!AC33</f>
        <v>117.62857142857267</v>
      </c>
      <c r="AD2" s="277">
        <f>[1]GEN!AD33</f>
        <v>3495.0000000008004</v>
      </c>
      <c r="AE2" s="277">
        <f>[1]GEN!AE33</f>
        <v>499.28571428582865</v>
      </c>
      <c r="AF2" s="277">
        <f>[1]GEN!AF33</f>
        <v>0.31205357142864293</v>
      </c>
      <c r="AG2" s="277">
        <f>[1]GEN!AG33</f>
        <v>99.857142857165741</v>
      </c>
      <c r="AH2" s="277">
        <f>[1]GEN!AH33</f>
        <v>17.771428571406929</v>
      </c>
      <c r="AI2" s="277">
        <f>[1]GEN!AI33</f>
        <v>899.55696202552258</v>
      </c>
      <c r="AJ2" s="277">
        <f>[1]GEN!AJ33</f>
        <v>0.25738396624472576</v>
      </c>
      <c r="AK2" s="277">
        <f>[1]GEN!AK33</f>
        <v>128.50813743221752</v>
      </c>
    </row>
    <row r="3" spans="1:37">
      <c r="A3" s="4">
        <f>ELEC!C3</f>
        <v>43831</v>
      </c>
      <c r="B3" s="277">
        <v>8486</v>
      </c>
      <c r="C3" s="299">
        <f>B3-B2</f>
        <v>0</v>
      </c>
      <c r="D3" s="277">
        <v>118644</v>
      </c>
      <c r="E3" s="299">
        <f>SUM(D3-D2)</f>
        <v>22.30000000000291</v>
      </c>
      <c r="F3" s="299">
        <f t="shared" ref="F3:F32" si="0">IF(C3&gt;0,E3/C3,0)</f>
        <v>0</v>
      </c>
      <c r="G3" s="277">
        <f>[2]GEN!G32</f>
        <v>0</v>
      </c>
      <c r="H3" s="300">
        <f>H2</f>
        <v>8497</v>
      </c>
      <c r="I3" s="299" t="str">
        <f t="shared" ref="I3:I32" si="1">IF(B3-H3&lt;=0,"ok","oil change")</f>
        <v>ok</v>
      </c>
      <c r="J3" s="277">
        <v>10591</v>
      </c>
      <c r="K3" s="299">
        <f t="shared" ref="K3:K31" si="2">J3-J2</f>
        <v>3</v>
      </c>
      <c r="L3" s="277">
        <v>219030.1</v>
      </c>
      <c r="M3" s="299">
        <f t="shared" ref="M3:M33" si="3">SUM(L3-L2)</f>
        <v>397.10000000000582</v>
      </c>
      <c r="N3" s="299">
        <f>IF(K3&gt;0,M3/K3,0)</f>
        <v>132.36666666666861</v>
      </c>
      <c r="O3" s="277">
        <f>[2]GEN!O32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10884</v>
      </c>
      <c r="S3" s="299">
        <f t="shared" ref="S3:S32" si="5">R3-R2</f>
        <v>0</v>
      </c>
      <c r="T3" s="277">
        <v>175258</v>
      </c>
      <c r="U3" s="299">
        <f t="shared" ref="U3:U18" si="6">SUM(T3-T2)</f>
        <v>73.799999999988358</v>
      </c>
      <c r="V3" s="299">
        <f>IF(S3&gt;0,U3/S3,0)</f>
        <v>0</v>
      </c>
      <c r="W3" s="277">
        <f>[2]GEN!W32</f>
        <v>0</v>
      </c>
      <c r="X3" s="300">
        <f>X2</f>
        <v>10989</v>
      </c>
      <c r="Y3" s="299" t="str">
        <f t="shared" ref="Y3:Y20" si="7">IF(R3-X3&lt;=0,"ok","oil change")</f>
        <v>ok</v>
      </c>
      <c r="Z3" s="299">
        <f t="shared" ref="Z3:Z32" si="8">C3+K3+S3</f>
        <v>3</v>
      </c>
      <c r="AA3" s="299">
        <f>U3+M3+E3</f>
        <v>493.19999999999709</v>
      </c>
      <c r="AB3" s="299">
        <f>V3+N3+F3</f>
        <v>132.36666666666861</v>
      </c>
      <c r="AC3" s="299">
        <f>IF(Z3&gt;0,AA3/Z3,0)</f>
        <v>164.39999999999904</v>
      </c>
      <c r="AD3" s="74">
        <f>ELEC!Q3</f>
        <v>2546.9999999986612</v>
      </c>
      <c r="AE3" s="74">
        <f>SUM(AD3/Z3)</f>
        <v>848.99999999955378</v>
      </c>
      <c r="AF3" s="426">
        <f>SUM(AE3/1600)</f>
        <v>0.53062499999972113</v>
      </c>
      <c r="AG3" s="427">
        <f>SUM(360*AF3)</f>
        <v>191.02499999989959</v>
      </c>
      <c r="AH3" s="427">
        <f>SUM(AC3-AG3)</f>
        <v>-26.624999999900552</v>
      </c>
      <c r="AI3" s="74">
        <f>AD3*AJ3</f>
        <v>655.55696202497188</v>
      </c>
      <c r="AJ3" s="301">
        <f t="shared" ref="AJ3:AJ32" si="9">305/1185</f>
        <v>0.25738396624472576</v>
      </c>
      <c r="AK3" s="301">
        <f t="shared" ref="AK3:AK8" si="10">AI3/Z3</f>
        <v>218.51898734165729</v>
      </c>
    </row>
    <row r="4" spans="1:37">
      <c r="A4" s="4">
        <f>ELEC!C4</f>
        <v>43832</v>
      </c>
      <c r="B4" s="277">
        <v>8486</v>
      </c>
      <c r="C4" s="299">
        <f t="shared" ref="C4:C32" si="11">B4-B3</f>
        <v>0</v>
      </c>
      <c r="D4" s="277">
        <v>118701</v>
      </c>
      <c r="E4" s="299">
        <f t="shared" ref="E4:E32" si="12">SUM(D4-D3)</f>
        <v>57</v>
      </c>
      <c r="F4" s="299">
        <f t="shared" si="0"/>
        <v>0</v>
      </c>
      <c r="G4" s="200"/>
      <c r="H4" s="300">
        <f t="shared" ref="H4:H33" si="13">H3</f>
        <v>8497</v>
      </c>
      <c r="I4" s="299" t="str">
        <f t="shared" si="1"/>
        <v>ok</v>
      </c>
      <c r="J4" s="277">
        <v>10597</v>
      </c>
      <c r="K4" s="299">
        <f t="shared" si="2"/>
        <v>6</v>
      </c>
      <c r="L4" s="277">
        <v>219814</v>
      </c>
      <c r="M4" s="299">
        <f t="shared" si="3"/>
        <v>783.89999999999418</v>
      </c>
      <c r="N4" s="299">
        <f t="shared" ref="N4:N32" si="14">IF(K4&gt;0,M4/K4,0)</f>
        <v>130.64999999999904</v>
      </c>
      <c r="O4" s="200"/>
      <c r="P4" s="300">
        <f t="shared" ref="P4:P33" si="15">P3</f>
        <v>10873</v>
      </c>
      <c r="Q4" s="299" t="str">
        <f t="shared" si="4"/>
        <v>ok</v>
      </c>
      <c r="R4" s="277">
        <v>10885</v>
      </c>
      <c r="S4" s="299">
        <f t="shared" si="5"/>
        <v>1</v>
      </c>
      <c r="T4" s="277">
        <v>175393.1</v>
      </c>
      <c r="U4" s="299">
        <f t="shared" si="6"/>
        <v>135.10000000000582</v>
      </c>
      <c r="V4" s="299">
        <f t="shared" ref="V4:V32" si="16">IF(S4&gt;0,U4/S4,0)</f>
        <v>135.10000000000582</v>
      </c>
      <c r="W4" s="200"/>
      <c r="X4" s="300">
        <f t="shared" ref="X4:X33" si="17">X3</f>
        <v>10989</v>
      </c>
      <c r="Y4" s="299" t="str">
        <f t="shared" si="7"/>
        <v>ok</v>
      </c>
      <c r="Z4" s="299">
        <f>C4+K4+S4</f>
        <v>7</v>
      </c>
      <c r="AA4" s="299">
        <f t="shared" ref="AA4:AA32" si="18">U4+M4+E4</f>
        <v>976</v>
      </c>
      <c r="AB4" s="299">
        <f t="shared" ref="AB4:AB32" si="19">V4+N4+F4</f>
        <v>265.75000000000489</v>
      </c>
      <c r="AC4" s="299">
        <f t="shared" ref="AC4:AC32" si="20">IF(Z4&gt;0,AA4/Z4,0)</f>
        <v>139.42857142857142</v>
      </c>
      <c r="AD4" s="74">
        <f>ELEC!Q4</f>
        <v>4622.0000000012078</v>
      </c>
      <c r="AE4" s="74">
        <f>SUM(AD4/Z4)</f>
        <v>660.2857142858868</v>
      </c>
      <c r="AF4" s="426">
        <f>SUM(AE4/1600)</f>
        <v>0.41267857142867925</v>
      </c>
      <c r="AG4" s="427">
        <f>SUM(360*AF4)</f>
        <v>148.56428571432454</v>
      </c>
      <c r="AH4" s="427">
        <f t="shared" ref="AH4:AH32" si="21">SUM(AC4-AG4)</f>
        <v>-9.1357142857531244</v>
      </c>
      <c r="AI4" s="74">
        <f>AD4*AJ4</f>
        <v>1189.6286919834333</v>
      </c>
      <c r="AJ4" s="301">
        <f t="shared" si="9"/>
        <v>0.25738396624472576</v>
      </c>
      <c r="AK4" s="301">
        <f t="shared" si="10"/>
        <v>169.94695599763332</v>
      </c>
    </row>
    <row r="5" spans="1:37">
      <c r="A5" s="4">
        <f>ELEC!C5</f>
        <v>43833</v>
      </c>
      <c r="B5" s="277">
        <f>B4</f>
        <v>8486</v>
      </c>
      <c r="C5" s="299">
        <f t="shared" si="11"/>
        <v>0</v>
      </c>
      <c r="D5" s="277">
        <v>118732.4</v>
      </c>
      <c r="E5" s="299">
        <f t="shared" si="12"/>
        <v>31.399999999994179</v>
      </c>
      <c r="F5" s="299">
        <f t="shared" si="0"/>
        <v>0</v>
      </c>
      <c r="G5" s="297"/>
      <c r="H5" s="300">
        <v>8497</v>
      </c>
      <c r="I5" s="299" t="str">
        <f t="shared" si="1"/>
        <v>ok</v>
      </c>
      <c r="J5" s="277">
        <v>10603</v>
      </c>
      <c r="K5" s="299">
        <f t="shared" si="2"/>
        <v>6</v>
      </c>
      <c r="L5" s="277">
        <v>220473.1</v>
      </c>
      <c r="M5" s="299">
        <f t="shared" si="3"/>
        <v>659.10000000000582</v>
      </c>
      <c r="N5" s="299">
        <f t="shared" si="14"/>
        <v>109.85000000000097</v>
      </c>
      <c r="O5" s="200"/>
      <c r="P5" s="300">
        <f>P4</f>
        <v>10873</v>
      </c>
      <c r="Q5" s="299" t="str">
        <f t="shared" si="4"/>
        <v>ok</v>
      </c>
      <c r="R5" s="277">
        <v>10885</v>
      </c>
      <c r="S5" s="299">
        <f t="shared" si="5"/>
        <v>0</v>
      </c>
      <c r="T5" s="277">
        <v>175498.8</v>
      </c>
      <c r="U5" s="299">
        <f t="shared" si="6"/>
        <v>105.69999999998254</v>
      </c>
      <c r="V5" s="299">
        <f>IF(S5&gt;0,U5/S5,0)</f>
        <v>0</v>
      </c>
      <c r="W5" s="200"/>
      <c r="X5" s="300">
        <f t="shared" si="17"/>
        <v>10989</v>
      </c>
      <c r="Y5" s="299" t="str">
        <f t="shared" si="7"/>
        <v>ok</v>
      </c>
      <c r="Z5" s="299">
        <f t="shared" si="8"/>
        <v>6</v>
      </c>
      <c r="AA5" s="299">
        <f t="shared" si="18"/>
        <v>796.19999999998254</v>
      </c>
      <c r="AB5" s="299">
        <f t="shared" si="19"/>
        <v>109.85000000000097</v>
      </c>
      <c r="AC5" s="299">
        <f t="shared" si="20"/>
        <v>132.69999999999709</v>
      </c>
      <c r="AD5" s="74">
        <f>ELEC!Q5</f>
        <v>4630.9999999994034</v>
      </c>
      <c r="AE5" s="74">
        <f t="shared" ref="AE5:AE32" si="22">SUM(AD5/Z5)</f>
        <v>771.8333333332339</v>
      </c>
      <c r="AF5" s="426">
        <f t="shared" ref="AF5:AF32" si="23">SUM(AE5/1600)</f>
        <v>0.48239583333327118</v>
      </c>
      <c r="AG5" s="427">
        <f t="shared" ref="AG5:AG32" si="24">SUM(320*AF5)</f>
        <v>154.36666666664678</v>
      </c>
      <c r="AH5" s="427">
        <f t="shared" si="21"/>
        <v>-21.666666666649689</v>
      </c>
      <c r="AI5" s="74">
        <f t="shared" ref="AI5:AI32" si="25">AD5*AJ5</f>
        <v>1191.9451476791714</v>
      </c>
      <c r="AJ5" s="301">
        <f t="shared" si="9"/>
        <v>0.25738396624472576</v>
      </c>
      <c r="AK5" s="301">
        <f t="shared" si="10"/>
        <v>198.65752461319525</v>
      </c>
    </row>
    <row r="6" spans="1:37">
      <c r="A6" s="4">
        <f>ELEC!C6</f>
        <v>43834</v>
      </c>
      <c r="B6" s="277">
        <f>B5</f>
        <v>8486</v>
      </c>
      <c r="C6" s="299">
        <f t="shared" si="11"/>
        <v>0</v>
      </c>
      <c r="D6" s="277">
        <v>118765.8</v>
      </c>
      <c r="E6" s="299">
        <f t="shared" si="12"/>
        <v>33.400000000008731</v>
      </c>
      <c r="F6" s="299">
        <f t="shared" si="0"/>
        <v>0</v>
      </c>
      <c r="G6" s="200"/>
      <c r="H6" s="300">
        <f t="shared" si="13"/>
        <v>8497</v>
      </c>
      <c r="I6" s="299" t="str">
        <f t="shared" si="1"/>
        <v>ok</v>
      </c>
      <c r="J6" s="277">
        <v>10608</v>
      </c>
      <c r="K6" s="299">
        <f t="shared" si="2"/>
        <v>5</v>
      </c>
      <c r="L6" s="277">
        <v>221194.7</v>
      </c>
      <c r="M6" s="299">
        <f t="shared" si="3"/>
        <v>721.60000000000582</v>
      </c>
      <c r="N6" s="299">
        <f t="shared" si="14"/>
        <v>144.32000000000116</v>
      </c>
      <c r="O6" s="324"/>
      <c r="P6" s="300">
        <f t="shared" si="15"/>
        <v>10873</v>
      </c>
      <c r="Q6" s="299" t="str">
        <f t="shared" si="4"/>
        <v>ok</v>
      </c>
      <c r="R6" s="277">
        <v>10886</v>
      </c>
      <c r="S6" s="299">
        <f t="shared" si="5"/>
        <v>1</v>
      </c>
      <c r="T6" s="277">
        <v>175723.2</v>
      </c>
      <c r="U6" s="299">
        <f t="shared" si="6"/>
        <v>224.40000000002328</v>
      </c>
      <c r="V6" s="299">
        <f t="shared" si="16"/>
        <v>224.40000000002328</v>
      </c>
      <c r="W6" s="324"/>
      <c r="X6" s="300">
        <f t="shared" si="17"/>
        <v>10989</v>
      </c>
      <c r="Y6" s="299" t="str">
        <f t="shared" si="7"/>
        <v>ok</v>
      </c>
      <c r="Z6" s="299">
        <f t="shared" si="8"/>
        <v>6</v>
      </c>
      <c r="AA6" s="299">
        <f t="shared" si="18"/>
        <v>979.40000000003783</v>
      </c>
      <c r="AB6" s="299">
        <f t="shared" si="19"/>
        <v>368.72000000002447</v>
      </c>
      <c r="AC6" s="299">
        <f t="shared" si="20"/>
        <v>163.23333333333963</v>
      </c>
      <c r="AD6" s="74">
        <f>ELEC!Q6</f>
        <v>4000</v>
      </c>
      <c r="AE6" s="74">
        <f>SUM(AD6/Z6)</f>
        <v>666.66666666666663</v>
      </c>
      <c r="AF6" s="426">
        <f t="shared" si="23"/>
        <v>0.41666666666666663</v>
      </c>
      <c r="AG6" s="427">
        <f>SUM(320*AF6)</f>
        <v>133.33333333333331</v>
      </c>
      <c r="AH6" s="427">
        <f t="shared" si="21"/>
        <v>29.900000000006315</v>
      </c>
      <c r="AI6" s="74">
        <f t="shared" si="25"/>
        <v>1029.535864978903</v>
      </c>
      <c r="AJ6" s="301">
        <f t="shared" si="9"/>
        <v>0.25738396624472576</v>
      </c>
      <c r="AK6" s="301">
        <f t="shared" si="10"/>
        <v>171.58931082981715</v>
      </c>
    </row>
    <row r="7" spans="1:37">
      <c r="A7" s="4">
        <f>ELEC!C7</f>
        <v>43835</v>
      </c>
      <c r="B7" s="277">
        <v>8486</v>
      </c>
      <c r="C7" s="299">
        <f t="shared" si="11"/>
        <v>0</v>
      </c>
      <c r="D7" s="277">
        <v>118781</v>
      </c>
      <c r="E7" s="299">
        <f t="shared" si="12"/>
        <v>15.19999999999709</v>
      </c>
      <c r="F7" s="299">
        <f t="shared" si="0"/>
        <v>0</v>
      </c>
      <c r="G7" s="200"/>
      <c r="H7" s="300">
        <f t="shared" si="13"/>
        <v>8497</v>
      </c>
      <c r="I7" s="299" t="str">
        <f t="shared" si="1"/>
        <v>ok</v>
      </c>
      <c r="J7" s="277">
        <v>10611</v>
      </c>
      <c r="K7" s="299">
        <f t="shared" si="2"/>
        <v>3</v>
      </c>
      <c r="L7" s="277">
        <v>221540</v>
      </c>
      <c r="M7" s="299">
        <f t="shared" si="3"/>
        <v>345.29999999998836</v>
      </c>
      <c r="N7" s="299">
        <f t="shared" si="14"/>
        <v>115.09999999999611</v>
      </c>
      <c r="O7" s="324"/>
      <c r="P7" s="300">
        <f t="shared" si="15"/>
        <v>10873</v>
      </c>
      <c r="Q7" s="299" t="str">
        <f t="shared" si="4"/>
        <v>ok</v>
      </c>
      <c r="R7" s="277">
        <v>10886</v>
      </c>
      <c r="S7" s="299">
        <f t="shared" si="5"/>
        <v>0</v>
      </c>
      <c r="T7" s="277">
        <v>175776.5</v>
      </c>
      <c r="U7" s="299">
        <f t="shared" si="6"/>
        <v>53.299999999988358</v>
      </c>
      <c r="V7" s="299">
        <f t="shared" si="16"/>
        <v>0</v>
      </c>
      <c r="W7" s="200"/>
      <c r="X7" s="300">
        <f t="shared" si="17"/>
        <v>10989</v>
      </c>
      <c r="Y7" s="299" t="str">
        <f t="shared" si="7"/>
        <v>ok</v>
      </c>
      <c r="Z7" s="299">
        <f t="shared" si="8"/>
        <v>3</v>
      </c>
      <c r="AA7" s="299">
        <f>U7+M7+E7</f>
        <v>413.79999999997381</v>
      </c>
      <c r="AB7" s="299">
        <f t="shared" si="19"/>
        <v>115.09999999999611</v>
      </c>
      <c r="AC7" s="299">
        <f t="shared" si="20"/>
        <v>137.93333333332461</v>
      </c>
      <c r="AD7" s="74">
        <f>ELEC!Q7</f>
        <v>2585.9999999993306</v>
      </c>
      <c r="AE7" s="74">
        <f t="shared" si="22"/>
        <v>861.99999999977683</v>
      </c>
      <c r="AF7" s="426">
        <f t="shared" si="23"/>
        <v>0.53874999999986051</v>
      </c>
      <c r="AG7" s="551" t="s">
        <v>406</v>
      </c>
      <c r="AH7" s="427" t="e">
        <f t="shared" si="21"/>
        <v>#VALUE!</v>
      </c>
      <c r="AI7" s="74">
        <f t="shared" si="25"/>
        <v>665.59493670868858</v>
      </c>
      <c r="AJ7" s="301">
        <f t="shared" si="9"/>
        <v>0.25738396624472576</v>
      </c>
      <c r="AK7" s="301">
        <f t="shared" si="10"/>
        <v>221.86497890289618</v>
      </c>
    </row>
    <row r="8" spans="1:37">
      <c r="A8" s="4">
        <f>ELEC!C8</f>
        <v>43836</v>
      </c>
      <c r="B8" s="277">
        <v>8487</v>
      </c>
      <c r="C8" s="299">
        <f t="shared" si="11"/>
        <v>1</v>
      </c>
      <c r="D8" s="277">
        <v>118823</v>
      </c>
      <c r="E8" s="299">
        <f t="shared" si="12"/>
        <v>42</v>
      </c>
      <c r="F8" s="299">
        <f t="shared" si="0"/>
        <v>42</v>
      </c>
      <c r="G8" s="200"/>
      <c r="H8" s="300">
        <f t="shared" si="13"/>
        <v>8497</v>
      </c>
      <c r="I8" s="299" t="str">
        <f t="shared" si="1"/>
        <v>ok</v>
      </c>
      <c r="J8" s="277">
        <v>10619</v>
      </c>
      <c r="K8" s="299">
        <f t="shared" si="2"/>
        <v>8</v>
      </c>
      <c r="L8" s="277">
        <v>222802</v>
      </c>
      <c r="M8" s="299">
        <f t="shared" si="3"/>
        <v>1262</v>
      </c>
      <c r="N8" s="299">
        <f t="shared" si="14"/>
        <v>157.75</v>
      </c>
      <c r="O8" s="200"/>
      <c r="P8" s="300">
        <f t="shared" si="15"/>
        <v>10873</v>
      </c>
      <c r="Q8" s="299" t="str">
        <f t="shared" si="4"/>
        <v>ok</v>
      </c>
      <c r="R8" s="277">
        <v>10887</v>
      </c>
      <c r="S8" s="299">
        <f t="shared" si="5"/>
        <v>1</v>
      </c>
      <c r="T8" s="277">
        <v>175937.9</v>
      </c>
      <c r="U8" s="299">
        <f t="shared" si="6"/>
        <v>161.39999999999418</v>
      </c>
      <c r="V8" s="299">
        <f t="shared" si="16"/>
        <v>161.39999999999418</v>
      </c>
      <c r="W8" s="200"/>
      <c r="X8" s="300">
        <f t="shared" si="17"/>
        <v>10989</v>
      </c>
      <c r="Y8" s="299" t="str">
        <f t="shared" si="7"/>
        <v>ok</v>
      </c>
      <c r="Z8" s="299">
        <f t="shared" si="8"/>
        <v>10</v>
      </c>
      <c r="AA8" s="299">
        <f t="shared" si="18"/>
        <v>1465.3999999999942</v>
      </c>
      <c r="AB8" s="299">
        <f t="shared" si="19"/>
        <v>361.14999999999418</v>
      </c>
      <c r="AC8" s="299">
        <f t="shared" si="20"/>
        <v>146.53999999999942</v>
      </c>
      <c r="AD8" s="74">
        <f>ELEC!Q8</f>
        <v>5234.0000000003783</v>
      </c>
      <c r="AE8" s="74">
        <f t="shared" si="22"/>
        <v>523.40000000003783</v>
      </c>
      <c r="AF8" s="426">
        <f t="shared" si="23"/>
        <v>0.32712500000002365</v>
      </c>
      <c r="AG8" s="427">
        <f t="shared" si="24"/>
        <v>104.68000000000757</v>
      </c>
      <c r="AH8" s="427">
        <f t="shared" si="21"/>
        <v>41.859999999991857</v>
      </c>
      <c r="AI8" s="74">
        <f t="shared" si="25"/>
        <v>1347.1476793249919</v>
      </c>
      <c r="AJ8" s="301">
        <f t="shared" si="9"/>
        <v>0.25738396624472576</v>
      </c>
      <c r="AK8" s="301">
        <f t="shared" si="10"/>
        <v>134.7147679324992</v>
      </c>
    </row>
    <row r="9" spans="1:37">
      <c r="A9" s="4">
        <f>ELEC!C9</f>
        <v>43837</v>
      </c>
      <c r="B9" s="277">
        <v>8487</v>
      </c>
      <c r="C9" s="299">
        <f t="shared" si="11"/>
        <v>0</v>
      </c>
      <c r="D9" s="277">
        <v>118878</v>
      </c>
      <c r="E9" s="299">
        <f t="shared" si="12"/>
        <v>55</v>
      </c>
      <c r="F9" s="299">
        <f t="shared" si="0"/>
        <v>0</v>
      </c>
      <c r="G9" s="200"/>
      <c r="H9" s="300">
        <f t="shared" si="13"/>
        <v>8497</v>
      </c>
      <c r="I9" s="299" t="str">
        <f t="shared" si="1"/>
        <v>ok</v>
      </c>
      <c r="J9" s="277">
        <v>10628</v>
      </c>
      <c r="K9" s="299">
        <f t="shared" si="2"/>
        <v>9</v>
      </c>
      <c r="L9" s="277">
        <v>224521</v>
      </c>
      <c r="M9" s="299">
        <f t="shared" si="3"/>
        <v>1719</v>
      </c>
      <c r="N9" s="299">
        <f t="shared" si="14"/>
        <v>191</v>
      </c>
      <c r="O9" s="200"/>
      <c r="P9" s="300">
        <f t="shared" si="15"/>
        <v>10873</v>
      </c>
      <c r="Q9" s="299" t="str">
        <f t="shared" si="4"/>
        <v>ok</v>
      </c>
      <c r="R9" s="277">
        <v>10887</v>
      </c>
      <c r="S9" s="299">
        <f t="shared" si="5"/>
        <v>0</v>
      </c>
      <c r="T9" s="277">
        <v>176085</v>
      </c>
      <c r="U9" s="299">
        <f t="shared" si="6"/>
        <v>147.10000000000582</v>
      </c>
      <c r="V9" s="299">
        <f t="shared" si="16"/>
        <v>0</v>
      </c>
      <c r="W9" s="200"/>
      <c r="X9" s="300">
        <f t="shared" si="17"/>
        <v>10989</v>
      </c>
      <c r="Y9" s="299" t="str">
        <f t="shared" si="7"/>
        <v>ok</v>
      </c>
      <c r="Z9" s="299">
        <f t="shared" si="8"/>
        <v>9</v>
      </c>
      <c r="AA9" s="299">
        <f t="shared" si="18"/>
        <v>1921.1000000000058</v>
      </c>
      <c r="AB9" s="299">
        <f t="shared" si="19"/>
        <v>191</v>
      </c>
      <c r="AC9" s="299">
        <f t="shared" si="20"/>
        <v>213.4555555555562</v>
      </c>
      <c r="AD9" s="74">
        <f>ELEC!Q9</f>
        <v>4879.0000000008149</v>
      </c>
      <c r="AE9" s="74">
        <f t="shared" si="22"/>
        <v>542.11111111120169</v>
      </c>
      <c r="AF9" s="426">
        <f t="shared" si="23"/>
        <v>0.33881944444450107</v>
      </c>
      <c r="AG9" s="427">
        <f t="shared" si="24"/>
        <v>108.42222222224035</v>
      </c>
      <c r="AH9" s="427">
        <f t="shared" si="21"/>
        <v>105.03333333331585</v>
      </c>
      <c r="AI9" s="74">
        <f t="shared" si="25"/>
        <v>1255.7763713082268</v>
      </c>
      <c r="AJ9" s="301">
        <v>0.25738396624472576</v>
      </c>
      <c r="AK9" s="301">
        <f t="shared" ref="AK9:AK16" si="26">IF(Z9&gt;0,AI9/Z9,0)</f>
        <v>139.5307079231363</v>
      </c>
    </row>
    <row r="10" spans="1:37">
      <c r="A10" s="4">
        <f>ELEC!C10</f>
        <v>43838</v>
      </c>
      <c r="B10" s="277">
        <f>B9</f>
        <v>8487</v>
      </c>
      <c r="C10" s="299">
        <f t="shared" si="11"/>
        <v>0</v>
      </c>
      <c r="D10" s="277">
        <f>D9</f>
        <v>118878</v>
      </c>
      <c r="E10" s="299">
        <f t="shared" si="12"/>
        <v>0</v>
      </c>
      <c r="F10" s="299">
        <f t="shared" si="0"/>
        <v>0</v>
      </c>
      <c r="G10" s="200"/>
      <c r="H10" s="300">
        <f t="shared" si="13"/>
        <v>8497</v>
      </c>
      <c r="I10" s="299" t="str">
        <f t="shared" si="1"/>
        <v>ok</v>
      </c>
      <c r="J10" s="277">
        <v>10642</v>
      </c>
      <c r="K10" s="299">
        <f t="shared" si="2"/>
        <v>14</v>
      </c>
      <c r="L10" s="277">
        <v>227914.9</v>
      </c>
      <c r="M10" s="299">
        <f t="shared" si="3"/>
        <v>3393.8999999999942</v>
      </c>
      <c r="N10" s="299">
        <f t="shared" si="14"/>
        <v>242.42142857142815</v>
      </c>
      <c r="O10" s="200"/>
      <c r="P10" s="300">
        <v>10873</v>
      </c>
      <c r="Q10" s="299" t="str">
        <f t="shared" si="4"/>
        <v>ok</v>
      </c>
      <c r="R10" s="277">
        <v>10889</v>
      </c>
      <c r="S10" s="299">
        <f t="shared" si="5"/>
        <v>2</v>
      </c>
      <c r="T10" s="277">
        <v>176482.2</v>
      </c>
      <c r="U10" s="299">
        <f t="shared" si="6"/>
        <v>397.20000000001164</v>
      </c>
      <c r="V10" s="299">
        <f t="shared" si="16"/>
        <v>198.60000000000582</v>
      </c>
      <c r="W10" s="200"/>
      <c r="X10" s="300">
        <f t="shared" si="17"/>
        <v>10989</v>
      </c>
      <c r="Y10" s="299" t="str">
        <f t="shared" si="7"/>
        <v>ok</v>
      </c>
      <c r="Z10" s="299">
        <f t="shared" si="8"/>
        <v>16</v>
      </c>
      <c r="AA10" s="299">
        <f t="shared" si="18"/>
        <v>3791.1000000000058</v>
      </c>
      <c r="AB10" s="299">
        <f t="shared" si="19"/>
        <v>441.02142857143394</v>
      </c>
      <c r="AC10" s="299">
        <f t="shared" si="20"/>
        <v>236.94375000000036</v>
      </c>
      <c r="AD10" s="74">
        <f>ELEC!Q10</f>
        <v>7001.0000000002037</v>
      </c>
      <c r="AE10" s="74">
        <f t="shared" si="22"/>
        <v>437.56250000001273</v>
      </c>
      <c r="AF10" s="426">
        <f t="shared" si="23"/>
        <v>0.27347656250000796</v>
      </c>
      <c r="AG10" s="427">
        <f t="shared" si="24"/>
        <v>87.512500000002547</v>
      </c>
      <c r="AH10" s="427">
        <f t="shared" si="21"/>
        <v>149.43124999999782</v>
      </c>
      <c r="AI10" s="74">
        <f t="shared" si="25"/>
        <v>1801.9451476793774</v>
      </c>
      <c r="AJ10" s="301">
        <f t="shared" si="9"/>
        <v>0.25738396624472576</v>
      </c>
      <c r="AK10" s="301">
        <f t="shared" si="26"/>
        <v>112.62157172996109</v>
      </c>
    </row>
    <row r="11" spans="1:37">
      <c r="A11" s="4">
        <f>ELEC!C11</f>
        <v>43839</v>
      </c>
      <c r="B11" s="277">
        <v>8487</v>
      </c>
      <c r="C11" s="299">
        <f t="shared" si="11"/>
        <v>0</v>
      </c>
      <c r="D11" s="277">
        <v>118922.3</v>
      </c>
      <c r="E11" s="299">
        <f t="shared" si="12"/>
        <v>44.30000000000291</v>
      </c>
      <c r="F11" s="299">
        <f t="shared" si="0"/>
        <v>0</v>
      </c>
      <c r="G11" s="200"/>
      <c r="H11" s="300">
        <f t="shared" si="13"/>
        <v>8497</v>
      </c>
      <c r="I11" s="299" t="str">
        <f t="shared" si="1"/>
        <v>ok</v>
      </c>
      <c r="J11" s="277">
        <v>10649</v>
      </c>
      <c r="K11" s="299">
        <f t="shared" si="2"/>
        <v>7</v>
      </c>
      <c r="L11" s="277">
        <v>229412.3</v>
      </c>
      <c r="M11" s="299">
        <f t="shared" si="3"/>
        <v>1497.3999999999942</v>
      </c>
      <c r="N11" s="299">
        <f t="shared" si="14"/>
        <v>213.91428571428489</v>
      </c>
      <c r="O11" s="200"/>
      <c r="P11" s="300">
        <f t="shared" si="15"/>
        <v>10873</v>
      </c>
      <c r="Q11" s="299" t="str">
        <f t="shared" si="4"/>
        <v>ok</v>
      </c>
      <c r="R11" s="277">
        <v>10889</v>
      </c>
      <c r="S11" s="299">
        <f t="shared" si="5"/>
        <v>0</v>
      </c>
      <c r="T11" s="277">
        <v>176646</v>
      </c>
      <c r="U11" s="299">
        <f t="shared" si="6"/>
        <v>163.79999999998836</v>
      </c>
      <c r="V11" s="299">
        <f t="shared" si="16"/>
        <v>0</v>
      </c>
      <c r="W11" s="200"/>
      <c r="X11" s="300">
        <f t="shared" si="17"/>
        <v>10989</v>
      </c>
      <c r="Y11" s="299" t="str">
        <f t="shared" si="7"/>
        <v>ok</v>
      </c>
      <c r="Z11" s="299">
        <f t="shared" si="8"/>
        <v>7</v>
      </c>
      <c r="AA11" s="299">
        <f t="shared" si="18"/>
        <v>1705.4999999999854</v>
      </c>
      <c r="AB11" s="299">
        <f t="shared" si="19"/>
        <v>213.91428571428489</v>
      </c>
      <c r="AC11" s="299">
        <f t="shared" si="20"/>
        <v>243.64285714285506</v>
      </c>
      <c r="AD11" s="74">
        <f>ELEC!Q11</f>
        <v>4885.999999998603</v>
      </c>
      <c r="AE11" s="74">
        <f t="shared" si="22"/>
        <v>697.99999999980048</v>
      </c>
      <c r="AF11" s="426">
        <f t="shared" si="23"/>
        <v>0.43624999999987529</v>
      </c>
      <c r="AG11" s="427">
        <f t="shared" si="24"/>
        <v>139.59999999996009</v>
      </c>
      <c r="AH11" s="427">
        <f t="shared" si="21"/>
        <v>104.04285714289497</v>
      </c>
      <c r="AI11" s="74">
        <f t="shared" si="25"/>
        <v>1257.5780590713705</v>
      </c>
      <c r="AJ11" s="301">
        <f t="shared" si="9"/>
        <v>0.25738396624472576</v>
      </c>
      <c r="AK11" s="301">
        <f t="shared" si="26"/>
        <v>179.65400843876722</v>
      </c>
    </row>
    <row r="12" spans="1:37">
      <c r="A12" s="4">
        <f>ELEC!C12</f>
        <v>43840</v>
      </c>
      <c r="B12" s="277">
        <v>8487</v>
      </c>
      <c r="C12" s="299">
        <f t="shared" si="11"/>
        <v>0</v>
      </c>
      <c r="D12" s="277">
        <v>118922.4</v>
      </c>
      <c r="E12" s="299">
        <f t="shared" si="12"/>
        <v>9.9999999991268851E-2</v>
      </c>
      <c r="F12" s="299">
        <f t="shared" si="0"/>
        <v>0</v>
      </c>
      <c r="G12" s="200"/>
      <c r="H12" s="300">
        <f t="shared" si="13"/>
        <v>8497</v>
      </c>
      <c r="I12" s="299" t="str">
        <f t="shared" si="1"/>
        <v>ok</v>
      </c>
      <c r="J12" s="277">
        <v>10652</v>
      </c>
      <c r="K12" s="299">
        <f t="shared" si="2"/>
        <v>3</v>
      </c>
      <c r="L12" s="277">
        <v>229782</v>
      </c>
      <c r="M12" s="299">
        <f t="shared" si="3"/>
        <v>369.70000000001164</v>
      </c>
      <c r="N12" s="299">
        <f t="shared" si="14"/>
        <v>123.23333333333721</v>
      </c>
      <c r="O12" s="200"/>
      <c r="P12" s="300">
        <f t="shared" si="15"/>
        <v>10873</v>
      </c>
      <c r="Q12" s="299" t="str">
        <f t="shared" si="4"/>
        <v>ok</v>
      </c>
      <c r="R12" s="277">
        <v>10890</v>
      </c>
      <c r="S12" s="299">
        <f t="shared" si="5"/>
        <v>1</v>
      </c>
      <c r="T12" s="277">
        <v>176663</v>
      </c>
      <c r="U12" s="299">
        <f t="shared" si="6"/>
        <v>17</v>
      </c>
      <c r="V12" s="299">
        <f t="shared" si="16"/>
        <v>17</v>
      </c>
      <c r="W12" s="200"/>
      <c r="X12" s="300">
        <f t="shared" si="17"/>
        <v>10989</v>
      </c>
      <c r="Y12" s="299" t="str">
        <f t="shared" si="7"/>
        <v>ok</v>
      </c>
      <c r="Z12" s="299">
        <f t="shared" si="8"/>
        <v>4</v>
      </c>
      <c r="AA12" s="299">
        <f t="shared" si="18"/>
        <v>386.80000000000291</v>
      </c>
      <c r="AB12" s="299">
        <f t="shared" si="19"/>
        <v>140.23333333333721</v>
      </c>
      <c r="AC12" s="299">
        <f t="shared" si="20"/>
        <v>96.700000000000728</v>
      </c>
      <c r="AD12" s="74">
        <f>ELEC!Q12</f>
        <v>2414.0000000006694</v>
      </c>
      <c r="AE12" s="74">
        <f t="shared" si="22"/>
        <v>603.50000000016735</v>
      </c>
      <c r="AF12" s="426">
        <f t="shared" si="23"/>
        <v>0.37718750000010459</v>
      </c>
      <c r="AG12" s="427">
        <f t="shared" si="24"/>
        <v>120.70000000003347</v>
      </c>
      <c r="AH12" s="427">
        <f t="shared" si="21"/>
        <v>-24.000000000032742</v>
      </c>
      <c r="AI12" s="74">
        <f t="shared" si="25"/>
        <v>621.3248945149403</v>
      </c>
      <c r="AJ12" s="301">
        <f t="shared" si="9"/>
        <v>0.25738396624472576</v>
      </c>
      <c r="AK12" s="301">
        <f t="shared" si="26"/>
        <v>155.33122362873507</v>
      </c>
    </row>
    <row r="13" spans="1:37">
      <c r="A13" s="4">
        <f>ELEC!C13</f>
        <v>43841</v>
      </c>
      <c r="B13" s="277">
        <f>B12</f>
        <v>8487</v>
      </c>
      <c r="C13" s="299">
        <f t="shared" si="11"/>
        <v>0</v>
      </c>
      <c r="D13" s="277">
        <v>118922.4</v>
      </c>
      <c r="E13" s="299">
        <f t="shared" si="12"/>
        <v>0</v>
      </c>
      <c r="F13" s="299">
        <f t="shared" si="0"/>
        <v>0</v>
      </c>
      <c r="G13" s="200"/>
      <c r="H13" s="300">
        <f t="shared" si="13"/>
        <v>8497</v>
      </c>
      <c r="I13" s="299" t="str">
        <f t="shared" si="1"/>
        <v>ok</v>
      </c>
      <c r="J13" s="277">
        <v>10656</v>
      </c>
      <c r="K13" s="299">
        <f t="shared" si="2"/>
        <v>4</v>
      </c>
      <c r="L13" s="277">
        <v>230579.6</v>
      </c>
      <c r="M13" s="299">
        <f t="shared" si="3"/>
        <v>797.60000000000582</v>
      </c>
      <c r="N13" s="299">
        <f t="shared" si="14"/>
        <v>199.40000000000146</v>
      </c>
      <c r="O13" s="200"/>
      <c r="P13" s="300">
        <f t="shared" si="15"/>
        <v>10873</v>
      </c>
      <c r="Q13" s="299" t="str">
        <f t="shared" si="4"/>
        <v>ok</v>
      </c>
      <c r="R13" s="277">
        <f t="shared" ref="R13:T33" si="27">R12</f>
        <v>10890</v>
      </c>
      <c r="S13" s="299">
        <f t="shared" si="5"/>
        <v>0</v>
      </c>
      <c r="T13" s="277">
        <v>176718.7</v>
      </c>
      <c r="U13" s="299">
        <f t="shared" si="6"/>
        <v>55.700000000011642</v>
      </c>
      <c r="V13" s="299">
        <f t="shared" si="16"/>
        <v>0</v>
      </c>
      <c r="W13" s="200"/>
      <c r="X13" s="300">
        <f>X12+180</f>
        <v>11169</v>
      </c>
      <c r="Y13" s="299" t="str">
        <f t="shared" si="7"/>
        <v>ok</v>
      </c>
      <c r="Z13" s="299">
        <f t="shared" si="8"/>
        <v>4</v>
      </c>
      <c r="AA13" s="299">
        <f t="shared" si="18"/>
        <v>853.30000000001746</v>
      </c>
      <c r="AB13" s="299">
        <f t="shared" si="19"/>
        <v>199.40000000000146</v>
      </c>
      <c r="AC13" s="299">
        <f t="shared" si="20"/>
        <v>213.32500000000437</v>
      </c>
      <c r="AD13" s="74">
        <f>ELEC!Q13</f>
        <v>1643.0000000000291</v>
      </c>
      <c r="AE13" s="74">
        <f t="shared" si="22"/>
        <v>410.75000000000728</v>
      </c>
      <c r="AF13" s="426">
        <f t="shared" si="23"/>
        <v>0.25671875000000455</v>
      </c>
      <c r="AG13" s="427">
        <f t="shared" si="24"/>
        <v>82.150000000001455</v>
      </c>
      <c r="AH13" s="427">
        <f t="shared" si="21"/>
        <v>131.17500000000291</v>
      </c>
      <c r="AI13" s="74">
        <f t="shared" si="25"/>
        <v>422.88185654009192</v>
      </c>
      <c r="AJ13" s="301">
        <f t="shared" si="9"/>
        <v>0.25738396624472576</v>
      </c>
      <c r="AK13" s="301">
        <f t="shared" si="26"/>
        <v>105.72046413502298</v>
      </c>
    </row>
    <row r="14" spans="1:37">
      <c r="A14" s="4">
        <f>ELEC!C14</f>
        <v>43842</v>
      </c>
      <c r="B14" s="277">
        <v>8487</v>
      </c>
      <c r="C14" s="299">
        <f t="shared" si="11"/>
        <v>0</v>
      </c>
      <c r="D14" s="277">
        <v>118922</v>
      </c>
      <c r="E14" s="299">
        <f t="shared" si="12"/>
        <v>-0.39999999999417923</v>
      </c>
      <c r="F14" s="299">
        <f t="shared" si="0"/>
        <v>0</v>
      </c>
      <c r="G14" s="200"/>
      <c r="H14" s="300">
        <f t="shared" si="13"/>
        <v>8497</v>
      </c>
      <c r="I14" s="299" t="str">
        <f t="shared" si="1"/>
        <v>ok</v>
      </c>
      <c r="J14" s="277">
        <v>10659</v>
      </c>
      <c r="K14" s="299">
        <f t="shared" si="2"/>
        <v>3</v>
      </c>
      <c r="L14" s="277">
        <v>231104</v>
      </c>
      <c r="M14" s="299">
        <f t="shared" si="3"/>
        <v>524.39999999999418</v>
      </c>
      <c r="N14" s="299">
        <f t="shared" si="14"/>
        <v>174.79999999999805</v>
      </c>
      <c r="O14" s="200"/>
      <c r="P14" s="300">
        <f t="shared" si="15"/>
        <v>10873</v>
      </c>
      <c r="Q14" s="299" t="str">
        <f t="shared" si="4"/>
        <v>ok</v>
      </c>
      <c r="R14" s="277">
        <v>10890</v>
      </c>
      <c r="S14" s="299">
        <f t="shared" si="5"/>
        <v>0</v>
      </c>
      <c r="T14" s="277">
        <f>T13</f>
        <v>176718.7</v>
      </c>
      <c r="U14" s="299">
        <f t="shared" si="6"/>
        <v>0</v>
      </c>
      <c r="V14" s="299">
        <f t="shared" si="16"/>
        <v>0</v>
      </c>
      <c r="W14" s="200"/>
      <c r="X14" s="300">
        <f t="shared" si="17"/>
        <v>11169</v>
      </c>
      <c r="Y14" s="299" t="str">
        <f t="shared" si="7"/>
        <v>ok</v>
      </c>
      <c r="Z14" s="299">
        <f t="shared" si="8"/>
        <v>3</v>
      </c>
      <c r="AA14" s="299">
        <f t="shared" si="18"/>
        <v>524</v>
      </c>
      <c r="AB14" s="299">
        <f t="shared" si="19"/>
        <v>174.79999999999805</v>
      </c>
      <c r="AC14" s="299">
        <f t="shared" si="20"/>
        <v>174.66666666666666</v>
      </c>
      <c r="AD14" s="74">
        <f>ELEC!Q14</f>
        <v>2117.0000000001892</v>
      </c>
      <c r="AE14" s="74">
        <f t="shared" si="22"/>
        <v>705.66666666672972</v>
      </c>
      <c r="AF14" s="426">
        <f t="shared" si="23"/>
        <v>0.44104166666670608</v>
      </c>
      <c r="AG14" s="427">
        <f t="shared" si="24"/>
        <v>141.13333333334594</v>
      </c>
      <c r="AH14" s="427">
        <f t="shared" si="21"/>
        <v>33.533333333320712</v>
      </c>
      <c r="AI14" s="74">
        <f t="shared" si="25"/>
        <v>544.88185654013307</v>
      </c>
      <c r="AJ14" s="301">
        <f t="shared" si="9"/>
        <v>0.25738396624472576</v>
      </c>
      <c r="AK14" s="301">
        <f t="shared" si="26"/>
        <v>181.6272855133777</v>
      </c>
    </row>
    <row r="15" spans="1:37">
      <c r="A15" s="4">
        <f>ELEC!C15</f>
        <v>43843</v>
      </c>
      <c r="B15" s="277">
        <v>8487</v>
      </c>
      <c r="C15" s="299">
        <f t="shared" si="11"/>
        <v>0</v>
      </c>
      <c r="D15" s="277">
        <v>118922.5</v>
      </c>
      <c r="E15" s="299">
        <f t="shared" si="12"/>
        <v>0.5</v>
      </c>
      <c r="F15" s="299">
        <f t="shared" si="0"/>
        <v>0</v>
      </c>
      <c r="G15" s="200"/>
      <c r="H15" s="300">
        <f t="shared" si="13"/>
        <v>8497</v>
      </c>
      <c r="I15" s="299" t="str">
        <f t="shared" si="1"/>
        <v>ok</v>
      </c>
      <c r="J15" s="277">
        <v>10662</v>
      </c>
      <c r="K15" s="299">
        <f t="shared" si="2"/>
        <v>3</v>
      </c>
      <c r="L15" s="277">
        <v>231479</v>
      </c>
      <c r="M15" s="299">
        <f t="shared" si="3"/>
        <v>375</v>
      </c>
      <c r="N15" s="299">
        <f t="shared" si="14"/>
        <v>125</v>
      </c>
      <c r="O15" s="200"/>
      <c r="P15" s="300">
        <f t="shared" si="15"/>
        <v>10873</v>
      </c>
      <c r="Q15" s="299" t="str">
        <f t="shared" si="4"/>
        <v>ok</v>
      </c>
      <c r="R15" s="277">
        <v>10890</v>
      </c>
      <c r="S15" s="299">
        <f t="shared" si="5"/>
        <v>0</v>
      </c>
      <c r="T15" s="277">
        <f>T14</f>
        <v>176718.7</v>
      </c>
      <c r="U15" s="299">
        <f t="shared" si="6"/>
        <v>0</v>
      </c>
      <c r="V15" s="299">
        <f t="shared" si="16"/>
        <v>0</v>
      </c>
      <c r="W15" s="200"/>
      <c r="X15" s="300">
        <f t="shared" si="17"/>
        <v>11169</v>
      </c>
      <c r="Y15" s="299" t="str">
        <f t="shared" si="7"/>
        <v>ok</v>
      </c>
      <c r="Z15" s="299">
        <f t="shared" si="8"/>
        <v>3</v>
      </c>
      <c r="AA15" s="299">
        <f t="shared" si="18"/>
        <v>375.5</v>
      </c>
      <c r="AB15" s="299">
        <f t="shared" si="19"/>
        <v>125</v>
      </c>
      <c r="AC15" s="299">
        <f t="shared" si="20"/>
        <v>125.16666666666667</v>
      </c>
      <c r="AD15" s="74">
        <f>ELEC!Q15</f>
        <v>2310.9999999996944</v>
      </c>
      <c r="AE15" s="74">
        <f t="shared" si="22"/>
        <v>770.33333333323151</v>
      </c>
      <c r="AF15" s="426">
        <f t="shared" si="23"/>
        <v>0.48145833333326971</v>
      </c>
      <c r="AG15" s="427">
        <f t="shared" si="24"/>
        <v>154.06666666664631</v>
      </c>
      <c r="AH15" s="427">
        <f t="shared" si="21"/>
        <v>-28.899999999979642</v>
      </c>
      <c r="AI15" s="74">
        <f t="shared" si="25"/>
        <v>594.81434599148258</v>
      </c>
      <c r="AJ15" s="301">
        <f t="shared" si="9"/>
        <v>0.25738396624472576</v>
      </c>
      <c r="AK15" s="301">
        <f t="shared" si="26"/>
        <v>198.27144866382753</v>
      </c>
    </row>
    <row r="16" spans="1:37">
      <c r="A16" s="4">
        <f>ELEC!C16</f>
        <v>43844</v>
      </c>
      <c r="B16" s="277">
        <v>8487</v>
      </c>
      <c r="C16" s="299">
        <f t="shared" si="11"/>
        <v>0</v>
      </c>
      <c r="D16" s="277">
        <f>D15</f>
        <v>118922.5</v>
      </c>
      <c r="E16" s="299">
        <f t="shared" si="12"/>
        <v>0</v>
      </c>
      <c r="F16" s="299">
        <f t="shared" si="0"/>
        <v>0</v>
      </c>
      <c r="G16" s="200"/>
      <c r="H16" s="300">
        <f t="shared" si="13"/>
        <v>8497</v>
      </c>
      <c r="I16" s="299" t="str">
        <f t="shared" si="1"/>
        <v>ok</v>
      </c>
      <c r="J16" s="277">
        <v>10666</v>
      </c>
      <c r="K16" s="299">
        <f t="shared" si="2"/>
        <v>4</v>
      </c>
      <c r="L16" s="277">
        <v>232349</v>
      </c>
      <c r="M16" s="299">
        <f t="shared" si="3"/>
        <v>870</v>
      </c>
      <c r="N16" s="299">
        <f t="shared" si="14"/>
        <v>217.5</v>
      </c>
      <c r="O16" s="200"/>
      <c r="P16" s="300">
        <f t="shared" si="15"/>
        <v>10873</v>
      </c>
      <c r="Q16" s="299" t="str">
        <f t="shared" si="4"/>
        <v>ok</v>
      </c>
      <c r="R16" s="277">
        <v>10890</v>
      </c>
      <c r="S16" s="560">
        <f t="shared" si="5"/>
        <v>0</v>
      </c>
      <c r="T16" s="277">
        <v>176718.7</v>
      </c>
      <c r="U16" s="560">
        <f t="shared" si="6"/>
        <v>0</v>
      </c>
      <c r="V16" s="299">
        <f t="shared" si="16"/>
        <v>0</v>
      </c>
      <c r="W16" s="200"/>
      <c r="X16" s="300">
        <f t="shared" si="17"/>
        <v>11169</v>
      </c>
      <c r="Y16" s="299" t="str">
        <f t="shared" si="7"/>
        <v>ok</v>
      </c>
      <c r="Z16" s="299">
        <f t="shared" si="8"/>
        <v>4</v>
      </c>
      <c r="AA16" s="299">
        <f t="shared" si="18"/>
        <v>870</v>
      </c>
      <c r="AB16" s="299">
        <f t="shared" si="19"/>
        <v>217.5</v>
      </c>
      <c r="AC16" s="299">
        <f t="shared" si="20"/>
        <v>217.5</v>
      </c>
      <c r="AD16" s="74">
        <f>ELEC!Q16</f>
        <v>2804.0000000000873</v>
      </c>
      <c r="AE16" s="74">
        <f t="shared" si="22"/>
        <v>701.00000000002183</v>
      </c>
      <c r="AF16" s="426">
        <f t="shared" si="23"/>
        <v>0.43812500000001364</v>
      </c>
      <c r="AG16" s="427">
        <f t="shared" si="24"/>
        <v>140.20000000000437</v>
      </c>
      <c r="AH16" s="427">
        <f t="shared" si="21"/>
        <v>77.299999999995634</v>
      </c>
      <c r="AI16" s="74">
        <f t="shared" si="25"/>
        <v>721.70464135023349</v>
      </c>
      <c r="AJ16" s="301">
        <f t="shared" si="9"/>
        <v>0.25738396624472576</v>
      </c>
      <c r="AK16" s="301">
        <f t="shared" si="26"/>
        <v>180.42616033755837</v>
      </c>
    </row>
    <row r="17" spans="1:37">
      <c r="A17" s="4">
        <f>ELEC!C17</f>
        <v>43845</v>
      </c>
      <c r="B17" s="277">
        <v>8487</v>
      </c>
      <c r="C17" s="299">
        <f t="shared" si="11"/>
        <v>0</v>
      </c>
      <c r="D17" s="277">
        <v>118922.6</v>
      </c>
      <c r="E17" s="299">
        <f t="shared" si="12"/>
        <v>0.10000000000582077</v>
      </c>
      <c r="F17" s="299">
        <f t="shared" si="0"/>
        <v>0</v>
      </c>
      <c r="G17" s="200"/>
      <c r="H17" s="300">
        <f t="shared" si="13"/>
        <v>8497</v>
      </c>
      <c r="I17" s="299" t="str">
        <f t="shared" si="1"/>
        <v>ok</v>
      </c>
      <c r="J17" s="277">
        <v>10671</v>
      </c>
      <c r="K17" s="299">
        <f t="shared" si="2"/>
        <v>5</v>
      </c>
      <c r="L17" s="277">
        <v>233233.3</v>
      </c>
      <c r="M17" s="299">
        <f t="shared" si="3"/>
        <v>884.29999999998836</v>
      </c>
      <c r="N17" s="299">
        <f t="shared" si="14"/>
        <v>176.85999999999768</v>
      </c>
      <c r="O17" s="200"/>
      <c r="P17" s="300">
        <f t="shared" si="15"/>
        <v>10873</v>
      </c>
      <c r="Q17" s="299" t="str">
        <f t="shared" si="4"/>
        <v>ok</v>
      </c>
      <c r="R17" s="277">
        <v>10890</v>
      </c>
      <c r="S17" s="561">
        <f t="shared" si="5"/>
        <v>0</v>
      </c>
      <c r="T17" s="277">
        <v>176718.7</v>
      </c>
      <c r="U17" s="561">
        <f t="shared" si="6"/>
        <v>0</v>
      </c>
      <c r="V17" s="299">
        <f t="shared" si="16"/>
        <v>0</v>
      </c>
      <c r="W17" s="200"/>
      <c r="X17" s="300">
        <f t="shared" si="17"/>
        <v>11169</v>
      </c>
      <c r="Y17" s="299" t="str">
        <f t="shared" si="7"/>
        <v>ok</v>
      </c>
      <c r="Z17" s="299">
        <f t="shared" si="8"/>
        <v>5</v>
      </c>
      <c r="AA17" s="299">
        <f t="shared" si="18"/>
        <v>884.39999999999418</v>
      </c>
      <c r="AB17" s="299">
        <f t="shared" si="19"/>
        <v>176.85999999999768</v>
      </c>
      <c r="AC17" s="299">
        <f t="shared" si="20"/>
        <v>176.87999999999883</v>
      </c>
      <c r="AD17" s="74">
        <f>ELEC!Q17</f>
        <v>2646.0000000006403</v>
      </c>
      <c r="AE17" s="74">
        <f t="shared" si="22"/>
        <v>529.20000000012806</v>
      </c>
      <c r="AF17" s="426">
        <f t="shared" si="23"/>
        <v>0.33075000000008004</v>
      </c>
      <c r="AG17" s="427">
        <f t="shared" si="24"/>
        <v>105.84000000002561</v>
      </c>
      <c r="AH17" s="427">
        <f t="shared" si="21"/>
        <v>71.039999999973219</v>
      </c>
      <c r="AI17" s="74">
        <f t="shared" si="25"/>
        <v>681.03797468370919</v>
      </c>
      <c r="AJ17" s="301">
        <f t="shared" si="9"/>
        <v>0.25738396624472576</v>
      </c>
      <c r="AK17" s="301">
        <f t="shared" ref="AK17:AK32" si="28">IF(Z17&gt;0,AI17/Z17,0)</f>
        <v>136.20759493674183</v>
      </c>
    </row>
    <row r="18" spans="1:37">
      <c r="A18" s="4">
        <f>ELEC!C18</f>
        <v>43846</v>
      </c>
      <c r="B18" s="277">
        <f t="shared" ref="B18:B33" si="29">B17</f>
        <v>8487</v>
      </c>
      <c r="C18" s="299">
        <f t="shared" si="11"/>
        <v>0</v>
      </c>
      <c r="D18" s="277">
        <f t="shared" ref="D18:D33" si="30">D17</f>
        <v>118922.6</v>
      </c>
      <c r="E18" s="299">
        <f t="shared" si="12"/>
        <v>0</v>
      </c>
      <c r="F18" s="299">
        <f t="shared" si="0"/>
        <v>0</v>
      </c>
      <c r="G18" s="200"/>
      <c r="H18" s="300">
        <f t="shared" si="13"/>
        <v>8497</v>
      </c>
      <c r="I18" s="299" t="str">
        <f t="shared" si="1"/>
        <v>ok</v>
      </c>
      <c r="J18" s="277">
        <v>10677</v>
      </c>
      <c r="K18" s="299">
        <f t="shared" si="2"/>
        <v>6</v>
      </c>
      <c r="L18" s="277">
        <v>234033.6</v>
      </c>
      <c r="M18" s="299">
        <f t="shared" si="3"/>
        <v>800.30000000001746</v>
      </c>
      <c r="N18" s="299">
        <f t="shared" si="14"/>
        <v>133.38333333333625</v>
      </c>
      <c r="O18" s="200"/>
      <c r="P18" s="300">
        <f t="shared" si="15"/>
        <v>10873</v>
      </c>
      <c r="Q18" s="299" t="str">
        <f>IF(J18-P14&lt;=0,"ok","oil change")</f>
        <v>ok</v>
      </c>
      <c r="R18" s="277">
        <f t="shared" si="27"/>
        <v>10890</v>
      </c>
      <c r="S18" s="299">
        <f t="shared" si="5"/>
        <v>0</v>
      </c>
      <c r="T18" s="277">
        <f t="shared" si="27"/>
        <v>176718.7</v>
      </c>
      <c r="U18" s="299">
        <f t="shared" si="6"/>
        <v>0</v>
      </c>
      <c r="V18" s="299">
        <f t="shared" si="16"/>
        <v>0</v>
      </c>
      <c r="W18" s="356"/>
      <c r="X18" s="300">
        <f t="shared" si="17"/>
        <v>11169</v>
      </c>
      <c r="Y18" s="299" t="str">
        <f t="shared" si="7"/>
        <v>ok</v>
      </c>
      <c r="Z18" s="299">
        <f t="shared" si="8"/>
        <v>6</v>
      </c>
      <c r="AA18" s="299">
        <f t="shared" si="18"/>
        <v>800.30000000001746</v>
      </c>
      <c r="AB18" s="299">
        <f t="shared" si="19"/>
        <v>133.38333333333625</v>
      </c>
      <c r="AC18" s="299">
        <f t="shared" si="20"/>
        <v>133.38333333333625</v>
      </c>
      <c r="AD18" s="74">
        <f>ELEC!Q18</f>
        <v>4479.9999999995634</v>
      </c>
      <c r="AE18" s="74">
        <f t="shared" si="22"/>
        <v>746.66666666659387</v>
      </c>
      <c r="AF18" s="426">
        <f t="shared" si="23"/>
        <v>0.46666666666662115</v>
      </c>
      <c r="AG18" s="427">
        <f t="shared" si="24"/>
        <v>149.33333333331876</v>
      </c>
      <c r="AH18" s="427">
        <f t="shared" si="21"/>
        <v>-15.949999999982509</v>
      </c>
      <c r="AI18" s="74">
        <f t="shared" si="25"/>
        <v>1153.0801687762591</v>
      </c>
      <c r="AJ18" s="301">
        <f t="shared" si="9"/>
        <v>0.25738396624472576</v>
      </c>
      <c r="AK18" s="301">
        <f t="shared" si="28"/>
        <v>192.18002812937652</v>
      </c>
    </row>
    <row r="19" spans="1:37">
      <c r="A19" s="4">
        <f>ELEC!C19</f>
        <v>43847</v>
      </c>
      <c r="B19" s="277">
        <f t="shared" si="29"/>
        <v>8487</v>
      </c>
      <c r="C19" s="299">
        <f t="shared" si="11"/>
        <v>0</v>
      </c>
      <c r="D19" s="277">
        <f t="shared" si="30"/>
        <v>118922.6</v>
      </c>
      <c r="E19" s="299">
        <f t="shared" si="12"/>
        <v>0</v>
      </c>
      <c r="F19" s="299">
        <f t="shared" si="0"/>
        <v>0</v>
      </c>
      <c r="G19" s="200"/>
      <c r="H19" s="300">
        <f t="shared" si="13"/>
        <v>8497</v>
      </c>
      <c r="I19" s="299" t="str">
        <f t="shared" si="1"/>
        <v>ok</v>
      </c>
      <c r="J19" s="277">
        <v>10680</v>
      </c>
      <c r="K19" s="299">
        <f t="shared" si="2"/>
        <v>3</v>
      </c>
      <c r="L19" s="277">
        <v>234681.60000000001</v>
      </c>
      <c r="M19" s="299">
        <f t="shared" si="3"/>
        <v>648</v>
      </c>
      <c r="N19" s="299">
        <f t="shared" si="14"/>
        <v>216</v>
      </c>
      <c r="O19" s="200"/>
      <c r="P19" s="300">
        <f t="shared" si="15"/>
        <v>10873</v>
      </c>
      <c r="Q19" s="299" t="str">
        <f t="shared" ref="Q19:Q32" si="31">IF(J19-P19&lt;=0,"ok","oil change")</f>
        <v>ok</v>
      </c>
      <c r="R19" s="277">
        <f t="shared" si="27"/>
        <v>10890</v>
      </c>
      <c r="S19" s="299">
        <f t="shared" si="5"/>
        <v>0</v>
      </c>
      <c r="T19" s="277">
        <f t="shared" si="27"/>
        <v>176718.7</v>
      </c>
      <c r="U19" s="299">
        <f t="shared" ref="U19:U32" si="32">SUM(T19-T18)</f>
        <v>0</v>
      </c>
      <c r="V19" s="299">
        <f t="shared" si="16"/>
        <v>0</v>
      </c>
      <c r="W19" s="200"/>
      <c r="X19" s="300">
        <f t="shared" si="17"/>
        <v>11169</v>
      </c>
      <c r="Y19" s="299" t="str">
        <f t="shared" si="7"/>
        <v>ok</v>
      </c>
      <c r="Z19" s="299">
        <f t="shared" si="8"/>
        <v>3</v>
      </c>
      <c r="AA19" s="299">
        <f t="shared" si="18"/>
        <v>648</v>
      </c>
      <c r="AB19" s="299">
        <f t="shared" si="19"/>
        <v>216</v>
      </c>
      <c r="AC19" s="299">
        <f t="shared" si="20"/>
        <v>216</v>
      </c>
      <c r="AD19" s="74">
        <f>ELEC!Q19</f>
        <v>2013.9999999992142</v>
      </c>
      <c r="AE19" s="74">
        <f t="shared" si="22"/>
        <v>671.33333333307144</v>
      </c>
      <c r="AF19" s="426">
        <f t="shared" si="23"/>
        <v>0.41958333333316966</v>
      </c>
      <c r="AG19" s="427">
        <f t="shared" si="24"/>
        <v>134.2666666666143</v>
      </c>
      <c r="AH19" s="427">
        <f t="shared" si="21"/>
        <v>81.733333333385701</v>
      </c>
      <c r="AI19" s="74">
        <f t="shared" si="25"/>
        <v>518.37130801667547</v>
      </c>
      <c r="AJ19" s="301">
        <f t="shared" si="9"/>
        <v>0.25738396624472576</v>
      </c>
      <c r="AK19" s="301">
        <f t="shared" si="28"/>
        <v>172.79043600555849</v>
      </c>
    </row>
    <row r="20" spans="1:37">
      <c r="A20" s="4">
        <f>ELEC!C20</f>
        <v>43848</v>
      </c>
      <c r="B20" s="277">
        <f t="shared" si="29"/>
        <v>8487</v>
      </c>
      <c r="C20" s="299">
        <f>B20-B19</f>
        <v>0</v>
      </c>
      <c r="D20" s="277">
        <f t="shared" si="30"/>
        <v>118922.6</v>
      </c>
      <c r="E20" s="299">
        <f t="shared" si="12"/>
        <v>0</v>
      </c>
      <c r="F20" s="299">
        <f t="shared" si="0"/>
        <v>0</v>
      </c>
      <c r="G20" s="200"/>
      <c r="H20" s="300">
        <f t="shared" si="13"/>
        <v>8497</v>
      </c>
      <c r="I20" s="299" t="str">
        <f t="shared" si="1"/>
        <v>ok</v>
      </c>
      <c r="J20" s="277">
        <f t="shared" ref="J20:L33" si="33">J19</f>
        <v>10680</v>
      </c>
      <c r="K20" s="299">
        <f t="shared" si="2"/>
        <v>0</v>
      </c>
      <c r="L20" s="277">
        <f t="shared" si="33"/>
        <v>234681.60000000001</v>
      </c>
      <c r="M20" s="299">
        <f t="shared" si="3"/>
        <v>0</v>
      </c>
      <c r="N20" s="299">
        <f t="shared" si="14"/>
        <v>0</v>
      </c>
      <c r="O20" s="200"/>
      <c r="P20" s="300">
        <f t="shared" si="15"/>
        <v>10873</v>
      </c>
      <c r="Q20" s="299" t="str">
        <f t="shared" si="31"/>
        <v>ok</v>
      </c>
      <c r="R20" s="277">
        <f t="shared" si="27"/>
        <v>10890</v>
      </c>
      <c r="S20" s="299">
        <f t="shared" si="5"/>
        <v>0</v>
      </c>
      <c r="T20" s="277">
        <f t="shared" si="27"/>
        <v>176718.7</v>
      </c>
      <c r="U20" s="299">
        <f t="shared" si="32"/>
        <v>0</v>
      </c>
      <c r="V20" s="299">
        <f t="shared" si="16"/>
        <v>0</v>
      </c>
      <c r="W20" s="200"/>
      <c r="X20" s="300">
        <f t="shared" si="17"/>
        <v>11169</v>
      </c>
      <c r="Y20" s="299" t="str">
        <f t="shared" si="7"/>
        <v>ok</v>
      </c>
      <c r="Z20" s="299">
        <f t="shared" si="8"/>
        <v>0</v>
      </c>
      <c r="AA20" s="299">
        <f t="shared" si="18"/>
        <v>0</v>
      </c>
      <c r="AB20" s="299">
        <f t="shared" si="19"/>
        <v>0</v>
      </c>
      <c r="AC20" s="299">
        <f t="shared" si="20"/>
        <v>0</v>
      </c>
      <c r="AD20" s="74">
        <f>ELEC!Q20</f>
        <v>0</v>
      </c>
      <c r="AE20" s="74" t="e">
        <f t="shared" si="22"/>
        <v>#DIV/0!</v>
      </c>
      <c r="AF20" s="426" t="e">
        <f t="shared" si="23"/>
        <v>#DIV/0!</v>
      </c>
      <c r="AG20" s="427" t="e">
        <f t="shared" si="24"/>
        <v>#DIV/0!</v>
      </c>
      <c r="AH20" s="427" t="e">
        <f t="shared" si="21"/>
        <v>#DIV/0!</v>
      </c>
      <c r="AI20" s="74">
        <f>AD20*AJ20</f>
        <v>0</v>
      </c>
      <c r="AJ20" s="301">
        <f t="shared" si="9"/>
        <v>0.25738396624472576</v>
      </c>
      <c r="AK20" s="301">
        <f t="shared" si="28"/>
        <v>0</v>
      </c>
    </row>
    <row r="21" spans="1:37">
      <c r="A21" s="4">
        <f>ELEC!C21</f>
        <v>43849</v>
      </c>
      <c r="B21" s="277">
        <f t="shared" si="29"/>
        <v>8487</v>
      </c>
      <c r="C21" s="299">
        <f t="shared" si="11"/>
        <v>0</v>
      </c>
      <c r="D21" s="277">
        <f t="shared" si="30"/>
        <v>118922.6</v>
      </c>
      <c r="E21" s="299">
        <f t="shared" si="12"/>
        <v>0</v>
      </c>
      <c r="F21" s="299">
        <f t="shared" si="0"/>
        <v>0</v>
      </c>
      <c r="G21" s="200"/>
      <c r="H21" s="300">
        <f t="shared" si="13"/>
        <v>8497</v>
      </c>
      <c r="I21" s="299" t="str">
        <f t="shared" si="1"/>
        <v>ok</v>
      </c>
      <c r="J21" s="277">
        <f t="shared" si="33"/>
        <v>10680</v>
      </c>
      <c r="K21" s="299">
        <f t="shared" si="2"/>
        <v>0</v>
      </c>
      <c r="L21" s="277">
        <f t="shared" si="33"/>
        <v>234681.60000000001</v>
      </c>
      <c r="M21" s="299">
        <f t="shared" si="3"/>
        <v>0</v>
      </c>
      <c r="N21" s="299">
        <f t="shared" si="14"/>
        <v>0</v>
      </c>
      <c r="O21" s="200"/>
      <c r="P21" s="300">
        <f t="shared" si="15"/>
        <v>10873</v>
      </c>
      <c r="Q21" s="299" t="str">
        <f t="shared" si="31"/>
        <v>ok</v>
      </c>
      <c r="R21" s="277">
        <f t="shared" si="27"/>
        <v>10890</v>
      </c>
      <c r="S21" s="299">
        <f t="shared" si="5"/>
        <v>0</v>
      </c>
      <c r="T21" s="277">
        <f t="shared" si="27"/>
        <v>176718.7</v>
      </c>
      <c r="U21" s="299">
        <f t="shared" si="32"/>
        <v>0</v>
      </c>
      <c r="V21" s="299">
        <f t="shared" si="16"/>
        <v>0</v>
      </c>
      <c r="W21" s="200"/>
      <c r="X21" s="300">
        <f t="shared" si="17"/>
        <v>11169</v>
      </c>
      <c r="Y21" s="299" t="str">
        <f>Y20</f>
        <v>ok</v>
      </c>
      <c r="Z21" s="299">
        <f t="shared" si="8"/>
        <v>0</v>
      </c>
      <c r="AA21" s="299">
        <f t="shared" si="18"/>
        <v>0</v>
      </c>
      <c r="AB21" s="299">
        <f t="shared" si="19"/>
        <v>0</v>
      </c>
      <c r="AC21" s="299">
        <f t="shared" si="20"/>
        <v>0</v>
      </c>
      <c r="AD21" s="74">
        <f>ELEC!Q21</f>
        <v>0</v>
      </c>
      <c r="AE21" s="74" t="e">
        <f t="shared" si="22"/>
        <v>#DIV/0!</v>
      </c>
      <c r="AF21" s="426" t="e">
        <f t="shared" si="23"/>
        <v>#DIV/0!</v>
      </c>
      <c r="AG21" s="427" t="e">
        <f t="shared" si="24"/>
        <v>#DIV/0!</v>
      </c>
      <c r="AH21" s="427" t="e">
        <f t="shared" si="21"/>
        <v>#DIV/0!</v>
      </c>
      <c r="AI21" s="74">
        <f t="shared" si="25"/>
        <v>0</v>
      </c>
      <c r="AJ21" s="301">
        <f t="shared" si="9"/>
        <v>0.25738396624472576</v>
      </c>
      <c r="AK21" s="301">
        <f t="shared" si="28"/>
        <v>0</v>
      </c>
    </row>
    <row r="22" spans="1:37">
      <c r="A22" s="4">
        <f>ELEC!C22</f>
        <v>43850</v>
      </c>
      <c r="B22" s="277">
        <f t="shared" si="29"/>
        <v>8487</v>
      </c>
      <c r="C22" s="299">
        <f t="shared" si="11"/>
        <v>0</v>
      </c>
      <c r="D22" s="277">
        <f t="shared" si="30"/>
        <v>118922.6</v>
      </c>
      <c r="E22" s="299">
        <f t="shared" si="12"/>
        <v>0</v>
      </c>
      <c r="F22" s="299">
        <f t="shared" si="0"/>
        <v>0</v>
      </c>
      <c r="G22" s="200"/>
      <c r="H22" s="300">
        <f t="shared" si="13"/>
        <v>8497</v>
      </c>
      <c r="I22" s="299" t="str">
        <f t="shared" si="1"/>
        <v>ok</v>
      </c>
      <c r="J22" s="277">
        <f t="shared" si="33"/>
        <v>10680</v>
      </c>
      <c r="K22" s="299">
        <f t="shared" si="2"/>
        <v>0</v>
      </c>
      <c r="L22" s="277">
        <f t="shared" si="33"/>
        <v>234681.60000000001</v>
      </c>
      <c r="M22" s="299">
        <f t="shared" si="3"/>
        <v>0</v>
      </c>
      <c r="N22" s="299">
        <f t="shared" si="14"/>
        <v>0</v>
      </c>
      <c r="O22" s="200"/>
      <c r="P22" s="300">
        <f t="shared" si="15"/>
        <v>10873</v>
      </c>
      <c r="Q22" s="299" t="str">
        <f t="shared" si="31"/>
        <v>ok</v>
      </c>
      <c r="R22" s="277">
        <f t="shared" si="27"/>
        <v>10890</v>
      </c>
      <c r="S22" s="299">
        <f t="shared" si="5"/>
        <v>0</v>
      </c>
      <c r="T22" s="277">
        <f t="shared" si="27"/>
        <v>176718.7</v>
      </c>
      <c r="U22" s="299">
        <f t="shared" si="32"/>
        <v>0</v>
      </c>
      <c r="V22" s="299">
        <f t="shared" si="16"/>
        <v>0</v>
      </c>
      <c r="W22" s="200"/>
      <c r="X22" s="300">
        <f t="shared" si="17"/>
        <v>11169</v>
      </c>
      <c r="Y22" s="299" t="str">
        <f t="shared" ref="Y22:Y32" si="34">IF(R22-X22&lt;=0,"ok","oil change")</f>
        <v>ok</v>
      </c>
      <c r="Z22" s="299">
        <f t="shared" si="8"/>
        <v>0</v>
      </c>
      <c r="AA22" s="299">
        <f t="shared" si="18"/>
        <v>0</v>
      </c>
      <c r="AB22" s="299">
        <f t="shared" si="19"/>
        <v>0</v>
      </c>
      <c r="AC22" s="299">
        <f t="shared" si="20"/>
        <v>0</v>
      </c>
      <c r="AD22" s="74">
        <f>ELEC!Q22</f>
        <v>0</v>
      </c>
      <c r="AE22" s="74" t="e">
        <f t="shared" si="22"/>
        <v>#DIV/0!</v>
      </c>
      <c r="AF22" s="426" t="e">
        <f t="shared" si="23"/>
        <v>#DIV/0!</v>
      </c>
      <c r="AG22" s="427" t="e">
        <f t="shared" si="24"/>
        <v>#DIV/0!</v>
      </c>
      <c r="AH22" s="427" t="e">
        <f t="shared" si="21"/>
        <v>#DIV/0!</v>
      </c>
      <c r="AI22" s="74">
        <f t="shared" si="25"/>
        <v>0</v>
      </c>
      <c r="AJ22" s="301">
        <f t="shared" si="9"/>
        <v>0.25738396624472576</v>
      </c>
      <c r="AK22" s="301">
        <f t="shared" si="28"/>
        <v>0</v>
      </c>
    </row>
    <row r="23" spans="1:37">
      <c r="A23" s="4">
        <f>ELEC!C23</f>
        <v>43851</v>
      </c>
      <c r="B23" s="277">
        <f t="shared" si="29"/>
        <v>8487</v>
      </c>
      <c r="C23" s="299">
        <f t="shared" si="11"/>
        <v>0</v>
      </c>
      <c r="D23" s="277">
        <f t="shared" si="30"/>
        <v>118922.6</v>
      </c>
      <c r="E23" s="299">
        <f t="shared" si="12"/>
        <v>0</v>
      </c>
      <c r="F23" s="299">
        <f t="shared" si="0"/>
        <v>0</v>
      </c>
      <c r="G23" s="200"/>
      <c r="H23" s="300">
        <f t="shared" si="13"/>
        <v>8497</v>
      </c>
      <c r="I23" s="299" t="str">
        <f t="shared" si="1"/>
        <v>ok</v>
      </c>
      <c r="J23" s="277">
        <f t="shared" si="33"/>
        <v>10680</v>
      </c>
      <c r="K23" s="299">
        <f t="shared" si="2"/>
        <v>0</v>
      </c>
      <c r="L23" s="277">
        <f t="shared" si="33"/>
        <v>234681.60000000001</v>
      </c>
      <c r="M23" s="299">
        <f t="shared" si="3"/>
        <v>0</v>
      </c>
      <c r="N23" s="299">
        <f t="shared" si="14"/>
        <v>0</v>
      </c>
      <c r="O23" s="200"/>
      <c r="P23" s="300">
        <f t="shared" si="15"/>
        <v>10873</v>
      </c>
      <c r="Q23" s="299" t="str">
        <f t="shared" si="31"/>
        <v>ok</v>
      </c>
      <c r="R23" s="277">
        <f t="shared" si="27"/>
        <v>10890</v>
      </c>
      <c r="S23" s="299">
        <f t="shared" si="5"/>
        <v>0</v>
      </c>
      <c r="T23" s="277">
        <f t="shared" si="27"/>
        <v>176718.7</v>
      </c>
      <c r="U23" s="299">
        <f t="shared" si="32"/>
        <v>0</v>
      </c>
      <c r="V23" s="299">
        <f t="shared" si="16"/>
        <v>0</v>
      </c>
      <c r="W23" s="200"/>
      <c r="X23" s="300">
        <f t="shared" si="17"/>
        <v>11169</v>
      </c>
      <c r="Y23" s="299" t="str">
        <f t="shared" si="34"/>
        <v>ok</v>
      </c>
      <c r="Z23" s="299">
        <f t="shared" si="8"/>
        <v>0</v>
      </c>
      <c r="AA23" s="299">
        <f t="shared" si="18"/>
        <v>0</v>
      </c>
      <c r="AB23" s="299">
        <f t="shared" si="19"/>
        <v>0</v>
      </c>
      <c r="AC23" s="299">
        <f t="shared" si="20"/>
        <v>0</v>
      </c>
      <c r="AD23" s="74">
        <f>ELEC!Q23</f>
        <v>0</v>
      </c>
      <c r="AE23" s="74" t="e">
        <f t="shared" si="22"/>
        <v>#DIV/0!</v>
      </c>
      <c r="AF23" s="426" t="e">
        <f t="shared" si="23"/>
        <v>#DIV/0!</v>
      </c>
      <c r="AG23" s="427" t="e">
        <f t="shared" si="24"/>
        <v>#DIV/0!</v>
      </c>
      <c r="AH23" s="427" t="e">
        <f t="shared" si="21"/>
        <v>#DIV/0!</v>
      </c>
      <c r="AI23" s="74">
        <f t="shared" si="25"/>
        <v>0</v>
      </c>
      <c r="AJ23" s="301">
        <f t="shared" si="9"/>
        <v>0.25738396624472576</v>
      </c>
      <c r="AK23" s="301">
        <f t="shared" si="28"/>
        <v>0</v>
      </c>
    </row>
    <row r="24" spans="1:37">
      <c r="A24" s="4">
        <f>ELEC!C24</f>
        <v>43852</v>
      </c>
      <c r="B24" s="277">
        <f t="shared" si="29"/>
        <v>8487</v>
      </c>
      <c r="C24" s="299">
        <f t="shared" si="11"/>
        <v>0</v>
      </c>
      <c r="D24" s="277">
        <f t="shared" si="30"/>
        <v>118922.6</v>
      </c>
      <c r="E24" s="299">
        <f t="shared" si="12"/>
        <v>0</v>
      </c>
      <c r="F24" s="299">
        <f t="shared" si="0"/>
        <v>0</v>
      </c>
      <c r="G24" s="200"/>
      <c r="H24" s="300">
        <f t="shared" si="13"/>
        <v>8497</v>
      </c>
      <c r="I24" s="299" t="str">
        <f t="shared" si="1"/>
        <v>ok</v>
      </c>
      <c r="J24" s="277">
        <f t="shared" si="33"/>
        <v>10680</v>
      </c>
      <c r="K24" s="299">
        <f t="shared" si="2"/>
        <v>0</v>
      </c>
      <c r="L24" s="277">
        <f t="shared" si="33"/>
        <v>234681.60000000001</v>
      </c>
      <c r="M24" s="299">
        <f t="shared" si="3"/>
        <v>0</v>
      </c>
      <c r="N24" s="299">
        <f t="shared" si="14"/>
        <v>0</v>
      </c>
      <c r="O24" s="200"/>
      <c r="P24" s="300">
        <f t="shared" si="15"/>
        <v>10873</v>
      </c>
      <c r="Q24" s="299" t="str">
        <f t="shared" si="31"/>
        <v>ok</v>
      </c>
      <c r="R24" s="277">
        <f t="shared" si="27"/>
        <v>10890</v>
      </c>
      <c r="S24" s="299">
        <f t="shared" si="5"/>
        <v>0</v>
      </c>
      <c r="T24" s="277">
        <f t="shared" si="27"/>
        <v>176718.7</v>
      </c>
      <c r="U24" s="299">
        <f t="shared" si="32"/>
        <v>0</v>
      </c>
      <c r="V24" s="299">
        <f t="shared" si="16"/>
        <v>0</v>
      </c>
      <c r="W24" s="200"/>
      <c r="X24" s="300">
        <f t="shared" si="17"/>
        <v>11169</v>
      </c>
      <c r="Y24" s="299" t="str">
        <f t="shared" si="34"/>
        <v>ok</v>
      </c>
      <c r="Z24" s="299">
        <f t="shared" si="8"/>
        <v>0</v>
      </c>
      <c r="AA24" s="299">
        <f t="shared" si="18"/>
        <v>0</v>
      </c>
      <c r="AB24" s="299">
        <f t="shared" si="19"/>
        <v>0</v>
      </c>
      <c r="AC24" s="299">
        <f t="shared" si="20"/>
        <v>0</v>
      </c>
      <c r="AD24" s="74">
        <f>ELEC!Q24</f>
        <v>0</v>
      </c>
      <c r="AE24" s="74" t="e">
        <f t="shared" si="22"/>
        <v>#DIV/0!</v>
      </c>
      <c r="AF24" s="426" t="e">
        <f t="shared" si="23"/>
        <v>#DIV/0!</v>
      </c>
      <c r="AG24" s="427" t="e">
        <f t="shared" si="24"/>
        <v>#DIV/0!</v>
      </c>
      <c r="AH24" s="427" t="e">
        <f t="shared" si="21"/>
        <v>#DIV/0!</v>
      </c>
      <c r="AI24" s="74">
        <f t="shared" si="25"/>
        <v>0</v>
      </c>
      <c r="AJ24" s="301">
        <f t="shared" si="9"/>
        <v>0.25738396624472576</v>
      </c>
      <c r="AK24" s="301">
        <f t="shared" si="28"/>
        <v>0</v>
      </c>
    </row>
    <row r="25" spans="1:37">
      <c r="A25" s="4">
        <f>ELEC!C25</f>
        <v>43853</v>
      </c>
      <c r="B25" s="277">
        <f t="shared" si="29"/>
        <v>8487</v>
      </c>
      <c r="C25" s="299">
        <f t="shared" si="11"/>
        <v>0</v>
      </c>
      <c r="D25" s="277">
        <f t="shared" si="30"/>
        <v>118922.6</v>
      </c>
      <c r="E25" s="299">
        <f t="shared" si="12"/>
        <v>0</v>
      </c>
      <c r="F25" s="299">
        <f t="shared" si="0"/>
        <v>0</v>
      </c>
      <c r="G25" s="200"/>
      <c r="H25" s="300">
        <f t="shared" si="13"/>
        <v>8497</v>
      </c>
      <c r="I25" s="299" t="str">
        <f t="shared" si="1"/>
        <v>ok</v>
      </c>
      <c r="J25" s="277">
        <f t="shared" si="33"/>
        <v>10680</v>
      </c>
      <c r="K25" s="299">
        <f t="shared" si="2"/>
        <v>0</v>
      </c>
      <c r="L25" s="277">
        <f t="shared" si="33"/>
        <v>234681.60000000001</v>
      </c>
      <c r="M25" s="299">
        <f t="shared" si="3"/>
        <v>0</v>
      </c>
      <c r="N25" s="299">
        <f t="shared" si="14"/>
        <v>0</v>
      </c>
      <c r="O25" s="200"/>
      <c r="P25" s="300">
        <f t="shared" si="15"/>
        <v>10873</v>
      </c>
      <c r="Q25" s="299" t="str">
        <f t="shared" si="31"/>
        <v>ok</v>
      </c>
      <c r="R25" s="277">
        <f t="shared" si="27"/>
        <v>10890</v>
      </c>
      <c r="S25" s="299">
        <f t="shared" si="5"/>
        <v>0</v>
      </c>
      <c r="T25" s="277">
        <f t="shared" si="27"/>
        <v>176718.7</v>
      </c>
      <c r="U25" s="299">
        <f t="shared" si="32"/>
        <v>0</v>
      </c>
      <c r="V25" s="299">
        <f t="shared" si="16"/>
        <v>0</v>
      </c>
      <c r="W25" s="200"/>
      <c r="X25" s="300">
        <f t="shared" si="17"/>
        <v>11169</v>
      </c>
      <c r="Y25" s="299" t="str">
        <f t="shared" si="34"/>
        <v>ok</v>
      </c>
      <c r="Z25" s="299">
        <f t="shared" si="8"/>
        <v>0</v>
      </c>
      <c r="AA25" s="299">
        <f t="shared" si="18"/>
        <v>0</v>
      </c>
      <c r="AB25" s="299">
        <f t="shared" si="19"/>
        <v>0</v>
      </c>
      <c r="AC25" s="299">
        <f t="shared" si="20"/>
        <v>0</v>
      </c>
      <c r="AD25" s="74">
        <f>ELEC!Q25</f>
        <v>0</v>
      </c>
      <c r="AE25" s="74" t="e">
        <f t="shared" si="22"/>
        <v>#DIV/0!</v>
      </c>
      <c r="AF25" s="426" t="e">
        <f t="shared" si="23"/>
        <v>#DIV/0!</v>
      </c>
      <c r="AG25" s="427" t="e">
        <f t="shared" si="24"/>
        <v>#DIV/0!</v>
      </c>
      <c r="AH25" s="427" t="e">
        <f t="shared" si="21"/>
        <v>#DIV/0!</v>
      </c>
      <c r="AI25" s="74">
        <f t="shared" si="25"/>
        <v>0</v>
      </c>
      <c r="AJ25" s="301">
        <f t="shared" si="9"/>
        <v>0.25738396624472576</v>
      </c>
      <c r="AK25" s="301">
        <f t="shared" si="28"/>
        <v>0</v>
      </c>
    </row>
    <row r="26" spans="1:37">
      <c r="A26" s="4">
        <f>ELEC!C26</f>
        <v>43854</v>
      </c>
      <c r="B26" s="277">
        <f t="shared" si="29"/>
        <v>8487</v>
      </c>
      <c r="C26" s="299">
        <f t="shared" si="11"/>
        <v>0</v>
      </c>
      <c r="D26" s="277">
        <f t="shared" si="30"/>
        <v>118922.6</v>
      </c>
      <c r="E26" s="299">
        <f t="shared" si="12"/>
        <v>0</v>
      </c>
      <c r="F26" s="299">
        <f t="shared" si="0"/>
        <v>0</v>
      </c>
      <c r="G26" s="200"/>
      <c r="H26" s="300">
        <f t="shared" si="13"/>
        <v>8497</v>
      </c>
      <c r="I26" s="299" t="str">
        <f t="shared" si="1"/>
        <v>ok</v>
      </c>
      <c r="J26" s="277">
        <f t="shared" si="33"/>
        <v>10680</v>
      </c>
      <c r="K26" s="299">
        <f t="shared" si="2"/>
        <v>0</v>
      </c>
      <c r="L26" s="277">
        <f t="shared" si="33"/>
        <v>234681.60000000001</v>
      </c>
      <c r="M26" s="299">
        <f t="shared" si="3"/>
        <v>0</v>
      </c>
      <c r="N26" s="299">
        <f t="shared" si="14"/>
        <v>0</v>
      </c>
      <c r="O26" s="200"/>
      <c r="P26" s="300">
        <f t="shared" si="15"/>
        <v>10873</v>
      </c>
      <c r="Q26" s="299" t="str">
        <f t="shared" si="31"/>
        <v>ok</v>
      </c>
      <c r="R26" s="277">
        <f t="shared" si="27"/>
        <v>10890</v>
      </c>
      <c r="S26" s="299">
        <f t="shared" si="5"/>
        <v>0</v>
      </c>
      <c r="T26" s="277">
        <f t="shared" si="27"/>
        <v>176718.7</v>
      </c>
      <c r="U26" s="299">
        <f t="shared" si="32"/>
        <v>0</v>
      </c>
      <c r="V26" s="299">
        <f t="shared" si="16"/>
        <v>0</v>
      </c>
      <c r="W26" s="200"/>
      <c r="X26" s="300">
        <f t="shared" si="17"/>
        <v>11169</v>
      </c>
      <c r="Y26" s="299" t="str">
        <f t="shared" si="34"/>
        <v>ok</v>
      </c>
      <c r="Z26" s="299">
        <f t="shared" si="8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2"/>
        <v>#DIV/0!</v>
      </c>
      <c r="AF26" s="426" t="e">
        <f t="shared" si="23"/>
        <v>#DIV/0!</v>
      </c>
      <c r="AG26" s="427" t="e">
        <f t="shared" si="24"/>
        <v>#DIV/0!</v>
      </c>
      <c r="AH26" s="427" t="e">
        <f t="shared" si="21"/>
        <v>#DIV/0!</v>
      </c>
      <c r="AI26" s="74">
        <f t="shared" si="25"/>
        <v>0</v>
      </c>
      <c r="AJ26" s="301">
        <f t="shared" si="9"/>
        <v>0.25738396624472576</v>
      </c>
      <c r="AK26" s="301">
        <f t="shared" si="28"/>
        <v>0</v>
      </c>
    </row>
    <row r="27" spans="1:37">
      <c r="A27" s="4">
        <f>ELEC!C27</f>
        <v>43855</v>
      </c>
      <c r="B27" s="277">
        <f t="shared" si="29"/>
        <v>8487</v>
      </c>
      <c r="C27" s="299">
        <f t="shared" si="11"/>
        <v>0</v>
      </c>
      <c r="D27" s="277">
        <f t="shared" si="30"/>
        <v>118922.6</v>
      </c>
      <c r="E27" s="299">
        <f t="shared" si="12"/>
        <v>0</v>
      </c>
      <c r="F27" s="299">
        <f t="shared" si="0"/>
        <v>0</v>
      </c>
      <c r="G27" s="200"/>
      <c r="H27" s="300">
        <f t="shared" si="13"/>
        <v>8497</v>
      </c>
      <c r="I27" s="299" t="str">
        <f>IF(B27-H27&lt;=0,"ok","oil change")</f>
        <v>ok</v>
      </c>
      <c r="J27" s="277">
        <f t="shared" si="33"/>
        <v>10680</v>
      </c>
      <c r="K27" s="299">
        <f t="shared" si="2"/>
        <v>0</v>
      </c>
      <c r="L27" s="277">
        <f t="shared" si="33"/>
        <v>234681.60000000001</v>
      </c>
      <c r="M27" s="299">
        <f t="shared" si="3"/>
        <v>0</v>
      </c>
      <c r="N27" s="299">
        <f t="shared" si="14"/>
        <v>0</v>
      </c>
      <c r="O27" s="200"/>
      <c r="P27" s="300">
        <f t="shared" si="15"/>
        <v>10873</v>
      </c>
      <c r="Q27" s="299" t="str">
        <f t="shared" si="31"/>
        <v>ok</v>
      </c>
      <c r="R27" s="277">
        <f t="shared" si="27"/>
        <v>10890</v>
      </c>
      <c r="S27" s="299">
        <f t="shared" si="5"/>
        <v>0</v>
      </c>
      <c r="T27" s="277">
        <f t="shared" si="27"/>
        <v>176718.7</v>
      </c>
      <c r="U27" s="299">
        <f t="shared" si="32"/>
        <v>0</v>
      </c>
      <c r="V27" s="299">
        <f t="shared" si="16"/>
        <v>0</v>
      </c>
      <c r="W27" s="200"/>
      <c r="X27" s="300">
        <f t="shared" si="17"/>
        <v>11169</v>
      </c>
      <c r="Y27" s="299" t="str">
        <f t="shared" si="34"/>
        <v>ok</v>
      </c>
      <c r="Z27" s="299">
        <f t="shared" si="8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2"/>
        <v>#DIV/0!</v>
      </c>
      <c r="AF27" s="426" t="e">
        <f t="shared" si="23"/>
        <v>#DIV/0!</v>
      </c>
      <c r="AG27" s="427" t="e">
        <f t="shared" si="24"/>
        <v>#DIV/0!</v>
      </c>
      <c r="AH27" s="427" t="e">
        <f t="shared" si="21"/>
        <v>#DIV/0!</v>
      </c>
      <c r="AI27" s="74">
        <f t="shared" si="25"/>
        <v>0</v>
      </c>
      <c r="AJ27" s="301">
        <f t="shared" si="9"/>
        <v>0.25738396624472576</v>
      </c>
      <c r="AK27" s="301">
        <f t="shared" si="28"/>
        <v>0</v>
      </c>
    </row>
    <row r="28" spans="1:37">
      <c r="A28" s="4">
        <f>ELEC!C28</f>
        <v>43856</v>
      </c>
      <c r="B28" s="277">
        <f t="shared" si="29"/>
        <v>8487</v>
      </c>
      <c r="C28" s="299">
        <f t="shared" si="11"/>
        <v>0</v>
      </c>
      <c r="D28" s="277">
        <f t="shared" si="30"/>
        <v>118922.6</v>
      </c>
      <c r="E28" s="299">
        <f t="shared" si="12"/>
        <v>0</v>
      </c>
      <c r="F28" s="299">
        <f t="shared" si="0"/>
        <v>0</v>
      </c>
      <c r="G28" s="297"/>
      <c r="H28" s="300">
        <f t="shared" si="13"/>
        <v>8497</v>
      </c>
      <c r="I28" s="299" t="str">
        <f t="shared" si="1"/>
        <v>ok</v>
      </c>
      <c r="J28" s="277">
        <f t="shared" si="33"/>
        <v>10680</v>
      </c>
      <c r="K28" s="299">
        <f t="shared" si="2"/>
        <v>0</v>
      </c>
      <c r="L28" s="277">
        <f t="shared" si="33"/>
        <v>234681.60000000001</v>
      </c>
      <c r="M28" s="299">
        <f t="shared" si="3"/>
        <v>0</v>
      </c>
      <c r="N28" s="299">
        <f t="shared" si="14"/>
        <v>0</v>
      </c>
      <c r="O28" s="200"/>
      <c r="P28" s="300">
        <f t="shared" si="15"/>
        <v>10873</v>
      </c>
      <c r="Q28" s="299" t="str">
        <f t="shared" si="31"/>
        <v>ok</v>
      </c>
      <c r="R28" s="277">
        <f t="shared" si="27"/>
        <v>10890</v>
      </c>
      <c r="S28" s="299">
        <f t="shared" si="5"/>
        <v>0</v>
      </c>
      <c r="T28" s="277">
        <f t="shared" si="27"/>
        <v>176718.7</v>
      </c>
      <c r="U28" s="299">
        <f t="shared" si="32"/>
        <v>0</v>
      </c>
      <c r="V28" s="299">
        <f t="shared" si="16"/>
        <v>0</v>
      </c>
      <c r="W28" s="200"/>
      <c r="X28" s="300">
        <f t="shared" si="17"/>
        <v>11169</v>
      </c>
      <c r="Y28" s="299" t="str">
        <f t="shared" si="34"/>
        <v>ok</v>
      </c>
      <c r="Z28" s="299">
        <f t="shared" si="8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2"/>
        <v>#DIV/0!</v>
      </c>
      <c r="AF28" s="426" t="e">
        <f t="shared" si="23"/>
        <v>#DIV/0!</v>
      </c>
      <c r="AG28" s="427" t="e">
        <f t="shared" si="24"/>
        <v>#DIV/0!</v>
      </c>
      <c r="AH28" s="427" t="e">
        <f t="shared" si="21"/>
        <v>#DIV/0!</v>
      </c>
      <c r="AI28" s="74">
        <f t="shared" si="25"/>
        <v>0</v>
      </c>
      <c r="AJ28" s="301">
        <f t="shared" si="9"/>
        <v>0.25738396624472576</v>
      </c>
      <c r="AK28" s="301">
        <f t="shared" si="28"/>
        <v>0</v>
      </c>
    </row>
    <row r="29" spans="1:37">
      <c r="A29" s="4">
        <f>ELEC!C29</f>
        <v>43857</v>
      </c>
      <c r="B29" s="277">
        <f t="shared" si="29"/>
        <v>8487</v>
      </c>
      <c r="C29" s="299">
        <f t="shared" si="11"/>
        <v>0</v>
      </c>
      <c r="D29" s="277">
        <f t="shared" si="30"/>
        <v>118922.6</v>
      </c>
      <c r="E29" s="299">
        <f>SUM(D29-D28)</f>
        <v>0</v>
      </c>
      <c r="F29" s="299">
        <f t="shared" si="0"/>
        <v>0</v>
      </c>
      <c r="G29" s="200"/>
      <c r="H29" s="300">
        <f t="shared" si="13"/>
        <v>8497</v>
      </c>
      <c r="I29" s="299" t="str">
        <f t="shared" si="1"/>
        <v>ok</v>
      </c>
      <c r="J29" s="277">
        <f t="shared" si="33"/>
        <v>10680</v>
      </c>
      <c r="K29" s="299">
        <f t="shared" si="2"/>
        <v>0</v>
      </c>
      <c r="L29" s="277">
        <f t="shared" si="33"/>
        <v>234681.60000000001</v>
      </c>
      <c r="M29" s="299">
        <f t="shared" si="3"/>
        <v>0</v>
      </c>
      <c r="N29" s="299">
        <f t="shared" si="14"/>
        <v>0</v>
      </c>
      <c r="O29" s="200"/>
      <c r="P29" s="300">
        <f t="shared" si="15"/>
        <v>10873</v>
      </c>
      <c r="Q29" s="299" t="str">
        <f t="shared" si="31"/>
        <v>ok</v>
      </c>
      <c r="R29" s="277">
        <f t="shared" si="27"/>
        <v>10890</v>
      </c>
      <c r="S29" s="299">
        <f t="shared" si="5"/>
        <v>0</v>
      </c>
      <c r="T29" s="277">
        <f t="shared" si="27"/>
        <v>176718.7</v>
      </c>
      <c r="U29" s="299">
        <f t="shared" si="32"/>
        <v>0</v>
      </c>
      <c r="V29" s="299">
        <f t="shared" si="16"/>
        <v>0</v>
      </c>
      <c r="W29" s="200"/>
      <c r="X29" s="300">
        <f t="shared" si="17"/>
        <v>11169</v>
      </c>
      <c r="Y29" s="299" t="str">
        <f t="shared" si="34"/>
        <v>ok</v>
      </c>
      <c r="Z29" s="299">
        <f t="shared" si="8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2"/>
        <v>#DIV/0!</v>
      </c>
      <c r="AF29" s="426" t="e">
        <f t="shared" si="23"/>
        <v>#DIV/0!</v>
      </c>
      <c r="AG29" s="427" t="e">
        <f t="shared" si="24"/>
        <v>#DIV/0!</v>
      </c>
      <c r="AH29" s="427" t="e">
        <f t="shared" si="21"/>
        <v>#DIV/0!</v>
      </c>
      <c r="AI29" s="74">
        <f t="shared" si="25"/>
        <v>0</v>
      </c>
      <c r="AJ29" s="301">
        <f t="shared" si="9"/>
        <v>0.25738396624472576</v>
      </c>
      <c r="AK29" s="301">
        <f t="shared" si="28"/>
        <v>0</v>
      </c>
    </row>
    <row r="30" spans="1:37">
      <c r="A30" s="4">
        <f>ELEC!C30</f>
        <v>43858</v>
      </c>
      <c r="B30" s="277">
        <f t="shared" si="29"/>
        <v>8487</v>
      </c>
      <c r="C30" s="299">
        <f t="shared" si="11"/>
        <v>0</v>
      </c>
      <c r="D30" s="277">
        <f t="shared" si="30"/>
        <v>118922.6</v>
      </c>
      <c r="E30" s="299">
        <f t="shared" si="12"/>
        <v>0</v>
      </c>
      <c r="F30" s="299">
        <f t="shared" si="0"/>
        <v>0</v>
      </c>
      <c r="G30" s="200"/>
      <c r="H30" s="300">
        <f t="shared" si="13"/>
        <v>8497</v>
      </c>
      <c r="I30" s="299" t="str">
        <f t="shared" si="1"/>
        <v>ok</v>
      </c>
      <c r="J30" s="277">
        <f t="shared" si="33"/>
        <v>10680</v>
      </c>
      <c r="K30" s="299">
        <f t="shared" si="2"/>
        <v>0</v>
      </c>
      <c r="L30" s="277">
        <f t="shared" si="33"/>
        <v>234681.60000000001</v>
      </c>
      <c r="M30" s="299">
        <f t="shared" si="3"/>
        <v>0</v>
      </c>
      <c r="N30" s="299">
        <f t="shared" si="14"/>
        <v>0</v>
      </c>
      <c r="O30" s="200"/>
      <c r="P30" s="300">
        <f t="shared" si="15"/>
        <v>10873</v>
      </c>
      <c r="Q30" s="299" t="str">
        <f t="shared" si="31"/>
        <v>ok</v>
      </c>
      <c r="R30" s="277">
        <f t="shared" si="27"/>
        <v>10890</v>
      </c>
      <c r="S30" s="299">
        <f t="shared" si="5"/>
        <v>0</v>
      </c>
      <c r="T30" s="277">
        <f t="shared" si="27"/>
        <v>176718.7</v>
      </c>
      <c r="U30" s="299">
        <f t="shared" si="32"/>
        <v>0</v>
      </c>
      <c r="V30" s="299">
        <f t="shared" si="16"/>
        <v>0</v>
      </c>
      <c r="W30" s="297"/>
      <c r="X30" s="300">
        <f t="shared" si="17"/>
        <v>11169</v>
      </c>
      <c r="Y30" s="299" t="str">
        <f t="shared" si="34"/>
        <v>ok</v>
      </c>
      <c r="Z30" s="299">
        <f t="shared" si="8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2"/>
        <v>#DIV/0!</v>
      </c>
      <c r="AF30" s="426" t="e">
        <f t="shared" si="23"/>
        <v>#DIV/0!</v>
      </c>
      <c r="AG30" s="427" t="e">
        <f t="shared" si="24"/>
        <v>#DIV/0!</v>
      </c>
      <c r="AH30" s="427" t="e">
        <f t="shared" si="21"/>
        <v>#DIV/0!</v>
      </c>
      <c r="AI30" s="74">
        <f t="shared" si="25"/>
        <v>0</v>
      </c>
      <c r="AJ30" s="301">
        <f t="shared" si="9"/>
        <v>0.25738396624472576</v>
      </c>
      <c r="AK30" s="301">
        <f t="shared" si="28"/>
        <v>0</v>
      </c>
    </row>
    <row r="31" spans="1:37">
      <c r="A31" s="4">
        <f>ELEC!C31</f>
        <v>43859</v>
      </c>
      <c r="B31" s="277">
        <f t="shared" si="29"/>
        <v>8487</v>
      </c>
      <c r="C31" s="299">
        <f t="shared" si="11"/>
        <v>0</v>
      </c>
      <c r="D31" s="277">
        <f t="shared" si="30"/>
        <v>118922.6</v>
      </c>
      <c r="E31" s="299">
        <f t="shared" si="12"/>
        <v>0</v>
      </c>
      <c r="F31" s="299">
        <f t="shared" si="0"/>
        <v>0</v>
      </c>
      <c r="G31" s="200"/>
      <c r="H31" s="300">
        <f t="shared" si="13"/>
        <v>8497</v>
      </c>
      <c r="I31" s="299" t="str">
        <f t="shared" si="1"/>
        <v>ok</v>
      </c>
      <c r="J31" s="277">
        <f t="shared" si="33"/>
        <v>10680</v>
      </c>
      <c r="K31" s="299">
        <f t="shared" si="2"/>
        <v>0</v>
      </c>
      <c r="L31" s="277">
        <f t="shared" si="33"/>
        <v>234681.60000000001</v>
      </c>
      <c r="M31" s="299">
        <f t="shared" si="3"/>
        <v>0</v>
      </c>
      <c r="N31" s="299">
        <f t="shared" si="14"/>
        <v>0</v>
      </c>
      <c r="O31" s="200"/>
      <c r="P31" s="300">
        <f t="shared" si="15"/>
        <v>10873</v>
      </c>
      <c r="Q31" s="299" t="str">
        <f t="shared" si="31"/>
        <v>ok</v>
      </c>
      <c r="R31" s="277">
        <f t="shared" si="27"/>
        <v>10890</v>
      </c>
      <c r="S31" s="299">
        <f t="shared" si="5"/>
        <v>0</v>
      </c>
      <c r="T31" s="277">
        <f t="shared" si="27"/>
        <v>176718.7</v>
      </c>
      <c r="U31" s="299">
        <f t="shared" si="32"/>
        <v>0</v>
      </c>
      <c r="V31" s="299">
        <f t="shared" si="16"/>
        <v>0</v>
      </c>
      <c r="W31" s="200"/>
      <c r="X31" s="300">
        <f t="shared" si="17"/>
        <v>11169</v>
      </c>
      <c r="Y31" s="299" t="str">
        <f t="shared" si="34"/>
        <v>ok</v>
      </c>
      <c r="Z31" s="299">
        <f t="shared" si="8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2"/>
        <v>#DIV/0!</v>
      </c>
      <c r="AF31" s="426" t="e">
        <f t="shared" si="23"/>
        <v>#DIV/0!</v>
      </c>
      <c r="AG31" s="427" t="e">
        <f t="shared" si="24"/>
        <v>#DIV/0!</v>
      </c>
      <c r="AH31" s="427" t="e">
        <f t="shared" si="21"/>
        <v>#DIV/0!</v>
      </c>
      <c r="AI31" s="74">
        <f t="shared" si="25"/>
        <v>0</v>
      </c>
      <c r="AJ31" s="301">
        <f t="shared" si="9"/>
        <v>0.25738396624472576</v>
      </c>
      <c r="AK31" s="301">
        <f t="shared" si="28"/>
        <v>0</v>
      </c>
    </row>
    <row r="32" spans="1:37">
      <c r="A32" s="4">
        <f>ELEC!C32</f>
        <v>43860</v>
      </c>
      <c r="B32" s="277">
        <f t="shared" si="29"/>
        <v>8487</v>
      </c>
      <c r="C32" s="299">
        <f t="shared" si="11"/>
        <v>0</v>
      </c>
      <c r="D32" s="277">
        <f t="shared" si="30"/>
        <v>118922.6</v>
      </c>
      <c r="E32" s="299">
        <f t="shared" si="12"/>
        <v>0</v>
      </c>
      <c r="F32" s="299">
        <f t="shared" si="0"/>
        <v>0</v>
      </c>
      <c r="G32" s="200"/>
      <c r="H32" s="300">
        <f t="shared" si="13"/>
        <v>8497</v>
      </c>
      <c r="I32" s="299" t="str">
        <f t="shared" si="1"/>
        <v>ok</v>
      </c>
      <c r="J32" s="277">
        <f t="shared" si="33"/>
        <v>10680</v>
      </c>
      <c r="K32" s="299">
        <f>J32-J31</f>
        <v>0</v>
      </c>
      <c r="L32" s="277">
        <f t="shared" si="33"/>
        <v>234681.60000000001</v>
      </c>
      <c r="M32" s="299">
        <f t="shared" si="3"/>
        <v>0</v>
      </c>
      <c r="N32" s="299">
        <f t="shared" si="14"/>
        <v>0</v>
      </c>
      <c r="O32" s="200"/>
      <c r="P32" s="300">
        <f t="shared" si="15"/>
        <v>10873</v>
      </c>
      <c r="Q32" s="299" t="str">
        <f t="shared" si="31"/>
        <v>ok</v>
      </c>
      <c r="R32" s="277">
        <f t="shared" si="27"/>
        <v>10890</v>
      </c>
      <c r="S32" s="299">
        <f t="shared" si="5"/>
        <v>0</v>
      </c>
      <c r="T32" s="277">
        <f t="shared" si="27"/>
        <v>176718.7</v>
      </c>
      <c r="U32" s="299">
        <f t="shared" si="32"/>
        <v>0</v>
      </c>
      <c r="V32" s="299">
        <f t="shared" si="16"/>
        <v>0</v>
      </c>
      <c r="W32" s="200"/>
      <c r="X32" s="300">
        <f t="shared" si="17"/>
        <v>11169</v>
      </c>
      <c r="Y32" s="299" t="str">
        <f t="shared" si="34"/>
        <v>ok</v>
      </c>
      <c r="Z32" s="299">
        <f t="shared" si="8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2"/>
        <v>#DIV/0!</v>
      </c>
      <c r="AF32" s="426" t="e">
        <f t="shared" si="23"/>
        <v>#DIV/0!</v>
      </c>
      <c r="AG32" s="427" t="e">
        <f t="shared" si="24"/>
        <v>#DIV/0!</v>
      </c>
      <c r="AH32" s="427" t="e">
        <f t="shared" si="21"/>
        <v>#DIV/0!</v>
      </c>
      <c r="AI32" s="74">
        <f t="shared" si="25"/>
        <v>0</v>
      </c>
      <c r="AJ32" s="301">
        <f t="shared" si="9"/>
        <v>0.25738396624472576</v>
      </c>
      <c r="AK32" s="301">
        <f t="shared" si="28"/>
        <v>0</v>
      </c>
    </row>
    <row r="33" spans="1:37">
      <c r="A33" s="4">
        <f>ELEC!C33</f>
        <v>43861</v>
      </c>
      <c r="B33" s="277">
        <f t="shared" si="29"/>
        <v>8487</v>
      </c>
      <c r="C33" s="299">
        <f>B33-B32</f>
        <v>0</v>
      </c>
      <c r="D33" s="277">
        <f t="shared" si="30"/>
        <v>118922.6</v>
      </c>
      <c r="E33" s="299">
        <f>SUM(D33-D32)</f>
        <v>0</v>
      </c>
      <c r="F33" s="299">
        <f>IF(C33&gt;0,E33/C33,0)</f>
        <v>0</v>
      </c>
      <c r="G33" s="356"/>
      <c r="H33" s="300">
        <f t="shared" si="13"/>
        <v>8497</v>
      </c>
      <c r="I33" s="299" t="str">
        <f>IF(B33-H33&lt;=0,"ok","oil change")</f>
        <v>ok</v>
      </c>
      <c r="J33" s="277">
        <f t="shared" si="33"/>
        <v>10680</v>
      </c>
      <c r="K33" s="299">
        <f>J33-J32</f>
        <v>0</v>
      </c>
      <c r="L33" s="277">
        <f t="shared" si="33"/>
        <v>234681.60000000001</v>
      </c>
      <c r="M33" s="299">
        <f t="shared" si="3"/>
        <v>0</v>
      </c>
      <c r="N33" s="299">
        <f>IF(K33&gt;0,M33/K33,0)</f>
        <v>0</v>
      </c>
      <c r="O33" s="356"/>
      <c r="P33" s="300">
        <f t="shared" si="15"/>
        <v>10873</v>
      </c>
      <c r="Q33" s="299" t="str">
        <f>IF(J33-P33&lt;=0,"ok","oil change")</f>
        <v>ok</v>
      </c>
      <c r="R33" s="277">
        <f t="shared" si="27"/>
        <v>10890</v>
      </c>
      <c r="S33" s="299">
        <f>R33-R32</f>
        <v>0</v>
      </c>
      <c r="T33" s="277">
        <f t="shared" si="27"/>
        <v>176718.7</v>
      </c>
      <c r="U33" s="299">
        <f>SUM(T33-T32)</f>
        <v>0</v>
      </c>
      <c r="V33" s="299">
        <f>IF(S33&gt;0,U33/S33,0)</f>
        <v>0</v>
      </c>
      <c r="W33" s="356"/>
      <c r="X33" s="300">
        <f t="shared" si="17"/>
        <v>11169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6" t="e">
        <f>SUM(AE33/1600)</f>
        <v>#DIV/0!</v>
      </c>
      <c r="AG33" s="427" t="e">
        <f>SUM(320*AF33)</f>
        <v>#DIV/0!</v>
      </c>
      <c r="AH33" s="427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99</v>
      </c>
      <c r="V34" s="40"/>
      <c r="X34">
        <v>341</v>
      </c>
      <c r="Z34" s="445">
        <f>SUM(Z3:Z33)</f>
        <v>99</v>
      </c>
    </row>
    <row r="35" spans="1:37">
      <c r="C35" s="40">
        <f>SUM(C3:C33)</f>
        <v>1</v>
      </c>
      <c r="K35" s="40">
        <f>SUM(K3:K33)</f>
        <v>92</v>
      </c>
      <c r="S35" s="40">
        <f>SUM(S3:S33)</f>
        <v>6</v>
      </c>
      <c r="U35" s="40"/>
      <c r="V35" s="40"/>
      <c r="X35" s="40"/>
    </row>
  </sheetData>
  <conditionalFormatting sqref="C3:C33 K3:K33 S3:S33 Z3:Z33">
    <cfRule type="cellIs" dxfId="2" priority="10" stopIfTrue="1" operator="equal">
      <formula>0</formula>
    </cfRule>
  </conditionalFormatting>
  <conditionalFormatting sqref="AA3:AB33">
    <cfRule type="cellIs" dxfId="1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1093</v>
      </c>
      <c r="C2" s="3">
        <f>ELEC!N3</f>
        <v>14239</v>
      </c>
      <c r="D2" s="3">
        <f>C2-E2</f>
        <v>11692.000000001339</v>
      </c>
      <c r="E2" s="3">
        <f>ELEC!Q3</f>
        <v>2546.9999999986612</v>
      </c>
      <c r="F2" s="3">
        <f>GEN!Z2</f>
        <v>7</v>
      </c>
      <c r="G2" s="3">
        <f>WATER!C5+WATER!H5</f>
        <v>345</v>
      </c>
      <c r="H2" s="3">
        <f>WATER!L5</f>
        <v>0</v>
      </c>
      <c r="I2" s="15">
        <f>WATER!BC5+WATER!BD5+WATER!BE6-Sheet1!G2</f>
        <v>-348.9</v>
      </c>
      <c r="J2" s="9" t="str">
        <f>'B5'!A4</f>
        <v>31-12-2019</v>
      </c>
    </row>
    <row r="3" spans="1:10">
      <c r="A3" s="3">
        <f>ELEC!T4+ELEC!X2+ELEC!AB4</f>
        <v>16</v>
      </c>
      <c r="B3" s="3">
        <f>ELEC!AF4</f>
        <v>1282</v>
      </c>
      <c r="C3" s="3">
        <f>ELEC!N4</f>
        <v>15103</v>
      </c>
      <c r="D3" s="3">
        <f t="shared" ref="D3:D30" si="0">C3-E3</f>
        <v>10480.999999998792</v>
      </c>
      <c r="E3" s="3">
        <f>ELEC!Q4</f>
        <v>4622.0000000012078</v>
      </c>
      <c r="F3" s="3">
        <f>GEN!Z3</f>
        <v>3</v>
      </c>
      <c r="G3" s="3">
        <f>WATER!C6+WATER!H6</f>
        <v>19</v>
      </c>
      <c r="H3" s="3">
        <f>WATER!L6</f>
        <v>0</v>
      </c>
      <c r="I3" s="15">
        <f>WATER!BC6+WATER!BD6+WATER!BE7-Sheet1!G3</f>
        <v>53.399999999999991</v>
      </c>
      <c r="J3" s="9">
        <f>'B5'!A5</f>
        <v>43831</v>
      </c>
    </row>
    <row r="4" spans="1:10">
      <c r="A4" s="3">
        <f>ELEC!T5+ELEC!X5+ELEC!AB5</f>
        <v>9</v>
      </c>
      <c r="B4" s="3">
        <f>ELEC!AF5</f>
        <v>1422</v>
      </c>
      <c r="C4" s="3">
        <f>ELEC!N5</f>
        <v>15173</v>
      </c>
      <c r="D4" s="3">
        <f t="shared" si="0"/>
        <v>10542.000000000597</v>
      </c>
      <c r="E4" s="3">
        <f>ELEC!Q5</f>
        <v>4630.9999999994034</v>
      </c>
      <c r="F4" s="3">
        <f>GEN!Z4</f>
        <v>7</v>
      </c>
      <c r="G4" s="3">
        <f>WATER!C7+WATER!H7</f>
        <v>316</v>
      </c>
      <c r="H4" s="3">
        <f>WATER!L7</f>
        <v>7</v>
      </c>
      <c r="I4" s="15">
        <f>WATER!BC7+WATER!BD7+WATER!BE8-Sheet1!G4</f>
        <v>-376.7</v>
      </c>
      <c r="J4" s="9">
        <f>'B5'!A6</f>
        <v>43832</v>
      </c>
    </row>
    <row r="5" spans="1:10">
      <c r="A5" s="3">
        <f>ELEC!T6+ELEC!X6+ELEC!AB6</f>
        <v>5</v>
      </c>
      <c r="B5" s="3">
        <f>ELEC!AF6</f>
        <v>1114</v>
      </c>
      <c r="C5" s="3">
        <f>ELEC!N6</f>
        <v>15817</v>
      </c>
      <c r="D5" s="3">
        <f t="shared" si="0"/>
        <v>11817</v>
      </c>
      <c r="E5" s="3">
        <f>ELEC!Q6</f>
        <v>4000</v>
      </c>
      <c r="F5" s="3">
        <f>GEN!Z5</f>
        <v>6</v>
      </c>
      <c r="G5" s="3">
        <f>WATER!C8+WATER!H8</f>
        <v>0</v>
      </c>
      <c r="H5" s="3">
        <f>WATER!L8</f>
        <v>1</v>
      </c>
      <c r="I5" s="15">
        <f>WATER!BC8+WATER!BD8+WATER!BE9-Sheet1!G5</f>
        <v>4.7000000000000028</v>
      </c>
      <c r="J5" s="9">
        <f>'B5'!A7</f>
        <v>43833</v>
      </c>
    </row>
    <row r="6" spans="1:10">
      <c r="A6" s="3">
        <f>ELEC!T7+ELEC!X7+ELEC!AB7</f>
        <v>7</v>
      </c>
      <c r="B6" s="3">
        <f>ELEC!AF7</f>
        <v>1368</v>
      </c>
      <c r="C6" s="3">
        <f>ELEC!N7</f>
        <v>12909</v>
      </c>
      <c r="D6" s="3">
        <f t="shared" si="0"/>
        <v>12909</v>
      </c>
      <c r="E6" s="3">
        <f>ELEC!Q24</f>
        <v>0</v>
      </c>
      <c r="F6" s="3">
        <f>GEN!Z6</f>
        <v>6</v>
      </c>
      <c r="G6" s="3">
        <f>WATER!C9+WATER!H9</f>
        <v>288</v>
      </c>
      <c r="H6" s="3">
        <f>WATER!L9</f>
        <v>3</v>
      </c>
      <c r="I6" s="15">
        <f>WATER!BC9+WATER!BD9+WATER!BE10-Sheet1!G6</f>
        <v>-371.8</v>
      </c>
      <c r="J6" s="9">
        <f>'B5'!A8</f>
        <v>43834</v>
      </c>
    </row>
    <row r="7" spans="1:10">
      <c r="A7" s="3">
        <f>ELEC!T8+ELEC!X8+ELEC!AB8</f>
        <v>6</v>
      </c>
      <c r="B7" s="3">
        <f>ELEC!AF8</f>
        <v>926</v>
      </c>
      <c r="C7" s="3">
        <f>ELEC!N8</f>
        <v>13138</v>
      </c>
      <c r="D7" s="3">
        <f t="shared" si="0"/>
        <v>7903.9999999996217</v>
      </c>
      <c r="E7" s="3">
        <f>ELEC!Q8</f>
        <v>5234.0000000003783</v>
      </c>
      <c r="F7" s="3">
        <f>GEN!Z7</f>
        <v>3</v>
      </c>
      <c r="G7" s="3">
        <f>WATER!C10+WATER!H10</f>
        <v>0</v>
      </c>
      <c r="H7" s="3">
        <f>WATER!L10</f>
        <v>2</v>
      </c>
      <c r="I7" s="15">
        <f>WATER!BC10+WATER!BD10+WATER!BE11-Sheet1!G7</f>
        <v>2.9999999999999893</v>
      </c>
      <c r="J7" s="9">
        <f>'B5'!A9</f>
        <v>43835</v>
      </c>
    </row>
    <row r="8" spans="1:10">
      <c r="A8" s="3">
        <f>ELEC!T9+ELEC!X9+ELEC!AB9</f>
        <v>5</v>
      </c>
      <c r="B8" s="3">
        <f>ELEC!AF9</f>
        <v>906</v>
      </c>
      <c r="C8" s="3">
        <f>ELEC!N9</f>
        <v>12872</v>
      </c>
      <c r="D8" s="3">
        <f t="shared" si="0"/>
        <v>7992.9999999991851</v>
      </c>
      <c r="E8" s="3">
        <f>ELEC!Q9</f>
        <v>4879.0000000008149</v>
      </c>
      <c r="F8" s="3">
        <f>GEN!Z8</f>
        <v>10</v>
      </c>
      <c r="G8" s="3">
        <f>WATER!C11+WATER!H11</f>
        <v>179</v>
      </c>
      <c r="H8" s="3">
        <f>WATER!L11</f>
        <v>4</v>
      </c>
      <c r="I8" s="15">
        <f>WATER!BC11+WATER!BD11+WATER!BE12-Sheet1!G8</f>
        <v>-161.80000000000001</v>
      </c>
      <c r="J8" s="9">
        <f>'B5'!A10</f>
        <v>43836</v>
      </c>
    </row>
    <row r="9" spans="1:10">
      <c r="A9" s="3">
        <f>ELEC!T10+ELEC!X10+ELEC!AB10</f>
        <v>3</v>
      </c>
      <c r="B9" s="3">
        <f>ELEC!AF10</f>
        <v>412</v>
      </c>
      <c r="C9" s="3">
        <f>ELEC!N10</f>
        <v>12536.399999999907</v>
      </c>
      <c r="D9" s="3">
        <f t="shared" si="0"/>
        <v>5535.3999999997031</v>
      </c>
      <c r="E9" s="3">
        <f>ELEC!Q10</f>
        <v>7001.0000000002037</v>
      </c>
      <c r="F9" s="3">
        <f>GEN!Z9</f>
        <v>9</v>
      </c>
      <c r="G9" s="3">
        <f>WATER!C12+WATER!H12</f>
        <v>79</v>
      </c>
      <c r="H9" s="3">
        <f>WATER!L12</f>
        <v>3</v>
      </c>
      <c r="I9" s="15">
        <f>WATER!BC12+WATER!BD12+WATER!BE13-Sheet1!G9</f>
        <v>-84.799999999999983</v>
      </c>
      <c r="J9" s="9">
        <f>'B5'!A11</f>
        <v>43837</v>
      </c>
    </row>
    <row r="10" spans="1:10">
      <c r="A10" s="3">
        <f>ELEC!T11+ELEC!X11+ELEC!AB11</f>
        <v>4</v>
      </c>
      <c r="B10" s="3">
        <f>ELEC!AF11</f>
        <v>880</v>
      </c>
      <c r="C10" s="3">
        <f>ELEC!N11</f>
        <v>13631.600000000093</v>
      </c>
      <c r="D10" s="3">
        <f t="shared" si="0"/>
        <v>8745.6000000014901</v>
      </c>
      <c r="E10" s="3">
        <f>ELEC!Q11</f>
        <v>4885.999999998603</v>
      </c>
      <c r="F10" s="3">
        <f>GEN!Z10</f>
        <v>16</v>
      </c>
      <c r="G10" s="3">
        <f>WATER!C13+WATER!H13</f>
        <v>182</v>
      </c>
      <c r="H10" s="3">
        <f>WATER!L13</f>
        <v>0</v>
      </c>
      <c r="I10" s="15">
        <f>WATER!BC13+WATER!BD13+WATER!BE14-Sheet1!G10</f>
        <v>-151.39999999999998</v>
      </c>
      <c r="J10" s="9">
        <f>'B5'!A12</f>
        <v>43838</v>
      </c>
    </row>
    <row r="11" spans="1:10">
      <c r="A11" s="3">
        <f>ELEC!T12+ELEC!X12+ELEC!AB12</f>
        <v>5</v>
      </c>
      <c r="B11" s="3">
        <f>ELEC!AF12</f>
        <v>741</v>
      </c>
      <c r="C11" s="3">
        <f>ELEC!N12</f>
        <v>13062.799999999814</v>
      </c>
      <c r="D11" s="3">
        <f t="shared" si="0"/>
        <v>10648.799999999144</v>
      </c>
      <c r="E11" s="3">
        <f>ELEC!Q12</f>
        <v>2414.0000000006694</v>
      </c>
      <c r="F11" s="3">
        <f>GEN!Z11</f>
        <v>7</v>
      </c>
      <c r="G11" s="3">
        <f>WATER!C14+WATER!H14</f>
        <v>80</v>
      </c>
      <c r="H11" s="3">
        <f>WATER!L14</f>
        <v>2</v>
      </c>
      <c r="I11" s="15">
        <f>WATER!BC14+WATER!BD14+WATER!BE15-Sheet1!G11</f>
        <v>59.399999999999977</v>
      </c>
      <c r="J11" s="9">
        <f>'B5'!A13</f>
        <v>43839</v>
      </c>
    </row>
    <row r="12" spans="1:10">
      <c r="A12" s="3">
        <f>ELEC!T13+ELEC!X13+ELEC!AB13</f>
        <v>4</v>
      </c>
      <c r="B12" s="3">
        <f>ELEC!AF13</f>
        <v>822</v>
      </c>
      <c r="C12" s="3">
        <f>ELEC!N13</f>
        <v>14011.200000000186</v>
      </c>
      <c r="D12" s="3">
        <f t="shared" si="0"/>
        <v>12368.200000000157</v>
      </c>
      <c r="E12" s="3">
        <f>ELEC!Q13</f>
        <v>1643.0000000000291</v>
      </c>
      <c r="F12" s="3">
        <f>GEN!Z12</f>
        <v>4</v>
      </c>
      <c r="G12" s="3">
        <f>WATER!C15+WATER!H15</f>
        <v>343</v>
      </c>
      <c r="H12" s="3">
        <f>WATER!L15</f>
        <v>0</v>
      </c>
      <c r="I12" s="15">
        <f>WATER!BC15+WATER!BD15+WATER!BE16-Sheet1!G12</f>
        <v>-327.10000000000002</v>
      </c>
      <c r="J12" s="9">
        <f>'B5'!A14</f>
        <v>43840</v>
      </c>
    </row>
    <row r="13" spans="1:10">
      <c r="A13" s="3">
        <f>ELEC!T14+ELEC!X14+ELEC!AB14</f>
        <v>3</v>
      </c>
      <c r="B13" s="3">
        <f>ELEC!AF14</f>
        <v>464</v>
      </c>
      <c r="C13" s="3">
        <f>ELEC!N14</f>
        <v>14175</v>
      </c>
      <c r="D13" s="3">
        <f t="shared" si="0"/>
        <v>12057.999999999811</v>
      </c>
      <c r="E13" s="3">
        <f>ELEC!Q14</f>
        <v>2117.0000000001892</v>
      </c>
      <c r="F13" s="3">
        <f>GEN!Z13</f>
        <v>4</v>
      </c>
      <c r="G13" s="3">
        <f>WATER!C16+WATER!H16</f>
        <v>0</v>
      </c>
      <c r="H13" s="3">
        <f>WATER!L16</f>
        <v>8</v>
      </c>
      <c r="I13" s="15">
        <f>WATER!BC16+WATER!BD16+WATER!BE17-Sheet1!G13</f>
        <v>96.099999999999966</v>
      </c>
      <c r="J13" s="9">
        <f>'B5'!A15</f>
        <v>43841</v>
      </c>
    </row>
    <row r="14" spans="1:10">
      <c r="A14" s="3">
        <f>ELEC!T15+ELEC!X15+ELEC!AB15</f>
        <v>4</v>
      </c>
      <c r="B14" s="3">
        <f>ELEC!AF15</f>
        <v>731</v>
      </c>
      <c r="C14" s="3">
        <f>ELEC!N15</f>
        <v>12801</v>
      </c>
      <c r="D14" s="3">
        <f t="shared" si="0"/>
        <v>10490.000000000306</v>
      </c>
      <c r="E14" s="3">
        <f>ELEC!Q15</f>
        <v>2310.9999999996944</v>
      </c>
      <c r="F14" s="3">
        <f>GEN!Z14</f>
        <v>3</v>
      </c>
      <c r="G14" s="3">
        <f>WATER!C17+WATER!H17</f>
        <v>737</v>
      </c>
      <c r="H14" s="3">
        <f>WATER!L17</f>
        <v>6</v>
      </c>
      <c r="I14" s="15">
        <f>WATER!BC17+WATER!BD17+WATER!BE18-Sheet1!G14</f>
        <v>-596.29999999999995</v>
      </c>
      <c r="J14" s="9">
        <f>'B5'!A16</f>
        <v>43842</v>
      </c>
    </row>
    <row r="15" spans="1:10">
      <c r="A15" s="3">
        <f>ELEC!T16+ELEC!X16+ELEC!AB16</f>
        <v>2</v>
      </c>
      <c r="B15" s="3">
        <f>ELEC!AF16</f>
        <v>558</v>
      </c>
      <c r="C15" s="3">
        <f>ELEC!N16</f>
        <v>12578</v>
      </c>
      <c r="D15" s="3">
        <f t="shared" si="0"/>
        <v>9773.9999999999127</v>
      </c>
      <c r="E15" s="3">
        <f>ELEC!Q16</f>
        <v>2804.0000000000873</v>
      </c>
      <c r="F15" s="3">
        <f>GEN!Z15</f>
        <v>3</v>
      </c>
      <c r="G15" s="3">
        <f>WATER!C18+WATER!H18</f>
        <v>0</v>
      </c>
      <c r="H15" s="3">
        <f>WATER!L18</f>
        <v>3</v>
      </c>
      <c r="I15" s="15">
        <f>WATER!BC18+WATER!BD18+WATER!BE19-Sheet1!G15</f>
        <v>50.700000000000017</v>
      </c>
      <c r="J15" s="9">
        <f>'B5'!A17</f>
        <v>43843</v>
      </c>
    </row>
    <row r="16" spans="1:10">
      <c r="A16" s="3">
        <f>ELEC!T17+ELEC!X17+ELEC!AB17</f>
        <v>3</v>
      </c>
      <c r="B16" s="3">
        <f>ELEC!AF17</f>
        <v>634</v>
      </c>
      <c r="C16" s="3">
        <f>ELEC!N17</f>
        <v>12879</v>
      </c>
      <c r="D16" s="3">
        <f t="shared" si="0"/>
        <v>10232.99999999936</v>
      </c>
      <c r="E16" s="3">
        <f>ELEC!Q17</f>
        <v>2646.0000000006403</v>
      </c>
      <c r="F16" s="3">
        <f>GEN!Z16</f>
        <v>4</v>
      </c>
      <c r="G16" s="3">
        <f>WATER!C19+WATER!H19</f>
        <v>89</v>
      </c>
      <c r="H16" s="3">
        <f>WATER!L19</f>
        <v>4</v>
      </c>
      <c r="I16" s="15">
        <f>WATER!BC19+WATER!BD19+WATER!BE20-Sheet1!G16</f>
        <v>-160.29999999999995</v>
      </c>
      <c r="J16" s="9">
        <f>'B5'!A18</f>
        <v>43844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11369.399999999907</v>
      </c>
      <c r="D17" s="3">
        <f t="shared" si="0"/>
        <v>6889.4000000003434</v>
      </c>
      <c r="E17" s="3">
        <f>ELEC!Q18</f>
        <v>4479.9999999995634</v>
      </c>
      <c r="F17" s="3">
        <f>GEN!Z17</f>
        <v>5</v>
      </c>
      <c r="G17" s="3">
        <f>WATER!C20+WATER!H20</f>
        <v>0</v>
      </c>
      <c r="H17" s="3">
        <f>WATER!L20</f>
        <v>6</v>
      </c>
      <c r="I17" s="15">
        <f>WATER!BC20+WATER!BD20+WATER!BE21-Sheet1!G17</f>
        <v>122.10000000000001</v>
      </c>
      <c r="J17" s="9">
        <f>'B5'!A19</f>
        <v>43845</v>
      </c>
    </row>
    <row r="18" spans="1:10">
      <c r="A18" s="3">
        <f>ELEC!T19+ELEC!X19+ELEC!AB19</f>
        <v>3</v>
      </c>
      <c r="B18" s="3">
        <f>ELEC!AF19</f>
        <v>740</v>
      </c>
      <c r="C18" s="3">
        <f>ELEC!N19</f>
        <v>14249.600000000093</v>
      </c>
      <c r="D18" s="3">
        <f t="shared" si="0"/>
        <v>12235.600000000879</v>
      </c>
      <c r="E18" s="3">
        <f>ELEC!Q19</f>
        <v>2013.9999999992142</v>
      </c>
      <c r="F18" s="3">
        <f>GEN!Z18</f>
        <v>6</v>
      </c>
      <c r="G18" s="3">
        <f>WATER!C21+WATER!H21</f>
        <v>343</v>
      </c>
      <c r="H18" s="3">
        <f>WATER!L21</f>
        <v>2</v>
      </c>
      <c r="I18" s="15">
        <f>WATER!BC21+WATER!BD21+WATER!BE22-Sheet1!G18</f>
        <v>-319.00000000000006</v>
      </c>
      <c r="J18" s="9">
        <f>'B5'!A20</f>
        <v>43846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-56.800000000000011</v>
      </c>
      <c r="J19" s="9">
        <f>'B5'!A21</f>
        <v>43847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43848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43849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43850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43851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43852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43853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43854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43855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43856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43857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43858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43859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6"/>
      <c r="B1" s="603" t="s">
        <v>119</v>
      </c>
      <c r="C1" s="603" t="s">
        <v>118</v>
      </c>
      <c r="D1" s="608" t="s">
        <v>113</v>
      </c>
      <c r="E1" s="608" t="s">
        <v>114</v>
      </c>
      <c r="F1" s="609" t="s">
        <v>120</v>
      </c>
      <c r="G1" s="610" t="s">
        <v>75</v>
      </c>
      <c r="H1" s="611" t="s">
        <v>115</v>
      </c>
      <c r="I1" s="612" t="s">
        <v>116</v>
      </c>
      <c r="J1" s="611" t="s">
        <v>117</v>
      </c>
      <c r="K1" s="605" t="s">
        <v>121</v>
      </c>
      <c r="L1" s="605" t="s">
        <v>122</v>
      </c>
      <c r="M1" s="605" t="s">
        <v>123</v>
      </c>
      <c r="N1" s="605" t="s">
        <v>124</v>
      </c>
    </row>
    <row r="2" spans="1:14">
      <c r="A2" s="607"/>
      <c r="B2" s="604"/>
      <c r="C2" s="604"/>
      <c r="D2" s="608"/>
      <c r="E2" s="608"/>
      <c r="F2" s="609"/>
      <c r="G2" s="610"/>
      <c r="H2" s="611"/>
      <c r="I2" s="613"/>
      <c r="J2" s="611"/>
      <c r="K2" s="605"/>
      <c r="L2" s="605"/>
      <c r="M2" s="605"/>
      <c r="N2" s="605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43831</v>
      </c>
      <c r="B5" s="77">
        <f>'B5'!V5</f>
        <v>1058</v>
      </c>
      <c r="C5" s="77">
        <f>'B5'!AH5</f>
        <v>400</v>
      </c>
      <c r="D5" s="77">
        <f>GEN!AI3</f>
        <v>655.55696202497188</v>
      </c>
      <c r="E5" s="248">
        <f t="shared" ref="E5:E33" si="0">B5+C5+D5</f>
        <v>2113.5569620249717</v>
      </c>
      <c r="F5" s="76">
        <f>WATER!L5</f>
        <v>0</v>
      </c>
      <c r="G5" s="79">
        <f>WATER!BG5</f>
        <v>127.40000000000003</v>
      </c>
      <c r="H5" s="80">
        <f>ELEC!AF3</f>
        <v>1093</v>
      </c>
      <c r="I5" s="80">
        <f>ELEC!Q3</f>
        <v>2546.9999999986612</v>
      </c>
      <c r="J5" s="80">
        <f>ELEC!R3</f>
        <v>11692.000000001339</v>
      </c>
      <c r="K5" s="81"/>
      <c r="L5" s="3"/>
      <c r="M5" s="3"/>
      <c r="N5" s="3"/>
    </row>
    <row r="6" spans="1:14">
      <c r="A6" s="63">
        <f>'B5'!A6</f>
        <v>43832</v>
      </c>
      <c r="B6" s="77">
        <f>'B5'!V6</f>
        <v>995</v>
      </c>
      <c r="C6" s="77">
        <f>'B5'!AH6</f>
        <v>97.299999999988358</v>
      </c>
      <c r="D6" s="77">
        <f>GEN!AI4</f>
        <v>1189.6286919834333</v>
      </c>
      <c r="E6" s="248">
        <f t="shared" si="0"/>
        <v>2281.9286919834217</v>
      </c>
      <c r="F6" s="76">
        <f>WATER!L6</f>
        <v>0</v>
      </c>
      <c r="G6" s="79">
        <f>WATER!BG6</f>
        <v>-93.500000000000028</v>
      </c>
      <c r="H6" s="80">
        <f>ELEC!AF4</f>
        <v>1282</v>
      </c>
      <c r="I6" s="80">
        <f>ELEC!Q4</f>
        <v>4622.0000000012078</v>
      </c>
      <c r="J6" s="80">
        <f>ELEC!R4</f>
        <v>10480.999999998792</v>
      </c>
      <c r="K6" s="3"/>
      <c r="L6" s="3"/>
      <c r="M6" s="3"/>
      <c r="N6" s="3"/>
    </row>
    <row r="7" spans="1:14">
      <c r="A7" s="63">
        <f>'B5'!A7</f>
        <v>43833</v>
      </c>
      <c r="B7" s="77">
        <f>'B5'!V7</f>
        <v>843</v>
      </c>
      <c r="C7" s="77">
        <f>'B5'!AH7</f>
        <v>482.90000000002328</v>
      </c>
      <c r="D7" s="77">
        <f>GEN!AI5</f>
        <v>1191.9451476791714</v>
      </c>
      <c r="E7" s="248">
        <f t="shared" si="0"/>
        <v>2517.8451476791947</v>
      </c>
      <c r="F7" s="76">
        <f>WATER!L7</f>
        <v>7</v>
      </c>
      <c r="G7" s="79">
        <f>WATER!BG7</f>
        <v>74.100000000000023</v>
      </c>
      <c r="H7" s="80">
        <f>ELEC!AF5</f>
        <v>1422</v>
      </c>
      <c r="I7" s="80">
        <f>ELEC!Q5</f>
        <v>4630.9999999994034</v>
      </c>
      <c r="J7" s="80">
        <f>ELEC!R5</f>
        <v>10542.000000000597</v>
      </c>
      <c r="K7" s="3"/>
      <c r="L7" s="3"/>
      <c r="M7" s="3"/>
      <c r="N7" s="3"/>
    </row>
    <row r="8" spans="1:14">
      <c r="A8" s="63">
        <f>'B5'!A8</f>
        <v>43834</v>
      </c>
      <c r="B8" s="77">
        <f>'B5'!V8</f>
        <v>944</v>
      </c>
      <c r="C8" s="77">
        <f>'B5'!AH8</f>
        <v>0</v>
      </c>
      <c r="D8" s="77">
        <f>GEN!AI6</f>
        <v>1029.535864978903</v>
      </c>
      <c r="E8" s="248">
        <f t="shared" si="0"/>
        <v>1973.535864978903</v>
      </c>
      <c r="F8" s="76">
        <f>WATER!L8</f>
        <v>1</v>
      </c>
      <c r="G8" s="79">
        <f>WATER!BG8</f>
        <v>-83.5</v>
      </c>
      <c r="H8" s="80">
        <f>ELEC!AF6</f>
        <v>1114</v>
      </c>
      <c r="I8" s="80">
        <f>ELEC!Q6</f>
        <v>4000</v>
      </c>
      <c r="J8" s="80">
        <f>ELEC!R6</f>
        <v>11817</v>
      </c>
      <c r="K8" s="3"/>
      <c r="L8" s="3"/>
      <c r="M8" s="3"/>
      <c r="N8" s="3"/>
    </row>
    <row r="9" spans="1:14">
      <c r="A9" s="63">
        <f>'B5'!A9</f>
        <v>43835</v>
      </c>
      <c r="B9" s="77">
        <f>'B5'!V9</f>
        <v>706</v>
      </c>
      <c r="C9" s="77">
        <f>'B5'!AH9</f>
        <v>401.70000000001164</v>
      </c>
      <c r="D9" s="77">
        <f>GEN!AI7</f>
        <v>665.59493670868858</v>
      </c>
      <c r="E9" s="248">
        <f t="shared" si="0"/>
        <v>1773.2949367087003</v>
      </c>
      <c r="F9" s="76">
        <f>WATER!L9</f>
        <v>3</v>
      </c>
      <c r="G9" s="79">
        <f>WATER!BG9</f>
        <v>43.199999999999989</v>
      </c>
      <c r="H9" s="80">
        <f>ELEC!AF7</f>
        <v>1368</v>
      </c>
      <c r="I9" s="80">
        <f>ELEC!Q7</f>
        <v>2585.9999999993306</v>
      </c>
      <c r="J9" s="80">
        <f>ELEC!R7</f>
        <v>12909</v>
      </c>
      <c r="K9" s="3"/>
      <c r="L9" s="3"/>
      <c r="M9" s="3"/>
      <c r="N9" s="3"/>
    </row>
    <row r="10" spans="1:14">
      <c r="A10" s="63">
        <f>'B5'!A10</f>
        <v>43836</v>
      </c>
      <c r="B10" s="77">
        <f>'B5'!V10</f>
        <v>607</v>
      </c>
      <c r="C10" s="77">
        <f>'B5'!AH10</f>
        <v>0</v>
      </c>
      <c r="D10" s="77">
        <f>GEN!AI8</f>
        <v>1347.1476793249919</v>
      </c>
      <c r="E10" s="248">
        <f t="shared" si="0"/>
        <v>1954.1476793249919</v>
      </c>
      <c r="F10" s="76">
        <f>WATER!L10</f>
        <v>2</v>
      </c>
      <c r="G10" s="79">
        <f>WATER!BG10</f>
        <v>-62.2</v>
      </c>
      <c r="H10" s="80">
        <f>ELEC!AF8</f>
        <v>926</v>
      </c>
      <c r="I10" s="80">
        <f>ELEC!Q8</f>
        <v>5234.0000000003783</v>
      </c>
      <c r="J10" s="80">
        <f>ELEC!R8</f>
        <v>7903.9999999996217</v>
      </c>
      <c r="K10" s="3"/>
      <c r="L10" s="3"/>
      <c r="M10" s="3"/>
      <c r="N10" s="3"/>
    </row>
    <row r="11" spans="1:14">
      <c r="A11" s="63">
        <f>'B5'!A11</f>
        <v>43837</v>
      </c>
      <c r="B11" s="77">
        <f>'B5'!V11</f>
        <v>638</v>
      </c>
      <c r="C11" s="77">
        <f>'B5'!AH11</f>
        <v>381.29999999998836</v>
      </c>
      <c r="D11" s="77">
        <f>GEN!AI9</f>
        <v>1255.7763713082268</v>
      </c>
      <c r="E11" s="248">
        <f t="shared" si="0"/>
        <v>2275.0763713082151</v>
      </c>
      <c r="F11" s="76">
        <f>WATER!L11</f>
        <v>4</v>
      </c>
      <c r="G11" s="79">
        <f>WATER!BG11</f>
        <v>14.799999999999983</v>
      </c>
      <c r="H11" s="80">
        <f>ELEC!AF9</f>
        <v>906</v>
      </c>
      <c r="I11" s="80">
        <f>ELEC!Q9</f>
        <v>4879.0000000008149</v>
      </c>
      <c r="J11" s="80">
        <f>ELEC!R9</f>
        <v>7992.9999999991851</v>
      </c>
      <c r="K11" s="3"/>
      <c r="L11" s="3"/>
      <c r="M11" s="3"/>
      <c r="N11" s="3"/>
    </row>
    <row r="12" spans="1:14">
      <c r="A12" s="63">
        <f>'B5'!A12</f>
        <v>43838</v>
      </c>
      <c r="B12" s="77">
        <f>'B5'!V12</f>
        <v>816</v>
      </c>
      <c r="C12" s="77">
        <f>'B5'!AH12</f>
        <v>0</v>
      </c>
      <c r="D12" s="77">
        <f>GEN!AI10</f>
        <v>1801.9451476793774</v>
      </c>
      <c r="E12" s="248">
        <f t="shared" si="0"/>
        <v>2617.9451476793774</v>
      </c>
      <c r="F12" s="76">
        <f>WATER!L12</f>
        <v>3</v>
      </c>
      <c r="G12" s="79">
        <f>WATER!BG12</f>
        <v>-0.29999999999999716</v>
      </c>
      <c r="H12" s="80">
        <f>ELEC!AF10</f>
        <v>412</v>
      </c>
      <c r="I12" s="80">
        <f>ELEC!Q10</f>
        <v>7001.0000000002037</v>
      </c>
      <c r="J12" s="80">
        <f>ELEC!R10</f>
        <v>5535.3999999997031</v>
      </c>
      <c r="K12" s="3"/>
      <c r="L12" s="3"/>
      <c r="M12" s="3"/>
      <c r="N12" s="3"/>
    </row>
    <row r="13" spans="1:14">
      <c r="A13" s="63">
        <f>'B5'!A13</f>
        <v>43839</v>
      </c>
      <c r="B13" s="77">
        <f>'B5'!V13</f>
        <v>853</v>
      </c>
      <c r="C13" s="77">
        <f>'B5'!AH13</f>
        <v>0</v>
      </c>
      <c r="D13" s="77">
        <f>GEN!AI11</f>
        <v>1257.5780590713705</v>
      </c>
      <c r="E13" s="248">
        <f t="shared" si="0"/>
        <v>2110.5780590713703</v>
      </c>
      <c r="F13" s="76">
        <f>WATER!L13</f>
        <v>0</v>
      </c>
      <c r="G13" s="79">
        <f>WATER!BG13</f>
        <v>30.500000000000028</v>
      </c>
      <c r="H13" s="80">
        <f>ELEC!AF11</f>
        <v>880</v>
      </c>
      <c r="I13" s="80">
        <f>ELEC!Q11</f>
        <v>4885.999999998603</v>
      </c>
      <c r="J13" s="80">
        <f>ELEC!R11</f>
        <v>8745.6000000014901</v>
      </c>
      <c r="K13" s="3"/>
      <c r="L13" s="3"/>
      <c r="M13" s="3"/>
      <c r="N13" s="3"/>
    </row>
    <row r="14" spans="1:14">
      <c r="A14" s="63">
        <f>'B5'!A14</f>
        <v>43840</v>
      </c>
      <c r="B14" s="77">
        <f>'B5'!V14</f>
        <v>1011</v>
      </c>
      <c r="C14" s="77">
        <f>'B5'!AH14</f>
        <v>450.79999999998836</v>
      </c>
      <c r="D14" s="77">
        <f>GEN!AI12</f>
        <v>621.3248945149403</v>
      </c>
      <c r="E14" s="248">
        <f t="shared" si="0"/>
        <v>2083.1248945149287</v>
      </c>
      <c r="F14" s="76">
        <f>WATER!L14</f>
        <v>2</v>
      </c>
      <c r="G14" s="79">
        <f>WATER!BG14</f>
        <v>-9.8000000000000114</v>
      </c>
      <c r="H14" s="80">
        <f>ELEC!AF12</f>
        <v>741</v>
      </c>
      <c r="I14" s="80">
        <f>ELEC!Q12</f>
        <v>2414.0000000006694</v>
      </c>
      <c r="J14" s="80">
        <f>ELEC!R12</f>
        <v>10648.799999999144</v>
      </c>
      <c r="K14" s="3"/>
      <c r="L14" s="3"/>
      <c r="M14" s="3"/>
      <c r="N14" s="3"/>
    </row>
    <row r="15" spans="1:14">
      <c r="A15" s="63">
        <f>'B5'!A15</f>
        <v>43841</v>
      </c>
      <c r="B15" s="77">
        <f>'B5'!V15</f>
        <v>728</v>
      </c>
      <c r="C15" s="77">
        <f>'B5'!AH15</f>
        <v>0</v>
      </c>
      <c r="D15" s="77">
        <f>GEN!AI13</f>
        <v>422.88185654009192</v>
      </c>
      <c r="E15" s="248">
        <f t="shared" si="0"/>
        <v>1150.881856540092</v>
      </c>
      <c r="F15" s="76">
        <f>WATER!L15</f>
        <v>0</v>
      </c>
      <c r="G15" s="79">
        <f>WATER!BG15</f>
        <v>148.29999999999998</v>
      </c>
      <c r="H15" s="80">
        <f>ELEC!AF13</f>
        <v>822</v>
      </c>
      <c r="I15" s="80">
        <f>ELEC!Q13</f>
        <v>1643.0000000000291</v>
      </c>
      <c r="J15" s="80">
        <f>ELEC!R13</f>
        <v>12368.200000000157</v>
      </c>
      <c r="K15" s="3"/>
      <c r="L15" s="3"/>
      <c r="M15" s="3"/>
      <c r="N15" s="3"/>
    </row>
    <row r="16" spans="1:14">
      <c r="A16" s="63">
        <f>'B5'!A16</f>
        <v>43842</v>
      </c>
      <c r="B16" s="77">
        <f>'B5'!V16</f>
        <v>543</v>
      </c>
      <c r="C16" s="77">
        <f>'B5'!AH16</f>
        <v>0</v>
      </c>
      <c r="D16" s="77">
        <f>GEN!AI14</f>
        <v>544.88185654013307</v>
      </c>
      <c r="E16" s="248">
        <f t="shared" si="0"/>
        <v>1087.881856540133</v>
      </c>
      <c r="F16" s="76">
        <f>WATER!L16</f>
        <v>8</v>
      </c>
      <c r="G16" s="79">
        <f>WATER!BG16</f>
        <v>-65.799999999999983</v>
      </c>
      <c r="H16" s="80">
        <f>ELEC!AF14</f>
        <v>464</v>
      </c>
      <c r="I16" s="80">
        <f>ELEC!Q14</f>
        <v>2117.0000000001892</v>
      </c>
      <c r="J16" s="80">
        <f>ELEC!R14</f>
        <v>12057.999999999811</v>
      </c>
      <c r="K16" s="3"/>
      <c r="L16" s="3"/>
      <c r="M16" s="3"/>
      <c r="N16" s="3"/>
    </row>
    <row r="17" spans="1:14">
      <c r="A17" s="63">
        <f>'B5'!A17</f>
        <v>43843</v>
      </c>
      <c r="B17" s="77">
        <f>'B5'!V17</f>
        <v>749</v>
      </c>
      <c r="C17" s="77">
        <f>'B5'!AH17</f>
        <v>0</v>
      </c>
      <c r="D17" s="77">
        <f>GEN!AI15</f>
        <v>594.81434599148258</v>
      </c>
      <c r="E17" s="248">
        <f t="shared" si="0"/>
        <v>1343.8143459914827</v>
      </c>
      <c r="F17" s="76">
        <f>WATER!L17</f>
        <v>6</v>
      </c>
      <c r="G17" s="79">
        <f>WATER!BG17</f>
        <v>94.399999999999977</v>
      </c>
      <c r="H17" s="80">
        <f>ELEC!AF15</f>
        <v>731</v>
      </c>
      <c r="I17" s="80">
        <f>ELEC!Q15</f>
        <v>2310.9999999996944</v>
      </c>
      <c r="J17" s="80">
        <f>ELEC!R15</f>
        <v>10490.000000000306</v>
      </c>
      <c r="K17" s="3"/>
      <c r="L17" s="3"/>
      <c r="M17" s="3"/>
      <c r="N17" s="3"/>
    </row>
    <row r="18" spans="1:14">
      <c r="A18" s="63">
        <f>'B5'!A18</f>
        <v>43844</v>
      </c>
      <c r="B18" s="77">
        <f>'B5'!V18</f>
        <v>460</v>
      </c>
      <c r="C18" s="77">
        <f>'B5'!AH18</f>
        <v>426.59999999997672</v>
      </c>
      <c r="D18" s="77">
        <f>GEN!AI16</f>
        <v>721.70464135023349</v>
      </c>
      <c r="E18" s="248">
        <f t="shared" si="0"/>
        <v>1608.3046413502102</v>
      </c>
      <c r="F18" s="76">
        <f>WATER!L18</f>
        <v>3</v>
      </c>
      <c r="G18" s="79">
        <f>WATER!BG18</f>
        <v>36.400000000000041</v>
      </c>
      <c r="H18" s="80">
        <f>ELEC!AF16</f>
        <v>558</v>
      </c>
      <c r="I18" s="80">
        <f>ELEC!Q16</f>
        <v>2804.0000000000873</v>
      </c>
      <c r="J18" s="80">
        <f>ELEC!R16</f>
        <v>9773.9999999999127</v>
      </c>
      <c r="K18" s="3"/>
      <c r="L18" s="3"/>
      <c r="M18" s="3"/>
      <c r="N18" s="3"/>
    </row>
    <row r="19" spans="1:14">
      <c r="A19" s="63">
        <f>'B5'!A19</f>
        <v>43845</v>
      </c>
      <c r="B19" s="77">
        <f>'B5'!V19</f>
        <v>588</v>
      </c>
      <c r="C19" s="77">
        <f>'B5'!AH19</f>
        <v>174.60000000003492</v>
      </c>
      <c r="D19" s="77">
        <f>GEN!AI17</f>
        <v>681.03797468370919</v>
      </c>
      <c r="E19" s="248">
        <f t="shared" si="0"/>
        <v>1443.6379746837442</v>
      </c>
      <c r="F19" s="76">
        <f>WATER!L19</f>
        <v>4</v>
      </c>
      <c r="G19" s="79">
        <f>WATER!BG19</f>
        <v>47.59999999999998</v>
      </c>
      <c r="H19" s="80">
        <f>ELEC!AF17</f>
        <v>634</v>
      </c>
      <c r="I19" s="80">
        <f>ELEC!Q17</f>
        <v>2646.0000000006403</v>
      </c>
      <c r="J19" s="80">
        <f>ELEC!R17</f>
        <v>10232.99999999936</v>
      </c>
      <c r="K19" s="3"/>
      <c r="L19" s="3"/>
      <c r="M19" s="3"/>
      <c r="N19" s="3"/>
    </row>
    <row r="20" spans="1:14">
      <c r="A20" s="63">
        <f>'B5'!A20</f>
        <v>43846</v>
      </c>
      <c r="B20" s="77">
        <f>'B5'!V20</f>
        <v>484</v>
      </c>
      <c r="C20" s="77">
        <f>'B5'!AH20</f>
        <v>0</v>
      </c>
      <c r="D20" s="77">
        <f>GEN!AI18</f>
        <v>1153.0801687762591</v>
      </c>
      <c r="E20" s="248">
        <f t="shared" si="0"/>
        <v>1637.0801687762591</v>
      </c>
      <c r="F20" s="76">
        <f>WATER!L20</f>
        <v>6</v>
      </c>
      <c r="G20" s="79">
        <f>WATER!BG20</f>
        <v>-64.899999999999949</v>
      </c>
      <c r="H20" s="80">
        <f>ELEC!AF18</f>
        <v>982</v>
      </c>
      <c r="I20" s="80">
        <f>ELEC!Q18</f>
        <v>4479.9999999995634</v>
      </c>
      <c r="J20" s="80">
        <f>ELEC!R18</f>
        <v>6889.4000000003434</v>
      </c>
      <c r="K20" s="3"/>
      <c r="L20" s="3"/>
      <c r="M20" s="3"/>
      <c r="N20" s="3"/>
    </row>
    <row r="21" spans="1:14">
      <c r="A21" s="63">
        <f>'B5'!A21</f>
        <v>43847</v>
      </c>
      <c r="B21" s="77">
        <f>'B5'!V21</f>
        <v>530</v>
      </c>
      <c r="C21" s="77">
        <f>'B5'!AH21</f>
        <v>497.09999999997672</v>
      </c>
      <c r="D21" s="77">
        <f>GEN!AI19</f>
        <v>518.37130801667547</v>
      </c>
      <c r="E21" s="248">
        <f t="shared" si="0"/>
        <v>1545.4713080166521</v>
      </c>
      <c r="F21" s="76">
        <f>WATER!L21</f>
        <v>2</v>
      </c>
      <c r="G21" s="79">
        <f>WATER!BG21</f>
        <v>123.09999999999997</v>
      </c>
      <c r="H21" s="80">
        <f>ELEC!AF19</f>
        <v>740</v>
      </c>
      <c r="I21" s="80">
        <f>ELEC!Q19</f>
        <v>2013.9999999992142</v>
      </c>
      <c r="J21" s="80">
        <f>ELEC!R19</f>
        <v>12235.600000000879</v>
      </c>
      <c r="K21" s="3"/>
      <c r="L21" s="3"/>
      <c r="M21" s="3"/>
      <c r="N21" s="3"/>
    </row>
    <row r="22" spans="1:14">
      <c r="A22" s="63">
        <f>'B5'!A22</f>
        <v>43848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-48.700000000000017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43849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43850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43851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43852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43853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43854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43855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43856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43857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43858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43859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43860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4" t="s">
        <v>151</v>
      </c>
      <c r="U3" s="614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13</v>
      </c>
      <c r="E5">
        <f t="shared" ref="E5:E37" si="0">D5*90</f>
        <v>1170</v>
      </c>
      <c r="F5">
        <f>'B5'!AM4</f>
        <v>1</v>
      </c>
      <c r="G5">
        <f t="shared" ref="G5:G37" si="1">F5*107</f>
        <v>107</v>
      </c>
      <c r="H5">
        <f>GEN!Z3</f>
        <v>3</v>
      </c>
    </row>
    <row r="6" spans="3:21">
      <c r="C6" s="100">
        <v>42430</v>
      </c>
      <c r="D6">
        <f>'B5'!AL5</f>
        <v>14</v>
      </c>
      <c r="E6">
        <f t="shared" si="0"/>
        <v>1260</v>
      </c>
      <c r="F6">
        <f>'B5'!AM5</f>
        <v>9</v>
      </c>
      <c r="G6">
        <f t="shared" si="1"/>
        <v>963</v>
      </c>
    </row>
    <row r="7" spans="3:21">
      <c r="C7" s="100">
        <v>42431</v>
      </c>
      <c r="D7">
        <f>'B5'!AL6</f>
        <v>13</v>
      </c>
      <c r="E7">
        <f t="shared" si="0"/>
        <v>1170</v>
      </c>
      <c r="F7">
        <f>'B5'!AM6</f>
        <v>2</v>
      </c>
      <c r="G7">
        <f t="shared" si="1"/>
        <v>214</v>
      </c>
    </row>
    <row r="8" spans="3:21">
      <c r="C8" s="100">
        <v>42432</v>
      </c>
      <c r="D8">
        <f>'B5'!AL7</f>
        <v>11</v>
      </c>
      <c r="E8">
        <f t="shared" si="0"/>
        <v>990</v>
      </c>
      <c r="F8">
        <f>'B5'!AM7</f>
        <v>9</v>
      </c>
      <c r="G8">
        <f t="shared" si="1"/>
        <v>963</v>
      </c>
    </row>
    <row r="9" spans="3:21">
      <c r="C9" s="100">
        <v>42433</v>
      </c>
      <c r="D9">
        <f>'B5'!AL8</f>
        <v>12</v>
      </c>
      <c r="E9">
        <f t="shared" si="0"/>
        <v>1080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10</v>
      </c>
      <c r="E10">
        <f t="shared" si="0"/>
        <v>900</v>
      </c>
      <c r="F10">
        <f>'B5'!AM9</f>
        <v>9</v>
      </c>
      <c r="G10">
        <f t="shared" si="1"/>
        <v>963</v>
      </c>
    </row>
    <row r="11" spans="3:21">
      <c r="C11" s="100">
        <v>42435</v>
      </c>
      <c r="D11">
        <f>'B5'!AL10</f>
        <v>8</v>
      </c>
      <c r="E11">
        <f t="shared" si="0"/>
        <v>720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8</v>
      </c>
      <c r="E12">
        <f t="shared" si="0"/>
        <v>720</v>
      </c>
      <c r="F12">
        <f>'B5'!AM11</f>
        <v>8</v>
      </c>
      <c r="G12">
        <f t="shared" si="1"/>
        <v>856</v>
      </c>
    </row>
    <row r="13" spans="3:21">
      <c r="C13" s="100">
        <v>42437</v>
      </c>
      <c r="D13">
        <f>'B5'!AL12</f>
        <v>11</v>
      </c>
      <c r="E13">
        <f t="shared" si="0"/>
        <v>990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11</v>
      </c>
      <c r="E14">
        <f t="shared" si="0"/>
        <v>990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10</v>
      </c>
      <c r="E16">
        <f t="shared" si="0"/>
        <v>900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7</v>
      </c>
      <c r="E17">
        <f t="shared" si="0"/>
        <v>630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6</v>
      </c>
      <c r="E19">
        <f t="shared" si="0"/>
        <v>540</v>
      </c>
      <c r="F19">
        <f>'B5'!AM18</f>
        <v>10</v>
      </c>
      <c r="G19">
        <f t="shared" si="1"/>
        <v>1070</v>
      </c>
    </row>
    <row r="20" spans="3:7">
      <c r="C20" s="100">
        <v>42444</v>
      </c>
      <c r="D20">
        <f>'B5'!AL19</f>
        <v>4</v>
      </c>
      <c r="E20">
        <f t="shared" si="0"/>
        <v>360</v>
      </c>
      <c r="F20">
        <f>'B5'!AM19</f>
        <v>3</v>
      </c>
      <c r="G20">
        <f t="shared" si="1"/>
        <v>321</v>
      </c>
    </row>
    <row r="21" spans="3:7">
      <c r="C21" s="100">
        <v>42445</v>
      </c>
      <c r="D21">
        <f>'B5'!AL20</f>
        <v>10</v>
      </c>
      <c r="E21">
        <f t="shared" si="0"/>
        <v>900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9</v>
      </c>
      <c r="G22">
        <f t="shared" si="1"/>
        <v>963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zoomScale="80" zoomScaleNormal="80" workbookViewId="0">
      <selection activeCell="K20" sqref="K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5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2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5"/>
      <c r="T2" s="352"/>
    </row>
    <row r="3" spans="1:30" ht="15.75" thickBot="1">
      <c r="A3" s="164" t="str">
        <f>ELEC!C2</f>
        <v>31-12-2019</v>
      </c>
      <c r="B3" s="271">
        <f>'[1]EDl log'!B34</f>
        <v>49273533</v>
      </c>
      <c r="C3" s="271">
        <f>'[1]EDl log'!C34</f>
        <v>6380</v>
      </c>
      <c r="D3" s="271">
        <f>'[1]EDl log'!D34</f>
        <v>6380</v>
      </c>
      <c r="E3" s="271">
        <f>'[1]EDl log'!E34</f>
        <v>49273533</v>
      </c>
      <c r="F3" s="271">
        <f>'[1]EDl log'!F34</f>
        <v>7917555</v>
      </c>
      <c r="G3" s="271">
        <f>'[1]EDl log'!G34</f>
        <v>1092</v>
      </c>
      <c r="H3" s="271">
        <f>'[1]EDl log'!H34</f>
        <v>24270583</v>
      </c>
      <c r="I3" s="271">
        <f>'[1]EDl log'!I34</f>
        <v>2743</v>
      </c>
      <c r="J3" s="271">
        <f>'[1]EDl log'!J34</f>
        <v>17085395</v>
      </c>
      <c r="K3" s="271">
        <f>'[1]EDl log'!K34</f>
        <v>2545</v>
      </c>
      <c r="L3" s="271">
        <f>'[1]EDl log'!L34</f>
        <v>231.80099502487562</v>
      </c>
      <c r="M3" s="271">
        <f>'[1]EDl log'!M34</f>
        <v>203.7917081260365</v>
      </c>
      <c r="N3" s="271">
        <f>'[1]EDl log'!N34</f>
        <v>135.0580431177446</v>
      </c>
      <c r="O3" s="271">
        <f>'[1]EDl log'!O34</f>
        <v>154.80303857058792</v>
      </c>
      <c r="P3" s="271">
        <f>'[1]EDl log'!P34</f>
        <v>725.45378483924469</v>
      </c>
      <c r="Q3" s="271">
        <f>'[1]EDl log'!Q34</f>
        <v>1531.5745495483911</v>
      </c>
      <c r="R3" s="271">
        <f>'[1]EDl log'!R34</f>
        <v>2257.0283343876358</v>
      </c>
      <c r="S3" s="271">
        <f>'[1]EDl log'!S34</f>
        <v>16085</v>
      </c>
      <c r="T3" s="271">
        <f>'[1]EDl log'!T34</f>
        <v>0.14031882713009858</v>
      </c>
      <c r="Z3" t="s">
        <v>214</v>
      </c>
      <c r="AA3">
        <v>0.1</v>
      </c>
    </row>
    <row r="4" spans="1:30">
      <c r="A4" s="164">
        <f>ELEC!C3</f>
        <v>43831</v>
      </c>
      <c r="B4" s="413">
        <v>49279685</v>
      </c>
      <c r="C4" s="280">
        <f>SUM(B4-B3)</f>
        <v>6152</v>
      </c>
      <c r="D4" s="325">
        <f>SUM(G4+I4+K4)</f>
        <v>6153</v>
      </c>
      <c r="E4" s="325">
        <f>B3+D4</f>
        <v>49279686</v>
      </c>
      <c r="F4" s="568">
        <v>7918667</v>
      </c>
      <c r="G4" s="161">
        <f t="shared" ref="G4:G32" si="0">F4-F3</f>
        <v>1112</v>
      </c>
      <c r="H4" s="568">
        <v>24273384</v>
      </c>
      <c r="I4" s="162">
        <f t="shared" ref="I4:I33" si="1">H4-H3</f>
        <v>2801</v>
      </c>
      <c r="J4" s="568">
        <v>17087635</v>
      </c>
      <c r="K4" s="163">
        <f t="shared" ref="K4:K33" si="2">J4-J3</f>
        <v>2240</v>
      </c>
      <c r="L4" s="312">
        <f>SUM(G4*$Y$28)/1507.5</f>
        <v>236.04643449419569</v>
      </c>
      <c r="M4" s="312">
        <f>SUM(I4*$Y$27)/1507.5</f>
        <v>208.10082918739636</v>
      </c>
      <c r="N4" s="312">
        <f>SUM(K4*$Y$26)/1507.5</f>
        <v>118.87230514096186</v>
      </c>
      <c r="O4" s="312">
        <f>($AC$31/$A$38)/1507.5</f>
        <v>84.891988893548216</v>
      </c>
      <c r="P4" s="313">
        <f>SUM(L4:O4)</f>
        <v>647.91155771610215</v>
      </c>
      <c r="Q4" s="313">
        <f>SUM(-tanks!AX6*tanks!$AU$37)</f>
        <v>513.37795698924378</v>
      </c>
      <c r="R4" s="313">
        <f>SUM(P4:Q4)</f>
        <v>1161.2895147053459</v>
      </c>
      <c r="S4" s="316">
        <f>SUM(ELEC!N3)</f>
        <v>14239</v>
      </c>
      <c r="T4" s="353">
        <f>IF(S4&gt;0,R4/S4,0)</f>
        <v>8.1556957279678766E-2</v>
      </c>
      <c r="U4" s="256"/>
      <c r="V4" s="257" t="str">
        <f>'[3]EDl log'!V21</f>
        <v xml:space="preserve">EDL </v>
      </c>
      <c r="W4" s="168">
        <v>43818</v>
      </c>
      <c r="X4" s="170"/>
      <c r="Y4" s="170"/>
      <c r="Z4" s="170" t="s">
        <v>202</v>
      </c>
      <c r="AA4" s="170"/>
      <c r="AB4" s="625"/>
      <c r="AC4" s="626"/>
    </row>
    <row r="5" spans="1:30">
      <c r="A5" s="164">
        <f>ELEC!C4</f>
        <v>43832</v>
      </c>
      <c r="B5" s="568">
        <v>49285105</v>
      </c>
      <c r="C5" s="271">
        <f t="shared" ref="C5:C33" si="3">SUM(B5-B4)</f>
        <v>5420</v>
      </c>
      <c r="D5" s="325">
        <f t="shared" ref="D5:D33" si="4">SUM(G5+I5+K5)</f>
        <v>5418</v>
      </c>
      <c r="E5" s="325">
        <f>B4+D5</f>
        <v>49285103</v>
      </c>
      <c r="F5" s="568">
        <v>7919417</v>
      </c>
      <c r="G5" s="161">
        <f t="shared" si="0"/>
        <v>750</v>
      </c>
      <c r="H5" s="568">
        <v>24275484</v>
      </c>
      <c r="I5" s="162">
        <f t="shared" si="1"/>
        <v>2100</v>
      </c>
      <c r="J5" s="568">
        <v>17090203</v>
      </c>
      <c r="K5" s="163">
        <f t="shared" si="2"/>
        <v>2568</v>
      </c>
      <c r="L5" s="312">
        <f t="shared" ref="L5:L32" si="5">SUM(G5*$Y$28)/1507.5</f>
        <v>159.20398009950247</v>
      </c>
      <c r="M5" s="312">
        <f t="shared" ref="M5:M33" si="6">SUM(I5*$Y$27)/1507.5</f>
        <v>156.01990049751242</v>
      </c>
      <c r="N5" s="312">
        <f t="shared" ref="N5:N33" si="7">SUM(K5*$Y$26)/1507.5</f>
        <v>136.27860696517413</v>
      </c>
      <c r="O5" s="312">
        <f t="shared" ref="O5:O34" si="8">($AC$31/$A$38)/1507.5</f>
        <v>84.891988893548216</v>
      </c>
      <c r="P5" s="313">
        <f t="shared" ref="P5:P32" si="9">SUM(L5:O5)</f>
        <v>536.39447645573728</v>
      </c>
      <c r="Q5" s="313">
        <f>SUM(-tanks!AX7*tanks!$AU$37)</f>
        <v>705.53038817205572</v>
      </c>
      <c r="R5" s="313">
        <f t="shared" ref="R5:R32" si="10">SUM(P5:Q5)</f>
        <v>1241.9248646277929</v>
      </c>
      <c r="S5" s="316">
        <f>SUM(ELEC!N4)</f>
        <v>15103</v>
      </c>
      <c r="T5" s="353">
        <f>IF(S5&gt;0,R5/S5,0)</f>
        <v>8.223034262251161E-2</v>
      </c>
      <c r="U5" s="256"/>
      <c r="V5" s="619"/>
      <c r="W5" s="620"/>
      <c r="X5" s="620"/>
      <c r="Y5" s="621"/>
      <c r="Z5" s="26" t="s">
        <v>203</v>
      </c>
      <c r="AA5" s="271">
        <f>'[4]EDl log'!AA5</f>
        <v>5000</v>
      </c>
      <c r="AB5" s="627"/>
      <c r="AC5" s="628"/>
    </row>
    <row r="6" spans="1:30">
      <c r="A6" s="164">
        <f>ELEC!C5</f>
        <v>43833</v>
      </c>
      <c r="B6" s="568">
        <v>49290270</v>
      </c>
      <c r="C6" s="271">
        <f t="shared" si="3"/>
        <v>5165</v>
      </c>
      <c r="D6" s="325">
        <f t="shared" si="4"/>
        <v>5167</v>
      </c>
      <c r="E6" s="325">
        <f t="shared" ref="E6:E33" si="11">B5+D6</f>
        <v>49290272</v>
      </c>
      <c r="F6" s="568">
        <v>7920710</v>
      </c>
      <c r="G6" s="161">
        <f t="shared" si="0"/>
        <v>1293</v>
      </c>
      <c r="H6" s="568">
        <v>24277822</v>
      </c>
      <c r="I6" s="162">
        <f t="shared" si="1"/>
        <v>2338</v>
      </c>
      <c r="J6" s="568">
        <v>17091739</v>
      </c>
      <c r="K6" s="163">
        <f t="shared" si="2"/>
        <v>1536</v>
      </c>
      <c r="L6" s="312">
        <f t="shared" si="5"/>
        <v>274.46766169154228</v>
      </c>
      <c r="M6" s="312">
        <f t="shared" si="6"/>
        <v>173.7021558872305</v>
      </c>
      <c r="N6" s="312">
        <f t="shared" si="7"/>
        <v>81.512437810945272</v>
      </c>
      <c r="O6" s="312">
        <f t="shared" si="8"/>
        <v>84.891988893548216</v>
      </c>
      <c r="P6" s="313">
        <f t="shared" si="9"/>
        <v>614.57424428326635</v>
      </c>
      <c r="Q6" s="313">
        <f>SUM(-tanks!AX8*tanks!$AU$37)</f>
        <v>838.10302473115689</v>
      </c>
      <c r="R6" s="313">
        <f t="shared" si="10"/>
        <v>1452.6772690144232</v>
      </c>
      <c r="S6" s="316">
        <f>SUM(ELEC!N5)</f>
        <v>15173</v>
      </c>
      <c r="T6" s="353">
        <f t="shared" ref="T6:T32" si="12">IF(S6&gt;0,R6/S6,0)</f>
        <v>9.5740939103303446E-2</v>
      </c>
      <c r="V6" s="622"/>
      <c r="W6" s="623"/>
      <c r="X6" s="623"/>
      <c r="Y6" s="624"/>
      <c r="Z6" s="3"/>
      <c r="AA6" s="3"/>
      <c r="AB6" s="627"/>
      <c r="AC6" s="628"/>
    </row>
    <row r="7" spans="1:30" ht="15" customHeight="1">
      <c r="A7" s="164">
        <f>ELEC!C6</f>
        <v>43834</v>
      </c>
      <c r="B7" s="568">
        <v>49296387</v>
      </c>
      <c r="C7" s="271">
        <f t="shared" si="3"/>
        <v>6117</v>
      </c>
      <c r="D7" s="325">
        <f t="shared" si="4"/>
        <v>6116</v>
      </c>
      <c r="E7" s="325">
        <f t="shared" si="11"/>
        <v>49296386</v>
      </c>
      <c r="F7" s="568">
        <v>7921833</v>
      </c>
      <c r="G7" s="161">
        <f t="shared" si="0"/>
        <v>1123</v>
      </c>
      <c r="H7" s="568">
        <v>24280305</v>
      </c>
      <c r="I7" s="162">
        <f t="shared" si="1"/>
        <v>2483</v>
      </c>
      <c r="J7" s="568">
        <v>17094249</v>
      </c>
      <c r="K7" s="163">
        <f t="shared" si="2"/>
        <v>2510</v>
      </c>
      <c r="L7" s="312">
        <f t="shared" si="5"/>
        <v>238.38142620232173</v>
      </c>
      <c r="M7" s="312">
        <f t="shared" si="6"/>
        <v>184.47495854063018</v>
      </c>
      <c r="N7" s="312">
        <f t="shared" si="7"/>
        <v>133.20066334991708</v>
      </c>
      <c r="O7" s="312">
        <f t="shared" si="8"/>
        <v>84.891988893548216</v>
      </c>
      <c r="P7" s="313">
        <f t="shared" si="9"/>
        <v>640.94903698641724</v>
      </c>
      <c r="Q7" s="313">
        <f>SUM(-tanks!AX9*tanks!$AU$37)</f>
        <v>1149.2026129032361</v>
      </c>
      <c r="R7" s="313">
        <f t="shared" si="10"/>
        <v>1790.1516498896533</v>
      </c>
      <c r="S7" s="316">
        <f>SUM(ELEC!N6)</f>
        <v>15817</v>
      </c>
      <c r="T7" s="353">
        <f t="shared" si="12"/>
        <v>0.11317896250171672</v>
      </c>
      <c r="V7" s="615" t="s">
        <v>204</v>
      </c>
      <c r="W7" s="616"/>
      <c r="X7" s="617" t="s">
        <v>205</v>
      </c>
      <c r="Y7" s="618"/>
      <c r="Z7" s="616"/>
      <c r="AA7" s="26"/>
      <c r="AB7" s="629"/>
      <c r="AC7" s="630"/>
    </row>
    <row r="8" spans="1:30" ht="15.75" customHeight="1">
      <c r="A8" s="164">
        <f>ELEC!C7</f>
        <v>43835</v>
      </c>
      <c r="B8" s="568">
        <v>49302018</v>
      </c>
      <c r="C8" s="271">
        <f t="shared" si="3"/>
        <v>5631</v>
      </c>
      <c r="D8" s="325">
        <f t="shared" si="4"/>
        <v>5631</v>
      </c>
      <c r="E8" s="325">
        <f t="shared" si="11"/>
        <v>49302018</v>
      </c>
      <c r="F8" s="568">
        <v>7922931</v>
      </c>
      <c r="G8" s="161">
        <f t="shared" si="0"/>
        <v>1098</v>
      </c>
      <c r="H8" s="568">
        <v>24282877</v>
      </c>
      <c r="I8" s="162">
        <f t="shared" si="1"/>
        <v>2572</v>
      </c>
      <c r="J8" s="568">
        <v>17096210</v>
      </c>
      <c r="K8" s="163">
        <f>J8-J7</f>
        <v>1961</v>
      </c>
      <c r="L8" s="312">
        <f>SUM(G8*$Y$28)/1507.5</f>
        <v>233.07462686567163</v>
      </c>
      <c r="M8" s="312">
        <f>SUM(I8*$Y$27)/1507.5</f>
        <v>191.08723051409618</v>
      </c>
      <c r="N8" s="312">
        <f>SUM(K8*$Y$26)/1507.5</f>
        <v>104.06633499170813</v>
      </c>
      <c r="O8" s="312">
        <f t="shared" si="8"/>
        <v>84.891988893548216</v>
      </c>
      <c r="P8" s="313">
        <f t="shared" si="9"/>
        <v>613.12018126502426</v>
      </c>
      <c r="Q8" s="313">
        <f>SUM(-tanks!AX10*tanks!$AU$37)</f>
        <v>336.39393440859908</v>
      </c>
      <c r="R8" s="313">
        <f t="shared" si="10"/>
        <v>949.51411567362334</v>
      </c>
      <c r="S8" s="316">
        <f>SUM(ELEC!N7)</f>
        <v>12909</v>
      </c>
      <c r="T8" s="353">
        <f>IF(S8&gt;0,R8/S8,0)</f>
        <v>7.3554428358015594E-2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43836</v>
      </c>
      <c r="B9" s="568">
        <v>49306117</v>
      </c>
      <c r="C9" s="271">
        <f t="shared" si="3"/>
        <v>4099</v>
      </c>
      <c r="D9" s="325">
        <f t="shared" si="4"/>
        <v>4098</v>
      </c>
      <c r="E9" s="325">
        <f t="shared" si="11"/>
        <v>49306116</v>
      </c>
      <c r="F9" s="568">
        <v>7923287</v>
      </c>
      <c r="G9" s="161">
        <f t="shared" si="0"/>
        <v>356</v>
      </c>
      <c r="H9" s="568">
        <v>24284511</v>
      </c>
      <c r="I9" s="162">
        <f t="shared" si="1"/>
        <v>1634</v>
      </c>
      <c r="J9" s="568">
        <v>17098318</v>
      </c>
      <c r="K9" s="163">
        <f>J9-J8</f>
        <v>2108</v>
      </c>
      <c r="L9" s="312">
        <f>SUM(G9*$Y$28)/1507.5</f>
        <v>75.568822553897178</v>
      </c>
      <c r="M9" s="312">
        <f>SUM(I9*$Y$27)/1507.5</f>
        <v>121.39834162520729</v>
      </c>
      <c r="N9" s="312">
        <f>SUM(K9*$Y$26)/1507.5</f>
        <v>111.86733001658375</v>
      </c>
      <c r="O9" s="312">
        <f t="shared" si="8"/>
        <v>84.891988893548216</v>
      </c>
      <c r="P9" s="313">
        <f t="shared" si="9"/>
        <v>393.72648308923647</v>
      </c>
      <c r="Q9" s="313">
        <f>SUM(-tanks!AX11*tanks!$AU$37)</f>
        <v>1470.9815806451459</v>
      </c>
      <c r="R9" s="313">
        <f>SUM(P9:Q9)</f>
        <v>1864.7080637343824</v>
      </c>
      <c r="S9" s="316">
        <f>SUM(ELEC!N8)</f>
        <v>13138</v>
      </c>
      <c r="T9" s="353">
        <f t="shared" si="12"/>
        <v>0.14193241465477108</v>
      </c>
      <c r="V9" s="271">
        <f>'[1]EDl log'!V26</f>
        <v>17015254</v>
      </c>
      <c r="W9" s="271">
        <f>'[1]EDl log'!W26</f>
        <v>17085395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70141</v>
      </c>
      <c r="AB9" s="271">
        <f>'[1]EDl log'!AB26</f>
        <v>5611280</v>
      </c>
      <c r="AC9" s="271">
        <f>'[1]EDl log'!AC26</f>
        <v>1033333</v>
      </c>
      <c r="AD9" s="554">
        <f>'[1]EDl log'!AD26</f>
        <v>0.34704197198569098</v>
      </c>
    </row>
    <row r="10" spans="1:30">
      <c r="A10" s="164">
        <f>ELEC!C9</f>
        <v>43837</v>
      </c>
      <c r="B10" s="568">
        <v>49310286</v>
      </c>
      <c r="C10" s="271">
        <f t="shared" si="3"/>
        <v>4169</v>
      </c>
      <c r="D10" s="325">
        <f t="shared" si="4"/>
        <v>4170</v>
      </c>
      <c r="E10" s="325">
        <f t="shared" si="11"/>
        <v>49310287</v>
      </c>
      <c r="F10" s="568">
        <v>7923879</v>
      </c>
      <c r="G10" s="161">
        <f t="shared" si="0"/>
        <v>592</v>
      </c>
      <c r="H10" s="568">
        <v>24286427</v>
      </c>
      <c r="I10" s="162">
        <f t="shared" si="1"/>
        <v>1916</v>
      </c>
      <c r="J10" s="568">
        <v>17099980</v>
      </c>
      <c r="K10" s="163">
        <f t="shared" si="2"/>
        <v>1662</v>
      </c>
      <c r="L10" s="312">
        <f t="shared" si="5"/>
        <v>125.66500829187396</v>
      </c>
      <c r="M10" s="312">
        <f t="shared" si="6"/>
        <v>142.34958540630183</v>
      </c>
      <c r="N10" s="312">
        <f t="shared" si="7"/>
        <v>88.199004975124382</v>
      </c>
      <c r="O10" s="312">
        <f t="shared" si="8"/>
        <v>84.891988893548216</v>
      </c>
      <c r="P10" s="313">
        <f t="shared" si="9"/>
        <v>441.10558756684833</v>
      </c>
      <c r="Q10" s="313">
        <f>SUM(-tanks!AX12*tanks!$AU$37)</f>
        <v>618.61950645162483</v>
      </c>
      <c r="R10" s="313">
        <f t="shared" si="10"/>
        <v>1059.7250940184731</v>
      </c>
      <c r="S10" s="316">
        <f>SUM(ELEC!N9)</f>
        <v>12872</v>
      </c>
      <c r="T10" s="353">
        <f t="shared" si="12"/>
        <v>8.232792837309455E-2</v>
      </c>
      <c r="V10" s="271">
        <f>'[1]EDl log'!V27</f>
        <v>24173587</v>
      </c>
      <c r="W10" s="271">
        <f>'[1]EDl log'!W27</f>
        <v>24270583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96996</v>
      </c>
      <c r="AB10" s="271">
        <f>'[1]EDl log'!AB27</f>
        <v>10863552</v>
      </c>
      <c r="AC10" s="271">
        <f>'[1]EDl log'!AC27</f>
        <v>6200000</v>
      </c>
      <c r="AD10" s="554">
        <f>'[1]EDl log'!AD27</f>
        <v>0.47991450242688422</v>
      </c>
    </row>
    <row r="11" spans="1:30">
      <c r="A11" s="164">
        <f>ELEC!C10</f>
        <v>43838</v>
      </c>
      <c r="B11" s="568">
        <v>49313083</v>
      </c>
      <c r="C11" s="271">
        <f t="shared" si="3"/>
        <v>2797</v>
      </c>
      <c r="D11" s="325">
        <f>SUM(G11+I11+K11)</f>
        <v>2795</v>
      </c>
      <c r="E11" s="325">
        <f t="shared" si="11"/>
        <v>49313081</v>
      </c>
      <c r="F11" s="568">
        <v>7924319</v>
      </c>
      <c r="G11" s="161">
        <f t="shared" si="0"/>
        <v>440</v>
      </c>
      <c r="H11" s="568">
        <v>24287423</v>
      </c>
      <c r="I11" s="162">
        <f t="shared" si="1"/>
        <v>996</v>
      </c>
      <c r="J11" s="568">
        <v>17101339</v>
      </c>
      <c r="K11" s="163">
        <f t="shared" si="2"/>
        <v>1359</v>
      </c>
      <c r="L11" s="312">
        <f t="shared" si="5"/>
        <v>93.399668325041461</v>
      </c>
      <c r="M11" s="312">
        <f t="shared" si="6"/>
        <v>73.998009950248758</v>
      </c>
      <c r="N11" s="312">
        <f t="shared" si="7"/>
        <v>72.119402985074629</v>
      </c>
      <c r="O11" s="312">
        <f t="shared" si="8"/>
        <v>84.891988893548216</v>
      </c>
      <c r="P11" s="313">
        <f t="shared" si="9"/>
        <v>324.40907015391304</v>
      </c>
      <c r="Q11" s="313">
        <f>SUM(-tanks!AX13*tanks!$AU$37)</f>
        <v>1745.0005591397887</v>
      </c>
      <c r="R11" s="313">
        <f t="shared" si="10"/>
        <v>2069.409629293702</v>
      </c>
      <c r="S11" s="316">
        <f>SUM(ELEC!N10)</f>
        <v>12536.399999999907</v>
      </c>
      <c r="T11" s="353">
        <f t="shared" si="12"/>
        <v>0.16507208044524085</v>
      </c>
      <c r="V11" s="271">
        <f>'[1]EDl log'!V28</f>
        <v>7882582</v>
      </c>
      <c r="W11" s="271">
        <f>'[1]EDl log'!W28</f>
        <v>7917555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34973</v>
      </c>
      <c r="AB11" s="271">
        <f>'[1]EDl log'!AB28</f>
        <v>11191360</v>
      </c>
      <c r="AC11" s="271">
        <f>'[1]EDl log'!AC28</f>
        <v>1000</v>
      </c>
      <c r="AD11" s="554">
        <f>'[1]EDl log'!AD28</f>
        <v>0.17303857781120277</v>
      </c>
    </row>
    <row r="12" spans="1:30">
      <c r="A12" s="164">
        <f>ELEC!C11</f>
        <v>43839</v>
      </c>
      <c r="B12" s="568">
        <v>49317702</v>
      </c>
      <c r="C12" s="271">
        <f t="shared" si="3"/>
        <v>4619</v>
      </c>
      <c r="D12" s="325">
        <f t="shared" si="4"/>
        <v>4622</v>
      </c>
      <c r="E12" s="325">
        <f t="shared" si="11"/>
        <v>49317705</v>
      </c>
      <c r="F12" s="568">
        <v>7925022</v>
      </c>
      <c r="G12" s="161">
        <f t="shared" si="0"/>
        <v>703</v>
      </c>
      <c r="H12" s="568">
        <v>24289139</v>
      </c>
      <c r="I12" s="162">
        <f t="shared" si="1"/>
        <v>1716</v>
      </c>
      <c r="J12" s="568">
        <v>17103542</v>
      </c>
      <c r="K12" s="163">
        <f t="shared" si="2"/>
        <v>2203</v>
      </c>
      <c r="L12" s="312">
        <f t="shared" si="5"/>
        <v>149.22719734660032</v>
      </c>
      <c r="M12" s="312">
        <f t="shared" si="6"/>
        <v>127.49054726368159</v>
      </c>
      <c r="N12" s="312">
        <f t="shared" si="7"/>
        <v>116.90878938640132</v>
      </c>
      <c r="O12" s="312">
        <f t="shared" si="8"/>
        <v>84.891988893548216</v>
      </c>
      <c r="P12" s="313">
        <f t="shared" si="9"/>
        <v>478.51852289023145</v>
      </c>
      <c r="Q12" s="313">
        <f>SUM(-tanks!AX14*tanks!$AU$37)</f>
        <v>1895.939268817199</v>
      </c>
      <c r="R12" s="313">
        <f t="shared" si="10"/>
        <v>2374.4577917074303</v>
      </c>
      <c r="S12" s="316">
        <f>SUM(ELEC!N11)</f>
        <v>13631.600000000093</v>
      </c>
      <c r="T12" s="353">
        <f t="shared" si="12"/>
        <v>0.17418775431405073</v>
      </c>
      <c r="V12" s="271">
        <f>'[5]EDl log'!V29</f>
        <v>0</v>
      </c>
      <c r="W12" s="271">
        <f>'[5]EDl log'!W29</f>
        <v>0</v>
      </c>
      <c r="X12" s="3"/>
      <c r="Y12" s="271">
        <f>'[6]EDl log'!Y29</f>
        <v>0</v>
      </c>
      <c r="Z12" s="28"/>
      <c r="AA12" s="271">
        <f>'[6]EDl log'!AA29</f>
        <v>198838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43840</v>
      </c>
      <c r="B13" s="568">
        <v>49323246</v>
      </c>
      <c r="C13" s="271">
        <f t="shared" si="3"/>
        <v>5544</v>
      </c>
      <c r="D13" s="325">
        <f t="shared" si="4"/>
        <v>5543</v>
      </c>
      <c r="E13" s="325">
        <f t="shared" si="11"/>
        <v>49323245</v>
      </c>
      <c r="F13" s="568">
        <v>7926148</v>
      </c>
      <c r="G13" s="161">
        <f t="shared" si="0"/>
        <v>1126</v>
      </c>
      <c r="H13" s="568">
        <v>24291691</v>
      </c>
      <c r="I13" s="162">
        <f t="shared" si="1"/>
        <v>2552</v>
      </c>
      <c r="J13" s="568">
        <v>17105407</v>
      </c>
      <c r="K13" s="163">
        <f t="shared" si="2"/>
        <v>1865</v>
      </c>
      <c r="L13" s="312">
        <f t="shared" si="5"/>
        <v>239.01824212271973</v>
      </c>
      <c r="M13" s="312">
        <f t="shared" si="6"/>
        <v>189.60132669983417</v>
      </c>
      <c r="N13" s="312">
        <f t="shared" si="7"/>
        <v>98.971807628524047</v>
      </c>
      <c r="O13" s="312">
        <f t="shared" si="8"/>
        <v>84.891988893548216</v>
      </c>
      <c r="P13" s="313">
        <f t="shared" si="9"/>
        <v>612.48336534462624</v>
      </c>
      <c r="Q13" s="313">
        <f>SUM(-tanks!AX15*tanks!$AU$37)</f>
        <v>174.25408172043765</v>
      </c>
      <c r="R13" s="313">
        <f t="shared" si="10"/>
        <v>786.73744706506386</v>
      </c>
      <c r="S13" s="316">
        <f>SUM(ELEC!N12)</f>
        <v>13062.799999999814</v>
      </c>
      <c r="T13" s="353">
        <f t="shared" si="12"/>
        <v>6.0227320870339829E-2</v>
      </c>
      <c r="V13" s="271" t="str">
        <f>'[7]EDl log'!V30</f>
        <v>Occ %</v>
      </c>
      <c r="W13" s="554">
        <f>'[1]EDl log'!W30</f>
        <v>0.21316774193548382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27666192</v>
      </c>
      <c r="AC13" s="271">
        <f>'[1]EDl log'!AC30</f>
        <v>7234333</v>
      </c>
    </row>
    <row r="14" spans="1:30">
      <c r="A14" s="164">
        <f>ELEC!C13</f>
        <v>43841</v>
      </c>
      <c r="B14" s="568">
        <v>49329597</v>
      </c>
      <c r="C14" s="271">
        <f t="shared" si="3"/>
        <v>6351</v>
      </c>
      <c r="D14" s="325">
        <f t="shared" si="4"/>
        <v>6350</v>
      </c>
      <c r="E14" s="325">
        <f t="shared" si="11"/>
        <v>49329596</v>
      </c>
      <c r="F14" s="568">
        <v>7927408</v>
      </c>
      <c r="G14" s="161">
        <f t="shared" si="0"/>
        <v>1260</v>
      </c>
      <c r="H14" s="568">
        <v>24294898</v>
      </c>
      <c r="I14" s="162">
        <f t="shared" si="1"/>
        <v>3207</v>
      </c>
      <c r="J14" s="568">
        <v>17107290</v>
      </c>
      <c r="K14" s="163">
        <f t="shared" si="2"/>
        <v>1883</v>
      </c>
      <c r="L14" s="312">
        <f t="shared" si="5"/>
        <v>267.46268656716416</v>
      </c>
      <c r="M14" s="312">
        <f t="shared" si="6"/>
        <v>238.26467661691541</v>
      </c>
      <c r="N14" s="312">
        <f t="shared" si="7"/>
        <v>99.927031509121065</v>
      </c>
      <c r="O14" s="312">
        <f t="shared" si="8"/>
        <v>84.891988893548216</v>
      </c>
      <c r="P14" s="313">
        <f t="shared" si="9"/>
        <v>690.54638358674879</v>
      </c>
      <c r="Q14" s="313">
        <f>SUM(-tanks!AX16*tanks!$AU$37)</f>
        <v>642.40260215054491</v>
      </c>
      <c r="R14" s="313">
        <f>SUM(P14:Q14)</f>
        <v>1332.9489857372937</v>
      </c>
      <c r="S14" s="316">
        <f>SUM(ELEC!N13)</f>
        <v>14011.200000000186</v>
      </c>
      <c r="T14" s="353">
        <f t="shared" si="12"/>
        <v>9.5134534211008051E-2</v>
      </c>
      <c r="V14" s="271" t="str">
        <f>'[7]EDl log'!V31</f>
        <v>Gen RH</v>
      </c>
      <c r="W14" s="271">
        <f>'[1]EDl log'!W31</f>
        <v>120.30999999999949</v>
      </c>
      <c r="X14" s="271">
        <f>'[1]EDl log'!X31</f>
        <v>3.8809677419354673</v>
      </c>
      <c r="Y14" s="271">
        <f>'[1]EDl log'!Y31</f>
        <v>1.9404838709677337</v>
      </c>
      <c r="Z14" s="3"/>
      <c r="AA14" s="3"/>
      <c r="AB14" s="271">
        <f>'[1]EDl log'!AB31</f>
        <v>34900525</v>
      </c>
      <c r="AC14" s="271">
        <f>'[1]EDl log'!AC31</f>
        <v>7234333</v>
      </c>
    </row>
    <row r="15" spans="1:30">
      <c r="A15" s="164">
        <f>ELEC!C14</f>
        <v>43842</v>
      </c>
      <c r="B15" s="568">
        <v>49335746</v>
      </c>
      <c r="C15" s="271">
        <f t="shared" si="3"/>
        <v>6149</v>
      </c>
      <c r="D15" s="325">
        <f t="shared" si="4"/>
        <v>6151</v>
      </c>
      <c r="E15" s="325">
        <f t="shared" si="11"/>
        <v>49335748</v>
      </c>
      <c r="F15" s="568">
        <v>7928065</v>
      </c>
      <c r="G15" s="161">
        <f t="shared" si="0"/>
        <v>657</v>
      </c>
      <c r="H15" s="568">
        <v>24297582</v>
      </c>
      <c r="I15" s="162">
        <f t="shared" si="1"/>
        <v>2684</v>
      </c>
      <c r="J15" s="568">
        <v>17110100</v>
      </c>
      <c r="K15" s="163">
        <f t="shared" si="2"/>
        <v>2810</v>
      </c>
      <c r="L15" s="312">
        <f t="shared" si="5"/>
        <v>139.46268656716418</v>
      </c>
      <c r="M15" s="312">
        <f t="shared" si="6"/>
        <v>199.40829187396352</v>
      </c>
      <c r="N15" s="312">
        <f t="shared" si="7"/>
        <v>149.12106135986733</v>
      </c>
      <c r="O15" s="312">
        <f t="shared" si="8"/>
        <v>84.891988893548216</v>
      </c>
      <c r="P15" s="313">
        <f t="shared" si="9"/>
        <v>572.8840286945433</v>
      </c>
      <c r="Q15" s="313">
        <f>SUM(-tanks!AX17*tanks!$AU$37)</f>
        <v>435.39295698924798</v>
      </c>
      <c r="R15" s="313">
        <f t="shared" si="10"/>
        <v>1008.2769856837913</v>
      </c>
      <c r="S15" s="316">
        <f>SUM(ELEC!N14)</f>
        <v>14175</v>
      </c>
      <c r="T15" s="353">
        <f t="shared" si="12"/>
        <v>7.1130651547357412E-2</v>
      </c>
      <c r="V15" s="271" t="str">
        <f>'[7]EDl log'!V32</f>
        <v>H Deg</v>
      </c>
      <c r="W15" s="271">
        <f>'[1]EDl log'!W32</f>
        <v>0</v>
      </c>
      <c r="X15" s="271">
        <f>'[6]EDl log'!X32</f>
        <v>0</v>
      </c>
      <c r="Y15" s="271">
        <f>'[6]EDl log'!Y32</f>
        <v>0</v>
      </c>
      <c r="Z15" s="3"/>
      <c r="AA15" s="3"/>
      <c r="AB15" s="271">
        <f>'[5]EDl log'!AB32</f>
        <v>0</v>
      </c>
      <c r="AC15" s="271">
        <f>'[5]EDl log'!AC32</f>
        <v>0</v>
      </c>
    </row>
    <row r="16" spans="1:30">
      <c r="A16" s="164">
        <f>ELEC!C15</f>
        <v>43843</v>
      </c>
      <c r="B16" s="568">
        <v>49341208</v>
      </c>
      <c r="C16" s="271">
        <f t="shared" si="3"/>
        <v>5462</v>
      </c>
      <c r="D16" s="325">
        <f t="shared" si="4"/>
        <v>5461</v>
      </c>
      <c r="E16" s="325">
        <f t="shared" si="11"/>
        <v>49341207</v>
      </c>
      <c r="F16" s="568">
        <v>7929116</v>
      </c>
      <c r="G16" s="161">
        <f t="shared" si="0"/>
        <v>1051</v>
      </c>
      <c r="H16" s="568">
        <v>24300260</v>
      </c>
      <c r="I16" s="162">
        <f t="shared" si="1"/>
        <v>2678</v>
      </c>
      <c r="J16" s="568">
        <v>17111832</v>
      </c>
      <c r="K16" s="163">
        <f t="shared" si="2"/>
        <v>1732</v>
      </c>
      <c r="L16" s="312">
        <f t="shared" si="5"/>
        <v>223.09784411276948</v>
      </c>
      <c r="M16" s="312">
        <f t="shared" si="6"/>
        <v>198.96252072968491</v>
      </c>
      <c r="N16" s="312">
        <f t="shared" si="7"/>
        <v>91.91376451077943</v>
      </c>
      <c r="O16" s="312">
        <f t="shared" si="8"/>
        <v>84.891988893548216</v>
      </c>
      <c r="P16" s="313">
        <f t="shared" si="9"/>
        <v>598.86611824678198</v>
      </c>
      <c r="Q16" s="313">
        <f>SUM(-tanks!AX18*tanks!$AU$37)</f>
        <v>549.39826881719478</v>
      </c>
      <c r="R16" s="313">
        <f t="shared" si="10"/>
        <v>1148.2643870639768</v>
      </c>
      <c r="S16" s="316">
        <f>SUM(ELEC!N15)</f>
        <v>12801</v>
      </c>
      <c r="T16" s="353">
        <f t="shared" si="12"/>
        <v>8.9701147337237469E-2</v>
      </c>
      <c r="V16" s="271" t="str">
        <f>'[7]EDl log'!V33</f>
        <v>C Deg</v>
      </c>
      <c r="W16" s="271">
        <f>'[1]EDl log'!W33</f>
        <v>286.49999999999983</v>
      </c>
      <c r="X16" s="271">
        <f>'[6]EDl log'!X33</f>
        <v>0</v>
      </c>
      <c r="Y16" s="271">
        <f>'[6]EDl log'!Y33</f>
        <v>0</v>
      </c>
      <c r="Z16" s="3"/>
      <c r="AA16" s="3"/>
      <c r="AB16" s="271">
        <f>'[5]EDl log'!AB33</f>
        <v>0</v>
      </c>
      <c r="AC16" s="271">
        <f>'[5]EDl log'!AC33</f>
        <v>0</v>
      </c>
    </row>
    <row r="17" spans="1:32">
      <c r="A17" s="164">
        <f>ELEC!C16</f>
        <v>43844</v>
      </c>
      <c r="B17" s="568">
        <v>49346170</v>
      </c>
      <c r="C17" s="271">
        <f t="shared" si="3"/>
        <v>4962</v>
      </c>
      <c r="D17" s="325">
        <f t="shared" si="4"/>
        <v>4961</v>
      </c>
      <c r="E17" s="325">
        <f t="shared" si="11"/>
        <v>49346169</v>
      </c>
      <c r="F17" s="568">
        <v>7929846</v>
      </c>
      <c r="G17" s="161">
        <f t="shared" si="0"/>
        <v>730</v>
      </c>
      <c r="H17" s="568">
        <v>24302646</v>
      </c>
      <c r="I17" s="162">
        <f t="shared" si="1"/>
        <v>2386</v>
      </c>
      <c r="J17" s="568">
        <v>17113677</v>
      </c>
      <c r="K17" s="163">
        <f t="shared" si="2"/>
        <v>1845</v>
      </c>
      <c r="L17" s="312">
        <f t="shared" si="5"/>
        <v>154.95854063018243</v>
      </c>
      <c r="M17" s="312">
        <f t="shared" si="6"/>
        <v>177.26832504145938</v>
      </c>
      <c r="N17" s="312">
        <f t="shared" si="7"/>
        <v>97.910447761194035</v>
      </c>
      <c r="O17" s="312">
        <f t="shared" si="8"/>
        <v>84.891988893548216</v>
      </c>
      <c r="P17" s="313">
        <f t="shared" si="9"/>
        <v>515.02930232638414</v>
      </c>
      <c r="Q17" s="313">
        <f>SUM(-tanks!AX19*tanks!$AU$37)</f>
        <v>-1193.7686645161041</v>
      </c>
      <c r="R17" s="313">
        <f t="shared" si="10"/>
        <v>-678.73936218971994</v>
      </c>
      <c r="S17" s="316">
        <f>SUM(ELEC!N16)</f>
        <v>12578</v>
      </c>
      <c r="T17" s="353">
        <f t="shared" si="12"/>
        <v>-5.3962423452831927E-2</v>
      </c>
      <c r="V17" s="259"/>
      <c r="W17" s="271">
        <f>'[6]EDl log'!W34</f>
        <v>0</v>
      </c>
      <c r="X17" s="17"/>
      <c r="Y17" s="458"/>
      <c r="Z17" s="458" t="str">
        <f>'[8]EDl log'!Z34</f>
        <v xml:space="preserve">VAT </v>
      </c>
      <c r="AA17" s="553">
        <f>'[5]EDl log'!$AA$35</f>
        <v>0.11</v>
      </c>
      <c r="AB17" s="271">
        <f>'[5]EDl log'!AB34</f>
        <v>0</v>
      </c>
      <c r="AC17" s="271">
        <f>'[5]EDl log'!AC34</f>
        <v>0</v>
      </c>
    </row>
    <row r="18" spans="1:32" ht="15.75" thickBot="1">
      <c r="A18" s="164">
        <f>ELEC!C17</f>
        <v>43845</v>
      </c>
      <c r="B18" s="568">
        <v>49351598</v>
      </c>
      <c r="C18" s="271">
        <f t="shared" si="3"/>
        <v>5428</v>
      </c>
      <c r="D18" s="325">
        <f t="shared" si="4"/>
        <v>5429</v>
      </c>
      <c r="E18" s="325">
        <f t="shared" si="11"/>
        <v>49351599</v>
      </c>
      <c r="F18" s="568">
        <v>7930554</v>
      </c>
      <c r="G18" s="161">
        <f t="shared" si="0"/>
        <v>708</v>
      </c>
      <c r="H18" s="568">
        <v>24305566</v>
      </c>
      <c r="I18" s="162">
        <f t="shared" si="1"/>
        <v>2920</v>
      </c>
      <c r="J18" s="568">
        <v>17115478</v>
      </c>
      <c r="K18" s="163">
        <f t="shared" si="2"/>
        <v>1801</v>
      </c>
      <c r="L18" s="312">
        <f t="shared" si="5"/>
        <v>150.28855721393035</v>
      </c>
      <c r="M18" s="312">
        <f t="shared" si="6"/>
        <v>216.9419568822554</v>
      </c>
      <c r="N18" s="312">
        <f t="shared" si="7"/>
        <v>95.575456053067995</v>
      </c>
      <c r="O18" s="312">
        <f t="shared" si="8"/>
        <v>84.891988893548216</v>
      </c>
      <c r="P18" s="313">
        <f t="shared" si="9"/>
        <v>547.69795904280204</v>
      </c>
      <c r="Q18" s="313">
        <f>SUM(-tanks!AX20*tanks!$AU$37)</f>
        <v>799.57265806448765</v>
      </c>
      <c r="R18" s="313">
        <f t="shared" si="10"/>
        <v>1347.2706171072896</v>
      </c>
      <c r="S18" s="316">
        <f>SUM(ELEC!N17)</f>
        <v>12879</v>
      </c>
      <c r="T18" s="353">
        <f t="shared" si="12"/>
        <v>0.10460987787151872</v>
      </c>
      <c r="V18" s="233"/>
      <c r="W18" s="234"/>
      <c r="X18" s="234"/>
      <c r="Y18" s="458"/>
      <c r="Z18" s="458"/>
      <c r="AA18" s="45"/>
      <c r="AB18" s="271">
        <f>'[1]EDl log'!AB35</f>
        <v>3839057.75</v>
      </c>
      <c r="AC18" s="271">
        <f>'[5]EDl log'!AC35</f>
        <v>0</v>
      </c>
    </row>
    <row r="19" spans="1:32" ht="15.75" thickBot="1">
      <c r="A19" s="164">
        <f>ELEC!C18</f>
        <v>43846</v>
      </c>
      <c r="B19" s="568">
        <v>49355220</v>
      </c>
      <c r="C19" s="271">
        <f t="shared" si="3"/>
        <v>3622</v>
      </c>
      <c r="D19" s="325">
        <f t="shared" si="4"/>
        <v>3622</v>
      </c>
      <c r="E19" s="325">
        <f t="shared" si="11"/>
        <v>49355220</v>
      </c>
      <c r="F19" s="568">
        <v>7931258</v>
      </c>
      <c r="G19" s="161">
        <f>F19-F18</f>
        <v>704</v>
      </c>
      <c r="H19" s="568">
        <v>24307535</v>
      </c>
      <c r="I19" s="162">
        <f t="shared" si="1"/>
        <v>1969</v>
      </c>
      <c r="J19" s="568">
        <v>17116427</v>
      </c>
      <c r="K19" s="163">
        <f t="shared" si="2"/>
        <v>949</v>
      </c>
      <c r="L19" s="312">
        <f t="shared" si="5"/>
        <v>149.43946932006634</v>
      </c>
      <c r="M19" s="312">
        <f t="shared" si="6"/>
        <v>146.28723051409619</v>
      </c>
      <c r="N19" s="312">
        <f t="shared" si="7"/>
        <v>50.361525704809289</v>
      </c>
      <c r="O19" s="312">
        <f t="shared" si="8"/>
        <v>84.891988893548216</v>
      </c>
      <c r="P19" s="313">
        <f t="shared" si="9"/>
        <v>430.98021443252009</v>
      </c>
      <c r="Q19" s="313">
        <f>SUM(-tanks!AX21*tanks!$AU$37)</f>
        <v>706.54223655914234</v>
      </c>
      <c r="R19" s="313">
        <f t="shared" si="10"/>
        <v>1137.5224509916625</v>
      </c>
      <c r="S19" s="316">
        <f>SUM(ELEC!N18)</f>
        <v>11369.399999999907</v>
      </c>
      <c r="T19" s="353">
        <f t="shared" si="12"/>
        <v>0.10005122970356148</v>
      </c>
      <c r="V19" s="233"/>
      <c r="W19" s="234"/>
      <c r="X19" s="234"/>
      <c r="Y19" s="458"/>
      <c r="Z19" s="458"/>
      <c r="AA19" s="234" t="s">
        <v>215</v>
      </c>
      <c r="AB19" s="271">
        <f>'[1]EDl log'!AB36</f>
        <v>38739582.75</v>
      </c>
      <c r="AC19" s="271">
        <f>'[5]EDl log'!AC36</f>
        <v>0</v>
      </c>
    </row>
    <row r="20" spans="1:32" ht="15.75" thickBot="1">
      <c r="A20" s="164">
        <f>ELEC!C19</f>
        <v>43847</v>
      </c>
      <c r="B20" s="568">
        <v>49361506</v>
      </c>
      <c r="C20" s="271">
        <f t="shared" si="3"/>
        <v>6286</v>
      </c>
      <c r="D20" s="325">
        <f t="shared" si="4"/>
        <v>6284</v>
      </c>
      <c r="E20" s="325">
        <f t="shared" si="11"/>
        <v>49361504</v>
      </c>
      <c r="F20" s="568">
        <v>7932318</v>
      </c>
      <c r="G20" s="161">
        <f t="shared" si="0"/>
        <v>1060</v>
      </c>
      <c r="H20" s="568">
        <v>24310339</v>
      </c>
      <c r="I20" s="162">
        <f t="shared" si="1"/>
        <v>2804</v>
      </c>
      <c r="J20" s="568">
        <v>17118847</v>
      </c>
      <c r="K20" s="163">
        <f t="shared" si="2"/>
        <v>2420</v>
      </c>
      <c r="L20" s="312">
        <f t="shared" si="5"/>
        <v>225.00829187396351</v>
      </c>
      <c r="M20" s="312">
        <f t="shared" si="6"/>
        <v>208.32371475953565</v>
      </c>
      <c r="N20" s="312">
        <f t="shared" si="7"/>
        <v>128.424543946932</v>
      </c>
      <c r="O20" s="312">
        <f t="shared" si="8"/>
        <v>84.891988893548216</v>
      </c>
      <c r="P20" s="313">
        <f t="shared" si="9"/>
        <v>646.64853947397933</v>
      </c>
      <c r="Q20" s="313">
        <f>SUM(-tanks!AX22*tanks!$AU$37)</f>
        <v>115.30785698926564</v>
      </c>
      <c r="R20" s="313">
        <f t="shared" si="10"/>
        <v>761.95639646324503</v>
      </c>
      <c r="S20" s="316">
        <f>SUM(ELEC!N19)</f>
        <v>14249.600000000093</v>
      </c>
      <c r="T20" s="353">
        <f t="shared" si="12"/>
        <v>5.3472125285147658E-2</v>
      </c>
      <c r="AB20" s="271"/>
    </row>
    <row r="21" spans="1:32">
      <c r="A21" s="164">
        <f>ELEC!C20</f>
        <v>43848</v>
      </c>
      <c r="B21" s="568">
        <f t="shared" ref="B21:B34" si="13">B20</f>
        <v>49361506</v>
      </c>
      <c r="C21" s="271">
        <f t="shared" si="3"/>
        <v>0</v>
      </c>
      <c r="D21" s="325">
        <f t="shared" si="4"/>
        <v>0</v>
      </c>
      <c r="E21" s="325">
        <f t="shared" si="11"/>
        <v>49361506</v>
      </c>
      <c r="F21" s="568">
        <f t="shared" ref="F21:J34" si="14">F20</f>
        <v>7932318</v>
      </c>
      <c r="G21" s="161">
        <f t="shared" si="0"/>
        <v>0</v>
      </c>
      <c r="H21" s="568">
        <f t="shared" si="14"/>
        <v>24310339</v>
      </c>
      <c r="I21" s="162">
        <f t="shared" si="1"/>
        <v>0</v>
      </c>
      <c r="J21" s="568">
        <f t="shared" si="14"/>
        <v>17118847</v>
      </c>
      <c r="K21" s="163">
        <f t="shared" si="2"/>
        <v>0</v>
      </c>
      <c r="L21" s="312">
        <f t="shared" si="5"/>
        <v>0</v>
      </c>
      <c r="M21" s="312">
        <f t="shared" si="6"/>
        <v>0</v>
      </c>
      <c r="N21" s="312">
        <f t="shared" si="7"/>
        <v>0</v>
      </c>
      <c r="O21" s="312">
        <f t="shared" si="8"/>
        <v>84.891988893548216</v>
      </c>
      <c r="P21" s="313">
        <f t="shared" si="9"/>
        <v>84.891988893548216</v>
      </c>
      <c r="Q21" s="313">
        <f>SUM(-tanks!AX23*tanks!$AU$37)</f>
        <v>0</v>
      </c>
      <c r="R21" s="313">
        <f t="shared" si="10"/>
        <v>84.891988893548216</v>
      </c>
      <c r="S21" s="316">
        <f>SUM(ELEC!N20)</f>
        <v>0</v>
      </c>
      <c r="T21" s="353">
        <f t="shared" si="12"/>
        <v>0</v>
      </c>
      <c r="V21" s="167" t="s">
        <v>201</v>
      </c>
      <c r="W21" s="168">
        <v>43831</v>
      </c>
      <c r="X21" s="169"/>
      <c r="Y21" s="169"/>
      <c r="Z21" s="170" t="s">
        <v>202</v>
      </c>
      <c r="AA21" s="169"/>
      <c r="AB21" s="625"/>
      <c r="AC21" s="626"/>
    </row>
    <row r="22" spans="1:32">
      <c r="A22" s="164">
        <f>ELEC!C21</f>
        <v>43849</v>
      </c>
      <c r="B22" s="568">
        <f t="shared" si="13"/>
        <v>49361506</v>
      </c>
      <c r="C22" s="271">
        <f t="shared" si="3"/>
        <v>0</v>
      </c>
      <c r="D22" s="325">
        <f t="shared" si="4"/>
        <v>0</v>
      </c>
      <c r="E22" s="325">
        <f t="shared" si="11"/>
        <v>49361506</v>
      </c>
      <c r="F22" s="568">
        <f t="shared" si="14"/>
        <v>7932318</v>
      </c>
      <c r="G22" s="161">
        <f t="shared" si="0"/>
        <v>0</v>
      </c>
      <c r="H22" s="568">
        <f t="shared" si="14"/>
        <v>24310339</v>
      </c>
      <c r="I22" s="162">
        <f t="shared" si="1"/>
        <v>0</v>
      </c>
      <c r="J22" s="568">
        <f t="shared" si="14"/>
        <v>17118847</v>
      </c>
      <c r="K22" s="163">
        <f t="shared" si="2"/>
        <v>0</v>
      </c>
      <c r="L22" s="312">
        <f t="shared" si="5"/>
        <v>0</v>
      </c>
      <c r="M22" s="312">
        <f t="shared" si="6"/>
        <v>0</v>
      </c>
      <c r="N22" s="312">
        <f t="shared" si="7"/>
        <v>0</v>
      </c>
      <c r="O22" s="312">
        <f t="shared" si="8"/>
        <v>84.891988893548216</v>
      </c>
      <c r="P22" s="313">
        <f t="shared" si="9"/>
        <v>84.891988893548216</v>
      </c>
      <c r="Q22" s="313">
        <f>SUM(-tanks!AX24*tanks!$AU$37)</f>
        <v>0</v>
      </c>
      <c r="R22" s="313">
        <f t="shared" si="10"/>
        <v>84.891988893548216</v>
      </c>
      <c r="S22" s="316">
        <f>SUM(ELEC!N21)</f>
        <v>0</v>
      </c>
      <c r="T22" s="353">
        <f t="shared" si="12"/>
        <v>0</v>
      </c>
      <c r="V22" s="631"/>
      <c r="W22" s="632"/>
      <c r="X22" s="632"/>
      <c r="Y22" s="633"/>
      <c r="Z22" s="26" t="s">
        <v>203</v>
      </c>
      <c r="AA22" s="26">
        <v>5000</v>
      </c>
      <c r="AB22" s="627"/>
      <c r="AC22" s="628"/>
    </row>
    <row r="23" spans="1:32">
      <c r="A23" s="164">
        <f>ELEC!C22</f>
        <v>43850</v>
      </c>
      <c r="B23" s="568">
        <f t="shared" si="13"/>
        <v>49361506</v>
      </c>
      <c r="C23" s="271">
        <f t="shared" si="3"/>
        <v>0</v>
      </c>
      <c r="D23" s="325">
        <f t="shared" si="4"/>
        <v>0</v>
      </c>
      <c r="E23" s="325">
        <f t="shared" si="11"/>
        <v>49361506</v>
      </c>
      <c r="F23" s="568">
        <f t="shared" si="14"/>
        <v>7932318</v>
      </c>
      <c r="G23" s="161">
        <f t="shared" si="0"/>
        <v>0</v>
      </c>
      <c r="H23" s="568">
        <f t="shared" si="14"/>
        <v>24310339</v>
      </c>
      <c r="I23" s="162">
        <f t="shared" si="1"/>
        <v>0</v>
      </c>
      <c r="J23" s="568">
        <f t="shared" si="14"/>
        <v>17118847</v>
      </c>
      <c r="K23" s="163">
        <f t="shared" si="2"/>
        <v>0</v>
      </c>
      <c r="L23" s="312">
        <f t="shared" si="5"/>
        <v>0</v>
      </c>
      <c r="M23" s="312">
        <f t="shared" si="6"/>
        <v>0</v>
      </c>
      <c r="N23" s="312">
        <f t="shared" si="7"/>
        <v>0</v>
      </c>
      <c r="O23" s="312">
        <f t="shared" si="8"/>
        <v>84.891988893548216</v>
      </c>
      <c r="P23" s="313">
        <f t="shared" si="9"/>
        <v>84.891988893548216</v>
      </c>
      <c r="Q23" s="313">
        <f>SUM(-tanks!AX25*tanks!$AU$37)</f>
        <v>0</v>
      </c>
      <c r="R23" s="313">
        <f t="shared" si="10"/>
        <v>84.891988893548216</v>
      </c>
      <c r="S23" s="316">
        <f>SUM(ELEC!N22)</f>
        <v>0</v>
      </c>
      <c r="T23" s="353">
        <f t="shared" si="12"/>
        <v>0</v>
      </c>
      <c r="V23" s="634"/>
      <c r="W23" s="635"/>
      <c r="X23" s="635"/>
      <c r="Y23" s="636"/>
      <c r="Z23" s="637"/>
      <c r="AA23" s="638"/>
      <c r="AB23" s="627"/>
      <c r="AC23" s="628"/>
    </row>
    <row r="24" spans="1:32" ht="15" customHeight="1">
      <c r="A24" s="164">
        <f>ELEC!C23</f>
        <v>43851</v>
      </c>
      <c r="B24" s="568">
        <f t="shared" si="13"/>
        <v>49361506</v>
      </c>
      <c r="C24" s="271">
        <f t="shared" si="3"/>
        <v>0</v>
      </c>
      <c r="D24" s="325">
        <f t="shared" si="4"/>
        <v>0</v>
      </c>
      <c r="E24" s="325">
        <f t="shared" si="11"/>
        <v>49361506</v>
      </c>
      <c r="F24" s="568">
        <f t="shared" si="14"/>
        <v>7932318</v>
      </c>
      <c r="G24" s="161">
        <f t="shared" si="0"/>
        <v>0</v>
      </c>
      <c r="H24" s="568">
        <f t="shared" si="14"/>
        <v>24310339</v>
      </c>
      <c r="I24" s="162">
        <f t="shared" si="1"/>
        <v>0</v>
      </c>
      <c r="J24" s="568">
        <f t="shared" si="14"/>
        <v>17118847</v>
      </c>
      <c r="K24" s="163">
        <f t="shared" si="2"/>
        <v>0</v>
      </c>
      <c r="L24" s="312">
        <f t="shared" si="5"/>
        <v>0</v>
      </c>
      <c r="M24" s="312">
        <f t="shared" si="6"/>
        <v>0</v>
      </c>
      <c r="N24" s="312">
        <f t="shared" si="7"/>
        <v>0</v>
      </c>
      <c r="O24" s="312">
        <f t="shared" si="8"/>
        <v>84.891988893548216</v>
      </c>
      <c r="P24" s="313">
        <f t="shared" si="9"/>
        <v>84.891988893548216</v>
      </c>
      <c r="Q24" s="313">
        <f>SUM(-tanks!AX26*tanks!$AU$37)</f>
        <v>0</v>
      </c>
      <c r="R24" s="313">
        <f t="shared" si="10"/>
        <v>84.891988893548216</v>
      </c>
      <c r="S24" s="316">
        <f>SUM(ELEC!N23)</f>
        <v>0</v>
      </c>
      <c r="T24" s="353">
        <f t="shared" si="12"/>
        <v>0</v>
      </c>
      <c r="V24" s="639" t="s">
        <v>204</v>
      </c>
      <c r="W24" s="640"/>
      <c r="X24" s="641" t="s">
        <v>205</v>
      </c>
      <c r="Y24" s="642"/>
      <c r="Z24" s="643"/>
      <c r="AA24" s="171"/>
      <c r="AB24" s="629"/>
      <c r="AC24" s="630"/>
    </row>
    <row r="25" spans="1:32" ht="17.25" customHeight="1">
      <c r="A25" s="164">
        <f>ELEC!C24</f>
        <v>43852</v>
      </c>
      <c r="B25" s="568">
        <f t="shared" si="13"/>
        <v>49361506</v>
      </c>
      <c r="C25" s="271">
        <f t="shared" si="3"/>
        <v>0</v>
      </c>
      <c r="D25" s="325">
        <f t="shared" si="4"/>
        <v>0</v>
      </c>
      <c r="E25" s="325">
        <f t="shared" si="11"/>
        <v>49361506</v>
      </c>
      <c r="F25" s="568">
        <f t="shared" si="14"/>
        <v>7932318</v>
      </c>
      <c r="G25" s="161">
        <f t="shared" si="0"/>
        <v>0</v>
      </c>
      <c r="H25" s="568">
        <f t="shared" si="14"/>
        <v>24310339</v>
      </c>
      <c r="I25" s="162">
        <f t="shared" si="1"/>
        <v>0</v>
      </c>
      <c r="J25" s="568">
        <f t="shared" si="14"/>
        <v>17118847</v>
      </c>
      <c r="K25" s="163">
        <f t="shared" si="2"/>
        <v>0</v>
      </c>
      <c r="L25" s="312">
        <f t="shared" si="5"/>
        <v>0</v>
      </c>
      <c r="M25" s="312">
        <f t="shared" si="6"/>
        <v>0</v>
      </c>
      <c r="N25" s="312">
        <f t="shared" si="7"/>
        <v>0</v>
      </c>
      <c r="O25" s="312">
        <f t="shared" si="8"/>
        <v>84.891988893548216</v>
      </c>
      <c r="P25" s="313">
        <f t="shared" si="9"/>
        <v>84.891988893548216</v>
      </c>
      <c r="Q25" s="313">
        <f>SUM(-tanks!AX27*tanks!$AU$37)</f>
        <v>0</v>
      </c>
      <c r="R25" s="313">
        <f t="shared" si="10"/>
        <v>84.891988893548216</v>
      </c>
      <c r="S25" s="316">
        <f>SUM(ELEC!N24)</f>
        <v>0</v>
      </c>
      <c r="T25" s="353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43853</v>
      </c>
      <c r="B26" s="568">
        <f t="shared" si="13"/>
        <v>49361506</v>
      </c>
      <c r="C26" s="271">
        <f t="shared" si="3"/>
        <v>0</v>
      </c>
      <c r="D26" s="325">
        <f t="shared" si="4"/>
        <v>0</v>
      </c>
      <c r="E26" s="325">
        <f t="shared" si="11"/>
        <v>49361506</v>
      </c>
      <c r="F26" s="568">
        <f t="shared" si="14"/>
        <v>7932318</v>
      </c>
      <c r="G26" s="161">
        <f t="shared" si="0"/>
        <v>0</v>
      </c>
      <c r="H26" s="568">
        <f t="shared" si="14"/>
        <v>24310339</v>
      </c>
      <c r="I26" s="162">
        <f t="shared" si="1"/>
        <v>0</v>
      </c>
      <c r="J26" s="568">
        <f t="shared" si="14"/>
        <v>17118847</v>
      </c>
      <c r="K26" s="163">
        <f t="shared" si="2"/>
        <v>0</v>
      </c>
      <c r="L26" s="312">
        <f t="shared" si="5"/>
        <v>0</v>
      </c>
      <c r="M26" s="312">
        <f t="shared" si="6"/>
        <v>0</v>
      </c>
      <c r="N26" s="312">
        <f t="shared" si="7"/>
        <v>0</v>
      </c>
      <c r="O26" s="312">
        <f t="shared" si="8"/>
        <v>84.891988893548216</v>
      </c>
      <c r="P26" s="313">
        <f t="shared" si="9"/>
        <v>84.891988893548216</v>
      </c>
      <c r="Q26" s="313">
        <f>SUM(-tanks!AX28*tanks!$AU$37)</f>
        <v>0</v>
      </c>
      <c r="R26" s="313">
        <f t="shared" si="10"/>
        <v>84.891988893548216</v>
      </c>
      <c r="S26" s="316">
        <f>SUM(ELEC!N25)</f>
        <v>0</v>
      </c>
      <c r="T26" s="353">
        <f t="shared" si="12"/>
        <v>0</v>
      </c>
      <c r="V26" s="260">
        <f>W9</f>
        <v>17085395</v>
      </c>
      <c r="W26" s="171">
        <f>J34</f>
        <v>17118847</v>
      </c>
      <c r="X26" s="173" t="s">
        <v>199</v>
      </c>
      <c r="Y26" s="173">
        <v>80</v>
      </c>
      <c r="Z26" s="173">
        <v>1</v>
      </c>
      <c r="AA26" s="200">
        <f>(W26-V26)*Z26</f>
        <v>33452</v>
      </c>
      <c r="AB26" s="200">
        <f>AA26*Y26</f>
        <v>2676160</v>
      </c>
      <c r="AC26" s="255">
        <f>AC9</f>
        <v>1033333</v>
      </c>
      <c r="AD26" s="216">
        <f>SUM(K37)</f>
        <v>0.38025303218032802</v>
      </c>
    </row>
    <row r="27" spans="1:32">
      <c r="A27" s="164">
        <f>ELEC!C26</f>
        <v>43854</v>
      </c>
      <c r="B27" s="568">
        <f t="shared" si="13"/>
        <v>49361506</v>
      </c>
      <c r="C27" s="271">
        <f t="shared" si="3"/>
        <v>0</v>
      </c>
      <c r="D27" s="325">
        <f t="shared" si="4"/>
        <v>0</v>
      </c>
      <c r="E27" s="325">
        <f t="shared" si="11"/>
        <v>49361506</v>
      </c>
      <c r="F27" s="568">
        <f t="shared" si="14"/>
        <v>7932318</v>
      </c>
      <c r="G27" s="161">
        <f t="shared" si="0"/>
        <v>0</v>
      </c>
      <c r="H27" s="568">
        <f t="shared" si="14"/>
        <v>24310339</v>
      </c>
      <c r="I27" s="162">
        <f t="shared" si="1"/>
        <v>0</v>
      </c>
      <c r="J27" s="568">
        <f t="shared" si="14"/>
        <v>17118847</v>
      </c>
      <c r="K27" s="163">
        <f t="shared" si="2"/>
        <v>0</v>
      </c>
      <c r="L27" s="312">
        <f t="shared" si="5"/>
        <v>0</v>
      </c>
      <c r="M27" s="312">
        <f t="shared" si="6"/>
        <v>0</v>
      </c>
      <c r="N27" s="312">
        <f t="shared" si="7"/>
        <v>0</v>
      </c>
      <c r="O27" s="312">
        <f t="shared" si="8"/>
        <v>84.891988893548216</v>
      </c>
      <c r="P27" s="313">
        <f t="shared" si="9"/>
        <v>84.891988893548216</v>
      </c>
      <c r="Q27" s="313">
        <f>SUM(-tanks!AX29*tanks!$AU$37)</f>
        <v>0</v>
      </c>
      <c r="R27" s="313">
        <f t="shared" si="10"/>
        <v>84.891988893548216</v>
      </c>
      <c r="S27" s="316">
        <f>SUM(ELEC!N26)</f>
        <v>0</v>
      </c>
      <c r="T27" s="353">
        <f t="shared" si="12"/>
        <v>0</v>
      </c>
      <c r="V27" s="260">
        <f>W10</f>
        <v>24270583</v>
      </c>
      <c r="W27" s="171">
        <f>H34</f>
        <v>24310339</v>
      </c>
      <c r="X27" s="173" t="s">
        <v>213</v>
      </c>
      <c r="Y27" s="173">
        <v>112</v>
      </c>
      <c r="Z27" s="173">
        <v>1</v>
      </c>
      <c r="AA27" s="200">
        <f>(W27-V27)*Z27</f>
        <v>39756</v>
      </c>
      <c r="AB27" s="200">
        <f>SUM(AA27*Y27)</f>
        <v>4452672</v>
      </c>
      <c r="AC27" s="255">
        <f>AC10</f>
        <v>6200000</v>
      </c>
      <c r="AD27" s="216">
        <f>SUM(I37)</f>
        <v>0.45191138190126512</v>
      </c>
    </row>
    <row r="28" spans="1:32">
      <c r="A28" s="164">
        <f>ELEC!C27</f>
        <v>43855</v>
      </c>
      <c r="B28" s="568">
        <f t="shared" si="13"/>
        <v>49361506</v>
      </c>
      <c r="C28" s="271">
        <f t="shared" si="3"/>
        <v>0</v>
      </c>
      <c r="D28" s="325">
        <f t="shared" si="4"/>
        <v>0</v>
      </c>
      <c r="E28" s="325">
        <f t="shared" si="11"/>
        <v>49361506</v>
      </c>
      <c r="F28" s="568">
        <f t="shared" si="14"/>
        <v>7932318</v>
      </c>
      <c r="G28" s="161">
        <f t="shared" si="0"/>
        <v>0</v>
      </c>
      <c r="H28" s="568">
        <f t="shared" si="14"/>
        <v>24310339</v>
      </c>
      <c r="I28" s="162">
        <f t="shared" si="1"/>
        <v>0</v>
      </c>
      <c r="J28" s="568">
        <f t="shared" si="14"/>
        <v>17118847</v>
      </c>
      <c r="K28" s="163">
        <f t="shared" si="2"/>
        <v>0</v>
      </c>
      <c r="L28" s="312">
        <f t="shared" si="5"/>
        <v>0</v>
      </c>
      <c r="M28" s="312">
        <f t="shared" si="6"/>
        <v>0</v>
      </c>
      <c r="N28" s="312">
        <f t="shared" si="7"/>
        <v>0</v>
      </c>
      <c r="O28" s="312">
        <f t="shared" si="8"/>
        <v>84.891988893548216</v>
      </c>
      <c r="P28" s="313">
        <f t="shared" si="9"/>
        <v>84.891988893548216</v>
      </c>
      <c r="Q28" s="313">
        <f>SUM(-tanks!AX30*tanks!$AU$37)</f>
        <v>0</v>
      </c>
      <c r="R28" s="313">
        <f t="shared" si="10"/>
        <v>84.891988893548216</v>
      </c>
      <c r="S28" s="316">
        <f>SUM(ELEC!N27)</f>
        <v>0</v>
      </c>
      <c r="T28" s="353">
        <f t="shared" si="12"/>
        <v>0</v>
      </c>
      <c r="V28" s="260">
        <f>W11</f>
        <v>7917555</v>
      </c>
      <c r="W28" s="171">
        <f>F34</f>
        <v>7932318</v>
      </c>
      <c r="X28" s="173" t="s">
        <v>197</v>
      </c>
      <c r="Y28" s="173">
        <v>320</v>
      </c>
      <c r="Z28" s="173">
        <v>1</v>
      </c>
      <c r="AA28" s="200">
        <f>(W28-V28)*Z28</f>
        <v>14763</v>
      </c>
      <c r="AB28" s="200">
        <f>SUM(AA28*Y28)</f>
        <v>4724160</v>
      </c>
      <c r="AC28" s="255">
        <f>AC11</f>
        <v>1000</v>
      </c>
      <c r="AD28" s="216">
        <f>SUM(G37)</f>
        <v>0.16781285167039886</v>
      </c>
      <c r="AE28" s="40">
        <f>SUM(AB28*5%)</f>
        <v>236208</v>
      </c>
      <c r="AF28" s="83">
        <f>SUM(AE28/7)*31</f>
        <v>1046064</v>
      </c>
    </row>
    <row r="29" spans="1:32">
      <c r="A29" s="164">
        <f>ELEC!C28</f>
        <v>43856</v>
      </c>
      <c r="B29" s="568">
        <f t="shared" si="13"/>
        <v>49361506</v>
      </c>
      <c r="C29" s="271">
        <f t="shared" si="3"/>
        <v>0</v>
      </c>
      <c r="D29" s="325">
        <f t="shared" si="4"/>
        <v>0</v>
      </c>
      <c r="E29" s="325">
        <f t="shared" si="11"/>
        <v>49361506</v>
      </c>
      <c r="F29" s="568">
        <f t="shared" si="14"/>
        <v>7932318</v>
      </c>
      <c r="G29" s="161">
        <f t="shared" si="0"/>
        <v>0</v>
      </c>
      <c r="H29" s="568">
        <f t="shared" si="14"/>
        <v>24310339</v>
      </c>
      <c r="I29" s="162">
        <f t="shared" si="1"/>
        <v>0</v>
      </c>
      <c r="J29" s="568">
        <f t="shared" si="14"/>
        <v>17118847</v>
      </c>
      <c r="K29" s="163">
        <f t="shared" si="2"/>
        <v>0</v>
      </c>
      <c r="L29" s="312">
        <f t="shared" si="5"/>
        <v>0</v>
      </c>
      <c r="M29" s="312">
        <f t="shared" si="6"/>
        <v>0</v>
      </c>
      <c r="N29" s="312">
        <f t="shared" si="7"/>
        <v>0</v>
      </c>
      <c r="O29" s="312">
        <f t="shared" si="8"/>
        <v>84.891988893548216</v>
      </c>
      <c r="P29" s="313">
        <f t="shared" si="9"/>
        <v>84.891988893548216</v>
      </c>
      <c r="Q29" s="313">
        <f>SUM(-tanks!AX31*tanks!$AU$37)</f>
        <v>0</v>
      </c>
      <c r="R29" s="313">
        <f t="shared" si="10"/>
        <v>84.891988893548216</v>
      </c>
      <c r="S29" s="316">
        <f>SUM(ELEC!N28)</f>
        <v>0</v>
      </c>
      <c r="T29" s="353">
        <f t="shared" si="12"/>
        <v>0</v>
      </c>
      <c r="V29" s="217"/>
      <c r="W29" s="218"/>
      <c r="X29" s="218"/>
      <c r="Y29" s="219"/>
      <c r="Z29" s="3"/>
      <c r="AA29" s="297">
        <f>SUM(AA26:AA28)</f>
        <v>87971</v>
      </c>
      <c r="AB29" s="200"/>
      <c r="AC29" s="255"/>
    </row>
    <row r="30" spans="1:32" ht="14.25" customHeight="1">
      <c r="A30" s="164">
        <f>ELEC!C29</f>
        <v>43857</v>
      </c>
      <c r="B30" s="568">
        <f t="shared" si="13"/>
        <v>49361506</v>
      </c>
      <c r="C30" s="271">
        <f t="shared" si="3"/>
        <v>0</v>
      </c>
      <c r="D30" s="325">
        <f t="shared" si="4"/>
        <v>0</v>
      </c>
      <c r="E30" s="325">
        <f t="shared" si="11"/>
        <v>49361506</v>
      </c>
      <c r="F30" s="568">
        <f t="shared" si="14"/>
        <v>7932318</v>
      </c>
      <c r="G30" s="161">
        <f t="shared" si="0"/>
        <v>0</v>
      </c>
      <c r="H30" s="568">
        <f t="shared" si="14"/>
        <v>24310339</v>
      </c>
      <c r="I30" s="162">
        <f t="shared" si="1"/>
        <v>0</v>
      </c>
      <c r="J30" s="568">
        <f t="shared" si="14"/>
        <v>17118847</v>
      </c>
      <c r="K30" s="163">
        <f t="shared" si="2"/>
        <v>0</v>
      </c>
      <c r="L30" s="312">
        <f t="shared" si="5"/>
        <v>0</v>
      </c>
      <c r="M30" s="312">
        <f t="shared" si="6"/>
        <v>0</v>
      </c>
      <c r="N30" s="312">
        <f t="shared" si="7"/>
        <v>0</v>
      </c>
      <c r="O30" s="312">
        <f t="shared" si="8"/>
        <v>84.891988893548216</v>
      </c>
      <c r="P30" s="313">
        <f t="shared" si="9"/>
        <v>84.891988893548216</v>
      </c>
      <c r="Q30" s="313">
        <f>SUM(-tanks!AX32*tanks!$AU$37)</f>
        <v>0</v>
      </c>
      <c r="R30" s="313">
        <f t="shared" si="10"/>
        <v>84.891988893548216</v>
      </c>
      <c r="S30" s="316">
        <f>SUM(ELEC!N29)</f>
        <v>0</v>
      </c>
      <c r="T30" s="353">
        <f t="shared" si="12"/>
        <v>0</v>
      </c>
      <c r="V30" s="220" t="s">
        <v>317</v>
      </c>
      <c r="W30" s="478">
        <f>'General information '!F37</f>
        <v>0.22450000000000003</v>
      </c>
      <c r="X30" s="221"/>
      <c r="Y30" s="222" t="s">
        <v>333</v>
      </c>
      <c r="Z30" s="3"/>
      <c r="AA30" s="297"/>
      <c r="AB30" s="200">
        <f>SUM(AB26:AB29)</f>
        <v>11852992</v>
      </c>
      <c r="AC30" s="255">
        <f>SUM(AC26:AC29)/A38*A36</f>
        <v>3967214.8709677421</v>
      </c>
    </row>
    <row r="31" spans="1:32">
      <c r="A31" s="164">
        <f>ELEC!C30</f>
        <v>43858</v>
      </c>
      <c r="B31" s="568">
        <f t="shared" si="13"/>
        <v>49361506</v>
      </c>
      <c r="C31" s="271">
        <f t="shared" si="3"/>
        <v>0</v>
      </c>
      <c r="D31" s="325">
        <f t="shared" si="4"/>
        <v>0</v>
      </c>
      <c r="E31" s="325">
        <f t="shared" si="11"/>
        <v>49361506</v>
      </c>
      <c r="F31" s="568">
        <f t="shared" si="14"/>
        <v>7932318</v>
      </c>
      <c r="G31" s="161">
        <f t="shared" si="0"/>
        <v>0</v>
      </c>
      <c r="H31" s="568">
        <f t="shared" si="14"/>
        <v>24310339</v>
      </c>
      <c r="I31" s="162">
        <f t="shared" si="1"/>
        <v>0</v>
      </c>
      <c r="J31" s="568">
        <f t="shared" si="14"/>
        <v>17118847</v>
      </c>
      <c r="K31" s="163">
        <f t="shared" si="2"/>
        <v>0</v>
      </c>
      <c r="L31" s="312">
        <f t="shared" si="5"/>
        <v>0</v>
      </c>
      <c r="M31" s="312">
        <f t="shared" si="6"/>
        <v>0</v>
      </c>
      <c r="N31" s="312">
        <f t="shared" si="7"/>
        <v>0</v>
      </c>
      <c r="O31" s="312">
        <f t="shared" si="8"/>
        <v>84.891988893548216</v>
      </c>
      <c r="P31" s="313">
        <f t="shared" si="9"/>
        <v>84.891988893548216</v>
      </c>
      <c r="Q31" s="313">
        <f>SUM(-tanks!AX33*tanks!$AU$37)</f>
        <v>0</v>
      </c>
      <c r="R31" s="313">
        <f t="shared" si="10"/>
        <v>84.891988893548216</v>
      </c>
      <c r="S31" s="316">
        <f>SUM(ELEC!N30)</f>
        <v>0</v>
      </c>
      <c r="T31" s="353">
        <f t="shared" si="12"/>
        <v>0</v>
      </c>
      <c r="V31" s="220" t="s">
        <v>318</v>
      </c>
      <c r="W31" s="221">
        <f>SUM(GEN!U34)</f>
        <v>99</v>
      </c>
      <c r="X31" s="226">
        <f>SUM(W31/A36)</f>
        <v>5.8235294117647056</v>
      </c>
      <c r="Y31" s="267">
        <f>SUM(X31/2)</f>
        <v>2.9117647058823528</v>
      </c>
      <c r="Z31" s="3"/>
      <c r="AA31" s="3"/>
      <c r="AB31" s="200">
        <f>SUM(AB30+AC31)</f>
        <v>15820206.870967742</v>
      </c>
      <c r="AC31" s="255">
        <f>SUM(AC30)</f>
        <v>3967214.8709677421</v>
      </c>
    </row>
    <row r="32" spans="1:32">
      <c r="A32" s="164">
        <f>ELEC!C31</f>
        <v>43859</v>
      </c>
      <c r="B32" s="568">
        <f t="shared" si="13"/>
        <v>49361506</v>
      </c>
      <c r="C32" s="271">
        <f t="shared" si="3"/>
        <v>0</v>
      </c>
      <c r="D32" s="325">
        <f t="shared" si="4"/>
        <v>0</v>
      </c>
      <c r="E32" s="325">
        <f t="shared" si="11"/>
        <v>49361506</v>
      </c>
      <c r="F32" s="568">
        <f t="shared" si="14"/>
        <v>7932318</v>
      </c>
      <c r="G32" s="161">
        <f t="shared" si="0"/>
        <v>0</v>
      </c>
      <c r="H32" s="568">
        <f t="shared" si="14"/>
        <v>24310339</v>
      </c>
      <c r="I32" s="162">
        <f t="shared" si="1"/>
        <v>0</v>
      </c>
      <c r="J32" s="568">
        <f t="shared" si="14"/>
        <v>17118847</v>
      </c>
      <c r="K32" s="163">
        <f t="shared" si="2"/>
        <v>0</v>
      </c>
      <c r="L32" s="312">
        <f t="shared" si="5"/>
        <v>0</v>
      </c>
      <c r="M32" s="312">
        <f t="shared" si="6"/>
        <v>0</v>
      </c>
      <c r="N32" s="312">
        <f t="shared" si="7"/>
        <v>0</v>
      </c>
      <c r="O32" s="312">
        <f t="shared" si="8"/>
        <v>84.891988893548216</v>
      </c>
      <c r="P32" s="313">
        <f t="shared" si="9"/>
        <v>84.891988893548216</v>
      </c>
      <c r="Q32" s="313">
        <f>SUM(-tanks!AX34*tanks!$AU$37)</f>
        <v>0</v>
      </c>
      <c r="R32" s="313">
        <f t="shared" si="10"/>
        <v>84.891988893548216</v>
      </c>
      <c r="S32" s="316">
        <f>SUM(ELEC!N31)</f>
        <v>0</v>
      </c>
      <c r="T32" s="353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43860</v>
      </c>
      <c r="B33" s="568">
        <f t="shared" si="13"/>
        <v>49361506</v>
      </c>
      <c r="C33" s="271">
        <f t="shared" si="3"/>
        <v>0</v>
      </c>
      <c r="D33" s="325">
        <f t="shared" si="4"/>
        <v>0</v>
      </c>
      <c r="E33" s="325">
        <f t="shared" si="11"/>
        <v>49361506</v>
      </c>
      <c r="F33" s="568">
        <f t="shared" si="14"/>
        <v>7932318</v>
      </c>
      <c r="G33" s="161">
        <f>F33-F32</f>
        <v>0</v>
      </c>
      <c r="H33" s="568">
        <f t="shared" si="14"/>
        <v>24310339</v>
      </c>
      <c r="I33" s="162">
        <f t="shared" si="1"/>
        <v>0</v>
      </c>
      <c r="J33" s="568">
        <f t="shared" si="14"/>
        <v>17118847</v>
      </c>
      <c r="K33" s="163">
        <f t="shared" si="2"/>
        <v>0</v>
      </c>
      <c r="L33" s="312">
        <f>SUM(G33*$Y$28)/1507.5</f>
        <v>0</v>
      </c>
      <c r="M33" s="312">
        <f t="shared" si="6"/>
        <v>0</v>
      </c>
      <c r="N33" s="312">
        <f t="shared" si="7"/>
        <v>0</v>
      </c>
      <c r="O33" s="312">
        <f t="shared" si="8"/>
        <v>84.891988893548216</v>
      </c>
      <c r="P33" s="313">
        <f>SUM(L33:O33)</f>
        <v>84.891988893548216</v>
      </c>
      <c r="Q33" s="313">
        <f>SUM(-tanks!AX35*tanks!$AU$37)</f>
        <v>0</v>
      </c>
      <c r="R33" s="313">
        <f>SUM(P33:Q33)</f>
        <v>84.891988893548216</v>
      </c>
      <c r="S33" s="316">
        <f>SUM(ELEC!N32)</f>
        <v>0</v>
      </c>
      <c r="T33" s="353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43861</v>
      </c>
      <c r="B34" s="568">
        <f t="shared" si="13"/>
        <v>49361506</v>
      </c>
      <c r="C34" s="271">
        <f>SUM(B34-B33)</f>
        <v>0</v>
      </c>
      <c r="D34" s="325">
        <f>SUM(G34+I34+K34)</f>
        <v>0</v>
      </c>
      <c r="E34" s="325">
        <f>B33+D34</f>
        <v>49361506</v>
      </c>
      <c r="F34" s="568">
        <f t="shared" si="14"/>
        <v>7932318</v>
      </c>
      <c r="G34" s="161">
        <f>F34-F33</f>
        <v>0</v>
      </c>
      <c r="H34" s="568">
        <f t="shared" si="14"/>
        <v>24310339</v>
      </c>
      <c r="I34" s="162">
        <f>H34-H33</f>
        <v>0</v>
      </c>
      <c r="J34" s="568">
        <f t="shared" si="14"/>
        <v>17118847</v>
      </c>
      <c r="K34" s="163">
        <f>J34-J33</f>
        <v>0</v>
      </c>
      <c r="L34" s="312">
        <f>SUM(G34*$Y$28)/1507.5</f>
        <v>0</v>
      </c>
      <c r="M34" s="312">
        <f>SUM(I34*$Y$27)/1507.5</f>
        <v>0</v>
      </c>
      <c r="N34" s="312">
        <f>SUM(K34*$Y$26)/1507.5</f>
        <v>0</v>
      </c>
      <c r="O34" s="312">
        <f t="shared" si="8"/>
        <v>84.891988893548216</v>
      </c>
      <c r="P34" s="313">
        <f>SUM(L34:O34)</f>
        <v>84.891988893548216</v>
      </c>
      <c r="Q34" s="313">
        <f>SUM(-tanks!AX36*tanks!$AU$37)</f>
        <v>0</v>
      </c>
      <c r="R34" s="313">
        <f>SUM(P34:Q34)</f>
        <v>84.891988893548216</v>
      </c>
      <c r="S34" s="316">
        <f>SUM(ELEC!N33)</f>
        <v>0</v>
      </c>
      <c r="T34" s="353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6"/>
      <c r="C35" s="307"/>
      <c r="D35" s="307"/>
      <c r="E35" s="307"/>
      <c r="F35" s="306"/>
      <c r="G35" s="308"/>
      <c r="H35" s="306"/>
      <c r="I35" s="309"/>
      <c r="J35" s="306"/>
      <c r="K35" s="177">
        <f>SUM(K4:K34)/A36</f>
        <v>1967.7647058823529</v>
      </c>
      <c r="L35" s="314">
        <f t="shared" ref="L35:S35" si="15">SUM(L4:L34)</f>
        <v>3133.7711442786076</v>
      </c>
      <c r="M35" s="314">
        <f t="shared" si="15"/>
        <v>2953.6796019900498</v>
      </c>
      <c r="N35" s="314">
        <f t="shared" si="15"/>
        <v>1775.2305140961857</v>
      </c>
      <c r="O35" s="314">
        <f t="shared" si="15"/>
        <v>2631.651655699995</v>
      </c>
      <c r="P35" s="317">
        <f t="shared" si="15"/>
        <v>10494.332916064846</v>
      </c>
      <c r="Q35" s="317">
        <f t="shared" si="15"/>
        <v>11502.250829032266</v>
      </c>
      <c r="R35" s="317">
        <f t="shared" si="15"/>
        <v>21996.583745097112</v>
      </c>
      <c r="S35" s="317">
        <f t="shared" si="15"/>
        <v>230545</v>
      </c>
      <c r="T35" s="354"/>
      <c r="V35" s="259"/>
      <c r="W35" s="17"/>
      <c r="X35" s="17"/>
      <c r="Y35" s="17"/>
      <c r="Z35" s="3" t="s">
        <v>214</v>
      </c>
      <c r="AA35" s="288">
        <v>0.11</v>
      </c>
      <c r="AB35" s="303">
        <f>SUM(AB31*AA35)</f>
        <v>1740222.7558064517</v>
      </c>
      <c r="AC35" s="290"/>
    </row>
    <row r="36" spans="1:29" ht="15.75" thickBot="1">
      <c r="A36" s="284">
        <f>A38-COUNTIF(C4:C34,0)</f>
        <v>17</v>
      </c>
      <c r="C36" s="177">
        <f>SUM(C4:C34)/A36</f>
        <v>5174.8823529411766</v>
      </c>
      <c r="D36" s="177"/>
      <c r="E36" s="177"/>
      <c r="G36" s="177">
        <f>SUM(G4:G34)/A36</f>
        <v>868.41176470588232</v>
      </c>
      <c r="I36" s="177">
        <f>SUM(I4:I34)/A36</f>
        <v>2338.5882352941176</v>
      </c>
      <c r="K36" s="177"/>
      <c r="L36" s="177">
        <f>SUM(L35*1507.5)</f>
        <v>4724160.0000000009</v>
      </c>
      <c r="M36" s="177">
        <f>SUM(M35*1507.5)</f>
        <v>4452672</v>
      </c>
      <c r="N36" s="177">
        <f>SUM(N35*1507.5)</f>
        <v>2676160</v>
      </c>
      <c r="O36" s="177">
        <f>SUM(O35*1507.5)</f>
        <v>3967214.8709677425</v>
      </c>
      <c r="P36" s="177"/>
      <c r="Q36" s="177"/>
      <c r="R36" s="177"/>
      <c r="S36" s="317"/>
      <c r="V36" s="233"/>
      <c r="W36" s="234"/>
      <c r="X36" s="234"/>
      <c r="Y36" s="234"/>
      <c r="Z36" s="3"/>
      <c r="AA36" s="45"/>
      <c r="AB36" s="303">
        <f>SUM(AB31+AB35)</f>
        <v>17560429.626774192</v>
      </c>
      <c r="AC36" s="290"/>
    </row>
    <row r="37" spans="1:29" ht="15.75" thickBot="1">
      <c r="A37" s="214"/>
      <c r="C37" s="216">
        <f>SUM(G37:K37)</f>
        <v>0.99997726575199197</v>
      </c>
      <c r="G37" s="229">
        <f>IF(C36&gt;0,G36/C36,0)</f>
        <v>0.16781285167039886</v>
      </c>
      <c r="H37" s="216"/>
      <c r="I37" s="229">
        <f>SUM(I36/C36)</f>
        <v>0.45191138190126512</v>
      </c>
      <c r="J37" s="216"/>
      <c r="K37" s="229">
        <f>SUM(K35/C36)</f>
        <v>0.38025303218032802</v>
      </c>
      <c r="L37" s="229"/>
      <c r="M37" s="229"/>
      <c r="N37" s="229"/>
      <c r="O37" s="229"/>
      <c r="P37" s="229"/>
      <c r="Q37" s="229"/>
      <c r="R37" s="229"/>
      <c r="S37" s="318"/>
      <c r="V37" s="233"/>
      <c r="W37" s="234"/>
      <c r="X37" s="234"/>
      <c r="Y37" s="234"/>
      <c r="Z37" s="234"/>
      <c r="AA37" s="234" t="s">
        <v>215</v>
      </c>
      <c r="AB37" s="303">
        <f>SUM(AB31/1507.5)</f>
        <v>10494.332916064837</v>
      </c>
      <c r="AC37" s="290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2644.8099139784945</v>
      </c>
      <c r="Z39" s="40"/>
      <c r="AA39" s="304" t="s">
        <v>215</v>
      </c>
      <c r="AB39" s="305">
        <f>SUM(AB37)</f>
        <v>10494.332916064837</v>
      </c>
    </row>
    <row r="40" spans="1:29">
      <c r="V40" s="221"/>
      <c r="W40" s="83">
        <f>AB30/1500</f>
        <v>7901.9946666666665</v>
      </c>
      <c r="Z40" s="310">
        <f>SUM(AB39)</f>
        <v>10494.332916064837</v>
      </c>
      <c r="AA40" s="305"/>
      <c r="AB40" s="305"/>
    </row>
    <row r="41" spans="1:29">
      <c r="V41" s="17"/>
      <c r="W41" s="83">
        <f>SUM(W39:W40)</f>
        <v>10546.804580645161</v>
      </c>
      <c r="Y41" s="83"/>
      <c r="Z41" s="310">
        <f>SUM(-tanks!AX37)*tanks!AU37</f>
        <v>11502.250829032268</v>
      </c>
      <c r="AA41" s="102">
        <f>SUM(AB31/A36)</f>
        <v>930600.40417457302</v>
      </c>
      <c r="AB41" s="369">
        <f>SUM(AA41*A38)</f>
        <v>28848612.529411763</v>
      </c>
    </row>
    <row r="42" spans="1:29" ht="18.75">
      <c r="W42" s="83">
        <f>AB30/1500</f>
        <v>7901.9946666666665</v>
      </c>
      <c r="Z42" s="286">
        <f>SUM(Z40:Z41)</f>
        <v>21996.583745097105</v>
      </c>
      <c r="AA42" s="305">
        <f>SUM(AA41/1507.5)</f>
        <v>617.31370094499039</v>
      </c>
      <c r="AB42" s="368">
        <f>SUM(AB41/1507.5)</f>
        <v>19136.724729294703</v>
      </c>
    </row>
    <row r="43" spans="1:29">
      <c r="W43" s="83">
        <f>SUM(W41:W42)</f>
        <v>18448.799247311828</v>
      </c>
      <c r="Z43" s="311" t="e">
        <f>SUM(ELEC!#REF!)</f>
        <v>#REF!</v>
      </c>
    </row>
    <row r="44" spans="1:29">
      <c r="Z44" s="305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Z19" sqref="Z19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44" t="s">
        <v>161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</row>
    <row r="2" spans="1:28" ht="19.5">
      <c r="A2" s="645"/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</row>
    <row r="3" spans="1:28" ht="19.5">
      <c r="A3" s="645" t="s">
        <v>162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45" t="s">
        <v>413</v>
      </c>
      <c r="B5" s="645"/>
      <c r="C5" s="645"/>
      <c r="D5" s="645"/>
      <c r="E5" s="645"/>
      <c r="F5" s="645"/>
      <c r="G5" s="645"/>
      <c r="H5" s="645"/>
      <c r="I5" s="645"/>
      <c r="J5" s="645"/>
      <c r="K5" s="645"/>
      <c r="L5" s="645"/>
      <c r="M5" s="645"/>
      <c r="N5" s="645"/>
      <c r="O5" s="645"/>
      <c r="P5" s="645"/>
      <c r="Q5" s="645"/>
      <c r="R5" s="645"/>
      <c r="S5" s="645"/>
      <c r="T5" s="645"/>
      <c r="U5" s="645"/>
      <c r="V5" s="645"/>
      <c r="W5" s="645"/>
      <c r="X5" s="645"/>
    </row>
    <row r="6" spans="1:28" ht="15.75" thickBot="1">
      <c r="A6" s="646"/>
      <c r="B6" s="646"/>
      <c r="C6" s="646"/>
      <c r="D6" s="646"/>
      <c r="E6" s="646"/>
      <c r="F6" s="646"/>
      <c r="G6" s="646"/>
      <c r="H6" s="646"/>
      <c r="I6" s="646"/>
      <c r="J6" s="646"/>
      <c r="K6" s="646"/>
      <c r="L6" s="646"/>
      <c r="M6" s="646"/>
      <c r="N6" s="646"/>
      <c r="O6" s="646"/>
      <c r="P6" s="646"/>
      <c r="Q6" s="646"/>
      <c r="R6" s="646"/>
      <c r="S6" s="646"/>
      <c r="T6" s="646"/>
      <c r="U6" s="646"/>
      <c r="V6" s="646"/>
      <c r="W6" s="646"/>
      <c r="X6" s="646"/>
    </row>
    <row r="7" spans="1:28" ht="15.75" thickBot="1">
      <c r="A7" s="648" t="s">
        <v>163</v>
      </c>
      <c r="B7" s="649"/>
      <c r="C7" s="650" t="s">
        <v>164</v>
      </c>
      <c r="D7" s="651"/>
      <c r="E7" s="651"/>
      <c r="F7" s="651"/>
      <c r="G7" s="651"/>
      <c r="H7" s="651"/>
      <c r="I7" s="651"/>
      <c r="J7" s="651"/>
      <c r="K7" s="652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16</v>
      </c>
      <c r="C10" s="279">
        <f>'General information '!C6</f>
        <v>11</v>
      </c>
      <c r="D10" s="120">
        <f t="shared" ref="D10:D40" si="0">(B10+C10)/2-18.3</f>
        <v>-4.8000000000000007</v>
      </c>
      <c r="E10" s="279"/>
      <c r="F10" s="279"/>
      <c r="G10" s="279"/>
      <c r="H10" s="120">
        <f t="shared" ref="H10:H40" si="1">(F10+G10)/2-18.3</f>
        <v>-18.3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'[6]Degree Days 2018'!AA10</f>
        <v>-116.79999999999994</v>
      </c>
      <c r="AB10" s="279">
        <f>'[6]Degree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12</v>
      </c>
      <c r="D11" s="120">
        <f t="shared" si="0"/>
        <v>-3.8000000000000007</v>
      </c>
      <c r="E11" s="279"/>
      <c r="F11" s="279"/>
      <c r="G11" s="279"/>
      <c r="H11" s="120">
        <f t="shared" si="1"/>
        <v>-18.3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12</v>
      </c>
      <c r="D12" s="120">
        <f t="shared" si="0"/>
        <v>-4.3000000000000007</v>
      </c>
      <c r="E12" s="279"/>
      <c r="F12" s="279"/>
      <c r="G12" s="279"/>
      <c r="H12" s="120">
        <f t="shared" si="1"/>
        <v>-18.3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'[6]Degree Days 2018'!AA12</f>
        <v>-87.799999999999955</v>
      </c>
      <c r="AB12" s="279">
        <f>'[6]Degree Days 2018'!AB12</f>
        <v>0</v>
      </c>
    </row>
    <row r="13" spans="1:28">
      <c r="A13" s="118">
        <v>4</v>
      </c>
      <c r="B13" s="279">
        <f>'General information '!B9</f>
        <v>15</v>
      </c>
      <c r="C13" s="279">
        <f>'General information '!C9</f>
        <v>11</v>
      </c>
      <c r="D13" s="120">
        <f t="shared" si="0"/>
        <v>-5.3000000000000007</v>
      </c>
      <c r="E13" s="279"/>
      <c r="F13" s="279"/>
      <c r="G13" s="279"/>
      <c r="H13" s="120">
        <f t="shared" si="1"/>
        <v>-18.3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'[6]Degree Days 2018'!AA13</f>
        <v>-38.700000000000003</v>
      </c>
      <c r="AB13" s="279">
        <f>'[6]Degree Days 2018'!AB13</f>
        <v>33.199999999999989</v>
      </c>
    </row>
    <row r="14" spans="1:28">
      <c r="A14" s="118">
        <v>5</v>
      </c>
      <c r="B14" s="279">
        <f>'General information '!B10</f>
        <v>15</v>
      </c>
      <c r="C14" s="279">
        <f>'General information '!C10</f>
        <v>11</v>
      </c>
      <c r="D14" s="120">
        <f t="shared" si="0"/>
        <v>-5.3000000000000007</v>
      </c>
      <c r="E14" s="279"/>
      <c r="F14" s="279"/>
      <c r="G14" s="279"/>
      <c r="H14" s="120">
        <f t="shared" si="1"/>
        <v>-18.3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'[6]Degree Days 2018'!AA14</f>
        <v>-18.3</v>
      </c>
      <c r="AB14" s="279">
        <f>'[6]Degree Days 2018'!AB14</f>
        <v>151</v>
      </c>
    </row>
    <row r="15" spans="1:28">
      <c r="A15" s="118">
        <v>6</v>
      </c>
      <c r="B15" s="279">
        <f>'General information '!B11</f>
        <v>16</v>
      </c>
      <c r="C15" s="279">
        <f>'General information '!C11</f>
        <v>12</v>
      </c>
      <c r="D15" s="120">
        <f t="shared" si="0"/>
        <v>-4.3000000000000007</v>
      </c>
      <c r="E15" s="279"/>
      <c r="F15" s="279"/>
      <c r="G15" s="279"/>
      <c r="H15" s="120">
        <f t="shared" si="1"/>
        <v>-18.3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'[6]Degree Days 2018'!AA15</f>
        <v>-0.30000000000000071</v>
      </c>
      <c r="AB15" s="279">
        <f>'[6]Degree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12</v>
      </c>
      <c r="D16" s="120">
        <f t="shared" si="0"/>
        <v>-4.3000000000000007</v>
      </c>
      <c r="E16" s="279"/>
      <c r="F16" s="279"/>
      <c r="G16" s="279"/>
      <c r="H16" s="120">
        <f t="shared" si="1"/>
        <v>-18.3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'[6]Degree Days 2018'!AA16</f>
        <v>31</v>
      </c>
      <c r="AB16" s="279">
        <f>'[6]Degree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11</v>
      </c>
      <c r="D17" s="120">
        <f t="shared" si="0"/>
        <v>-5.8000000000000007</v>
      </c>
      <c r="E17" s="279"/>
      <c r="F17" s="279"/>
      <c r="G17" s="279"/>
      <c r="H17" s="120">
        <f t="shared" si="1"/>
        <v>-18.3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'[6]Degree Days 2018'!AA17</f>
        <v>31</v>
      </c>
      <c r="AB17" s="279">
        <f>'[6]Degree Days 2018'!AB17</f>
        <v>27</v>
      </c>
    </row>
    <row r="18" spans="1:28">
      <c r="A18" s="118">
        <v>9</v>
      </c>
      <c r="B18" s="279">
        <f>'General information '!B14</f>
        <v>14</v>
      </c>
      <c r="C18" s="279">
        <f>'General information '!C14</f>
        <v>11</v>
      </c>
      <c r="D18" s="120">
        <f t="shared" si="0"/>
        <v>-5.8000000000000007</v>
      </c>
      <c r="E18" s="279"/>
      <c r="F18" s="279"/>
      <c r="G18" s="279"/>
      <c r="H18" s="120">
        <f t="shared" si="1"/>
        <v>-18.3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'[6]Degree Days 2018'!AA18</f>
        <v>31</v>
      </c>
      <c r="AB18" s="279">
        <f>'[6]Degree Days 2018'!AB18</f>
        <v>26</v>
      </c>
    </row>
    <row r="19" spans="1:28">
      <c r="A19" s="118">
        <v>10</v>
      </c>
      <c r="B19" s="279">
        <f>'General information '!B15</f>
        <v>17</v>
      </c>
      <c r="C19" s="279">
        <f>'General information '!C15</f>
        <v>12</v>
      </c>
      <c r="D19" s="120">
        <f t="shared" si="0"/>
        <v>-3.8000000000000007</v>
      </c>
      <c r="E19" s="279"/>
      <c r="F19" s="279"/>
      <c r="G19" s="279"/>
      <c r="H19" s="120">
        <f t="shared" si="1"/>
        <v>-18.3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'[6]Degree Days 2018'!AA19</f>
        <v>32</v>
      </c>
      <c r="AB19" s="279">
        <f>'[6]Degree Days 2018'!AB19</f>
        <v>26</v>
      </c>
    </row>
    <row r="20" spans="1:28">
      <c r="A20" s="118">
        <v>11</v>
      </c>
      <c r="B20" s="279">
        <f>'General information '!B16</f>
        <v>17</v>
      </c>
      <c r="C20" s="279">
        <f>'General information '!C16</f>
        <v>13</v>
      </c>
      <c r="D20" s="120">
        <f t="shared" si="0"/>
        <v>-3.3000000000000007</v>
      </c>
      <c r="E20" s="279"/>
      <c r="F20" s="279"/>
      <c r="G20" s="279"/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12</v>
      </c>
      <c r="D21" s="120">
        <f t="shared" si="0"/>
        <v>-4.3000000000000007</v>
      </c>
      <c r="E21" s="279"/>
      <c r="F21" s="279"/>
      <c r="G21" s="279"/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>SUM(B54)</f>
        <v>0</v>
      </c>
      <c r="AB21" s="135">
        <f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13</v>
      </c>
      <c r="D22" s="120">
        <f t="shared" si="0"/>
        <v>-3.3000000000000007</v>
      </c>
      <c r="E22" s="279"/>
      <c r="F22" s="279"/>
      <c r="G22" s="279"/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16</v>
      </c>
      <c r="C23" s="279">
        <f>'General information '!C19</f>
        <v>12</v>
      </c>
      <c r="D23" s="120">
        <f t="shared" si="0"/>
        <v>-4.3000000000000007</v>
      </c>
      <c r="E23" s="279"/>
      <c r="F23" s="279"/>
      <c r="G23" s="279"/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13</v>
      </c>
      <c r="D24" s="120">
        <f t="shared" si="0"/>
        <v>-3.3000000000000007</v>
      </c>
      <c r="E24" s="279"/>
      <c r="F24" s="279"/>
      <c r="G24" s="279"/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19</v>
      </c>
      <c r="C25" s="279">
        <f>'General information '!C21</f>
        <v>13</v>
      </c>
      <c r="D25" s="120">
        <f t="shared" si="0"/>
        <v>-2.3000000000000007</v>
      </c>
      <c r="E25" s="279"/>
      <c r="F25" s="279"/>
      <c r="G25" s="279"/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>
      <c r="A26" s="118">
        <v>17</v>
      </c>
      <c r="B26" s="279">
        <f>'General information '!B22</f>
        <v>20</v>
      </c>
      <c r="C26" s="279">
        <f>'General information '!C22</f>
        <v>13</v>
      </c>
      <c r="D26" s="120">
        <f t="shared" si="0"/>
        <v>-1.8000000000000007</v>
      </c>
      <c r="E26" s="279"/>
      <c r="F26" s="279"/>
      <c r="G26" s="279"/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0</v>
      </c>
      <c r="C27" s="279">
        <f>'General information '!C23</f>
        <v>0</v>
      </c>
      <c r="D27" s="120">
        <f t="shared" si="0"/>
        <v>-18.3</v>
      </c>
      <c r="E27" s="279"/>
      <c r="F27" s="279"/>
      <c r="G27" s="279"/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0</v>
      </c>
      <c r="C28" s="279">
        <f>'General information '!C24</f>
        <v>0</v>
      </c>
      <c r="D28" s="120">
        <f t="shared" si="0"/>
        <v>-18.3</v>
      </c>
      <c r="E28" s="279"/>
      <c r="F28" s="279"/>
      <c r="G28" s="279"/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0</v>
      </c>
      <c r="C29" s="279">
        <f>'General information '!C25</f>
        <v>0</v>
      </c>
      <c r="D29" s="120">
        <f t="shared" si="0"/>
        <v>-18.3</v>
      </c>
      <c r="E29" s="279"/>
      <c r="F29" s="279"/>
      <c r="G29" s="279"/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0</v>
      </c>
      <c r="C30" s="279">
        <f>'General information '!C26</f>
        <v>0</v>
      </c>
      <c r="D30" s="120">
        <f t="shared" si="0"/>
        <v>-18.3</v>
      </c>
      <c r="E30" s="279"/>
      <c r="F30" s="279"/>
      <c r="G30" s="279"/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0</v>
      </c>
      <c r="C31" s="279">
        <f>'General information '!C27</f>
        <v>0</v>
      </c>
      <c r="D31" s="120">
        <f t="shared" si="0"/>
        <v>-18.3</v>
      </c>
      <c r="E31" s="279"/>
      <c r="F31" s="279"/>
      <c r="G31" s="279"/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0</v>
      </c>
      <c r="C32" s="279">
        <f>'General information '!C28</f>
        <v>0</v>
      </c>
      <c r="D32" s="120">
        <f t="shared" si="0"/>
        <v>-18.3</v>
      </c>
      <c r="E32" s="279"/>
      <c r="F32" s="279"/>
      <c r="G32" s="279"/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279"/>
      <c r="F33" s="279"/>
      <c r="G33" s="279"/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279"/>
      <c r="F34" s="279"/>
      <c r="G34" s="279"/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279"/>
      <c r="F35" s="279"/>
      <c r="G35" s="279"/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279"/>
      <c r="F36" s="279"/>
      <c r="G36" s="279"/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279"/>
      <c r="F37" s="279"/>
      <c r="G37" s="279"/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279"/>
      <c r="F38" s="279"/>
      <c r="G38" s="279"/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-326.30000000000007</v>
      </c>
      <c r="C43" s="120">
        <f>SUMIF(D10:D40,"&gt;0")</f>
        <v>0</v>
      </c>
      <c r="D43" s="131"/>
      <c r="E43" s="130"/>
      <c r="F43" s="120">
        <f>SUMIF(H10:H40,"&lt;0")</f>
        <v>-567.30000000000007</v>
      </c>
      <c r="G43" s="120">
        <f>SUMIF(H10:H40,"&gt;0")</f>
        <v>0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3" t="s">
        <v>174</v>
      </c>
      <c r="O84" s="653" t="s">
        <v>175</v>
      </c>
      <c r="P84" s="135"/>
      <c r="T84" s="135"/>
      <c r="X84" s="135"/>
    </row>
    <row r="85" spans="1:24" ht="20.25" thickBot="1">
      <c r="D85" s="135"/>
      <c r="I85" s="655" t="s">
        <v>182</v>
      </c>
      <c r="J85" s="656"/>
      <c r="K85" s="656"/>
      <c r="L85" s="656"/>
      <c r="N85" s="654"/>
      <c r="O85" s="654"/>
      <c r="P85" s="135"/>
      <c r="R85" s="17"/>
      <c r="S85" s="17"/>
      <c r="T85" s="141"/>
      <c r="U85" s="142"/>
      <c r="X85" s="135"/>
    </row>
    <row r="86" spans="1:24" ht="18.75" thickBot="1">
      <c r="D86" s="135"/>
      <c r="I86" s="657" t="s">
        <v>183</v>
      </c>
      <c r="J86" s="657"/>
      <c r="K86" s="657"/>
      <c r="L86" s="657"/>
      <c r="N86" s="143">
        <f>B43+F43+J43+N43+R43+V43+B81+F81+J81+N81+R81+V81</f>
        <v>-5377.1</v>
      </c>
      <c r="O86" s="143">
        <f>C43+G43+K43+O43+S43+W43+C81+G81+K81+O81+S81+W81</f>
        <v>0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I85:L85"/>
    <mergeCell ref="I86:L86"/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H14" sqref="H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8" t="s">
        <v>216</v>
      </c>
      <c r="B2" s="658"/>
      <c r="C2" s="658"/>
      <c r="D2" s="658"/>
      <c r="E2" s="658"/>
      <c r="F2" s="658"/>
      <c r="G2" s="658"/>
      <c r="H2" s="658"/>
      <c r="I2" s="658"/>
    </row>
    <row r="3" spans="1:11">
      <c r="A3" s="197">
        <v>43831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17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7"/>
    </row>
    <row r="6" spans="1:11">
      <c r="A6" s="188" t="s">
        <v>217</v>
      </c>
      <c r="B6" s="371">
        <f>WATER!C37</f>
        <v>239</v>
      </c>
      <c r="C6" s="346">
        <f>WATER!E4</f>
        <v>1.66</v>
      </c>
      <c r="D6" s="188">
        <f>SUM(C6*B6)*D4</f>
        <v>598085.55000000005</v>
      </c>
      <c r="E6" s="470">
        <f>SUM(D6/D4)/F4</f>
        <v>23.337647058823531</v>
      </c>
      <c r="F6" s="189">
        <f>SUM(E6*F4)</f>
        <v>396.74</v>
      </c>
      <c r="G6" s="190">
        <f>SUM(B6*C6)</f>
        <v>396.74</v>
      </c>
      <c r="H6" s="189">
        <v>0</v>
      </c>
      <c r="I6" s="362">
        <f>7800-I7</f>
        <v>300</v>
      </c>
      <c r="J6" s="286"/>
    </row>
    <row r="7" spans="1:11">
      <c r="A7" s="188" t="s">
        <v>218</v>
      </c>
      <c r="B7" s="371">
        <f>WATER!H37</f>
        <v>2416</v>
      </c>
      <c r="C7" s="188">
        <v>7500</v>
      </c>
      <c r="D7" s="191">
        <f>SUM(C7)*D4</f>
        <v>11306250</v>
      </c>
      <c r="E7" s="189">
        <f>SUM(I7/G4)</f>
        <v>241.93548387096774</v>
      </c>
      <c r="F7" s="189">
        <f>SUM(E7*F4)</f>
        <v>4112.9032258064517</v>
      </c>
      <c r="G7" s="559">
        <f>E7*$G$4</f>
        <v>7500</v>
      </c>
      <c r="H7" s="362">
        <v>5378.68</v>
      </c>
      <c r="I7" s="189">
        <v>7500</v>
      </c>
      <c r="J7" s="286"/>
    </row>
    <row r="8" spans="1:11">
      <c r="A8" s="194" t="s">
        <v>219</v>
      </c>
      <c r="B8" s="372">
        <f>tanks!AT37</f>
        <v>40170</v>
      </c>
      <c r="C8" s="539">
        <f>SUM(tanks!AU37)</f>
        <v>0.57766666666666666</v>
      </c>
      <c r="D8" s="195">
        <f>SUM(B8*C8)*D4</f>
        <v>34981341.524999999</v>
      </c>
      <c r="E8" s="196">
        <f>SUM(D8/D4/F4)</f>
        <v>1364.9923529411765</v>
      </c>
      <c r="F8" s="196">
        <f>SUM(E8*F4)</f>
        <v>23204.87</v>
      </c>
      <c r="G8" s="559">
        <f>E8*$G$4</f>
        <v>42314.762941176472</v>
      </c>
      <c r="H8" s="362">
        <v>38000</v>
      </c>
      <c r="I8" s="196">
        <v>30000</v>
      </c>
      <c r="J8" s="286"/>
    </row>
    <row r="9" spans="1:11">
      <c r="A9" s="2" t="s">
        <v>220</v>
      </c>
      <c r="B9" s="373">
        <f>'B5'!AV36</f>
        <v>4950</v>
      </c>
      <c r="C9" s="370">
        <v>0.7</v>
      </c>
      <c r="D9" s="192">
        <f>SUM(B9*C9)*D4</f>
        <v>5223487.5</v>
      </c>
      <c r="E9" s="193">
        <f>SUM(C9*B9)/F4</f>
        <v>203.8235294117647</v>
      </c>
      <c r="F9" s="193">
        <f>SUM(E9*F4)</f>
        <v>3465</v>
      </c>
      <c r="G9" s="559">
        <f>E9*$G$4</f>
        <v>6318.5294117647054</v>
      </c>
      <c r="H9" s="362">
        <v>3885.3910000000001</v>
      </c>
      <c r="I9" s="193">
        <v>5300</v>
      </c>
      <c r="J9" s="286"/>
    </row>
    <row r="10" spans="1:11">
      <c r="A10" s="185" t="s">
        <v>221</v>
      </c>
      <c r="B10" s="374"/>
      <c r="C10" s="185"/>
      <c r="D10" s="187">
        <f>SUM('EDl log'!AB31)</f>
        <v>15820206.870967742</v>
      </c>
      <c r="E10" s="186">
        <f>SUM(D10/D4/F4)</f>
        <v>617.31370094499039</v>
      </c>
      <c r="F10" s="186">
        <f>SUM(E10*F4)</f>
        <v>10494.332916064837</v>
      </c>
      <c r="G10" s="559">
        <f>E10*$G$4</f>
        <v>19136.724729294703</v>
      </c>
      <c r="H10" s="362">
        <v>24900</v>
      </c>
      <c r="I10" s="289">
        <v>24900</v>
      </c>
      <c r="J10" s="286"/>
    </row>
    <row r="11" spans="1:11">
      <c r="J11" s="286"/>
    </row>
    <row r="12" spans="1:11" ht="42.75" customHeight="1">
      <c r="E12" s="456">
        <f>SUM(E6:E11)</f>
        <v>2451.4027142277228</v>
      </c>
      <c r="F12" s="184">
        <f>SUM(F6:F10)</f>
        <v>41673.84614187129</v>
      </c>
      <c r="G12" s="183">
        <f>SUM(G6:G10)</f>
        <v>75666.757082235883</v>
      </c>
      <c r="H12" s="183">
        <f>SUM(H6:H10)</f>
        <v>72164.070999999996</v>
      </c>
      <c r="I12" s="225">
        <f>SUM(I6:I10)</f>
        <v>68000</v>
      </c>
    </row>
    <row r="13" spans="1:11" ht="30">
      <c r="A13" s="3"/>
      <c r="B13" s="179" t="s">
        <v>227</v>
      </c>
      <c r="C13" s="444" t="s">
        <v>387</v>
      </c>
      <c r="D13" s="444" t="s">
        <v>391</v>
      </c>
      <c r="E13" s="444" t="s">
        <v>388</v>
      </c>
      <c r="F13" s="17"/>
      <c r="G13" s="446"/>
      <c r="H13" s="17"/>
      <c r="I13" s="17"/>
      <c r="J13" s="17"/>
    </row>
    <row r="14" spans="1:11">
      <c r="A14" s="3" t="s">
        <v>303</v>
      </c>
      <c r="B14" s="463">
        <f>'Degree Days 2018'!AB14</f>
        <v>151</v>
      </c>
      <c r="C14" s="171">
        <f>'[9]Utility Cost '!D13</f>
        <v>27.099999999999991</v>
      </c>
      <c r="D14" s="171">
        <f>SUM(C14)</f>
        <v>27.099999999999991</v>
      </c>
      <c r="E14" s="171">
        <f>B14-C14</f>
        <v>123.9</v>
      </c>
      <c r="F14" s="17"/>
      <c r="G14" s="446"/>
      <c r="H14" s="447">
        <f>SUM(G12-H12)</f>
        <v>3502.6860822358867</v>
      </c>
      <c r="I14" s="447">
        <f>SUM(G12-I12)</f>
        <v>7666.757082235883</v>
      </c>
    </row>
    <row r="15" spans="1:11">
      <c r="A15" s="3" t="s">
        <v>304</v>
      </c>
      <c r="B15" s="179">
        <f>'Degree Days 2018'!AA14</f>
        <v>-18.3</v>
      </c>
      <c r="C15" s="171">
        <f>'[9]Utility Cost '!D14</f>
        <v>-38.399999999999991</v>
      </c>
      <c r="D15" s="171">
        <f>SUM(C15)</f>
        <v>-38.399999999999991</v>
      </c>
      <c r="E15" s="171">
        <f>B15-C15</f>
        <v>20.099999999999991</v>
      </c>
      <c r="F15" s="17"/>
      <c r="G15" s="446"/>
      <c r="H15" s="17"/>
      <c r="I15" s="17"/>
      <c r="J15" s="17"/>
    </row>
    <row r="16" spans="1:11">
      <c r="A16" s="3" t="s">
        <v>305</v>
      </c>
      <c r="B16" s="464">
        <f>'General information '!D38</f>
        <v>14.176470588235293</v>
      </c>
      <c r="C16" s="171">
        <f>'[9]Utility Cost '!D15</f>
        <v>17.93548387096774</v>
      </c>
      <c r="D16" s="460">
        <f>SUM(C16)</f>
        <v>17.93548387096774</v>
      </c>
      <c r="E16" s="462">
        <f>B16-C16</f>
        <v>-3.7590132827324467</v>
      </c>
      <c r="F16" s="448"/>
      <c r="G16" s="446"/>
      <c r="H16" s="17"/>
      <c r="I16" s="17"/>
      <c r="J16" s="17"/>
    </row>
    <row r="17" spans="1:10">
      <c r="A17" s="285" t="s">
        <v>317</v>
      </c>
      <c r="B17" s="465">
        <f>'General information '!F37</f>
        <v>0.22450000000000003</v>
      </c>
      <c r="C17" s="558">
        <f>'[9]Utility Cost '!D16</f>
        <v>0.49185161290322582</v>
      </c>
      <c r="D17" s="514">
        <v>0.71509999999999996</v>
      </c>
      <c r="E17" s="461">
        <f>B17-D17</f>
        <v>-0.49059999999999993</v>
      </c>
      <c r="F17"/>
      <c r="G17" s="17"/>
      <c r="H17" s="17"/>
      <c r="I17" s="17"/>
      <c r="J17" s="17"/>
    </row>
    <row r="18" spans="1:10">
      <c r="A18" s="455" t="s">
        <v>389</v>
      </c>
      <c r="B18" s="467">
        <f>GEN!Z34</f>
        <v>99</v>
      </c>
      <c r="C18" s="171">
        <f>'[9]Utility Cost '!D17</f>
        <v>199</v>
      </c>
      <c r="D18" s="459">
        <v>230</v>
      </c>
      <c r="E18" s="459">
        <f>B18-C18</f>
        <v>-100</v>
      </c>
      <c r="F18"/>
    </row>
    <row r="19" spans="1:10">
      <c r="A19" s="455"/>
      <c r="B19" s="466">
        <f>SUM(B18/F4)</f>
        <v>5.8235294117647056</v>
      </c>
      <c r="C19" s="459"/>
      <c r="D19" s="459"/>
      <c r="E19" s="459"/>
      <c r="F1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5" activePane="bottomLeft" state="frozen"/>
      <selection pane="bottomLeft" activeCell="J6" sqref="J6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31" customWidth="1"/>
    <col min="12" max="12" width="26.42578125" bestFit="1" customWidth="1"/>
    <col min="14" max="14" width="14.28515625" customWidth="1"/>
  </cols>
  <sheetData>
    <row r="1" spans="1:18" ht="39.75" customHeight="1" thickBot="1">
      <c r="A1" s="659" t="s">
        <v>51</v>
      </c>
      <c r="B1" s="671" t="s">
        <v>321</v>
      </c>
      <c r="C1" s="672"/>
      <c r="D1" s="674"/>
      <c r="E1" s="671" t="s">
        <v>322</v>
      </c>
      <c r="F1" s="672"/>
      <c r="G1" s="673"/>
      <c r="H1" s="668" t="s">
        <v>327</v>
      </c>
      <c r="I1" s="665" t="s">
        <v>328</v>
      </c>
      <c r="J1" s="662" t="s">
        <v>43</v>
      </c>
    </row>
    <row r="2" spans="1:18" ht="38.25" thickBot="1">
      <c r="A2" s="660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9"/>
      <c r="I2" s="666"/>
      <c r="J2" s="663"/>
    </row>
    <row r="3" spans="1:18" ht="24" customHeight="1" thickBot="1">
      <c r="A3" s="661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70"/>
      <c r="I3" s="667"/>
      <c r="J3" s="664"/>
    </row>
    <row r="4" spans="1:18" ht="19.5" thickBot="1">
      <c r="A4" s="249"/>
      <c r="B4" s="556"/>
      <c r="C4" s="556"/>
      <c r="D4" s="556"/>
      <c r="E4" s="556"/>
      <c r="F4" s="556"/>
      <c r="G4" s="556"/>
      <c r="H4" s="250">
        <v>0</v>
      </c>
      <c r="I4" s="250"/>
      <c r="J4" s="526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55" t="str">
        <f>ELEC!C2</f>
        <v>31-12-2019</v>
      </c>
      <c r="B5" s="557">
        <f>'[1]Swimming Pool quality check '!B36</f>
        <v>1</v>
      </c>
      <c r="C5" s="557">
        <f>'[1]Swimming Pool quality check '!C36</f>
        <v>7.8</v>
      </c>
      <c r="D5" s="557">
        <f>'[1]Swimming Pool quality check '!D36</f>
        <v>19</v>
      </c>
      <c r="E5" s="557">
        <f>'[1]Swimming Pool quality check '!E36</f>
        <v>1.3</v>
      </c>
      <c r="F5" s="557">
        <f>'[1]Swimming Pool quality check '!F36</f>
        <v>8.1999999999999993</v>
      </c>
      <c r="G5" s="557">
        <f>'[1]Swimming Pool quality check '!G36</f>
        <v>18</v>
      </c>
      <c r="H5" s="557">
        <f>'[1]Swimming Pool quality check '!H36</f>
        <v>5773</v>
      </c>
      <c r="I5" s="557">
        <f>'[1]Swimming Pool quality check '!I36</f>
        <v>0</v>
      </c>
      <c r="J5" s="572">
        <f>'[1]Swimming Pool quality check '!J36</f>
        <v>0.33333333333333398</v>
      </c>
      <c r="K5" s="430">
        <v>0</v>
      </c>
      <c r="L5" s="570">
        <f>'[1]Swimming Pool quality check '!L36</f>
        <v>43830</v>
      </c>
      <c r="M5" s="557">
        <f>'[1]Swimming Pool quality check '!M36</f>
        <v>5773</v>
      </c>
      <c r="N5" s="557">
        <f>'[1]Swimming Pool quality check '!N36</f>
        <v>0</v>
      </c>
      <c r="O5" s="557">
        <f>'[1]Swimming Pool quality check '!O36</f>
        <v>5773</v>
      </c>
    </row>
    <row r="6" spans="1:18" ht="15.75" customHeight="1" thickBot="1">
      <c r="A6" s="245">
        <f>ELEC!C3</f>
        <v>43831</v>
      </c>
      <c r="B6" s="557">
        <v>1.3</v>
      </c>
      <c r="C6" s="557">
        <v>7.8</v>
      </c>
      <c r="D6" s="557">
        <v>19</v>
      </c>
      <c r="E6" s="557">
        <v>1</v>
      </c>
      <c r="F6" s="557">
        <v>8.3000000000000007</v>
      </c>
      <c r="G6" s="557">
        <v>18</v>
      </c>
      <c r="H6" s="430">
        <f>O6</f>
        <v>5783</v>
      </c>
      <c r="I6" s="247">
        <f>M6-M5</f>
        <v>10</v>
      </c>
      <c r="J6" s="527">
        <v>0.29166666666666669</v>
      </c>
      <c r="L6" s="100">
        <f t="shared" ref="L6:L35" si="0">A6</f>
        <v>43831</v>
      </c>
      <c r="M6" s="3">
        <v>5783</v>
      </c>
      <c r="N6" s="3">
        <v>0</v>
      </c>
      <c r="O6" s="3">
        <f>SUM(M6:N6)</f>
        <v>5783</v>
      </c>
    </row>
    <row r="7" spans="1:18" ht="15.75" thickBot="1">
      <c r="A7" s="245">
        <f>ELEC!C4</f>
        <v>43832</v>
      </c>
      <c r="B7" s="557">
        <v>1.5</v>
      </c>
      <c r="C7" s="557">
        <v>7.8</v>
      </c>
      <c r="D7" s="557">
        <v>19</v>
      </c>
      <c r="E7" s="557">
        <v>1.5</v>
      </c>
      <c r="F7" s="557">
        <v>8.1</v>
      </c>
      <c r="G7" s="557">
        <v>19</v>
      </c>
      <c r="H7" s="430">
        <f t="shared" ref="H7:H36" si="1">O7</f>
        <v>5790</v>
      </c>
      <c r="I7" s="247">
        <f>M7-M6</f>
        <v>7</v>
      </c>
      <c r="J7" s="528">
        <v>0.29166666666666669</v>
      </c>
      <c r="L7" s="100">
        <f t="shared" si="0"/>
        <v>43832</v>
      </c>
      <c r="M7" s="3">
        <v>5790</v>
      </c>
      <c r="N7" s="3">
        <v>0</v>
      </c>
      <c r="O7" s="3">
        <f>SUM(M7:N7)</f>
        <v>5790</v>
      </c>
    </row>
    <row r="8" spans="1:18" ht="15.75" thickBot="1">
      <c r="A8" s="245">
        <f>ELEC!C5</f>
        <v>43833</v>
      </c>
      <c r="B8" s="557">
        <v>1.5</v>
      </c>
      <c r="C8" s="557">
        <v>7.8</v>
      </c>
      <c r="D8" s="557">
        <v>19</v>
      </c>
      <c r="E8" s="557">
        <v>1.5</v>
      </c>
      <c r="F8" s="557">
        <v>8</v>
      </c>
      <c r="G8" s="557">
        <v>19</v>
      </c>
      <c r="H8" s="430">
        <f t="shared" si="1"/>
        <v>5791</v>
      </c>
      <c r="I8" s="247">
        <f>M8-M7</f>
        <v>1</v>
      </c>
      <c r="J8" s="528">
        <v>0.29166666666666669</v>
      </c>
      <c r="L8" s="100">
        <f t="shared" si="0"/>
        <v>43833</v>
      </c>
      <c r="M8" s="3">
        <v>5791</v>
      </c>
      <c r="N8" s="3">
        <v>0</v>
      </c>
      <c r="O8" s="3">
        <f>SUM(M8:N8)</f>
        <v>5791</v>
      </c>
    </row>
    <row r="9" spans="1:18" ht="15.75" thickBot="1">
      <c r="A9" s="245">
        <f>ELEC!C6</f>
        <v>43834</v>
      </c>
      <c r="B9" s="557">
        <v>1.5</v>
      </c>
      <c r="C9" s="557">
        <v>7.8</v>
      </c>
      <c r="D9" s="557">
        <v>19</v>
      </c>
      <c r="E9" s="557">
        <v>1.5</v>
      </c>
      <c r="F9" s="557">
        <v>8</v>
      </c>
      <c r="G9" s="557">
        <v>19</v>
      </c>
      <c r="H9" s="430">
        <f t="shared" si="1"/>
        <v>5794</v>
      </c>
      <c r="I9" s="247">
        <f>M9-M8</f>
        <v>3</v>
      </c>
      <c r="J9" s="528">
        <v>0.29166666666666669</v>
      </c>
      <c r="L9" s="100">
        <f t="shared" si="0"/>
        <v>43834</v>
      </c>
      <c r="M9" s="3">
        <v>5794</v>
      </c>
      <c r="N9" s="3">
        <v>0</v>
      </c>
      <c r="O9" s="3">
        <f t="shared" ref="O9:O36" si="2">SUM(M9:N9)</f>
        <v>5794</v>
      </c>
    </row>
    <row r="10" spans="1:18" ht="15.75" thickBot="1">
      <c r="A10" s="245">
        <f>ELEC!C7</f>
        <v>43835</v>
      </c>
      <c r="B10" s="557">
        <v>1.5</v>
      </c>
      <c r="C10" s="557">
        <v>7.8</v>
      </c>
      <c r="D10" s="557">
        <v>19</v>
      </c>
      <c r="E10" s="557">
        <v>1.5</v>
      </c>
      <c r="F10" s="557">
        <v>8</v>
      </c>
      <c r="G10" s="557">
        <v>19</v>
      </c>
      <c r="H10" s="430">
        <f t="shared" si="1"/>
        <v>5796</v>
      </c>
      <c r="I10" s="247">
        <f t="shared" ref="I10:I36" si="3">H10-H9</f>
        <v>2</v>
      </c>
      <c r="J10" s="528">
        <v>0.29166666666666669</v>
      </c>
      <c r="L10" s="100">
        <f t="shared" si="0"/>
        <v>43835</v>
      </c>
      <c r="M10" s="3">
        <v>5796</v>
      </c>
      <c r="N10" s="3">
        <v>0</v>
      </c>
      <c r="O10" s="3">
        <f t="shared" si="2"/>
        <v>5796</v>
      </c>
    </row>
    <row r="11" spans="1:18" ht="15.75" thickBot="1">
      <c r="A11" s="245">
        <f>ELEC!C8</f>
        <v>43836</v>
      </c>
      <c r="B11" s="557">
        <v>2.5</v>
      </c>
      <c r="C11" s="557">
        <v>7.8</v>
      </c>
      <c r="D11" s="557">
        <v>19</v>
      </c>
      <c r="E11" s="557">
        <v>1.5</v>
      </c>
      <c r="F11" s="557">
        <v>8</v>
      </c>
      <c r="G11" s="557">
        <v>19</v>
      </c>
      <c r="H11" s="430">
        <f t="shared" si="1"/>
        <v>5800</v>
      </c>
      <c r="I11" s="247">
        <f t="shared" si="3"/>
        <v>4</v>
      </c>
      <c r="J11" s="528">
        <v>0.29166666666666669</v>
      </c>
      <c r="L11" s="100">
        <f t="shared" si="0"/>
        <v>43836</v>
      </c>
      <c r="M11" s="3">
        <v>5800</v>
      </c>
      <c r="N11" s="3">
        <v>0</v>
      </c>
      <c r="O11" s="3">
        <f t="shared" si="2"/>
        <v>5800</v>
      </c>
    </row>
    <row r="12" spans="1:18" ht="16.5" thickBot="1">
      <c r="A12" s="245">
        <f>ELEC!C9</f>
        <v>43837</v>
      </c>
      <c r="B12" s="557">
        <v>2.5</v>
      </c>
      <c r="C12" s="557">
        <v>7.8</v>
      </c>
      <c r="D12" s="557">
        <v>19</v>
      </c>
      <c r="E12" s="557">
        <v>2</v>
      </c>
      <c r="F12" s="557">
        <v>8</v>
      </c>
      <c r="G12" s="557">
        <v>19</v>
      </c>
      <c r="H12" s="430">
        <f t="shared" si="1"/>
        <v>5803</v>
      </c>
      <c r="I12" s="247">
        <f t="shared" si="3"/>
        <v>3</v>
      </c>
      <c r="J12" s="528">
        <v>0.29166666666666669</v>
      </c>
      <c r="L12" s="100">
        <f t="shared" si="0"/>
        <v>43837</v>
      </c>
      <c r="M12" s="3">
        <v>5803</v>
      </c>
      <c r="N12" s="3">
        <v>0</v>
      </c>
      <c r="O12" s="3">
        <f>SUM(M12:N12)</f>
        <v>5803</v>
      </c>
      <c r="P12" s="472"/>
      <c r="Q12" s="379"/>
      <c r="R12" s="379"/>
    </row>
    <row r="13" spans="1:18" ht="15.75" thickBot="1">
      <c r="A13" s="245">
        <f>ELEC!C10</f>
        <v>43838</v>
      </c>
      <c r="B13" s="557">
        <v>2</v>
      </c>
      <c r="C13" s="557">
        <v>6.8</v>
      </c>
      <c r="D13" s="557">
        <v>19</v>
      </c>
      <c r="E13" s="557">
        <v>1.5</v>
      </c>
      <c r="F13" s="557">
        <v>7.4</v>
      </c>
      <c r="G13" s="557">
        <v>19</v>
      </c>
      <c r="H13" s="430">
        <f t="shared" si="1"/>
        <v>5803</v>
      </c>
      <c r="I13" s="247">
        <f>M13-M12</f>
        <v>0</v>
      </c>
      <c r="J13" s="528">
        <v>0.29166666666666669</v>
      </c>
      <c r="L13" s="100">
        <f t="shared" si="0"/>
        <v>43838</v>
      </c>
      <c r="M13" s="3">
        <v>5803</v>
      </c>
      <c r="N13" s="3">
        <v>0</v>
      </c>
      <c r="O13" s="3">
        <v>5803</v>
      </c>
    </row>
    <row r="14" spans="1:18" ht="15.75" thickBot="1">
      <c r="A14" s="245">
        <f>ELEC!C11</f>
        <v>43839</v>
      </c>
      <c r="B14" s="557">
        <v>2</v>
      </c>
      <c r="C14" s="557">
        <v>8</v>
      </c>
      <c r="D14" s="557">
        <v>19</v>
      </c>
      <c r="E14" s="557">
        <v>2.5</v>
      </c>
      <c r="F14" s="557">
        <v>8</v>
      </c>
      <c r="G14" s="557">
        <v>19</v>
      </c>
      <c r="H14" s="430">
        <f t="shared" si="1"/>
        <v>5805</v>
      </c>
      <c r="I14" s="247">
        <f>M14-M13</f>
        <v>2</v>
      </c>
      <c r="J14" s="528">
        <v>0.29166666666666669</v>
      </c>
      <c r="L14" s="100">
        <f t="shared" si="0"/>
        <v>43839</v>
      </c>
      <c r="M14" s="3">
        <v>5805</v>
      </c>
      <c r="N14" s="3">
        <v>0</v>
      </c>
      <c r="O14" s="3">
        <f t="shared" si="2"/>
        <v>5805</v>
      </c>
    </row>
    <row r="15" spans="1:18" ht="15.75" thickBot="1">
      <c r="A15" s="245">
        <f>ELEC!C12</f>
        <v>43840</v>
      </c>
      <c r="B15" s="557">
        <v>2.5</v>
      </c>
      <c r="C15" s="557">
        <v>8</v>
      </c>
      <c r="D15" s="557">
        <v>19</v>
      </c>
      <c r="E15" s="557">
        <v>2</v>
      </c>
      <c r="F15" s="557">
        <v>7.8</v>
      </c>
      <c r="G15" s="557">
        <v>19</v>
      </c>
      <c r="H15" s="430">
        <f t="shared" si="1"/>
        <v>5805</v>
      </c>
      <c r="I15" s="247">
        <f>M15-M14</f>
        <v>0</v>
      </c>
      <c r="J15" s="528">
        <v>0.29166666666666669</v>
      </c>
      <c r="L15" s="100">
        <f t="shared" si="0"/>
        <v>43840</v>
      </c>
      <c r="M15" s="3">
        <f t="shared" ref="M15:M36" si="4">M14</f>
        <v>5805</v>
      </c>
      <c r="N15" s="3">
        <v>0</v>
      </c>
      <c r="O15" s="3">
        <f t="shared" si="2"/>
        <v>5805</v>
      </c>
    </row>
    <row r="16" spans="1:18" ht="15.75" thickBot="1">
      <c r="A16" s="245">
        <f>ELEC!C13</f>
        <v>43841</v>
      </c>
      <c r="B16" s="557">
        <v>2</v>
      </c>
      <c r="C16" s="557">
        <v>6.8</v>
      </c>
      <c r="D16" s="557">
        <v>19</v>
      </c>
      <c r="E16" s="557">
        <v>2</v>
      </c>
      <c r="F16" s="557">
        <v>7.8</v>
      </c>
      <c r="G16" s="557">
        <v>19</v>
      </c>
      <c r="H16" s="430">
        <f t="shared" si="1"/>
        <v>5813</v>
      </c>
      <c r="I16" s="247">
        <f>M16-M15</f>
        <v>8</v>
      </c>
      <c r="J16" s="528">
        <v>0.29166666666666669</v>
      </c>
      <c r="L16" s="100">
        <f t="shared" si="0"/>
        <v>43841</v>
      </c>
      <c r="M16" s="3">
        <v>5813</v>
      </c>
      <c r="N16" s="3">
        <v>0</v>
      </c>
      <c r="O16" s="3">
        <f t="shared" si="2"/>
        <v>5813</v>
      </c>
    </row>
    <row r="17" spans="1:17" ht="15.75" thickBot="1">
      <c r="A17" s="245">
        <f>ELEC!C14</f>
        <v>43842</v>
      </c>
      <c r="B17" s="557">
        <v>2</v>
      </c>
      <c r="C17" s="557">
        <v>6.4</v>
      </c>
      <c r="D17" s="557">
        <v>14</v>
      </c>
      <c r="E17" s="557">
        <v>2</v>
      </c>
      <c r="F17" s="557">
        <v>7.8</v>
      </c>
      <c r="G17" s="557">
        <v>18</v>
      </c>
      <c r="H17" s="430">
        <f t="shared" si="1"/>
        <v>5819</v>
      </c>
      <c r="I17" s="247">
        <f t="shared" si="3"/>
        <v>6</v>
      </c>
      <c r="J17" s="528">
        <v>0.29166666666666669</v>
      </c>
      <c r="L17" s="100">
        <f t="shared" si="0"/>
        <v>43842</v>
      </c>
      <c r="M17" s="3">
        <v>5819</v>
      </c>
      <c r="N17" s="3">
        <v>0</v>
      </c>
      <c r="O17" s="3">
        <f t="shared" si="2"/>
        <v>5819</v>
      </c>
    </row>
    <row r="18" spans="1:17" ht="15.75" thickBot="1">
      <c r="A18" s="245">
        <f>ELEC!C15</f>
        <v>43843</v>
      </c>
      <c r="B18" s="557">
        <v>1.5</v>
      </c>
      <c r="C18" s="557">
        <v>6.8</v>
      </c>
      <c r="D18" s="557">
        <v>14</v>
      </c>
      <c r="E18" s="557">
        <v>1.5</v>
      </c>
      <c r="F18" s="557">
        <v>7.8</v>
      </c>
      <c r="G18" s="557">
        <v>18</v>
      </c>
      <c r="H18" s="430">
        <f t="shared" si="1"/>
        <v>5822</v>
      </c>
      <c r="I18" s="247">
        <f t="shared" si="3"/>
        <v>3</v>
      </c>
      <c r="J18" s="528">
        <v>0.29166666666666669</v>
      </c>
      <c r="L18" s="100">
        <f t="shared" si="0"/>
        <v>43843</v>
      </c>
      <c r="M18" s="3">
        <v>5822</v>
      </c>
      <c r="N18" s="3">
        <v>0</v>
      </c>
      <c r="O18" s="3">
        <f t="shared" si="2"/>
        <v>5822</v>
      </c>
    </row>
    <row r="19" spans="1:17" ht="15.75" thickBot="1">
      <c r="A19" s="245">
        <f>ELEC!C16</f>
        <v>43844</v>
      </c>
      <c r="B19" s="557">
        <v>2</v>
      </c>
      <c r="C19" s="557">
        <v>6.4</v>
      </c>
      <c r="D19" s="557">
        <v>14</v>
      </c>
      <c r="E19" s="557">
        <v>1.5</v>
      </c>
      <c r="F19" s="557">
        <v>7.8</v>
      </c>
      <c r="G19" s="571">
        <v>18</v>
      </c>
      <c r="H19" s="430">
        <f t="shared" si="1"/>
        <v>5826</v>
      </c>
      <c r="I19" s="247">
        <f t="shared" si="3"/>
        <v>4</v>
      </c>
      <c r="J19" s="528">
        <v>0.29166666666666669</v>
      </c>
      <c r="L19" s="100">
        <f t="shared" si="0"/>
        <v>43844</v>
      </c>
      <c r="M19" s="3">
        <v>5826</v>
      </c>
      <c r="N19" s="3">
        <v>0</v>
      </c>
      <c r="O19" s="3">
        <f t="shared" si="2"/>
        <v>5826</v>
      </c>
    </row>
    <row r="20" spans="1:17" ht="15.75" thickBot="1">
      <c r="A20" s="245">
        <f>ELEC!C17</f>
        <v>43845</v>
      </c>
      <c r="B20" s="557">
        <v>1.8</v>
      </c>
      <c r="C20" s="557">
        <v>8</v>
      </c>
      <c r="D20" s="557">
        <v>18</v>
      </c>
      <c r="E20" s="557">
        <v>2</v>
      </c>
      <c r="F20" s="557">
        <v>8</v>
      </c>
      <c r="G20" s="557">
        <v>17</v>
      </c>
      <c r="H20" s="430">
        <f t="shared" si="1"/>
        <v>5832</v>
      </c>
      <c r="I20" s="247">
        <f t="shared" si="3"/>
        <v>6</v>
      </c>
      <c r="J20" s="528">
        <v>0.29166666666666669</v>
      </c>
      <c r="L20" s="100">
        <f t="shared" si="0"/>
        <v>43845</v>
      </c>
      <c r="M20" s="3">
        <v>5832</v>
      </c>
      <c r="N20" s="3">
        <v>0</v>
      </c>
      <c r="O20" s="3">
        <f t="shared" si="2"/>
        <v>5832</v>
      </c>
    </row>
    <row r="21" spans="1:17" ht="15.75" thickBot="1">
      <c r="A21" s="245">
        <f>ELEC!C18</f>
        <v>43846</v>
      </c>
      <c r="B21" s="557">
        <v>2</v>
      </c>
      <c r="C21" s="557">
        <v>8</v>
      </c>
      <c r="D21" s="557">
        <v>19</v>
      </c>
      <c r="E21" s="557">
        <v>2.5</v>
      </c>
      <c r="F21" s="557">
        <v>8</v>
      </c>
      <c r="G21" s="557">
        <v>18</v>
      </c>
      <c r="H21" s="430">
        <f t="shared" si="1"/>
        <v>5834</v>
      </c>
      <c r="I21" s="247">
        <f t="shared" si="3"/>
        <v>2</v>
      </c>
      <c r="J21" s="528">
        <v>0.29166666666666669</v>
      </c>
      <c r="L21" s="100">
        <f t="shared" si="0"/>
        <v>43846</v>
      </c>
      <c r="M21" s="3">
        <v>5834</v>
      </c>
      <c r="N21" s="3">
        <v>0</v>
      </c>
      <c r="O21" s="3">
        <f t="shared" si="2"/>
        <v>5834</v>
      </c>
    </row>
    <row r="22" spans="1:17" ht="15.75" thickBot="1">
      <c r="A22" s="245">
        <f>ELEC!C19</f>
        <v>43847</v>
      </c>
      <c r="B22" s="557"/>
      <c r="C22" s="557"/>
      <c r="D22" s="557"/>
      <c r="E22" s="557"/>
      <c r="F22" s="557"/>
      <c r="G22" s="557"/>
      <c r="H22" s="430">
        <f t="shared" si="1"/>
        <v>5834</v>
      </c>
      <c r="I22" s="247">
        <f t="shared" si="3"/>
        <v>0</v>
      </c>
      <c r="J22" s="528">
        <v>0.29166666666666669</v>
      </c>
      <c r="L22" s="100">
        <f t="shared" si="0"/>
        <v>43847</v>
      </c>
      <c r="M22" s="3">
        <f t="shared" si="4"/>
        <v>5834</v>
      </c>
      <c r="N22" s="3">
        <v>0</v>
      </c>
      <c r="O22" s="3">
        <f t="shared" si="2"/>
        <v>5834</v>
      </c>
    </row>
    <row r="23" spans="1:17" ht="15.75" thickBot="1">
      <c r="A23" s="245">
        <f>ELEC!C20</f>
        <v>43848</v>
      </c>
      <c r="B23" s="557"/>
      <c r="C23" s="557"/>
      <c r="D23" s="557"/>
      <c r="E23" s="557"/>
      <c r="F23" s="557"/>
      <c r="G23" s="557"/>
      <c r="H23" s="430">
        <f t="shared" si="1"/>
        <v>5834</v>
      </c>
      <c r="I23" s="247">
        <f t="shared" si="3"/>
        <v>0</v>
      </c>
      <c r="J23" s="528">
        <v>0.29166666666666669</v>
      </c>
      <c r="L23" s="100">
        <f t="shared" si="0"/>
        <v>43848</v>
      </c>
      <c r="M23" s="3">
        <f t="shared" si="4"/>
        <v>5834</v>
      </c>
      <c r="N23" s="3">
        <v>0</v>
      </c>
      <c r="O23" s="3">
        <f t="shared" si="2"/>
        <v>5834</v>
      </c>
    </row>
    <row r="24" spans="1:17" ht="15.75" thickBot="1">
      <c r="A24" s="245">
        <f>ELEC!C21</f>
        <v>43849</v>
      </c>
      <c r="B24" s="557"/>
      <c r="C24" s="557"/>
      <c r="D24" s="557"/>
      <c r="E24" s="557"/>
      <c r="F24" s="557"/>
      <c r="G24" s="557"/>
      <c r="H24" s="430">
        <f t="shared" si="1"/>
        <v>5834</v>
      </c>
      <c r="I24" s="247">
        <f t="shared" si="3"/>
        <v>0</v>
      </c>
      <c r="J24" s="528">
        <v>0.29166666666666702</v>
      </c>
      <c r="L24" s="100">
        <f t="shared" si="0"/>
        <v>43849</v>
      </c>
      <c r="M24" s="3">
        <f t="shared" si="4"/>
        <v>5834</v>
      </c>
      <c r="N24" s="3">
        <v>0</v>
      </c>
      <c r="O24" s="3">
        <f t="shared" si="2"/>
        <v>5834</v>
      </c>
    </row>
    <row r="25" spans="1:17" ht="15.75" thickBot="1">
      <c r="A25" s="245">
        <f>ELEC!C22</f>
        <v>43850</v>
      </c>
      <c r="B25" s="557"/>
      <c r="C25" s="557"/>
      <c r="D25" s="557"/>
      <c r="E25" s="557"/>
      <c r="F25" s="557"/>
      <c r="G25" s="557"/>
      <c r="H25" s="430">
        <f t="shared" si="1"/>
        <v>5834</v>
      </c>
      <c r="I25" s="247">
        <f t="shared" si="3"/>
        <v>0</v>
      </c>
      <c r="J25" s="528">
        <v>0.29166666666666702</v>
      </c>
      <c r="L25" s="100">
        <f t="shared" si="0"/>
        <v>43850</v>
      </c>
      <c r="M25" s="3">
        <f t="shared" si="4"/>
        <v>5834</v>
      </c>
      <c r="N25" s="3">
        <v>0</v>
      </c>
      <c r="O25" s="3">
        <f t="shared" si="2"/>
        <v>5834</v>
      </c>
    </row>
    <row r="26" spans="1:17" ht="15.75" thickBot="1">
      <c r="A26" s="245">
        <f>ELEC!C23</f>
        <v>43851</v>
      </c>
      <c r="B26" s="557"/>
      <c r="C26" s="557"/>
      <c r="D26" s="557"/>
      <c r="E26" s="557"/>
      <c r="F26" s="557"/>
      <c r="G26" s="557"/>
      <c r="H26" s="430">
        <f t="shared" si="1"/>
        <v>5834</v>
      </c>
      <c r="I26" s="247">
        <f t="shared" si="3"/>
        <v>0</v>
      </c>
      <c r="J26" s="528">
        <v>0.29166666666666702</v>
      </c>
      <c r="L26" s="100">
        <f t="shared" si="0"/>
        <v>43851</v>
      </c>
      <c r="M26" s="3">
        <f t="shared" si="4"/>
        <v>5834</v>
      </c>
      <c r="N26" s="3">
        <v>0</v>
      </c>
      <c r="O26" s="3">
        <f t="shared" si="2"/>
        <v>5834</v>
      </c>
    </row>
    <row r="27" spans="1:17" ht="15.75" thickBot="1">
      <c r="A27" s="245">
        <f>ELEC!C24</f>
        <v>43852</v>
      </c>
      <c r="B27" s="557"/>
      <c r="C27" s="557"/>
      <c r="D27" s="557"/>
      <c r="E27" s="557"/>
      <c r="F27" s="557"/>
      <c r="G27" s="557"/>
      <c r="H27" s="430">
        <f t="shared" si="1"/>
        <v>5834</v>
      </c>
      <c r="I27" s="247">
        <f t="shared" si="3"/>
        <v>0</v>
      </c>
      <c r="J27" s="528">
        <v>0.29166666666666702</v>
      </c>
      <c r="L27" s="100">
        <f t="shared" si="0"/>
        <v>43852</v>
      </c>
      <c r="M27" s="3">
        <f t="shared" si="4"/>
        <v>5834</v>
      </c>
      <c r="N27" s="3">
        <v>0</v>
      </c>
      <c r="O27" s="3">
        <f t="shared" si="2"/>
        <v>5834</v>
      </c>
    </row>
    <row r="28" spans="1:17" ht="15.75" thickBot="1">
      <c r="A28" s="245">
        <f>ELEC!C25</f>
        <v>43853</v>
      </c>
      <c r="B28" s="557"/>
      <c r="C28" s="557"/>
      <c r="D28" s="557"/>
      <c r="E28" s="557"/>
      <c r="F28" s="557"/>
      <c r="G28" s="557"/>
      <c r="H28" s="430">
        <f t="shared" si="1"/>
        <v>5834</v>
      </c>
      <c r="I28" s="247">
        <f t="shared" si="3"/>
        <v>0</v>
      </c>
      <c r="J28" s="529">
        <v>0.29166666666666702</v>
      </c>
      <c r="L28" s="100">
        <f t="shared" si="0"/>
        <v>43853</v>
      </c>
      <c r="M28" s="3">
        <f t="shared" si="4"/>
        <v>5834</v>
      </c>
      <c r="N28" s="3">
        <v>0</v>
      </c>
      <c r="O28" s="3">
        <f t="shared" si="2"/>
        <v>5834</v>
      </c>
    </row>
    <row r="29" spans="1:17" ht="15.75" thickBot="1">
      <c r="A29" s="245">
        <f>ELEC!C26</f>
        <v>43854</v>
      </c>
      <c r="B29" s="557"/>
      <c r="C29" s="557"/>
      <c r="D29" s="557"/>
      <c r="E29" s="557"/>
      <c r="F29" s="557"/>
      <c r="G29" s="557"/>
      <c r="H29" s="430">
        <f t="shared" si="1"/>
        <v>5834</v>
      </c>
      <c r="I29" s="247">
        <f t="shared" si="3"/>
        <v>0</v>
      </c>
      <c r="J29" s="528">
        <v>0.29166666666666702</v>
      </c>
      <c r="L29" s="100">
        <f t="shared" si="0"/>
        <v>43854</v>
      </c>
      <c r="M29" s="3">
        <f t="shared" si="4"/>
        <v>5834</v>
      </c>
      <c r="N29" s="3">
        <v>0</v>
      </c>
      <c r="O29" s="3">
        <f t="shared" si="2"/>
        <v>5834</v>
      </c>
    </row>
    <row r="30" spans="1:17" ht="15.75" thickBot="1">
      <c r="A30" s="245">
        <f>ELEC!C27</f>
        <v>43855</v>
      </c>
      <c r="B30" s="557"/>
      <c r="C30" s="557"/>
      <c r="D30" s="557"/>
      <c r="E30" s="557"/>
      <c r="F30" s="557"/>
      <c r="G30" s="557"/>
      <c r="H30" s="430">
        <f t="shared" si="1"/>
        <v>5834</v>
      </c>
      <c r="I30" s="247">
        <f t="shared" si="3"/>
        <v>0</v>
      </c>
      <c r="J30" s="528">
        <v>0.29166666666666702</v>
      </c>
      <c r="L30" s="100">
        <f t="shared" si="0"/>
        <v>43855</v>
      </c>
      <c r="M30" s="3">
        <f t="shared" si="4"/>
        <v>5834</v>
      </c>
      <c r="N30" s="3">
        <v>0</v>
      </c>
      <c r="O30" s="3">
        <f t="shared" si="2"/>
        <v>5834</v>
      </c>
    </row>
    <row r="31" spans="1:17" ht="15.75" thickBot="1">
      <c r="A31" s="245">
        <f>ELEC!C28</f>
        <v>43856</v>
      </c>
      <c r="B31" s="557"/>
      <c r="C31" s="557"/>
      <c r="D31" s="557"/>
      <c r="E31" s="557"/>
      <c r="F31" s="557"/>
      <c r="G31" s="557"/>
      <c r="H31" s="430">
        <f t="shared" si="1"/>
        <v>5834</v>
      </c>
      <c r="I31" s="247">
        <f t="shared" si="3"/>
        <v>0</v>
      </c>
      <c r="J31" s="528">
        <v>0.29166666666666702</v>
      </c>
      <c r="L31" s="100">
        <f t="shared" si="0"/>
        <v>43856</v>
      </c>
      <c r="M31" s="3">
        <f t="shared" si="4"/>
        <v>5834</v>
      </c>
      <c r="N31" s="3">
        <v>0</v>
      </c>
      <c r="O31" s="3">
        <f t="shared" si="2"/>
        <v>5834</v>
      </c>
    </row>
    <row r="32" spans="1:17" ht="15.75" thickBot="1">
      <c r="A32" s="245">
        <f>ELEC!C29</f>
        <v>43857</v>
      </c>
      <c r="B32" s="557"/>
      <c r="C32" s="557"/>
      <c r="D32" s="557"/>
      <c r="E32" s="557"/>
      <c r="F32" s="557"/>
      <c r="G32" s="557"/>
      <c r="H32" s="430">
        <f t="shared" si="1"/>
        <v>5834</v>
      </c>
      <c r="I32" s="247">
        <f t="shared" si="3"/>
        <v>0</v>
      </c>
      <c r="J32" s="528">
        <v>0.29166666666666702</v>
      </c>
      <c r="L32" s="100">
        <f t="shared" si="0"/>
        <v>43857</v>
      </c>
      <c r="M32" s="3">
        <f t="shared" si="4"/>
        <v>5834</v>
      </c>
      <c r="N32" s="3">
        <v>0</v>
      </c>
      <c r="O32" s="3">
        <f t="shared" si="2"/>
        <v>5834</v>
      </c>
    </row>
    <row r="33" spans="1:15" ht="15.75" thickBot="1">
      <c r="A33" s="245">
        <f>ELEC!C30</f>
        <v>43858</v>
      </c>
      <c r="B33" s="557"/>
      <c r="C33" s="557"/>
      <c r="D33" s="557"/>
      <c r="E33" s="557"/>
      <c r="F33" s="557"/>
      <c r="G33" s="557"/>
      <c r="H33" s="430">
        <f t="shared" si="1"/>
        <v>5834</v>
      </c>
      <c r="I33" s="247">
        <f t="shared" si="3"/>
        <v>0</v>
      </c>
      <c r="J33" s="528">
        <v>0.29166666666666702</v>
      </c>
      <c r="L33" s="100">
        <f t="shared" si="0"/>
        <v>43858</v>
      </c>
      <c r="M33" s="3">
        <f t="shared" si="4"/>
        <v>5834</v>
      </c>
      <c r="N33" s="3">
        <v>0</v>
      </c>
      <c r="O33" s="3">
        <f t="shared" si="2"/>
        <v>5834</v>
      </c>
    </row>
    <row r="34" spans="1:15" ht="15.75" thickBot="1">
      <c r="A34" s="245">
        <f>ELEC!C31</f>
        <v>43859</v>
      </c>
      <c r="B34" s="557"/>
      <c r="C34" s="557"/>
      <c r="D34" s="557"/>
      <c r="E34" s="557"/>
      <c r="F34" s="557"/>
      <c r="G34" s="557"/>
      <c r="H34" s="430">
        <f t="shared" si="1"/>
        <v>5834</v>
      </c>
      <c r="I34" s="247">
        <f t="shared" si="3"/>
        <v>0</v>
      </c>
      <c r="J34" s="528">
        <v>0.29166666666666702</v>
      </c>
      <c r="L34" s="100">
        <f t="shared" si="0"/>
        <v>43859</v>
      </c>
      <c r="M34" s="3">
        <f t="shared" si="4"/>
        <v>5834</v>
      </c>
      <c r="N34" s="3">
        <v>0</v>
      </c>
      <c r="O34" s="3">
        <f t="shared" si="2"/>
        <v>5834</v>
      </c>
    </row>
    <row r="35" spans="1:15" ht="15.75" thickBot="1">
      <c r="A35" s="431">
        <f>ELEC!C32</f>
        <v>43860</v>
      </c>
      <c r="B35" s="557"/>
      <c r="C35" s="557"/>
      <c r="D35" s="557"/>
      <c r="E35" s="557"/>
      <c r="F35" s="557"/>
      <c r="G35" s="557"/>
      <c r="H35" s="430">
        <f t="shared" si="1"/>
        <v>5834</v>
      </c>
      <c r="I35" s="247">
        <f t="shared" si="3"/>
        <v>0</v>
      </c>
      <c r="J35" s="530">
        <v>0.29166666666666702</v>
      </c>
      <c r="L35" s="100">
        <f t="shared" si="0"/>
        <v>43860</v>
      </c>
      <c r="M35" s="3">
        <f t="shared" si="4"/>
        <v>5834</v>
      </c>
      <c r="N35" s="3">
        <v>0</v>
      </c>
      <c r="O35" s="3">
        <f t="shared" si="2"/>
        <v>5834</v>
      </c>
    </row>
    <row r="36" spans="1:15" ht="15.75" thickBot="1">
      <c r="A36" s="431">
        <f>ELEC!C33</f>
        <v>43861</v>
      </c>
      <c r="B36" s="557"/>
      <c r="C36" s="557"/>
      <c r="D36" s="557"/>
      <c r="E36" s="557"/>
      <c r="F36" s="557"/>
      <c r="G36" s="557"/>
      <c r="H36" s="430">
        <f t="shared" si="1"/>
        <v>5834</v>
      </c>
      <c r="I36" s="247">
        <f t="shared" si="3"/>
        <v>0</v>
      </c>
      <c r="J36" s="530">
        <v>0.33333333333333398</v>
      </c>
      <c r="L36" s="100">
        <f>A36</f>
        <v>43861</v>
      </c>
      <c r="M36" s="3">
        <f t="shared" si="4"/>
        <v>5834</v>
      </c>
      <c r="N36" s="3">
        <v>0</v>
      </c>
      <c r="O36" s="3">
        <f t="shared" si="2"/>
        <v>5834</v>
      </c>
    </row>
    <row r="37" spans="1:15" ht="15.75" thickBot="1">
      <c r="A37" s="416"/>
      <c r="B37" s="532"/>
      <c r="C37" s="533"/>
      <c r="D37" s="533"/>
      <c r="E37" s="533"/>
      <c r="F37" s="533"/>
      <c r="G37" s="533"/>
      <c r="H37" s="534"/>
      <c r="I37" s="535"/>
      <c r="J37" s="536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R23" sqref="R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2020-01-18T09:35:52Z</dcterms:modified>
</cp:coreProperties>
</file>