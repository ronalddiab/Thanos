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HE Portal utilities management\2022\September 2022\"/>
    </mc:Choice>
  </mc:AlternateContent>
  <bookViews>
    <workbookView xWindow="180" yWindow="-90" windowWidth="14330" windowHeight="11460" tabRatio="57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J2" i="3" l="1"/>
  <c r="B4" i="3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9" i="5" s="1"/>
  <c r="AX10" i="5" s="1"/>
  <c r="AX11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4" i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3" i="2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22" i="73" l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8" i="1" s="1"/>
  <c r="AC9" i="1" s="1"/>
  <c r="AC10" i="1" s="1"/>
  <c r="AC11" i="1" s="1"/>
  <c r="AC12" i="1" s="1"/>
  <c r="AC13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15" i="1" l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B20" i="77"/>
  <c r="AG33" i="3"/>
  <c r="BK36" i="7"/>
  <c r="F18" i="77"/>
  <c r="X32" i="76"/>
  <c r="Y32" i="76" s="1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W23" i="2"/>
  <c r="X22" i="2"/>
  <c r="AD14" i="5"/>
  <c r="Y24" i="2" l="1"/>
  <c r="Z23" i="2"/>
  <c r="W24" i="2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BE36" i="5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D26" i="3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 l="1"/>
  <c r="E27" i="3" s="1"/>
  <c r="AA26" i="3"/>
  <c r="AC26" i="3" s="1"/>
  <c r="AH26" i="3" s="1"/>
  <c r="F26" i="3"/>
  <c r="AB26" i="3" s="1"/>
  <c r="D28" i="3"/>
  <c r="E28" i="3" s="1"/>
  <c r="AA27" i="3" l="1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<sst xmlns="http://schemas.openxmlformats.org/spreadsheetml/2006/main" count="666" uniqueCount="418">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</sst>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181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5729088"/>
        <c:axId val="-735731264"/>
      </c:lineChart>
      <c:catAx>
        <c:axId val="-73572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5731264"/>
        <c:crosses val="autoZero"/>
        <c:auto val="1"/>
        <c:lblAlgn val="ctr"/>
        <c:lblOffset val="100"/>
        <c:noMultiLvlLbl val="0"/>
      </c:catAx>
      <c:valAx>
        <c:axId val="-7357312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572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6206528"/>
        <c:axId val="-731107248"/>
      </c:lineChart>
      <c:catAx>
        <c:axId val="-73620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7248"/>
        <c:crosses val="autoZero"/>
        <c:auto val="1"/>
        <c:lblAlgn val="ctr"/>
        <c:lblOffset val="100"/>
        <c:noMultiLvlLbl val="0"/>
      </c:catAx>
      <c:valAx>
        <c:axId val="-73110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620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0176"/>
        <c:axId val="-731094192"/>
      </c:lineChart>
      <c:catAx>
        <c:axId val="-73110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4192"/>
        <c:crosses val="autoZero"/>
        <c:auto val="1"/>
        <c:lblAlgn val="ctr"/>
        <c:lblOffset val="100"/>
        <c:noMultiLvlLbl val="0"/>
      </c:catAx>
      <c:valAx>
        <c:axId val="-7310941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98544"/>
        <c:axId val="-731094736"/>
      </c:lineChart>
      <c:catAx>
        <c:axId val="-73109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4736"/>
        <c:crosses val="autoZero"/>
        <c:auto val="1"/>
        <c:lblAlgn val="ctr"/>
        <c:lblOffset val="100"/>
        <c:noMultiLvlLbl val="0"/>
      </c:catAx>
      <c:valAx>
        <c:axId val="-7310947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97456"/>
        <c:axId val="-731103984"/>
      </c:lineChart>
      <c:catAx>
        <c:axId val="-73109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3984"/>
        <c:crosses val="autoZero"/>
        <c:auto val="1"/>
        <c:lblAlgn val="ctr"/>
        <c:lblOffset val="100"/>
        <c:noMultiLvlLbl val="0"/>
      </c:catAx>
      <c:valAx>
        <c:axId val="-7311039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95280"/>
        <c:axId val="-731098000"/>
      </c:lineChart>
      <c:catAx>
        <c:axId val="-73109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8000"/>
        <c:crosses val="autoZero"/>
        <c:auto val="1"/>
        <c:lblAlgn val="ctr"/>
        <c:lblOffset val="100"/>
        <c:noMultiLvlLbl val="0"/>
      </c:catAx>
      <c:valAx>
        <c:axId val="-73109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8880"/>
        <c:axId val="-731108336"/>
      </c:lineChart>
      <c:catAx>
        <c:axId val="-73110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8336"/>
        <c:crosses val="autoZero"/>
        <c:auto val="1"/>
        <c:lblAlgn val="ctr"/>
        <c:lblOffset val="100"/>
        <c:noMultiLvlLbl val="0"/>
      </c:catAx>
      <c:valAx>
        <c:axId val="-73110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1808"/>
        <c:axId val="-731095824"/>
      </c:lineChart>
      <c:catAx>
        <c:axId val="-73110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5824"/>
        <c:crosses val="autoZero"/>
        <c:auto val="1"/>
        <c:lblAlgn val="ctr"/>
        <c:lblOffset val="100"/>
        <c:noMultiLvlLbl val="0"/>
      </c:catAx>
      <c:valAx>
        <c:axId val="-73109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99632"/>
        <c:axId val="-731103440"/>
      </c:lineChart>
      <c:catAx>
        <c:axId val="-73109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3440"/>
        <c:crosses val="autoZero"/>
        <c:auto val="1"/>
        <c:lblAlgn val="ctr"/>
        <c:lblOffset val="100"/>
        <c:noMultiLvlLbl val="0"/>
      </c:catAx>
      <c:valAx>
        <c:axId val="-731103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6704"/>
        <c:axId val="-731101264"/>
      </c:lineChart>
      <c:catAx>
        <c:axId val="-73110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1264"/>
        <c:crosses val="autoZero"/>
        <c:auto val="1"/>
        <c:lblAlgn val="ctr"/>
        <c:lblOffset val="100"/>
        <c:noMultiLvlLbl val="0"/>
      </c:catAx>
      <c:valAx>
        <c:axId val="-731101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7792"/>
        <c:axId val="-731105072"/>
      </c:lineChart>
      <c:catAx>
        <c:axId val="-73110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5072"/>
        <c:crosses val="autoZero"/>
        <c:auto val="1"/>
        <c:lblAlgn val="ctr"/>
        <c:lblOffset val="100"/>
        <c:noMultiLvlLbl val="0"/>
      </c:catAx>
      <c:valAx>
        <c:axId val="-7311050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6160"/>
        <c:axId val="-731104528"/>
      </c:lineChart>
      <c:catAx>
        <c:axId val="-73110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4528"/>
        <c:crosses val="autoZero"/>
        <c:auto val="1"/>
        <c:lblAlgn val="ctr"/>
        <c:lblOffset val="100"/>
        <c:noMultiLvlLbl val="0"/>
      </c:catAx>
      <c:valAx>
        <c:axId val="-731104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99088"/>
        <c:axId val="-731096912"/>
      </c:lineChart>
      <c:catAx>
        <c:axId val="-73109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6912"/>
        <c:crosses val="autoZero"/>
        <c:auto val="1"/>
        <c:lblAlgn val="ctr"/>
        <c:lblOffset val="100"/>
        <c:noMultiLvlLbl val="0"/>
      </c:catAx>
      <c:valAx>
        <c:axId val="-73109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96368"/>
        <c:axId val="-731100720"/>
      </c:lineChart>
      <c:catAx>
        <c:axId val="-73109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0720"/>
        <c:crosses val="autoZero"/>
        <c:auto val="1"/>
        <c:lblAlgn val="ctr"/>
        <c:lblOffset val="100"/>
        <c:noMultiLvlLbl val="0"/>
      </c:catAx>
      <c:valAx>
        <c:axId val="-7311007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9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5616"/>
        <c:axId val="-731102896"/>
      </c:lineChart>
      <c:catAx>
        <c:axId val="-73110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2896"/>
        <c:crosses val="autoZero"/>
        <c:auto val="1"/>
        <c:lblAlgn val="ctr"/>
        <c:lblOffset val="100"/>
        <c:noMultiLvlLbl val="0"/>
      </c:catAx>
      <c:valAx>
        <c:axId val="-7311028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102352"/>
        <c:axId val="-731015328"/>
      </c:lineChart>
      <c:catAx>
        <c:axId val="-73110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5328"/>
        <c:crosses val="autoZero"/>
        <c:auto val="1"/>
        <c:lblAlgn val="ctr"/>
        <c:lblOffset val="100"/>
        <c:noMultiLvlLbl val="0"/>
      </c:catAx>
      <c:valAx>
        <c:axId val="-73101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10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8800"/>
        <c:axId val="-731000640"/>
      </c:lineChart>
      <c:catAx>
        <c:axId val="-73100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0640"/>
        <c:crosses val="autoZero"/>
        <c:auto val="1"/>
        <c:lblAlgn val="ctr"/>
        <c:lblOffset val="100"/>
        <c:noMultiLvlLbl val="0"/>
      </c:catAx>
      <c:valAx>
        <c:axId val="-7310006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-1416.0483870967728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7168"/>
        <c:axId val="-731006080"/>
      </c:lineChart>
      <c:catAx>
        <c:axId val="-73100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6080"/>
        <c:crosses val="autoZero"/>
        <c:auto val="1"/>
        <c:lblAlgn val="ctr"/>
        <c:lblOffset val="100"/>
        <c:noMultiLvlLbl val="0"/>
      </c:catAx>
      <c:valAx>
        <c:axId val="-7310060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12064"/>
        <c:axId val="-731010976"/>
      </c:lineChart>
      <c:catAx>
        <c:axId val="-73101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0976"/>
        <c:crosses val="autoZero"/>
        <c:auto val="1"/>
        <c:lblAlgn val="ctr"/>
        <c:lblOffset val="100"/>
        <c:noMultiLvlLbl val="0"/>
      </c:catAx>
      <c:valAx>
        <c:axId val="-73101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13152"/>
        <c:axId val="-731013696"/>
      </c:lineChart>
      <c:catAx>
        <c:axId val="-73101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3696"/>
        <c:crosses val="autoZero"/>
        <c:auto val="1"/>
        <c:lblAlgn val="ctr"/>
        <c:lblOffset val="100"/>
        <c:noMultiLvlLbl val="0"/>
      </c:catAx>
      <c:valAx>
        <c:axId val="-7310136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14784"/>
        <c:axId val="-731003360"/>
      </c:lineChart>
      <c:catAx>
        <c:axId val="-73101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3360"/>
        <c:crosses val="autoZero"/>
        <c:auto val="1"/>
        <c:lblAlgn val="ctr"/>
        <c:lblOffset val="100"/>
        <c:noMultiLvlLbl val="0"/>
      </c:catAx>
      <c:valAx>
        <c:axId val="-731003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2816"/>
        <c:axId val="-731005536"/>
      </c:lineChart>
      <c:catAx>
        <c:axId val="-73100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5536"/>
        <c:crosses val="autoZero"/>
        <c:auto val="1"/>
        <c:lblAlgn val="ctr"/>
        <c:lblOffset val="100"/>
        <c:noMultiLvlLbl val="0"/>
      </c:catAx>
      <c:valAx>
        <c:axId val="-73100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8256"/>
        <c:axId val="-731012608"/>
      </c:lineChart>
      <c:catAx>
        <c:axId val="-73100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2608"/>
        <c:crosses val="autoZero"/>
        <c:auto val="1"/>
        <c:lblAlgn val="ctr"/>
        <c:lblOffset val="100"/>
        <c:noMultiLvlLbl val="0"/>
      </c:catAx>
      <c:valAx>
        <c:axId val="-731012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10432"/>
        <c:axId val="-731009888"/>
      </c:lineChart>
      <c:catAx>
        <c:axId val="-73101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9888"/>
        <c:crosses val="autoZero"/>
        <c:auto val="1"/>
        <c:lblAlgn val="ctr"/>
        <c:lblOffset val="100"/>
        <c:noMultiLvlLbl val="0"/>
      </c:catAx>
      <c:valAx>
        <c:axId val="-7310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11520"/>
        <c:axId val="-731007712"/>
      </c:lineChart>
      <c:catAx>
        <c:axId val="-731011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7712"/>
        <c:crosses val="autoZero"/>
        <c:auto val="1"/>
        <c:lblAlgn val="ctr"/>
        <c:lblOffset val="100"/>
        <c:noMultiLvlLbl val="0"/>
      </c:catAx>
      <c:valAx>
        <c:axId val="-73100771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9344"/>
        <c:axId val="-731014240"/>
      </c:lineChart>
      <c:catAx>
        <c:axId val="-73100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14240"/>
        <c:crosses val="autoZero"/>
        <c:auto val="1"/>
        <c:lblAlgn val="ctr"/>
        <c:lblOffset val="100"/>
        <c:noMultiLvlLbl val="0"/>
      </c:catAx>
      <c:valAx>
        <c:axId val="-7310142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2272"/>
        <c:axId val="-731006624"/>
      </c:lineChart>
      <c:catAx>
        <c:axId val="-73100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6624"/>
        <c:crosses val="autoZero"/>
        <c:auto val="1"/>
        <c:lblAlgn val="ctr"/>
        <c:lblOffset val="100"/>
        <c:noMultiLvlLbl val="0"/>
      </c:catAx>
      <c:valAx>
        <c:axId val="-73100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31004992"/>
        <c:axId val="-731004448"/>
      </c:lineChart>
      <c:catAx>
        <c:axId val="-731004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4448"/>
        <c:crosses val="autoZero"/>
        <c:auto val="1"/>
        <c:lblAlgn val="ctr"/>
        <c:lblOffset val="100"/>
        <c:noMultiLvlLbl val="0"/>
      </c:catAx>
      <c:valAx>
        <c:axId val="-73100444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73100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H33">
            <v>12231</v>
          </cell>
          <cell r="I33" t="str">
            <v>ok</v>
          </cell>
          <cell r="J33">
            <v>120</v>
          </cell>
          <cell r="K33">
            <v>0</v>
          </cell>
          <cell r="L33">
            <v>386941</v>
          </cell>
          <cell r="M33">
            <v>0</v>
          </cell>
          <cell r="N33">
            <v>250</v>
          </cell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B30">
            <v>7353389</v>
          </cell>
        </row>
        <row r="32">
          <cell r="W32">
            <v>214</v>
          </cell>
          <cell r="X32">
            <v>53.5</v>
          </cell>
          <cell r="Y32">
            <v>53.5</v>
          </cell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B34">
            <v>8162261.79</v>
          </cell>
          <cell r="AC34">
            <v>0</v>
          </cell>
        </row>
        <row r="36">
          <cell r="AB36">
            <v>4877.8699834162517</v>
          </cell>
        </row>
      </sheetData>
      <sheetData sheetId="8" refreshError="1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8">
          <cell r="B8">
            <v>30</v>
          </cell>
          <cell r="C8">
            <v>26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</row>
      </sheetData>
      <sheetData sheetId="3">
        <row r="35">
          <cell r="A35">
            <v>44773</v>
          </cell>
        </row>
      </sheetData>
      <sheetData sheetId="4">
        <row r="36">
          <cell r="A36">
            <v>44773</v>
          </cell>
        </row>
      </sheetData>
      <sheetData sheetId="5">
        <row r="33">
          <cell r="A33">
            <v>44773</v>
          </cell>
        </row>
      </sheetData>
      <sheetData sheetId="6">
        <row r="36">
          <cell r="A36">
            <v>44773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>
        <row r="21">
          <cell r="W21">
            <v>44764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70" zoomScaleNormal="70" workbookViewId="0">
      <selection activeCell="C2" sqref="C2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4.1302127512593385E-2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K1" zoomScale="60" zoomScaleNormal="60" zoomScaleSheetLayoutView="100" workbookViewId="0">
      <pane ySplit="2" topLeftCell="A3" activePane="bottomLeft" state="frozen"/>
      <selection activeCell="C1" sqref="C1"/>
      <selection pane="bottomLeft" activeCell="Q4" sqref="Q4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14.26953125" style="444" bestFit="1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f t="shared" si="7"/>
        <v>356990</v>
      </c>
      <c r="E7" s="575">
        <f t="shared" si="21"/>
        <v>0</v>
      </c>
      <c r="F7" s="567">
        <f t="shared" si="9"/>
        <v>4159623</v>
      </c>
      <c r="G7" s="449">
        <f t="shared" si="22"/>
        <v>0</v>
      </c>
      <c r="H7" s="426">
        <f t="shared" si="10"/>
        <v>18075226</v>
      </c>
      <c r="I7" s="449">
        <f t="shared" si="23"/>
        <v>0</v>
      </c>
      <c r="J7" s="426">
        <f t="shared" si="11"/>
        <v>29844438</v>
      </c>
      <c r="K7" s="449">
        <f t="shared" si="24"/>
        <v>0</v>
      </c>
      <c r="L7" s="426">
        <f t="shared" si="12"/>
        <v>24652750</v>
      </c>
      <c r="M7" s="449">
        <f t="shared" si="25"/>
        <v>0</v>
      </c>
      <c r="N7" s="297">
        <f t="shared" si="26"/>
        <v>0</v>
      </c>
      <c r="O7" s="445">
        <f t="shared" si="27"/>
        <v>0</v>
      </c>
      <c r="P7" s="561">
        <f t="shared" si="13"/>
        <v>19467.342000000001</v>
      </c>
      <c r="Q7" s="446">
        <f t="shared" si="28"/>
        <v>0</v>
      </c>
      <c r="R7" s="428">
        <f t="shared" ref="R7:R18" si="32">N7-Q7</f>
        <v>0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f t="shared" si="7"/>
        <v>356990</v>
      </c>
      <c r="E8" s="575">
        <f t="shared" si="8"/>
        <v>0</v>
      </c>
      <c r="F8" s="567">
        <f t="shared" si="9"/>
        <v>4159623</v>
      </c>
      <c r="G8" s="449">
        <f t="shared" ref="G8:G34" si="34">F8-F7</f>
        <v>0</v>
      </c>
      <c r="H8" s="426">
        <f t="shared" si="10"/>
        <v>18075226</v>
      </c>
      <c r="I8" s="449">
        <f t="shared" ref="I8:I34" si="35">H8-H7</f>
        <v>0</v>
      </c>
      <c r="J8" s="426">
        <f t="shared" si="11"/>
        <v>29844438</v>
      </c>
      <c r="K8" s="449">
        <f t="shared" ref="K8:K34" si="36">J8-J7</f>
        <v>0</v>
      </c>
      <c r="L8" s="426">
        <f t="shared" si="12"/>
        <v>24652750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13"/>
        <v>19467.342000000001</v>
      </c>
      <c r="Q8" s="446">
        <f t="shared" si="1"/>
        <v>0</v>
      </c>
      <c r="R8" s="428">
        <f t="shared" si="32"/>
        <v>0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f t="shared" si="7"/>
        <v>356990</v>
      </c>
      <c r="E9" s="575">
        <f t="shared" si="8"/>
        <v>0</v>
      </c>
      <c r="F9" s="567">
        <f t="shared" si="9"/>
        <v>4159623</v>
      </c>
      <c r="G9" s="449">
        <f t="shared" si="34"/>
        <v>0</v>
      </c>
      <c r="H9" s="426">
        <f t="shared" si="10"/>
        <v>18075226</v>
      </c>
      <c r="I9" s="449">
        <f t="shared" si="35"/>
        <v>0</v>
      </c>
      <c r="J9" s="426">
        <f t="shared" si="11"/>
        <v>29844438</v>
      </c>
      <c r="K9" s="449">
        <f t="shared" si="36"/>
        <v>0</v>
      </c>
      <c r="L9" s="426">
        <f t="shared" si="12"/>
        <v>24652750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13"/>
        <v>19467.342000000001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33489</v>
      </c>
      <c r="X9" s="428">
        <f t="shared" si="3"/>
        <v>0</v>
      </c>
      <c r="Y9" s="426">
        <f t="shared" si="17"/>
        <v>998162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f t="shared" si="7"/>
        <v>356990</v>
      </c>
      <c r="E10" s="575">
        <f t="shared" si="8"/>
        <v>0</v>
      </c>
      <c r="F10" s="567">
        <f t="shared" si="9"/>
        <v>4159623</v>
      </c>
      <c r="G10" s="449">
        <f t="shared" si="34"/>
        <v>0</v>
      </c>
      <c r="H10" s="426">
        <f t="shared" si="10"/>
        <v>18075226</v>
      </c>
      <c r="I10" s="449">
        <f t="shared" si="35"/>
        <v>0</v>
      </c>
      <c r="J10" s="426">
        <f t="shared" si="11"/>
        <v>29844438</v>
      </c>
      <c r="K10" s="449">
        <f t="shared" si="36"/>
        <v>0</v>
      </c>
      <c r="L10" s="426">
        <f t="shared" si="12"/>
        <v>24652750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19467.342000000001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33489</v>
      </c>
      <c r="X10" s="428">
        <f t="shared" ref="X10:X31" si="39">W10-W9</f>
        <v>0</v>
      </c>
      <c r="Y10" s="426">
        <f t="shared" si="17"/>
        <v>998162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f t="shared" si="7"/>
        <v>356990</v>
      </c>
      <c r="E11" s="575">
        <f t="shared" si="8"/>
        <v>0</v>
      </c>
      <c r="F11" s="567">
        <f t="shared" si="9"/>
        <v>4159623</v>
      </c>
      <c r="G11" s="449">
        <f t="shared" si="34"/>
        <v>0</v>
      </c>
      <c r="H11" s="426">
        <f t="shared" si="10"/>
        <v>18075226</v>
      </c>
      <c r="I11" s="449">
        <f t="shared" si="35"/>
        <v>0</v>
      </c>
      <c r="J11" s="426">
        <f t="shared" si="11"/>
        <v>29844438</v>
      </c>
      <c r="K11" s="449">
        <f t="shared" si="36"/>
        <v>0</v>
      </c>
      <c r="L11" s="426">
        <f t="shared" si="12"/>
        <v>24652750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19467.342000000001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33489</v>
      </c>
      <c r="X11" s="428">
        <f t="shared" si="39"/>
        <v>0</v>
      </c>
      <c r="Y11" s="426">
        <f t="shared" si="17"/>
        <v>998162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356990</v>
      </c>
      <c r="E12" s="575">
        <f>D12-D11</f>
        <v>0</v>
      </c>
      <c r="F12" s="567">
        <f t="shared" si="9"/>
        <v>4159623</v>
      </c>
      <c r="G12" s="449">
        <f t="shared" si="34"/>
        <v>0</v>
      </c>
      <c r="H12" s="426">
        <f t="shared" si="10"/>
        <v>18075226</v>
      </c>
      <c r="I12" s="449">
        <f t="shared" si="35"/>
        <v>0</v>
      </c>
      <c r="J12" s="426">
        <f t="shared" si="11"/>
        <v>29844438</v>
      </c>
      <c r="K12" s="449">
        <f t="shared" si="36"/>
        <v>0</v>
      </c>
      <c r="L12" s="426">
        <f t="shared" si="12"/>
        <v>24652750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19467.342000000001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33489</v>
      </c>
      <c r="X12" s="428">
        <f t="shared" si="39"/>
        <v>0</v>
      </c>
      <c r="Y12" s="426">
        <f t="shared" si="17"/>
        <v>998162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356990</v>
      </c>
      <c r="E13" s="575">
        <f t="shared" si="8"/>
        <v>0</v>
      </c>
      <c r="F13" s="567">
        <f t="shared" si="9"/>
        <v>4159623</v>
      </c>
      <c r="G13" s="449">
        <f t="shared" si="34"/>
        <v>0</v>
      </c>
      <c r="H13" s="426">
        <f t="shared" si="10"/>
        <v>18075226</v>
      </c>
      <c r="I13" s="449">
        <f t="shared" si="35"/>
        <v>0</v>
      </c>
      <c r="J13" s="426">
        <f t="shared" si="11"/>
        <v>29844438</v>
      </c>
      <c r="K13" s="449">
        <f t="shared" si="36"/>
        <v>0</v>
      </c>
      <c r="L13" s="426">
        <f t="shared" si="12"/>
        <v>24652750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19467.342000000001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33489</v>
      </c>
      <c r="X13" s="428">
        <f t="shared" si="39"/>
        <v>0</v>
      </c>
      <c r="Y13" s="426">
        <f t="shared" si="17"/>
        <v>998162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f t="shared" si="7"/>
        <v>356990</v>
      </c>
      <c r="E14" s="575">
        <f t="shared" si="8"/>
        <v>0</v>
      </c>
      <c r="F14" s="567">
        <f t="shared" si="9"/>
        <v>4159623</v>
      </c>
      <c r="G14" s="449">
        <f t="shared" si="34"/>
        <v>0</v>
      </c>
      <c r="H14" s="426">
        <f t="shared" si="10"/>
        <v>18075226</v>
      </c>
      <c r="I14" s="449">
        <f t="shared" si="35"/>
        <v>0</v>
      </c>
      <c r="J14" s="426">
        <f t="shared" si="11"/>
        <v>29844438</v>
      </c>
      <c r="K14" s="449">
        <f t="shared" si="36"/>
        <v>0</v>
      </c>
      <c r="L14" s="426">
        <f t="shared" si="12"/>
        <v>24652750</v>
      </c>
      <c r="M14" s="449">
        <f t="shared" si="37"/>
        <v>0</v>
      </c>
      <c r="N14" s="297">
        <f>M14+K14+I14+G14+E14</f>
        <v>0</v>
      </c>
      <c r="O14" s="445">
        <f t="shared" si="40"/>
        <v>0</v>
      </c>
      <c r="P14" s="561">
        <f t="shared" si="13"/>
        <v>19467.342000000001</v>
      </c>
      <c r="Q14" s="446">
        <f t="shared" si="1"/>
        <v>0</v>
      </c>
      <c r="R14" s="428">
        <f t="shared" si="32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33489</v>
      </c>
      <c r="X14" s="428">
        <f t="shared" si="39"/>
        <v>0</v>
      </c>
      <c r="Y14" s="426">
        <f t="shared" si="17"/>
        <v>998162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f t="shared" si="7"/>
        <v>356990</v>
      </c>
      <c r="E15" s="575">
        <f t="shared" si="8"/>
        <v>0</v>
      </c>
      <c r="F15" s="567">
        <f t="shared" si="9"/>
        <v>4159623</v>
      </c>
      <c r="G15" s="449">
        <f t="shared" si="34"/>
        <v>0</v>
      </c>
      <c r="H15" s="426">
        <f t="shared" si="10"/>
        <v>18075226</v>
      </c>
      <c r="I15" s="449">
        <f t="shared" si="35"/>
        <v>0</v>
      </c>
      <c r="J15" s="426">
        <f t="shared" si="11"/>
        <v>29844438</v>
      </c>
      <c r="K15" s="449">
        <f t="shared" si="36"/>
        <v>0</v>
      </c>
      <c r="L15" s="426">
        <f t="shared" si="12"/>
        <v>24652750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13"/>
        <v>19467.342000000001</v>
      </c>
      <c r="Q15" s="446">
        <f t="shared" si="1"/>
        <v>0</v>
      </c>
      <c r="R15" s="588">
        <f>N15-Q15</f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33489</v>
      </c>
      <c r="X15" s="428">
        <f t="shared" si="39"/>
        <v>0</v>
      </c>
      <c r="Y15" s="426">
        <f t="shared" si="17"/>
        <v>998162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f t="shared" si="7"/>
        <v>356990</v>
      </c>
      <c r="E16" s="575">
        <f t="shared" si="8"/>
        <v>0</v>
      </c>
      <c r="F16" s="567">
        <f t="shared" si="9"/>
        <v>4159623</v>
      </c>
      <c r="G16" s="449">
        <f t="shared" si="34"/>
        <v>0</v>
      </c>
      <c r="H16" s="426">
        <f t="shared" si="10"/>
        <v>18075226</v>
      </c>
      <c r="I16" s="449">
        <f t="shared" si="35"/>
        <v>0</v>
      </c>
      <c r="J16" s="426">
        <f t="shared" si="11"/>
        <v>29844438</v>
      </c>
      <c r="K16" s="449">
        <f t="shared" si="36"/>
        <v>0</v>
      </c>
      <c r="L16" s="426">
        <f t="shared" si="12"/>
        <v>24652750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13"/>
        <v>19467.342000000001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33489</v>
      </c>
      <c r="X16" s="428">
        <f t="shared" si="39"/>
        <v>0</v>
      </c>
      <c r="Y16" s="426">
        <f t="shared" si="17"/>
        <v>998162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f t="shared" si="7"/>
        <v>356990</v>
      </c>
      <c r="E17" s="575">
        <f t="shared" si="8"/>
        <v>0</v>
      </c>
      <c r="F17" s="567">
        <f t="shared" si="9"/>
        <v>4159623</v>
      </c>
      <c r="G17" s="449">
        <f t="shared" si="34"/>
        <v>0</v>
      </c>
      <c r="H17" s="426">
        <f t="shared" si="10"/>
        <v>18075226</v>
      </c>
      <c r="I17" s="449">
        <f t="shared" si="35"/>
        <v>0</v>
      </c>
      <c r="J17" s="426">
        <f t="shared" si="11"/>
        <v>29844438</v>
      </c>
      <c r="K17" s="449">
        <f t="shared" si="36"/>
        <v>0</v>
      </c>
      <c r="L17" s="426">
        <f t="shared" si="12"/>
        <v>24652750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13"/>
        <v>19467.342000000001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33489</v>
      </c>
      <c r="X17" s="428">
        <f>W17-W16</f>
        <v>0</v>
      </c>
      <c r="Y17" s="426">
        <f t="shared" si="17"/>
        <v>998162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f t="shared" si="7"/>
        <v>356990</v>
      </c>
      <c r="E18" s="575">
        <f t="shared" si="8"/>
        <v>0</v>
      </c>
      <c r="F18" s="567">
        <f t="shared" si="9"/>
        <v>4159623</v>
      </c>
      <c r="G18" s="449">
        <f t="shared" si="34"/>
        <v>0</v>
      </c>
      <c r="H18" s="426">
        <f t="shared" si="10"/>
        <v>18075226</v>
      </c>
      <c r="I18" s="449">
        <f t="shared" si="35"/>
        <v>0</v>
      </c>
      <c r="J18" s="426">
        <f t="shared" si="11"/>
        <v>29844438</v>
      </c>
      <c r="K18" s="449">
        <f t="shared" si="36"/>
        <v>0</v>
      </c>
      <c r="L18" s="426">
        <f t="shared" si="12"/>
        <v>24652750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19467.342000000001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33489</v>
      </c>
      <c r="X18" s="428">
        <f t="shared" si="39"/>
        <v>0</v>
      </c>
      <c r="Y18" s="426">
        <f t="shared" si="17"/>
        <v>998162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356990</v>
      </c>
      <c r="E19" s="575">
        <f t="shared" si="8"/>
        <v>0</v>
      </c>
      <c r="F19" s="567">
        <f t="shared" si="9"/>
        <v>4159623</v>
      </c>
      <c r="G19" s="449">
        <f t="shared" si="34"/>
        <v>0</v>
      </c>
      <c r="H19" s="426">
        <f t="shared" si="10"/>
        <v>18075226</v>
      </c>
      <c r="I19" s="449">
        <f t="shared" si="35"/>
        <v>0</v>
      </c>
      <c r="J19" s="426">
        <f t="shared" si="11"/>
        <v>29844438</v>
      </c>
      <c r="K19" s="449">
        <f t="shared" si="36"/>
        <v>0</v>
      </c>
      <c r="L19" s="426">
        <f t="shared" si="12"/>
        <v>24652750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19467.342000000001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33489</v>
      </c>
      <c r="X19" s="428">
        <f t="shared" si="39"/>
        <v>0</v>
      </c>
      <c r="Y19" s="426">
        <f t="shared" si="17"/>
        <v>998162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356990</v>
      </c>
      <c r="E20" s="575">
        <f t="shared" si="8"/>
        <v>0</v>
      </c>
      <c r="F20" s="567">
        <f t="shared" si="9"/>
        <v>4159623</v>
      </c>
      <c r="G20" s="449">
        <f t="shared" si="34"/>
        <v>0</v>
      </c>
      <c r="H20" s="426">
        <f t="shared" si="10"/>
        <v>18075226</v>
      </c>
      <c r="I20" s="449">
        <f t="shared" si="35"/>
        <v>0</v>
      </c>
      <c r="J20" s="426">
        <f t="shared" si="11"/>
        <v>29844438</v>
      </c>
      <c r="K20" s="449">
        <f t="shared" si="36"/>
        <v>0</v>
      </c>
      <c r="L20" s="426">
        <f t="shared" si="12"/>
        <v>24652750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19467.342000000001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33489</v>
      </c>
      <c r="X20" s="428">
        <f t="shared" si="39"/>
        <v>0</v>
      </c>
      <c r="Y20" s="426">
        <f t="shared" si="17"/>
        <v>998162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f t="shared" si="7"/>
        <v>356990</v>
      </c>
      <c r="E21" s="575">
        <f t="shared" si="8"/>
        <v>0</v>
      </c>
      <c r="F21" s="567">
        <f t="shared" si="9"/>
        <v>4159623</v>
      </c>
      <c r="G21" s="449">
        <f t="shared" si="34"/>
        <v>0</v>
      </c>
      <c r="H21" s="426">
        <f t="shared" si="10"/>
        <v>18075226</v>
      </c>
      <c r="I21" s="449">
        <f t="shared" si="35"/>
        <v>0</v>
      </c>
      <c r="J21" s="426">
        <f t="shared" si="11"/>
        <v>29844438</v>
      </c>
      <c r="K21" s="449">
        <f t="shared" si="36"/>
        <v>0</v>
      </c>
      <c r="L21" s="426">
        <f t="shared" si="12"/>
        <v>24652750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13"/>
        <v>19467.342000000001</v>
      </c>
      <c r="Q21" s="446">
        <f t="shared" si="1"/>
        <v>0</v>
      </c>
      <c r="R21" s="588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33489</v>
      </c>
      <c r="X21" s="428">
        <f t="shared" si="39"/>
        <v>0</v>
      </c>
      <c r="Y21" s="426">
        <v>998162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f t="shared" si="7"/>
        <v>356990</v>
      </c>
      <c r="E22" s="575">
        <f t="shared" ref="E22" si="44">D22-D21</f>
        <v>0</v>
      </c>
      <c r="F22" s="567">
        <f t="shared" si="9"/>
        <v>4159623</v>
      </c>
      <c r="G22" s="449">
        <f t="shared" ref="G22" si="45">F22-F21</f>
        <v>0</v>
      </c>
      <c r="H22" s="426">
        <f t="shared" si="10"/>
        <v>18075226</v>
      </c>
      <c r="I22" s="449">
        <f t="shared" si="35"/>
        <v>0</v>
      </c>
      <c r="J22" s="426">
        <f t="shared" si="11"/>
        <v>29844438</v>
      </c>
      <c r="K22" s="449">
        <f t="shared" ref="K22" si="46">J22-J21</f>
        <v>0</v>
      </c>
      <c r="L22" s="426">
        <f t="shared" si="12"/>
        <v>24652750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13"/>
        <v>19467.342000000001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33489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f t="shared" si="7"/>
        <v>356990</v>
      </c>
      <c r="E23" s="575">
        <f t="shared" si="8"/>
        <v>0</v>
      </c>
      <c r="F23" s="567">
        <f t="shared" si="9"/>
        <v>4159623</v>
      </c>
      <c r="G23" s="449">
        <f t="shared" si="34"/>
        <v>0</v>
      </c>
      <c r="H23" s="426">
        <f t="shared" si="10"/>
        <v>18075226</v>
      </c>
      <c r="I23" s="449">
        <f t="shared" si="35"/>
        <v>0</v>
      </c>
      <c r="J23" s="426">
        <f t="shared" si="11"/>
        <v>29844438</v>
      </c>
      <c r="K23" s="449">
        <f t="shared" si="36"/>
        <v>0</v>
      </c>
      <c r="L23" s="426">
        <f t="shared" si="12"/>
        <v>24652750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19467.342000000001</v>
      </c>
      <c r="Q23" s="446">
        <f t="shared" si="1"/>
        <v>0</v>
      </c>
      <c r="R23" s="588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33489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f t="shared" si="7"/>
        <v>356990</v>
      </c>
      <c r="E24" s="575">
        <f t="shared" si="8"/>
        <v>0</v>
      </c>
      <c r="F24" s="567">
        <f t="shared" si="9"/>
        <v>4159623</v>
      </c>
      <c r="G24" s="449">
        <f t="shared" si="34"/>
        <v>0</v>
      </c>
      <c r="H24" s="426">
        <f t="shared" si="10"/>
        <v>18075226</v>
      </c>
      <c r="I24" s="591">
        <f t="shared" si="35"/>
        <v>0</v>
      </c>
      <c r="J24" s="426">
        <f t="shared" si="11"/>
        <v>29844438</v>
      </c>
      <c r="K24" s="449">
        <f t="shared" si="36"/>
        <v>0</v>
      </c>
      <c r="L24" s="426">
        <f t="shared" si="12"/>
        <v>24652750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19467.342000000001</v>
      </c>
      <c r="Q24" s="446">
        <f t="shared" si="1"/>
        <v>0</v>
      </c>
      <c r="R24" s="588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33489</v>
      </c>
      <c r="X24" s="428">
        <f t="shared" si="39"/>
        <v>0</v>
      </c>
      <c r="Y24" s="426">
        <f t="shared" si="17"/>
        <v>998162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f t="shared" si="7"/>
        <v>356990</v>
      </c>
      <c r="E25" s="575">
        <f t="shared" si="8"/>
        <v>0</v>
      </c>
      <c r="F25" s="567">
        <f t="shared" si="9"/>
        <v>4159623</v>
      </c>
      <c r="G25" s="449">
        <f t="shared" si="34"/>
        <v>0</v>
      </c>
      <c r="H25" s="426">
        <f t="shared" si="10"/>
        <v>18075226</v>
      </c>
      <c r="I25" s="449">
        <f t="shared" si="35"/>
        <v>0</v>
      </c>
      <c r="J25" s="426">
        <f t="shared" si="11"/>
        <v>29844438</v>
      </c>
      <c r="K25" s="449">
        <f t="shared" si="36"/>
        <v>0</v>
      </c>
      <c r="L25" s="426">
        <f t="shared" si="12"/>
        <v>24652750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19467.342000000001</v>
      </c>
      <c r="Q25" s="446">
        <f t="shared" si="1"/>
        <v>0</v>
      </c>
      <c r="R25" s="588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33489</v>
      </c>
      <c r="X25" s="428">
        <f t="shared" si="39"/>
        <v>0</v>
      </c>
      <c r="Y25" s="426">
        <f t="shared" si="17"/>
        <v>998162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356990</v>
      </c>
      <c r="E26" s="575">
        <f t="shared" si="8"/>
        <v>0</v>
      </c>
      <c r="F26" s="567">
        <f t="shared" si="9"/>
        <v>4159623</v>
      </c>
      <c r="G26" s="449">
        <f t="shared" si="34"/>
        <v>0</v>
      </c>
      <c r="H26" s="426">
        <f t="shared" si="10"/>
        <v>18075226</v>
      </c>
      <c r="I26" s="449">
        <f t="shared" si="35"/>
        <v>0</v>
      </c>
      <c r="J26" s="426">
        <f t="shared" si="11"/>
        <v>29844438</v>
      </c>
      <c r="K26" s="449">
        <f t="shared" si="36"/>
        <v>0</v>
      </c>
      <c r="L26" s="426">
        <f t="shared" si="12"/>
        <v>24652750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19467.342000000001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33489</v>
      </c>
      <c r="X26" s="428">
        <f t="shared" si="39"/>
        <v>0</v>
      </c>
      <c r="Y26" s="426">
        <f t="shared" si="17"/>
        <v>998162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356990</v>
      </c>
      <c r="E27" s="575">
        <f t="shared" si="8"/>
        <v>0</v>
      </c>
      <c r="F27" s="567">
        <f t="shared" si="9"/>
        <v>4159623</v>
      </c>
      <c r="G27" s="449">
        <f t="shared" si="34"/>
        <v>0</v>
      </c>
      <c r="H27" s="426">
        <f t="shared" si="10"/>
        <v>18075226</v>
      </c>
      <c r="I27" s="449">
        <f t="shared" si="35"/>
        <v>0</v>
      </c>
      <c r="J27" s="426">
        <f t="shared" si="11"/>
        <v>29844438</v>
      </c>
      <c r="K27" s="449">
        <f t="shared" si="36"/>
        <v>0</v>
      </c>
      <c r="L27" s="426">
        <f t="shared" si="12"/>
        <v>24652750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19467.342000000001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33489</v>
      </c>
      <c r="X27" s="428">
        <f t="shared" si="39"/>
        <v>0</v>
      </c>
      <c r="Y27" s="426">
        <f t="shared" si="17"/>
        <v>998162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f t="shared" si="7"/>
        <v>356990</v>
      </c>
      <c r="E28" s="575">
        <f t="shared" si="8"/>
        <v>0</v>
      </c>
      <c r="F28" s="567">
        <f t="shared" si="9"/>
        <v>4159623</v>
      </c>
      <c r="G28" s="449">
        <f>F28-F27</f>
        <v>0</v>
      </c>
      <c r="H28" s="426">
        <f t="shared" si="10"/>
        <v>18075226</v>
      </c>
      <c r="I28" s="449">
        <f t="shared" si="35"/>
        <v>0</v>
      </c>
      <c r="J28" s="426">
        <f t="shared" si="11"/>
        <v>29844438</v>
      </c>
      <c r="K28" s="449">
        <f t="shared" si="36"/>
        <v>0</v>
      </c>
      <c r="L28" s="426">
        <f t="shared" si="12"/>
        <v>24652750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19467.342000000001</v>
      </c>
      <c r="Q28" s="446">
        <f t="shared" si="1"/>
        <v>0</v>
      </c>
      <c r="R28" s="588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33489</v>
      </c>
      <c r="X28" s="428">
        <f t="shared" si="39"/>
        <v>0</v>
      </c>
      <c r="Y28" s="426">
        <f t="shared" si="17"/>
        <v>998162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356990</v>
      </c>
      <c r="E29" s="575">
        <f t="shared" si="8"/>
        <v>0</v>
      </c>
      <c r="F29" s="567">
        <f t="shared" si="9"/>
        <v>4159623</v>
      </c>
      <c r="G29" s="449">
        <f>F29-F28</f>
        <v>0</v>
      </c>
      <c r="H29" s="426">
        <f t="shared" si="10"/>
        <v>18075226</v>
      </c>
      <c r="I29" s="449">
        <f>H29-H28</f>
        <v>0</v>
      </c>
      <c r="J29" s="426">
        <f t="shared" si="11"/>
        <v>29844438</v>
      </c>
      <c r="K29" s="449">
        <f>J29-J28</f>
        <v>0</v>
      </c>
      <c r="L29" s="426">
        <f t="shared" si="12"/>
        <v>24652750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19467.342000000001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33489</v>
      </c>
      <c r="X29" s="428">
        <f>W29-W28</f>
        <v>0</v>
      </c>
      <c r="Y29" s="426">
        <f t="shared" si="17"/>
        <v>998162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356990</v>
      </c>
      <c r="E30" s="575">
        <f t="shared" si="8"/>
        <v>0</v>
      </c>
      <c r="F30" s="567">
        <f t="shared" si="9"/>
        <v>4159623</v>
      </c>
      <c r="G30" s="449">
        <f t="shared" si="34"/>
        <v>0</v>
      </c>
      <c r="H30" s="426">
        <f t="shared" si="10"/>
        <v>18075226</v>
      </c>
      <c r="I30" s="449">
        <f t="shared" si="35"/>
        <v>0</v>
      </c>
      <c r="J30" s="426">
        <f t="shared" si="11"/>
        <v>29844438</v>
      </c>
      <c r="K30" s="449">
        <f t="shared" si="36"/>
        <v>0</v>
      </c>
      <c r="L30" s="426">
        <f t="shared" si="12"/>
        <v>24652750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19467.342000000001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33489</v>
      </c>
      <c r="X30" s="428">
        <f t="shared" si="39"/>
        <v>0</v>
      </c>
      <c r="Y30" s="426">
        <f t="shared" si="17"/>
        <v>998162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356990</v>
      </c>
      <c r="E31" s="575">
        <f t="shared" si="8"/>
        <v>0</v>
      </c>
      <c r="F31" s="567">
        <f t="shared" si="9"/>
        <v>4159623</v>
      </c>
      <c r="G31" s="449">
        <f t="shared" si="34"/>
        <v>0</v>
      </c>
      <c r="H31" s="426">
        <f t="shared" si="10"/>
        <v>18075226</v>
      </c>
      <c r="I31" s="449">
        <f t="shared" si="35"/>
        <v>0</v>
      </c>
      <c r="J31" s="426">
        <f t="shared" si="11"/>
        <v>29844438</v>
      </c>
      <c r="K31" s="449">
        <f t="shared" si="36"/>
        <v>0</v>
      </c>
      <c r="L31" s="426">
        <f t="shared" si="12"/>
        <v>24652750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19467.342000000001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33489</v>
      </c>
      <c r="X31" s="448">
        <f t="shared" si="39"/>
        <v>0</v>
      </c>
      <c r="Y31" s="426">
        <f t="shared" si="17"/>
        <v>998162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356990</v>
      </c>
      <c r="E32" s="575">
        <f t="shared" si="8"/>
        <v>0</v>
      </c>
      <c r="F32" s="567">
        <f t="shared" si="9"/>
        <v>4159623</v>
      </c>
      <c r="G32" s="449">
        <f t="shared" si="34"/>
        <v>0</v>
      </c>
      <c r="H32" s="426">
        <f t="shared" si="10"/>
        <v>18075226</v>
      </c>
      <c r="I32" s="449">
        <f t="shared" si="35"/>
        <v>0</v>
      </c>
      <c r="J32" s="426">
        <f t="shared" si="11"/>
        <v>29844438</v>
      </c>
      <c r="K32" s="449">
        <f t="shared" si="36"/>
        <v>0</v>
      </c>
      <c r="L32" s="426">
        <f t="shared" si="12"/>
        <v>24652750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19467.342000000001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33489</v>
      </c>
      <c r="X32" s="448">
        <f t="shared" ref="X32:X34" si="58">W32-W31</f>
        <v>0</v>
      </c>
      <c r="Y32" s="426">
        <f t="shared" si="17"/>
        <v>998162</v>
      </c>
      <c r="Z32" s="428">
        <f t="shared" ref="Z32:Z34" si="59">Y32-Y31</f>
        <v>0</v>
      </c>
      <c r="AA32" s="426">
        <f t="shared" si="18"/>
        <v>36796</v>
      </c>
      <c r="AB32" s="428">
        <f t="shared" ref="AB32:AB34" si="60">AA32-AA31</f>
        <v>0</v>
      </c>
      <c r="AC32" s="426">
        <f t="shared" si="19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356990</v>
      </c>
      <c r="E33" s="575">
        <f t="shared" si="8"/>
        <v>0</v>
      </c>
      <c r="F33" s="567">
        <f t="shared" si="9"/>
        <v>4159623</v>
      </c>
      <c r="G33" s="449">
        <f t="shared" si="34"/>
        <v>0</v>
      </c>
      <c r="H33" s="426">
        <f t="shared" si="10"/>
        <v>18075226</v>
      </c>
      <c r="I33" s="449">
        <f t="shared" si="35"/>
        <v>0</v>
      </c>
      <c r="J33" s="426">
        <f t="shared" si="11"/>
        <v>29844438</v>
      </c>
      <c r="K33" s="449">
        <f t="shared" si="36"/>
        <v>0</v>
      </c>
      <c r="L33" s="426">
        <f t="shared" si="12"/>
        <v>24652750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19467.342000000001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33489</v>
      </c>
      <c r="X33" s="448">
        <f t="shared" si="58"/>
        <v>0</v>
      </c>
      <c r="Y33" s="426">
        <f t="shared" si="17"/>
        <v>998162</v>
      </c>
      <c r="Z33" s="428">
        <f t="shared" si="59"/>
        <v>0</v>
      </c>
      <c r="AA33" s="426">
        <f t="shared" si="18"/>
        <v>36796</v>
      </c>
      <c r="AB33" s="428">
        <f t="shared" si="60"/>
        <v>0</v>
      </c>
      <c r="AC33" s="426">
        <f t="shared" si="19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356990</v>
      </c>
      <c r="E34" s="575">
        <f t="shared" si="8"/>
        <v>0</v>
      </c>
      <c r="F34" s="567">
        <f t="shared" si="9"/>
        <v>4159623</v>
      </c>
      <c r="G34" s="449">
        <f t="shared" si="34"/>
        <v>0</v>
      </c>
      <c r="H34" s="426">
        <f t="shared" si="10"/>
        <v>18075226</v>
      </c>
      <c r="I34" s="449">
        <f t="shared" si="35"/>
        <v>0</v>
      </c>
      <c r="J34" s="426">
        <f t="shared" si="11"/>
        <v>29844438</v>
      </c>
      <c r="K34" s="449">
        <f t="shared" si="36"/>
        <v>0</v>
      </c>
      <c r="L34" s="426">
        <f t="shared" si="12"/>
        <v>24652750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19467.342000000001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33489</v>
      </c>
      <c r="X34" s="448">
        <f t="shared" si="58"/>
        <v>0</v>
      </c>
      <c r="Y34" s="426">
        <f t="shared" si="17"/>
        <v>998162</v>
      </c>
      <c r="Z34" s="428">
        <f t="shared" si="59"/>
        <v>0</v>
      </c>
      <c r="AA34" s="426">
        <f t="shared" si="18"/>
        <v>36796</v>
      </c>
      <c r="AB34" s="428">
        <f t="shared" si="60"/>
        <v>0</v>
      </c>
      <c r="AC34" s="426">
        <f t="shared" si="19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F1" zoomScale="60" zoomScaleNormal="60" workbookViewId="0">
      <pane ySplit="1" topLeftCell="A2" activePane="bottomLeft" state="frozen"/>
      <selection activeCell="K1" sqref="K1"/>
      <selection pane="bottomLeft" activeCell="Q5" sqref="Q5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26953125" style="42" bestFit="1" customWidth="1"/>
    <col min="17" max="17" width="7.7265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8" t="s">
        <v>2</v>
      </c>
      <c r="G1" s="619"/>
      <c r="H1" s="619"/>
      <c r="I1" s="620"/>
      <c r="J1" s="271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381"/>
      <c r="V1" s="27" t="s">
        <v>104</v>
      </c>
      <c r="W1" s="38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35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-1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-1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f t="shared" si="9"/>
        <v>194.5</v>
      </c>
      <c r="C8" s="535">
        <f t="shared" si="10"/>
        <v>201</v>
      </c>
      <c r="D8" s="45">
        <f t="shared" si="36"/>
        <v>0</v>
      </c>
      <c r="E8" s="45">
        <f t="shared" si="11"/>
        <v>0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f t="shared" si="15"/>
        <v>2453</v>
      </c>
      <c r="L8" s="52">
        <f t="shared" si="16"/>
        <v>0</v>
      </c>
      <c r="M8" s="535">
        <f t="shared" si="17"/>
        <v>182441</v>
      </c>
      <c r="N8" s="380">
        <f t="shared" si="2"/>
        <v>0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f t="shared" si="9"/>
        <v>194.5</v>
      </c>
      <c r="C9" s="535">
        <f t="shared" si="10"/>
        <v>201</v>
      </c>
      <c r="D9" s="45">
        <f t="shared" si="36"/>
        <v>0</v>
      </c>
      <c r="E9" s="45">
        <f t="shared" si="11"/>
        <v>0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f t="shared" si="15"/>
        <v>2453</v>
      </c>
      <c r="L9" s="52">
        <f t="shared" si="16"/>
        <v>0</v>
      </c>
      <c r="M9" s="535">
        <f t="shared" si="17"/>
        <v>182441</v>
      </c>
      <c r="N9" s="380">
        <f t="shared" si="2"/>
        <v>0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0</v>
      </c>
      <c r="V9" s="62">
        <f t="shared" si="19"/>
        <v>0</v>
      </c>
      <c r="W9" s="384" t="e">
        <f t="shared" si="20"/>
        <v>#DIV/0!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0</v>
      </c>
      <c r="AJ9" s="303">
        <f>-tanks!AW10</f>
        <v>0</v>
      </c>
      <c r="AK9" s="303">
        <f t="shared" si="28"/>
        <v>0</v>
      </c>
      <c r="AL9" s="303">
        <f t="shared" si="8"/>
        <v>0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f t="shared" si="9"/>
        <v>194.5</v>
      </c>
      <c r="C10" s="535">
        <f t="shared" si="10"/>
        <v>201</v>
      </c>
      <c r="D10" s="45">
        <f t="shared" si="36"/>
        <v>0</v>
      </c>
      <c r="E10" s="45">
        <f t="shared" si="11"/>
        <v>0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f t="shared" si="15"/>
        <v>2453</v>
      </c>
      <c r="L10" s="52">
        <f t="shared" si="16"/>
        <v>0</v>
      </c>
      <c r="M10" s="535">
        <f t="shared" si="17"/>
        <v>182441</v>
      </c>
      <c r="N10" s="380">
        <f t="shared" si="2"/>
        <v>0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0</v>
      </c>
      <c r="V10" s="62">
        <f t="shared" si="19"/>
        <v>0</v>
      </c>
      <c r="W10" s="384" t="e">
        <f t="shared" si="20"/>
        <v>#DIV/0!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8"/>
        <v>0</v>
      </c>
      <c r="AL10" s="303">
        <f t="shared" si="8"/>
        <v>0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f t="shared" si="9"/>
        <v>194.5</v>
      </c>
      <c r="C11" s="535">
        <f t="shared" si="10"/>
        <v>201</v>
      </c>
      <c r="D11" s="45">
        <f t="shared" si="36"/>
        <v>0</v>
      </c>
      <c r="E11" s="45">
        <f t="shared" si="11"/>
        <v>0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f t="shared" si="15"/>
        <v>2453</v>
      </c>
      <c r="L11" s="52">
        <f t="shared" si="16"/>
        <v>0</v>
      </c>
      <c r="M11" s="535">
        <f t="shared" si="17"/>
        <v>182441</v>
      </c>
      <c r="N11" s="380">
        <f t="shared" si="2"/>
        <v>0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366628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f t="shared" si="9"/>
        <v>194.5</v>
      </c>
      <c r="C12" s="535">
        <f t="shared" si="10"/>
        <v>201</v>
      </c>
      <c r="D12" s="45">
        <f t="shared" si="36"/>
        <v>0</v>
      </c>
      <c r="E12" s="45">
        <f t="shared" si="11"/>
        <v>0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2453</v>
      </c>
      <c r="L12" s="52">
        <f t="shared" si="16"/>
        <v>0</v>
      </c>
      <c r="M12" s="535">
        <f t="shared" si="17"/>
        <v>182441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366628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194.5</v>
      </c>
      <c r="C13" s="535">
        <f t="shared" si="10"/>
        <v>201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2453</v>
      </c>
      <c r="L13" s="52">
        <f t="shared" si="16"/>
        <v>0</v>
      </c>
      <c r="M13" s="535">
        <f t="shared" si="17"/>
        <v>182441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366628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194.5</v>
      </c>
      <c r="C14" s="535">
        <f t="shared" si="10"/>
        <v>201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2453</v>
      </c>
      <c r="L14" s="52">
        <f t="shared" si="16"/>
        <v>0</v>
      </c>
      <c r="M14" s="535">
        <f t="shared" si="17"/>
        <v>182441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1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f t="shared" si="9"/>
        <v>194.5</v>
      </c>
      <c r="C15" s="535">
        <f t="shared" si="10"/>
        <v>201</v>
      </c>
      <c r="D15" s="45">
        <f t="shared" si="36"/>
        <v>0</v>
      </c>
      <c r="E15" s="45">
        <f t="shared" si="11"/>
        <v>0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f t="shared" si="15"/>
        <v>2453</v>
      </c>
      <c r="L15" s="52">
        <f t="shared" si="16"/>
        <v>0</v>
      </c>
      <c r="M15" s="535">
        <f t="shared" si="17"/>
        <v>182441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f t="shared" si="25"/>
        <v>366628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f t="shared" si="9"/>
        <v>194.5</v>
      </c>
      <c r="C16" s="535">
        <f t="shared" si="10"/>
        <v>201</v>
      </c>
      <c r="D16" s="45">
        <f t="shared" si="36"/>
        <v>0</v>
      </c>
      <c r="E16" s="45">
        <f t="shared" si="11"/>
        <v>0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2453</v>
      </c>
      <c r="L16" s="52">
        <f t="shared" si="16"/>
        <v>0</v>
      </c>
      <c r="M16" s="535">
        <f t="shared" si="17"/>
        <v>182441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f t="shared" si="25"/>
        <v>366628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f t="shared" si="9"/>
        <v>194.5</v>
      </c>
      <c r="C17" s="535">
        <f t="shared" si="10"/>
        <v>201</v>
      </c>
      <c r="D17" s="45">
        <f t="shared" si="36"/>
        <v>0</v>
      </c>
      <c r="E17" s="45">
        <f t="shared" si="11"/>
        <v>0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2453</v>
      </c>
      <c r="L17" s="52">
        <f t="shared" si="16"/>
        <v>0</v>
      </c>
      <c r="M17" s="535">
        <f t="shared" si="17"/>
        <v>182441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5">
        <f t="shared" si="21"/>
        <v>2492</v>
      </c>
      <c r="Y17" s="52">
        <f t="shared" si="22"/>
        <v>0</v>
      </c>
      <c r="Z17" s="535">
        <f t="shared" si="23"/>
        <v>140886</v>
      </c>
      <c r="AA17" s="65">
        <f t="shared" si="6"/>
        <v>0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f t="shared" si="25"/>
        <v>366628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f t="shared" si="9"/>
        <v>194.5</v>
      </c>
      <c r="C18" s="535">
        <f t="shared" si="10"/>
        <v>201</v>
      </c>
      <c r="D18" s="45">
        <f t="shared" si="36"/>
        <v>0</v>
      </c>
      <c r="E18" s="45">
        <f t="shared" si="11"/>
        <v>0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2453</v>
      </c>
      <c r="L18" s="52">
        <f t="shared" si="16"/>
        <v>0</v>
      </c>
      <c r="M18" s="535">
        <f t="shared" si="17"/>
        <v>182441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5">
        <f t="shared" si="21"/>
        <v>2492</v>
      </c>
      <c r="Y18" s="52">
        <f t="shared" si="22"/>
        <v>0</v>
      </c>
      <c r="Z18" s="535">
        <f t="shared" si="23"/>
        <v>140886</v>
      </c>
      <c r="AA18" s="65">
        <f t="shared" si="6"/>
        <v>0</v>
      </c>
      <c r="AB18" s="273">
        <f t="shared" ref="AB18:AB23" si="47">SUM(Y18*$AB$2)</f>
        <v>0</v>
      </c>
      <c r="AC18" s="535">
        <f t="shared" si="24"/>
        <v>1948</v>
      </c>
      <c r="AD18" s="45">
        <f t="shared" si="7"/>
        <v>0</v>
      </c>
      <c r="AE18" s="535">
        <f t="shared" si="25"/>
        <v>366628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f t="shared" si="9"/>
        <v>194.5</v>
      </c>
      <c r="C19" s="535">
        <f t="shared" si="10"/>
        <v>201</v>
      </c>
      <c r="D19" s="45">
        <f t="shared" si="36"/>
        <v>0</v>
      </c>
      <c r="E19" s="45">
        <f t="shared" si="11"/>
        <v>0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2453</v>
      </c>
      <c r="L19" s="52">
        <f t="shared" si="16"/>
        <v>0</v>
      </c>
      <c r="M19" s="535">
        <f t="shared" si="17"/>
        <v>182441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2492</v>
      </c>
      <c r="Y19" s="52">
        <f t="shared" si="22"/>
        <v>0</v>
      </c>
      <c r="Z19" s="535">
        <f t="shared" si="23"/>
        <v>140886</v>
      </c>
      <c r="AA19" s="65">
        <f t="shared" si="6"/>
        <v>0</v>
      </c>
      <c r="AB19" s="273">
        <f t="shared" si="47"/>
        <v>0</v>
      </c>
      <c r="AC19" s="535">
        <f t="shared" si="24"/>
        <v>1948</v>
      </c>
      <c r="AD19" s="45">
        <f t="shared" si="7"/>
        <v>0</v>
      </c>
      <c r="AE19" s="535">
        <f t="shared" si="25"/>
        <v>366628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194.5</v>
      </c>
      <c r="C20" s="535">
        <f t="shared" si="10"/>
        <v>201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2453</v>
      </c>
      <c r="L20" s="52">
        <f t="shared" si="16"/>
        <v>0</v>
      </c>
      <c r="M20" s="535">
        <f t="shared" si="17"/>
        <v>182441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2492</v>
      </c>
      <c r="Y20" s="52">
        <f t="shared" si="22"/>
        <v>0</v>
      </c>
      <c r="Z20" s="535">
        <f t="shared" si="23"/>
        <v>140886</v>
      </c>
      <c r="AA20" s="65">
        <f t="shared" si="6"/>
        <v>0</v>
      </c>
      <c r="AB20" s="273">
        <f t="shared" si="47"/>
        <v>0</v>
      </c>
      <c r="AC20" s="535">
        <f t="shared" si="24"/>
        <v>1948</v>
      </c>
      <c r="AD20" s="45">
        <f t="shared" si="7"/>
        <v>0</v>
      </c>
      <c r="AE20" s="535">
        <f t="shared" si="25"/>
        <v>366628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194.5</v>
      </c>
      <c r="C21" s="535">
        <f t="shared" si="10"/>
        <v>201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2453</v>
      </c>
      <c r="L21" s="52">
        <f t="shared" si="16"/>
        <v>0</v>
      </c>
      <c r="M21" s="535">
        <f t="shared" si="17"/>
        <v>182441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2492</v>
      </c>
      <c r="Y21" s="52">
        <f t="shared" si="22"/>
        <v>0</v>
      </c>
      <c r="Z21" s="535">
        <f t="shared" si="23"/>
        <v>140886</v>
      </c>
      <c r="AA21" s="65">
        <f t="shared" si="6"/>
        <v>0</v>
      </c>
      <c r="AB21" s="273">
        <f t="shared" si="47"/>
        <v>0</v>
      </c>
      <c r="AC21" s="535">
        <f t="shared" si="24"/>
        <v>1948</v>
      </c>
      <c r="AD21" s="45">
        <f t="shared" si="7"/>
        <v>0</v>
      </c>
      <c r="AE21" s="535">
        <f t="shared" si="25"/>
        <v>366628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f t="shared" si="9"/>
        <v>194.5</v>
      </c>
      <c r="C22" s="535">
        <f t="shared" si="10"/>
        <v>201</v>
      </c>
      <c r="D22" s="45">
        <f t="shared" si="49"/>
        <v>0</v>
      </c>
      <c r="E22" s="45">
        <f t="shared" si="11"/>
        <v>0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2453</v>
      </c>
      <c r="L22" s="52">
        <f t="shared" si="16"/>
        <v>0</v>
      </c>
      <c r="M22" s="535">
        <f t="shared" si="17"/>
        <v>182441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5">
        <f t="shared" si="21"/>
        <v>2492</v>
      </c>
      <c r="Y22" s="52">
        <f t="shared" si="22"/>
        <v>0</v>
      </c>
      <c r="Z22" s="535">
        <f t="shared" si="23"/>
        <v>140886</v>
      </c>
      <c r="AA22" s="65">
        <f t="shared" si="6"/>
        <v>0</v>
      </c>
      <c r="AB22" s="273">
        <f t="shared" si="47"/>
        <v>0</v>
      </c>
      <c r="AC22" s="535">
        <f t="shared" si="24"/>
        <v>1948</v>
      </c>
      <c r="AD22" s="45">
        <f t="shared" si="7"/>
        <v>0</v>
      </c>
      <c r="AE22" s="535">
        <f t="shared" si="25"/>
        <v>366628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f t="shared" si="9"/>
        <v>194.5</v>
      </c>
      <c r="C23" s="535">
        <f t="shared" si="10"/>
        <v>201</v>
      </c>
      <c r="D23" s="45">
        <f t="shared" si="49"/>
        <v>0</v>
      </c>
      <c r="E23" s="45">
        <f t="shared" si="11"/>
        <v>0</v>
      </c>
      <c r="F23" s="535">
        <f t="shared" si="12"/>
        <v>2278</v>
      </c>
      <c r="G23" s="52">
        <f t="shared" si="0"/>
        <v>0</v>
      </c>
      <c r="H23" s="535">
        <f t="shared" si="13"/>
        <v>46144</v>
      </c>
      <c r="I23" s="380">
        <f t="shared" si="1"/>
        <v>0</v>
      </c>
      <c r="J23" s="66">
        <f t="shared" si="14"/>
        <v>0</v>
      </c>
      <c r="K23" s="535">
        <f t="shared" si="15"/>
        <v>2453</v>
      </c>
      <c r="L23" s="52">
        <f t="shared" si="16"/>
        <v>0</v>
      </c>
      <c r="M23" s="535">
        <f t="shared" si="17"/>
        <v>182441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2492</v>
      </c>
      <c r="Y23" s="52">
        <f t="shared" si="22"/>
        <v>0</v>
      </c>
      <c r="Z23" s="535">
        <f t="shared" si="23"/>
        <v>140886</v>
      </c>
      <c r="AA23" s="65">
        <f t="shared" si="6"/>
        <v>0</v>
      </c>
      <c r="AB23" s="273">
        <f t="shared" si="47"/>
        <v>0</v>
      </c>
      <c r="AC23" s="535">
        <f t="shared" si="24"/>
        <v>1948</v>
      </c>
      <c r="AD23" s="45">
        <f t="shared" si="7"/>
        <v>0</v>
      </c>
      <c r="AE23" s="535">
        <f t="shared" si="25"/>
        <v>366628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f t="shared" si="9"/>
        <v>194.5</v>
      </c>
      <c r="C24" s="535">
        <f t="shared" si="10"/>
        <v>201</v>
      </c>
      <c r="D24" s="45">
        <f t="shared" si="49"/>
        <v>0</v>
      </c>
      <c r="E24" s="45">
        <f t="shared" si="11"/>
        <v>0</v>
      </c>
      <c r="F24" s="535">
        <f t="shared" si="12"/>
        <v>2278</v>
      </c>
      <c r="G24" s="52">
        <f t="shared" si="0"/>
        <v>0</v>
      </c>
      <c r="H24" s="535">
        <f t="shared" si="13"/>
        <v>46144</v>
      </c>
      <c r="I24" s="380">
        <f t="shared" si="1"/>
        <v>0</v>
      </c>
      <c r="J24" s="66">
        <f t="shared" si="14"/>
        <v>0</v>
      </c>
      <c r="K24" s="535">
        <f t="shared" si="15"/>
        <v>2453</v>
      </c>
      <c r="L24" s="52">
        <f t="shared" si="16"/>
        <v>0</v>
      </c>
      <c r="M24" s="535">
        <f t="shared" si="17"/>
        <v>182441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2492</v>
      </c>
      <c r="Y24" s="52">
        <f t="shared" si="22"/>
        <v>0</v>
      </c>
      <c r="Z24" s="535">
        <f t="shared" si="23"/>
        <v>140886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f t="shared" si="25"/>
        <v>366628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f t="shared" si="9"/>
        <v>194.5</v>
      </c>
      <c r="C25" s="535">
        <f t="shared" si="10"/>
        <v>201</v>
      </c>
      <c r="D25" s="45">
        <f t="shared" si="49"/>
        <v>0</v>
      </c>
      <c r="E25" s="45">
        <f t="shared" si="11"/>
        <v>0</v>
      </c>
      <c r="F25" s="535">
        <f t="shared" si="12"/>
        <v>2278</v>
      </c>
      <c r="G25" s="52">
        <f t="shared" si="0"/>
        <v>0</v>
      </c>
      <c r="H25" s="535">
        <f t="shared" si="13"/>
        <v>46144</v>
      </c>
      <c r="I25" s="380">
        <f t="shared" si="1"/>
        <v>0</v>
      </c>
      <c r="J25" s="66">
        <f t="shared" si="14"/>
        <v>0</v>
      </c>
      <c r="K25" s="535">
        <f t="shared" si="15"/>
        <v>2453</v>
      </c>
      <c r="L25" s="52">
        <f t="shared" si="16"/>
        <v>0</v>
      </c>
      <c r="M25" s="535">
        <f t="shared" si="17"/>
        <v>182441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2492</v>
      </c>
      <c r="Y25" s="52">
        <f t="shared" si="22"/>
        <v>0</v>
      </c>
      <c r="Z25" s="535">
        <f t="shared" si="23"/>
        <v>140886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f t="shared" si="25"/>
        <v>366628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f t="shared" si="9"/>
        <v>194.5</v>
      </c>
      <c r="C26" s="535">
        <f t="shared" si="10"/>
        <v>201</v>
      </c>
      <c r="D26" s="45">
        <f t="shared" si="49"/>
        <v>0</v>
      </c>
      <c r="E26" s="45">
        <f t="shared" si="11"/>
        <v>0</v>
      </c>
      <c r="F26" s="535">
        <f t="shared" si="12"/>
        <v>2278</v>
      </c>
      <c r="G26" s="52">
        <f t="shared" si="0"/>
        <v>0</v>
      </c>
      <c r="H26" s="535">
        <f t="shared" si="13"/>
        <v>46144</v>
      </c>
      <c r="I26" s="380">
        <f t="shared" si="1"/>
        <v>0</v>
      </c>
      <c r="J26" s="66">
        <f t="shared" si="14"/>
        <v>0</v>
      </c>
      <c r="K26" s="535">
        <f t="shared" si="15"/>
        <v>2453</v>
      </c>
      <c r="L26" s="52">
        <f t="shared" si="16"/>
        <v>0</v>
      </c>
      <c r="M26" s="535">
        <f t="shared" si="17"/>
        <v>182441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2492</v>
      </c>
      <c r="Y26" s="52">
        <f t="shared" si="22"/>
        <v>0</v>
      </c>
      <c r="Z26" s="535">
        <f t="shared" si="23"/>
        <v>140886</v>
      </c>
      <c r="AA26" s="65">
        <f t="shared" si="6"/>
        <v>0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f t="shared" si="25"/>
        <v>366628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194.5</v>
      </c>
      <c r="C27" s="535">
        <f t="shared" si="10"/>
        <v>201</v>
      </c>
      <c r="D27" s="45">
        <f t="shared" si="49"/>
        <v>0</v>
      </c>
      <c r="E27" s="45">
        <f t="shared" si="11"/>
        <v>0</v>
      </c>
      <c r="F27" s="535">
        <f t="shared" si="12"/>
        <v>2278</v>
      </c>
      <c r="G27" s="52">
        <f t="shared" si="0"/>
        <v>0</v>
      </c>
      <c r="H27" s="535">
        <f t="shared" si="13"/>
        <v>46144</v>
      </c>
      <c r="I27" s="380">
        <f t="shared" si="1"/>
        <v>0</v>
      </c>
      <c r="J27" s="66">
        <f t="shared" si="14"/>
        <v>0</v>
      </c>
      <c r="K27" s="535">
        <f t="shared" si="15"/>
        <v>2453</v>
      </c>
      <c r="L27" s="52">
        <f t="shared" si="16"/>
        <v>0</v>
      </c>
      <c r="M27" s="535">
        <f t="shared" si="17"/>
        <v>182441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2492</v>
      </c>
      <c r="Y27" s="52">
        <f t="shared" si="22"/>
        <v>0</v>
      </c>
      <c r="Z27" s="535">
        <f t="shared" si="23"/>
        <v>140886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f t="shared" si="25"/>
        <v>366628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194.5</v>
      </c>
      <c r="C28" s="535">
        <f t="shared" si="10"/>
        <v>201</v>
      </c>
      <c r="D28" s="45">
        <f t="shared" si="49"/>
        <v>0</v>
      </c>
      <c r="E28" s="45">
        <f t="shared" si="11"/>
        <v>0</v>
      </c>
      <c r="F28" s="535">
        <f t="shared" si="12"/>
        <v>2278</v>
      </c>
      <c r="G28" s="52">
        <f t="shared" si="0"/>
        <v>0</v>
      </c>
      <c r="H28" s="535">
        <f t="shared" si="13"/>
        <v>46144</v>
      </c>
      <c r="I28" s="380">
        <f t="shared" si="1"/>
        <v>0</v>
      </c>
      <c r="J28" s="66">
        <f t="shared" si="14"/>
        <v>0</v>
      </c>
      <c r="K28" s="535">
        <f t="shared" si="15"/>
        <v>2453</v>
      </c>
      <c r="L28" s="52">
        <f t="shared" si="16"/>
        <v>0</v>
      </c>
      <c r="M28" s="535">
        <f t="shared" si="17"/>
        <v>182441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2492</v>
      </c>
      <c r="Y28" s="52">
        <f t="shared" si="22"/>
        <v>0</v>
      </c>
      <c r="Z28" s="535">
        <f t="shared" si="23"/>
        <v>140886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f t="shared" si="25"/>
        <v>366628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f t="shared" si="9"/>
        <v>194.5</v>
      </c>
      <c r="C29" s="535">
        <f t="shared" si="10"/>
        <v>201</v>
      </c>
      <c r="D29" s="45">
        <f t="shared" si="49"/>
        <v>0</v>
      </c>
      <c r="E29" s="45">
        <f t="shared" si="11"/>
        <v>0</v>
      </c>
      <c r="F29" s="535">
        <f t="shared" si="12"/>
        <v>2278</v>
      </c>
      <c r="G29" s="52">
        <f t="shared" si="0"/>
        <v>0</v>
      </c>
      <c r="H29" s="535">
        <f t="shared" si="13"/>
        <v>46144</v>
      </c>
      <c r="I29" s="380">
        <f t="shared" si="1"/>
        <v>0</v>
      </c>
      <c r="J29" s="66">
        <f t="shared" si="14"/>
        <v>0</v>
      </c>
      <c r="K29" s="535">
        <f t="shared" si="15"/>
        <v>2453</v>
      </c>
      <c r="L29" s="52">
        <f t="shared" si="16"/>
        <v>0</v>
      </c>
      <c r="M29" s="535">
        <f t="shared" si="17"/>
        <v>182441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2492</v>
      </c>
      <c r="Y29" s="52">
        <f t="shared" si="22"/>
        <v>0</v>
      </c>
      <c r="Z29" s="535">
        <f t="shared" si="23"/>
        <v>140886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f t="shared" si="25"/>
        <v>366628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194.5</v>
      </c>
      <c r="C30" s="535">
        <f t="shared" si="10"/>
        <v>201</v>
      </c>
      <c r="D30" s="45">
        <f>C29-C30</f>
        <v>0</v>
      </c>
      <c r="E30" s="45">
        <f>D30*8.38</f>
        <v>0</v>
      </c>
      <c r="F30" s="535">
        <f t="shared" si="12"/>
        <v>2278</v>
      </c>
      <c r="G30" s="52">
        <f>F30-F29</f>
        <v>0</v>
      </c>
      <c r="H30" s="535">
        <f t="shared" si="13"/>
        <v>46144</v>
      </c>
      <c r="I30" s="380">
        <f>SUM(H30-H29)</f>
        <v>0</v>
      </c>
      <c r="J30" s="66">
        <f>IF(G30&gt;0,I30/G30,0)</f>
        <v>0</v>
      </c>
      <c r="K30" s="535">
        <f t="shared" si="15"/>
        <v>2453</v>
      </c>
      <c r="L30" s="52">
        <f>K30-K29</f>
        <v>0</v>
      </c>
      <c r="M30" s="535">
        <f t="shared" si="17"/>
        <v>182441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2492</v>
      </c>
      <c r="Y30" s="52">
        <f>X30-X29</f>
        <v>0</v>
      </c>
      <c r="Z30" s="535">
        <f t="shared" si="23"/>
        <v>140886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f t="shared" si="25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194.5</v>
      </c>
      <c r="C31" s="535">
        <f t="shared" si="10"/>
        <v>201</v>
      </c>
      <c r="D31" s="45">
        <f t="shared" si="49"/>
        <v>0</v>
      </c>
      <c r="E31" s="45">
        <f t="shared" si="11"/>
        <v>0</v>
      </c>
      <c r="F31" s="535">
        <f t="shared" si="12"/>
        <v>2278</v>
      </c>
      <c r="G31" s="52">
        <f t="shared" si="0"/>
        <v>0</v>
      </c>
      <c r="H31" s="535">
        <f t="shared" si="13"/>
        <v>46144</v>
      </c>
      <c r="I31" s="380">
        <f t="shared" si="1"/>
        <v>0</v>
      </c>
      <c r="J31" s="66">
        <f t="shared" si="14"/>
        <v>0</v>
      </c>
      <c r="K31" s="535">
        <f t="shared" si="15"/>
        <v>2453</v>
      </c>
      <c r="L31" s="52">
        <f t="shared" si="16"/>
        <v>0</v>
      </c>
      <c r="M31" s="535">
        <f t="shared" si="17"/>
        <v>182441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2492</v>
      </c>
      <c r="Y31" s="52">
        <f t="shared" si="22"/>
        <v>0</v>
      </c>
      <c r="Z31" s="535">
        <f t="shared" si="23"/>
        <v>140886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f t="shared" si="25"/>
        <v>366628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194.5</v>
      </c>
      <c r="C32" s="535">
        <f t="shared" si="10"/>
        <v>201</v>
      </c>
      <c r="D32" s="45">
        <f t="shared" si="49"/>
        <v>0</v>
      </c>
      <c r="E32" s="45">
        <f t="shared" si="11"/>
        <v>0</v>
      </c>
      <c r="F32" s="535">
        <f t="shared" si="12"/>
        <v>2278</v>
      </c>
      <c r="G32" s="52">
        <f t="shared" si="0"/>
        <v>0</v>
      </c>
      <c r="H32" s="535">
        <f t="shared" si="13"/>
        <v>46144</v>
      </c>
      <c r="I32" s="380">
        <f t="shared" si="1"/>
        <v>0</v>
      </c>
      <c r="J32" s="66">
        <f t="shared" si="14"/>
        <v>0</v>
      </c>
      <c r="K32" s="535">
        <f t="shared" si="15"/>
        <v>2453</v>
      </c>
      <c r="L32" s="52">
        <f t="shared" si="16"/>
        <v>0</v>
      </c>
      <c r="M32" s="535">
        <f t="shared" si="17"/>
        <v>182441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2492</v>
      </c>
      <c r="Y32" s="52">
        <f t="shared" si="22"/>
        <v>0</v>
      </c>
      <c r="Z32" s="535">
        <f t="shared" si="23"/>
        <v>140886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f t="shared" si="25"/>
        <v>366628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194.5</v>
      </c>
      <c r="C33" s="535">
        <f t="shared" si="10"/>
        <v>201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2278</v>
      </c>
      <c r="G33" s="52">
        <f t="shared" ref="G33:G35" si="55">F33-F32</f>
        <v>0</v>
      </c>
      <c r="H33" s="535">
        <f t="shared" si="13"/>
        <v>46144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2453</v>
      </c>
      <c r="L33" s="52">
        <f t="shared" ref="L33:L35" si="58">K33-K32</f>
        <v>0</v>
      </c>
      <c r="M33" s="535">
        <f t="shared" si="17"/>
        <v>182441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2492</v>
      </c>
      <c r="Y33" s="52">
        <f t="shared" ref="Y33:Y35" si="65">X33-X32</f>
        <v>0</v>
      </c>
      <c r="Z33" s="535">
        <f t="shared" si="23"/>
        <v>140886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f t="shared" si="25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194.5</v>
      </c>
      <c r="C34" s="535">
        <f t="shared" si="10"/>
        <v>201</v>
      </c>
      <c r="D34" s="45">
        <f t="shared" si="53"/>
        <v>0</v>
      </c>
      <c r="E34" s="45">
        <f t="shared" si="54"/>
        <v>0</v>
      </c>
      <c r="F34" s="535">
        <f t="shared" si="12"/>
        <v>2278</v>
      </c>
      <c r="G34" s="52">
        <f t="shared" si="55"/>
        <v>0</v>
      </c>
      <c r="H34" s="535">
        <f t="shared" si="13"/>
        <v>46144</v>
      </c>
      <c r="I34" s="380">
        <f t="shared" si="56"/>
        <v>0</v>
      </c>
      <c r="J34" s="66">
        <f t="shared" si="57"/>
        <v>0</v>
      </c>
      <c r="K34" s="535">
        <f t="shared" si="15"/>
        <v>2453</v>
      </c>
      <c r="L34" s="52">
        <f t="shared" si="58"/>
        <v>0</v>
      </c>
      <c r="M34" s="535">
        <f t="shared" si="17"/>
        <v>182441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2492</v>
      </c>
      <c r="Y34" s="52">
        <f t="shared" si="65"/>
        <v>0</v>
      </c>
      <c r="Z34" s="535">
        <f t="shared" si="23"/>
        <v>140886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f t="shared" si="25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194.5</v>
      </c>
      <c r="C35" s="535">
        <f t="shared" si="10"/>
        <v>201</v>
      </c>
      <c r="D35" s="45">
        <f t="shared" si="53"/>
        <v>0</v>
      </c>
      <c r="E35" s="45">
        <f t="shared" si="54"/>
        <v>0</v>
      </c>
      <c r="F35" s="535">
        <f t="shared" si="12"/>
        <v>2278</v>
      </c>
      <c r="G35" s="52">
        <f t="shared" si="55"/>
        <v>0</v>
      </c>
      <c r="H35" s="535">
        <f t="shared" si="13"/>
        <v>46144</v>
      </c>
      <c r="I35" s="380">
        <f t="shared" si="56"/>
        <v>0</v>
      </c>
      <c r="J35" s="66">
        <f t="shared" si="57"/>
        <v>0</v>
      </c>
      <c r="K35" s="535">
        <f t="shared" si="15"/>
        <v>2453</v>
      </c>
      <c r="L35" s="52">
        <f t="shared" si="58"/>
        <v>0</v>
      </c>
      <c r="M35" s="535">
        <f t="shared" si="17"/>
        <v>182441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2492</v>
      </c>
      <c r="Y35" s="52">
        <f t="shared" si="65"/>
        <v>0</v>
      </c>
      <c r="Z35" s="535">
        <f t="shared" si="23"/>
        <v>140886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f t="shared" si="25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0</v>
      </c>
      <c r="V36" s="62">
        <f>SUM(V5:V35)</f>
        <v>25</v>
      </c>
      <c r="AE36" s="71" t="s">
        <v>379</v>
      </c>
      <c r="AG36" s="329"/>
      <c r="AH36" s="62">
        <f>SUM(AH5:AH35)</f>
        <v>0</v>
      </c>
      <c r="AL36" s="62">
        <f>SUM(AL5:AL35)</f>
        <v>0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 t="e">
        <f>V36/U36</f>
        <v>#DIV/0!</v>
      </c>
      <c r="AH37" s="62">
        <f>AF37+AA37</f>
        <v>0</v>
      </c>
      <c r="AI37" s="306">
        <f>SUM(AI5:AI35)</f>
        <v>25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M1" zoomScale="40" zoomScaleNormal="40" workbookViewId="0">
      <pane ySplit="3" topLeftCell="A4" activePane="bottomLeft" state="frozen"/>
      <selection pane="bottomLeft" activeCell="AZ7" sqref="AZ7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8192925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4" t="s">
        <v>126</v>
      </c>
      <c r="AO3" s="625"/>
      <c r="AP3" s="626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630225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f t="shared" si="30"/>
        <v>59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f t="shared" si="32"/>
        <v>100</v>
      </c>
      <c r="AY9" s="409">
        <f t="shared" si="38"/>
        <v>53.1</v>
      </c>
      <c r="AZ9" s="409">
        <f t="shared" si="39"/>
        <v>166.10000000000002</v>
      </c>
      <c r="BA9" s="409">
        <f t="shared" si="40"/>
        <v>290</v>
      </c>
      <c r="BB9" s="21">
        <f t="shared" si="41"/>
        <v>0</v>
      </c>
      <c r="BC9" s="21">
        <f t="shared" si="33"/>
        <v>0</v>
      </c>
      <c r="BD9" s="21">
        <f t="shared" si="33"/>
        <v>0</v>
      </c>
      <c r="BE9" s="24">
        <f t="shared" si="34"/>
        <v>0</v>
      </c>
      <c r="BF9" s="330">
        <f t="shared" si="35"/>
        <v>0</v>
      </c>
      <c r="BG9" s="82">
        <f t="shared" si="4"/>
        <v>0</v>
      </c>
    </row>
    <row r="10" spans="1:65" ht="1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630225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f t="shared" si="30"/>
        <v>59</v>
      </c>
      <c r="AU10" s="408">
        <f t="shared" si="44"/>
        <v>1.1000000000000001</v>
      </c>
      <c r="AV10" s="201">
        <f t="shared" si="31"/>
        <v>151</v>
      </c>
      <c r="AW10" s="5">
        <v>2.9</v>
      </c>
      <c r="AX10" s="201">
        <f t="shared" si="32"/>
        <v>100</v>
      </c>
      <c r="AY10" s="409">
        <f t="shared" si="38"/>
        <v>53.1</v>
      </c>
      <c r="AZ10" s="409">
        <f t="shared" si="39"/>
        <v>166.10000000000002</v>
      </c>
      <c r="BA10" s="409">
        <f t="shared" si="40"/>
        <v>290</v>
      </c>
      <c r="BB10" s="21">
        <f t="shared" si="41"/>
        <v>0</v>
      </c>
      <c r="BC10" s="21">
        <f t="shared" si="33"/>
        <v>0</v>
      </c>
      <c r="BD10" s="21">
        <f t="shared" si="33"/>
        <v>0</v>
      </c>
      <c r="BE10" s="24">
        <f t="shared" si="34"/>
        <v>0</v>
      </c>
      <c r="BF10" s="96">
        <f t="shared" si="35"/>
        <v>0</v>
      </c>
      <c r="BG10" s="82">
        <f t="shared" si="4"/>
        <v>0</v>
      </c>
    </row>
    <row r="11" spans="1:65" ht="1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630225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f t="shared" si="30"/>
        <v>59</v>
      </c>
      <c r="AU11" s="408">
        <f t="shared" si="44"/>
        <v>1.1000000000000001</v>
      </c>
      <c r="AV11" s="201">
        <f t="shared" si="31"/>
        <v>151</v>
      </c>
      <c r="AW11" s="5">
        <v>2.9</v>
      </c>
      <c r="AX11" s="201">
        <f t="shared" si="32"/>
        <v>100</v>
      </c>
      <c r="AY11" s="409">
        <f t="shared" si="38"/>
        <v>53.1</v>
      </c>
      <c r="AZ11" s="409">
        <f t="shared" si="39"/>
        <v>166.10000000000002</v>
      </c>
      <c r="BA11" s="409">
        <f t="shared" si="40"/>
        <v>290</v>
      </c>
      <c r="BB11" s="21">
        <f t="shared" si="41"/>
        <v>0</v>
      </c>
      <c r="BC11" s="21">
        <f t="shared" si="33"/>
        <v>0</v>
      </c>
      <c r="BD11" s="21">
        <f t="shared" si="33"/>
        <v>0</v>
      </c>
      <c r="BE11" s="24">
        <f t="shared" si="34"/>
        <v>0</v>
      </c>
      <c r="BF11" s="96">
        <f t="shared" si="35"/>
        <v>0</v>
      </c>
      <c r="BG11" s="82">
        <f t="shared" si="4"/>
        <v>0</v>
      </c>
    </row>
    <row r="12" spans="1:65" ht="1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630225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f t="shared" si="22"/>
        <v>248.42</v>
      </c>
      <c r="AF12" s="83">
        <f t="shared" si="23"/>
        <v>0</v>
      </c>
      <c r="AG12" s="5">
        <f t="shared" si="24"/>
        <v>2247.41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f t="shared" si="30"/>
        <v>59</v>
      </c>
      <c r="AU12" s="408">
        <f t="shared" si="44"/>
        <v>1.1000000000000001</v>
      </c>
      <c r="AV12" s="201">
        <f t="shared" si="31"/>
        <v>151</v>
      </c>
      <c r="AW12" s="5">
        <v>2.9</v>
      </c>
      <c r="AX12" s="201">
        <f t="shared" si="32"/>
        <v>100</v>
      </c>
      <c r="AY12" s="409">
        <f t="shared" si="38"/>
        <v>53.1</v>
      </c>
      <c r="AZ12" s="409">
        <f t="shared" si="39"/>
        <v>166.10000000000002</v>
      </c>
      <c r="BA12" s="409">
        <f t="shared" si="40"/>
        <v>290</v>
      </c>
      <c r="BB12" s="21">
        <f>AY12-AY11</f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35"/>
        <v>0</v>
      </c>
      <c r="BG12" s="82">
        <f t="shared" si="4"/>
        <v>0</v>
      </c>
    </row>
    <row r="13" spans="1:65" ht="1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630225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5190</v>
      </c>
      <c r="U13" s="5">
        <f t="shared" si="3"/>
        <v>0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248.42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59</v>
      </c>
      <c r="AU13" s="408">
        <f t="shared" si="44"/>
        <v>1.1000000000000001</v>
      </c>
      <c r="AV13" s="201">
        <f t="shared" si="31"/>
        <v>151</v>
      </c>
      <c r="AW13" s="5">
        <v>2.9</v>
      </c>
      <c r="AX13" s="201">
        <f t="shared" si="32"/>
        <v>100</v>
      </c>
      <c r="AY13" s="409">
        <f t="shared" si="38"/>
        <v>53.1</v>
      </c>
      <c r="AZ13" s="409">
        <f t="shared" si="39"/>
        <v>166.10000000000002</v>
      </c>
      <c r="BA13" s="409">
        <f t="shared" si="40"/>
        <v>290</v>
      </c>
      <c r="BB13" s="21">
        <f t="shared" si="41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35"/>
        <v>0</v>
      </c>
      <c r="BG13" s="82">
        <f t="shared" si="4"/>
        <v>0</v>
      </c>
    </row>
    <row r="14" spans="1:65" ht="1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630225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5190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248.42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59</v>
      </c>
      <c r="AU14" s="408">
        <f t="shared" si="44"/>
        <v>1.1000000000000001</v>
      </c>
      <c r="AV14" s="201">
        <f t="shared" si="31"/>
        <v>151</v>
      </c>
      <c r="AW14" s="5">
        <v>2.9</v>
      </c>
      <c r="AX14" s="201">
        <f t="shared" si="32"/>
        <v>100</v>
      </c>
      <c r="AY14" s="409">
        <f t="shared" si="38"/>
        <v>53.1</v>
      </c>
      <c r="AZ14" s="409">
        <f t="shared" si="39"/>
        <v>166.10000000000002</v>
      </c>
      <c r="BA14" s="409">
        <f t="shared" si="40"/>
        <v>290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630225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5190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248.42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59</v>
      </c>
      <c r="AU15" s="408">
        <f t="shared" si="44"/>
        <v>1.1000000000000001</v>
      </c>
      <c r="AV15" s="201">
        <f t="shared" si="31"/>
        <v>151</v>
      </c>
      <c r="AW15" s="5">
        <v>2.9</v>
      </c>
      <c r="AX15" s="201">
        <f t="shared" si="32"/>
        <v>100</v>
      </c>
      <c r="AY15" s="409">
        <f t="shared" si="38"/>
        <v>53.1</v>
      </c>
      <c r="AZ15" s="409">
        <f t="shared" si="39"/>
        <v>166.10000000000002</v>
      </c>
      <c r="BA15" s="409">
        <f t="shared" si="40"/>
        <v>290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630225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5190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248.42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f t="shared" si="30"/>
        <v>59</v>
      </c>
      <c r="AU16" s="408">
        <f t="shared" si="44"/>
        <v>1.1000000000000001</v>
      </c>
      <c r="AV16" s="201">
        <f t="shared" si="31"/>
        <v>151</v>
      </c>
      <c r="AW16" s="5">
        <v>2.9</v>
      </c>
      <c r="AX16" s="201">
        <f t="shared" si="32"/>
        <v>100</v>
      </c>
      <c r="AY16" s="409">
        <f t="shared" si="38"/>
        <v>53.1</v>
      </c>
      <c r="AZ16" s="409">
        <f t="shared" si="39"/>
        <v>166.10000000000002</v>
      </c>
      <c r="BA16" s="409">
        <f t="shared" si="40"/>
        <v>290</v>
      </c>
      <c r="BB16" s="21">
        <f t="shared" si="41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35"/>
        <v>0</v>
      </c>
      <c r="BG16" s="82">
        <f t="shared" si="4"/>
        <v>0</v>
      </c>
    </row>
    <row r="17" spans="1:61" ht="1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630225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5190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f t="shared" si="17"/>
        <v>155837</v>
      </c>
      <c r="Y17" s="309">
        <f t="shared" si="43"/>
        <v>0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248.42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f t="shared" si="30"/>
        <v>59</v>
      </c>
      <c r="AU17" s="408">
        <f t="shared" si="44"/>
        <v>1.1000000000000001</v>
      </c>
      <c r="AV17" s="201">
        <f t="shared" si="31"/>
        <v>151</v>
      </c>
      <c r="AW17" s="5">
        <v>2.9</v>
      </c>
      <c r="AX17" s="201">
        <f t="shared" si="32"/>
        <v>100</v>
      </c>
      <c r="AY17" s="409">
        <f t="shared" si="38"/>
        <v>53.1</v>
      </c>
      <c r="AZ17" s="409">
        <f t="shared" si="39"/>
        <v>166.10000000000002</v>
      </c>
      <c r="BA17" s="409">
        <f t="shared" si="40"/>
        <v>290</v>
      </c>
      <c r="BB17" s="21">
        <f t="shared" si="41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35"/>
        <v>0</v>
      </c>
      <c r="BG17" s="82">
        <f t="shared" si="4"/>
        <v>0</v>
      </c>
    </row>
    <row r="18" spans="1:61" ht="1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630225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5190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155837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248.42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f t="shared" si="30"/>
        <v>59</v>
      </c>
      <c r="AU18" s="408">
        <f t="shared" si="44"/>
        <v>1.1000000000000001</v>
      </c>
      <c r="AV18" s="201">
        <f t="shared" si="31"/>
        <v>151</v>
      </c>
      <c r="AW18" s="5">
        <v>2.9</v>
      </c>
      <c r="AX18" s="201">
        <f t="shared" si="32"/>
        <v>100</v>
      </c>
      <c r="AY18" s="409">
        <f t="shared" si="38"/>
        <v>53.1</v>
      </c>
      <c r="AZ18" s="409">
        <f t="shared" si="39"/>
        <v>166.10000000000002</v>
      </c>
      <c r="BA18" s="409">
        <f t="shared" si="40"/>
        <v>290</v>
      </c>
      <c r="BB18" s="21">
        <f t="shared" si="41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35"/>
        <v>0</v>
      </c>
      <c r="BG18" s="82">
        <f t="shared" si="4"/>
        <v>0</v>
      </c>
    </row>
    <row r="19" spans="1:61" ht="1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630225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5190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155837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248.42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59</v>
      </c>
      <c r="AU19" s="408">
        <f t="shared" si="44"/>
        <v>1.1000000000000001</v>
      </c>
      <c r="AV19" s="201">
        <f t="shared" si="31"/>
        <v>151</v>
      </c>
      <c r="AW19" s="5">
        <v>2.9</v>
      </c>
      <c r="AX19" s="201">
        <f t="shared" si="32"/>
        <v>100</v>
      </c>
      <c r="AY19" s="409">
        <f>AS19*AT19</f>
        <v>53.1</v>
      </c>
      <c r="AZ19" s="409">
        <f>AU19*AV19</f>
        <v>166.10000000000002</v>
      </c>
      <c r="BA19" s="409">
        <f>AW19*AX19</f>
        <v>290</v>
      </c>
      <c r="BB19" s="21">
        <f t="shared" si="41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5"/>
        <v>0</v>
      </c>
      <c r="BG19" s="82">
        <f t="shared" si="4"/>
        <v>0</v>
      </c>
    </row>
    <row r="20" spans="1:61" ht="1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630225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5190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155837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248.42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59</v>
      </c>
      <c r="AU20" s="408">
        <f t="shared" si="44"/>
        <v>1.1000000000000001</v>
      </c>
      <c r="AV20" s="201">
        <f t="shared" si="31"/>
        <v>151</v>
      </c>
      <c r="AW20" s="5">
        <v>2.9</v>
      </c>
      <c r="AX20" s="201">
        <f t="shared" si="32"/>
        <v>100</v>
      </c>
      <c r="AY20" s="409">
        <f>AS20*AT20</f>
        <v>53.1</v>
      </c>
      <c r="AZ20" s="409">
        <f>AU20*AV20</f>
        <v>166.10000000000002</v>
      </c>
      <c r="BA20" s="409">
        <f>AW20*AX20</f>
        <v>290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630225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5190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155837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248.42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59</v>
      </c>
      <c r="AU21" s="408">
        <f t="shared" si="44"/>
        <v>1.1000000000000001</v>
      </c>
      <c r="AV21" s="201">
        <f t="shared" si="31"/>
        <v>151</v>
      </c>
      <c r="AW21" s="5">
        <v>2.9</v>
      </c>
      <c r="AX21" s="201">
        <f t="shared" si="32"/>
        <v>100</v>
      </c>
      <c r="AY21" s="409">
        <f>AS21*AT21</f>
        <v>53.1</v>
      </c>
      <c r="AZ21" s="409">
        <f>AU21*AV21</f>
        <v>166.10000000000002</v>
      </c>
      <c r="BA21" s="409">
        <f>AW21*AX21</f>
        <v>290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630225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5190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155837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248.42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59</v>
      </c>
      <c r="AU22" s="408">
        <f t="shared" si="44"/>
        <v>1.1000000000000001</v>
      </c>
      <c r="AV22" s="201">
        <f t="shared" si="31"/>
        <v>151</v>
      </c>
      <c r="AW22" s="5">
        <v>2.9</v>
      </c>
      <c r="AX22" s="201">
        <f t="shared" si="32"/>
        <v>100</v>
      </c>
      <c r="AY22" s="409">
        <f t="shared" si="38"/>
        <v>53.1</v>
      </c>
      <c r="AZ22" s="409">
        <f t="shared" si="39"/>
        <v>166.10000000000002</v>
      </c>
      <c r="BA22" s="409">
        <f t="shared" si="40"/>
        <v>290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630225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5190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155837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248.42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f t="shared" si="49"/>
        <v>59</v>
      </c>
      <c r="AU23" s="408">
        <f t="shared" si="44"/>
        <v>1.1000000000000001</v>
      </c>
      <c r="AV23" s="201">
        <f t="shared" si="31"/>
        <v>151</v>
      </c>
      <c r="AW23" s="5">
        <v>2.9</v>
      </c>
      <c r="AX23" s="201">
        <f t="shared" si="32"/>
        <v>100</v>
      </c>
      <c r="AY23" s="409">
        <f t="shared" si="38"/>
        <v>53.1</v>
      </c>
      <c r="AZ23" s="409">
        <f t="shared" si="39"/>
        <v>166.10000000000002</v>
      </c>
      <c r="BA23" s="409">
        <f t="shared" si="40"/>
        <v>290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4"/>
        <v>0</v>
      </c>
      <c r="BF23" s="96">
        <f t="shared" si="35"/>
        <v>0</v>
      </c>
      <c r="BG23" s="82">
        <f t="shared" si="4"/>
        <v>0</v>
      </c>
    </row>
    <row r="24" spans="1:61" ht="1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630225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5190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155837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248.42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f t="shared" si="49"/>
        <v>59</v>
      </c>
      <c r="AU24" s="408">
        <f t="shared" si="44"/>
        <v>1.1000000000000001</v>
      </c>
      <c r="AV24" s="201">
        <f t="shared" si="31"/>
        <v>151</v>
      </c>
      <c r="AW24" s="5">
        <v>2.9</v>
      </c>
      <c r="AX24" s="201">
        <f t="shared" si="32"/>
        <v>100</v>
      </c>
      <c r="AY24" s="409">
        <f t="shared" si="38"/>
        <v>53.1</v>
      </c>
      <c r="AZ24" s="409">
        <f t="shared" si="39"/>
        <v>166.10000000000002</v>
      </c>
      <c r="BA24" s="409">
        <f t="shared" si="40"/>
        <v>290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630225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5190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155837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248.42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f t="shared" si="49"/>
        <v>59</v>
      </c>
      <c r="AU25" s="408">
        <f t="shared" si="44"/>
        <v>1.1000000000000001</v>
      </c>
      <c r="AV25" s="201">
        <f t="shared" si="31"/>
        <v>151</v>
      </c>
      <c r="AW25" s="5">
        <v>2.9</v>
      </c>
      <c r="AX25" s="201">
        <f t="shared" si="32"/>
        <v>100</v>
      </c>
      <c r="AY25" s="409">
        <f t="shared" si="38"/>
        <v>53.1</v>
      </c>
      <c r="AZ25" s="409">
        <f t="shared" si="39"/>
        <v>166.10000000000002</v>
      </c>
      <c r="BA25" s="409">
        <f t="shared" si="40"/>
        <v>290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630225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5190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155837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248.42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f t="shared" si="49"/>
        <v>59</v>
      </c>
      <c r="AU26" s="408">
        <f t="shared" si="44"/>
        <v>1.1000000000000001</v>
      </c>
      <c r="AV26" s="201">
        <f t="shared" si="31"/>
        <v>151</v>
      </c>
      <c r="AW26" s="5">
        <v>2.9</v>
      </c>
      <c r="AX26" s="201">
        <f t="shared" si="32"/>
        <v>100</v>
      </c>
      <c r="AY26" s="409">
        <f t="shared" si="38"/>
        <v>53.1</v>
      </c>
      <c r="AZ26" s="409">
        <f t="shared" si="39"/>
        <v>166.10000000000002</v>
      </c>
      <c r="BA26" s="409">
        <f t="shared" si="40"/>
        <v>290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630225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5190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155837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248.42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f t="shared" si="49"/>
        <v>59</v>
      </c>
      <c r="AU27" s="408">
        <f t="shared" si="44"/>
        <v>1.1000000000000001</v>
      </c>
      <c r="AV27" s="201">
        <f t="shared" si="31"/>
        <v>151</v>
      </c>
      <c r="AW27" s="5">
        <v>2.9</v>
      </c>
      <c r="AX27" s="201">
        <f t="shared" si="32"/>
        <v>100</v>
      </c>
      <c r="AY27" s="409">
        <f t="shared" si="38"/>
        <v>53.1</v>
      </c>
      <c r="AZ27" s="409">
        <f t="shared" si="39"/>
        <v>166.10000000000002</v>
      </c>
      <c r="BA27" s="409">
        <f t="shared" si="40"/>
        <v>290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630225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5190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155837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248.42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59</v>
      </c>
      <c r="AU28" s="408">
        <f t="shared" si="44"/>
        <v>1.1000000000000001</v>
      </c>
      <c r="AV28" s="201">
        <f t="shared" si="31"/>
        <v>151</v>
      </c>
      <c r="AW28" s="5">
        <v>2.9</v>
      </c>
      <c r="AX28" s="201">
        <f t="shared" si="32"/>
        <v>100</v>
      </c>
      <c r="AY28" s="409">
        <f t="shared" si="38"/>
        <v>53.1</v>
      </c>
      <c r="AZ28" s="409">
        <f t="shared" si="39"/>
        <v>166.10000000000002</v>
      </c>
      <c r="BA28" s="409">
        <f t="shared" si="40"/>
        <v>290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630225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5190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155837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248.42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59</v>
      </c>
      <c r="AU29" s="408">
        <f t="shared" si="44"/>
        <v>1.1000000000000001</v>
      </c>
      <c r="AV29" s="201">
        <f t="shared" si="31"/>
        <v>151</v>
      </c>
      <c r="AW29" s="5">
        <v>2.9</v>
      </c>
      <c r="AX29" s="201">
        <f t="shared" si="32"/>
        <v>100</v>
      </c>
      <c r="AY29" s="409">
        <f t="shared" si="38"/>
        <v>53.1</v>
      </c>
      <c r="AZ29" s="409">
        <f t="shared" si="39"/>
        <v>166.10000000000002</v>
      </c>
      <c r="BA29" s="409">
        <f t="shared" si="40"/>
        <v>290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630225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5190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155837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248.42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59</v>
      </c>
      <c r="AU30" s="408">
        <f t="shared" si="44"/>
        <v>1.1000000000000001</v>
      </c>
      <c r="AV30" s="201">
        <f t="shared" si="31"/>
        <v>151</v>
      </c>
      <c r="AW30" s="5">
        <v>2.9</v>
      </c>
      <c r="AX30" s="201">
        <f t="shared" si="32"/>
        <v>100</v>
      </c>
      <c r="AY30" s="409">
        <f t="shared" si="38"/>
        <v>53.1</v>
      </c>
      <c r="AZ30" s="409">
        <f t="shared" si="39"/>
        <v>166.10000000000002</v>
      </c>
      <c r="BA30" s="409">
        <f t="shared" si="40"/>
        <v>290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630225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5190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155837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248.42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f t="shared" si="49"/>
        <v>59</v>
      </c>
      <c r="AU31" s="408">
        <f t="shared" si="44"/>
        <v>1.1000000000000001</v>
      </c>
      <c r="AV31" s="201">
        <f t="shared" si="31"/>
        <v>151</v>
      </c>
      <c r="AW31" s="5">
        <v>2.9</v>
      </c>
      <c r="AX31" s="201">
        <f t="shared" si="32"/>
        <v>100</v>
      </c>
      <c r="AY31" s="409">
        <f t="shared" si="38"/>
        <v>53.1</v>
      </c>
      <c r="AZ31" s="409">
        <f>AU31*AV31</f>
        <v>166.10000000000002</v>
      </c>
      <c r="BA31" s="409">
        <f t="shared" si="40"/>
        <v>290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630225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5190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155837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248.42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59</v>
      </c>
      <c r="AU32" s="408">
        <f t="shared" si="44"/>
        <v>1.1000000000000001</v>
      </c>
      <c r="AV32" s="201">
        <f t="shared" si="31"/>
        <v>151</v>
      </c>
      <c r="AW32" s="5">
        <v>2.9</v>
      </c>
      <c r="AX32" s="201">
        <f t="shared" si="32"/>
        <v>100</v>
      </c>
      <c r="AY32" s="409">
        <f t="shared" si="38"/>
        <v>53.1</v>
      </c>
      <c r="AZ32" s="409">
        <f t="shared" si="39"/>
        <v>166.10000000000002</v>
      </c>
      <c r="BA32" s="409">
        <f t="shared" si="40"/>
        <v>290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630225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5190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155837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0</v>
      </c>
      <c r="AG33" s="5">
        <f t="shared" si="24"/>
        <v>2247.41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59</v>
      </c>
      <c r="AU33" s="408">
        <f t="shared" si="44"/>
        <v>1.1000000000000001</v>
      </c>
      <c r="AV33" s="201">
        <f t="shared" si="31"/>
        <v>151</v>
      </c>
      <c r="AW33" s="5">
        <v>2.9</v>
      </c>
      <c r="AX33" s="201">
        <f t="shared" si="32"/>
        <v>100</v>
      </c>
      <c r="AY33" s="409">
        <f t="shared" si="38"/>
        <v>53.1</v>
      </c>
      <c r="AZ33" s="409">
        <f t="shared" si="39"/>
        <v>166.10000000000002</v>
      </c>
      <c r="BA33" s="409">
        <f t="shared" si="40"/>
        <v>290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630225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5190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155837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59</v>
      </c>
      <c r="AU34" s="408">
        <f t="shared" si="44"/>
        <v>1.1000000000000001</v>
      </c>
      <c r="AV34" s="201">
        <f t="shared" si="31"/>
        <v>151</v>
      </c>
      <c r="AW34" s="5">
        <v>2.9</v>
      </c>
      <c r="AX34" s="201">
        <f t="shared" si="32"/>
        <v>100</v>
      </c>
      <c r="AY34" s="409">
        <f t="shared" ref="AY34:AY36" si="72">AS34*AT34</f>
        <v>53.1</v>
      </c>
      <c r="AZ34" s="409">
        <f t="shared" ref="AZ34:AZ36" si="73">AU34*AV34</f>
        <v>166.10000000000002</v>
      </c>
      <c r="BA34" s="409">
        <f t="shared" ref="BA34:BA36" si="74">AW34*AX34</f>
        <v>290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630225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5190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155837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59</v>
      </c>
      <c r="AU35" s="408">
        <f t="shared" si="44"/>
        <v>1.1000000000000001</v>
      </c>
      <c r="AV35" s="201">
        <f t="shared" si="31"/>
        <v>151</v>
      </c>
      <c r="AW35" s="5">
        <v>2.9</v>
      </c>
      <c r="AX35" s="201">
        <f t="shared" si="32"/>
        <v>100</v>
      </c>
      <c r="AY35" s="409">
        <f t="shared" si="72"/>
        <v>53.1</v>
      </c>
      <c r="AZ35" s="409">
        <f t="shared" si="73"/>
        <v>166.10000000000002</v>
      </c>
      <c r="BA35" s="409">
        <f t="shared" si="74"/>
        <v>290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630225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5190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155837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59</v>
      </c>
      <c r="AU36" s="408">
        <f t="shared" si="44"/>
        <v>1.1000000000000001</v>
      </c>
      <c r="AV36" s="201">
        <f t="shared" si="31"/>
        <v>151</v>
      </c>
      <c r="AW36" s="5">
        <v>2.9</v>
      </c>
      <c r="AX36" s="201">
        <f t="shared" si="32"/>
        <v>100</v>
      </c>
      <c r="AY36" s="409">
        <f t="shared" si="72"/>
        <v>53.1</v>
      </c>
      <c r="AZ36" s="409">
        <f t="shared" si="73"/>
        <v>166.10000000000002</v>
      </c>
      <c r="BA36" s="409">
        <f t="shared" si="74"/>
        <v>290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J3" sqref="J3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120</v>
      </c>
      <c r="K2" s="260">
        <f>[2]GEN!K33</f>
        <v>0</v>
      </c>
      <c r="L2" s="260">
        <f>[2]GEN!L33</f>
        <v>386941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120</v>
      </c>
      <c r="K3" s="276">
        <f t="shared" ref="K3:K33" si="2">J3-J2</f>
        <v>0</v>
      </c>
      <c r="L3" s="501">
        <f>L2</f>
        <v>386941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120</v>
      </c>
      <c r="K4" s="276">
        <f t="shared" si="2"/>
        <v>0</v>
      </c>
      <c r="L4" s="501">
        <f t="shared" ref="L4:L5" si="16">L3</f>
        <v>386941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120</v>
      </c>
      <c r="K5" s="276">
        <f t="shared" si="2"/>
        <v>0</v>
      </c>
      <c r="L5" s="501">
        <f t="shared" si="16"/>
        <v>386941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" thickBot="1">
      <c r="A6" s="4">
        <f>ELEC!C7</f>
        <v>44808</v>
      </c>
      <c r="B6" s="500">
        <f t="shared" si="11"/>
        <v>850</v>
      </c>
      <c r="C6" s="276">
        <f>B6-B5</f>
        <v>0</v>
      </c>
      <c r="D6" s="501">
        <f t="shared" si="26"/>
        <v>747696</v>
      </c>
      <c r="E6" s="276">
        <f t="shared" si="13"/>
        <v>0</v>
      </c>
      <c r="F6" s="276">
        <f t="shared" si="0"/>
        <v>0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120</v>
      </c>
      <c r="K6" s="276">
        <f t="shared" si="2"/>
        <v>0</v>
      </c>
      <c r="L6" s="501">
        <f>(K6*N5)+L5</f>
        <v>386941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0</v>
      </c>
      <c r="AA6" s="276">
        <f t="shared" si="21"/>
        <v>0</v>
      </c>
      <c r="AB6" s="276">
        <f t="shared" si="22"/>
        <v>500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5"/>
        <v>0</v>
      </c>
    </row>
    <row r="7" spans="1:38" ht="15" thickBot="1">
      <c r="A7" s="4">
        <f>ELEC!C8</f>
        <v>44809</v>
      </c>
      <c r="B7" s="500">
        <f t="shared" si="11"/>
        <v>850</v>
      </c>
      <c r="C7" s="276">
        <f t="shared" si="12"/>
        <v>0</v>
      </c>
      <c r="D7" s="501">
        <f t="shared" si="26"/>
        <v>747696</v>
      </c>
      <c r="E7" s="276">
        <f t="shared" si="13"/>
        <v>0</v>
      </c>
      <c r="F7" s="276">
        <f t="shared" si="0"/>
        <v>0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120</v>
      </c>
      <c r="K7" s="276"/>
      <c r="L7" s="501">
        <f t="shared" ref="L7:L33" si="30">(K7*N6)+L6</f>
        <v>386941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2"/>
        <v>500</v>
      </c>
      <c r="AC7" s="276">
        <f t="shared" si="23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4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5"/>
        <v>0</v>
      </c>
    </row>
    <row r="8" spans="1:38" ht="15" thickBot="1">
      <c r="A8" s="4">
        <f>ELEC!C9</f>
        <v>44810</v>
      </c>
      <c r="B8" s="500">
        <f t="shared" si="11"/>
        <v>850</v>
      </c>
      <c r="C8" s="276">
        <f t="shared" si="12"/>
        <v>0</v>
      </c>
      <c r="D8" s="501">
        <f t="shared" si="26"/>
        <v>747696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12231</v>
      </c>
      <c r="I8" s="276" t="str">
        <f>IF(B8-H8&lt;=0,"ok","oil change")</f>
        <v>ok</v>
      </c>
      <c r="J8" s="500">
        <f t="shared" si="15"/>
        <v>120</v>
      </c>
      <c r="K8" s="276">
        <f t="shared" si="2"/>
        <v>0</v>
      </c>
      <c r="L8" s="501">
        <f t="shared" si="30"/>
        <v>386941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" thickBot="1">
      <c r="A9" s="4">
        <f>ELEC!C10</f>
        <v>44811</v>
      </c>
      <c r="B9" s="500">
        <f t="shared" si="11"/>
        <v>850</v>
      </c>
      <c r="C9" s="276">
        <f t="shared" si="12"/>
        <v>0</v>
      </c>
      <c r="D9" s="501">
        <f t="shared" si="26"/>
        <v>747696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120</v>
      </c>
      <c r="K9" s="276">
        <f t="shared" si="2"/>
        <v>0</v>
      </c>
      <c r="L9" s="501">
        <f t="shared" si="30"/>
        <v>386941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" thickBot="1">
      <c r="A10" s="4">
        <f>ELEC!C11</f>
        <v>44812</v>
      </c>
      <c r="B10" s="500">
        <f t="shared" si="11"/>
        <v>850</v>
      </c>
      <c r="C10" s="276">
        <f t="shared" si="12"/>
        <v>0</v>
      </c>
      <c r="D10" s="501">
        <f t="shared" si="26"/>
        <v>747696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120</v>
      </c>
      <c r="K10" s="276">
        <f t="shared" si="2"/>
        <v>0</v>
      </c>
      <c r="L10" s="501">
        <f t="shared" si="30"/>
        <v>386941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" thickBot="1">
      <c r="A11" s="4">
        <f>ELEC!C12</f>
        <v>44813</v>
      </c>
      <c r="B11" s="500">
        <f t="shared" si="11"/>
        <v>850</v>
      </c>
      <c r="C11" s="276">
        <f t="shared" si="12"/>
        <v>0</v>
      </c>
      <c r="D11" s="501">
        <f t="shared" si="26"/>
        <v>747696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120</v>
      </c>
      <c r="K11" s="276">
        <f t="shared" si="2"/>
        <v>0</v>
      </c>
      <c r="L11" s="501">
        <f t="shared" si="30"/>
        <v>386941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" thickBot="1">
      <c r="A12" s="4">
        <f>ELEC!C13</f>
        <v>44814</v>
      </c>
      <c r="B12" s="500">
        <f t="shared" si="11"/>
        <v>850</v>
      </c>
      <c r="C12" s="276">
        <f t="shared" si="12"/>
        <v>0</v>
      </c>
      <c r="D12" s="501">
        <f t="shared" si="26"/>
        <v>747696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120</v>
      </c>
      <c r="K12" s="276">
        <f t="shared" si="2"/>
        <v>0</v>
      </c>
      <c r="L12" s="501">
        <f t="shared" si="30"/>
        <v>386941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" thickBot="1">
      <c r="A13" s="4">
        <f>ELEC!C14</f>
        <v>44815</v>
      </c>
      <c r="B13" s="500">
        <f t="shared" si="11"/>
        <v>850</v>
      </c>
      <c r="C13" s="276">
        <f t="shared" si="12"/>
        <v>0</v>
      </c>
      <c r="D13" s="501">
        <f t="shared" si="26"/>
        <v>747696</v>
      </c>
      <c r="E13" s="276">
        <f t="shared" si="13"/>
        <v>0</v>
      </c>
      <c r="F13" s="276">
        <f t="shared" si="0"/>
        <v>0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120</v>
      </c>
      <c r="K13" s="276">
        <f t="shared" si="2"/>
        <v>0</v>
      </c>
      <c r="L13" s="501">
        <f t="shared" si="30"/>
        <v>386941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0</v>
      </c>
      <c r="AA13" s="276">
        <f t="shared" si="21"/>
        <v>0</v>
      </c>
      <c r="AB13" s="276">
        <f t="shared" si="22"/>
        <v>500</v>
      </c>
      <c r="AC13" s="276">
        <f t="shared" si="23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4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5"/>
        <v>0</v>
      </c>
    </row>
    <row r="14" spans="1:38" ht="15" thickBot="1">
      <c r="A14" s="4">
        <f>ELEC!C15</f>
        <v>44816</v>
      </c>
      <c r="B14" s="500">
        <f t="shared" si="11"/>
        <v>850</v>
      </c>
      <c r="C14" s="276">
        <f t="shared" si="12"/>
        <v>0</v>
      </c>
      <c r="D14" s="501">
        <f t="shared" si="26"/>
        <v>747696</v>
      </c>
      <c r="E14" s="276">
        <f t="shared" si="13"/>
        <v>0</v>
      </c>
      <c r="F14" s="276">
        <f t="shared" si="0"/>
        <v>0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120</v>
      </c>
      <c r="K14" s="276">
        <f t="shared" si="2"/>
        <v>0</v>
      </c>
      <c r="L14" s="501">
        <f t="shared" si="30"/>
        <v>386941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0</v>
      </c>
      <c r="AA14" s="276">
        <f t="shared" si="21"/>
        <v>0</v>
      </c>
      <c r="AB14" s="276">
        <f t="shared" si="22"/>
        <v>500</v>
      </c>
      <c r="AC14" s="276">
        <f t="shared" si="23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4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5"/>
        <v>0</v>
      </c>
    </row>
    <row r="15" spans="1:38" ht="15" thickBot="1">
      <c r="A15" s="4">
        <f>ELEC!C16</f>
        <v>44817</v>
      </c>
      <c r="B15" s="500">
        <f t="shared" si="11"/>
        <v>850</v>
      </c>
      <c r="C15" s="276">
        <f t="shared" si="12"/>
        <v>0</v>
      </c>
      <c r="D15" s="501">
        <f t="shared" si="26"/>
        <v>747696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120</v>
      </c>
      <c r="K15" s="276">
        <f t="shared" si="2"/>
        <v>0</v>
      </c>
      <c r="L15" s="501">
        <f t="shared" si="30"/>
        <v>386941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" thickBot="1">
      <c r="A16" s="4">
        <f>ELEC!C17</f>
        <v>44818</v>
      </c>
      <c r="B16" s="500">
        <f t="shared" si="11"/>
        <v>850</v>
      </c>
      <c r="C16" s="276">
        <f t="shared" si="12"/>
        <v>0</v>
      </c>
      <c r="D16" s="501">
        <f t="shared" si="26"/>
        <v>747696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12231</v>
      </c>
      <c r="I16" s="276" t="str">
        <f t="shared" si="1"/>
        <v>ok</v>
      </c>
      <c r="J16" s="500">
        <f t="shared" si="15"/>
        <v>120</v>
      </c>
      <c r="K16" s="276">
        <f t="shared" si="2"/>
        <v>0</v>
      </c>
      <c r="L16" s="501">
        <f t="shared" si="30"/>
        <v>386941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" thickBot="1">
      <c r="A17" s="4">
        <f>ELEC!C18</f>
        <v>44819</v>
      </c>
      <c r="B17" s="500">
        <f t="shared" si="11"/>
        <v>850</v>
      </c>
      <c r="C17" s="276">
        <f t="shared" si="12"/>
        <v>0</v>
      </c>
      <c r="D17" s="501">
        <f t="shared" si="26"/>
        <v>747696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120</v>
      </c>
      <c r="K17" s="276">
        <f t="shared" si="2"/>
        <v>0</v>
      </c>
      <c r="L17" s="501">
        <f t="shared" si="30"/>
        <v>386941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" thickBot="1">
      <c r="A18" s="4">
        <f>ELEC!C19</f>
        <v>44820</v>
      </c>
      <c r="B18" s="500">
        <f t="shared" si="11"/>
        <v>850</v>
      </c>
      <c r="C18" s="276">
        <f t="shared" si="12"/>
        <v>0</v>
      </c>
      <c r="D18" s="501">
        <f t="shared" si="26"/>
        <v>747696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120</v>
      </c>
      <c r="K18" s="276">
        <f t="shared" si="2"/>
        <v>0</v>
      </c>
      <c r="L18" s="501">
        <f t="shared" si="30"/>
        <v>386941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" thickBot="1">
      <c r="A19" s="4">
        <f>ELEC!C20</f>
        <v>44821</v>
      </c>
      <c r="B19" s="500">
        <f t="shared" si="11"/>
        <v>850</v>
      </c>
      <c r="C19" s="276">
        <f t="shared" si="12"/>
        <v>0</v>
      </c>
      <c r="D19" s="501">
        <f t="shared" si="26"/>
        <v>747696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120</v>
      </c>
      <c r="K19" s="276">
        <f t="shared" si="2"/>
        <v>0</v>
      </c>
      <c r="L19" s="501">
        <f t="shared" si="30"/>
        <v>386941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" thickBot="1">
      <c r="A20" s="4">
        <f>ELEC!C21</f>
        <v>44822</v>
      </c>
      <c r="B20" s="500">
        <f t="shared" si="11"/>
        <v>850</v>
      </c>
      <c r="C20" s="276">
        <f>B20-B19</f>
        <v>0</v>
      </c>
      <c r="D20" s="501">
        <f t="shared" si="26"/>
        <v>747696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120</v>
      </c>
      <c r="K20" s="276">
        <f t="shared" si="2"/>
        <v>0</v>
      </c>
      <c r="L20" s="501">
        <f t="shared" si="30"/>
        <v>386941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" thickBot="1">
      <c r="A21" s="4">
        <f>ELEC!C22</f>
        <v>44823</v>
      </c>
      <c r="B21" s="500">
        <f t="shared" si="11"/>
        <v>850</v>
      </c>
      <c r="C21" s="276">
        <f>B21-B20</f>
        <v>0</v>
      </c>
      <c r="D21" s="501">
        <f t="shared" si="26"/>
        <v>747696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120</v>
      </c>
      <c r="K21" s="276">
        <f t="shared" si="2"/>
        <v>0</v>
      </c>
      <c r="L21" s="501">
        <f t="shared" si="30"/>
        <v>386941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" thickBot="1">
      <c r="A22" s="4">
        <f>ELEC!C23</f>
        <v>44824</v>
      </c>
      <c r="B22" s="500">
        <f t="shared" si="11"/>
        <v>850</v>
      </c>
      <c r="C22" s="276">
        <f t="shared" si="12"/>
        <v>0</v>
      </c>
      <c r="D22" s="501">
        <f t="shared" si="26"/>
        <v>747696</v>
      </c>
      <c r="E22" s="276">
        <f t="shared" si="13"/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120</v>
      </c>
      <c r="K22" s="276">
        <f t="shared" si="2"/>
        <v>0</v>
      </c>
      <c r="L22" s="501">
        <f t="shared" si="30"/>
        <v>386941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" thickBot="1">
      <c r="A23" s="4">
        <f>ELEC!C24</f>
        <v>44825</v>
      </c>
      <c r="B23" s="500">
        <f t="shared" si="11"/>
        <v>850</v>
      </c>
      <c r="C23" s="276">
        <f t="shared" si="12"/>
        <v>0</v>
      </c>
      <c r="D23" s="501">
        <f t="shared" si="26"/>
        <v>747696</v>
      </c>
      <c r="E23" s="276">
        <f t="shared" si="13"/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120</v>
      </c>
      <c r="K23" s="276">
        <f t="shared" si="2"/>
        <v>0</v>
      </c>
      <c r="L23" s="501">
        <f t="shared" si="30"/>
        <v>386941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" thickBot="1">
      <c r="A24" s="4">
        <f>ELEC!C25</f>
        <v>44826</v>
      </c>
      <c r="B24" s="500">
        <f t="shared" si="11"/>
        <v>850</v>
      </c>
      <c r="C24" s="276">
        <f t="shared" si="12"/>
        <v>0</v>
      </c>
      <c r="D24" s="501">
        <f t="shared" si="26"/>
        <v>747696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120</v>
      </c>
      <c r="K24" s="276">
        <f t="shared" si="2"/>
        <v>0</v>
      </c>
      <c r="L24" s="501">
        <f t="shared" si="30"/>
        <v>386941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" thickBot="1">
      <c r="A25" s="4">
        <f>ELEC!C26</f>
        <v>44827</v>
      </c>
      <c r="B25" s="500">
        <f t="shared" si="11"/>
        <v>850</v>
      </c>
      <c r="C25" s="276">
        <f t="shared" si="12"/>
        <v>0</v>
      </c>
      <c r="D25" s="501">
        <f t="shared" si="26"/>
        <v>747696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120</v>
      </c>
      <c r="K25" s="276">
        <f t="shared" si="2"/>
        <v>0</v>
      </c>
      <c r="L25" s="501">
        <f t="shared" si="30"/>
        <v>386941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" thickBot="1">
      <c r="A26" s="4">
        <f>ELEC!C27</f>
        <v>44828</v>
      </c>
      <c r="B26" s="500">
        <f t="shared" si="11"/>
        <v>850</v>
      </c>
      <c r="C26" s="276">
        <f>B26-B25</f>
        <v>0</v>
      </c>
      <c r="D26" s="501">
        <f t="shared" si="26"/>
        <v>747696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120</v>
      </c>
      <c r="K26" s="276">
        <f t="shared" si="2"/>
        <v>0</v>
      </c>
      <c r="L26" s="501">
        <f t="shared" si="30"/>
        <v>386941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" thickBot="1">
      <c r="A27" s="4">
        <f>ELEC!C28</f>
        <v>44829</v>
      </c>
      <c r="B27" s="500">
        <f t="shared" si="11"/>
        <v>850</v>
      </c>
      <c r="C27" s="276">
        <f>B27-B26</f>
        <v>0</v>
      </c>
      <c r="D27" s="501">
        <f t="shared" si="26"/>
        <v>747696</v>
      </c>
      <c r="E27" s="276">
        <f t="shared" si="13"/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120</v>
      </c>
      <c r="K27" s="276">
        <f t="shared" si="2"/>
        <v>0</v>
      </c>
      <c r="L27" s="501">
        <f t="shared" si="30"/>
        <v>386941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" thickBot="1">
      <c r="A28" s="4">
        <f>ELEC!C29</f>
        <v>44830</v>
      </c>
      <c r="B28" s="500">
        <f t="shared" si="11"/>
        <v>850</v>
      </c>
      <c r="C28" s="276">
        <f t="shared" si="12"/>
        <v>0</v>
      </c>
      <c r="D28" s="501">
        <f t="shared" si="26"/>
        <v>747696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120</v>
      </c>
      <c r="K28" s="276">
        <f t="shared" si="2"/>
        <v>0</v>
      </c>
      <c r="L28" s="501">
        <f t="shared" si="30"/>
        <v>386941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" thickBot="1">
      <c r="A29" s="4">
        <f>ELEC!C30</f>
        <v>44831</v>
      </c>
      <c r="B29" s="500">
        <f t="shared" si="11"/>
        <v>850</v>
      </c>
      <c r="C29" s="276">
        <f t="shared" si="12"/>
        <v>0</v>
      </c>
      <c r="D29" s="501">
        <f t="shared" si="26"/>
        <v>747696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120</v>
      </c>
      <c r="K29" s="276">
        <f t="shared" si="2"/>
        <v>0</v>
      </c>
      <c r="L29" s="501">
        <f t="shared" si="30"/>
        <v>386941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" thickBot="1">
      <c r="A30" s="4">
        <f>ELEC!C31</f>
        <v>44832</v>
      </c>
      <c r="B30" s="500">
        <f t="shared" si="11"/>
        <v>850</v>
      </c>
      <c r="C30" s="276">
        <f t="shared" si="12"/>
        <v>0</v>
      </c>
      <c r="D30" s="501">
        <f t="shared" si="26"/>
        <v>747696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120</v>
      </c>
      <c r="K30" s="276">
        <f t="shared" si="2"/>
        <v>0</v>
      </c>
      <c r="L30" s="501">
        <f t="shared" si="30"/>
        <v>386941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" thickBot="1">
      <c r="A31" s="4">
        <f>ELEC!C32</f>
        <v>44833</v>
      </c>
      <c r="B31" s="500">
        <f t="shared" si="11"/>
        <v>850</v>
      </c>
      <c r="C31" s="276">
        <f t="shared" ref="C31:C33" si="34">B31-B30</f>
        <v>0</v>
      </c>
      <c r="D31" s="501">
        <f t="shared" si="26"/>
        <v>747696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120</v>
      </c>
      <c r="K31" s="276">
        <f t="shared" si="2"/>
        <v>0</v>
      </c>
      <c r="L31" s="501">
        <f t="shared" si="30"/>
        <v>386941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" thickBot="1">
      <c r="A32" s="4">
        <f>ELEC!C33</f>
        <v>44834</v>
      </c>
      <c r="B32" s="500">
        <f t="shared" si="11"/>
        <v>850</v>
      </c>
      <c r="C32" s="276">
        <f t="shared" si="34"/>
        <v>0</v>
      </c>
      <c r="D32" s="501">
        <f t="shared" si="26"/>
        <v>747696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120</v>
      </c>
      <c r="K32" s="276">
        <f t="shared" si="2"/>
        <v>0</v>
      </c>
      <c r="L32" s="501">
        <f t="shared" si="30"/>
        <v>386941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850</v>
      </c>
      <c r="C33" s="276">
        <f t="shared" si="34"/>
        <v>0</v>
      </c>
      <c r="D33" s="501">
        <f t="shared" si="26"/>
        <v>747696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120</v>
      </c>
      <c r="K33" s="276">
        <f t="shared" si="2"/>
        <v>0</v>
      </c>
      <c r="L33" s="501">
        <f t="shared" si="30"/>
        <v>386941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</v>
      </c>
      <c r="V34" s="40"/>
      <c r="X34">
        <v>341</v>
      </c>
      <c r="Z34" s="404">
        <f>SUM(Z3:Z33)</f>
        <v>13</v>
      </c>
      <c r="AF34" s="387">
        <f>SUM(AE34/1600)</f>
        <v>0</v>
      </c>
      <c r="AL34">
        <f>SUM(AL3:AL33)</f>
        <v>1</v>
      </c>
    </row>
    <row r="35" spans="1:38">
      <c r="C35" s="40">
        <f>SUM(C3:C33)</f>
        <v>13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" thickBot="1">
      <c r="D44" s="500">
        <f t="shared" si="51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U1" activePane="topRight" state="frozen"/>
      <selection pane="topRight" activeCell="AT12" sqref="AT12"/>
    </sheetView>
  </sheetViews>
  <sheetFormatPr defaultRowHeight="14.5"/>
  <cols>
    <col min="1" max="1" width="30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72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231</v>
      </c>
      <c r="AT3" s="630" t="s">
        <v>299</v>
      </c>
      <c r="AU3" s="631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-1416.0483870967728</v>
      </c>
      <c r="AT6" s="340">
        <v>1</v>
      </c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-1391.0483870967728</v>
      </c>
      <c r="AY6" s="37">
        <f>SUM(AX6+AW6)</f>
        <v>-1416.0483870967728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-115.92069892473107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194.5</v>
      </c>
      <c r="C9" s="203">
        <f t="shared" si="18"/>
        <v>4184.8870967741932</v>
      </c>
      <c r="D9">
        <f t="shared" si="19"/>
        <v>194.5</v>
      </c>
      <c r="E9" s="203">
        <f t="shared" si="18"/>
        <v>4184.8870967741932</v>
      </c>
      <c r="F9">
        <f t="shared" si="20"/>
        <v>194.5</v>
      </c>
      <c r="G9" s="203">
        <f t="shared" si="1"/>
        <v>4184.8870967741932</v>
      </c>
      <c r="H9" s="203">
        <f t="shared" si="21"/>
        <v>194.5</v>
      </c>
      <c r="I9" s="203">
        <f t="shared" si="2"/>
        <v>4184.8870967741932</v>
      </c>
      <c r="J9" s="203">
        <f t="shared" si="22"/>
        <v>194.5</v>
      </c>
      <c r="K9" s="203">
        <f t="shared" si="3"/>
        <v>4184.8870967741932</v>
      </c>
      <c r="L9" s="203">
        <f t="shared" si="23"/>
        <v>194.5</v>
      </c>
      <c r="M9" s="203">
        <f t="shared" si="4"/>
        <v>4184.8870967741932</v>
      </c>
      <c r="N9" s="203">
        <f t="shared" si="24"/>
        <v>194.5</v>
      </c>
      <c r="O9" s="203">
        <f t="shared" si="5"/>
        <v>4184.8870967741932</v>
      </c>
      <c r="P9" s="203">
        <f t="shared" si="25"/>
        <v>194.5</v>
      </c>
      <c r="Q9" s="203">
        <f t="shared" si="6"/>
        <v>4184.8870967741932</v>
      </c>
      <c r="R9" s="203">
        <f t="shared" si="26"/>
        <v>194.5</v>
      </c>
      <c r="S9" s="203">
        <f t="shared" si="7"/>
        <v>4184.8870967741932</v>
      </c>
      <c r="T9" s="203">
        <f t="shared" si="27"/>
        <v>194.5</v>
      </c>
      <c r="U9" s="203">
        <f t="shared" si="8"/>
        <v>4184.8870967741932</v>
      </c>
      <c r="V9" s="203">
        <f t="shared" si="28"/>
        <v>194.5</v>
      </c>
      <c r="W9" s="203">
        <f t="shared" si="9"/>
        <v>4184.8870967741932</v>
      </c>
      <c r="X9" s="35">
        <f t="shared" si="10"/>
        <v>0.62741935483870981</v>
      </c>
      <c r="Y9" s="36">
        <f t="shared" si="29"/>
        <v>46033.758064516136</v>
      </c>
      <c r="Z9" s="203">
        <f>'B5'!C8</f>
        <v>201</v>
      </c>
      <c r="AA9" s="203">
        <f t="shared" si="30"/>
        <v>2010</v>
      </c>
      <c r="AB9" s="203">
        <f t="shared" si="31"/>
        <v>201</v>
      </c>
      <c r="AC9" s="203">
        <f t="shared" si="30"/>
        <v>2010</v>
      </c>
      <c r="AD9" s="203">
        <f t="shared" si="32"/>
        <v>201</v>
      </c>
      <c r="AE9" s="203">
        <f t="shared" si="11"/>
        <v>2010</v>
      </c>
      <c r="AF9" s="203">
        <f t="shared" si="33"/>
        <v>201</v>
      </c>
      <c r="AG9" s="203">
        <f t="shared" si="12"/>
        <v>2010</v>
      </c>
      <c r="AH9" s="203">
        <f t="shared" si="34"/>
        <v>201</v>
      </c>
      <c r="AI9" s="203">
        <f t="shared" si="13"/>
        <v>2010</v>
      </c>
      <c r="AJ9" s="203">
        <f t="shared" si="35"/>
        <v>201</v>
      </c>
      <c r="AK9" s="203">
        <f t="shared" si="14"/>
        <v>2010</v>
      </c>
      <c r="AL9" s="203">
        <f t="shared" si="36"/>
        <v>201</v>
      </c>
      <c r="AM9" s="203">
        <f t="shared" si="15"/>
        <v>2010</v>
      </c>
      <c r="AN9" s="35">
        <f t="shared" si="16"/>
        <v>0.71785714285714286</v>
      </c>
      <c r="AO9" s="36">
        <f>SUM(AA9+AC9+AE9+AG9+AI9+AK9+AM9)</f>
        <v>14070</v>
      </c>
      <c r="AQ9" s="223">
        <f t="shared" si="40"/>
        <v>0.64648551214925387</v>
      </c>
      <c r="AR9" s="38">
        <f t="shared" si="41"/>
        <v>60103.758064516136</v>
      </c>
      <c r="AS9" s="197">
        <f>SUM(AR9-AR8-AT9)</f>
        <v>0</v>
      </c>
      <c r="AT9" s="340"/>
      <c r="AU9" s="546"/>
      <c r="AV9" s="485">
        <f t="shared" si="43"/>
        <v>0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6" t="e">
        <f>GEN!AF6</f>
        <v>#DIV/0!</v>
      </c>
    </row>
    <row r="10" spans="1:63">
      <c r="A10" s="425">
        <f>ELEC!C8</f>
        <v>44809</v>
      </c>
      <c r="B10">
        <f>'B5'!B9</f>
        <v>194.5</v>
      </c>
      <c r="C10" s="203">
        <f t="shared" si="18"/>
        <v>4184.8870967741932</v>
      </c>
      <c r="D10">
        <f t="shared" si="19"/>
        <v>194.5</v>
      </c>
      <c r="E10" s="203">
        <f t="shared" si="18"/>
        <v>4184.8870967741932</v>
      </c>
      <c r="F10">
        <f t="shared" si="20"/>
        <v>194.5</v>
      </c>
      <c r="G10" s="203">
        <f t="shared" si="1"/>
        <v>4184.8870967741932</v>
      </c>
      <c r="H10" s="203">
        <f t="shared" si="21"/>
        <v>194.5</v>
      </c>
      <c r="I10" s="203">
        <f t="shared" si="2"/>
        <v>4184.8870967741932</v>
      </c>
      <c r="J10" s="203">
        <f t="shared" si="22"/>
        <v>194.5</v>
      </c>
      <c r="K10" s="203">
        <f t="shared" si="3"/>
        <v>4184.8870967741932</v>
      </c>
      <c r="L10" s="203">
        <f t="shared" si="23"/>
        <v>194.5</v>
      </c>
      <c r="M10" s="203">
        <f t="shared" si="4"/>
        <v>4184.8870967741932</v>
      </c>
      <c r="N10" s="203">
        <f t="shared" si="24"/>
        <v>194.5</v>
      </c>
      <c r="O10" s="203">
        <f t="shared" si="5"/>
        <v>4184.8870967741932</v>
      </c>
      <c r="P10" s="203">
        <f t="shared" si="25"/>
        <v>194.5</v>
      </c>
      <c r="Q10" s="203">
        <f t="shared" si="6"/>
        <v>4184.8870967741932</v>
      </c>
      <c r="R10" s="203">
        <f t="shared" si="26"/>
        <v>194.5</v>
      </c>
      <c r="S10" s="203">
        <f t="shared" si="7"/>
        <v>4184.8870967741932</v>
      </c>
      <c r="T10" s="203">
        <f t="shared" si="27"/>
        <v>194.5</v>
      </c>
      <c r="U10" s="203">
        <f t="shared" si="8"/>
        <v>4184.8870967741932</v>
      </c>
      <c r="V10" s="203">
        <f t="shared" si="28"/>
        <v>194.5</v>
      </c>
      <c r="W10" s="203">
        <f t="shared" si="9"/>
        <v>4184.8870967741932</v>
      </c>
      <c r="X10" s="35">
        <f t="shared" si="10"/>
        <v>0.62741935483870981</v>
      </c>
      <c r="Y10" s="36">
        <f t="shared" si="29"/>
        <v>46033.758064516136</v>
      </c>
      <c r="Z10" s="203">
        <f>'B5'!C9</f>
        <v>201</v>
      </c>
      <c r="AA10" s="203">
        <f t="shared" si="30"/>
        <v>2010</v>
      </c>
      <c r="AB10" s="203">
        <f t="shared" si="31"/>
        <v>201</v>
      </c>
      <c r="AC10" s="203">
        <f t="shared" si="30"/>
        <v>2010</v>
      </c>
      <c r="AD10" s="203">
        <f t="shared" si="32"/>
        <v>201</v>
      </c>
      <c r="AE10" s="203">
        <f t="shared" si="11"/>
        <v>2010</v>
      </c>
      <c r="AF10" s="203">
        <f t="shared" si="33"/>
        <v>201</v>
      </c>
      <c r="AG10" s="203">
        <f t="shared" si="12"/>
        <v>2010</v>
      </c>
      <c r="AH10" s="203">
        <f t="shared" si="34"/>
        <v>201</v>
      </c>
      <c r="AI10" s="203">
        <f t="shared" si="13"/>
        <v>2010</v>
      </c>
      <c r="AJ10" s="203">
        <f t="shared" si="35"/>
        <v>201</v>
      </c>
      <c r="AK10" s="203">
        <f t="shared" si="14"/>
        <v>2010</v>
      </c>
      <c r="AL10" s="203">
        <f t="shared" si="36"/>
        <v>201</v>
      </c>
      <c r="AM10" s="203">
        <f t="shared" si="15"/>
        <v>2010</v>
      </c>
      <c r="AN10" s="35">
        <f t="shared" si="16"/>
        <v>0.71785714285714286</v>
      </c>
      <c r="AO10" s="36">
        <f t="shared" si="39"/>
        <v>14070</v>
      </c>
      <c r="AQ10" s="223">
        <f t="shared" si="40"/>
        <v>0.64648551214925387</v>
      </c>
      <c r="AR10" s="38">
        <f t="shared" si="41"/>
        <v>60103.758064516136</v>
      </c>
      <c r="AS10" s="197">
        <f>SUM(AR10-AR9-AT10)</f>
        <v>0</v>
      </c>
      <c r="AT10" s="340"/>
      <c r="AU10" s="546"/>
      <c r="AV10" s="485">
        <f>IF(AT10&gt;0,AU10,AV9)</f>
        <v>0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44810</v>
      </c>
      <c r="B11">
        <f>'B5'!B10</f>
        <v>194.5</v>
      </c>
      <c r="C11" s="203">
        <f t="shared" si="18"/>
        <v>4184.8870967741932</v>
      </c>
      <c r="D11">
        <f>SUM(B11)</f>
        <v>194.5</v>
      </c>
      <c r="E11" s="203">
        <f t="shared" si="18"/>
        <v>4184.8870967741932</v>
      </c>
      <c r="F11">
        <f>SUM(D11)</f>
        <v>194.5</v>
      </c>
      <c r="G11" s="203">
        <f t="shared" si="1"/>
        <v>4184.8870967741932</v>
      </c>
      <c r="H11" s="203">
        <f>SUM(F11)</f>
        <v>194.5</v>
      </c>
      <c r="I11" s="203">
        <f t="shared" si="2"/>
        <v>4184.8870967741932</v>
      </c>
      <c r="J11" s="203">
        <f>SUM(H11)</f>
        <v>194.5</v>
      </c>
      <c r="K11" s="203">
        <f t="shared" si="3"/>
        <v>4184.8870967741932</v>
      </c>
      <c r="L11" s="203">
        <f>SUM(J11)</f>
        <v>194.5</v>
      </c>
      <c r="M11" s="203">
        <f t="shared" si="4"/>
        <v>4184.8870967741932</v>
      </c>
      <c r="N11" s="203">
        <f>SUM(L11)</f>
        <v>194.5</v>
      </c>
      <c r="O11" s="203">
        <f t="shared" si="5"/>
        <v>4184.8870967741932</v>
      </c>
      <c r="P11" s="203">
        <f>SUM(N11)</f>
        <v>194.5</v>
      </c>
      <c r="Q11" s="203">
        <f t="shared" si="6"/>
        <v>4184.8870967741932</v>
      </c>
      <c r="R11" s="203">
        <f>SUM(P11)</f>
        <v>194.5</v>
      </c>
      <c r="S11" s="203">
        <f t="shared" si="7"/>
        <v>4184.8870967741932</v>
      </c>
      <c r="T11" s="203">
        <f>SUM(R11)</f>
        <v>194.5</v>
      </c>
      <c r="U11" s="203">
        <f t="shared" si="8"/>
        <v>4184.8870967741932</v>
      </c>
      <c r="V11" s="203">
        <f>SUM(T11)</f>
        <v>194.5</v>
      </c>
      <c r="W11" s="203">
        <f t="shared" si="9"/>
        <v>4184.8870967741932</v>
      </c>
      <c r="X11" s="35">
        <f>SUM(Y11/73370)</f>
        <v>0.62741935483870981</v>
      </c>
      <c r="Y11" s="36">
        <f>SUM(C11+E11+G11+I11+K11+M11+O11+Q11+S11+U11+W11)</f>
        <v>46033.758064516136</v>
      </c>
      <c r="Z11" s="203">
        <f>'B5'!C10</f>
        <v>201</v>
      </c>
      <c r="AA11" s="203">
        <f t="shared" si="30"/>
        <v>2010</v>
      </c>
      <c r="AB11" s="203">
        <f>SUM(Z11)</f>
        <v>201</v>
      </c>
      <c r="AC11" s="203">
        <f t="shared" si="30"/>
        <v>2010</v>
      </c>
      <c r="AD11" s="203">
        <f>SUM(AB11)</f>
        <v>201</v>
      </c>
      <c r="AE11" s="203">
        <f t="shared" si="11"/>
        <v>2010</v>
      </c>
      <c r="AF11" s="203">
        <f>SUM(AD11)</f>
        <v>201</v>
      </c>
      <c r="AG11" s="203">
        <f t="shared" si="12"/>
        <v>2010</v>
      </c>
      <c r="AH11" s="203">
        <f>SUM(AF11)</f>
        <v>201</v>
      </c>
      <c r="AI11" s="203">
        <f t="shared" si="13"/>
        <v>2010</v>
      </c>
      <c r="AJ11" s="203">
        <f>SUM(AH11)</f>
        <v>201</v>
      </c>
      <c r="AK11" s="203">
        <f t="shared" si="14"/>
        <v>2010</v>
      </c>
      <c r="AL11" s="203">
        <f>SUM(AJ11)</f>
        <v>201</v>
      </c>
      <c r="AM11" s="203">
        <f t="shared" si="15"/>
        <v>2010</v>
      </c>
      <c r="AN11" s="35">
        <f>SUM(AO11/19600)</f>
        <v>0.71785714285714286</v>
      </c>
      <c r="AO11" s="36">
        <f t="shared" si="39"/>
        <v>14070</v>
      </c>
      <c r="AP11" s="523"/>
      <c r="AQ11" s="223">
        <f t="shared" si="40"/>
        <v>0.64648551214925387</v>
      </c>
      <c r="AR11" s="38">
        <f>Y11+AO11</f>
        <v>60103.758064516136</v>
      </c>
      <c r="AS11" s="197">
        <f t="shared" si="42"/>
        <v>0</v>
      </c>
      <c r="AT11" s="340"/>
      <c r="AU11" s="546"/>
      <c r="AV11" s="485">
        <f>IF(AT11&gt;0,AU11,AV10)</f>
        <v>0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44811</v>
      </c>
      <c r="B12">
        <f>'B5'!B11</f>
        <v>194.5</v>
      </c>
      <c r="C12" s="203">
        <f t="shared" si="18"/>
        <v>4184.8870967741932</v>
      </c>
      <c r="D12">
        <f t="shared" si="19"/>
        <v>194.5</v>
      </c>
      <c r="E12" s="203">
        <f t="shared" si="18"/>
        <v>4184.8870967741932</v>
      </c>
      <c r="F12">
        <f t="shared" si="20"/>
        <v>194.5</v>
      </c>
      <c r="G12" s="203">
        <f t="shared" si="1"/>
        <v>4184.8870967741932</v>
      </c>
      <c r="H12" s="203">
        <f t="shared" si="21"/>
        <v>194.5</v>
      </c>
      <c r="I12" s="203">
        <f t="shared" si="2"/>
        <v>4184.8870967741932</v>
      </c>
      <c r="J12" s="203">
        <f t="shared" si="22"/>
        <v>194.5</v>
      </c>
      <c r="K12" s="203">
        <f t="shared" si="3"/>
        <v>4184.8870967741932</v>
      </c>
      <c r="L12" s="203">
        <f t="shared" si="23"/>
        <v>194.5</v>
      </c>
      <c r="M12" s="203">
        <f t="shared" si="4"/>
        <v>4184.8870967741932</v>
      </c>
      <c r="N12" s="203">
        <f t="shared" si="24"/>
        <v>194.5</v>
      </c>
      <c r="O12" s="203">
        <f t="shared" si="5"/>
        <v>4184.8870967741932</v>
      </c>
      <c r="P12" s="203">
        <f t="shared" si="25"/>
        <v>194.5</v>
      </c>
      <c r="Q12" s="203">
        <f t="shared" si="6"/>
        <v>4184.8870967741932</v>
      </c>
      <c r="R12" s="203">
        <f t="shared" si="26"/>
        <v>194.5</v>
      </c>
      <c r="S12" s="203">
        <f t="shared" si="7"/>
        <v>4184.8870967741932</v>
      </c>
      <c r="T12" s="203">
        <f t="shared" si="27"/>
        <v>194.5</v>
      </c>
      <c r="U12" s="203">
        <f t="shared" si="8"/>
        <v>4184.8870967741932</v>
      </c>
      <c r="V12" s="203">
        <f t="shared" si="28"/>
        <v>194.5</v>
      </c>
      <c r="W12" s="203">
        <f t="shared" si="9"/>
        <v>4184.8870967741932</v>
      </c>
      <c r="X12" s="35">
        <f t="shared" si="10"/>
        <v>0.62741935483870981</v>
      </c>
      <c r="Y12" s="36">
        <f t="shared" si="29"/>
        <v>46033.758064516136</v>
      </c>
      <c r="Z12" s="203">
        <f>'B5'!C11</f>
        <v>201</v>
      </c>
      <c r="AA12" s="203">
        <f t="shared" si="30"/>
        <v>2010</v>
      </c>
      <c r="AB12" s="203">
        <f t="shared" si="31"/>
        <v>201</v>
      </c>
      <c r="AC12" s="203">
        <f t="shared" si="30"/>
        <v>2010</v>
      </c>
      <c r="AD12" s="203">
        <f t="shared" si="32"/>
        <v>201</v>
      </c>
      <c r="AE12" s="203">
        <f t="shared" si="11"/>
        <v>2010</v>
      </c>
      <c r="AF12" s="203">
        <f t="shared" si="33"/>
        <v>201</v>
      </c>
      <c r="AG12" s="203">
        <f t="shared" si="12"/>
        <v>2010</v>
      </c>
      <c r="AH12" s="203">
        <f t="shared" si="34"/>
        <v>201</v>
      </c>
      <c r="AI12" s="203">
        <f t="shared" si="13"/>
        <v>2010</v>
      </c>
      <c r="AJ12" s="203">
        <f t="shared" si="35"/>
        <v>201</v>
      </c>
      <c r="AK12" s="203">
        <f t="shared" si="14"/>
        <v>2010</v>
      </c>
      <c r="AL12" s="203">
        <f t="shared" si="36"/>
        <v>201</v>
      </c>
      <c r="AM12" s="203">
        <f t="shared" si="15"/>
        <v>2010</v>
      </c>
      <c r="AN12" s="35">
        <f t="shared" si="16"/>
        <v>0.71785714285714286</v>
      </c>
      <c r="AO12" s="36">
        <f t="shared" si="39"/>
        <v>14070</v>
      </c>
      <c r="AP12" s="523"/>
      <c r="AQ12" s="223">
        <f t="shared" si="40"/>
        <v>0.64648551214925387</v>
      </c>
      <c r="AR12" s="38">
        <f t="shared" si="41"/>
        <v>60103.758064516136</v>
      </c>
      <c r="AS12" s="197">
        <f>SUM(AR12-AR11-AT12)</f>
        <v>0</v>
      </c>
      <c r="AT12" s="340"/>
      <c r="AU12" s="546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44812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39"/>
        <v>14070</v>
      </c>
      <c r="AP13" s="523"/>
      <c r="AQ13" s="223">
        <f t="shared" si="40"/>
        <v>0.64648551214925387</v>
      </c>
      <c r="AR13" s="38">
        <f>Y13+AO13</f>
        <v>60103.758064516136</v>
      </c>
      <c r="AS13" s="197">
        <f>SUM(AR13-AR12-AT13)</f>
        <v>0</v>
      </c>
      <c r="AT13" s="340"/>
      <c r="AU13" s="546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44813</v>
      </c>
      <c r="B14">
        <f>'B5'!B13</f>
        <v>194.5</v>
      </c>
      <c r="C14" s="203">
        <f t="shared" si="18"/>
        <v>4184.8870967741932</v>
      </c>
      <c r="D14">
        <f t="shared" si="19"/>
        <v>194.5</v>
      </c>
      <c r="E14" s="203">
        <f t="shared" si="18"/>
        <v>4184.8870967741932</v>
      </c>
      <c r="F14">
        <f t="shared" si="20"/>
        <v>194.5</v>
      </c>
      <c r="G14" s="203">
        <f t="shared" si="1"/>
        <v>4184.8870967741932</v>
      </c>
      <c r="H14" s="203">
        <f t="shared" si="21"/>
        <v>194.5</v>
      </c>
      <c r="I14" s="203">
        <f t="shared" si="2"/>
        <v>4184.8870967741932</v>
      </c>
      <c r="J14" s="203">
        <f t="shared" si="22"/>
        <v>194.5</v>
      </c>
      <c r="K14" s="203">
        <f t="shared" si="3"/>
        <v>4184.8870967741932</v>
      </c>
      <c r="L14" s="203">
        <f t="shared" si="23"/>
        <v>194.5</v>
      </c>
      <c r="M14" s="203">
        <f t="shared" si="4"/>
        <v>4184.8870967741932</v>
      </c>
      <c r="N14" s="203">
        <f t="shared" si="24"/>
        <v>194.5</v>
      </c>
      <c r="O14" s="203">
        <f t="shared" si="5"/>
        <v>4184.8870967741932</v>
      </c>
      <c r="P14" s="203">
        <f t="shared" si="25"/>
        <v>194.5</v>
      </c>
      <c r="Q14" s="203">
        <f t="shared" si="6"/>
        <v>4184.8870967741932</v>
      </c>
      <c r="R14" s="203">
        <f t="shared" si="26"/>
        <v>194.5</v>
      </c>
      <c r="S14" s="203">
        <f t="shared" si="7"/>
        <v>4184.8870967741932</v>
      </c>
      <c r="T14" s="203">
        <f t="shared" si="27"/>
        <v>194.5</v>
      </c>
      <c r="U14" s="203">
        <f t="shared" si="8"/>
        <v>4184.8870967741932</v>
      </c>
      <c r="V14" s="203">
        <f t="shared" si="28"/>
        <v>194.5</v>
      </c>
      <c r="W14" s="203">
        <f t="shared" si="9"/>
        <v>4184.8870967741932</v>
      </c>
      <c r="X14" s="35">
        <f t="shared" si="10"/>
        <v>0.62741935483870981</v>
      </c>
      <c r="Y14" s="36">
        <f t="shared" si="29"/>
        <v>46033.758064516136</v>
      </c>
      <c r="Z14" s="203">
        <f>'B5'!C13</f>
        <v>201</v>
      </c>
      <c r="AA14" s="203">
        <f t="shared" si="30"/>
        <v>2010</v>
      </c>
      <c r="AB14" s="203">
        <f t="shared" si="31"/>
        <v>201</v>
      </c>
      <c r="AC14" s="203">
        <f t="shared" si="30"/>
        <v>2010</v>
      </c>
      <c r="AD14" s="203">
        <f t="shared" si="32"/>
        <v>201</v>
      </c>
      <c r="AE14" s="203">
        <f t="shared" si="11"/>
        <v>2010</v>
      </c>
      <c r="AF14" s="203">
        <f t="shared" si="33"/>
        <v>201</v>
      </c>
      <c r="AG14" s="203">
        <f t="shared" si="12"/>
        <v>2010</v>
      </c>
      <c r="AH14" s="203">
        <f t="shared" si="34"/>
        <v>201</v>
      </c>
      <c r="AI14" s="203">
        <f t="shared" si="13"/>
        <v>2010</v>
      </c>
      <c r="AJ14" s="203">
        <f t="shared" si="35"/>
        <v>201</v>
      </c>
      <c r="AK14" s="203">
        <f t="shared" si="14"/>
        <v>2010</v>
      </c>
      <c r="AL14" s="203">
        <f t="shared" si="36"/>
        <v>201</v>
      </c>
      <c r="AM14" s="203">
        <f t="shared" si="15"/>
        <v>2010</v>
      </c>
      <c r="AN14" s="35">
        <f t="shared" si="16"/>
        <v>0.71785714285714286</v>
      </c>
      <c r="AO14" s="36">
        <f t="shared" si="39"/>
        <v>14070</v>
      </c>
      <c r="AQ14" s="223">
        <f t="shared" si="40"/>
        <v>0.64648551214925387</v>
      </c>
      <c r="AR14" s="38">
        <f t="shared" si="41"/>
        <v>60103.758064516136</v>
      </c>
      <c r="AS14" s="197">
        <f>SUM(AR14-AR13-AT14)</f>
        <v>0</v>
      </c>
      <c r="AT14" s="340"/>
      <c r="AU14" s="546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44814</v>
      </c>
      <c r="B15">
        <f>'B5'!B14</f>
        <v>194.5</v>
      </c>
      <c r="C15" s="203">
        <f>B15*$B$4</f>
        <v>4184.8870967741932</v>
      </c>
      <c r="D15">
        <f t="shared" si="19"/>
        <v>194.5</v>
      </c>
      <c r="E15" s="203">
        <f t="shared" si="18"/>
        <v>4184.8870967741932</v>
      </c>
      <c r="F15">
        <f t="shared" si="20"/>
        <v>194.5</v>
      </c>
      <c r="G15" s="203">
        <f t="shared" si="1"/>
        <v>4184.8870967741932</v>
      </c>
      <c r="H15" s="203">
        <f t="shared" si="21"/>
        <v>194.5</v>
      </c>
      <c r="I15" s="203">
        <f t="shared" si="2"/>
        <v>4184.8870967741932</v>
      </c>
      <c r="J15" s="203">
        <f t="shared" si="22"/>
        <v>194.5</v>
      </c>
      <c r="K15" s="203">
        <f t="shared" si="3"/>
        <v>4184.8870967741932</v>
      </c>
      <c r="L15" s="203">
        <f t="shared" si="23"/>
        <v>194.5</v>
      </c>
      <c r="M15" s="203">
        <f t="shared" si="4"/>
        <v>4184.8870967741932</v>
      </c>
      <c r="N15" s="203">
        <f t="shared" si="24"/>
        <v>194.5</v>
      </c>
      <c r="O15" s="203">
        <f t="shared" si="5"/>
        <v>4184.8870967741932</v>
      </c>
      <c r="P15" s="203">
        <f t="shared" si="25"/>
        <v>194.5</v>
      </c>
      <c r="Q15" s="203">
        <f t="shared" si="6"/>
        <v>4184.8870967741932</v>
      </c>
      <c r="R15" s="203">
        <f t="shared" si="26"/>
        <v>194.5</v>
      </c>
      <c r="S15" s="203">
        <f t="shared" si="7"/>
        <v>4184.8870967741932</v>
      </c>
      <c r="T15" s="203">
        <f t="shared" si="27"/>
        <v>194.5</v>
      </c>
      <c r="U15" s="203">
        <f t="shared" si="8"/>
        <v>4184.8870967741932</v>
      </c>
      <c r="V15" s="203">
        <f t="shared" si="28"/>
        <v>194.5</v>
      </c>
      <c r="W15" s="203">
        <f t="shared" si="9"/>
        <v>4184.8870967741932</v>
      </c>
      <c r="X15" s="35">
        <f t="shared" si="10"/>
        <v>0.62741935483870981</v>
      </c>
      <c r="Y15" s="36">
        <f t="shared" si="29"/>
        <v>46033.758064516136</v>
      </c>
      <c r="Z15" s="203">
        <f>'B5'!C14</f>
        <v>201</v>
      </c>
      <c r="AA15" s="203">
        <f t="shared" si="30"/>
        <v>2010</v>
      </c>
      <c r="AB15" s="203">
        <f t="shared" si="31"/>
        <v>201</v>
      </c>
      <c r="AC15" s="203">
        <f t="shared" si="30"/>
        <v>2010</v>
      </c>
      <c r="AD15" s="203">
        <f t="shared" si="32"/>
        <v>201</v>
      </c>
      <c r="AE15" s="203">
        <f t="shared" si="11"/>
        <v>2010</v>
      </c>
      <c r="AF15" s="203">
        <f t="shared" si="33"/>
        <v>201</v>
      </c>
      <c r="AG15" s="203">
        <f t="shared" si="12"/>
        <v>2010</v>
      </c>
      <c r="AH15" s="203">
        <f t="shared" si="34"/>
        <v>201</v>
      </c>
      <c r="AI15" s="203">
        <f t="shared" si="13"/>
        <v>2010</v>
      </c>
      <c r="AJ15" s="203">
        <f t="shared" si="35"/>
        <v>201</v>
      </c>
      <c r="AK15" s="203">
        <f t="shared" si="14"/>
        <v>2010</v>
      </c>
      <c r="AL15" s="203">
        <f t="shared" si="36"/>
        <v>201</v>
      </c>
      <c r="AM15" s="203">
        <f t="shared" si="15"/>
        <v>2010</v>
      </c>
      <c r="AN15" s="35">
        <f t="shared" si="16"/>
        <v>0.71785714285714286</v>
      </c>
      <c r="AO15" s="36">
        <f t="shared" si="39"/>
        <v>14070</v>
      </c>
      <c r="AQ15" s="223">
        <f t="shared" si="40"/>
        <v>0.64648551214925387</v>
      </c>
      <c r="AR15" s="38">
        <f t="shared" si="41"/>
        <v>60103.758064516136</v>
      </c>
      <c r="AS15" s="197">
        <f t="shared" si="42"/>
        <v>0</v>
      </c>
      <c r="AT15" s="340"/>
      <c r="AU15" s="546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194.5</v>
      </c>
      <c r="C16" s="203">
        <f t="shared" si="18"/>
        <v>4184.8870967741932</v>
      </c>
      <c r="D16">
        <f t="shared" si="19"/>
        <v>194.5</v>
      </c>
      <c r="E16" s="203">
        <f t="shared" si="18"/>
        <v>4184.8870967741932</v>
      </c>
      <c r="F16">
        <f t="shared" si="20"/>
        <v>194.5</v>
      </c>
      <c r="G16" s="203">
        <f t="shared" si="1"/>
        <v>4184.8870967741932</v>
      </c>
      <c r="H16" s="203">
        <f t="shared" si="21"/>
        <v>194.5</v>
      </c>
      <c r="I16" s="203">
        <f t="shared" si="2"/>
        <v>4184.8870967741932</v>
      </c>
      <c r="J16" s="203">
        <f t="shared" si="22"/>
        <v>194.5</v>
      </c>
      <c r="K16" s="203">
        <f t="shared" si="3"/>
        <v>4184.8870967741932</v>
      </c>
      <c r="L16" s="203">
        <f t="shared" si="23"/>
        <v>194.5</v>
      </c>
      <c r="M16" s="203">
        <f t="shared" si="4"/>
        <v>4184.8870967741932</v>
      </c>
      <c r="N16" s="203">
        <f t="shared" si="24"/>
        <v>194.5</v>
      </c>
      <c r="O16" s="203">
        <f t="shared" si="5"/>
        <v>4184.8870967741932</v>
      </c>
      <c r="P16" s="203">
        <f t="shared" si="25"/>
        <v>194.5</v>
      </c>
      <c r="Q16" s="203">
        <f t="shared" si="6"/>
        <v>4184.8870967741932</v>
      </c>
      <c r="R16" s="203">
        <f t="shared" si="26"/>
        <v>194.5</v>
      </c>
      <c r="S16" s="203">
        <f t="shared" si="7"/>
        <v>4184.8870967741932</v>
      </c>
      <c r="T16" s="203">
        <f t="shared" si="27"/>
        <v>194.5</v>
      </c>
      <c r="U16" s="203">
        <f t="shared" si="8"/>
        <v>4184.8870967741932</v>
      </c>
      <c r="V16" s="203">
        <f t="shared" si="28"/>
        <v>194.5</v>
      </c>
      <c r="W16" s="203">
        <f t="shared" si="9"/>
        <v>4184.8870967741932</v>
      </c>
      <c r="X16" s="35">
        <f t="shared" si="10"/>
        <v>0.62741935483870981</v>
      </c>
      <c r="Y16" s="36">
        <f t="shared" si="29"/>
        <v>46033.758064516136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39"/>
        <v>14070</v>
      </c>
      <c r="AQ16" s="223">
        <f t="shared" si="40"/>
        <v>0.64648551214925387</v>
      </c>
      <c r="AR16" s="38">
        <f>Y16+AO16</f>
        <v>60103.758064516136</v>
      </c>
      <c r="AS16" s="197">
        <f>SUM(AR16-AR15-AT16)</f>
        <v>0</v>
      </c>
      <c r="AT16" s="340"/>
      <c r="AU16" s="546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6" t="e">
        <f>GEN!AF13</f>
        <v>#DIV/0!</v>
      </c>
    </row>
    <row r="17" spans="1:64">
      <c r="A17" s="425">
        <f>ELEC!C15</f>
        <v>44816</v>
      </c>
      <c r="B17">
        <f>'B5'!B16</f>
        <v>194.5</v>
      </c>
      <c r="C17" s="203">
        <f t="shared" si="18"/>
        <v>4184.8870967741932</v>
      </c>
      <c r="D17">
        <f t="shared" si="19"/>
        <v>194.5</v>
      </c>
      <c r="E17" s="203">
        <f t="shared" si="18"/>
        <v>4184.8870967741932</v>
      </c>
      <c r="F17">
        <f t="shared" si="20"/>
        <v>194.5</v>
      </c>
      <c r="G17" s="203">
        <f t="shared" si="1"/>
        <v>4184.8870967741932</v>
      </c>
      <c r="H17" s="203">
        <f t="shared" si="21"/>
        <v>194.5</v>
      </c>
      <c r="I17" s="203">
        <f t="shared" si="2"/>
        <v>4184.8870967741932</v>
      </c>
      <c r="J17" s="203">
        <f t="shared" si="22"/>
        <v>194.5</v>
      </c>
      <c r="K17" s="203">
        <f t="shared" si="3"/>
        <v>4184.8870967741932</v>
      </c>
      <c r="L17" s="203">
        <f t="shared" si="23"/>
        <v>194.5</v>
      </c>
      <c r="M17" s="203">
        <f t="shared" si="4"/>
        <v>4184.8870967741932</v>
      </c>
      <c r="N17" s="203">
        <f t="shared" si="24"/>
        <v>194.5</v>
      </c>
      <c r="O17" s="203">
        <f t="shared" si="5"/>
        <v>4184.8870967741932</v>
      </c>
      <c r="P17" s="203">
        <f t="shared" si="25"/>
        <v>194.5</v>
      </c>
      <c r="Q17" s="203">
        <f t="shared" si="6"/>
        <v>4184.8870967741932</v>
      </c>
      <c r="R17" s="203">
        <f t="shared" si="26"/>
        <v>194.5</v>
      </c>
      <c r="S17" s="203">
        <f t="shared" si="7"/>
        <v>4184.8870967741932</v>
      </c>
      <c r="T17" s="203">
        <f t="shared" si="27"/>
        <v>194.5</v>
      </c>
      <c r="U17" s="203">
        <f t="shared" si="8"/>
        <v>4184.8870967741932</v>
      </c>
      <c r="V17" s="203">
        <f t="shared" si="28"/>
        <v>194.5</v>
      </c>
      <c r="W17" s="203">
        <f t="shared" si="9"/>
        <v>4184.8870967741932</v>
      </c>
      <c r="X17" s="35">
        <f t="shared" si="10"/>
        <v>0.62741935483870981</v>
      </c>
      <c r="Y17" s="36">
        <f t="shared" si="29"/>
        <v>46033.758064516136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40"/>
        <v>0.64648551214925387</v>
      </c>
      <c r="AR17" s="38">
        <f t="shared" si="41"/>
        <v>60103.758064516136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44817</v>
      </c>
      <c r="B18">
        <f>'B5'!B17</f>
        <v>194.5</v>
      </c>
      <c r="C18" s="203">
        <f t="shared" si="18"/>
        <v>4184.8870967741932</v>
      </c>
      <c r="D18">
        <f t="shared" si="19"/>
        <v>194.5</v>
      </c>
      <c r="E18" s="203">
        <f t="shared" si="18"/>
        <v>4184.8870967741932</v>
      </c>
      <c r="F18">
        <f t="shared" si="20"/>
        <v>194.5</v>
      </c>
      <c r="G18" s="203">
        <f t="shared" si="1"/>
        <v>4184.8870967741932</v>
      </c>
      <c r="H18" s="203">
        <f t="shared" si="21"/>
        <v>194.5</v>
      </c>
      <c r="I18" s="203">
        <f t="shared" si="2"/>
        <v>4184.8870967741932</v>
      </c>
      <c r="J18" s="203">
        <f t="shared" si="22"/>
        <v>194.5</v>
      </c>
      <c r="K18" s="203">
        <f t="shared" si="3"/>
        <v>4184.8870967741932</v>
      </c>
      <c r="L18" s="203">
        <f t="shared" si="23"/>
        <v>194.5</v>
      </c>
      <c r="M18" s="203">
        <f t="shared" si="4"/>
        <v>4184.8870967741932</v>
      </c>
      <c r="N18" s="203">
        <f t="shared" si="24"/>
        <v>194.5</v>
      </c>
      <c r="O18" s="203">
        <f t="shared" si="5"/>
        <v>4184.8870967741932</v>
      </c>
      <c r="P18" s="203">
        <f t="shared" si="25"/>
        <v>194.5</v>
      </c>
      <c r="Q18" s="203">
        <f t="shared" si="6"/>
        <v>4184.8870967741932</v>
      </c>
      <c r="R18" s="203">
        <f t="shared" si="26"/>
        <v>194.5</v>
      </c>
      <c r="S18" s="203">
        <f t="shared" si="7"/>
        <v>4184.8870967741932</v>
      </c>
      <c r="T18" s="203">
        <f t="shared" si="27"/>
        <v>194.5</v>
      </c>
      <c r="U18" s="203">
        <f t="shared" si="8"/>
        <v>4184.8870967741932</v>
      </c>
      <c r="V18" s="203">
        <f t="shared" si="28"/>
        <v>194.5</v>
      </c>
      <c r="W18" s="203">
        <f t="shared" si="9"/>
        <v>4184.8870967741932</v>
      </c>
      <c r="X18" s="35">
        <f t="shared" si="10"/>
        <v>0.62741935483870981</v>
      </c>
      <c r="Y18" s="36">
        <f t="shared" si="29"/>
        <v>46033.758064516136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39"/>
        <v>14070</v>
      </c>
      <c r="AQ18" s="223">
        <f t="shared" si="40"/>
        <v>0.64648551214925387</v>
      </c>
      <c r="AR18" s="38">
        <f t="shared" si="41"/>
        <v>60103.758064516136</v>
      </c>
      <c r="AS18" s="197">
        <f>SUM(AR18-AR17-AT18)</f>
        <v>0</v>
      </c>
      <c r="AT18" s="340"/>
      <c r="AU18" s="546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44818</v>
      </c>
      <c r="B19">
        <f>'B5'!B18</f>
        <v>194.5</v>
      </c>
      <c r="C19" s="203">
        <f t="shared" si="18"/>
        <v>4184.8870967741932</v>
      </c>
      <c r="D19">
        <f t="shared" si="19"/>
        <v>194.5</v>
      </c>
      <c r="E19" s="203">
        <f t="shared" si="18"/>
        <v>4184.8870967741932</v>
      </c>
      <c r="F19">
        <f t="shared" si="20"/>
        <v>194.5</v>
      </c>
      <c r="G19" s="203">
        <f t="shared" si="1"/>
        <v>4184.8870967741932</v>
      </c>
      <c r="H19" s="203">
        <f t="shared" si="21"/>
        <v>194.5</v>
      </c>
      <c r="I19" s="203">
        <f t="shared" si="2"/>
        <v>4184.8870967741932</v>
      </c>
      <c r="J19" s="203">
        <f t="shared" si="22"/>
        <v>194.5</v>
      </c>
      <c r="K19" s="203">
        <f t="shared" si="3"/>
        <v>4184.8870967741932</v>
      </c>
      <c r="L19" s="203">
        <f t="shared" si="23"/>
        <v>194.5</v>
      </c>
      <c r="M19" s="203">
        <f t="shared" si="4"/>
        <v>4184.8870967741932</v>
      </c>
      <c r="N19" s="203">
        <f t="shared" si="24"/>
        <v>194.5</v>
      </c>
      <c r="O19" s="203">
        <f t="shared" si="5"/>
        <v>4184.8870967741932</v>
      </c>
      <c r="P19" s="203">
        <f t="shared" si="25"/>
        <v>194.5</v>
      </c>
      <c r="Q19" s="203">
        <f t="shared" si="6"/>
        <v>4184.8870967741932</v>
      </c>
      <c r="R19" s="203">
        <f t="shared" si="26"/>
        <v>194.5</v>
      </c>
      <c r="S19" s="203">
        <f t="shared" si="7"/>
        <v>4184.8870967741932</v>
      </c>
      <c r="T19" s="203">
        <f t="shared" si="27"/>
        <v>194.5</v>
      </c>
      <c r="U19" s="203">
        <f t="shared" si="8"/>
        <v>4184.8870967741932</v>
      </c>
      <c r="V19" s="203">
        <f t="shared" si="28"/>
        <v>194.5</v>
      </c>
      <c r="W19" s="203">
        <f t="shared" si="9"/>
        <v>4184.8870967741932</v>
      </c>
      <c r="X19" s="35">
        <f t="shared" si="10"/>
        <v>0.62741935483870981</v>
      </c>
      <c r="Y19" s="36">
        <f t="shared" si="29"/>
        <v>46033.758064516136</v>
      </c>
      <c r="Z19" s="203">
        <f>'B5'!C18</f>
        <v>201</v>
      </c>
      <c r="AA19" s="203">
        <f t="shared" si="30"/>
        <v>2010</v>
      </c>
      <c r="AB19" s="203">
        <f t="shared" si="31"/>
        <v>201</v>
      </c>
      <c r="AC19" s="203">
        <f t="shared" si="30"/>
        <v>2010</v>
      </c>
      <c r="AD19" s="203">
        <f t="shared" si="32"/>
        <v>201</v>
      </c>
      <c r="AE19" s="203">
        <f t="shared" si="11"/>
        <v>2010</v>
      </c>
      <c r="AF19" s="203">
        <f t="shared" si="33"/>
        <v>201</v>
      </c>
      <c r="AG19" s="203">
        <f t="shared" si="12"/>
        <v>2010</v>
      </c>
      <c r="AH19" s="203">
        <f t="shared" si="34"/>
        <v>201</v>
      </c>
      <c r="AI19" s="203">
        <f t="shared" si="13"/>
        <v>2010</v>
      </c>
      <c r="AJ19" s="203">
        <f t="shared" si="35"/>
        <v>201</v>
      </c>
      <c r="AK19" s="203">
        <f t="shared" si="14"/>
        <v>2010</v>
      </c>
      <c r="AL19" s="203">
        <f t="shared" si="36"/>
        <v>201</v>
      </c>
      <c r="AM19" s="203">
        <f t="shared" si="15"/>
        <v>2010</v>
      </c>
      <c r="AN19" s="35">
        <f t="shared" si="16"/>
        <v>0.71785714285714286</v>
      </c>
      <c r="AO19" s="36">
        <f t="shared" si="39"/>
        <v>14070</v>
      </c>
      <c r="AQ19" s="223">
        <f t="shared" si="40"/>
        <v>0.64648551214925387</v>
      </c>
      <c r="AR19" s="38">
        <f t="shared" si="41"/>
        <v>60103.758064516136</v>
      </c>
      <c r="AS19" s="197">
        <f t="shared" ref="AS19:AS32" si="47">SUM(AR19-AR18-AT19)</f>
        <v>0</v>
      </c>
      <c r="AT19" s="340"/>
      <c r="AU19" s="546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44819</v>
      </c>
      <c r="B20">
        <f>'B5'!B19</f>
        <v>194.5</v>
      </c>
      <c r="C20" s="203">
        <f t="shared" si="18"/>
        <v>4184.8870967741932</v>
      </c>
      <c r="D20">
        <f t="shared" si="19"/>
        <v>194.5</v>
      </c>
      <c r="E20" s="203">
        <f t="shared" si="18"/>
        <v>4184.8870967741932</v>
      </c>
      <c r="F20">
        <f t="shared" si="20"/>
        <v>194.5</v>
      </c>
      <c r="G20" s="203">
        <f t="shared" si="1"/>
        <v>4184.8870967741932</v>
      </c>
      <c r="H20" s="203">
        <f t="shared" si="21"/>
        <v>194.5</v>
      </c>
      <c r="I20" s="203">
        <f t="shared" si="2"/>
        <v>4184.8870967741932</v>
      </c>
      <c r="J20" s="203">
        <f t="shared" si="22"/>
        <v>194.5</v>
      </c>
      <c r="K20" s="203">
        <f t="shared" si="3"/>
        <v>4184.8870967741932</v>
      </c>
      <c r="L20" s="203">
        <f t="shared" si="23"/>
        <v>194.5</v>
      </c>
      <c r="M20" s="203">
        <f t="shared" si="4"/>
        <v>4184.8870967741932</v>
      </c>
      <c r="N20" s="203">
        <f t="shared" si="24"/>
        <v>194.5</v>
      </c>
      <c r="O20" s="203">
        <f t="shared" si="5"/>
        <v>4184.8870967741932</v>
      </c>
      <c r="P20" s="203">
        <f t="shared" si="25"/>
        <v>194.5</v>
      </c>
      <c r="Q20" s="203">
        <f t="shared" si="6"/>
        <v>4184.8870967741932</v>
      </c>
      <c r="R20" s="203">
        <f t="shared" si="26"/>
        <v>194.5</v>
      </c>
      <c r="S20" s="203">
        <f t="shared" si="7"/>
        <v>4184.8870967741932</v>
      </c>
      <c r="T20" s="203">
        <f t="shared" si="27"/>
        <v>194.5</v>
      </c>
      <c r="U20" s="203">
        <f t="shared" si="8"/>
        <v>4184.8870967741932</v>
      </c>
      <c r="V20" s="203">
        <f t="shared" si="28"/>
        <v>194.5</v>
      </c>
      <c r="W20" s="203">
        <f t="shared" si="9"/>
        <v>4184.8870967741932</v>
      </c>
      <c r="X20" s="35">
        <f t="shared" si="10"/>
        <v>0.62741935483870981</v>
      </c>
      <c r="Y20" s="36">
        <f t="shared" si="29"/>
        <v>46033.758064516136</v>
      </c>
      <c r="Z20" s="203">
        <f>'B5'!C19</f>
        <v>201</v>
      </c>
      <c r="AA20" s="203">
        <f t="shared" si="30"/>
        <v>2010</v>
      </c>
      <c r="AB20" s="203">
        <f t="shared" si="31"/>
        <v>201</v>
      </c>
      <c r="AC20" s="203">
        <f t="shared" si="30"/>
        <v>2010</v>
      </c>
      <c r="AD20" s="203">
        <f t="shared" si="32"/>
        <v>201</v>
      </c>
      <c r="AE20" s="203">
        <f t="shared" si="11"/>
        <v>2010</v>
      </c>
      <c r="AF20" s="203">
        <f t="shared" si="33"/>
        <v>201</v>
      </c>
      <c r="AG20" s="203">
        <f t="shared" si="12"/>
        <v>2010</v>
      </c>
      <c r="AH20" s="203">
        <f t="shared" si="34"/>
        <v>201</v>
      </c>
      <c r="AI20" s="203">
        <f t="shared" si="13"/>
        <v>2010</v>
      </c>
      <c r="AJ20" s="203">
        <f t="shared" si="35"/>
        <v>201</v>
      </c>
      <c r="AK20" s="203">
        <f t="shared" si="14"/>
        <v>2010</v>
      </c>
      <c r="AL20" s="203">
        <f t="shared" si="36"/>
        <v>201</v>
      </c>
      <c r="AM20" s="203">
        <f t="shared" si="15"/>
        <v>2010</v>
      </c>
      <c r="AN20" s="35">
        <f t="shared" si="16"/>
        <v>0.71785714285714286</v>
      </c>
      <c r="AO20" s="36">
        <f t="shared" si="39"/>
        <v>14070</v>
      </c>
      <c r="AQ20" s="223">
        <f t="shared" si="40"/>
        <v>0.64648551214925387</v>
      </c>
      <c r="AR20" s="38">
        <f t="shared" si="41"/>
        <v>60103.758064516136</v>
      </c>
      <c r="AS20" s="197">
        <f>SUM(AR20-AR19-AT20)</f>
        <v>0</v>
      </c>
      <c r="AT20" s="340"/>
      <c r="AU20" s="546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44820</v>
      </c>
      <c r="B21">
        <f>'B5'!B20</f>
        <v>194.5</v>
      </c>
      <c r="C21" s="203">
        <f t="shared" si="18"/>
        <v>4184.8870967741932</v>
      </c>
      <c r="D21">
        <f t="shared" si="19"/>
        <v>194.5</v>
      </c>
      <c r="E21" s="203">
        <f t="shared" si="18"/>
        <v>4184.8870967741932</v>
      </c>
      <c r="F21">
        <f t="shared" si="20"/>
        <v>194.5</v>
      </c>
      <c r="G21" s="203">
        <f t="shared" si="1"/>
        <v>4184.8870967741932</v>
      </c>
      <c r="H21" s="203">
        <f t="shared" si="21"/>
        <v>194.5</v>
      </c>
      <c r="I21" s="203">
        <f t="shared" si="2"/>
        <v>4184.8870967741932</v>
      </c>
      <c r="J21" s="203">
        <f t="shared" si="22"/>
        <v>194.5</v>
      </c>
      <c r="K21" s="203">
        <f t="shared" si="3"/>
        <v>4184.8870967741932</v>
      </c>
      <c r="L21" s="203">
        <f t="shared" si="23"/>
        <v>194.5</v>
      </c>
      <c r="M21" s="203">
        <f t="shared" si="4"/>
        <v>4184.8870967741932</v>
      </c>
      <c r="N21" s="203">
        <f t="shared" si="24"/>
        <v>194.5</v>
      </c>
      <c r="O21" s="203">
        <f t="shared" si="5"/>
        <v>4184.8870967741932</v>
      </c>
      <c r="P21" s="203">
        <f t="shared" si="25"/>
        <v>194.5</v>
      </c>
      <c r="Q21" s="203">
        <f t="shared" si="6"/>
        <v>4184.8870967741932</v>
      </c>
      <c r="R21" s="203">
        <f t="shared" si="26"/>
        <v>194.5</v>
      </c>
      <c r="S21" s="203">
        <f t="shared" si="7"/>
        <v>4184.8870967741932</v>
      </c>
      <c r="T21" s="203">
        <f t="shared" si="27"/>
        <v>194.5</v>
      </c>
      <c r="U21" s="203">
        <f t="shared" si="8"/>
        <v>4184.8870967741932</v>
      </c>
      <c r="V21" s="203">
        <f t="shared" si="28"/>
        <v>194.5</v>
      </c>
      <c r="W21" s="203">
        <f t="shared" si="9"/>
        <v>4184.8870967741932</v>
      </c>
      <c r="X21" s="35">
        <f t="shared" si="10"/>
        <v>0.62741935483870981</v>
      </c>
      <c r="Y21" s="36">
        <f t="shared" si="29"/>
        <v>46033.758064516136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39"/>
        <v>14070</v>
      </c>
      <c r="AQ21" s="223">
        <f t="shared" si="40"/>
        <v>0.64648551214925387</v>
      </c>
      <c r="AR21" s="38">
        <f t="shared" si="41"/>
        <v>60103.758064516136</v>
      </c>
      <c r="AS21" s="197">
        <f>SUM(AR21-AR20-AT21)</f>
        <v>0</v>
      </c>
      <c r="AT21" s="340"/>
      <c r="AU21" s="546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194.5</v>
      </c>
      <c r="C22" s="203">
        <f t="shared" si="18"/>
        <v>4184.8870967741932</v>
      </c>
      <c r="D22">
        <f t="shared" si="19"/>
        <v>194.5</v>
      </c>
      <c r="E22" s="203">
        <f t="shared" si="18"/>
        <v>4184.8870967741932</v>
      </c>
      <c r="F22">
        <f t="shared" si="20"/>
        <v>194.5</v>
      </c>
      <c r="G22" s="203">
        <f t="shared" si="1"/>
        <v>4184.8870967741932</v>
      </c>
      <c r="H22" s="203">
        <f t="shared" si="21"/>
        <v>194.5</v>
      </c>
      <c r="I22" s="203">
        <f t="shared" si="2"/>
        <v>4184.8870967741932</v>
      </c>
      <c r="J22" s="203">
        <f t="shared" si="22"/>
        <v>194.5</v>
      </c>
      <c r="K22" s="203">
        <f t="shared" si="3"/>
        <v>4184.8870967741932</v>
      </c>
      <c r="L22" s="203">
        <f t="shared" si="23"/>
        <v>194.5</v>
      </c>
      <c r="M22" s="203">
        <f t="shared" si="4"/>
        <v>4184.8870967741932</v>
      </c>
      <c r="N22" s="203">
        <f t="shared" si="24"/>
        <v>194.5</v>
      </c>
      <c r="O22" s="203">
        <f t="shared" si="5"/>
        <v>4184.8870967741932</v>
      </c>
      <c r="P22" s="203">
        <f t="shared" si="25"/>
        <v>194.5</v>
      </c>
      <c r="Q22" s="203">
        <f t="shared" si="6"/>
        <v>4184.8870967741932</v>
      </c>
      <c r="R22" s="203">
        <f t="shared" si="26"/>
        <v>194.5</v>
      </c>
      <c r="S22" s="203">
        <f t="shared" si="7"/>
        <v>4184.8870967741932</v>
      </c>
      <c r="T22" s="203">
        <f t="shared" si="27"/>
        <v>194.5</v>
      </c>
      <c r="U22" s="203">
        <f t="shared" si="8"/>
        <v>4184.8870967741932</v>
      </c>
      <c r="V22" s="203">
        <f t="shared" si="28"/>
        <v>194.5</v>
      </c>
      <c r="W22" s="203">
        <f t="shared" si="9"/>
        <v>4184.8870967741932</v>
      </c>
      <c r="X22" s="35">
        <f t="shared" si="10"/>
        <v>0.62741935483870981</v>
      </c>
      <c r="Y22" s="36">
        <f t="shared" si="29"/>
        <v>46033.758064516136</v>
      </c>
      <c r="Z22" s="203">
        <f>'B5'!C21</f>
        <v>201</v>
      </c>
      <c r="AA22" s="203">
        <f t="shared" si="30"/>
        <v>2010</v>
      </c>
      <c r="AB22" s="203">
        <f t="shared" si="31"/>
        <v>201</v>
      </c>
      <c r="AC22" s="203">
        <f t="shared" si="30"/>
        <v>2010</v>
      </c>
      <c r="AD22" s="203">
        <f t="shared" si="32"/>
        <v>201</v>
      </c>
      <c r="AE22" s="203">
        <f t="shared" si="11"/>
        <v>2010</v>
      </c>
      <c r="AF22" s="203">
        <f t="shared" si="33"/>
        <v>201</v>
      </c>
      <c r="AG22" s="203">
        <f t="shared" si="12"/>
        <v>2010</v>
      </c>
      <c r="AH22" s="203">
        <f t="shared" si="34"/>
        <v>201</v>
      </c>
      <c r="AI22" s="203">
        <f t="shared" si="13"/>
        <v>2010</v>
      </c>
      <c r="AJ22" s="203">
        <f t="shared" si="35"/>
        <v>201</v>
      </c>
      <c r="AK22" s="203">
        <f t="shared" si="14"/>
        <v>2010</v>
      </c>
      <c r="AL22" s="203">
        <f t="shared" si="36"/>
        <v>201</v>
      </c>
      <c r="AM22" s="203">
        <f t="shared" si="15"/>
        <v>2010</v>
      </c>
      <c r="AN22" s="35">
        <f t="shared" si="16"/>
        <v>0.71785714285714286</v>
      </c>
      <c r="AO22" s="36">
        <f t="shared" si="39"/>
        <v>14070</v>
      </c>
      <c r="AQ22" s="223">
        <f t="shared" si="40"/>
        <v>0.64648551214925387</v>
      </c>
      <c r="AR22" s="38">
        <f t="shared" si="41"/>
        <v>60103.758064516136</v>
      </c>
      <c r="AS22" s="197">
        <f t="shared" si="47"/>
        <v>0</v>
      </c>
      <c r="AT22" s="340"/>
      <c r="AU22" s="546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194.5</v>
      </c>
      <c r="C23" s="203">
        <f t="shared" si="18"/>
        <v>4184.8870967741932</v>
      </c>
      <c r="D23">
        <f t="shared" si="19"/>
        <v>194.5</v>
      </c>
      <c r="E23" s="203">
        <f t="shared" si="18"/>
        <v>4184.8870967741932</v>
      </c>
      <c r="F23">
        <f t="shared" si="20"/>
        <v>194.5</v>
      </c>
      <c r="G23" s="203">
        <f t="shared" si="1"/>
        <v>4184.8870967741932</v>
      </c>
      <c r="H23" s="203">
        <f t="shared" si="21"/>
        <v>194.5</v>
      </c>
      <c r="I23" s="203">
        <f t="shared" si="2"/>
        <v>4184.8870967741932</v>
      </c>
      <c r="J23" s="203">
        <f t="shared" si="22"/>
        <v>194.5</v>
      </c>
      <c r="K23" s="203">
        <f t="shared" si="3"/>
        <v>4184.8870967741932</v>
      </c>
      <c r="L23" s="203">
        <f t="shared" si="23"/>
        <v>194.5</v>
      </c>
      <c r="M23" s="203">
        <f t="shared" si="4"/>
        <v>4184.8870967741932</v>
      </c>
      <c r="N23" s="203">
        <f t="shared" si="24"/>
        <v>194.5</v>
      </c>
      <c r="O23" s="203">
        <f t="shared" si="5"/>
        <v>4184.8870967741932</v>
      </c>
      <c r="P23" s="203">
        <f t="shared" si="25"/>
        <v>194.5</v>
      </c>
      <c r="Q23" s="203">
        <f t="shared" si="6"/>
        <v>4184.8870967741932</v>
      </c>
      <c r="R23" s="203">
        <f t="shared" si="26"/>
        <v>194.5</v>
      </c>
      <c r="S23" s="203">
        <f t="shared" si="7"/>
        <v>4184.8870967741932</v>
      </c>
      <c r="T23" s="203">
        <f t="shared" si="27"/>
        <v>194.5</v>
      </c>
      <c r="U23" s="203">
        <f t="shared" si="8"/>
        <v>4184.8870967741932</v>
      </c>
      <c r="V23" s="203">
        <f t="shared" si="28"/>
        <v>194.5</v>
      </c>
      <c r="W23" s="203">
        <f t="shared" si="9"/>
        <v>4184.8870967741932</v>
      </c>
      <c r="X23" s="35">
        <f t="shared" si="10"/>
        <v>0.62741935483870981</v>
      </c>
      <c r="Y23" s="36">
        <f t="shared" si="29"/>
        <v>46033.758064516136</v>
      </c>
      <c r="Z23" s="203">
        <f>'B5'!C22</f>
        <v>201</v>
      </c>
      <c r="AA23" s="203">
        <f t="shared" si="30"/>
        <v>2010</v>
      </c>
      <c r="AB23" s="203">
        <f t="shared" si="31"/>
        <v>201</v>
      </c>
      <c r="AC23" s="203">
        <f t="shared" si="30"/>
        <v>2010</v>
      </c>
      <c r="AD23" s="203">
        <f t="shared" si="32"/>
        <v>201</v>
      </c>
      <c r="AE23" s="203">
        <f t="shared" si="11"/>
        <v>2010</v>
      </c>
      <c r="AF23" s="203">
        <f t="shared" si="33"/>
        <v>201</v>
      </c>
      <c r="AG23" s="203">
        <f t="shared" si="12"/>
        <v>2010</v>
      </c>
      <c r="AH23" s="203">
        <f t="shared" si="34"/>
        <v>201</v>
      </c>
      <c r="AI23" s="203">
        <f t="shared" si="13"/>
        <v>2010</v>
      </c>
      <c r="AJ23" s="203">
        <f t="shared" si="35"/>
        <v>201</v>
      </c>
      <c r="AK23" s="203">
        <f t="shared" si="14"/>
        <v>2010</v>
      </c>
      <c r="AL23" s="203">
        <f t="shared" si="36"/>
        <v>201</v>
      </c>
      <c r="AM23" s="203">
        <f t="shared" si="15"/>
        <v>2010</v>
      </c>
      <c r="AN23" s="35">
        <f t="shared" si="16"/>
        <v>0.71785714285714286</v>
      </c>
      <c r="AO23" s="36">
        <f t="shared" si="39"/>
        <v>14070</v>
      </c>
      <c r="AQ23" s="223">
        <f t="shared" si="40"/>
        <v>0.64648551214925387</v>
      </c>
      <c r="AR23" s="38">
        <f t="shared" si="41"/>
        <v>60103.758064516136</v>
      </c>
      <c r="AS23" s="197">
        <f t="shared" si="47"/>
        <v>0</v>
      </c>
      <c r="AT23" s="340"/>
      <c r="AU23" s="546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44823</v>
      </c>
      <c r="B24">
        <f>'B5'!B23</f>
        <v>194.5</v>
      </c>
      <c r="C24" s="203">
        <f t="shared" si="18"/>
        <v>4184.8870967741932</v>
      </c>
      <c r="D24">
        <f t="shared" si="19"/>
        <v>194.5</v>
      </c>
      <c r="E24" s="203">
        <f t="shared" si="18"/>
        <v>4184.8870967741932</v>
      </c>
      <c r="F24">
        <f t="shared" si="20"/>
        <v>194.5</v>
      </c>
      <c r="G24" s="203">
        <f t="shared" si="1"/>
        <v>4184.8870967741932</v>
      </c>
      <c r="H24" s="203">
        <f t="shared" si="21"/>
        <v>194.5</v>
      </c>
      <c r="I24" s="203">
        <f t="shared" si="2"/>
        <v>4184.8870967741932</v>
      </c>
      <c r="J24" s="203">
        <f t="shared" si="22"/>
        <v>194.5</v>
      </c>
      <c r="K24" s="203">
        <f t="shared" si="3"/>
        <v>4184.8870967741932</v>
      </c>
      <c r="L24" s="203">
        <f t="shared" si="23"/>
        <v>194.5</v>
      </c>
      <c r="M24" s="203">
        <f t="shared" si="4"/>
        <v>4184.8870967741932</v>
      </c>
      <c r="N24" s="203">
        <f t="shared" si="24"/>
        <v>194.5</v>
      </c>
      <c r="O24" s="203">
        <f t="shared" si="5"/>
        <v>4184.8870967741932</v>
      </c>
      <c r="P24" s="203">
        <f t="shared" si="25"/>
        <v>194.5</v>
      </c>
      <c r="Q24" s="203">
        <f t="shared" si="6"/>
        <v>4184.8870967741932</v>
      </c>
      <c r="R24" s="203">
        <f t="shared" si="26"/>
        <v>194.5</v>
      </c>
      <c r="S24" s="203">
        <f t="shared" si="7"/>
        <v>4184.8870967741932</v>
      </c>
      <c r="T24" s="203">
        <f t="shared" si="27"/>
        <v>194.5</v>
      </c>
      <c r="U24" s="203">
        <f t="shared" si="8"/>
        <v>4184.8870967741932</v>
      </c>
      <c r="V24" s="203">
        <f t="shared" si="28"/>
        <v>194.5</v>
      </c>
      <c r="W24" s="203">
        <f t="shared" si="9"/>
        <v>4184.8870967741932</v>
      </c>
      <c r="X24" s="35">
        <f t="shared" si="10"/>
        <v>0.62741935483870981</v>
      </c>
      <c r="Y24" s="36">
        <f t="shared" si="29"/>
        <v>46033.758064516136</v>
      </c>
      <c r="Z24" s="203">
        <f>'B5'!C23</f>
        <v>201</v>
      </c>
      <c r="AA24" s="203">
        <f t="shared" si="30"/>
        <v>2010</v>
      </c>
      <c r="AB24" s="203">
        <f t="shared" si="31"/>
        <v>201</v>
      </c>
      <c r="AC24" s="203">
        <f t="shared" si="30"/>
        <v>2010</v>
      </c>
      <c r="AD24" s="203">
        <f t="shared" si="32"/>
        <v>201</v>
      </c>
      <c r="AE24" s="203">
        <f t="shared" si="11"/>
        <v>2010</v>
      </c>
      <c r="AF24" s="203">
        <f t="shared" si="33"/>
        <v>201</v>
      </c>
      <c r="AG24" s="203">
        <f t="shared" si="12"/>
        <v>2010</v>
      </c>
      <c r="AH24" s="203">
        <f t="shared" si="34"/>
        <v>201</v>
      </c>
      <c r="AI24" s="203">
        <f t="shared" si="13"/>
        <v>2010</v>
      </c>
      <c r="AJ24" s="203">
        <f t="shared" si="35"/>
        <v>201</v>
      </c>
      <c r="AK24" s="203">
        <f t="shared" si="14"/>
        <v>2010</v>
      </c>
      <c r="AL24" s="203">
        <f t="shared" si="36"/>
        <v>201</v>
      </c>
      <c r="AM24" s="203">
        <f t="shared" si="15"/>
        <v>2010</v>
      </c>
      <c r="AN24" s="35">
        <f t="shared" si="16"/>
        <v>0.71785714285714286</v>
      </c>
      <c r="AO24" s="36">
        <f t="shared" si="39"/>
        <v>14070</v>
      </c>
      <c r="AQ24" s="223">
        <f t="shared" si="40"/>
        <v>0.64648551214925387</v>
      </c>
      <c r="AR24" s="38">
        <f t="shared" si="41"/>
        <v>60103.758064516136</v>
      </c>
      <c r="AS24" s="197">
        <f t="shared" si="47"/>
        <v>0</v>
      </c>
      <c r="AT24" s="340"/>
      <c r="AU24" s="546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44824</v>
      </c>
      <c r="B25">
        <f>'B5'!B24</f>
        <v>194.5</v>
      </c>
      <c r="C25" s="203">
        <f t="shared" si="18"/>
        <v>4184.8870967741932</v>
      </c>
      <c r="D25">
        <f t="shared" si="19"/>
        <v>194.5</v>
      </c>
      <c r="E25" s="203">
        <f t="shared" si="18"/>
        <v>4184.8870967741932</v>
      </c>
      <c r="F25">
        <f t="shared" si="20"/>
        <v>194.5</v>
      </c>
      <c r="G25" s="203">
        <f t="shared" si="1"/>
        <v>4184.8870967741932</v>
      </c>
      <c r="H25" s="203">
        <f t="shared" si="21"/>
        <v>194.5</v>
      </c>
      <c r="I25" s="203">
        <f t="shared" si="2"/>
        <v>4184.8870967741932</v>
      </c>
      <c r="J25" s="203">
        <f t="shared" si="22"/>
        <v>194.5</v>
      </c>
      <c r="K25" s="203">
        <f t="shared" si="3"/>
        <v>4184.8870967741932</v>
      </c>
      <c r="L25" s="203">
        <f t="shared" si="23"/>
        <v>194.5</v>
      </c>
      <c r="M25" s="203">
        <f t="shared" si="4"/>
        <v>4184.8870967741932</v>
      </c>
      <c r="N25" s="203">
        <f t="shared" si="24"/>
        <v>194.5</v>
      </c>
      <c r="O25" s="203">
        <f t="shared" si="5"/>
        <v>4184.8870967741932</v>
      </c>
      <c r="P25" s="203">
        <f t="shared" si="25"/>
        <v>194.5</v>
      </c>
      <c r="Q25" s="203">
        <f t="shared" si="6"/>
        <v>4184.8870967741932</v>
      </c>
      <c r="R25" s="203">
        <f t="shared" si="26"/>
        <v>194.5</v>
      </c>
      <c r="S25" s="203">
        <f t="shared" si="7"/>
        <v>4184.8870967741932</v>
      </c>
      <c r="T25" s="203">
        <f t="shared" si="27"/>
        <v>194.5</v>
      </c>
      <c r="U25" s="203">
        <f t="shared" si="8"/>
        <v>4184.8870967741932</v>
      </c>
      <c r="V25" s="203">
        <f t="shared" si="28"/>
        <v>194.5</v>
      </c>
      <c r="W25" s="203">
        <f t="shared" si="9"/>
        <v>4184.8870967741932</v>
      </c>
      <c r="X25" s="35">
        <f t="shared" si="10"/>
        <v>0.62741935483870981</v>
      </c>
      <c r="Y25" s="36">
        <f t="shared" si="29"/>
        <v>46033.758064516136</v>
      </c>
      <c r="Z25" s="203">
        <f>'B5'!C24</f>
        <v>201</v>
      </c>
      <c r="AA25" s="203">
        <f t="shared" si="30"/>
        <v>2010</v>
      </c>
      <c r="AB25" s="203">
        <f t="shared" si="31"/>
        <v>201</v>
      </c>
      <c r="AC25" s="203">
        <f t="shared" si="30"/>
        <v>2010</v>
      </c>
      <c r="AD25" s="203">
        <f t="shared" si="32"/>
        <v>201</v>
      </c>
      <c r="AE25" s="203">
        <f t="shared" si="11"/>
        <v>2010</v>
      </c>
      <c r="AF25" s="203">
        <f t="shared" si="33"/>
        <v>201</v>
      </c>
      <c r="AG25" s="203">
        <f t="shared" si="12"/>
        <v>2010</v>
      </c>
      <c r="AH25" s="203">
        <f t="shared" si="34"/>
        <v>201</v>
      </c>
      <c r="AI25" s="203">
        <f t="shared" si="13"/>
        <v>2010</v>
      </c>
      <c r="AJ25" s="203">
        <f t="shared" si="35"/>
        <v>201</v>
      </c>
      <c r="AK25" s="203">
        <f t="shared" si="14"/>
        <v>2010</v>
      </c>
      <c r="AL25" s="203">
        <f t="shared" si="36"/>
        <v>201</v>
      </c>
      <c r="AM25" s="203">
        <f t="shared" si="15"/>
        <v>2010</v>
      </c>
      <c r="AN25" s="35">
        <f t="shared" si="16"/>
        <v>0.71785714285714286</v>
      </c>
      <c r="AO25" s="36">
        <f t="shared" si="39"/>
        <v>14070</v>
      </c>
      <c r="AQ25" s="223">
        <f t="shared" si="40"/>
        <v>0.64648551214925387</v>
      </c>
      <c r="AR25" s="38">
        <f t="shared" si="41"/>
        <v>60103.758064516136</v>
      </c>
      <c r="AS25" s="197">
        <f t="shared" si="47"/>
        <v>0</v>
      </c>
      <c r="AT25" s="340"/>
      <c r="AU25" s="547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44825</v>
      </c>
      <c r="B26">
        <f>'B5'!B25</f>
        <v>194.5</v>
      </c>
      <c r="C26" s="203">
        <f t="shared" si="18"/>
        <v>4184.8870967741932</v>
      </c>
      <c r="D26">
        <f t="shared" si="19"/>
        <v>194.5</v>
      </c>
      <c r="E26" s="203">
        <f t="shared" si="18"/>
        <v>4184.8870967741932</v>
      </c>
      <c r="F26">
        <f t="shared" si="20"/>
        <v>194.5</v>
      </c>
      <c r="G26" s="203">
        <f t="shared" si="1"/>
        <v>4184.8870967741932</v>
      </c>
      <c r="H26" s="203">
        <f t="shared" si="21"/>
        <v>194.5</v>
      </c>
      <c r="I26" s="203">
        <f t="shared" si="2"/>
        <v>4184.8870967741932</v>
      </c>
      <c r="J26" s="203">
        <f t="shared" si="22"/>
        <v>194.5</v>
      </c>
      <c r="K26" s="203">
        <f t="shared" si="3"/>
        <v>4184.8870967741932</v>
      </c>
      <c r="L26" s="203">
        <f t="shared" si="23"/>
        <v>194.5</v>
      </c>
      <c r="M26" s="203">
        <f t="shared" si="4"/>
        <v>4184.8870967741932</v>
      </c>
      <c r="N26" s="203">
        <f t="shared" si="24"/>
        <v>194.5</v>
      </c>
      <c r="O26" s="203">
        <f t="shared" si="5"/>
        <v>4184.8870967741932</v>
      </c>
      <c r="P26" s="203">
        <f t="shared" si="25"/>
        <v>194.5</v>
      </c>
      <c r="Q26" s="203">
        <f t="shared" si="6"/>
        <v>4184.8870967741932</v>
      </c>
      <c r="R26" s="203">
        <f t="shared" si="26"/>
        <v>194.5</v>
      </c>
      <c r="S26" s="203">
        <f t="shared" si="7"/>
        <v>4184.8870967741932</v>
      </c>
      <c r="T26" s="203">
        <f t="shared" si="27"/>
        <v>194.5</v>
      </c>
      <c r="U26" s="203">
        <f t="shared" si="8"/>
        <v>4184.8870967741932</v>
      </c>
      <c r="V26" s="203">
        <f t="shared" si="28"/>
        <v>194.5</v>
      </c>
      <c r="W26" s="203">
        <f t="shared" si="9"/>
        <v>4184.8870967741932</v>
      </c>
      <c r="X26" s="35">
        <f t="shared" si="10"/>
        <v>0.62741935483870981</v>
      </c>
      <c r="Y26" s="36">
        <f t="shared" si="29"/>
        <v>46033.758064516136</v>
      </c>
      <c r="Z26" s="203">
        <f>'B5'!C25</f>
        <v>201</v>
      </c>
      <c r="AA26" s="203">
        <f t="shared" si="30"/>
        <v>2010</v>
      </c>
      <c r="AB26" s="203">
        <f t="shared" si="31"/>
        <v>201</v>
      </c>
      <c r="AC26" s="203">
        <f t="shared" si="30"/>
        <v>2010</v>
      </c>
      <c r="AD26" s="203">
        <f t="shared" si="32"/>
        <v>201</v>
      </c>
      <c r="AE26" s="203">
        <f t="shared" si="11"/>
        <v>2010</v>
      </c>
      <c r="AF26" s="203">
        <f t="shared" si="33"/>
        <v>201</v>
      </c>
      <c r="AG26" s="203">
        <f t="shared" si="12"/>
        <v>2010</v>
      </c>
      <c r="AH26" s="203">
        <f t="shared" si="34"/>
        <v>201</v>
      </c>
      <c r="AI26" s="203">
        <f t="shared" si="13"/>
        <v>2010</v>
      </c>
      <c r="AJ26" s="203">
        <f t="shared" si="35"/>
        <v>201</v>
      </c>
      <c r="AK26" s="203">
        <f t="shared" si="14"/>
        <v>2010</v>
      </c>
      <c r="AL26" s="203">
        <f t="shared" si="36"/>
        <v>201</v>
      </c>
      <c r="AM26" s="203">
        <f t="shared" si="15"/>
        <v>2010</v>
      </c>
      <c r="AN26" s="35">
        <f t="shared" si="16"/>
        <v>0.71785714285714286</v>
      </c>
      <c r="AO26" s="36">
        <f t="shared" si="39"/>
        <v>14070</v>
      </c>
      <c r="AQ26" s="223">
        <f t="shared" si="40"/>
        <v>0.64648551214925387</v>
      </c>
      <c r="AR26" s="38">
        <f t="shared" si="41"/>
        <v>60103.758064516136</v>
      </c>
      <c r="AS26" s="197">
        <f t="shared" si="47"/>
        <v>0</v>
      </c>
      <c r="AT26" s="340"/>
      <c r="AU26" s="546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44826</v>
      </c>
      <c r="B27">
        <f>'B5'!B26</f>
        <v>194.5</v>
      </c>
      <c r="C27" s="203">
        <f t="shared" si="18"/>
        <v>4184.8870967741932</v>
      </c>
      <c r="D27">
        <f t="shared" si="19"/>
        <v>194.5</v>
      </c>
      <c r="E27" s="203">
        <f t="shared" si="18"/>
        <v>4184.8870967741932</v>
      </c>
      <c r="F27">
        <f t="shared" si="20"/>
        <v>194.5</v>
      </c>
      <c r="G27" s="203">
        <f t="shared" si="1"/>
        <v>4184.8870967741932</v>
      </c>
      <c r="H27" s="203">
        <f t="shared" si="21"/>
        <v>194.5</v>
      </c>
      <c r="I27" s="203">
        <f t="shared" si="2"/>
        <v>4184.8870967741932</v>
      </c>
      <c r="J27" s="203">
        <f t="shared" si="22"/>
        <v>194.5</v>
      </c>
      <c r="K27" s="203">
        <f t="shared" si="3"/>
        <v>4184.8870967741932</v>
      </c>
      <c r="L27" s="203">
        <f t="shared" si="23"/>
        <v>194.5</v>
      </c>
      <c r="M27" s="203">
        <f t="shared" si="4"/>
        <v>4184.8870967741932</v>
      </c>
      <c r="N27" s="203">
        <f t="shared" si="24"/>
        <v>194.5</v>
      </c>
      <c r="O27" s="203">
        <f t="shared" si="5"/>
        <v>4184.8870967741932</v>
      </c>
      <c r="P27" s="203">
        <f t="shared" si="25"/>
        <v>194.5</v>
      </c>
      <c r="Q27" s="203">
        <f t="shared" si="6"/>
        <v>4184.8870967741932</v>
      </c>
      <c r="R27" s="203">
        <f t="shared" si="26"/>
        <v>194.5</v>
      </c>
      <c r="S27" s="203">
        <f t="shared" si="7"/>
        <v>4184.8870967741932</v>
      </c>
      <c r="T27" s="203">
        <f t="shared" si="27"/>
        <v>194.5</v>
      </c>
      <c r="U27" s="203">
        <f t="shared" si="8"/>
        <v>4184.8870967741932</v>
      </c>
      <c r="V27" s="203">
        <f t="shared" si="28"/>
        <v>194.5</v>
      </c>
      <c r="W27" s="203">
        <f t="shared" si="9"/>
        <v>4184.8870967741932</v>
      </c>
      <c r="X27" s="35">
        <f t="shared" si="10"/>
        <v>0.62741935483870981</v>
      </c>
      <c r="Y27" s="36">
        <f t="shared" si="29"/>
        <v>46033.758064516136</v>
      </c>
      <c r="Z27" s="203">
        <f>'B5'!C26</f>
        <v>201</v>
      </c>
      <c r="AA27" s="203">
        <f t="shared" si="30"/>
        <v>2010</v>
      </c>
      <c r="AB27" s="203">
        <f t="shared" si="31"/>
        <v>201</v>
      </c>
      <c r="AC27" s="203">
        <f t="shared" si="30"/>
        <v>2010</v>
      </c>
      <c r="AD27" s="203">
        <f t="shared" si="32"/>
        <v>201</v>
      </c>
      <c r="AE27" s="203">
        <f t="shared" si="11"/>
        <v>2010</v>
      </c>
      <c r="AF27" s="203">
        <f t="shared" si="33"/>
        <v>201</v>
      </c>
      <c r="AG27" s="203">
        <f t="shared" si="12"/>
        <v>2010</v>
      </c>
      <c r="AH27" s="203">
        <f t="shared" si="34"/>
        <v>201</v>
      </c>
      <c r="AI27" s="203">
        <f t="shared" si="13"/>
        <v>2010</v>
      </c>
      <c r="AJ27" s="203">
        <f t="shared" si="35"/>
        <v>201</v>
      </c>
      <c r="AK27" s="203">
        <f t="shared" si="14"/>
        <v>2010</v>
      </c>
      <c r="AL27" s="203">
        <f t="shared" si="36"/>
        <v>201</v>
      </c>
      <c r="AM27" s="203">
        <f t="shared" si="15"/>
        <v>2010</v>
      </c>
      <c r="AN27" s="35">
        <f t="shared" si="16"/>
        <v>0.71785714285714286</v>
      </c>
      <c r="AO27" s="36">
        <f t="shared" si="39"/>
        <v>14070</v>
      </c>
      <c r="AQ27" s="223">
        <f t="shared" si="40"/>
        <v>0.64648551214925387</v>
      </c>
      <c r="AR27" s="38">
        <f t="shared" si="41"/>
        <v>60103.758064516136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194.5</v>
      </c>
      <c r="C28" s="203">
        <f t="shared" si="18"/>
        <v>4184.8870967741932</v>
      </c>
      <c r="D28">
        <f t="shared" si="19"/>
        <v>194.5</v>
      </c>
      <c r="E28" s="203">
        <f t="shared" si="18"/>
        <v>4184.8870967741932</v>
      </c>
      <c r="F28">
        <f t="shared" si="20"/>
        <v>194.5</v>
      </c>
      <c r="G28" s="203">
        <f t="shared" si="1"/>
        <v>4184.8870967741932</v>
      </c>
      <c r="H28" s="203">
        <f t="shared" si="21"/>
        <v>194.5</v>
      </c>
      <c r="I28" s="203">
        <f t="shared" si="2"/>
        <v>4184.8870967741932</v>
      </c>
      <c r="J28" s="203">
        <f t="shared" si="22"/>
        <v>194.5</v>
      </c>
      <c r="K28" s="203">
        <f t="shared" si="3"/>
        <v>4184.8870967741932</v>
      </c>
      <c r="L28" s="203">
        <f t="shared" si="23"/>
        <v>194.5</v>
      </c>
      <c r="M28" s="203">
        <f t="shared" si="4"/>
        <v>4184.8870967741932</v>
      </c>
      <c r="N28" s="203">
        <f t="shared" si="24"/>
        <v>194.5</v>
      </c>
      <c r="O28" s="203">
        <f t="shared" si="5"/>
        <v>4184.8870967741932</v>
      </c>
      <c r="P28" s="203">
        <f t="shared" si="25"/>
        <v>194.5</v>
      </c>
      <c r="Q28" s="203">
        <f t="shared" si="6"/>
        <v>4184.8870967741932</v>
      </c>
      <c r="R28" s="203">
        <f t="shared" si="26"/>
        <v>194.5</v>
      </c>
      <c r="S28" s="203">
        <f t="shared" si="7"/>
        <v>4184.8870967741932</v>
      </c>
      <c r="T28" s="203">
        <f t="shared" si="27"/>
        <v>194.5</v>
      </c>
      <c r="U28" s="203">
        <f t="shared" si="8"/>
        <v>4184.8870967741932</v>
      </c>
      <c r="V28" s="203">
        <f t="shared" si="28"/>
        <v>194.5</v>
      </c>
      <c r="W28" s="203">
        <f t="shared" si="9"/>
        <v>4184.8870967741932</v>
      </c>
      <c r="X28" s="35">
        <f t="shared" si="10"/>
        <v>0.62741935483870981</v>
      </c>
      <c r="Y28" s="36">
        <f t="shared" si="29"/>
        <v>46033.758064516136</v>
      </c>
      <c r="Z28" s="203">
        <f>'B5'!C27</f>
        <v>201</v>
      </c>
      <c r="AA28" s="203">
        <f t="shared" si="30"/>
        <v>2010</v>
      </c>
      <c r="AB28" s="203">
        <f t="shared" si="31"/>
        <v>201</v>
      </c>
      <c r="AC28" s="203">
        <f t="shared" si="30"/>
        <v>2010</v>
      </c>
      <c r="AD28" s="203">
        <f t="shared" si="32"/>
        <v>201</v>
      </c>
      <c r="AE28" s="203">
        <f t="shared" si="11"/>
        <v>2010</v>
      </c>
      <c r="AF28" s="203">
        <f t="shared" si="33"/>
        <v>201</v>
      </c>
      <c r="AG28" s="203">
        <f t="shared" si="12"/>
        <v>2010</v>
      </c>
      <c r="AH28" s="203">
        <f t="shared" si="34"/>
        <v>201</v>
      </c>
      <c r="AI28" s="203">
        <f t="shared" si="13"/>
        <v>2010</v>
      </c>
      <c r="AJ28" s="203">
        <f t="shared" si="35"/>
        <v>201</v>
      </c>
      <c r="AK28" s="203">
        <f t="shared" si="14"/>
        <v>2010</v>
      </c>
      <c r="AL28" s="203">
        <f t="shared" si="36"/>
        <v>201</v>
      </c>
      <c r="AM28" s="203">
        <f t="shared" si="15"/>
        <v>2010</v>
      </c>
      <c r="AN28" s="35">
        <f t="shared" si="16"/>
        <v>0.71785714285714286</v>
      </c>
      <c r="AO28" s="36">
        <f t="shared" si="39"/>
        <v>14070</v>
      </c>
      <c r="AQ28" s="223">
        <f t="shared" si="40"/>
        <v>0.64648551214925387</v>
      </c>
      <c r="AR28" s="38">
        <f t="shared" si="41"/>
        <v>60103.758064516136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194.5</v>
      </c>
      <c r="C29" s="203">
        <f t="shared" si="18"/>
        <v>4184.8870967741932</v>
      </c>
      <c r="D29">
        <f t="shared" si="19"/>
        <v>194.5</v>
      </c>
      <c r="E29" s="203">
        <f t="shared" si="18"/>
        <v>4184.8870967741932</v>
      </c>
      <c r="F29">
        <f t="shared" si="20"/>
        <v>194.5</v>
      </c>
      <c r="G29" s="203">
        <f t="shared" si="1"/>
        <v>4184.8870967741932</v>
      </c>
      <c r="H29" s="203">
        <f t="shared" si="21"/>
        <v>194.5</v>
      </c>
      <c r="I29" s="203">
        <f t="shared" si="2"/>
        <v>4184.8870967741932</v>
      </c>
      <c r="J29" s="203">
        <f t="shared" si="22"/>
        <v>194.5</v>
      </c>
      <c r="K29" s="203">
        <f t="shared" si="3"/>
        <v>4184.8870967741932</v>
      </c>
      <c r="L29" s="203">
        <f t="shared" si="23"/>
        <v>194.5</v>
      </c>
      <c r="M29" s="203">
        <f t="shared" si="4"/>
        <v>4184.8870967741932</v>
      </c>
      <c r="N29" s="203">
        <f t="shared" si="24"/>
        <v>194.5</v>
      </c>
      <c r="O29" s="203">
        <f t="shared" si="5"/>
        <v>4184.8870967741932</v>
      </c>
      <c r="P29" s="203">
        <f t="shared" si="25"/>
        <v>194.5</v>
      </c>
      <c r="Q29" s="203">
        <f t="shared" si="6"/>
        <v>4184.8870967741932</v>
      </c>
      <c r="R29" s="203">
        <f t="shared" si="26"/>
        <v>194.5</v>
      </c>
      <c r="S29" s="203">
        <f t="shared" si="7"/>
        <v>4184.8870967741932</v>
      </c>
      <c r="T29" s="203">
        <f t="shared" si="27"/>
        <v>194.5</v>
      </c>
      <c r="U29" s="203">
        <f t="shared" si="8"/>
        <v>4184.8870967741932</v>
      </c>
      <c r="V29" s="203">
        <f t="shared" si="28"/>
        <v>194.5</v>
      </c>
      <c r="W29" s="203">
        <f t="shared" si="9"/>
        <v>4184.8870967741932</v>
      </c>
      <c r="X29" s="35">
        <f t="shared" si="10"/>
        <v>0.62741935483870981</v>
      </c>
      <c r="Y29" s="36">
        <f t="shared" si="29"/>
        <v>46033.758064516136</v>
      </c>
      <c r="Z29" s="203">
        <f>'B5'!C28</f>
        <v>201</v>
      </c>
      <c r="AA29" s="203">
        <f t="shared" si="30"/>
        <v>2010</v>
      </c>
      <c r="AB29" s="203">
        <f t="shared" si="31"/>
        <v>201</v>
      </c>
      <c r="AC29" s="203">
        <f t="shared" si="30"/>
        <v>2010</v>
      </c>
      <c r="AD29" s="203">
        <f t="shared" si="32"/>
        <v>201</v>
      </c>
      <c r="AE29" s="203">
        <f t="shared" si="11"/>
        <v>2010</v>
      </c>
      <c r="AF29" s="203">
        <f t="shared" si="33"/>
        <v>201</v>
      </c>
      <c r="AG29" s="203">
        <f t="shared" si="12"/>
        <v>2010</v>
      </c>
      <c r="AH29" s="203">
        <f t="shared" si="34"/>
        <v>201</v>
      </c>
      <c r="AI29" s="203">
        <f t="shared" si="13"/>
        <v>2010</v>
      </c>
      <c r="AJ29" s="203">
        <f t="shared" si="35"/>
        <v>201</v>
      </c>
      <c r="AK29" s="203">
        <f t="shared" si="14"/>
        <v>2010</v>
      </c>
      <c r="AL29" s="203">
        <f t="shared" si="36"/>
        <v>201</v>
      </c>
      <c r="AM29" s="203">
        <f t="shared" si="15"/>
        <v>2010</v>
      </c>
      <c r="AN29" s="35">
        <f t="shared" si="16"/>
        <v>0.71785714285714286</v>
      </c>
      <c r="AO29" s="36">
        <f t="shared" si="39"/>
        <v>14070</v>
      </c>
      <c r="AQ29" s="223">
        <f t="shared" si="40"/>
        <v>0.64648551214925387</v>
      </c>
      <c r="AR29" s="38">
        <f t="shared" si="41"/>
        <v>60103.758064516136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194.5</v>
      </c>
      <c r="C30" s="203">
        <f t="shared" si="18"/>
        <v>4184.8870967741932</v>
      </c>
      <c r="D30">
        <f>SUM(B30)</f>
        <v>194.5</v>
      </c>
      <c r="E30" s="203">
        <f t="shared" si="18"/>
        <v>4184.8870967741932</v>
      </c>
      <c r="F30">
        <f>SUM(D30)</f>
        <v>194.5</v>
      </c>
      <c r="G30" s="203">
        <f t="shared" si="1"/>
        <v>4184.8870967741932</v>
      </c>
      <c r="H30" s="203">
        <f>SUM(F30)</f>
        <v>194.5</v>
      </c>
      <c r="I30" s="203">
        <f t="shared" si="2"/>
        <v>4184.8870967741932</v>
      </c>
      <c r="J30" s="203">
        <f>SUM(H30)</f>
        <v>194.5</v>
      </c>
      <c r="K30" s="203">
        <f t="shared" si="3"/>
        <v>4184.8870967741932</v>
      </c>
      <c r="L30" s="203">
        <f>SUM(J30)</f>
        <v>194.5</v>
      </c>
      <c r="M30" s="203">
        <f t="shared" si="4"/>
        <v>4184.8870967741932</v>
      </c>
      <c r="N30" s="203">
        <f>SUM(L30)</f>
        <v>194.5</v>
      </c>
      <c r="O30" s="203">
        <f t="shared" si="5"/>
        <v>4184.8870967741932</v>
      </c>
      <c r="P30" s="203">
        <f>SUM(N30)</f>
        <v>194.5</v>
      </c>
      <c r="Q30" s="203">
        <f t="shared" si="6"/>
        <v>4184.8870967741932</v>
      </c>
      <c r="R30" s="203">
        <f>SUM(P30)</f>
        <v>194.5</v>
      </c>
      <c r="S30" s="203">
        <f t="shared" si="7"/>
        <v>4184.8870967741932</v>
      </c>
      <c r="T30" s="203">
        <f>SUM(R30)</f>
        <v>194.5</v>
      </c>
      <c r="U30" s="203">
        <f t="shared" si="8"/>
        <v>4184.8870967741932</v>
      </c>
      <c r="V30" s="203">
        <f>SUM(T30)</f>
        <v>194.5</v>
      </c>
      <c r="W30" s="203">
        <f t="shared" si="9"/>
        <v>4184.8870967741932</v>
      </c>
      <c r="X30" s="35">
        <f>SUM(Y30/73370)</f>
        <v>0.62741935483870981</v>
      </c>
      <c r="Y30" s="36">
        <f>SUM(C30+E30+G30+I30+K30+M30+O30+Q30+S30+U30+W30)</f>
        <v>46033.758064516136</v>
      </c>
      <c r="Z30" s="203">
        <f>'B5'!C29</f>
        <v>201</v>
      </c>
      <c r="AA30" s="203">
        <f t="shared" si="30"/>
        <v>2010</v>
      </c>
      <c r="AB30" s="203">
        <f>SUM(Z30)</f>
        <v>201</v>
      </c>
      <c r="AC30" s="203">
        <f t="shared" si="30"/>
        <v>2010</v>
      </c>
      <c r="AD30" s="203">
        <f>SUM(AB30)</f>
        <v>201</v>
      </c>
      <c r="AE30" s="203">
        <f t="shared" si="11"/>
        <v>2010</v>
      </c>
      <c r="AF30" s="203">
        <f>SUM(AD30)</f>
        <v>201</v>
      </c>
      <c r="AG30" s="203">
        <f t="shared" si="12"/>
        <v>2010</v>
      </c>
      <c r="AH30" s="203">
        <f>SUM(AF30)</f>
        <v>201</v>
      </c>
      <c r="AI30" s="203">
        <f t="shared" si="13"/>
        <v>2010</v>
      </c>
      <c r="AJ30" s="203">
        <f>SUM(AH30)</f>
        <v>201</v>
      </c>
      <c r="AK30" s="203">
        <f t="shared" si="14"/>
        <v>2010</v>
      </c>
      <c r="AL30" s="203">
        <f>SUM(AJ30)</f>
        <v>201</v>
      </c>
      <c r="AM30" s="203">
        <f t="shared" si="15"/>
        <v>2010</v>
      </c>
      <c r="AN30" s="35">
        <f>SUM(AO30/19600)</f>
        <v>0.71785714285714286</v>
      </c>
      <c r="AO30" s="36">
        <f>SUM(AA30+AC30+AE30+AG30+AI30+AK30+AM30)</f>
        <v>14070</v>
      </c>
      <c r="AQ30" s="223">
        <f t="shared" si="40"/>
        <v>0.64648551214925387</v>
      </c>
      <c r="AR30" s="38">
        <f t="shared" si="41"/>
        <v>60103.758064516136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44830</v>
      </c>
      <c r="B31">
        <f>'B5'!B30</f>
        <v>194.5</v>
      </c>
      <c r="C31" s="203">
        <f t="shared" si="18"/>
        <v>4184.8870967741932</v>
      </c>
      <c r="D31">
        <f>SUM(B31)</f>
        <v>194.5</v>
      </c>
      <c r="E31" s="203">
        <f t="shared" si="18"/>
        <v>4184.8870967741932</v>
      </c>
      <c r="F31">
        <f>SUM(D31)</f>
        <v>194.5</v>
      </c>
      <c r="G31" s="203">
        <f t="shared" si="1"/>
        <v>4184.8870967741932</v>
      </c>
      <c r="H31" s="203">
        <f>SUM(F31)</f>
        <v>194.5</v>
      </c>
      <c r="I31" s="203">
        <f t="shared" si="2"/>
        <v>4184.8870967741932</v>
      </c>
      <c r="J31" s="203">
        <f>SUM(H31)</f>
        <v>194.5</v>
      </c>
      <c r="K31" s="203">
        <f t="shared" si="3"/>
        <v>4184.8870967741932</v>
      </c>
      <c r="L31" s="203">
        <f>SUM(J31)</f>
        <v>194.5</v>
      </c>
      <c r="M31" s="203">
        <f t="shared" si="4"/>
        <v>4184.8870967741932</v>
      </c>
      <c r="N31" s="203">
        <f>SUM(L31)</f>
        <v>194.5</v>
      </c>
      <c r="O31" s="203">
        <f t="shared" si="5"/>
        <v>4184.8870967741932</v>
      </c>
      <c r="P31" s="203">
        <f>SUM(N31)</f>
        <v>194.5</v>
      </c>
      <c r="Q31" s="203">
        <f t="shared" si="6"/>
        <v>4184.8870967741932</v>
      </c>
      <c r="R31" s="203">
        <f>SUM(P31)</f>
        <v>194.5</v>
      </c>
      <c r="S31" s="203">
        <f t="shared" si="7"/>
        <v>4184.8870967741932</v>
      </c>
      <c r="T31" s="203">
        <f>SUM(R31)</f>
        <v>194.5</v>
      </c>
      <c r="U31" s="203">
        <f t="shared" si="8"/>
        <v>4184.8870967741932</v>
      </c>
      <c r="V31" s="203">
        <f>SUM(T31)</f>
        <v>194.5</v>
      </c>
      <c r="W31" s="203">
        <f t="shared" si="9"/>
        <v>4184.8870967741932</v>
      </c>
      <c r="X31" s="35">
        <f>SUM(Y31/73370)</f>
        <v>0.62741935483870981</v>
      </c>
      <c r="Y31" s="36">
        <f>SUM(C31+E31+G31+I31+K31+M31+O31+Q31+S31+U31+W31)</f>
        <v>46033.758064516136</v>
      </c>
      <c r="Z31" s="203">
        <f>'B5'!C30</f>
        <v>201</v>
      </c>
      <c r="AA31" s="203">
        <f t="shared" si="30"/>
        <v>2010</v>
      </c>
      <c r="AB31" s="203">
        <f>SUM(Z31)</f>
        <v>201</v>
      </c>
      <c r="AC31" s="203">
        <f t="shared" si="30"/>
        <v>2010</v>
      </c>
      <c r="AD31" s="203">
        <f>SUM(AB31)</f>
        <v>201</v>
      </c>
      <c r="AE31" s="203">
        <f t="shared" si="11"/>
        <v>2010</v>
      </c>
      <c r="AF31" s="203">
        <f>SUM(AD31)</f>
        <v>201</v>
      </c>
      <c r="AG31" s="203">
        <f t="shared" si="12"/>
        <v>2010</v>
      </c>
      <c r="AH31" s="203">
        <f>SUM(AF31)</f>
        <v>201</v>
      </c>
      <c r="AI31" s="203">
        <f t="shared" si="13"/>
        <v>2010</v>
      </c>
      <c r="AJ31" s="203">
        <f>SUM(AH31)</f>
        <v>201</v>
      </c>
      <c r="AK31" s="203">
        <f t="shared" si="14"/>
        <v>2010</v>
      </c>
      <c r="AL31" s="203">
        <f>SUM(AJ31)</f>
        <v>201</v>
      </c>
      <c r="AM31" s="203">
        <f t="shared" si="15"/>
        <v>2010</v>
      </c>
      <c r="AN31" s="35">
        <f>SUM(AO31/19600)</f>
        <v>0.71785714285714286</v>
      </c>
      <c r="AO31" s="36">
        <f>SUM(AA31+AC31+AE31+AG31+AI31+AK31+AM31)</f>
        <v>14070</v>
      </c>
      <c r="AQ31" s="223">
        <f t="shared" si="40"/>
        <v>0.64648551214925387</v>
      </c>
      <c r="AR31" s="38">
        <f t="shared" si="41"/>
        <v>60103.758064516136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194.5</v>
      </c>
      <c r="C32" s="203">
        <f t="shared" si="18"/>
        <v>4184.8870967741932</v>
      </c>
      <c r="D32">
        <f>SUM(B32)</f>
        <v>194.5</v>
      </c>
      <c r="E32" s="203">
        <f t="shared" si="18"/>
        <v>4184.8870967741932</v>
      </c>
      <c r="F32">
        <f>SUM(D32)</f>
        <v>194.5</v>
      </c>
      <c r="G32" s="203">
        <f t="shared" si="1"/>
        <v>4184.8870967741932</v>
      </c>
      <c r="H32" s="203">
        <f>SUM(F32)</f>
        <v>194.5</v>
      </c>
      <c r="I32" s="203">
        <f t="shared" si="2"/>
        <v>4184.8870967741932</v>
      </c>
      <c r="J32" s="203">
        <f>SUM(H32)</f>
        <v>194.5</v>
      </c>
      <c r="K32" s="203">
        <f t="shared" si="3"/>
        <v>4184.8870967741932</v>
      </c>
      <c r="L32" s="203">
        <f>SUM(J32)</f>
        <v>194.5</v>
      </c>
      <c r="M32" s="203">
        <f t="shared" si="4"/>
        <v>4184.8870967741932</v>
      </c>
      <c r="N32" s="203">
        <f>SUM(L32)</f>
        <v>194.5</v>
      </c>
      <c r="O32" s="203">
        <f t="shared" si="5"/>
        <v>4184.8870967741932</v>
      </c>
      <c r="P32" s="203">
        <f>SUM(N32)</f>
        <v>194.5</v>
      </c>
      <c r="Q32" s="203">
        <f t="shared" si="6"/>
        <v>4184.8870967741932</v>
      </c>
      <c r="R32" s="203">
        <f>SUM(P32)</f>
        <v>194.5</v>
      </c>
      <c r="S32" s="203">
        <f t="shared" si="7"/>
        <v>4184.8870967741932</v>
      </c>
      <c r="T32" s="203">
        <f>SUM(R32)</f>
        <v>194.5</v>
      </c>
      <c r="U32" s="203">
        <f t="shared" si="8"/>
        <v>4184.8870967741932</v>
      </c>
      <c r="V32" s="203">
        <f>SUM(T32)</f>
        <v>194.5</v>
      </c>
      <c r="W32" s="203">
        <f t="shared" si="9"/>
        <v>4184.8870967741932</v>
      </c>
      <c r="X32" s="35">
        <f>SUM(Y32/73370)</f>
        <v>0.62741935483870981</v>
      </c>
      <c r="Y32" s="36">
        <f>SUM(C32+E32+G32+I32+K32+M32+O32+Q32+S32+U32+W32)</f>
        <v>46033.758064516136</v>
      </c>
      <c r="Z32" s="203">
        <f>'B5'!C31</f>
        <v>201</v>
      </c>
      <c r="AA32" s="203">
        <f t="shared" si="30"/>
        <v>2010</v>
      </c>
      <c r="AB32" s="203">
        <f>SUM(Z32)</f>
        <v>201</v>
      </c>
      <c r="AC32" s="203">
        <f t="shared" si="30"/>
        <v>2010</v>
      </c>
      <c r="AD32" s="203">
        <f>SUM(AB32)</f>
        <v>201</v>
      </c>
      <c r="AE32" s="203">
        <f t="shared" si="11"/>
        <v>2010</v>
      </c>
      <c r="AF32" s="203">
        <f>SUM(AD32)</f>
        <v>201</v>
      </c>
      <c r="AG32" s="203">
        <f t="shared" si="12"/>
        <v>2010</v>
      </c>
      <c r="AH32" s="203">
        <f>SUM(AF32)</f>
        <v>201</v>
      </c>
      <c r="AI32" s="203">
        <f t="shared" si="13"/>
        <v>2010</v>
      </c>
      <c r="AJ32" s="203">
        <f>SUM(AH32)</f>
        <v>201</v>
      </c>
      <c r="AK32" s="203">
        <f t="shared" si="14"/>
        <v>2010</v>
      </c>
      <c r="AL32" s="203">
        <f>SUM(AJ32)</f>
        <v>201</v>
      </c>
      <c r="AM32" s="203">
        <f t="shared" si="15"/>
        <v>2010</v>
      </c>
      <c r="AN32" s="35">
        <f>SUM(AO32/19600)</f>
        <v>0.71785714285714286</v>
      </c>
      <c r="AO32" s="36">
        <f>SUM(AA32+AC32+AE32+AG32+AI32+AK32+AM32)</f>
        <v>14070</v>
      </c>
      <c r="AQ32" s="223">
        <f t="shared" si="40"/>
        <v>0.64648551214925387</v>
      </c>
      <c r="AR32" s="38">
        <f t="shared" si="41"/>
        <v>60103.758064516136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194.5</v>
      </c>
      <c r="C33" s="203">
        <f t="shared" si="18"/>
        <v>4184.8870967741932</v>
      </c>
      <c r="D33">
        <f>SUM(B33)</f>
        <v>194.5</v>
      </c>
      <c r="E33" s="203">
        <f t="shared" si="18"/>
        <v>4184.8870967741932</v>
      </c>
      <c r="F33">
        <f>SUM(D33)</f>
        <v>194.5</v>
      </c>
      <c r="G33" s="203">
        <f t="shared" si="1"/>
        <v>4184.8870967741932</v>
      </c>
      <c r="H33" s="203">
        <f>SUM(F33)</f>
        <v>194.5</v>
      </c>
      <c r="I33" s="203">
        <f t="shared" si="2"/>
        <v>4184.8870967741932</v>
      </c>
      <c r="J33" s="203">
        <f>SUM(H33)</f>
        <v>194.5</v>
      </c>
      <c r="K33" s="203">
        <f t="shared" si="3"/>
        <v>4184.8870967741932</v>
      </c>
      <c r="L33" s="203">
        <f>SUM(J33)</f>
        <v>194.5</v>
      </c>
      <c r="M33" s="203">
        <f t="shared" si="4"/>
        <v>4184.8870967741932</v>
      </c>
      <c r="N33" s="203">
        <f>SUM(L33)</f>
        <v>194.5</v>
      </c>
      <c r="O33" s="203">
        <f t="shared" si="5"/>
        <v>4184.8870967741932</v>
      </c>
      <c r="P33" s="203">
        <f>SUM(N33)</f>
        <v>194.5</v>
      </c>
      <c r="Q33" s="203">
        <f t="shared" si="6"/>
        <v>4184.8870967741932</v>
      </c>
      <c r="R33" s="203">
        <f>SUM(P33)</f>
        <v>194.5</v>
      </c>
      <c r="S33" s="203">
        <f t="shared" si="7"/>
        <v>4184.8870967741932</v>
      </c>
      <c r="T33" s="203">
        <f>SUM(R33)</f>
        <v>194.5</v>
      </c>
      <c r="U33" s="203">
        <f t="shared" si="8"/>
        <v>4184.8870967741932</v>
      </c>
      <c r="V33" s="203">
        <f>SUM(T33)</f>
        <v>194.5</v>
      </c>
      <c r="W33" s="203">
        <f t="shared" si="9"/>
        <v>4184.8870967741932</v>
      </c>
      <c r="X33" s="35">
        <f>SUM(Y33/73370)</f>
        <v>0.62741935483870981</v>
      </c>
      <c r="Y33" s="36">
        <f>SUM(C33+E33+G33+I33+K33+M33+O33+Q33+S33+U33+W33)</f>
        <v>46033.758064516136</v>
      </c>
      <c r="Z33" s="203">
        <f>'B5'!C32</f>
        <v>201</v>
      </c>
      <c r="AA33" s="203">
        <f t="shared" si="30"/>
        <v>2010</v>
      </c>
      <c r="AB33" s="203">
        <f>SUM(Z33)</f>
        <v>201</v>
      </c>
      <c r="AC33" s="203">
        <f t="shared" si="30"/>
        <v>2010</v>
      </c>
      <c r="AD33" s="203">
        <f>SUM(AB33)</f>
        <v>201</v>
      </c>
      <c r="AE33" s="203">
        <f t="shared" si="11"/>
        <v>2010</v>
      </c>
      <c r="AF33" s="203">
        <f>SUM(AD33)</f>
        <v>201</v>
      </c>
      <c r="AG33" s="203">
        <f t="shared" si="12"/>
        <v>2010</v>
      </c>
      <c r="AH33" s="203">
        <f>SUM(AF33)</f>
        <v>201</v>
      </c>
      <c r="AI33" s="203">
        <f t="shared" si="13"/>
        <v>2010</v>
      </c>
      <c r="AJ33" s="203">
        <f>SUM(AH33)</f>
        <v>201</v>
      </c>
      <c r="AK33" s="203">
        <f t="shared" si="14"/>
        <v>2010</v>
      </c>
      <c r="AL33" s="203">
        <f>SUM(AJ33)</f>
        <v>201</v>
      </c>
      <c r="AM33" s="203">
        <f t="shared" si="15"/>
        <v>2010</v>
      </c>
      <c r="AN33" s="35">
        <f>SUM(AO33/19600)</f>
        <v>0.71785714285714286</v>
      </c>
      <c r="AO33" s="36">
        <f>SUM(AA33+AC33+AE33+AG33+AI33+AK33+AM33)</f>
        <v>14070</v>
      </c>
      <c r="AQ33" s="223">
        <f t="shared" si="40"/>
        <v>0.64648551214925387</v>
      </c>
      <c r="AR33" s="38">
        <f t="shared" si="41"/>
        <v>60103.758064516136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194.5</v>
      </c>
      <c r="C34" s="203">
        <f t="shared" ref="C34:C36" si="48">B34*$B$4</f>
        <v>4184.8870967741932</v>
      </c>
      <c r="D34">
        <f t="shared" ref="D34:D36" si="49">SUM(B34)</f>
        <v>194.5</v>
      </c>
      <c r="E34" s="203">
        <f t="shared" ref="E34:E36" si="50">D34*$B$4</f>
        <v>4184.8870967741932</v>
      </c>
      <c r="F34">
        <f t="shared" ref="F34:F36" si="51">SUM(D34)</f>
        <v>194.5</v>
      </c>
      <c r="G34" s="203">
        <f t="shared" ref="G34:G36" si="52">F34*$B$4</f>
        <v>4184.8870967741932</v>
      </c>
      <c r="H34" s="203">
        <f t="shared" ref="H34:H36" si="53">SUM(F34)</f>
        <v>194.5</v>
      </c>
      <c r="I34" s="203">
        <f t="shared" ref="I34:I36" si="54">H34*$B$4</f>
        <v>4184.8870967741932</v>
      </c>
      <c r="J34" s="203">
        <f t="shared" ref="J34:J36" si="55">SUM(H34)</f>
        <v>194.5</v>
      </c>
      <c r="K34" s="203">
        <f t="shared" ref="K34:K36" si="56">J34*$B$4</f>
        <v>4184.8870967741932</v>
      </c>
      <c r="L34" s="203">
        <f t="shared" ref="L34:L36" si="57">SUM(J34)</f>
        <v>194.5</v>
      </c>
      <c r="M34" s="203">
        <f t="shared" ref="M34:M36" si="58">L34*$B$4</f>
        <v>4184.8870967741932</v>
      </c>
      <c r="N34" s="203">
        <f t="shared" ref="N34:N36" si="59">SUM(L34)</f>
        <v>194.5</v>
      </c>
      <c r="O34" s="203">
        <f t="shared" ref="O34:O36" si="60">N34*$B$4</f>
        <v>4184.8870967741932</v>
      </c>
      <c r="P34" s="203">
        <f t="shared" ref="P34:P36" si="61">SUM(N34)</f>
        <v>194.5</v>
      </c>
      <c r="Q34" s="203">
        <f t="shared" ref="Q34:Q36" si="62">P34*$B$4</f>
        <v>4184.8870967741932</v>
      </c>
      <c r="R34" s="203">
        <f t="shared" ref="R34:R36" si="63">SUM(P34)</f>
        <v>194.5</v>
      </c>
      <c r="S34" s="203">
        <f t="shared" ref="S34:S36" si="64">R34*$B$4</f>
        <v>4184.8870967741932</v>
      </c>
      <c r="T34" s="203">
        <f t="shared" ref="T34:T36" si="65">SUM(R34)</f>
        <v>194.5</v>
      </c>
      <c r="U34" s="203">
        <f t="shared" ref="U34:U36" si="66">T34*$B$4</f>
        <v>4184.8870967741932</v>
      </c>
      <c r="V34" s="203">
        <f t="shared" ref="V34:V36" si="67">SUM(T34)</f>
        <v>194.5</v>
      </c>
      <c r="W34" s="203">
        <f t="shared" ref="W34:W36" si="68">V34*$B$4</f>
        <v>4184.8870967741932</v>
      </c>
      <c r="X34" s="35">
        <f t="shared" ref="X34:X36" si="69">SUM(Y34/73370)</f>
        <v>0.62741935483870981</v>
      </c>
      <c r="Y34" s="36">
        <f t="shared" ref="Y34:Y36" si="70">SUM(C34+E34+G34+I34+K34+M34+O34+Q34+S34+U34+W34)</f>
        <v>46033.758064516136</v>
      </c>
      <c r="Z34" s="203">
        <f>'B5'!C33</f>
        <v>201</v>
      </c>
      <c r="AA34" s="203">
        <f t="shared" ref="AA34:AA36" si="71">SUM(Z34*$Z$4)</f>
        <v>2010</v>
      </c>
      <c r="AB34" s="203">
        <f t="shared" ref="AB34:AB36" si="72">SUM(Z34)</f>
        <v>201</v>
      </c>
      <c r="AC34" s="203">
        <f t="shared" ref="AC34:AC36" si="73">SUM(AB34*$Z$4)</f>
        <v>2010</v>
      </c>
      <c r="AD34" s="203">
        <f t="shared" ref="AD34:AD36" si="74">SUM(AB34)</f>
        <v>201</v>
      </c>
      <c r="AE34" s="203">
        <f t="shared" ref="AE34:AE36" si="75">SUM(AD34*$Z$4)</f>
        <v>2010</v>
      </c>
      <c r="AF34" s="203">
        <f t="shared" ref="AF34:AF36" si="76">SUM(AD34)</f>
        <v>201</v>
      </c>
      <c r="AG34" s="203">
        <f t="shared" ref="AG34:AG36" si="77">SUM(AF34*$Z$4)</f>
        <v>2010</v>
      </c>
      <c r="AH34" s="203">
        <f t="shared" ref="AH34:AH36" si="78">SUM(AF34)</f>
        <v>201</v>
      </c>
      <c r="AI34" s="203">
        <f t="shared" ref="AI34:AI36" si="79">SUM(AH34*$Z$4)</f>
        <v>2010</v>
      </c>
      <c r="AJ34" s="203">
        <f t="shared" ref="AJ34:AJ36" si="80">SUM(AH34)</f>
        <v>201</v>
      </c>
      <c r="AK34" s="203">
        <f t="shared" ref="AK34:AK36" si="81">SUM(AJ34*$Z$4)</f>
        <v>2010</v>
      </c>
      <c r="AL34" s="203">
        <f t="shared" ref="AL34:AL36" si="82">SUM(AJ34)</f>
        <v>201</v>
      </c>
      <c r="AM34" s="203">
        <f t="shared" ref="AM34:AM36" si="83">SUM(AL34*$Z$4)</f>
        <v>2010</v>
      </c>
      <c r="AN34" s="35">
        <f t="shared" ref="AN34:AN36" si="84">SUM(AO34/19600)</f>
        <v>0.71785714285714286</v>
      </c>
      <c r="AO34" s="36">
        <f t="shared" ref="AO34:AO36" si="85">SUM(AA34+AC34+AE34+AG34+AI34+AK34+AM34)</f>
        <v>14070</v>
      </c>
      <c r="AQ34" s="223">
        <f t="shared" ref="AQ34:AQ36" si="86">SUM(AR34/92970)</f>
        <v>0.64648551214925387</v>
      </c>
      <c r="AR34" s="38">
        <f t="shared" si="41"/>
        <v>60103.758064516136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194.5</v>
      </c>
      <c r="C35" s="203">
        <f t="shared" si="48"/>
        <v>4184.8870967741932</v>
      </c>
      <c r="D35">
        <f t="shared" si="49"/>
        <v>194.5</v>
      </c>
      <c r="E35" s="203">
        <f t="shared" si="50"/>
        <v>4184.8870967741932</v>
      </c>
      <c r="F35">
        <f t="shared" si="51"/>
        <v>194.5</v>
      </c>
      <c r="G35" s="203">
        <f t="shared" si="52"/>
        <v>4184.8870967741932</v>
      </c>
      <c r="H35" s="203">
        <f t="shared" si="53"/>
        <v>194.5</v>
      </c>
      <c r="I35" s="203">
        <f t="shared" si="54"/>
        <v>4184.8870967741932</v>
      </c>
      <c r="J35" s="203">
        <f t="shared" si="55"/>
        <v>194.5</v>
      </c>
      <c r="K35" s="203">
        <f t="shared" si="56"/>
        <v>4184.8870967741932</v>
      </c>
      <c r="L35" s="203">
        <f t="shared" si="57"/>
        <v>194.5</v>
      </c>
      <c r="M35" s="203">
        <f t="shared" si="58"/>
        <v>4184.8870967741932</v>
      </c>
      <c r="N35" s="203">
        <f t="shared" si="59"/>
        <v>194.5</v>
      </c>
      <c r="O35" s="203">
        <f t="shared" si="60"/>
        <v>4184.8870967741932</v>
      </c>
      <c r="P35" s="203">
        <f t="shared" si="61"/>
        <v>194.5</v>
      </c>
      <c r="Q35" s="203">
        <f t="shared" si="62"/>
        <v>4184.8870967741932</v>
      </c>
      <c r="R35" s="203">
        <f t="shared" si="63"/>
        <v>194.5</v>
      </c>
      <c r="S35" s="203">
        <f t="shared" si="64"/>
        <v>4184.8870967741932</v>
      </c>
      <c r="T35" s="203">
        <f t="shared" si="65"/>
        <v>194.5</v>
      </c>
      <c r="U35" s="203">
        <f t="shared" si="66"/>
        <v>4184.8870967741932</v>
      </c>
      <c r="V35" s="203">
        <f t="shared" si="67"/>
        <v>194.5</v>
      </c>
      <c r="W35" s="203">
        <f t="shared" si="68"/>
        <v>4184.8870967741932</v>
      </c>
      <c r="X35" s="35">
        <f t="shared" si="69"/>
        <v>0.62741935483870981</v>
      </c>
      <c r="Y35" s="36">
        <f t="shared" si="70"/>
        <v>46033.758064516136</v>
      </c>
      <c r="Z35" s="203">
        <f>'B5'!C34</f>
        <v>201</v>
      </c>
      <c r="AA35" s="203">
        <f t="shared" si="71"/>
        <v>2010</v>
      </c>
      <c r="AB35" s="203">
        <f t="shared" si="72"/>
        <v>201</v>
      </c>
      <c r="AC35" s="203">
        <f t="shared" si="73"/>
        <v>2010</v>
      </c>
      <c r="AD35" s="203">
        <f t="shared" si="74"/>
        <v>201</v>
      </c>
      <c r="AE35" s="203">
        <f t="shared" si="75"/>
        <v>2010</v>
      </c>
      <c r="AF35" s="203">
        <f t="shared" si="76"/>
        <v>201</v>
      </c>
      <c r="AG35" s="203">
        <f t="shared" si="77"/>
        <v>2010</v>
      </c>
      <c r="AH35" s="203">
        <f t="shared" si="78"/>
        <v>201</v>
      </c>
      <c r="AI35" s="203">
        <f t="shared" si="79"/>
        <v>2010</v>
      </c>
      <c r="AJ35" s="203">
        <f t="shared" si="80"/>
        <v>201</v>
      </c>
      <c r="AK35" s="203">
        <f t="shared" si="81"/>
        <v>2010</v>
      </c>
      <c r="AL35" s="203">
        <f t="shared" si="82"/>
        <v>201</v>
      </c>
      <c r="AM35" s="203">
        <f t="shared" si="83"/>
        <v>2010</v>
      </c>
      <c r="AN35" s="35">
        <f t="shared" si="84"/>
        <v>0.71785714285714286</v>
      </c>
      <c r="AO35" s="36">
        <f t="shared" si="85"/>
        <v>14070</v>
      </c>
      <c r="AQ35" s="223">
        <f t="shared" si="86"/>
        <v>0.64648551214925387</v>
      </c>
      <c r="AR35" s="38">
        <f t="shared" si="41"/>
        <v>60103.758064516136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194.5</v>
      </c>
      <c r="C36" s="203">
        <f t="shared" si="48"/>
        <v>4184.8870967741932</v>
      </c>
      <c r="D36">
        <f t="shared" si="49"/>
        <v>194.5</v>
      </c>
      <c r="E36" s="203">
        <f t="shared" si="50"/>
        <v>4184.8870967741932</v>
      </c>
      <c r="F36">
        <f t="shared" si="51"/>
        <v>194.5</v>
      </c>
      <c r="G36" s="203">
        <f t="shared" si="52"/>
        <v>4184.8870967741932</v>
      </c>
      <c r="H36" s="203">
        <f t="shared" si="53"/>
        <v>194.5</v>
      </c>
      <c r="I36" s="203">
        <f t="shared" si="54"/>
        <v>4184.8870967741932</v>
      </c>
      <c r="J36" s="203">
        <f t="shared" si="55"/>
        <v>194.5</v>
      </c>
      <c r="K36" s="203">
        <f t="shared" si="56"/>
        <v>4184.8870967741932</v>
      </c>
      <c r="L36" s="203">
        <f t="shared" si="57"/>
        <v>194.5</v>
      </c>
      <c r="M36" s="203">
        <f t="shared" si="58"/>
        <v>4184.8870967741932</v>
      </c>
      <c r="N36" s="203">
        <f t="shared" si="59"/>
        <v>194.5</v>
      </c>
      <c r="O36" s="203">
        <f t="shared" si="60"/>
        <v>4184.8870967741932</v>
      </c>
      <c r="P36" s="203">
        <f t="shared" si="61"/>
        <v>194.5</v>
      </c>
      <c r="Q36" s="203">
        <f t="shared" si="62"/>
        <v>4184.8870967741932</v>
      </c>
      <c r="R36" s="203">
        <f t="shared" si="63"/>
        <v>194.5</v>
      </c>
      <c r="S36" s="203">
        <f t="shared" si="64"/>
        <v>4184.8870967741932</v>
      </c>
      <c r="T36" s="203">
        <f t="shared" si="65"/>
        <v>194.5</v>
      </c>
      <c r="U36" s="203">
        <f t="shared" si="66"/>
        <v>4184.8870967741932</v>
      </c>
      <c r="V36" s="203">
        <f t="shared" si="67"/>
        <v>194.5</v>
      </c>
      <c r="W36" s="203">
        <f t="shared" si="68"/>
        <v>4184.8870967741932</v>
      </c>
      <c r="X36" s="35">
        <f t="shared" si="69"/>
        <v>0.62741935483870981</v>
      </c>
      <c r="Y36" s="36">
        <f t="shared" si="70"/>
        <v>46033.758064516136</v>
      </c>
      <c r="Z36" s="203">
        <f>'B5'!C35</f>
        <v>201</v>
      </c>
      <c r="AA36" s="203">
        <f t="shared" si="71"/>
        <v>2010</v>
      </c>
      <c r="AB36" s="203">
        <f t="shared" si="72"/>
        <v>201</v>
      </c>
      <c r="AC36" s="203">
        <f t="shared" si="73"/>
        <v>2010</v>
      </c>
      <c r="AD36" s="203">
        <f t="shared" si="74"/>
        <v>201</v>
      </c>
      <c r="AE36" s="203">
        <f t="shared" si="75"/>
        <v>2010</v>
      </c>
      <c r="AF36" s="203">
        <f t="shared" si="76"/>
        <v>201</v>
      </c>
      <c r="AG36" s="203">
        <f t="shared" si="77"/>
        <v>2010</v>
      </c>
      <c r="AH36" s="203">
        <f t="shared" si="78"/>
        <v>201</v>
      </c>
      <c r="AI36" s="203">
        <f t="shared" si="79"/>
        <v>2010</v>
      </c>
      <c r="AJ36" s="203">
        <f t="shared" si="80"/>
        <v>201</v>
      </c>
      <c r="AK36" s="203">
        <f t="shared" si="81"/>
        <v>2010</v>
      </c>
      <c r="AL36" s="203">
        <f t="shared" si="82"/>
        <v>201</v>
      </c>
      <c r="AM36" s="203">
        <f t="shared" si="83"/>
        <v>2010</v>
      </c>
      <c r="AN36" s="35">
        <f t="shared" si="84"/>
        <v>0.71785714285714286</v>
      </c>
      <c r="AO36" s="36">
        <f t="shared" si="85"/>
        <v>14070</v>
      </c>
      <c r="AQ36" s="223">
        <f t="shared" si="86"/>
        <v>0.64648551214925387</v>
      </c>
      <c r="AR36" s="38">
        <f t="shared" si="41"/>
        <v>60103.758064516136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2">
        <f>SUM(AU6:AU36)/AS37</f>
        <v>0</v>
      </c>
      <c r="AX37" s="203">
        <f>SUM(AX6:AX36)</f>
        <v>-1391.0483870967728</v>
      </c>
      <c r="AY37" s="203">
        <f>SUM(AY6:AY36)</f>
        <v>-1416.0483870967728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1416.0483870967728</v>
      </c>
      <c r="AT40" s="203"/>
    </row>
    <row r="41" spans="1:63">
      <c r="AX41">
        <v>43309</v>
      </c>
    </row>
    <row r="42" spans="1:63">
      <c r="AR42" s="203">
        <f>AR36-22000</f>
        <v>38103.758064516136</v>
      </c>
      <c r="AU42" s="203"/>
      <c r="AX42">
        <f>AX37/AX41</f>
        <v>-3.2119152764939686E-2</v>
      </c>
    </row>
    <row r="43" spans="1:63">
      <c r="AR43">
        <f>AR42/5500</f>
        <v>6.9279560117302061</v>
      </c>
    </row>
    <row r="44" spans="1:63">
      <c r="AR44">
        <f>AR43*2</f>
        <v>13.855912023460412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0" zoomScaleNormal="50" workbookViewId="0">
      <selection activeCell="O5" sqref="O5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49999999999999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3873</v>
      </c>
      <c r="T4" s="321">
        <f>IF(S4&gt;0,R4/S4,0)</f>
        <v>4.1302127512593385E-2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8"/>
      <c r="AC4" s="649"/>
    </row>
    <row r="5" spans="1:32" ht="20.149999999999999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2"/>
      <c r="W5" s="643"/>
      <c r="X5" s="643"/>
      <c r="Y5" s="644"/>
      <c r="Z5" s="26" t="s">
        <v>202</v>
      </c>
      <c r="AA5" s="26">
        <v>5000</v>
      </c>
      <c r="AB5" s="650"/>
      <c r="AC5" s="651"/>
    </row>
    <row r="6" spans="1:32" ht="20.149999999999999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5"/>
      <c r="W6" s="646"/>
      <c r="X6" s="646"/>
      <c r="Y6" s="647"/>
      <c r="Z6" s="654"/>
      <c r="AA6" s="655"/>
      <c r="AB6" s="650"/>
      <c r="AC6" s="651"/>
    </row>
    <row r="7" spans="1:32" ht="20.149999999999999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7" t="s">
        <v>203</v>
      </c>
      <c r="W7" s="638"/>
      <c r="X7" s="639" t="s">
        <v>204</v>
      </c>
      <c r="Y7" s="640"/>
      <c r="Z7" s="641"/>
      <c r="AA7" s="170"/>
      <c r="AB7" s="652"/>
      <c r="AC7" s="653"/>
    </row>
    <row r="8" spans="1:32" ht="20.149999999999999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0</v>
      </c>
      <c r="T9" s="321">
        <f t="shared" si="16"/>
        <v>0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49999999999999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0</v>
      </c>
      <c r="R10" s="285">
        <f t="shared" si="13"/>
        <v>159.96313985627418</v>
      </c>
      <c r="S10" s="287">
        <f>SUM(ELEC!N10)</f>
        <v>0</v>
      </c>
      <c r="T10" s="321">
        <f t="shared" si="16"/>
        <v>0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49999999999999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49999999999999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49999999999999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49999999999999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49999999999999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214</v>
      </c>
      <c r="X15" s="246">
        <f>'[2]EDl log'!X32</f>
        <v>53.5</v>
      </c>
      <c r="Y15" s="246">
        <f>'[2]EDl log'!Y32</f>
        <v>53.5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49999999999999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49999999999999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49999999999999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49999999999999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49999999999999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49999999999999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8"/>
      <c r="AC21" s="649"/>
    </row>
    <row r="22" spans="1:32" ht="20.149999999999999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2"/>
      <c r="W22" s="643"/>
      <c r="X22" s="643"/>
      <c r="Y22" s="644"/>
      <c r="Z22" s="26" t="s">
        <v>202</v>
      </c>
      <c r="AA22" s="26">
        <v>5000</v>
      </c>
      <c r="AB22" s="650"/>
      <c r="AC22" s="651"/>
    </row>
    <row r="23" spans="1:32" ht="20.149999999999999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5"/>
      <c r="W23" s="646"/>
      <c r="X23" s="646"/>
      <c r="Y23" s="647"/>
      <c r="Z23" s="654"/>
      <c r="AA23" s="655"/>
      <c r="AB23" s="650"/>
      <c r="AC23" s="651"/>
    </row>
    <row r="24" spans="1:32" ht="20.149999999999999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7" t="s">
        <v>203</v>
      </c>
      <c r="W24" s="638"/>
      <c r="X24" s="639" t="s">
        <v>204</v>
      </c>
      <c r="Y24" s="640"/>
      <c r="Z24" s="641"/>
      <c r="AA24" s="170"/>
      <c r="AB24" s="652"/>
      <c r="AC24" s="653"/>
    </row>
    <row r="25" spans="1:32" ht="20.149999999999999" customHeight="1">
      <c r="A25" s="163">
        <f>ELEC!C25</f>
        <v>44826</v>
      </c>
      <c r="B25" s="608">
        <f t="shared" si="6"/>
        <v>1124410</v>
      </c>
      <c r="C25" s="254">
        <f t="shared" si="0"/>
        <v>0</v>
      </c>
      <c r="D25" s="295">
        <f t="shared" si="14"/>
        <v>0</v>
      </c>
      <c r="E25" s="295">
        <f t="shared" si="15"/>
        <v>1124410</v>
      </c>
      <c r="F25" s="608">
        <f t="shared" si="7"/>
        <v>161410</v>
      </c>
      <c r="G25" s="160">
        <f t="shared" si="1"/>
        <v>0</v>
      </c>
      <c r="H25" s="608">
        <f t="shared" si="8"/>
        <v>561097</v>
      </c>
      <c r="I25" s="161">
        <f t="shared" si="2"/>
        <v>0</v>
      </c>
      <c r="J25" s="606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44827</v>
      </c>
      <c r="B26" s="608">
        <f t="shared" si="6"/>
        <v>1124410</v>
      </c>
      <c r="C26" s="254">
        <f t="shared" si="0"/>
        <v>0</v>
      </c>
      <c r="D26" s="295">
        <f t="shared" si="14"/>
        <v>0</v>
      </c>
      <c r="E26" s="295">
        <f t="shared" si="15"/>
        <v>1124410</v>
      </c>
      <c r="F26" s="608">
        <f t="shared" si="7"/>
        <v>161410</v>
      </c>
      <c r="G26" s="160">
        <f t="shared" si="1"/>
        <v>0</v>
      </c>
      <c r="H26" s="608">
        <f t="shared" si="8"/>
        <v>561097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49999999999999" customHeight="1">
      <c r="A27" s="163">
        <f>ELEC!C27</f>
        <v>44828</v>
      </c>
      <c r="B27" s="608">
        <f t="shared" si="6"/>
        <v>1124410</v>
      </c>
      <c r="C27" s="254">
        <f t="shared" si="0"/>
        <v>0</v>
      </c>
      <c r="D27" s="295">
        <f t="shared" si="14"/>
        <v>0</v>
      </c>
      <c r="E27" s="295">
        <f t="shared" si="15"/>
        <v>1124410</v>
      </c>
      <c r="F27" s="608">
        <f t="shared" si="7"/>
        <v>161410</v>
      </c>
      <c r="G27" s="160">
        <f t="shared" si="1"/>
        <v>0</v>
      </c>
      <c r="H27" s="608">
        <f t="shared" si="8"/>
        <v>561097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49999999999999" customHeight="1">
      <c r="A28" s="163">
        <f>ELEC!C28</f>
        <v>44829</v>
      </c>
      <c r="B28" s="608">
        <f t="shared" si="6"/>
        <v>1124410</v>
      </c>
      <c r="C28" s="254">
        <f t="shared" si="0"/>
        <v>0</v>
      </c>
      <c r="D28" s="295">
        <f t="shared" si="14"/>
        <v>0</v>
      </c>
      <c r="E28" s="295">
        <f t="shared" si="15"/>
        <v>1124410</v>
      </c>
      <c r="F28" s="608">
        <f t="shared" si="7"/>
        <v>161410</v>
      </c>
      <c r="G28" s="160">
        <f t="shared" si="1"/>
        <v>0</v>
      </c>
      <c r="H28" s="608">
        <f t="shared" si="8"/>
        <v>561097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44830</v>
      </c>
      <c r="B29" s="608">
        <f t="shared" si="6"/>
        <v>1124410</v>
      </c>
      <c r="C29" s="254">
        <f t="shared" si="0"/>
        <v>0</v>
      </c>
      <c r="D29" s="295">
        <f t="shared" si="14"/>
        <v>0</v>
      </c>
      <c r="E29" s="295">
        <f t="shared" si="15"/>
        <v>1124410</v>
      </c>
      <c r="F29" s="608">
        <f t="shared" si="7"/>
        <v>161410</v>
      </c>
      <c r="G29" s="160">
        <f t="shared" si="1"/>
        <v>0</v>
      </c>
      <c r="H29" s="608">
        <f t="shared" si="8"/>
        <v>561097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49999999999999" customHeight="1">
      <c r="A30" s="163">
        <f>ELEC!C30</f>
        <v>44831</v>
      </c>
      <c r="B30" s="608">
        <f t="shared" si="6"/>
        <v>1124410</v>
      </c>
      <c r="C30" s="254">
        <f t="shared" si="0"/>
        <v>0</v>
      </c>
      <c r="D30" s="295">
        <f t="shared" si="14"/>
        <v>0</v>
      </c>
      <c r="E30" s="295">
        <f t="shared" si="15"/>
        <v>1124410</v>
      </c>
      <c r="F30" s="608">
        <f t="shared" si="7"/>
        <v>161410</v>
      </c>
      <c r="G30" s="160">
        <f t="shared" si="1"/>
        <v>0</v>
      </c>
      <c r="H30" s="608">
        <f t="shared" si="8"/>
        <v>561097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49999999999999" customHeight="1">
      <c r="A31" s="163">
        <f>ELEC!C31</f>
        <v>44832</v>
      </c>
      <c r="B31" s="608">
        <f t="shared" si="6"/>
        <v>1124410</v>
      </c>
      <c r="C31" s="254">
        <f>SUM(B31-B30)</f>
        <v>0</v>
      </c>
      <c r="D31" s="295">
        <f t="shared" si="14"/>
        <v>0</v>
      </c>
      <c r="E31" s="295">
        <f t="shared" si="15"/>
        <v>1124410</v>
      </c>
      <c r="F31" s="608">
        <f t="shared" si="7"/>
        <v>161410</v>
      </c>
      <c r="G31" s="160">
        <f>F31-F30</f>
        <v>0</v>
      </c>
      <c r="H31" s="608">
        <f t="shared" si="8"/>
        <v>561097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44833</v>
      </c>
      <c r="B32" s="608">
        <f t="shared" si="6"/>
        <v>1124410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1124410</v>
      </c>
      <c r="F32" s="608">
        <f t="shared" si="7"/>
        <v>161410</v>
      </c>
      <c r="G32" s="160">
        <f t="shared" ref="G32:G34" si="22">F32-F31</f>
        <v>0</v>
      </c>
      <c r="H32" s="608">
        <f t="shared" si="8"/>
        <v>561097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13</v>
      </c>
      <c r="X32" s="222">
        <f>SUM(W32/A35)</f>
        <v>-13</v>
      </c>
      <c r="Y32" s="250">
        <f>SUM(X32/1)</f>
        <v>-13</v>
      </c>
      <c r="Z32" s="3"/>
      <c r="AA32" s="323"/>
      <c r="AB32" s="323"/>
      <c r="AC32" s="244"/>
    </row>
    <row r="33" spans="1:32" ht="20.149999999999999" customHeight="1">
      <c r="A33" s="163">
        <f>ELEC!C33</f>
        <v>44834</v>
      </c>
      <c r="B33" s="608">
        <f t="shared" si="6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8">
        <f t="shared" si="7"/>
        <v>161410</v>
      </c>
      <c r="G33" s="160">
        <f t="shared" si="22"/>
        <v>0</v>
      </c>
      <c r="H33" s="608">
        <f t="shared" si="8"/>
        <v>561097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795776.63</v>
      </c>
      <c r="AC33" s="244">
        <f>SUM(AC29)</f>
        <v>7234333</v>
      </c>
    </row>
    <row r="34" spans="1:32" ht="20.149999999999999" customHeight="1">
      <c r="A34" s="163">
        <f>ELEC!C34</f>
        <v>44835</v>
      </c>
      <c r="B34" s="608">
        <f t="shared" si="6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8">
        <f t="shared" si="7"/>
        <v>161410</v>
      </c>
      <c r="G34" s="160">
        <f t="shared" si="22"/>
        <v>0</v>
      </c>
      <c r="H34" s="608">
        <f t="shared" si="8"/>
        <v>561097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" thickBot="1">
      <c r="A35" s="499">
        <f>A37-COUNTIF(C4:C34,0)</f>
        <v>-1</v>
      </c>
      <c r="C35" s="173">
        <f>SUM(C4:C34)/A35</f>
        <v>0</v>
      </c>
      <c r="D35" s="173"/>
      <c r="E35" s="173"/>
      <c r="F35" s="562"/>
      <c r="G35" s="562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4"/>
      <c r="AC45" s="634"/>
      <c r="AD45" s="540"/>
      <c r="AE45" s="17"/>
      <c r="AF45" s="17"/>
    </row>
    <row r="46" spans="1:32">
      <c r="V46" s="634"/>
      <c r="W46" s="634"/>
      <c r="X46" s="634"/>
      <c r="Y46" s="634"/>
      <c r="Z46" s="506"/>
      <c r="AA46" s="506"/>
      <c r="AB46" s="634"/>
      <c r="AC46" s="634"/>
      <c r="AD46" s="540"/>
      <c r="AE46" s="17"/>
      <c r="AF46" s="17"/>
    </row>
    <row r="47" spans="1:32">
      <c r="V47" s="634"/>
      <c r="W47" s="634"/>
      <c r="X47" s="634"/>
      <c r="Y47" s="634"/>
      <c r="Z47" s="634"/>
      <c r="AA47" s="634"/>
      <c r="AB47" s="634"/>
      <c r="AC47" s="634"/>
      <c r="AD47" s="540"/>
      <c r="AE47" s="17"/>
      <c r="AF47" s="17"/>
    </row>
    <row r="48" spans="1:32">
      <c r="V48" s="635"/>
      <c r="W48" s="635"/>
      <c r="X48" s="636"/>
      <c r="Y48" s="636"/>
      <c r="Z48" s="636"/>
      <c r="AA48" s="507"/>
      <c r="AB48" s="634"/>
      <c r="AC48" s="634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E6" sqref="E6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/>
      <c r="C22" s="37"/>
      <c r="D22" s="26">
        <f t="shared" si="3"/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-29.5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44808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44809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44822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44823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5"/>
      <c r="B1" s="662" t="s">
        <v>119</v>
      </c>
      <c r="C1" s="662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70" t="s">
        <v>115</v>
      </c>
      <c r="I1" s="671" t="s">
        <v>116</v>
      </c>
      <c r="J1" s="670" t="s">
        <v>117</v>
      </c>
      <c r="K1" s="664" t="s">
        <v>121</v>
      </c>
      <c r="L1" s="664" t="s">
        <v>122</v>
      </c>
      <c r="M1" s="664" t="s">
        <v>123</v>
      </c>
      <c r="N1" s="664" t="s">
        <v>124</v>
      </c>
    </row>
    <row r="2" spans="1:14">
      <c r="A2" s="666"/>
      <c r="B2" s="663"/>
      <c r="C2" s="663"/>
      <c r="D2" s="667"/>
      <c r="E2" s="667"/>
      <c r="F2" s="668"/>
      <c r="G2" s="669"/>
      <c r="H2" s="670"/>
      <c r="I2" s="672"/>
      <c r="J2" s="670"/>
      <c r="K2" s="664"/>
      <c r="L2" s="664"/>
      <c r="M2" s="664"/>
      <c r="N2" s="66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3" t="s">
        <v>151</v>
      </c>
      <c r="U3" s="67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-1</v>
      </c>
      <c r="G8">
        <f t="shared" si="1"/>
        <v>-107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3" t="s">
        <v>51</v>
      </c>
      <c r="B1" s="695" t="s">
        <v>316</v>
      </c>
      <c r="C1" s="696"/>
      <c r="D1" s="698"/>
      <c r="E1" s="695" t="s">
        <v>317</v>
      </c>
      <c r="F1" s="696"/>
      <c r="G1" s="697"/>
      <c r="H1" s="692" t="s">
        <v>321</v>
      </c>
      <c r="I1" s="689" t="s">
        <v>322</v>
      </c>
      <c r="J1" s="686" t="s">
        <v>43</v>
      </c>
    </row>
    <row r="2" spans="1:18" ht="37.5" thickBot="1">
      <c r="A2" s="684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3"/>
      <c r="I2" s="690"/>
      <c r="J2" s="687"/>
    </row>
    <row r="3" spans="1:18" ht="24" customHeight="1" thickBot="1">
      <c r="A3" s="685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4"/>
      <c r="I3" s="691"/>
      <c r="J3" s="688"/>
    </row>
    <row r="4" spans="1:18" ht="19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4" t="s">
        <v>417</v>
      </c>
      <c r="C5" s="675"/>
      <c r="D5" s="675"/>
      <c r="E5" s="675"/>
      <c r="F5" s="675"/>
      <c r="G5" s="676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7"/>
      <c r="C6" s="678"/>
      <c r="D6" s="678"/>
      <c r="E6" s="678"/>
      <c r="F6" s="678"/>
      <c r="G6" s="679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7"/>
      <c r="C7" s="678"/>
      <c r="D7" s="678"/>
      <c r="E7" s="678"/>
      <c r="F7" s="678"/>
      <c r="G7" s="679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7"/>
      <c r="C8" s="678"/>
      <c r="D8" s="678"/>
      <c r="E8" s="678"/>
      <c r="F8" s="678"/>
      <c r="G8" s="679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7"/>
      <c r="C9" s="678"/>
      <c r="D9" s="678"/>
      <c r="E9" s="678"/>
      <c r="F9" s="678"/>
      <c r="G9" s="679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7"/>
      <c r="C10" s="678"/>
      <c r="D10" s="678"/>
      <c r="E10" s="678"/>
      <c r="F10" s="678"/>
      <c r="G10" s="679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7"/>
      <c r="C11" s="678"/>
      <c r="D11" s="678"/>
      <c r="E11" s="678"/>
      <c r="F11" s="678"/>
      <c r="G11" s="679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6">
        <f>ELEC!C10</f>
        <v>44811</v>
      </c>
      <c r="B12" s="677"/>
      <c r="C12" s="678"/>
      <c r="D12" s="678"/>
      <c r="E12" s="678"/>
      <c r="F12" s="678"/>
      <c r="G12" s="679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7"/>
      <c r="C13" s="678"/>
      <c r="D13" s="678"/>
      <c r="E13" s="678"/>
      <c r="F13" s="678"/>
      <c r="G13" s="679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7"/>
      <c r="C14" s="678"/>
      <c r="D14" s="678"/>
      <c r="E14" s="678"/>
      <c r="F14" s="678"/>
      <c r="G14" s="679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7"/>
      <c r="C15" s="678"/>
      <c r="D15" s="678"/>
      <c r="E15" s="678"/>
      <c r="F15" s="678"/>
      <c r="G15" s="679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7"/>
      <c r="C16" s="678"/>
      <c r="D16" s="678"/>
      <c r="E16" s="678"/>
      <c r="F16" s="678"/>
      <c r="G16" s="679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7"/>
      <c r="C17" s="678"/>
      <c r="D17" s="678"/>
      <c r="E17" s="678"/>
      <c r="F17" s="678"/>
      <c r="G17" s="679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7"/>
      <c r="C18" s="678"/>
      <c r="D18" s="678"/>
      <c r="E18" s="678"/>
      <c r="F18" s="678"/>
      <c r="G18" s="679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7"/>
      <c r="C19" s="678"/>
      <c r="D19" s="678"/>
      <c r="E19" s="678"/>
      <c r="F19" s="678"/>
      <c r="G19" s="679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7"/>
      <c r="C20" s="678"/>
      <c r="D20" s="678"/>
      <c r="E20" s="678"/>
      <c r="F20" s="678"/>
      <c r="G20" s="679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7"/>
      <c r="C21" s="678"/>
      <c r="D21" s="678"/>
      <c r="E21" s="678"/>
      <c r="F21" s="678"/>
      <c r="G21" s="679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7"/>
      <c r="C22" s="678"/>
      <c r="D22" s="678"/>
      <c r="E22" s="678"/>
      <c r="F22" s="678"/>
      <c r="G22" s="679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7"/>
      <c r="C23" s="678"/>
      <c r="D23" s="678"/>
      <c r="E23" s="678"/>
      <c r="F23" s="678"/>
      <c r="G23" s="679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7"/>
      <c r="C24" s="678"/>
      <c r="D24" s="678"/>
      <c r="E24" s="678"/>
      <c r="F24" s="678"/>
      <c r="G24" s="679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7"/>
      <c r="C25" s="678"/>
      <c r="D25" s="678"/>
      <c r="E25" s="678"/>
      <c r="F25" s="678"/>
      <c r="G25" s="679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7"/>
      <c r="C26" s="678"/>
      <c r="D26" s="678"/>
      <c r="E26" s="678"/>
      <c r="F26" s="678"/>
      <c r="G26" s="679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7"/>
      <c r="C27" s="678"/>
      <c r="D27" s="678"/>
      <c r="E27" s="678"/>
      <c r="F27" s="678"/>
      <c r="G27" s="679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7"/>
      <c r="C28" s="678"/>
      <c r="D28" s="678"/>
      <c r="E28" s="678"/>
      <c r="F28" s="678"/>
      <c r="G28" s="679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7"/>
      <c r="C29" s="678"/>
      <c r="D29" s="678"/>
      <c r="E29" s="678"/>
      <c r="F29" s="678"/>
      <c r="G29" s="679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7"/>
      <c r="C30" s="678"/>
      <c r="D30" s="678"/>
      <c r="E30" s="678"/>
      <c r="F30" s="678"/>
      <c r="G30" s="679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7"/>
      <c r="C31" s="678"/>
      <c r="D31" s="678"/>
      <c r="E31" s="678"/>
      <c r="F31" s="678"/>
      <c r="G31" s="679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7"/>
      <c r="C32" s="678"/>
      <c r="D32" s="678"/>
      <c r="E32" s="678"/>
      <c r="F32" s="678"/>
      <c r="G32" s="679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7"/>
      <c r="C33" s="678"/>
      <c r="D33" s="678"/>
      <c r="E33" s="678"/>
      <c r="F33" s="678"/>
      <c r="G33" s="679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7"/>
      <c r="C34" s="678"/>
      <c r="D34" s="678"/>
      <c r="E34" s="678"/>
      <c r="F34" s="678"/>
      <c r="G34" s="679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7"/>
      <c r="C35" s="678"/>
      <c r="D35" s="678"/>
      <c r="E35" s="678"/>
      <c r="F35" s="678"/>
      <c r="G35" s="679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7">
        <f>ELEC!C34</f>
        <v>44835</v>
      </c>
      <c r="B36" s="680"/>
      <c r="C36" s="681"/>
      <c r="D36" s="681"/>
      <c r="E36" s="681"/>
      <c r="F36" s="681"/>
      <c r="G36" s="682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699" t="s">
        <v>161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</row>
    <row r="2" spans="1:28" ht="19.5">
      <c r="A2" s="700"/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</row>
    <row r="3" spans="1:28" ht="19.5">
      <c r="A3" s="700" t="s">
        <v>162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W3" s="700"/>
      <c r="X3" s="70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0" t="s">
        <v>404</v>
      </c>
      <c r="B5" s="700"/>
      <c r="C5" s="700"/>
      <c r="D5" s="700"/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00"/>
      <c r="P5" s="700"/>
      <c r="Q5" s="700"/>
      <c r="R5" s="700"/>
      <c r="S5" s="700"/>
      <c r="T5" s="700"/>
      <c r="U5" s="700"/>
      <c r="V5" s="700"/>
      <c r="W5" s="700"/>
      <c r="X5" s="700"/>
    </row>
    <row r="6" spans="1:28" ht="15" thickBot="1">
      <c r="A6" s="701"/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01"/>
      <c r="M6" s="701"/>
      <c r="N6" s="701"/>
      <c r="O6" s="701"/>
      <c r="P6" s="701"/>
      <c r="Q6" s="701"/>
      <c r="R6" s="701"/>
      <c r="S6" s="701"/>
      <c r="T6" s="701"/>
      <c r="U6" s="701"/>
      <c r="V6" s="701"/>
      <c r="W6" s="701"/>
      <c r="X6" s="701"/>
    </row>
    <row r="7" spans="1:28" ht="1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0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0</v>
      </c>
      <c r="K51" s="261">
        <f>'General information '!C8</f>
        <v>0</v>
      </c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0</v>
      </c>
      <c r="K52" s="261">
        <f>'General information '!C9</f>
        <v>0</v>
      </c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-530.70000000000016</v>
      </c>
      <c r="K81" s="119">
        <f>SUMIF(L48:L78,"&gt;0")</f>
        <v>11.2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-3577.6000000000008</v>
      </c>
      <c r="O86" s="142">
        <f>C43+G43+K43+O43+S43+W43+C81+G81+K81+O81+S81+W81</f>
        <v>547.5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K11" sqref="K10:K11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3" t="s">
        <v>214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8">
        <f>E8*$G$4</f>
        <v>0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8">
        <f>E10*$G$4</f>
        <v>159.96313985627418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433.29647318960747</v>
      </c>
      <c r="F12" s="180">
        <f>SUM(F6:F10)</f>
        <v>12998.894195688226</v>
      </c>
      <c r="G12" s="179">
        <f>SUM(G6:G10)</f>
        <v>8359.9631398562742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11.2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-71768.936860143716</v>
      </c>
      <c r="I14" s="406">
        <f>SUM(G12-I12)</f>
        <v>-42883.956580573838</v>
      </c>
    </row>
    <row r="15" spans="1:11">
      <c r="A15" s="428" t="s">
        <v>301</v>
      </c>
      <c r="B15" s="97">
        <f>'Degree Days 2022'!J81</f>
        <v>-530.70000000000016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-29.5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13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-189.66666666666666</v>
      </c>
    </row>
    <row r="19" spans="1:10">
      <c r="A19" s="489" t="s">
        <v>412</v>
      </c>
      <c r="B19" s="491">
        <f>GEN!AL34</f>
        <v>1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13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2022-09-02T11:38:58Z</dcterms:modified>
</cp:coreProperties>
</file>