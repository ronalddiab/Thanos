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11"/>
  <workbookPr showInkAnnotation="0" codeName="ThisWorkbook" defaultThemeVersion="124226"/>
  <xr:revisionPtr revIDLastSave="0" documentId="8_{8DDD08FB-C1AC-4A21-9999-96E7180A0502}" xr6:coauthVersionLast="46" xr6:coauthVersionMax="46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3 au 31.03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01.03 au 31.03'!$A$1:$AE$49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6" l="1"/>
  <c r="E26" i="6"/>
  <c r="C26" i="6"/>
  <c r="G21" i="4"/>
  <c r="E21" i="4"/>
  <c r="C21" i="4"/>
  <c r="G19" i="4"/>
  <c r="E19" i="4"/>
  <c r="C19" i="4"/>
  <c r="G18" i="4"/>
  <c r="E18" i="4"/>
  <c r="C18" i="4"/>
  <c r="G25" i="6"/>
  <c r="E25" i="6"/>
  <c r="C25" i="6"/>
  <c r="G24" i="6"/>
  <c r="E24" i="6"/>
  <c r="C24" i="6"/>
  <c r="G23" i="6"/>
  <c r="E23" i="6"/>
  <c r="C23" i="6"/>
  <c r="G22" i="6"/>
  <c r="E22" i="6"/>
  <c r="C22" i="6"/>
  <c r="G17" i="4"/>
  <c r="E17" i="4"/>
  <c r="C17" i="4"/>
  <c r="G18" i="6"/>
  <c r="G19" i="6"/>
  <c r="G20" i="6"/>
  <c r="G21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E18" i="6"/>
  <c r="E19" i="6"/>
  <c r="E20" i="6"/>
  <c r="E21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C18" i="6"/>
  <c r="C19" i="6"/>
  <c r="C20" i="6"/>
  <c r="C21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G16" i="4"/>
  <c r="E16" i="4"/>
  <c r="C16" i="4"/>
  <c r="U11" i="10"/>
  <c r="U12" i="10"/>
  <c r="U13" i="10"/>
  <c r="U14" i="10"/>
  <c r="U15" i="10"/>
  <c r="U16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10" i="10"/>
  <c r="G17" i="6"/>
  <c r="E17" i="6"/>
  <c r="C17" i="6"/>
  <c r="G16" i="6"/>
  <c r="E16" i="6"/>
  <c r="C16" i="6"/>
  <c r="M15" i="4"/>
  <c r="J15" i="4"/>
  <c r="K15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G15" i="6"/>
  <c r="K12" i="10" s="1"/>
  <c r="E15" i="6"/>
  <c r="J12" i="10" s="1"/>
  <c r="C15" i="6"/>
  <c r="D12" i="10" s="1"/>
  <c r="G14" i="6"/>
  <c r="K11" i="10" s="1"/>
  <c r="E14" i="6"/>
  <c r="J11" i="10" s="1"/>
  <c r="C14" i="6"/>
  <c r="D11" i="10" s="1"/>
  <c r="M32" i="13" l="1"/>
  <c r="M31" i="13"/>
  <c r="M30" i="13"/>
  <c r="Z43" i="4"/>
  <c r="W43" i="4"/>
  <c r="T43" i="4"/>
  <c r="Q43" i="4"/>
  <c r="D13" i="10"/>
  <c r="J13" i="10"/>
  <c r="K13" i="10"/>
  <c r="D14" i="10"/>
  <c r="J14" i="10"/>
  <c r="K14" i="10"/>
  <c r="D15" i="10"/>
  <c r="J15" i="10"/>
  <c r="K15" i="10"/>
  <c r="D16" i="10"/>
  <c r="J16" i="10"/>
  <c r="K16" i="10"/>
  <c r="D17" i="10"/>
  <c r="J17" i="10"/>
  <c r="K17" i="10"/>
  <c r="D18" i="10"/>
  <c r="J18" i="10"/>
  <c r="K18" i="10"/>
  <c r="D19" i="10"/>
  <c r="J19" i="10"/>
  <c r="K19" i="10"/>
  <c r="D20" i="10"/>
  <c r="J20" i="10"/>
  <c r="K20" i="10"/>
  <c r="D21" i="10"/>
  <c r="J21" i="10"/>
  <c r="K21" i="10"/>
  <c r="D22" i="10"/>
  <c r="J22" i="10"/>
  <c r="K22" i="10"/>
  <c r="D23" i="10"/>
  <c r="J23" i="10"/>
  <c r="K23" i="10"/>
  <c r="D24" i="10"/>
  <c r="J24" i="10"/>
  <c r="K24" i="10"/>
  <c r="D25" i="10"/>
  <c r="J25" i="10"/>
  <c r="K25" i="10"/>
  <c r="D26" i="10"/>
  <c r="J26" i="10"/>
  <c r="K26" i="10"/>
  <c r="D27" i="10"/>
  <c r="J27" i="10"/>
  <c r="K27" i="10"/>
  <c r="D28" i="10"/>
  <c r="J28" i="10"/>
  <c r="K28" i="10"/>
  <c r="D29" i="10"/>
  <c r="J29" i="10"/>
  <c r="K29" i="10"/>
  <c r="D30" i="10"/>
  <c r="J30" i="10"/>
  <c r="K30" i="10"/>
  <c r="D31" i="10"/>
  <c r="J31" i="10"/>
  <c r="K31" i="10"/>
  <c r="D32" i="10"/>
  <c r="J32" i="10"/>
  <c r="K32" i="10"/>
  <c r="D33" i="10"/>
  <c r="J33" i="10"/>
  <c r="K33" i="10"/>
  <c r="D34" i="10"/>
  <c r="J34" i="10"/>
  <c r="K34" i="10"/>
  <c r="D35" i="10"/>
  <c r="J35" i="10"/>
  <c r="K35" i="10"/>
  <c r="D36" i="10"/>
  <c r="J36" i="10"/>
  <c r="K36" i="10"/>
  <c r="D37" i="10"/>
  <c r="J37" i="10"/>
  <c r="K37" i="10"/>
  <c r="D38" i="10"/>
  <c r="K30" i="13" s="1"/>
  <c r="J38" i="10"/>
  <c r="K38" i="10"/>
  <c r="D39" i="10"/>
  <c r="K31" i="13" s="1"/>
  <c r="J39" i="10"/>
  <c r="K39" i="10"/>
  <c r="D40" i="10"/>
  <c r="K32" i="13" s="1"/>
  <c r="J40" i="10"/>
  <c r="K40" i="10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J10" i="4"/>
  <c r="K10" i="4" s="1"/>
  <c r="M10" i="4"/>
  <c r="J16" i="4"/>
  <c r="K16" i="4" s="1"/>
  <c r="M16" i="4"/>
  <c r="J17" i="4"/>
  <c r="K17" i="4"/>
  <c r="M17" i="4"/>
  <c r="J18" i="4"/>
  <c r="K18" i="4" s="1"/>
  <c r="M18" i="4"/>
  <c r="J19" i="4"/>
  <c r="K19" i="4"/>
  <c r="M19" i="4"/>
  <c r="J20" i="4"/>
  <c r="K20" i="4"/>
  <c r="M20" i="4"/>
  <c r="J21" i="4"/>
  <c r="K21" i="4"/>
  <c r="M21" i="4"/>
  <c r="J22" i="4"/>
  <c r="K22" i="4" s="1"/>
  <c r="M22" i="4"/>
  <c r="J23" i="4"/>
  <c r="K23" i="4"/>
  <c r="M23" i="4"/>
  <c r="J24" i="4"/>
  <c r="K24" i="4"/>
  <c r="M24" i="4"/>
  <c r="J25" i="4"/>
  <c r="K25" i="4"/>
  <c r="M25" i="4"/>
  <c r="J26" i="4"/>
  <c r="K26" i="4"/>
  <c r="M26" i="4"/>
  <c r="J27" i="4"/>
  <c r="K27" i="4"/>
  <c r="M27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38" i="4"/>
  <c r="K38" i="4"/>
  <c r="M38" i="4"/>
  <c r="J39" i="4"/>
  <c r="K39" i="4"/>
  <c r="M39" i="4"/>
  <c r="J40" i="4"/>
  <c r="K40" i="4" s="1"/>
  <c r="M40" i="4"/>
  <c r="J41" i="4"/>
  <c r="K41" i="4"/>
  <c r="M41" i="4"/>
  <c r="J42" i="4"/>
  <c r="K42" i="4"/>
  <c r="M42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8" i="6" l="1"/>
  <c r="D10" i="10"/>
  <c r="D41" i="10" s="1"/>
  <c r="J10" i="10"/>
  <c r="J41" i="10" s="1"/>
  <c r="E48" i="6"/>
  <c r="K10" i="10"/>
  <c r="K41" i="10" s="1"/>
  <c r="G48" i="6"/>
  <c r="AE13" i="4" l="1"/>
  <c r="AD13" i="4"/>
  <c r="AC13" i="4"/>
  <c r="L13" i="4" s="1"/>
  <c r="N13" i="4" s="1"/>
  <c r="O13" i="4" s="1"/>
  <c r="P13" i="4" s="1"/>
  <c r="AE19" i="4"/>
  <c r="AD19" i="4"/>
  <c r="AC19" i="4"/>
  <c r="I19" i="4" l="1"/>
  <c r="L19" i="4"/>
  <c r="N19" i="4" s="1"/>
  <c r="O19" i="4" s="1"/>
  <c r="I20" i="6"/>
  <c r="L17" i="10" s="1"/>
  <c r="P19" i="4" l="1"/>
  <c r="U21" i="10"/>
  <c r="Y34" i="10"/>
  <c r="Y35" i="10"/>
  <c r="Y36" i="10"/>
  <c r="Y37" i="10"/>
  <c r="Y38" i="10"/>
  <c r="I30" i="13" s="1"/>
  <c r="Y39" i="10"/>
  <c r="I31" i="13" s="1"/>
  <c r="Y40" i="10"/>
  <c r="I32" i="13" s="1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20" i="4" l="1"/>
  <c r="E20" i="4"/>
  <c r="C20" i="4"/>
  <c r="P15" i="4"/>
  <c r="U17" i="10"/>
  <c r="L14" i="4"/>
  <c r="N14" i="4" s="1"/>
  <c r="O14" i="4" s="1"/>
  <c r="P14" i="4" s="1"/>
  <c r="I14" i="4"/>
  <c r="L12" i="4"/>
  <c r="N12" i="4" s="1"/>
  <c r="O12" i="4" s="1"/>
  <c r="P12" i="4" s="1"/>
  <c r="I12" i="4"/>
  <c r="G12" i="4"/>
  <c r="E12" i="4"/>
  <c r="C12" i="4"/>
  <c r="I11" i="4"/>
  <c r="G11" i="4"/>
  <c r="E11" i="4"/>
  <c r="C11" i="4"/>
  <c r="C42" i="4"/>
  <c r="E42" i="4"/>
  <c r="G42" i="4"/>
  <c r="I42" i="4"/>
  <c r="L42" i="4"/>
  <c r="N42" i="4" s="1"/>
  <c r="O42" i="4" s="1"/>
  <c r="P42" i="4" s="1"/>
  <c r="C41" i="4"/>
  <c r="E41" i="4"/>
  <c r="G41" i="4"/>
  <c r="I41" i="4"/>
  <c r="L41" i="4"/>
  <c r="N41" i="4" s="1"/>
  <c r="O41" i="4" s="1"/>
  <c r="P41" i="4" s="1"/>
  <c r="C40" i="4"/>
  <c r="E40" i="4"/>
  <c r="G40" i="4"/>
  <c r="I40" i="4"/>
  <c r="L40" i="4"/>
  <c r="N40" i="4" s="1"/>
  <c r="O40" i="4" s="1"/>
  <c r="P40" i="4" s="1"/>
  <c r="C39" i="4"/>
  <c r="E39" i="4"/>
  <c r="G39" i="4"/>
  <c r="I39" i="4"/>
  <c r="L39" i="4"/>
  <c r="N39" i="4" s="1"/>
  <c r="O39" i="4" s="1"/>
  <c r="P39" i="4" s="1"/>
  <c r="C38" i="4"/>
  <c r="E38" i="4"/>
  <c r="G38" i="4"/>
  <c r="I38" i="4"/>
  <c r="L38" i="4"/>
  <c r="N38" i="4" s="1"/>
  <c r="O38" i="4" s="1"/>
  <c r="P38" i="4" s="1"/>
  <c r="C37" i="4"/>
  <c r="E37" i="4"/>
  <c r="G37" i="4"/>
  <c r="I37" i="4"/>
  <c r="L37" i="4"/>
  <c r="N37" i="4" s="1"/>
  <c r="O37" i="4" s="1"/>
  <c r="P37" i="4" s="1"/>
  <c r="C36" i="4"/>
  <c r="E36" i="4"/>
  <c r="G36" i="4"/>
  <c r="I36" i="4"/>
  <c r="L36" i="4"/>
  <c r="N36" i="4" s="1"/>
  <c r="O36" i="4" s="1"/>
  <c r="P36" i="4" s="1"/>
  <c r="C35" i="4"/>
  <c r="E35" i="4"/>
  <c r="G35" i="4"/>
  <c r="I35" i="4"/>
  <c r="L35" i="4"/>
  <c r="N35" i="4" s="1"/>
  <c r="O35" i="4" s="1"/>
  <c r="P35" i="4" s="1"/>
  <c r="C34" i="4"/>
  <c r="E34" i="4"/>
  <c r="G34" i="4"/>
  <c r="I34" i="4"/>
  <c r="L34" i="4"/>
  <c r="N34" i="4" s="1"/>
  <c r="O34" i="4" s="1"/>
  <c r="P34" i="4" s="1"/>
  <c r="C32" i="4"/>
  <c r="E32" i="4"/>
  <c r="G32" i="4"/>
  <c r="I32" i="4"/>
  <c r="L32" i="4"/>
  <c r="N32" i="4" s="1"/>
  <c r="O32" i="4" s="1"/>
  <c r="P32" i="4" s="1"/>
  <c r="C31" i="4"/>
  <c r="E31" i="4"/>
  <c r="G31" i="4"/>
  <c r="I31" i="4"/>
  <c r="L31" i="4"/>
  <c r="N31" i="4" s="1"/>
  <c r="O31" i="4" s="1"/>
  <c r="P31" i="4" s="1"/>
  <c r="C30" i="4"/>
  <c r="E30" i="4"/>
  <c r="G30" i="4"/>
  <c r="I30" i="4"/>
  <c r="L30" i="4"/>
  <c r="N30" i="4" s="1"/>
  <c r="O30" i="4" s="1"/>
  <c r="P30" i="4" s="1"/>
  <c r="C29" i="4"/>
  <c r="E29" i="4"/>
  <c r="G29" i="4"/>
  <c r="I29" i="4"/>
  <c r="L29" i="4"/>
  <c r="N29" i="4" s="1"/>
  <c r="O29" i="4" s="1"/>
  <c r="P29" i="4" s="1"/>
  <c r="C28" i="4"/>
  <c r="E28" i="4"/>
  <c r="G28" i="4"/>
  <c r="I28" i="4"/>
  <c r="L28" i="4"/>
  <c r="N28" i="4" s="1"/>
  <c r="O28" i="4" s="1"/>
  <c r="P28" i="4" s="1"/>
  <c r="C27" i="4"/>
  <c r="E27" i="4"/>
  <c r="G27" i="4"/>
  <c r="I27" i="4"/>
  <c r="L27" i="4"/>
  <c r="N27" i="4" s="1"/>
  <c r="O27" i="4" s="1"/>
  <c r="P27" i="4" s="1"/>
  <c r="C26" i="4"/>
  <c r="E26" i="4"/>
  <c r="G26" i="4"/>
  <c r="I26" i="4"/>
  <c r="L26" i="4"/>
  <c r="N26" i="4" s="1"/>
  <c r="O26" i="4" s="1"/>
  <c r="P26" i="4" s="1"/>
  <c r="C25" i="4"/>
  <c r="E25" i="4"/>
  <c r="G25" i="4"/>
  <c r="I25" i="4"/>
  <c r="L25" i="4"/>
  <c r="N25" i="4" s="1"/>
  <c r="O25" i="4" s="1"/>
  <c r="P25" i="4" s="1"/>
  <c r="C24" i="4"/>
  <c r="E24" i="4"/>
  <c r="G24" i="4"/>
  <c r="I24" i="4"/>
  <c r="L24" i="4"/>
  <c r="N24" i="4" s="1"/>
  <c r="O24" i="4" s="1"/>
  <c r="P24" i="4" s="1"/>
  <c r="C23" i="4"/>
  <c r="E23" i="4"/>
  <c r="G23" i="4"/>
  <c r="I23" i="4"/>
  <c r="L23" i="4"/>
  <c r="N23" i="4" s="1"/>
  <c r="O23" i="4" s="1"/>
  <c r="P23" i="4" s="1"/>
  <c r="C22" i="4"/>
  <c r="E22" i="4"/>
  <c r="G22" i="4"/>
  <c r="I22" i="4"/>
  <c r="L22" i="4"/>
  <c r="N22" i="4" s="1"/>
  <c r="O22" i="4" s="1"/>
  <c r="P22" i="4" s="1"/>
  <c r="I21" i="4"/>
  <c r="L21" i="4"/>
  <c r="N21" i="4" s="1"/>
  <c r="O21" i="4" s="1"/>
  <c r="I20" i="4"/>
  <c r="I17" i="4"/>
  <c r="L17" i="4"/>
  <c r="N17" i="4" s="1"/>
  <c r="O17" i="4" s="1"/>
  <c r="I16" i="4"/>
  <c r="L16" i="4"/>
  <c r="N16" i="4" s="1"/>
  <c r="O16" i="4" s="1"/>
  <c r="G10" i="4"/>
  <c r="E10" i="4"/>
  <c r="C10" i="4"/>
  <c r="I10" i="4"/>
  <c r="L10" i="4"/>
  <c r="N10" i="4" s="1"/>
  <c r="O10" i="4" s="1"/>
  <c r="P10" i="4" s="1"/>
  <c r="G9" i="4"/>
  <c r="E9" i="4"/>
  <c r="C9" i="4"/>
  <c r="I9" i="4"/>
  <c r="L9" i="4"/>
  <c r="N9" i="4" s="1"/>
  <c r="O9" i="4" s="1"/>
  <c r="P9" i="4" s="1"/>
  <c r="G8" i="4"/>
  <c r="E8" i="4"/>
  <c r="C8" i="4"/>
  <c r="AC43" i="4"/>
  <c r="I8" i="4"/>
  <c r="L8" i="4"/>
  <c r="N8" i="4" s="1"/>
  <c r="G7" i="4"/>
  <c r="E7" i="4"/>
  <c r="C7" i="4"/>
  <c r="I7" i="4"/>
  <c r="L7" i="4"/>
  <c r="N7" i="4" s="1"/>
  <c r="O7" i="4" s="1"/>
  <c r="P7" i="4" s="1"/>
  <c r="G6" i="4"/>
  <c r="E6" i="4"/>
  <c r="C6" i="4"/>
  <c r="I6" i="4"/>
  <c r="L6" i="4"/>
  <c r="N6" i="4" s="1"/>
  <c r="O6" i="4" s="1"/>
  <c r="P6" i="4" s="1"/>
  <c r="G5" i="4"/>
  <c r="E5" i="4"/>
  <c r="C5" i="4"/>
  <c r="I5" i="4"/>
  <c r="L5" i="4"/>
  <c r="N5" i="4" s="1"/>
  <c r="O5" i="4" s="1"/>
  <c r="P5" i="4" s="1"/>
  <c r="E33" i="4"/>
  <c r="G33" i="4"/>
  <c r="I33" i="4"/>
  <c r="C33" i="4"/>
  <c r="L33" i="4"/>
  <c r="N33" i="4" s="1"/>
  <c r="O33" i="4" s="1"/>
  <c r="P33" i="4" s="1"/>
  <c r="I18" i="4"/>
  <c r="L18" i="4"/>
  <c r="N18" i="4" s="1"/>
  <c r="O18" i="4" s="1"/>
  <c r="P21" i="4" l="1"/>
  <c r="U23" i="10"/>
  <c r="P18" i="4"/>
  <c r="U20" i="10"/>
  <c r="P17" i="4"/>
  <c r="U19" i="10"/>
  <c r="P16" i="4"/>
  <c r="U18" i="10"/>
  <c r="O8" i="4"/>
  <c r="P8" i="4" s="1"/>
  <c r="I43" i="4"/>
  <c r="C43" i="4"/>
  <c r="E43" i="4"/>
  <c r="G43" i="4"/>
  <c r="W33" i="10"/>
  <c r="W30" i="10"/>
  <c r="W35" i="10"/>
  <c r="W31" i="10"/>
  <c r="W26" i="10"/>
  <c r="W16" i="10"/>
  <c r="W38" i="10" l="1"/>
  <c r="G30" i="13"/>
  <c r="I23" i="6"/>
  <c r="L20" i="10" s="1"/>
  <c r="I24" i="6"/>
  <c r="L21" i="10" s="1"/>
  <c r="I25" i="6"/>
  <c r="L22" i="10" s="1"/>
  <c r="I26" i="6"/>
  <c r="L23" i="10" s="1"/>
  <c r="I27" i="6"/>
  <c r="L24" i="10" s="1"/>
  <c r="I28" i="6"/>
  <c r="L25" i="10" s="1"/>
  <c r="I29" i="6"/>
  <c r="L26" i="10" s="1"/>
  <c r="I30" i="6"/>
  <c r="L27" i="10" s="1"/>
  <c r="I31" i="6"/>
  <c r="L28" i="10" s="1"/>
  <c r="I32" i="6"/>
  <c r="L29" i="10" s="1"/>
  <c r="I33" i="6"/>
  <c r="L30" i="10" s="1"/>
  <c r="I34" i="6"/>
  <c r="L31" i="10" s="1"/>
  <c r="I35" i="6"/>
  <c r="L32" i="10" s="1"/>
  <c r="I36" i="6"/>
  <c r="L33" i="10" s="1"/>
  <c r="I37" i="6"/>
  <c r="L34" i="10" s="1"/>
  <c r="I38" i="6"/>
  <c r="L35" i="10" s="1"/>
  <c r="I39" i="6"/>
  <c r="L36" i="10" s="1"/>
  <c r="I40" i="6"/>
  <c r="L37" i="10" s="1"/>
  <c r="I41" i="6"/>
  <c r="L38" i="10" s="1"/>
  <c r="I42" i="6"/>
  <c r="L39" i="10" s="1"/>
  <c r="I43" i="6"/>
  <c r="L40" i="10" s="1"/>
  <c r="I44" i="6"/>
  <c r="I45" i="6"/>
  <c r="I46" i="6"/>
  <c r="I47" i="6"/>
  <c r="I21" i="6"/>
  <c r="L18" i="10" s="1"/>
  <c r="I22" i="6"/>
  <c r="L19" i="10" s="1"/>
  <c r="I17" i="6" l="1"/>
  <c r="L14" i="10" s="1"/>
  <c r="I18" i="6"/>
  <c r="L15" i="10" s="1"/>
  <c r="I19" i="6"/>
  <c r="L16" i="10" s="1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L10" i="10" s="1"/>
  <c r="I14" i="6"/>
  <c r="L11" i="10" s="1"/>
  <c r="I15" i="6"/>
  <c r="L12" i="10" s="1"/>
  <c r="I16" i="6"/>
  <c r="L13" i="10" s="1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Y10" i="10"/>
  <c r="Y11" i="10"/>
  <c r="Y12" i="10"/>
  <c r="I4" i="13" s="1"/>
  <c r="Y13" i="10"/>
  <c r="I5" i="13" s="1"/>
  <c r="Q41" i="10"/>
  <c r="S41" i="10"/>
  <c r="F26" i="10"/>
  <c r="F29" i="10"/>
  <c r="F31" i="10"/>
  <c r="F35" i="10"/>
  <c r="K2" i="13"/>
  <c r="F27" i="10"/>
  <c r="F33" i="10"/>
  <c r="F10" i="10"/>
  <c r="K7" i="13"/>
  <c r="K14" i="13"/>
  <c r="K16" i="13"/>
  <c r="L20" i="4" l="1"/>
  <c r="N20" i="4" s="1"/>
  <c r="O20" i="4" s="1"/>
  <c r="L11" i="4"/>
  <c r="N11" i="4" s="1"/>
  <c r="I2" i="13"/>
  <c r="Y41" i="10"/>
  <c r="G4" i="4"/>
  <c r="E4" i="4"/>
  <c r="C4" i="4"/>
  <c r="L41" i="10"/>
  <c r="I48" i="6"/>
  <c r="I4" i="4"/>
  <c r="L4" i="4"/>
  <c r="N4" i="4" s="1"/>
  <c r="O4" i="4" s="1"/>
  <c r="P4" i="4" s="1"/>
  <c r="I3" i="13"/>
  <c r="W13" i="10"/>
  <c r="W36" i="10"/>
  <c r="W29" i="10"/>
  <c r="W34" i="10"/>
  <c r="W27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M40" i="10"/>
  <c r="E32" i="13" s="1"/>
  <c r="Z38" i="10"/>
  <c r="Z34" i="10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Z40" i="10"/>
  <c r="F39" i="10"/>
  <c r="F24" i="10"/>
  <c r="F40" i="10"/>
  <c r="Z32" i="10"/>
  <c r="Z33" i="10"/>
  <c r="I25" i="13"/>
  <c r="Z28" i="10"/>
  <c r="I20" i="13"/>
  <c r="Z25" i="10"/>
  <c r="I17" i="13"/>
  <c r="Z30" i="10"/>
  <c r="I22" i="13"/>
  <c r="Z24" i="10"/>
  <c r="B13" i="10"/>
  <c r="M10" i="10"/>
  <c r="AC44" i="4"/>
  <c r="M28" i="10"/>
  <c r="E20" i="13" s="1"/>
  <c r="F34" i="10"/>
  <c r="D5" i="6"/>
  <c r="Z39" i="10"/>
  <c r="M32" i="10"/>
  <c r="E24" i="13" s="1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P20" i="4" l="1"/>
  <c r="U22" i="10"/>
  <c r="O11" i="4"/>
  <c r="N43" i="4"/>
  <c r="Z41" i="10"/>
  <c r="W40" i="10"/>
  <c r="G32" i="13"/>
  <c r="O32" i="13" s="1"/>
  <c r="E2" i="13"/>
  <c r="W32" i="10"/>
  <c r="E3" i="13"/>
  <c r="W19" i="10"/>
  <c r="W12" i="10"/>
  <c r="W15" i="10"/>
  <c r="W20" i="10"/>
  <c r="AJ20" i="10" s="1"/>
  <c r="AK20" i="10" s="1"/>
  <c r="W21" i="10"/>
  <c r="W23" i="10"/>
  <c r="W25" i="10"/>
  <c r="W37" i="10"/>
  <c r="W28" i="10"/>
  <c r="AJ28" i="10" s="1"/>
  <c r="AK28" i="10" s="1"/>
  <c r="W18" i="10"/>
  <c r="W17" i="10"/>
  <c r="W14" i="10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O30" i="13" s="1"/>
  <c r="M35" i="10"/>
  <c r="E27" i="13" s="1"/>
  <c r="O16" i="10"/>
  <c r="G45" i="10"/>
  <c r="J45" i="10" s="1"/>
  <c r="M39" i="10"/>
  <c r="E31" i="13" s="1"/>
  <c r="O39" i="10"/>
  <c r="M29" i="10"/>
  <c r="E21" i="13" s="1"/>
  <c r="M18" i="10"/>
  <c r="E10" i="13" s="1"/>
  <c r="M12" i="10"/>
  <c r="E4" i="13" s="1"/>
  <c r="F23" i="10"/>
  <c r="F41" i="10" s="1"/>
  <c r="K15" i="13"/>
  <c r="B14" i="10"/>
  <c r="G43" i="10"/>
  <c r="J43" i="10" s="1"/>
  <c r="M15" i="10"/>
  <c r="E7" i="13" s="1"/>
  <c r="P11" i="4" l="1"/>
  <c r="W10" i="10"/>
  <c r="O41" i="10"/>
  <c r="W39" i="10"/>
  <c r="G31" i="13"/>
  <c r="O31" i="13" s="1"/>
  <c r="M41" i="10"/>
  <c r="W24" i="10"/>
  <c r="AJ24" i="10" s="1"/>
  <c r="AK24" i="10" s="1"/>
  <c r="W22" i="10"/>
  <c r="AJ22" i="10" s="1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11" i="10" l="1"/>
  <c r="W41" i="10" s="1"/>
  <c r="U41" i="10"/>
  <c r="G47" i="10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<sst xmlns="http://schemas.openxmlformats.org/spreadsheetml/2006/main" count="127" uniqueCount="85">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</sst>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2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25" borderId="53" xfId="0" applyFont="1" applyFill="1" applyBorder="1" applyAlignment="1">
      <alignment horizontal="center" vertical="center" wrapText="1"/>
    </xf>
    <xf numFmtId="0" fontId="32" fillId="19" borderId="54" xfId="0" applyFont="1" applyFill="1" applyBorder="1" applyAlignment="1">
      <alignment horizontal="center" vertical="center" wrapText="1"/>
    </xf>
    <xf numFmtId="10" fontId="32" fillId="26" borderId="54" xfId="0" applyNumberFormat="1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2" fillId="28" borderId="54" xfId="0" applyFont="1" applyFill="1" applyBorder="1" applyAlignment="1">
      <alignment horizontal="center" vertical="center" wrapText="1"/>
    </xf>
    <xf numFmtId="0" fontId="32" fillId="28" borderId="55" xfId="0" applyFont="1" applyFill="1" applyBorder="1" applyAlignment="1">
      <alignment horizontal="center" vertical="center" wrapText="1"/>
    </xf>
    <xf numFmtId="0" fontId="33" fillId="29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34" fillId="30" borderId="56" xfId="0" applyFont="1" applyFill="1" applyBorder="1" applyAlignment="1">
      <alignment horizontal="center" vertical="center" wrapText="1"/>
    </xf>
    <xf numFmtId="0" fontId="34" fillId="31" borderId="56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217</c:v>
                </c:pt>
                <c:pt idx="1">
                  <c:v>235</c:v>
                </c:pt>
                <c:pt idx="2">
                  <c:v>269</c:v>
                </c:pt>
                <c:pt idx="3">
                  <c:v>169</c:v>
                </c:pt>
                <c:pt idx="4">
                  <c:v>323</c:v>
                </c:pt>
                <c:pt idx="5">
                  <c:v>220</c:v>
                </c:pt>
                <c:pt idx="6">
                  <c:v>199</c:v>
                </c:pt>
                <c:pt idx="7">
                  <c:v>234</c:v>
                </c:pt>
                <c:pt idx="8">
                  <c:v>359</c:v>
                </c:pt>
                <c:pt idx="9">
                  <c:v>233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2810</c:v>
                </c:pt>
                <c:pt idx="1">
                  <c:v>2839</c:v>
                </c:pt>
                <c:pt idx="2">
                  <c:v>2877</c:v>
                </c:pt>
                <c:pt idx="3">
                  <c:v>2793</c:v>
                </c:pt>
                <c:pt idx="4">
                  <c:v>2820</c:v>
                </c:pt>
                <c:pt idx="5">
                  <c:v>2772</c:v>
                </c:pt>
                <c:pt idx="6">
                  <c:v>2851</c:v>
                </c:pt>
                <c:pt idx="7">
                  <c:v>2728</c:v>
                </c:pt>
                <c:pt idx="8">
                  <c:v>2846</c:v>
                </c:pt>
                <c:pt idx="9">
                  <c:v>3181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4340</c:v>
                </c:pt>
                <c:pt idx="1">
                  <c:v>4373</c:v>
                </c:pt>
                <c:pt idx="2">
                  <c:v>4291</c:v>
                </c:pt>
                <c:pt idx="3">
                  <c:v>4522</c:v>
                </c:pt>
                <c:pt idx="4">
                  <c:v>4801</c:v>
                </c:pt>
                <c:pt idx="5">
                  <c:v>4689</c:v>
                </c:pt>
                <c:pt idx="6">
                  <c:v>4819</c:v>
                </c:pt>
                <c:pt idx="7">
                  <c:v>4536</c:v>
                </c:pt>
                <c:pt idx="8">
                  <c:v>4615</c:v>
                </c:pt>
                <c:pt idx="9">
                  <c:v>4917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44259</c:v>
                </c:pt>
                <c:pt idx="1">
                  <c:v>44260</c:v>
                </c:pt>
                <c:pt idx="2">
                  <c:v>44261</c:v>
                </c:pt>
                <c:pt idx="3">
                  <c:v>44262</c:v>
                </c:pt>
                <c:pt idx="4">
                  <c:v>44263</c:v>
                </c:pt>
                <c:pt idx="5">
                  <c:v>44264</c:v>
                </c:pt>
                <c:pt idx="6">
                  <c:v>44265</c:v>
                </c:pt>
                <c:pt idx="7">
                  <c:v>44266</c:v>
                </c:pt>
                <c:pt idx="8">
                  <c:v>44267</c:v>
                </c:pt>
                <c:pt idx="9">
                  <c:v>44268</c:v>
                </c:pt>
                <c:pt idx="10">
                  <c:v>44269</c:v>
                </c:pt>
                <c:pt idx="11">
                  <c:v>44270</c:v>
                </c:pt>
                <c:pt idx="12">
                  <c:v>44271</c:v>
                </c:pt>
                <c:pt idx="13">
                  <c:v>44272</c:v>
                </c:pt>
                <c:pt idx="14">
                  <c:v>44273</c:v>
                </c:pt>
                <c:pt idx="15">
                  <c:v>44274</c:v>
                </c:pt>
                <c:pt idx="16">
                  <c:v>44275</c:v>
                </c:pt>
                <c:pt idx="17">
                  <c:v>44276</c:v>
                </c:pt>
                <c:pt idx="18">
                  <c:v>44277</c:v>
                </c:pt>
                <c:pt idx="19">
                  <c:v>44278</c:v>
                </c:pt>
                <c:pt idx="20">
                  <c:v>44279</c:v>
                </c:pt>
                <c:pt idx="21">
                  <c:v>44280</c:v>
                </c:pt>
                <c:pt idx="22">
                  <c:v>44281</c:v>
                </c:pt>
                <c:pt idx="23">
                  <c:v>44282</c:v>
                </c:pt>
                <c:pt idx="24">
                  <c:v>44283</c:v>
                </c:pt>
                <c:pt idx="25">
                  <c:v>44284</c:v>
                </c:pt>
                <c:pt idx="26">
                  <c:v>44285</c:v>
                </c:pt>
                <c:pt idx="27">
                  <c:v>44286</c:v>
                </c:pt>
                <c:pt idx="28">
                  <c:v>44287</c:v>
                </c:pt>
                <c:pt idx="29">
                  <c:v>44288</c:v>
                </c:pt>
                <c:pt idx="30">
                  <c:v>44289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1836</c:v>
                </c:pt>
                <c:pt idx="1">
                  <c:v>1959</c:v>
                </c:pt>
                <c:pt idx="2">
                  <c:v>1909</c:v>
                </c:pt>
                <c:pt idx="3">
                  <c:v>1756</c:v>
                </c:pt>
                <c:pt idx="4">
                  <c:v>1862</c:v>
                </c:pt>
                <c:pt idx="5">
                  <c:v>1969</c:v>
                </c:pt>
                <c:pt idx="6">
                  <c:v>2115</c:v>
                </c:pt>
                <c:pt idx="7">
                  <c:v>1757</c:v>
                </c:pt>
                <c:pt idx="8">
                  <c:v>1881</c:v>
                </c:pt>
                <c:pt idx="9">
                  <c:v>1984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44258</c:v>
                </c:pt>
                <c:pt idx="1">
                  <c:v>44259</c:v>
                </c:pt>
                <c:pt idx="2">
                  <c:v>44260</c:v>
                </c:pt>
                <c:pt idx="3">
                  <c:v>44261</c:v>
                </c:pt>
                <c:pt idx="4">
                  <c:v>44262</c:v>
                </c:pt>
                <c:pt idx="5">
                  <c:v>44263</c:v>
                </c:pt>
                <c:pt idx="6">
                  <c:v>44264</c:v>
                </c:pt>
                <c:pt idx="7">
                  <c:v>44265</c:v>
                </c:pt>
                <c:pt idx="8">
                  <c:v>44266</c:v>
                </c:pt>
                <c:pt idx="9">
                  <c:v>44267</c:v>
                </c:pt>
                <c:pt idx="10">
                  <c:v>44268</c:v>
                </c:pt>
                <c:pt idx="11">
                  <c:v>44269</c:v>
                </c:pt>
                <c:pt idx="12">
                  <c:v>44270</c:v>
                </c:pt>
                <c:pt idx="13">
                  <c:v>44271</c:v>
                </c:pt>
                <c:pt idx="14">
                  <c:v>44272</c:v>
                </c:pt>
                <c:pt idx="15">
                  <c:v>44273</c:v>
                </c:pt>
                <c:pt idx="16">
                  <c:v>44274</c:v>
                </c:pt>
                <c:pt idx="17">
                  <c:v>44275</c:v>
                </c:pt>
                <c:pt idx="18">
                  <c:v>44276</c:v>
                </c:pt>
                <c:pt idx="19">
                  <c:v>44277</c:v>
                </c:pt>
                <c:pt idx="20">
                  <c:v>44278</c:v>
                </c:pt>
                <c:pt idx="21">
                  <c:v>44279</c:v>
                </c:pt>
                <c:pt idx="22">
                  <c:v>44280</c:v>
                </c:pt>
                <c:pt idx="23">
                  <c:v>44281</c:v>
                </c:pt>
                <c:pt idx="24">
                  <c:v>44282</c:v>
                </c:pt>
                <c:pt idx="25">
                  <c:v>44283</c:v>
                </c:pt>
                <c:pt idx="26">
                  <c:v>44284</c:v>
                </c:pt>
                <c:pt idx="27">
                  <c:v>44285</c:v>
                </c:pt>
                <c:pt idx="28">
                  <c:v>44286</c:v>
                </c:pt>
                <c:pt idx="29">
                  <c:v>44287</c:v>
                </c:pt>
                <c:pt idx="30">
                  <c:v>44288</c:v>
                </c:pt>
                <c:pt idx="31">
                  <c:v>44289</c:v>
                </c:pt>
                <c:pt idx="32">
                  <c:v>44290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148.4</c:v>
                </c:pt>
                <c:pt idx="1">
                  <c:v>148.4</c:v>
                </c:pt>
                <c:pt idx="2">
                  <c:v>37.1</c:v>
                </c:pt>
                <c:pt idx="3">
                  <c:v>37.1</c:v>
                </c:pt>
                <c:pt idx="4">
                  <c:v>148.4</c:v>
                </c:pt>
                <c:pt idx="5">
                  <c:v>185.5</c:v>
                </c:pt>
                <c:pt idx="6">
                  <c:v>185.5</c:v>
                </c:pt>
                <c:pt idx="7">
                  <c:v>445.20000000000005</c:v>
                </c:pt>
                <c:pt idx="8">
                  <c:v>222.60000000000002</c:v>
                </c:pt>
                <c:pt idx="9">
                  <c:v>259.7</c:v>
                </c:pt>
                <c:pt idx="10">
                  <c:v>185.5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N15" sqref="N15"/>
    </sheetView>
  </sheetViews>
  <sheetFormatPr defaultRowHeight="12.75"/>
  <cols>
    <col min="1" max="1" width="23" style="147" customWidth="1"/>
    <col min="2" max="2" width="11.5703125" style="147" customWidth="1"/>
    <col min="3" max="3" width="11.5703125" style="147"/>
    <col min="4" max="4" width="13.42578125" style="147" customWidth="1"/>
    <col min="5" max="6" width="12.5703125" style="147" customWidth="1"/>
    <col min="7" max="13" width="11.5703125" style="147"/>
    <col min="14" max="15" width="11.5703125" style="147" customWidth="1"/>
  </cols>
  <sheetData>
    <row r="1" spans="1:15" ht="60.75" thickBot="1">
      <c r="A1" s="143" t="s">
        <v>0</v>
      </c>
      <c r="B1" s="143" t="s">
        <v>1</v>
      </c>
      <c r="C1" s="143" t="s">
        <v>2</v>
      </c>
      <c r="D1" s="143" t="s">
        <v>3</v>
      </c>
      <c r="E1" s="144" t="s">
        <v>4</v>
      </c>
      <c r="F1" s="144" t="s">
        <v>5</v>
      </c>
      <c r="G1" s="144" t="s">
        <v>6</v>
      </c>
      <c r="H1" s="144" t="s">
        <v>7</v>
      </c>
      <c r="I1" s="145" t="s">
        <v>8</v>
      </c>
      <c r="J1" s="145" t="s">
        <v>9</v>
      </c>
      <c r="K1" s="144" t="s">
        <v>10</v>
      </c>
      <c r="L1" s="144" t="s">
        <v>11</v>
      </c>
      <c r="M1" s="144" t="s">
        <v>12</v>
      </c>
      <c r="N1" s="144" t="s">
        <v>13</v>
      </c>
      <c r="O1" s="144" t="s">
        <v>14</v>
      </c>
    </row>
    <row r="2" spans="1:15">
      <c r="A2" s="146" t="s">
        <v>15</v>
      </c>
      <c r="B2" s="147">
        <v>1</v>
      </c>
      <c r="C2" s="147">
        <v>3</v>
      </c>
      <c r="D2" s="148">
        <v>2021</v>
      </c>
      <c r="E2" s="149">
        <f>'Consommation du 01.03 au 31.03'!M10</f>
        <v>8728</v>
      </c>
      <c r="F2" s="149">
        <v>1.002</v>
      </c>
      <c r="G2" s="149">
        <f>'Consommation du 01.03 au 31.03'!U10</f>
        <v>259.7</v>
      </c>
      <c r="H2" s="149">
        <v>9.2469999999999999</v>
      </c>
      <c r="I2" s="149">
        <f>'Consommation du 01.03 au 31.03'!Y10*1000</f>
        <v>11270.000000000437</v>
      </c>
      <c r="J2" s="149">
        <v>0.53</v>
      </c>
      <c r="K2" s="149">
        <f>'Consommation du 01.03 au 31.03'!D10</f>
        <v>218</v>
      </c>
      <c r="L2" s="149">
        <v>12.67</v>
      </c>
      <c r="M2" s="148">
        <f>'Consommation du 01.03 au 31.03'!AC10</f>
        <v>17</v>
      </c>
      <c r="N2" s="148">
        <v>17</v>
      </c>
      <c r="O2" s="149">
        <f>E2*F2+G2*H2+I2*J2+K2*L2</f>
        <v>19882.061900000233</v>
      </c>
    </row>
    <row r="3" spans="1:15">
      <c r="A3" s="146" t="s">
        <v>15</v>
      </c>
      <c r="B3" s="147">
        <f>B2+1</f>
        <v>2</v>
      </c>
      <c r="C3" s="147">
        <v>3</v>
      </c>
      <c r="D3" s="148">
        <v>2021</v>
      </c>
      <c r="E3" s="149">
        <f>'Consommation du 01.03 au 31.03'!M11</f>
        <v>9218</v>
      </c>
      <c r="F3" s="149">
        <v>1.002</v>
      </c>
      <c r="G3" s="149">
        <f>'Consommation du 01.03 au 31.03'!U11</f>
        <v>185.5</v>
      </c>
      <c r="H3" s="149">
        <v>9.2469999999999999</v>
      </c>
      <c r="I3" s="149">
        <f>'Consommation du 01.03 au 31.03'!Y11*1000</f>
        <v>12489.999999997963</v>
      </c>
      <c r="J3" s="149">
        <v>0.53</v>
      </c>
      <c r="K3" s="149">
        <f>'Consommation du 01.03 au 31.03'!D11</f>
        <v>187</v>
      </c>
      <c r="L3" s="149">
        <v>12.67</v>
      </c>
      <c r="M3" s="148">
        <f>'Consommation du 01.03 au 31.03'!AC11</f>
        <v>16</v>
      </c>
      <c r="N3" s="148">
        <v>16</v>
      </c>
      <c r="O3" s="149">
        <f t="shared" ref="O3:O29" si="0">E3*F3+G3*H3+I3*J3+K3*L3</f>
        <v>19940.74449999892</v>
      </c>
    </row>
    <row r="4" spans="1:15">
      <c r="A4" s="146" t="s">
        <v>15</v>
      </c>
      <c r="B4" s="147">
        <f t="shared" ref="B4:B32" si="1">B3+1</f>
        <v>3</v>
      </c>
      <c r="C4" s="147">
        <v>3</v>
      </c>
      <c r="D4" s="148">
        <v>2021</v>
      </c>
      <c r="E4" s="149">
        <f>'Consommation du 01.03 au 31.03'!M12</f>
        <v>9527</v>
      </c>
      <c r="F4" s="149">
        <v>1.002</v>
      </c>
      <c r="G4" s="149">
        <f>'Consommation du 01.03 au 31.03'!U12</f>
        <v>148.4</v>
      </c>
      <c r="H4" s="149">
        <v>9.2469999999999999</v>
      </c>
      <c r="I4" s="149">
        <f>'Consommation du 01.03 au 31.03'!Y12*1000</f>
        <v>13040.000000000873</v>
      </c>
      <c r="J4" s="149">
        <v>0.53</v>
      </c>
      <c r="K4" s="149">
        <f>'Consommation du 01.03 au 31.03'!D12</f>
        <v>241</v>
      </c>
      <c r="L4" s="149">
        <v>12.67</v>
      </c>
      <c r="M4" s="148">
        <f>'Consommation du 01.03 au 31.03'!AC12</f>
        <v>17</v>
      </c>
      <c r="N4" s="148">
        <v>17</v>
      </c>
      <c r="O4" s="149">
        <f t="shared" si="0"/>
        <v>20882.978800000463</v>
      </c>
    </row>
    <row r="5" spans="1:15">
      <c r="A5" s="146" t="s">
        <v>15</v>
      </c>
      <c r="B5" s="147">
        <f t="shared" si="1"/>
        <v>4</v>
      </c>
      <c r="C5" s="147">
        <v>3</v>
      </c>
      <c r="D5" s="148">
        <v>2021</v>
      </c>
      <c r="E5" s="149">
        <f>'Consommation du 01.03 au 31.03'!M13</f>
        <v>8986</v>
      </c>
      <c r="F5" s="149">
        <v>1.002</v>
      </c>
      <c r="G5" s="149">
        <f>'Consommation du 01.03 au 31.03'!U13</f>
        <v>148.4</v>
      </c>
      <c r="H5" s="149">
        <v>9.2469999999999999</v>
      </c>
      <c r="I5" s="149">
        <f>'Consommation du 01.03 au 31.03'!Y13*1000</f>
        <v>11900.000000001455</v>
      </c>
      <c r="J5" s="149">
        <v>0.53</v>
      </c>
      <c r="K5" s="149">
        <f>'Consommation du 01.03 au 31.03'!D13</f>
        <v>217</v>
      </c>
      <c r="L5" s="149">
        <v>12.67</v>
      </c>
      <c r="M5" s="148">
        <f>'Consommation du 01.03 au 31.03'!AC13</f>
        <v>15</v>
      </c>
      <c r="N5" s="148">
        <v>15</v>
      </c>
      <c r="O5" s="149">
        <f t="shared" si="0"/>
        <v>19432.616800000771</v>
      </c>
    </row>
    <row r="6" spans="1:15">
      <c r="A6" s="146" t="s">
        <v>15</v>
      </c>
      <c r="B6" s="147">
        <f t="shared" si="1"/>
        <v>5</v>
      </c>
      <c r="C6" s="147">
        <v>3</v>
      </c>
      <c r="D6" s="148">
        <v>2021</v>
      </c>
      <c r="E6" s="149">
        <f>'Consommation du 01.03 au 31.03'!M14</f>
        <v>9171</v>
      </c>
      <c r="F6" s="149">
        <v>1.002</v>
      </c>
      <c r="G6" s="149">
        <f>'Consommation du 01.03 au 31.03'!U14</f>
        <v>37.1</v>
      </c>
      <c r="H6" s="149">
        <v>9.2469999999999999</v>
      </c>
      <c r="I6" s="149">
        <f>'Consommation du 01.03 au 31.03'!Y14*1000</f>
        <v>15939.99999999869</v>
      </c>
      <c r="J6" s="149">
        <v>0.53</v>
      </c>
      <c r="K6" s="149">
        <f>'Consommation du 01.03 au 31.03'!D14</f>
        <v>235</v>
      </c>
      <c r="L6" s="149">
        <v>12.67</v>
      </c>
      <c r="M6" s="148">
        <f>'Consommation du 01.03 au 31.03'!AC14</f>
        <v>30</v>
      </c>
      <c r="N6" s="148">
        <v>30</v>
      </c>
      <c r="O6" s="149">
        <f t="shared" si="0"/>
        <v>20958.05569999931</v>
      </c>
    </row>
    <row r="7" spans="1:15">
      <c r="A7" s="146" t="s">
        <v>15</v>
      </c>
      <c r="B7" s="147">
        <f t="shared" si="1"/>
        <v>6</v>
      </c>
      <c r="C7" s="147">
        <v>3</v>
      </c>
      <c r="D7" s="148">
        <v>2021</v>
      </c>
      <c r="E7" s="149">
        <f>'Consommation du 01.03 au 31.03'!M15</f>
        <v>9077</v>
      </c>
      <c r="F7" s="149">
        <v>1.002</v>
      </c>
      <c r="G7" s="149">
        <f>'Consommation du 01.03 au 31.03'!U15</f>
        <v>37.1</v>
      </c>
      <c r="H7" s="149">
        <v>9.2469999999999999</v>
      </c>
      <c r="I7" s="149">
        <f>'Consommation du 01.03 au 31.03'!Y15*1000</f>
        <v>13250</v>
      </c>
      <c r="J7" s="149">
        <v>0.53</v>
      </c>
      <c r="K7" s="149">
        <f>'Consommation du 01.03 au 31.03'!D15</f>
        <v>269</v>
      </c>
      <c r="L7" s="149">
        <v>12.67</v>
      </c>
      <c r="M7" s="148">
        <f>'Consommation du 01.03 au 31.03'!AC15</f>
        <v>21</v>
      </c>
      <c r="N7" s="148">
        <v>21</v>
      </c>
      <c r="O7" s="149">
        <f t="shared" si="0"/>
        <v>19868.947700000001</v>
      </c>
    </row>
    <row r="8" spans="1:15">
      <c r="A8" s="146" t="s">
        <v>15</v>
      </c>
      <c r="B8" s="147">
        <f t="shared" si="1"/>
        <v>7</v>
      </c>
      <c r="C8" s="147">
        <v>3</v>
      </c>
      <c r="D8" s="148">
        <v>2021</v>
      </c>
      <c r="E8" s="149">
        <f>'Consommation du 01.03 au 31.03'!M16</f>
        <v>9071</v>
      </c>
      <c r="F8" s="149">
        <v>1.002</v>
      </c>
      <c r="G8" s="149">
        <f>'Consommation du 01.03 au 31.03'!U16</f>
        <v>148.4</v>
      </c>
      <c r="H8" s="149">
        <v>9.2469999999999999</v>
      </c>
      <c r="I8" s="149">
        <f>'Consommation du 01.03 au 31.03'!Y16*1000</f>
        <v>13529.999999998836</v>
      </c>
      <c r="J8" s="149">
        <v>0.53</v>
      </c>
      <c r="K8" s="149">
        <f>'Consommation du 01.03 au 31.03'!D16</f>
        <v>169</v>
      </c>
      <c r="L8" s="149">
        <v>12.67</v>
      </c>
      <c r="M8" s="148">
        <f>'Consommation du 01.03 au 31.03'!AC16</f>
        <v>7</v>
      </c>
      <c r="N8" s="148">
        <v>7</v>
      </c>
      <c r="O8" s="149">
        <f t="shared" si="0"/>
        <v>19773.526799999385</v>
      </c>
    </row>
    <row r="9" spans="1:15">
      <c r="A9" s="146" t="s">
        <v>15</v>
      </c>
      <c r="B9" s="147">
        <f t="shared" si="1"/>
        <v>8</v>
      </c>
      <c r="C9" s="147">
        <v>3</v>
      </c>
      <c r="D9" s="148">
        <v>2021</v>
      </c>
      <c r="E9" s="149">
        <f>'Consommation du 01.03 au 31.03'!M17</f>
        <v>9483</v>
      </c>
      <c r="F9" s="149">
        <v>1.002</v>
      </c>
      <c r="G9" s="149">
        <f>'Consommation du 01.03 au 31.03'!U17</f>
        <v>185.5</v>
      </c>
      <c r="H9" s="149">
        <v>9.2469999999999999</v>
      </c>
      <c r="I9" s="149">
        <f>'Consommation du 01.03 au 31.03'!Y17*1000</f>
        <v>14209.999999999127</v>
      </c>
      <c r="J9" s="149">
        <v>0.53</v>
      </c>
      <c r="K9" s="149">
        <f>'Consommation du 01.03 au 31.03'!D17</f>
        <v>323</v>
      </c>
      <c r="L9" s="149">
        <v>12.67</v>
      </c>
      <c r="M9" s="148">
        <f>'Consommation du 01.03 au 31.03'!AC17</f>
        <v>7</v>
      </c>
      <c r="N9" s="148">
        <v>7</v>
      </c>
      <c r="O9" s="149">
        <f t="shared" si="0"/>
        <v>22840.994499999539</v>
      </c>
    </row>
    <row r="10" spans="1:15">
      <c r="A10" s="146" t="s">
        <v>15</v>
      </c>
      <c r="B10" s="147">
        <f t="shared" si="1"/>
        <v>9</v>
      </c>
      <c r="C10" s="147">
        <v>3</v>
      </c>
      <c r="D10" s="148">
        <v>2021</v>
      </c>
      <c r="E10" s="149">
        <f>'Consommation du 01.03 au 31.03'!M18</f>
        <v>9430</v>
      </c>
      <c r="F10" s="149">
        <v>1.002</v>
      </c>
      <c r="G10" s="149">
        <f>'Consommation du 01.03 au 31.03'!U18</f>
        <v>185.5</v>
      </c>
      <c r="H10" s="149">
        <v>9.2469999999999999</v>
      </c>
      <c r="I10" s="149">
        <f>'Consommation du 01.03 au 31.03'!Y18*1000</f>
        <v>14409.999999999854</v>
      </c>
      <c r="J10" s="149">
        <v>0.53</v>
      </c>
      <c r="K10" s="149">
        <f>'Consommation du 01.03 au 31.03'!D18</f>
        <v>220</v>
      </c>
      <c r="L10" s="149">
        <v>12.67</v>
      </c>
      <c r="M10" s="148">
        <f>'Consommation du 01.03 au 31.03'!AC18</f>
        <v>11</v>
      </c>
      <c r="N10" s="148">
        <v>11</v>
      </c>
      <c r="O10" s="149">
        <f t="shared" si="0"/>
        <v>21588.878499999926</v>
      </c>
    </row>
    <row r="11" spans="1:15">
      <c r="A11" s="146" t="s">
        <v>15</v>
      </c>
      <c r="B11" s="147">
        <f t="shared" si="1"/>
        <v>10</v>
      </c>
      <c r="C11" s="147">
        <v>3</v>
      </c>
      <c r="D11" s="148">
        <v>2021</v>
      </c>
      <c r="E11" s="149">
        <f>'Consommation du 01.03 au 31.03'!M19</f>
        <v>9785</v>
      </c>
      <c r="F11" s="149">
        <v>1.002</v>
      </c>
      <c r="G11" s="149">
        <f>'Consommation du 01.03 au 31.03'!U19</f>
        <v>445.20000000000005</v>
      </c>
      <c r="H11" s="149">
        <v>9.2469999999999999</v>
      </c>
      <c r="I11" s="149">
        <f>'Consommation du 01.03 au 31.03'!Y19*1000</f>
        <v>13910.000000003492</v>
      </c>
      <c r="J11" s="149">
        <v>0.53</v>
      </c>
      <c r="K11" s="149">
        <f>'Consommation du 01.03 au 31.03'!D19</f>
        <v>199</v>
      </c>
      <c r="L11" s="149">
        <v>12.67</v>
      </c>
      <c r="M11" s="148">
        <f>'Consommation du 01.03 au 31.03'!AC19</f>
        <v>13</v>
      </c>
      <c r="N11" s="148">
        <v>13</v>
      </c>
      <c r="O11" s="149">
        <f t="shared" si="0"/>
        <v>23814.964400001852</v>
      </c>
    </row>
    <row r="12" spans="1:15">
      <c r="A12" s="146" t="s">
        <v>15</v>
      </c>
      <c r="B12" s="147">
        <f t="shared" si="1"/>
        <v>11</v>
      </c>
      <c r="C12" s="147">
        <v>3</v>
      </c>
      <c r="D12" s="148">
        <v>2021</v>
      </c>
      <c r="E12" s="149">
        <f>'Consommation du 01.03 au 31.03'!M20</f>
        <v>9021</v>
      </c>
      <c r="F12" s="149">
        <v>1.002</v>
      </c>
      <c r="G12" s="149">
        <f>'Consommation du 01.03 au 31.03'!U20</f>
        <v>222.60000000000002</v>
      </c>
      <c r="H12" s="149">
        <v>9.2469999999999999</v>
      </c>
      <c r="I12" s="149">
        <f>'Consommation du 01.03 au 31.03'!Y20*1000</f>
        <v>11259.999999998399</v>
      </c>
      <c r="J12" s="149">
        <v>0.53</v>
      </c>
      <c r="K12" s="149">
        <f>'Consommation du 01.03 au 31.03'!D20</f>
        <v>234</v>
      </c>
      <c r="L12" s="149">
        <v>12.67</v>
      </c>
      <c r="M12" s="148">
        <f>'Consommation du 01.03 au 31.03'!AC20</f>
        <v>16</v>
      </c>
      <c r="N12" s="148">
        <v>16</v>
      </c>
      <c r="O12" s="149">
        <f t="shared" si="0"/>
        <v>20030.004199999152</v>
      </c>
    </row>
    <row r="13" spans="1:15">
      <c r="A13" s="146" t="s">
        <v>15</v>
      </c>
      <c r="B13" s="147">
        <f t="shared" si="1"/>
        <v>12</v>
      </c>
      <c r="C13" s="147">
        <v>3</v>
      </c>
      <c r="D13" s="148">
        <v>2021</v>
      </c>
      <c r="E13" s="149">
        <f>'Consommation du 01.03 au 31.03'!M21</f>
        <v>9342</v>
      </c>
      <c r="F13" s="149">
        <v>1.002</v>
      </c>
      <c r="G13" s="149">
        <f>'Consommation du 01.03 au 31.03'!U21</f>
        <v>259.7</v>
      </c>
      <c r="H13" s="149">
        <v>9.2469999999999999</v>
      </c>
      <c r="I13" s="149">
        <f>'Consommation du 01.03 au 31.03'!Y21*1000</f>
        <v>16270.000000000437</v>
      </c>
      <c r="J13" s="149">
        <v>0.53</v>
      </c>
      <c r="K13" s="149">
        <f>'Consommation du 01.03 au 31.03'!D21</f>
        <v>359</v>
      </c>
      <c r="L13" s="149">
        <v>12.67</v>
      </c>
      <c r="M13" s="148">
        <f>'Consommation du 01.03 au 31.03'!AC21</f>
        <v>37</v>
      </c>
      <c r="N13" s="148">
        <v>37</v>
      </c>
      <c r="O13" s="149">
        <f t="shared" si="0"/>
        <v>24933.75990000023</v>
      </c>
    </row>
    <row r="14" spans="1:15">
      <c r="A14" s="146" t="s">
        <v>15</v>
      </c>
      <c r="B14" s="147">
        <f t="shared" si="1"/>
        <v>13</v>
      </c>
      <c r="C14" s="147">
        <v>3</v>
      </c>
      <c r="D14" s="148">
        <v>2021</v>
      </c>
      <c r="E14" s="149">
        <f>'Consommation du 01.03 au 31.03'!M22</f>
        <v>10082</v>
      </c>
      <c r="F14" s="149">
        <v>1.002</v>
      </c>
      <c r="G14" s="149">
        <f>'Consommation du 01.03 au 31.03'!U22</f>
        <v>185.5</v>
      </c>
      <c r="H14" s="149">
        <v>9.2469999999999999</v>
      </c>
      <c r="I14" s="149">
        <f>'Consommation du 01.03 au 31.03'!Y22*1000</f>
        <v>17849.999999998545</v>
      </c>
      <c r="J14" s="149">
        <v>0.53</v>
      </c>
      <c r="K14" s="149">
        <f>'Consommation du 01.03 au 31.03'!D22</f>
        <v>233</v>
      </c>
      <c r="L14" s="149">
        <v>12.67</v>
      </c>
      <c r="M14" s="148">
        <f>'Consommation du 01.03 au 31.03'!AC22</f>
        <v>39</v>
      </c>
      <c r="N14" s="148">
        <v>39</v>
      </c>
      <c r="O14" s="149">
        <f t="shared" si="0"/>
        <v>24230.092499999228</v>
      </c>
    </row>
    <row r="15" spans="1:15">
      <c r="A15" s="146" t="s">
        <v>15</v>
      </c>
      <c r="B15" s="147">
        <f t="shared" si="1"/>
        <v>14</v>
      </c>
      <c r="C15" s="147">
        <v>3</v>
      </c>
      <c r="D15" s="148">
        <v>2021</v>
      </c>
      <c r="E15" s="149">
        <f>'Consommation du 01.03 au 31.03'!M23</f>
        <v>0</v>
      </c>
      <c r="F15" s="149">
        <v>1.002</v>
      </c>
      <c r="G15" s="149">
        <f>'Consommation du 01.03 au 31.03'!U23</f>
        <v>0</v>
      </c>
      <c r="H15" s="149">
        <v>9.2469999999999999</v>
      </c>
      <c r="I15" s="149">
        <f>'Consommation du 01.03 au 31.03'!Y23*1000</f>
        <v>0</v>
      </c>
      <c r="J15" s="149">
        <v>0.53</v>
      </c>
      <c r="K15" s="149">
        <f>'Consommation du 01.03 au 31.03'!D23</f>
        <v>0</v>
      </c>
      <c r="L15" s="149">
        <v>12.67</v>
      </c>
      <c r="M15" s="148">
        <f>'Consommation du 01.03 au 31.03'!AC23</f>
        <v>0</v>
      </c>
      <c r="N15" s="148"/>
      <c r="O15" s="149">
        <f t="shared" si="0"/>
        <v>0</v>
      </c>
    </row>
    <row r="16" spans="1:15">
      <c r="A16" s="146" t="s">
        <v>15</v>
      </c>
      <c r="B16" s="147">
        <f t="shared" si="1"/>
        <v>15</v>
      </c>
      <c r="C16" s="147">
        <v>3</v>
      </c>
      <c r="D16" s="148">
        <v>2021</v>
      </c>
      <c r="E16" s="149">
        <f>'Consommation du 01.03 au 31.03'!M24</f>
        <v>0</v>
      </c>
      <c r="F16" s="149">
        <v>1.002</v>
      </c>
      <c r="G16" s="149">
        <f>'Consommation du 01.03 au 31.03'!U24</f>
        <v>0</v>
      </c>
      <c r="H16" s="149">
        <v>9.2469999999999999</v>
      </c>
      <c r="I16" s="149">
        <f>'Consommation du 01.03 au 31.03'!Y24*1000</f>
        <v>0</v>
      </c>
      <c r="J16" s="149">
        <v>0.53</v>
      </c>
      <c r="K16" s="149">
        <f>'Consommation du 01.03 au 31.03'!D24</f>
        <v>0</v>
      </c>
      <c r="L16" s="149">
        <v>12.67</v>
      </c>
      <c r="M16" s="148">
        <f>'Consommation du 01.03 au 31.03'!AC24</f>
        <v>0</v>
      </c>
      <c r="N16" s="148"/>
      <c r="O16" s="149">
        <f t="shared" si="0"/>
        <v>0</v>
      </c>
    </row>
    <row r="17" spans="1:15">
      <c r="A17" s="146" t="s">
        <v>15</v>
      </c>
      <c r="B17" s="147">
        <f t="shared" si="1"/>
        <v>16</v>
      </c>
      <c r="C17" s="147">
        <v>3</v>
      </c>
      <c r="D17" s="148">
        <v>2021</v>
      </c>
      <c r="E17" s="149">
        <f>'Consommation du 01.03 au 31.03'!M25</f>
        <v>0</v>
      </c>
      <c r="F17" s="149">
        <v>1.002</v>
      </c>
      <c r="G17" s="149">
        <f>'Consommation du 01.03 au 31.03'!U25</f>
        <v>0</v>
      </c>
      <c r="H17" s="149">
        <v>9.2469999999999999</v>
      </c>
      <c r="I17" s="149">
        <f>'Consommation du 01.03 au 31.03'!Y25*1000</f>
        <v>0</v>
      </c>
      <c r="J17" s="149">
        <v>0.53</v>
      </c>
      <c r="K17" s="149">
        <f>'Consommation du 01.03 au 31.03'!D25</f>
        <v>0</v>
      </c>
      <c r="L17" s="149">
        <v>12.67</v>
      </c>
      <c r="M17" s="148">
        <f>'Consommation du 01.03 au 31.03'!AC25</f>
        <v>0</v>
      </c>
      <c r="N17" s="148"/>
      <c r="O17" s="149">
        <f t="shared" si="0"/>
        <v>0</v>
      </c>
    </row>
    <row r="18" spans="1:15">
      <c r="A18" s="146" t="s">
        <v>15</v>
      </c>
      <c r="B18" s="147">
        <f t="shared" si="1"/>
        <v>17</v>
      </c>
      <c r="C18" s="147">
        <v>3</v>
      </c>
      <c r="D18" s="148">
        <v>2021</v>
      </c>
      <c r="E18" s="149">
        <f>'Consommation du 01.03 au 31.03'!M26</f>
        <v>0</v>
      </c>
      <c r="F18" s="149">
        <v>1.002</v>
      </c>
      <c r="G18" s="149">
        <f>'Consommation du 01.03 au 31.03'!U26</f>
        <v>0</v>
      </c>
      <c r="H18" s="149">
        <v>9.2469999999999999</v>
      </c>
      <c r="I18" s="149">
        <f>'Consommation du 01.03 au 31.03'!Y26*1000</f>
        <v>0</v>
      </c>
      <c r="J18" s="149">
        <v>0.53</v>
      </c>
      <c r="K18" s="149">
        <f>'Consommation du 01.03 au 31.03'!D26</f>
        <v>0</v>
      </c>
      <c r="L18" s="149">
        <v>12.67</v>
      </c>
      <c r="M18" s="148">
        <f>'Consommation du 01.03 au 31.03'!AC26</f>
        <v>0</v>
      </c>
      <c r="N18" s="148"/>
      <c r="O18" s="149">
        <f t="shared" si="0"/>
        <v>0</v>
      </c>
    </row>
    <row r="19" spans="1:15">
      <c r="A19" s="146" t="s">
        <v>15</v>
      </c>
      <c r="B19" s="147">
        <f t="shared" si="1"/>
        <v>18</v>
      </c>
      <c r="C19" s="147">
        <v>3</v>
      </c>
      <c r="D19" s="148">
        <v>2021</v>
      </c>
      <c r="E19" s="149">
        <f>'Consommation du 01.03 au 31.03'!M27</f>
        <v>0</v>
      </c>
      <c r="F19" s="149">
        <v>1.002</v>
      </c>
      <c r="G19" s="149">
        <f>'Consommation du 01.03 au 31.03'!U27</f>
        <v>0</v>
      </c>
      <c r="H19" s="149">
        <v>9.2469999999999999</v>
      </c>
      <c r="I19" s="149">
        <f>'Consommation du 01.03 au 31.03'!Y27*1000</f>
        <v>0</v>
      </c>
      <c r="J19" s="149">
        <v>0.53</v>
      </c>
      <c r="K19" s="149">
        <f>'Consommation du 01.03 au 31.03'!D27</f>
        <v>0</v>
      </c>
      <c r="L19" s="149">
        <v>12.67</v>
      </c>
      <c r="M19" s="148">
        <f>'Consommation du 01.03 au 31.03'!AC27</f>
        <v>0</v>
      </c>
      <c r="N19" s="148"/>
      <c r="O19" s="149">
        <f t="shared" si="0"/>
        <v>0</v>
      </c>
    </row>
    <row r="20" spans="1:15">
      <c r="A20" s="146" t="s">
        <v>15</v>
      </c>
      <c r="B20" s="147">
        <f t="shared" si="1"/>
        <v>19</v>
      </c>
      <c r="C20" s="147">
        <v>3</v>
      </c>
      <c r="D20" s="148">
        <v>2021</v>
      </c>
      <c r="E20" s="149">
        <f>'Consommation du 01.03 au 31.03'!M28</f>
        <v>0</v>
      </c>
      <c r="F20" s="149">
        <v>1.002</v>
      </c>
      <c r="G20" s="149">
        <f>'Consommation du 01.03 au 31.03'!U28</f>
        <v>0</v>
      </c>
      <c r="H20" s="149">
        <v>9.2469999999999999</v>
      </c>
      <c r="I20" s="149">
        <f>'Consommation du 01.03 au 31.03'!Y28*1000</f>
        <v>0</v>
      </c>
      <c r="J20" s="149">
        <v>0.53</v>
      </c>
      <c r="K20" s="149">
        <f>'Consommation du 01.03 au 31.03'!D28</f>
        <v>0</v>
      </c>
      <c r="L20" s="149">
        <v>12.67</v>
      </c>
      <c r="M20" s="148">
        <f>'Consommation du 01.03 au 31.03'!AC28</f>
        <v>0</v>
      </c>
      <c r="N20" s="148"/>
      <c r="O20" s="149">
        <f t="shared" si="0"/>
        <v>0</v>
      </c>
    </row>
    <row r="21" spans="1:15">
      <c r="A21" s="146" t="s">
        <v>15</v>
      </c>
      <c r="B21" s="147">
        <f t="shared" si="1"/>
        <v>20</v>
      </c>
      <c r="C21" s="147">
        <v>3</v>
      </c>
      <c r="D21" s="148">
        <v>2021</v>
      </c>
      <c r="E21" s="149">
        <f>'Consommation du 01.03 au 31.03'!M29</f>
        <v>0</v>
      </c>
      <c r="F21" s="149">
        <v>1.002</v>
      </c>
      <c r="G21" s="149">
        <f>'Consommation du 01.03 au 31.03'!U29</f>
        <v>0</v>
      </c>
      <c r="H21" s="149">
        <v>9.2469999999999999</v>
      </c>
      <c r="I21" s="149">
        <f>'Consommation du 01.03 au 31.03'!Y29*1000</f>
        <v>0</v>
      </c>
      <c r="J21" s="149">
        <v>0.53</v>
      </c>
      <c r="K21" s="149">
        <f>'Consommation du 01.03 au 31.03'!D29</f>
        <v>0</v>
      </c>
      <c r="L21" s="149">
        <v>12.67</v>
      </c>
      <c r="M21" s="148">
        <f>'Consommation du 01.03 au 31.03'!AC29</f>
        <v>0</v>
      </c>
      <c r="N21" s="148"/>
      <c r="O21" s="149">
        <f t="shared" si="0"/>
        <v>0</v>
      </c>
    </row>
    <row r="22" spans="1:15">
      <c r="A22" s="146" t="s">
        <v>15</v>
      </c>
      <c r="B22" s="147">
        <f t="shared" si="1"/>
        <v>21</v>
      </c>
      <c r="C22" s="147">
        <v>3</v>
      </c>
      <c r="D22" s="148">
        <v>2021</v>
      </c>
      <c r="E22" s="149">
        <f>'Consommation du 01.03 au 31.03'!M30</f>
        <v>0</v>
      </c>
      <c r="F22" s="149">
        <v>1.002</v>
      </c>
      <c r="G22" s="149">
        <f>'Consommation du 01.03 au 31.03'!U30</f>
        <v>0</v>
      </c>
      <c r="H22" s="149">
        <v>9.2469999999999999</v>
      </c>
      <c r="I22" s="149">
        <f>'Consommation du 01.03 au 31.03'!Y30*1000</f>
        <v>0</v>
      </c>
      <c r="J22" s="149">
        <v>0.53</v>
      </c>
      <c r="K22" s="149">
        <f>'Consommation du 01.03 au 31.03'!D30</f>
        <v>0</v>
      </c>
      <c r="L22" s="149">
        <v>12.67</v>
      </c>
      <c r="M22" s="148">
        <f>'Consommation du 01.03 au 31.03'!AC30</f>
        <v>0</v>
      </c>
      <c r="N22" s="148"/>
      <c r="O22" s="149">
        <f t="shared" si="0"/>
        <v>0</v>
      </c>
    </row>
    <row r="23" spans="1:15">
      <c r="A23" s="146" t="s">
        <v>15</v>
      </c>
      <c r="B23" s="147">
        <f t="shared" si="1"/>
        <v>22</v>
      </c>
      <c r="C23" s="147">
        <v>3</v>
      </c>
      <c r="D23" s="148">
        <v>2021</v>
      </c>
      <c r="E23" s="149">
        <f>'Consommation du 01.03 au 31.03'!M31</f>
        <v>0</v>
      </c>
      <c r="F23" s="149">
        <v>1.002</v>
      </c>
      <c r="G23" s="149">
        <f>'Consommation du 01.03 au 31.03'!U31</f>
        <v>0</v>
      </c>
      <c r="H23" s="149">
        <v>9.2469999999999999</v>
      </c>
      <c r="I23" s="149">
        <f>'Consommation du 01.03 au 31.03'!Y31*1000</f>
        <v>0</v>
      </c>
      <c r="J23" s="149">
        <v>0.53</v>
      </c>
      <c r="K23" s="149">
        <f>'Consommation du 01.03 au 31.03'!D31</f>
        <v>0</v>
      </c>
      <c r="L23" s="149">
        <v>12.67</v>
      </c>
      <c r="M23" s="148">
        <f>'Consommation du 01.03 au 31.03'!AC31</f>
        <v>0</v>
      </c>
      <c r="N23" s="148"/>
      <c r="O23" s="149">
        <f t="shared" si="0"/>
        <v>0</v>
      </c>
    </row>
    <row r="24" spans="1:15">
      <c r="A24" s="146" t="s">
        <v>15</v>
      </c>
      <c r="B24" s="147">
        <f t="shared" si="1"/>
        <v>23</v>
      </c>
      <c r="C24" s="147">
        <v>3</v>
      </c>
      <c r="D24" s="148">
        <v>2021</v>
      </c>
      <c r="E24" s="149">
        <f>'Consommation du 01.03 au 31.03'!M32</f>
        <v>0</v>
      </c>
      <c r="F24" s="149">
        <v>1.002</v>
      </c>
      <c r="G24" s="149">
        <f>'Consommation du 01.03 au 31.03'!U32</f>
        <v>0</v>
      </c>
      <c r="H24" s="149">
        <v>9.2469999999999999</v>
      </c>
      <c r="I24" s="149">
        <f>'Consommation du 01.03 au 31.03'!Y32*1000</f>
        <v>0</v>
      </c>
      <c r="J24" s="149">
        <v>0.53</v>
      </c>
      <c r="K24" s="149">
        <f>'Consommation du 01.03 au 31.03'!D32</f>
        <v>0</v>
      </c>
      <c r="L24" s="149">
        <v>12.67</v>
      </c>
      <c r="M24" s="148">
        <f>'Consommation du 01.03 au 31.03'!AC32</f>
        <v>0</v>
      </c>
      <c r="N24" s="148"/>
      <c r="O24" s="149">
        <f t="shared" si="0"/>
        <v>0</v>
      </c>
    </row>
    <row r="25" spans="1:15">
      <c r="A25" s="146" t="s">
        <v>15</v>
      </c>
      <c r="B25" s="147">
        <f t="shared" si="1"/>
        <v>24</v>
      </c>
      <c r="C25" s="147">
        <v>3</v>
      </c>
      <c r="D25" s="148">
        <v>2021</v>
      </c>
      <c r="E25" s="149">
        <f>'Consommation du 01.03 au 31.03'!M33</f>
        <v>0</v>
      </c>
      <c r="F25" s="149">
        <v>1.002</v>
      </c>
      <c r="G25" s="149">
        <f>'Consommation du 01.03 au 31.03'!U33</f>
        <v>0</v>
      </c>
      <c r="H25" s="149">
        <v>9.2469999999999999</v>
      </c>
      <c r="I25" s="149">
        <f>'Consommation du 01.03 au 31.03'!Y33*1000</f>
        <v>0</v>
      </c>
      <c r="J25" s="149">
        <v>0.53</v>
      </c>
      <c r="K25" s="149">
        <f>'Consommation du 01.03 au 31.03'!D33</f>
        <v>0</v>
      </c>
      <c r="L25" s="149">
        <v>12.67</v>
      </c>
      <c r="M25" s="148">
        <f>'Consommation du 01.03 au 31.03'!AC33</f>
        <v>0</v>
      </c>
      <c r="N25" s="148"/>
      <c r="O25" s="149">
        <f t="shared" si="0"/>
        <v>0</v>
      </c>
    </row>
    <row r="26" spans="1:15">
      <c r="A26" s="146" t="s">
        <v>15</v>
      </c>
      <c r="B26" s="147">
        <f>B25+1</f>
        <v>25</v>
      </c>
      <c r="C26" s="147">
        <v>3</v>
      </c>
      <c r="D26" s="148">
        <v>2021</v>
      </c>
      <c r="E26" s="149">
        <f>'Consommation du 01.03 au 31.03'!M34</f>
        <v>0</v>
      </c>
      <c r="F26" s="149">
        <v>1.002</v>
      </c>
      <c r="G26" s="149">
        <f>'Consommation du 01.03 au 31.03'!U34</f>
        <v>0</v>
      </c>
      <c r="H26" s="149">
        <v>9.2469999999999999</v>
      </c>
      <c r="I26" s="149">
        <f>'Consommation du 01.03 au 31.03'!Y34*1000</f>
        <v>0</v>
      </c>
      <c r="J26" s="149">
        <v>0.53</v>
      </c>
      <c r="K26" s="149">
        <f>'Consommation du 01.03 au 31.03'!D34</f>
        <v>0</v>
      </c>
      <c r="L26" s="149">
        <v>12.67</v>
      </c>
      <c r="M26" s="148">
        <f>'Consommation du 01.03 au 31.03'!AC34</f>
        <v>0</v>
      </c>
      <c r="N26" s="148"/>
      <c r="O26" s="149">
        <f t="shared" si="0"/>
        <v>0</v>
      </c>
    </row>
    <row r="27" spans="1:15">
      <c r="A27" s="146" t="s">
        <v>15</v>
      </c>
      <c r="B27" s="147">
        <f t="shared" si="1"/>
        <v>26</v>
      </c>
      <c r="C27" s="147">
        <v>3</v>
      </c>
      <c r="D27" s="148">
        <v>2021</v>
      </c>
      <c r="E27" s="149">
        <f>'Consommation du 01.03 au 31.03'!M35</f>
        <v>0</v>
      </c>
      <c r="F27" s="149">
        <v>1.002</v>
      </c>
      <c r="G27" s="149">
        <f>'Consommation du 01.03 au 31.03'!U35</f>
        <v>0</v>
      </c>
      <c r="H27" s="149">
        <v>9.2469999999999999</v>
      </c>
      <c r="I27" s="149">
        <f>'Consommation du 01.03 au 31.03'!Y35*1000</f>
        <v>0</v>
      </c>
      <c r="J27" s="149">
        <v>0.53</v>
      </c>
      <c r="K27" s="149">
        <f>'Consommation du 01.03 au 31.03'!D35</f>
        <v>0</v>
      </c>
      <c r="L27" s="149">
        <v>12.67</v>
      </c>
      <c r="M27" s="148">
        <f>'Consommation du 01.03 au 31.03'!AC35</f>
        <v>0</v>
      </c>
      <c r="N27" s="148"/>
      <c r="O27" s="149">
        <f t="shared" si="0"/>
        <v>0</v>
      </c>
    </row>
    <row r="28" spans="1:15">
      <c r="A28" s="146" t="s">
        <v>15</v>
      </c>
      <c r="B28" s="147">
        <f t="shared" si="1"/>
        <v>27</v>
      </c>
      <c r="C28" s="147">
        <v>3</v>
      </c>
      <c r="D28" s="148">
        <v>2021</v>
      </c>
      <c r="E28" s="149">
        <f>'Consommation du 01.03 au 31.03'!M36</f>
        <v>0</v>
      </c>
      <c r="F28" s="149">
        <v>1.002</v>
      </c>
      <c r="G28" s="149">
        <f>'Consommation du 01.03 au 31.03'!U36</f>
        <v>0</v>
      </c>
      <c r="H28" s="149">
        <v>9.2469999999999999</v>
      </c>
      <c r="I28" s="149">
        <f>'Consommation du 01.03 au 31.03'!Y36*1000</f>
        <v>0</v>
      </c>
      <c r="J28" s="149">
        <v>0.53</v>
      </c>
      <c r="K28" s="149">
        <f>'Consommation du 01.03 au 31.03'!D36</f>
        <v>0</v>
      </c>
      <c r="L28" s="149">
        <v>12.67</v>
      </c>
      <c r="M28" s="148">
        <f>'Consommation du 01.03 au 31.03'!AC36</f>
        <v>0</v>
      </c>
      <c r="N28" s="148"/>
      <c r="O28" s="149">
        <f t="shared" si="0"/>
        <v>0</v>
      </c>
    </row>
    <row r="29" spans="1:15">
      <c r="A29" s="146" t="s">
        <v>15</v>
      </c>
      <c r="B29" s="147">
        <f t="shared" si="1"/>
        <v>28</v>
      </c>
      <c r="C29" s="147">
        <v>3</v>
      </c>
      <c r="D29" s="148">
        <v>2021</v>
      </c>
      <c r="E29" s="149">
        <f>'Consommation du 01.03 au 31.03'!M37</f>
        <v>0</v>
      </c>
      <c r="F29" s="149">
        <v>1.002</v>
      </c>
      <c r="G29" s="149">
        <f>'Consommation du 01.03 au 31.03'!U37</f>
        <v>0</v>
      </c>
      <c r="H29" s="149">
        <v>9.2469999999999999</v>
      </c>
      <c r="I29" s="149">
        <f>'Consommation du 01.03 au 31.03'!Y37*1000</f>
        <v>0</v>
      </c>
      <c r="J29" s="149">
        <v>0.53</v>
      </c>
      <c r="K29" s="149">
        <f>'Consommation du 01.03 au 31.03'!D37</f>
        <v>0</v>
      </c>
      <c r="L29" s="149">
        <v>12.67</v>
      </c>
      <c r="M29" s="148">
        <f>'Consommation du 01.03 au 31.03'!AC37</f>
        <v>0</v>
      </c>
      <c r="N29" s="148"/>
      <c r="O29" s="149">
        <f t="shared" si="0"/>
        <v>0</v>
      </c>
    </row>
    <row r="30" spans="1:15">
      <c r="A30" s="146" t="s">
        <v>15</v>
      </c>
      <c r="B30" s="147">
        <f t="shared" si="1"/>
        <v>29</v>
      </c>
      <c r="C30" s="147">
        <v>3</v>
      </c>
      <c r="D30" s="148">
        <v>2021</v>
      </c>
      <c r="E30" s="149">
        <f>'Consommation du 01.03 au 31.03'!M38</f>
        <v>0</v>
      </c>
      <c r="F30" s="149">
        <v>1.002</v>
      </c>
      <c r="G30" s="149">
        <f>'Consommation du 01.03 au 31.03'!U38</f>
        <v>0</v>
      </c>
      <c r="H30" s="149">
        <v>9.2469999999999999</v>
      </c>
      <c r="I30" s="149">
        <f>'Consommation du 01.03 au 31.03'!Y38*1000</f>
        <v>0</v>
      </c>
      <c r="J30" s="149">
        <v>0.53</v>
      </c>
      <c r="K30" s="149">
        <f>'Consommation du 01.03 au 31.03'!D38</f>
        <v>0</v>
      </c>
      <c r="L30" s="149">
        <v>12.67</v>
      </c>
      <c r="M30" s="148">
        <f>'Consommation du 01.03 au 31.03'!AC38</f>
        <v>0</v>
      </c>
      <c r="N30" s="148"/>
      <c r="O30" s="149">
        <f t="shared" ref="O30:O32" si="2">E30*F30+G30*H30+I30*J30+K30*L30</f>
        <v>0</v>
      </c>
    </row>
    <row r="31" spans="1:15">
      <c r="A31" s="146" t="s">
        <v>15</v>
      </c>
      <c r="B31" s="147">
        <f t="shared" si="1"/>
        <v>30</v>
      </c>
      <c r="C31" s="147">
        <v>3</v>
      </c>
      <c r="D31" s="148">
        <v>2021</v>
      </c>
      <c r="E31" s="149">
        <f>'Consommation du 01.03 au 31.03'!M39</f>
        <v>0</v>
      </c>
      <c r="F31" s="149">
        <v>1.002</v>
      </c>
      <c r="G31" s="149">
        <f>'Consommation du 01.03 au 31.03'!U39</f>
        <v>0</v>
      </c>
      <c r="H31" s="149">
        <v>9.2469999999999999</v>
      </c>
      <c r="I31" s="149">
        <f>'Consommation du 01.03 au 31.03'!Y39*1000</f>
        <v>0</v>
      </c>
      <c r="J31" s="149">
        <v>0.53</v>
      </c>
      <c r="K31" s="149">
        <f>'Consommation du 01.03 au 31.03'!D39</f>
        <v>0</v>
      </c>
      <c r="L31" s="149">
        <v>12.67</v>
      </c>
      <c r="M31" s="148">
        <f>'Consommation du 01.03 au 31.03'!AC39</f>
        <v>0</v>
      </c>
      <c r="N31" s="148"/>
      <c r="O31" s="149">
        <f t="shared" si="2"/>
        <v>0</v>
      </c>
    </row>
    <row r="32" spans="1:15">
      <c r="A32" s="146" t="s">
        <v>15</v>
      </c>
      <c r="B32" s="147">
        <f t="shared" si="1"/>
        <v>31</v>
      </c>
      <c r="C32" s="147">
        <v>3</v>
      </c>
      <c r="D32" s="148">
        <v>2021</v>
      </c>
      <c r="E32" s="149">
        <f>'Consommation du 01.03 au 31.03'!M40</f>
        <v>0</v>
      </c>
      <c r="F32" s="149">
        <v>1.002</v>
      </c>
      <c r="G32" s="149">
        <f>'Consommation du 01.03 au 31.03'!U40</f>
        <v>0</v>
      </c>
      <c r="H32" s="149">
        <v>9.2469999999999999</v>
      </c>
      <c r="I32" s="149">
        <f>'Consommation du 01.03 au 31.03'!Y40*1000</f>
        <v>0</v>
      </c>
      <c r="J32" s="149">
        <v>0.53</v>
      </c>
      <c r="K32" s="149">
        <f>'Consommation du 01.03 au 31.03'!D40</f>
        <v>0</v>
      </c>
      <c r="L32" s="149">
        <v>12.67</v>
      </c>
      <c r="M32" s="148">
        <f>'Consommation du 01.03 au 31.03'!AC40</f>
        <v>0</v>
      </c>
      <c r="N32" s="148"/>
      <c r="O32" s="149">
        <f t="shared" si="2"/>
        <v>0</v>
      </c>
    </row>
    <row r="33" spans="4:15"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</row>
    <row r="34" spans="4:15"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</row>
    <row r="35" spans="4:15"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</row>
    <row r="36" spans="4:15"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</row>
    <row r="37" spans="4:15"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</row>
    <row r="38" spans="4:15"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</row>
    <row r="39" spans="4:15"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A2" zoomScale="60" zoomScaleNormal="60" workbookViewId="0">
      <selection activeCell="AB23" sqref="AB23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</row>
    <row r="2" spans="1:40" ht="129" customHeight="1" thickBot="1">
      <c r="A2" s="176"/>
      <c r="B2" s="177"/>
      <c r="C2" s="177"/>
      <c r="D2" s="177"/>
      <c r="E2" s="177"/>
      <c r="F2" s="178"/>
      <c r="G2" s="179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76"/>
      <c r="AE2" s="178"/>
      <c r="AF2" s="65"/>
      <c r="AG2" s="164"/>
      <c r="AH2" s="56"/>
      <c r="AI2" s="164"/>
      <c r="AJ2" s="64"/>
      <c r="AK2" s="164"/>
      <c r="AL2" s="164"/>
      <c r="AM2" s="164"/>
      <c r="AN2" s="164"/>
    </row>
    <row r="3" spans="1:40" ht="1.5" customHeight="1">
      <c r="A3" s="164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</row>
    <row r="4" spans="1:40" ht="39" hidden="1" customHeight="1">
      <c r="A4" s="181"/>
      <c r="B4" s="181"/>
      <c r="C4" s="181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</row>
    <row r="5" spans="1:40" ht="37.5" hidden="1" customHeight="1">
      <c r="A5" s="181"/>
      <c r="B5" s="181"/>
      <c r="C5" s="181"/>
      <c r="D5" s="3"/>
      <c r="E5" s="3"/>
      <c r="F5" s="3"/>
      <c r="G5" s="3"/>
      <c r="H5" s="3"/>
      <c r="I5" s="3"/>
      <c r="J5" s="3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70"/>
      <c r="AC5" s="170"/>
      <c r="AD5" s="164"/>
      <c r="AE5" s="63"/>
      <c r="AF5" s="164"/>
      <c r="AG5" s="164"/>
      <c r="AH5" s="164"/>
      <c r="AI5" s="164"/>
      <c r="AJ5" s="164"/>
      <c r="AK5" s="164"/>
      <c r="AL5" s="164"/>
      <c r="AM5" s="164"/>
      <c r="AN5" s="164"/>
    </row>
    <row r="6" spans="1:40" s="6" customFormat="1" ht="51" customHeight="1" thickBot="1">
      <c r="A6" s="1"/>
      <c r="B6" s="1"/>
      <c r="C6" s="1"/>
      <c r="D6" s="3"/>
      <c r="E6" s="3"/>
      <c r="F6" s="3"/>
      <c r="G6" s="3"/>
      <c r="H6" s="3"/>
      <c r="I6" s="3"/>
      <c r="J6" s="3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70"/>
      <c r="AC6" s="170"/>
      <c r="AI6" s="3"/>
      <c r="AJ6" s="3"/>
      <c r="AK6" s="3"/>
    </row>
    <row r="7" spans="1:40" s="6" customFormat="1" ht="3.75" hidden="1" customHeight="1" thickBot="1">
      <c r="A7" s="170"/>
      <c r="B7" s="170"/>
      <c r="C7" s="170"/>
      <c r="D7" s="183"/>
      <c r="E7" s="183"/>
      <c r="F7" s="183"/>
      <c r="G7" s="183"/>
      <c r="H7" s="183"/>
      <c r="I7" s="183"/>
      <c r="J7" s="183"/>
      <c r="K7" s="183"/>
      <c r="L7" s="183"/>
      <c r="M7" s="184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71"/>
      <c r="AC7" s="171"/>
      <c r="AI7" s="3"/>
      <c r="AJ7" s="66"/>
      <c r="AK7" s="66"/>
      <c r="AL7" s="69"/>
    </row>
    <row r="8" spans="1:40" ht="2.25" customHeight="1" thickBot="1">
      <c r="A8" s="185"/>
      <c r="B8" s="186" t="s">
        <v>17</v>
      </c>
      <c r="C8" s="70"/>
      <c r="D8" s="187" t="s">
        <v>18</v>
      </c>
      <c r="E8" s="67"/>
      <c r="F8" s="189" t="s">
        <v>19</v>
      </c>
      <c r="G8" s="190"/>
      <c r="H8" s="191"/>
      <c r="I8" s="67"/>
      <c r="J8" s="81"/>
      <c r="K8" s="81"/>
      <c r="L8" s="81"/>
      <c r="M8" s="195" t="s">
        <v>20</v>
      </c>
      <c r="N8" s="67"/>
      <c r="O8" s="203" t="s">
        <v>19</v>
      </c>
      <c r="P8" s="67"/>
      <c r="Q8" s="203" t="s">
        <v>21</v>
      </c>
      <c r="R8" s="67"/>
      <c r="S8" s="203" t="s">
        <v>22</v>
      </c>
      <c r="T8" s="67"/>
      <c r="U8" s="207" t="s">
        <v>23</v>
      </c>
      <c r="V8" s="67"/>
      <c r="W8" s="203" t="s">
        <v>19</v>
      </c>
      <c r="X8" s="209" t="s">
        <v>24</v>
      </c>
      <c r="Y8" s="211" t="s">
        <v>25</v>
      </c>
      <c r="Z8" s="213" t="s">
        <v>26</v>
      </c>
      <c r="AA8" s="215"/>
      <c r="AB8" s="216" t="s">
        <v>27</v>
      </c>
      <c r="AC8" s="203" t="s">
        <v>28</v>
      </c>
      <c r="AD8" s="205" t="s">
        <v>29</v>
      </c>
      <c r="AE8" s="196" t="s">
        <v>30</v>
      </c>
      <c r="AF8" s="196" t="s">
        <v>31</v>
      </c>
      <c r="AG8" s="198" t="s">
        <v>32</v>
      </c>
      <c r="AH8" s="198" t="s">
        <v>33</v>
      </c>
      <c r="AI8" s="56"/>
      <c r="AJ8" s="114"/>
      <c r="AK8" s="114"/>
      <c r="AL8" s="68"/>
      <c r="AM8" s="164"/>
      <c r="AN8" s="164"/>
    </row>
    <row r="9" spans="1:40" ht="77.25" customHeight="1" thickBot="1">
      <c r="A9" s="185"/>
      <c r="B9" s="186"/>
      <c r="C9" s="70"/>
      <c r="D9" s="188"/>
      <c r="E9" s="67"/>
      <c r="F9" s="192"/>
      <c r="G9" s="193"/>
      <c r="H9" s="194"/>
      <c r="I9" s="141"/>
      <c r="J9" s="82" t="s">
        <v>34</v>
      </c>
      <c r="K9" s="82" t="s">
        <v>35</v>
      </c>
      <c r="L9" s="82" t="s">
        <v>36</v>
      </c>
      <c r="M9" s="195"/>
      <c r="N9" s="67"/>
      <c r="O9" s="204"/>
      <c r="P9" s="67"/>
      <c r="Q9" s="204"/>
      <c r="R9" s="67"/>
      <c r="S9" s="204"/>
      <c r="T9" s="67"/>
      <c r="U9" s="208"/>
      <c r="V9" s="67"/>
      <c r="W9" s="204"/>
      <c r="X9" s="210"/>
      <c r="Y9" s="212"/>
      <c r="Z9" s="214"/>
      <c r="AA9" s="215"/>
      <c r="AB9" s="217"/>
      <c r="AC9" s="218"/>
      <c r="AD9" s="206"/>
      <c r="AE9" s="197"/>
      <c r="AF9" s="197"/>
      <c r="AG9" s="199"/>
      <c r="AH9" s="199"/>
      <c r="AI9" s="38"/>
      <c r="AJ9" s="115" t="s">
        <v>37</v>
      </c>
      <c r="AK9" s="62" t="s">
        <v>38</v>
      </c>
      <c r="AL9" s="69"/>
      <c r="AM9" s="6"/>
      <c r="AN9" s="6"/>
    </row>
    <row r="10" spans="1:40" ht="32.25" customHeight="1" thickBot="1">
      <c r="A10" s="169"/>
      <c r="B10" s="83">
        <v>44256</v>
      </c>
      <c r="C10" s="84"/>
      <c r="D10" s="136">
        <f>'Suivi EAU-ELEC'!C13</f>
        <v>218</v>
      </c>
      <c r="E10" s="140"/>
      <c r="F10" s="200">
        <f t="shared" ref="F10:F40" si="0">D10*12.67</f>
        <v>2762.06</v>
      </c>
      <c r="G10" s="201"/>
      <c r="H10" s="202"/>
      <c r="I10" s="131"/>
      <c r="J10" s="85">
        <f>'Suivi EAU-ELEC'!E13</f>
        <v>2692</v>
      </c>
      <c r="K10" s="86">
        <f>'Suivi EAU-ELEC'!G13</f>
        <v>4257</v>
      </c>
      <c r="L10" s="86">
        <f>'Suivi EAU-ELEC'!I13</f>
        <v>1779</v>
      </c>
      <c r="M10" s="75">
        <f>L10+K10+J10</f>
        <v>8728</v>
      </c>
      <c r="N10" s="52"/>
      <c r="O10" s="53">
        <f>J10*0.99+K10*0.99+L10*0.99</f>
        <v>8640.7200000000012</v>
      </c>
      <c r="P10" s="51"/>
      <c r="Q10" s="49"/>
      <c r="R10" s="50"/>
      <c r="S10" s="49"/>
      <c r="T10" s="87"/>
      <c r="U10" s="54">
        <f>'Suivi Gaz'!O8</f>
        <v>259.7</v>
      </c>
      <c r="V10" s="52"/>
      <c r="W10" s="53">
        <f>U10*9.247</f>
        <v>2401.4458999999997</v>
      </c>
      <c r="X10" s="59">
        <v>19119.63</v>
      </c>
      <c r="Y10" s="142">
        <f t="shared" ref="Y10:Y40" si="1">IF(X11&lt;X10,0,X11-X10)</f>
        <v>11.270000000000437</v>
      </c>
      <c r="Z10" s="58">
        <f>Y10*0.53*1000</f>
        <v>5973.1000000002314</v>
      </c>
      <c r="AA10" s="52"/>
      <c r="AB10" s="55">
        <v>16</v>
      </c>
      <c r="AC10" s="71">
        <v>17</v>
      </c>
      <c r="AD10" s="72">
        <v>0.13819999999999999</v>
      </c>
      <c r="AE10" s="76">
        <v>28</v>
      </c>
      <c r="AF10" s="76">
        <v>28</v>
      </c>
      <c r="AG10" s="73">
        <v>24</v>
      </c>
      <c r="AH10" s="74">
        <v>26</v>
      </c>
      <c r="AI10" s="134"/>
      <c r="AJ10" s="116">
        <f t="shared" ref="AJ10:AJ40" si="2">(F10+O10+W10+Z10)</f>
        <v>19777.325900000233</v>
      </c>
      <c r="AK10" s="117">
        <f t="shared" ref="AK10:AK40" si="3">AJ10/AC10</f>
        <v>1163.3721117647196</v>
      </c>
      <c r="AL10" s="69"/>
      <c r="AM10" s="6"/>
      <c r="AN10" s="6"/>
    </row>
    <row r="11" spans="1:40" ht="32.25" customHeight="1" thickBot="1">
      <c r="A11" s="169"/>
      <c r="B11" s="83">
        <f>(B10+1)</f>
        <v>44257</v>
      </c>
      <c r="C11" s="84"/>
      <c r="D11" s="136">
        <f>'Suivi EAU-ELEC'!C14</f>
        <v>187</v>
      </c>
      <c r="E11" s="87"/>
      <c r="F11" s="200">
        <f t="shared" si="0"/>
        <v>2369.29</v>
      </c>
      <c r="G11" s="201"/>
      <c r="H11" s="202"/>
      <c r="I11" s="131"/>
      <c r="J11" s="85">
        <f>'Suivi EAU-ELEC'!E14</f>
        <v>3026</v>
      </c>
      <c r="K11" s="86">
        <f>'Suivi EAU-ELEC'!G14</f>
        <v>4263</v>
      </c>
      <c r="L11" s="86">
        <f>'Suivi EAU-ELEC'!I14</f>
        <v>1929</v>
      </c>
      <c r="M11" s="75">
        <f t="shared" ref="M11:M40" si="4">L11+K11+J11</f>
        <v>9218</v>
      </c>
      <c r="N11" s="52"/>
      <c r="O11" s="53">
        <f t="shared" ref="O11:O40" si="5">J11*0.99+K11*0.99+L11*0.99</f>
        <v>9125.82</v>
      </c>
      <c r="P11" s="51"/>
      <c r="Q11" s="49"/>
      <c r="R11" s="50"/>
      <c r="S11" s="49"/>
      <c r="T11" s="87"/>
      <c r="U11" s="54">
        <f>'Suivi Gaz'!O9</f>
        <v>185.5</v>
      </c>
      <c r="V11" s="52"/>
      <c r="W11" s="53">
        <f t="shared" ref="W11:W40" si="6">U11*9.247</f>
        <v>1715.3185000000001</v>
      </c>
      <c r="X11" s="59">
        <v>19130.900000000001</v>
      </c>
      <c r="Y11" s="137">
        <f t="shared" si="1"/>
        <v>12.489999999997963</v>
      </c>
      <c r="Z11" s="58">
        <f t="shared" ref="Z11:Z40" si="7">Y11*0.53*1000</f>
        <v>6619.6999999989212</v>
      </c>
      <c r="AA11" s="52"/>
      <c r="AB11" s="55">
        <v>17</v>
      </c>
      <c r="AC11" s="71">
        <v>16</v>
      </c>
      <c r="AD11" s="72">
        <v>0.129</v>
      </c>
      <c r="AE11" s="76">
        <v>26.6</v>
      </c>
      <c r="AF11" s="76">
        <v>28</v>
      </c>
      <c r="AG11" s="73">
        <v>20</v>
      </c>
      <c r="AH11" s="74">
        <v>20</v>
      </c>
      <c r="AI11" s="134"/>
      <c r="AJ11" s="118">
        <f t="shared" si="2"/>
        <v>19830.128499998922</v>
      </c>
      <c r="AK11" s="117">
        <f t="shared" si="3"/>
        <v>1239.3830312499326</v>
      </c>
      <c r="AL11" s="69"/>
      <c r="AM11" s="6"/>
      <c r="AN11" s="6"/>
    </row>
    <row r="12" spans="1:40" s="6" customFormat="1" ht="32.25" customHeight="1">
      <c r="A12" s="67"/>
      <c r="B12" s="83">
        <f t="shared" ref="B12:B40" si="8">(B11+1)</f>
        <v>44258</v>
      </c>
      <c r="C12" s="84"/>
      <c r="D12" s="136">
        <f>'Suivi EAU-ELEC'!C15</f>
        <v>241</v>
      </c>
      <c r="E12" s="87"/>
      <c r="F12" s="200">
        <f t="shared" si="0"/>
        <v>3053.47</v>
      </c>
      <c r="G12" s="201"/>
      <c r="H12" s="202"/>
      <c r="I12" s="131"/>
      <c r="J12" s="85">
        <f>'Suivi EAU-ELEC'!E15</f>
        <v>2658</v>
      </c>
      <c r="K12" s="86">
        <f>'Suivi EAU-ELEC'!G15</f>
        <v>4751</v>
      </c>
      <c r="L12" s="86">
        <f>'Suivi EAU-ELEC'!I15</f>
        <v>2118</v>
      </c>
      <c r="M12" s="75">
        <f t="shared" si="4"/>
        <v>9527</v>
      </c>
      <c r="N12" s="52"/>
      <c r="O12" s="53">
        <f t="shared" si="5"/>
        <v>9431.73</v>
      </c>
      <c r="P12" s="51"/>
      <c r="Q12" s="49"/>
      <c r="R12" s="50"/>
      <c r="S12" s="49"/>
      <c r="T12" s="87"/>
      <c r="U12" s="54">
        <f>'Suivi Gaz'!O10</f>
        <v>148.4</v>
      </c>
      <c r="V12" s="52"/>
      <c r="W12" s="53">
        <f t="shared" si="6"/>
        <v>1372.2547999999999</v>
      </c>
      <c r="X12" s="59">
        <v>19143.39</v>
      </c>
      <c r="Y12" s="137">
        <f t="shared" si="1"/>
        <v>13.040000000000873</v>
      </c>
      <c r="Z12" s="58">
        <f t="shared" si="7"/>
        <v>6911.2000000004628</v>
      </c>
      <c r="AA12" s="52"/>
      <c r="AB12" s="153">
        <v>16</v>
      </c>
      <c r="AC12" s="154">
        <v>17</v>
      </c>
      <c r="AD12" s="155">
        <v>0.13389999999999999</v>
      </c>
      <c r="AE12" s="156">
        <v>26</v>
      </c>
      <c r="AF12" s="156">
        <v>27</v>
      </c>
      <c r="AG12" s="157">
        <v>20</v>
      </c>
      <c r="AH12" s="158">
        <v>20</v>
      </c>
      <c r="AI12" s="38"/>
      <c r="AJ12" s="118">
        <f t="shared" si="2"/>
        <v>20768.654800000462</v>
      </c>
      <c r="AK12" s="117">
        <f t="shared" si="3"/>
        <v>1221.6855764706154</v>
      </c>
      <c r="AL12" s="69"/>
    </row>
    <row r="13" spans="1:40" ht="32.25" customHeight="1">
      <c r="A13" s="67"/>
      <c r="B13" s="83">
        <f t="shared" si="8"/>
        <v>44259</v>
      </c>
      <c r="C13" s="84"/>
      <c r="D13" s="136">
        <f>'Suivi EAU-ELEC'!C16</f>
        <v>217</v>
      </c>
      <c r="E13" s="87"/>
      <c r="F13" s="219">
        <f t="shared" si="0"/>
        <v>2749.39</v>
      </c>
      <c r="G13" s="220"/>
      <c r="H13" s="221"/>
      <c r="I13" s="131"/>
      <c r="J13" s="85">
        <f>'Suivi EAU-ELEC'!E16</f>
        <v>2810</v>
      </c>
      <c r="K13" s="86">
        <f>'Suivi EAU-ELEC'!G16</f>
        <v>4340</v>
      </c>
      <c r="L13" s="86">
        <f>'Suivi EAU-ELEC'!I16</f>
        <v>1836</v>
      </c>
      <c r="M13" s="75">
        <f t="shared" si="4"/>
        <v>8986</v>
      </c>
      <c r="N13" s="52"/>
      <c r="O13" s="53">
        <f t="shared" si="5"/>
        <v>8896.14</v>
      </c>
      <c r="P13" s="51"/>
      <c r="Q13" s="49"/>
      <c r="R13" s="50"/>
      <c r="S13" s="49"/>
      <c r="T13" s="87"/>
      <c r="U13" s="54">
        <f>'Suivi Gaz'!O11</f>
        <v>148.4</v>
      </c>
      <c r="V13" s="52"/>
      <c r="W13" s="53">
        <f t="shared" si="6"/>
        <v>1372.2547999999999</v>
      </c>
      <c r="X13" s="59">
        <v>19156.43</v>
      </c>
      <c r="Y13" s="137">
        <f t="shared" si="1"/>
        <v>11.900000000001455</v>
      </c>
      <c r="Z13" s="58">
        <f t="shared" si="7"/>
        <v>6307.0000000007713</v>
      </c>
      <c r="AA13" s="52"/>
      <c r="AB13" s="153">
        <v>17</v>
      </c>
      <c r="AC13" s="154">
        <v>15</v>
      </c>
      <c r="AD13" s="155">
        <v>0.121</v>
      </c>
      <c r="AE13" s="156">
        <v>26</v>
      </c>
      <c r="AF13" s="156">
        <v>27</v>
      </c>
      <c r="AG13" s="157">
        <v>20</v>
      </c>
      <c r="AH13" s="158">
        <v>20</v>
      </c>
      <c r="AI13" s="38"/>
      <c r="AJ13" s="118">
        <f t="shared" si="2"/>
        <v>19324.784800000773</v>
      </c>
      <c r="AK13" s="117">
        <f t="shared" si="3"/>
        <v>1288.3189866667183</v>
      </c>
      <c r="AL13" s="68"/>
      <c r="AM13" s="164"/>
      <c r="AN13" s="164"/>
    </row>
    <row r="14" spans="1:40" ht="32.25" customHeight="1">
      <c r="A14" s="67"/>
      <c r="B14" s="83">
        <f t="shared" si="8"/>
        <v>44260</v>
      </c>
      <c r="C14" s="84"/>
      <c r="D14" s="136">
        <f>'Suivi EAU-ELEC'!C17</f>
        <v>235</v>
      </c>
      <c r="E14" s="87"/>
      <c r="F14" s="200">
        <f t="shared" si="0"/>
        <v>2977.45</v>
      </c>
      <c r="G14" s="201"/>
      <c r="H14" s="202"/>
      <c r="I14" s="131"/>
      <c r="J14" s="85">
        <f>'Suivi EAU-ELEC'!E17</f>
        <v>2839</v>
      </c>
      <c r="K14" s="86">
        <f>'Suivi EAU-ELEC'!G17</f>
        <v>4373</v>
      </c>
      <c r="L14" s="86">
        <f>'Suivi EAU-ELEC'!I17</f>
        <v>1959</v>
      </c>
      <c r="M14" s="75">
        <f t="shared" si="4"/>
        <v>9171</v>
      </c>
      <c r="N14" s="52"/>
      <c r="O14" s="53">
        <f t="shared" si="5"/>
        <v>9079.2899999999991</v>
      </c>
      <c r="P14" s="51"/>
      <c r="Q14" s="49"/>
      <c r="R14" s="50"/>
      <c r="S14" s="49"/>
      <c r="T14" s="87"/>
      <c r="U14" s="54">
        <f>'Suivi Gaz'!O12</f>
        <v>37.1</v>
      </c>
      <c r="V14" s="52"/>
      <c r="W14" s="53">
        <f t="shared" si="6"/>
        <v>343.06369999999998</v>
      </c>
      <c r="X14" s="59">
        <v>19168.330000000002</v>
      </c>
      <c r="Y14" s="137">
        <f t="shared" si="1"/>
        <v>15.93999999999869</v>
      </c>
      <c r="Z14" s="58">
        <f t="shared" si="7"/>
        <v>8448.1999999993077</v>
      </c>
      <c r="AA14" s="52"/>
      <c r="AB14" s="153">
        <v>17</v>
      </c>
      <c r="AC14" s="154">
        <v>30</v>
      </c>
      <c r="AD14" s="155">
        <v>0.23810000000000001</v>
      </c>
      <c r="AE14" s="156">
        <v>26</v>
      </c>
      <c r="AF14" s="156">
        <v>28</v>
      </c>
      <c r="AG14" s="157">
        <v>20</v>
      </c>
      <c r="AH14" s="158">
        <v>24</v>
      </c>
      <c r="AI14" s="38"/>
      <c r="AJ14" s="118">
        <f t="shared" si="2"/>
        <v>20848.003699999306</v>
      </c>
      <c r="AK14" s="117">
        <f t="shared" si="3"/>
        <v>694.93345666664356</v>
      </c>
      <c r="AL14" s="68"/>
      <c r="AM14" s="164"/>
      <c r="AN14" s="164"/>
    </row>
    <row r="15" spans="1:40" ht="32.25" customHeight="1">
      <c r="A15" s="67"/>
      <c r="B15" s="83">
        <f t="shared" si="8"/>
        <v>44261</v>
      </c>
      <c r="C15" s="84"/>
      <c r="D15" s="136">
        <f>'Suivi EAU-ELEC'!C18</f>
        <v>269</v>
      </c>
      <c r="E15" s="87"/>
      <c r="F15" s="222">
        <f t="shared" si="0"/>
        <v>3408.23</v>
      </c>
      <c r="G15" s="223"/>
      <c r="H15" s="224"/>
      <c r="I15" s="133"/>
      <c r="J15" s="85">
        <f>'Suivi EAU-ELEC'!E18</f>
        <v>2877</v>
      </c>
      <c r="K15" s="86">
        <f>'Suivi EAU-ELEC'!G18</f>
        <v>4291</v>
      </c>
      <c r="L15" s="86">
        <f>'Suivi EAU-ELEC'!I18</f>
        <v>1909</v>
      </c>
      <c r="M15" s="75">
        <f t="shared" si="4"/>
        <v>9077</v>
      </c>
      <c r="N15" s="52"/>
      <c r="O15" s="53">
        <f t="shared" si="5"/>
        <v>8986.23</v>
      </c>
      <c r="P15" s="51"/>
      <c r="Q15" s="49"/>
      <c r="R15" s="50"/>
      <c r="S15" s="49"/>
      <c r="T15" s="87"/>
      <c r="U15" s="54">
        <f>'Suivi Gaz'!O13</f>
        <v>37.1</v>
      </c>
      <c r="V15" s="52"/>
      <c r="W15" s="53">
        <f t="shared" si="6"/>
        <v>343.06369999999998</v>
      </c>
      <c r="X15" s="59">
        <v>19184.27</v>
      </c>
      <c r="Y15" s="137">
        <f t="shared" si="1"/>
        <v>13.25</v>
      </c>
      <c r="Z15" s="58">
        <f t="shared" si="7"/>
        <v>7022.5</v>
      </c>
      <c r="AA15" s="52"/>
      <c r="AB15" s="153">
        <v>16</v>
      </c>
      <c r="AC15" s="154">
        <v>21</v>
      </c>
      <c r="AD15" s="155">
        <v>0.16539999999999999</v>
      </c>
      <c r="AE15" s="156">
        <v>27.5</v>
      </c>
      <c r="AF15" s="156">
        <v>27.5</v>
      </c>
      <c r="AG15" s="157">
        <v>20</v>
      </c>
      <c r="AH15" s="158">
        <v>20</v>
      </c>
      <c r="AI15" s="38"/>
      <c r="AJ15" s="118">
        <f t="shared" si="2"/>
        <v>19760.023699999998</v>
      </c>
      <c r="AK15" s="117">
        <f t="shared" si="3"/>
        <v>940.95350952380943</v>
      </c>
      <c r="AL15" s="68"/>
      <c r="AM15" s="164"/>
      <c r="AN15" s="164"/>
    </row>
    <row r="16" spans="1:40" ht="32.25" customHeight="1">
      <c r="A16" s="67"/>
      <c r="B16" s="83">
        <f t="shared" si="8"/>
        <v>44262</v>
      </c>
      <c r="C16" s="84"/>
      <c r="D16" s="136">
        <f>'Suivi EAU-ELEC'!C19</f>
        <v>169</v>
      </c>
      <c r="E16" s="87"/>
      <c r="F16" s="219">
        <f t="shared" si="0"/>
        <v>2141.23</v>
      </c>
      <c r="G16" s="220"/>
      <c r="H16" s="221"/>
      <c r="I16" s="130"/>
      <c r="J16" s="85">
        <f>'Suivi EAU-ELEC'!E19</f>
        <v>2793</v>
      </c>
      <c r="K16" s="86">
        <f>'Suivi EAU-ELEC'!G19</f>
        <v>4522</v>
      </c>
      <c r="L16" s="86">
        <f>'Suivi EAU-ELEC'!I19</f>
        <v>1756</v>
      </c>
      <c r="M16" s="75">
        <f t="shared" si="4"/>
        <v>9071</v>
      </c>
      <c r="N16" s="52"/>
      <c r="O16" s="53">
        <f t="shared" si="5"/>
        <v>8980.2900000000009</v>
      </c>
      <c r="P16" s="51"/>
      <c r="Q16" s="49"/>
      <c r="R16" s="50"/>
      <c r="S16" s="49"/>
      <c r="T16" s="87"/>
      <c r="U16" s="54">
        <f>'Suivi Gaz'!O14</f>
        <v>148.4</v>
      </c>
      <c r="V16" s="52"/>
      <c r="W16" s="53">
        <f t="shared" si="6"/>
        <v>1372.2547999999999</v>
      </c>
      <c r="X16" s="59">
        <v>19197.52</v>
      </c>
      <c r="Y16" s="137">
        <f t="shared" si="1"/>
        <v>13.529999999998836</v>
      </c>
      <c r="Z16" s="58">
        <f t="shared" si="7"/>
        <v>7170.899999999383</v>
      </c>
      <c r="AA16" s="52"/>
      <c r="AB16" s="153">
        <v>16</v>
      </c>
      <c r="AC16" s="154">
        <v>7</v>
      </c>
      <c r="AD16" s="155">
        <v>5.5100000000000003E-2</v>
      </c>
      <c r="AE16" s="156">
        <v>26.5</v>
      </c>
      <c r="AF16" s="156">
        <v>26.5</v>
      </c>
      <c r="AG16" s="157">
        <v>20</v>
      </c>
      <c r="AH16" s="158">
        <v>20</v>
      </c>
      <c r="AI16" s="38"/>
      <c r="AJ16" s="118">
        <f t="shared" si="2"/>
        <v>19664.674799999382</v>
      </c>
      <c r="AK16" s="117">
        <f t="shared" si="3"/>
        <v>2809.239257142769</v>
      </c>
      <c r="AL16" s="68"/>
      <c r="AM16" s="164"/>
      <c r="AN16" s="164"/>
    </row>
    <row r="17" spans="1:256" ht="32.25" customHeight="1">
      <c r="A17" s="67"/>
      <c r="B17" s="83">
        <f t="shared" si="8"/>
        <v>44263</v>
      </c>
      <c r="C17" s="84"/>
      <c r="D17" s="136">
        <f>'Suivi EAU-ELEC'!C20</f>
        <v>323</v>
      </c>
      <c r="E17" s="87"/>
      <c r="F17" s="200">
        <f t="shared" si="0"/>
        <v>4092.41</v>
      </c>
      <c r="G17" s="201"/>
      <c r="H17" s="202"/>
      <c r="I17" s="131"/>
      <c r="J17" s="85">
        <f>'Suivi EAU-ELEC'!E20</f>
        <v>2820</v>
      </c>
      <c r="K17" s="86">
        <f>'Suivi EAU-ELEC'!G20</f>
        <v>4801</v>
      </c>
      <c r="L17" s="86">
        <f>'Suivi EAU-ELEC'!I20</f>
        <v>1862</v>
      </c>
      <c r="M17" s="75">
        <f t="shared" si="4"/>
        <v>9483</v>
      </c>
      <c r="N17" s="52"/>
      <c r="O17" s="53">
        <f t="shared" si="5"/>
        <v>9388.17</v>
      </c>
      <c r="P17" s="51"/>
      <c r="Q17" s="49"/>
      <c r="R17" s="50"/>
      <c r="S17" s="49"/>
      <c r="T17" s="87"/>
      <c r="U17" s="54">
        <f>'Suivi Gaz'!O15</f>
        <v>185.5</v>
      </c>
      <c r="V17" s="52"/>
      <c r="W17" s="53">
        <f t="shared" si="6"/>
        <v>1715.3185000000001</v>
      </c>
      <c r="X17" s="59">
        <v>19211.05</v>
      </c>
      <c r="Y17" s="137">
        <f t="shared" si="1"/>
        <v>14.209999999999127</v>
      </c>
      <c r="Z17" s="58">
        <f t="shared" si="7"/>
        <v>7531.2999999995382</v>
      </c>
      <c r="AA17" s="61"/>
      <c r="AB17" s="153">
        <v>15</v>
      </c>
      <c r="AC17" s="154">
        <v>7</v>
      </c>
      <c r="AD17" s="155">
        <v>5.11E-2</v>
      </c>
      <c r="AE17" s="156">
        <v>26.5</v>
      </c>
      <c r="AF17" s="156">
        <v>27.5</v>
      </c>
      <c r="AG17" s="157">
        <v>20</v>
      </c>
      <c r="AH17" s="158">
        <v>20</v>
      </c>
      <c r="AI17" s="38"/>
      <c r="AJ17" s="118">
        <f t="shared" si="2"/>
        <v>22727.198499999537</v>
      </c>
      <c r="AK17" s="117">
        <f t="shared" si="3"/>
        <v>3246.7426428570766</v>
      </c>
      <c r="AL17" s="68"/>
      <c r="AM17" s="164"/>
      <c r="AN17" s="164"/>
      <c r="AO17" s="164"/>
      <c r="AP17" s="164"/>
      <c r="AQ17" s="164"/>
      <c r="AR17" s="164"/>
      <c r="AS17" s="164"/>
      <c r="AT17" s="164"/>
      <c r="AU17" s="164"/>
      <c r="AV17" s="164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4"/>
      <c r="BJ17" s="164"/>
      <c r="BK17" s="164"/>
      <c r="BL17" s="164"/>
      <c r="BM17" s="164"/>
      <c r="BN17" s="164"/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4"/>
      <c r="DS17" s="164"/>
      <c r="DT17" s="164"/>
      <c r="DU17" s="164"/>
      <c r="DV17" s="164"/>
      <c r="DW17" s="164"/>
      <c r="DX17" s="164"/>
      <c r="DY17" s="164"/>
      <c r="DZ17" s="164"/>
      <c r="EA17" s="164"/>
      <c r="EB17" s="164"/>
      <c r="EC17" s="164"/>
      <c r="ED17" s="164"/>
      <c r="EE17" s="164"/>
      <c r="EF17" s="164"/>
      <c r="EG17" s="164"/>
      <c r="EH17" s="164"/>
      <c r="EI17" s="164"/>
      <c r="EJ17" s="164"/>
      <c r="EK17" s="164"/>
      <c r="EL17" s="164"/>
      <c r="EM17" s="164"/>
      <c r="EN17" s="164"/>
      <c r="EO17" s="164"/>
      <c r="EP17" s="164"/>
      <c r="EQ17" s="164"/>
      <c r="ER17" s="164"/>
      <c r="ES17" s="164"/>
      <c r="ET17" s="164"/>
      <c r="EU17" s="164"/>
      <c r="EV17" s="164"/>
      <c r="EW17" s="164"/>
      <c r="EX17" s="164"/>
      <c r="EY17" s="164"/>
      <c r="EZ17" s="164"/>
      <c r="FA17" s="164"/>
      <c r="FB17" s="164"/>
      <c r="FC17" s="164"/>
      <c r="FD17" s="164"/>
      <c r="FE17" s="164"/>
      <c r="FF17" s="164"/>
      <c r="FG17" s="164"/>
      <c r="FH17" s="164"/>
      <c r="FI17" s="164"/>
      <c r="FJ17" s="164"/>
      <c r="FK17" s="164"/>
      <c r="FL17" s="164"/>
      <c r="FM17" s="164"/>
      <c r="FN17" s="164"/>
      <c r="FO17" s="164"/>
      <c r="FP17" s="164"/>
      <c r="FQ17" s="164"/>
      <c r="FR17" s="164"/>
      <c r="FS17" s="164"/>
      <c r="FT17" s="164"/>
      <c r="FU17" s="164"/>
      <c r="FV17" s="164"/>
      <c r="FW17" s="164"/>
      <c r="FX17" s="164"/>
      <c r="FY17" s="164"/>
      <c r="FZ17" s="164"/>
      <c r="GA17" s="164"/>
      <c r="GB17" s="164"/>
      <c r="GC17" s="164"/>
      <c r="GD17" s="164"/>
      <c r="GE17" s="164"/>
      <c r="GF17" s="164"/>
      <c r="GG17" s="164"/>
      <c r="GH17" s="164"/>
      <c r="GI17" s="164"/>
      <c r="GJ17" s="164"/>
      <c r="GK17" s="164"/>
      <c r="GL17" s="164"/>
      <c r="GM17" s="164"/>
      <c r="GN17" s="164"/>
      <c r="GO17" s="164"/>
      <c r="GP17" s="164"/>
      <c r="GQ17" s="164"/>
      <c r="GR17" s="164"/>
      <c r="GS17" s="164"/>
      <c r="GT17" s="164"/>
      <c r="GU17" s="164"/>
      <c r="GV17" s="164"/>
      <c r="GW17" s="164"/>
      <c r="GX17" s="164"/>
      <c r="GY17" s="164"/>
      <c r="GZ17" s="164"/>
      <c r="HA17" s="164"/>
      <c r="HB17" s="164"/>
      <c r="HC17" s="164"/>
      <c r="HD17" s="164"/>
      <c r="HE17" s="164"/>
      <c r="HF17" s="164"/>
      <c r="HG17" s="164"/>
      <c r="HH17" s="164"/>
      <c r="HI17" s="164"/>
      <c r="HJ17" s="164"/>
      <c r="HK17" s="164"/>
      <c r="HL17" s="164"/>
      <c r="HM17" s="164"/>
      <c r="HN17" s="164"/>
      <c r="HO17" s="164"/>
      <c r="HP17" s="164"/>
      <c r="HQ17" s="164"/>
      <c r="HR17" s="164"/>
      <c r="HS17" s="164"/>
      <c r="HT17" s="164"/>
      <c r="HU17" s="164"/>
      <c r="HV17" s="164"/>
      <c r="HW17" s="164"/>
      <c r="HX17" s="164"/>
      <c r="HY17" s="164"/>
      <c r="HZ17" s="164"/>
      <c r="IA17" s="164"/>
      <c r="IB17" s="164"/>
      <c r="IC17" s="164"/>
      <c r="ID17" s="164"/>
      <c r="IE17" s="164"/>
      <c r="IF17" s="164"/>
      <c r="IG17" s="164"/>
      <c r="IH17" s="164"/>
      <c r="II17" s="164"/>
      <c r="IJ17" s="164"/>
      <c r="IK17" s="164"/>
      <c r="IL17" s="164"/>
      <c r="IM17" s="164"/>
      <c r="IN17" s="164"/>
      <c r="IO17" s="164"/>
      <c r="IP17" s="164"/>
      <c r="IQ17" s="164"/>
      <c r="IR17" s="164"/>
      <c r="IS17" s="164"/>
      <c r="IT17" s="164"/>
      <c r="IU17" s="164"/>
      <c r="IV17" s="164"/>
    </row>
    <row r="18" spans="1:256" ht="32.25" customHeight="1">
      <c r="A18" s="67"/>
      <c r="B18" s="83">
        <f t="shared" si="8"/>
        <v>44264</v>
      </c>
      <c r="C18" s="84"/>
      <c r="D18" s="136">
        <f>'Suivi EAU-ELEC'!C21</f>
        <v>220</v>
      </c>
      <c r="E18" s="87"/>
      <c r="F18" s="222">
        <f t="shared" si="0"/>
        <v>2787.4</v>
      </c>
      <c r="G18" s="223"/>
      <c r="H18" s="224"/>
      <c r="I18" s="131"/>
      <c r="J18" s="85">
        <f>'Suivi EAU-ELEC'!E21</f>
        <v>2772</v>
      </c>
      <c r="K18" s="86">
        <f>'Suivi EAU-ELEC'!G21</f>
        <v>4689</v>
      </c>
      <c r="L18" s="86">
        <f>'Suivi EAU-ELEC'!I21</f>
        <v>1969</v>
      </c>
      <c r="M18" s="75">
        <f t="shared" si="4"/>
        <v>9430</v>
      </c>
      <c r="N18" s="52"/>
      <c r="O18" s="53">
        <f t="shared" si="5"/>
        <v>9335.6999999999989</v>
      </c>
      <c r="P18" s="51"/>
      <c r="Q18" s="49"/>
      <c r="R18" s="50"/>
      <c r="S18" s="49"/>
      <c r="T18" s="87"/>
      <c r="U18" s="54">
        <f>'Suivi Gaz'!O16</f>
        <v>185.5</v>
      </c>
      <c r="V18" s="52"/>
      <c r="W18" s="53">
        <f t="shared" si="6"/>
        <v>1715.3185000000001</v>
      </c>
      <c r="X18" s="59">
        <v>19225.259999999998</v>
      </c>
      <c r="Y18" s="137">
        <f t="shared" si="1"/>
        <v>14.409999999999854</v>
      </c>
      <c r="Z18" s="58">
        <f t="shared" si="7"/>
        <v>7637.2999999999238</v>
      </c>
      <c r="AA18" s="61"/>
      <c r="AB18" s="163">
        <v>14</v>
      </c>
      <c r="AC18" s="71">
        <v>11</v>
      </c>
      <c r="AD18" s="72">
        <v>8.3299999999999999E-2</v>
      </c>
      <c r="AE18" s="76">
        <v>26.5</v>
      </c>
      <c r="AF18" s="76">
        <v>26.8</v>
      </c>
      <c r="AG18" s="73">
        <v>20</v>
      </c>
      <c r="AH18" s="74">
        <v>21</v>
      </c>
      <c r="AI18" s="38"/>
      <c r="AJ18" s="118">
        <f t="shared" si="2"/>
        <v>21475.718499999923</v>
      </c>
      <c r="AK18" s="117">
        <f t="shared" si="3"/>
        <v>1952.3380454545384</v>
      </c>
      <c r="AL18" s="68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  <c r="HC18" s="164"/>
      <c r="HD18" s="164"/>
      <c r="HE18" s="164"/>
      <c r="HF18" s="164"/>
      <c r="HG18" s="164"/>
      <c r="HH18" s="164"/>
      <c r="HI18" s="164"/>
      <c r="HJ18" s="164"/>
      <c r="HK18" s="164"/>
      <c r="HL18" s="164"/>
      <c r="HM18" s="164"/>
      <c r="HN18" s="164"/>
      <c r="HO18" s="164"/>
      <c r="HP18" s="164"/>
      <c r="HQ18" s="164"/>
      <c r="HR18" s="164"/>
      <c r="HS18" s="164"/>
      <c r="HT18" s="164"/>
      <c r="HU18" s="164"/>
      <c r="HV18" s="164"/>
      <c r="HW18" s="164"/>
      <c r="HX18" s="164"/>
      <c r="HY18" s="164"/>
      <c r="HZ18" s="164"/>
      <c r="IA18" s="164"/>
      <c r="IB18" s="164"/>
      <c r="IC18" s="164"/>
      <c r="ID18" s="164"/>
      <c r="IE18" s="164"/>
      <c r="IF18" s="164"/>
      <c r="IG18" s="164"/>
      <c r="IH18" s="164"/>
      <c r="II18" s="164"/>
      <c r="IJ18" s="164"/>
      <c r="IK18" s="164"/>
      <c r="IL18" s="164"/>
      <c r="IM18" s="164"/>
      <c r="IN18" s="164"/>
      <c r="IO18" s="164"/>
      <c r="IP18" s="164"/>
      <c r="IQ18" s="164"/>
      <c r="IR18" s="164"/>
      <c r="IS18" s="164"/>
      <c r="IT18" s="164"/>
      <c r="IU18" s="164"/>
      <c r="IV18" s="164"/>
    </row>
    <row r="19" spans="1:256" ht="32.25" customHeight="1">
      <c r="A19" s="67"/>
      <c r="B19" s="83">
        <f t="shared" si="8"/>
        <v>44265</v>
      </c>
      <c r="C19" s="84"/>
      <c r="D19" s="136">
        <f>'Suivi EAU-ELEC'!C22</f>
        <v>199</v>
      </c>
      <c r="E19" s="87"/>
      <c r="F19" s="200">
        <f t="shared" si="0"/>
        <v>2521.33</v>
      </c>
      <c r="G19" s="201"/>
      <c r="H19" s="202"/>
      <c r="I19" s="131"/>
      <c r="J19" s="85">
        <f>'Suivi EAU-ELEC'!E22</f>
        <v>2851</v>
      </c>
      <c r="K19" s="86">
        <f>'Suivi EAU-ELEC'!G22</f>
        <v>4819</v>
      </c>
      <c r="L19" s="86">
        <f>'Suivi EAU-ELEC'!I22</f>
        <v>2115</v>
      </c>
      <c r="M19" s="75">
        <f t="shared" si="4"/>
        <v>9785</v>
      </c>
      <c r="N19" s="52"/>
      <c r="O19" s="53">
        <f t="shared" si="5"/>
        <v>9687.15</v>
      </c>
      <c r="P19" s="51"/>
      <c r="Q19" s="49"/>
      <c r="R19" s="50"/>
      <c r="S19" s="49"/>
      <c r="T19" s="87"/>
      <c r="U19" s="54">
        <f>'Suivi Gaz'!O17</f>
        <v>445.20000000000005</v>
      </c>
      <c r="V19" s="52"/>
      <c r="W19" s="53">
        <f t="shared" si="6"/>
        <v>4116.7644</v>
      </c>
      <c r="X19" s="59">
        <v>19239.669999999998</v>
      </c>
      <c r="Y19" s="137">
        <f t="shared" si="1"/>
        <v>13.910000000003492</v>
      </c>
      <c r="Z19" s="58">
        <f t="shared" si="7"/>
        <v>7372.300000001851</v>
      </c>
      <c r="AA19" s="61"/>
      <c r="AB19" s="163">
        <v>16</v>
      </c>
      <c r="AC19" s="71">
        <v>13</v>
      </c>
      <c r="AD19" s="72">
        <v>9.8500000000000004E-2</v>
      </c>
      <c r="AE19" s="76">
        <v>26</v>
      </c>
      <c r="AF19" s="76">
        <v>27</v>
      </c>
      <c r="AG19" s="73">
        <v>20</v>
      </c>
      <c r="AH19" s="74">
        <v>20</v>
      </c>
      <c r="AI19" s="38"/>
      <c r="AJ19" s="118">
        <f t="shared" si="2"/>
        <v>23697.544400001851</v>
      </c>
      <c r="AK19" s="117">
        <f t="shared" si="3"/>
        <v>1822.888030769373</v>
      </c>
      <c r="AL19" s="68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/>
      <c r="DY19" s="164"/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/>
      <c r="EQ19" s="164"/>
      <c r="ER19" s="164"/>
      <c r="ES19" s="164"/>
      <c r="ET19" s="164"/>
      <c r="EU19" s="164"/>
      <c r="EV19" s="164"/>
      <c r="EW19" s="164"/>
      <c r="EX19" s="164"/>
      <c r="EY19" s="164"/>
      <c r="EZ19" s="164"/>
      <c r="FA19" s="164"/>
      <c r="FB19" s="164"/>
      <c r="FC19" s="164"/>
      <c r="FD19" s="164"/>
      <c r="FE19" s="164"/>
      <c r="FF19" s="164"/>
      <c r="FG19" s="164"/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  <c r="HC19" s="164"/>
      <c r="HD19" s="164"/>
      <c r="HE19" s="164"/>
      <c r="HF19" s="164"/>
      <c r="HG19" s="164"/>
      <c r="HH19" s="164"/>
      <c r="HI19" s="164"/>
      <c r="HJ19" s="164"/>
      <c r="HK19" s="164"/>
      <c r="HL19" s="164"/>
      <c r="HM19" s="164"/>
      <c r="HN19" s="164"/>
      <c r="HO19" s="164"/>
      <c r="HP19" s="164"/>
      <c r="HQ19" s="164"/>
      <c r="HR19" s="164"/>
      <c r="HS19" s="164"/>
      <c r="HT19" s="164"/>
      <c r="HU19" s="164"/>
      <c r="HV19" s="164"/>
      <c r="HW19" s="164"/>
      <c r="HX19" s="164"/>
      <c r="HY19" s="164"/>
      <c r="HZ19" s="164"/>
      <c r="IA19" s="164"/>
      <c r="IB19" s="164"/>
      <c r="IC19" s="164"/>
      <c r="ID19" s="164"/>
      <c r="IE19" s="164"/>
      <c r="IF19" s="164"/>
      <c r="IG19" s="164"/>
      <c r="IH19" s="164"/>
      <c r="II19" s="164"/>
      <c r="IJ19" s="164"/>
      <c r="IK19" s="164"/>
      <c r="IL19" s="164"/>
      <c r="IM19" s="164"/>
      <c r="IN19" s="164"/>
      <c r="IO19" s="164"/>
      <c r="IP19" s="164"/>
      <c r="IQ19" s="164"/>
      <c r="IR19" s="164"/>
      <c r="IS19" s="164"/>
      <c r="IT19" s="164"/>
      <c r="IU19" s="164"/>
      <c r="IV19" s="164"/>
    </row>
    <row r="20" spans="1:256" ht="32.25" customHeight="1">
      <c r="A20" s="67"/>
      <c r="B20" s="83">
        <f t="shared" si="8"/>
        <v>44266</v>
      </c>
      <c r="C20" s="84"/>
      <c r="D20" s="136">
        <f>'Suivi EAU-ELEC'!C23</f>
        <v>234</v>
      </c>
      <c r="E20" s="87"/>
      <c r="F20" s="219">
        <f t="shared" si="0"/>
        <v>2964.78</v>
      </c>
      <c r="G20" s="220"/>
      <c r="H20" s="221"/>
      <c r="I20" s="131"/>
      <c r="J20" s="85">
        <f>'Suivi EAU-ELEC'!E23</f>
        <v>2728</v>
      </c>
      <c r="K20" s="86">
        <f>'Suivi EAU-ELEC'!G23</f>
        <v>4536</v>
      </c>
      <c r="L20" s="86">
        <f>'Suivi EAU-ELEC'!I23</f>
        <v>1757</v>
      </c>
      <c r="M20" s="75">
        <f t="shared" si="4"/>
        <v>9021</v>
      </c>
      <c r="N20" s="52"/>
      <c r="O20" s="53">
        <f t="shared" si="5"/>
        <v>8930.7900000000009</v>
      </c>
      <c r="P20" s="51"/>
      <c r="Q20" s="49"/>
      <c r="R20" s="50"/>
      <c r="S20" s="49"/>
      <c r="T20" s="87"/>
      <c r="U20" s="54">
        <f>'Suivi Gaz'!O18</f>
        <v>222.60000000000002</v>
      </c>
      <c r="V20" s="52"/>
      <c r="W20" s="53">
        <f t="shared" si="6"/>
        <v>2058.3822</v>
      </c>
      <c r="X20" s="59">
        <v>19253.580000000002</v>
      </c>
      <c r="Y20" s="137">
        <f t="shared" si="1"/>
        <v>11.259999999998399</v>
      </c>
      <c r="Z20" s="58">
        <f t="shared" si="7"/>
        <v>5967.7999999991525</v>
      </c>
      <c r="AA20" s="61">
        <v>14</v>
      </c>
      <c r="AB20" s="163">
        <v>18</v>
      </c>
      <c r="AC20" s="71">
        <v>16</v>
      </c>
      <c r="AD20" s="72">
        <v>0.125</v>
      </c>
      <c r="AE20" s="76">
        <v>26</v>
      </c>
      <c r="AF20" s="76">
        <v>27.5</v>
      </c>
      <c r="AG20" s="73">
        <v>20</v>
      </c>
      <c r="AH20" s="74">
        <v>21</v>
      </c>
      <c r="AI20" s="38"/>
      <c r="AJ20" s="118">
        <f t="shared" si="2"/>
        <v>19921.752199999155</v>
      </c>
      <c r="AK20" s="117">
        <f t="shared" si="3"/>
        <v>1245.1095124999472</v>
      </c>
      <c r="AL20" s="68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4"/>
      <c r="BM20" s="164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64"/>
      <c r="DV20" s="164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4"/>
      <c r="EI20" s="164"/>
      <c r="EJ20" s="164"/>
      <c r="EK20" s="164"/>
      <c r="EL20" s="164"/>
      <c r="EM20" s="164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64"/>
      <c r="FA20" s="164"/>
      <c r="FB20" s="164"/>
      <c r="FC20" s="164"/>
      <c r="FD20" s="164"/>
      <c r="FE20" s="164"/>
      <c r="FF20" s="164"/>
      <c r="FG20" s="164"/>
      <c r="FH20" s="164"/>
      <c r="FI20" s="164"/>
      <c r="FJ20" s="164"/>
      <c r="FK20" s="164"/>
      <c r="FL20" s="164"/>
      <c r="FM20" s="164"/>
      <c r="FN20" s="164"/>
      <c r="FO20" s="164"/>
      <c r="FP20" s="164"/>
      <c r="FQ20" s="164"/>
      <c r="FR20" s="164"/>
      <c r="FS20" s="164"/>
      <c r="FT20" s="164"/>
      <c r="FU20" s="164"/>
      <c r="FV20" s="164"/>
      <c r="FW20" s="164"/>
      <c r="FX20" s="164"/>
      <c r="FY20" s="164"/>
      <c r="FZ20" s="164"/>
      <c r="GA20" s="164"/>
      <c r="GB20" s="164"/>
      <c r="GC20" s="164"/>
      <c r="GD20" s="164"/>
      <c r="GE20" s="164"/>
      <c r="GF20" s="164"/>
      <c r="GG20" s="164"/>
      <c r="GH20" s="164"/>
      <c r="GI20" s="164"/>
      <c r="GJ20" s="164"/>
      <c r="GK20" s="164"/>
      <c r="GL20" s="164"/>
      <c r="GM20" s="164"/>
      <c r="GN20" s="164"/>
      <c r="GO20" s="164"/>
      <c r="GP20" s="164"/>
      <c r="GQ20" s="164"/>
      <c r="GR20" s="164"/>
      <c r="GS20" s="164"/>
      <c r="GT20" s="164"/>
      <c r="GU20" s="164"/>
      <c r="GV20" s="164"/>
      <c r="GW20" s="164"/>
      <c r="GX20" s="164"/>
      <c r="GY20" s="164"/>
      <c r="GZ20" s="164"/>
      <c r="HA20" s="164"/>
      <c r="HB20" s="164"/>
      <c r="HC20" s="164"/>
      <c r="HD20" s="164"/>
      <c r="HE20" s="164"/>
      <c r="HF20" s="164"/>
      <c r="HG20" s="164"/>
      <c r="HH20" s="164"/>
      <c r="HI20" s="164"/>
      <c r="HJ20" s="164"/>
      <c r="HK20" s="164"/>
      <c r="HL20" s="164"/>
      <c r="HM20" s="164"/>
      <c r="HN20" s="164"/>
      <c r="HO20" s="164"/>
      <c r="HP20" s="164"/>
      <c r="HQ20" s="164"/>
      <c r="HR20" s="164"/>
      <c r="HS20" s="164"/>
      <c r="HT20" s="164"/>
      <c r="HU20" s="164"/>
      <c r="HV20" s="164"/>
      <c r="HW20" s="164"/>
      <c r="HX20" s="164"/>
      <c r="HY20" s="164"/>
      <c r="HZ20" s="164"/>
      <c r="IA20" s="164"/>
      <c r="IB20" s="164"/>
      <c r="IC20" s="164"/>
      <c r="ID20" s="164"/>
      <c r="IE20" s="164"/>
      <c r="IF20" s="164"/>
      <c r="IG20" s="164"/>
      <c r="IH20" s="164"/>
      <c r="II20" s="164"/>
      <c r="IJ20" s="164"/>
      <c r="IK20" s="164"/>
      <c r="IL20" s="164"/>
      <c r="IM20" s="164"/>
      <c r="IN20" s="164"/>
      <c r="IO20" s="164"/>
      <c r="IP20" s="164"/>
      <c r="IQ20" s="164"/>
      <c r="IR20" s="164"/>
      <c r="IS20" s="164"/>
      <c r="IT20" s="164"/>
      <c r="IU20" s="164"/>
      <c r="IV20" s="164"/>
    </row>
    <row r="21" spans="1:256" ht="32.25" customHeight="1">
      <c r="A21" s="67"/>
      <c r="B21" s="83">
        <f t="shared" si="8"/>
        <v>44267</v>
      </c>
      <c r="C21" s="84"/>
      <c r="D21" s="136">
        <f>'Suivi EAU-ELEC'!C24</f>
        <v>359</v>
      </c>
      <c r="E21" s="87"/>
      <c r="F21" s="200">
        <f t="shared" si="0"/>
        <v>4548.53</v>
      </c>
      <c r="G21" s="201"/>
      <c r="H21" s="202"/>
      <c r="I21" s="131"/>
      <c r="J21" s="85">
        <f>'Suivi EAU-ELEC'!E24</f>
        <v>2846</v>
      </c>
      <c r="K21" s="86">
        <f>'Suivi EAU-ELEC'!G24</f>
        <v>4615</v>
      </c>
      <c r="L21" s="86">
        <f>'Suivi EAU-ELEC'!I24</f>
        <v>1881</v>
      </c>
      <c r="M21" s="75">
        <f t="shared" si="4"/>
        <v>9342</v>
      </c>
      <c r="N21" s="52"/>
      <c r="O21" s="53">
        <f t="shared" si="5"/>
        <v>9248.58</v>
      </c>
      <c r="P21" s="51"/>
      <c r="Q21" s="49"/>
      <c r="R21" s="50"/>
      <c r="S21" s="49"/>
      <c r="T21" s="87"/>
      <c r="U21" s="54">
        <f>'Suivi Gaz'!O19</f>
        <v>259.7</v>
      </c>
      <c r="V21" s="52"/>
      <c r="W21" s="53">
        <f t="shared" si="6"/>
        <v>2401.4458999999997</v>
      </c>
      <c r="X21" s="59">
        <v>19264.84</v>
      </c>
      <c r="Y21" s="137">
        <f t="shared" si="1"/>
        <v>16.270000000000437</v>
      </c>
      <c r="Z21" s="58">
        <f t="shared" si="7"/>
        <v>8623.1000000002314</v>
      </c>
      <c r="AA21" s="61">
        <v>14</v>
      </c>
      <c r="AB21" s="163">
        <v>19</v>
      </c>
      <c r="AC21" s="71">
        <v>37</v>
      </c>
      <c r="AD21" s="72">
        <v>0.27610000000000001</v>
      </c>
      <c r="AE21" s="76">
        <v>26.6</v>
      </c>
      <c r="AF21" s="152">
        <v>27</v>
      </c>
      <c r="AG21" s="73">
        <v>20</v>
      </c>
      <c r="AH21" s="74">
        <v>22</v>
      </c>
      <c r="AI21" s="38"/>
      <c r="AJ21" s="118">
        <f t="shared" si="2"/>
        <v>24821.655900000231</v>
      </c>
      <c r="AK21" s="117">
        <f>AJ21/AC21</f>
        <v>670.8555648648711</v>
      </c>
      <c r="AL21" s="68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4"/>
      <c r="BL21" s="164"/>
      <c r="BM21" s="164"/>
      <c r="BN21" s="164"/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4"/>
      <c r="DS21" s="164"/>
      <c r="DT21" s="164"/>
      <c r="DU21" s="164"/>
      <c r="DV21" s="164"/>
      <c r="DW21" s="164"/>
      <c r="DX21" s="164"/>
      <c r="DY21" s="164"/>
      <c r="DZ21" s="164"/>
      <c r="EA21" s="164"/>
      <c r="EB21" s="164"/>
      <c r="EC21" s="164"/>
      <c r="ED21" s="164"/>
      <c r="EE21" s="164"/>
      <c r="EF21" s="164"/>
      <c r="EG21" s="164"/>
      <c r="EH21" s="164"/>
      <c r="EI21" s="164"/>
      <c r="EJ21" s="164"/>
      <c r="EK21" s="164"/>
      <c r="EL21" s="164"/>
      <c r="EM21" s="164"/>
      <c r="EN21" s="164"/>
      <c r="EO21" s="164"/>
      <c r="EP21" s="164"/>
      <c r="EQ21" s="164"/>
      <c r="ER21" s="164"/>
      <c r="ES21" s="164"/>
      <c r="ET21" s="164"/>
      <c r="EU21" s="164"/>
      <c r="EV21" s="164"/>
      <c r="EW21" s="164"/>
      <c r="EX21" s="164"/>
      <c r="EY21" s="164"/>
      <c r="EZ21" s="164"/>
      <c r="FA21" s="164"/>
      <c r="FB21" s="164"/>
      <c r="FC21" s="164"/>
      <c r="FD21" s="164"/>
      <c r="FE21" s="164"/>
      <c r="FF21" s="164"/>
      <c r="FG21" s="164"/>
      <c r="FH21" s="164"/>
      <c r="FI21" s="164"/>
      <c r="FJ21" s="164"/>
      <c r="FK21" s="164"/>
      <c r="FL21" s="164"/>
      <c r="FM21" s="164"/>
      <c r="FN21" s="164"/>
      <c r="FO21" s="164"/>
      <c r="FP21" s="164"/>
      <c r="FQ21" s="164"/>
      <c r="FR21" s="164"/>
      <c r="FS21" s="164"/>
      <c r="FT21" s="164"/>
      <c r="FU21" s="164"/>
      <c r="FV21" s="164"/>
      <c r="FW21" s="164"/>
      <c r="FX21" s="164"/>
      <c r="FY21" s="164"/>
      <c r="FZ21" s="164"/>
      <c r="GA21" s="164"/>
      <c r="GB21" s="164"/>
      <c r="GC21" s="164"/>
      <c r="GD21" s="164"/>
      <c r="GE21" s="164"/>
      <c r="GF21" s="164"/>
      <c r="GG21" s="164"/>
      <c r="GH21" s="164"/>
      <c r="GI21" s="164"/>
      <c r="GJ21" s="164"/>
      <c r="GK21" s="164"/>
      <c r="GL21" s="164"/>
      <c r="GM21" s="164"/>
      <c r="GN21" s="164"/>
      <c r="GO21" s="164"/>
      <c r="GP21" s="164"/>
      <c r="GQ21" s="164"/>
      <c r="GR21" s="164"/>
      <c r="GS21" s="164"/>
      <c r="GT21" s="164"/>
      <c r="GU21" s="164"/>
      <c r="GV21" s="164"/>
      <c r="GW21" s="164"/>
      <c r="GX21" s="164"/>
      <c r="GY21" s="164"/>
      <c r="GZ21" s="164"/>
      <c r="HA21" s="164"/>
      <c r="HB21" s="164"/>
      <c r="HC21" s="164"/>
      <c r="HD21" s="164"/>
      <c r="HE21" s="164"/>
      <c r="HF21" s="164"/>
      <c r="HG21" s="164"/>
      <c r="HH21" s="164"/>
      <c r="HI21" s="164"/>
      <c r="HJ21" s="164"/>
      <c r="HK21" s="164"/>
      <c r="HL21" s="164"/>
      <c r="HM21" s="164"/>
      <c r="HN21" s="164"/>
      <c r="HO21" s="164"/>
      <c r="HP21" s="164"/>
      <c r="HQ21" s="164"/>
      <c r="HR21" s="164"/>
      <c r="HS21" s="164"/>
      <c r="HT21" s="164"/>
      <c r="HU21" s="164"/>
      <c r="HV21" s="164"/>
      <c r="HW21" s="164"/>
      <c r="HX21" s="164"/>
      <c r="HY21" s="164"/>
      <c r="HZ21" s="164"/>
      <c r="IA21" s="164"/>
      <c r="IB21" s="164"/>
      <c r="IC21" s="164"/>
      <c r="ID21" s="164"/>
      <c r="IE21" s="164"/>
      <c r="IF21" s="164"/>
      <c r="IG21" s="164"/>
      <c r="IH21" s="164"/>
      <c r="II21" s="164"/>
      <c r="IJ21" s="164"/>
      <c r="IK21" s="164"/>
      <c r="IL21" s="164"/>
      <c r="IM21" s="164"/>
      <c r="IN21" s="164"/>
      <c r="IO21" s="164"/>
      <c r="IP21" s="164"/>
      <c r="IQ21" s="164"/>
      <c r="IR21" s="164"/>
      <c r="IS21" s="164"/>
      <c r="IT21" s="164"/>
      <c r="IU21" s="164"/>
      <c r="IV21" s="164"/>
    </row>
    <row r="22" spans="1:256" ht="32.25" customHeight="1">
      <c r="A22" s="67"/>
      <c r="B22" s="83">
        <f t="shared" si="8"/>
        <v>44268</v>
      </c>
      <c r="C22" s="84"/>
      <c r="D22" s="136">
        <f>'Suivi EAU-ELEC'!C25</f>
        <v>233</v>
      </c>
      <c r="E22" s="87"/>
      <c r="F22" s="222">
        <f t="shared" si="0"/>
        <v>2952.11</v>
      </c>
      <c r="G22" s="223"/>
      <c r="H22" s="224"/>
      <c r="I22" s="131"/>
      <c r="J22" s="85">
        <f>'Suivi EAU-ELEC'!E25</f>
        <v>3181</v>
      </c>
      <c r="K22" s="86">
        <f>'Suivi EAU-ELEC'!G25</f>
        <v>4917</v>
      </c>
      <c r="L22" s="86">
        <f>'Suivi EAU-ELEC'!I25</f>
        <v>1984</v>
      </c>
      <c r="M22" s="75">
        <f t="shared" si="4"/>
        <v>10082</v>
      </c>
      <c r="N22" s="52"/>
      <c r="O22" s="53">
        <f t="shared" si="5"/>
        <v>9981.18</v>
      </c>
      <c r="P22" s="51"/>
      <c r="Q22" s="49"/>
      <c r="R22" s="50"/>
      <c r="S22" s="49"/>
      <c r="T22" s="87"/>
      <c r="U22" s="54">
        <f>'Suivi Gaz'!O20</f>
        <v>185.5</v>
      </c>
      <c r="V22" s="52"/>
      <c r="W22" s="53">
        <f t="shared" si="6"/>
        <v>1715.3185000000001</v>
      </c>
      <c r="X22" s="59">
        <v>19281.11</v>
      </c>
      <c r="Y22" s="137">
        <f t="shared" si="1"/>
        <v>17.849999999998545</v>
      </c>
      <c r="Z22" s="58">
        <f t="shared" si="7"/>
        <v>9460.4999999992287</v>
      </c>
      <c r="AA22" s="52"/>
      <c r="AB22" s="55">
        <v>21</v>
      </c>
      <c r="AC22" s="71">
        <v>39</v>
      </c>
      <c r="AD22" s="72">
        <v>0.3</v>
      </c>
      <c r="AE22" s="76">
        <v>27</v>
      </c>
      <c r="AF22" s="76">
        <v>28</v>
      </c>
      <c r="AG22" s="73">
        <v>20</v>
      </c>
      <c r="AH22" s="74">
        <v>22</v>
      </c>
      <c r="AI22" s="38"/>
      <c r="AJ22" s="118">
        <f t="shared" si="2"/>
        <v>24109.108499999231</v>
      </c>
      <c r="AK22" s="117">
        <f t="shared" si="3"/>
        <v>618.18226923074951</v>
      </c>
      <c r="AL22" s="68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4"/>
      <c r="DS22" s="164"/>
      <c r="DT22" s="164"/>
      <c r="DU22" s="164"/>
      <c r="DV22" s="164"/>
      <c r="DW22" s="164"/>
      <c r="DX22" s="164"/>
      <c r="DY22" s="164"/>
      <c r="DZ22" s="164"/>
      <c r="EA22" s="164"/>
      <c r="EB22" s="164"/>
      <c r="EC22" s="164"/>
      <c r="ED22" s="164"/>
      <c r="EE22" s="164"/>
      <c r="EF22" s="164"/>
      <c r="EG22" s="164"/>
      <c r="EH22" s="164"/>
      <c r="EI22" s="164"/>
      <c r="EJ22" s="164"/>
      <c r="EK22" s="164"/>
      <c r="EL22" s="164"/>
      <c r="EM22" s="164"/>
      <c r="EN22" s="164"/>
      <c r="EO22" s="164"/>
      <c r="EP22" s="164"/>
      <c r="EQ22" s="164"/>
      <c r="ER22" s="164"/>
      <c r="ES22" s="164"/>
      <c r="ET22" s="164"/>
      <c r="EU22" s="164"/>
      <c r="EV22" s="164"/>
      <c r="EW22" s="164"/>
      <c r="EX22" s="164"/>
      <c r="EY22" s="164"/>
      <c r="EZ22" s="164"/>
      <c r="FA22" s="164"/>
      <c r="FB22" s="164"/>
      <c r="FC22" s="164"/>
      <c r="FD22" s="164"/>
      <c r="FE22" s="164"/>
      <c r="FF22" s="164"/>
      <c r="FG22" s="164"/>
      <c r="FH22" s="164"/>
      <c r="FI22" s="164"/>
      <c r="FJ22" s="164"/>
      <c r="FK22" s="164"/>
      <c r="FL22" s="164"/>
      <c r="FM22" s="164"/>
      <c r="FN22" s="164"/>
      <c r="FO22" s="164"/>
      <c r="FP22" s="164"/>
      <c r="FQ22" s="164"/>
      <c r="FR22" s="164"/>
      <c r="FS22" s="164"/>
      <c r="FT22" s="164"/>
      <c r="FU22" s="164"/>
      <c r="FV22" s="164"/>
      <c r="FW22" s="164"/>
      <c r="FX22" s="164"/>
      <c r="FY22" s="164"/>
      <c r="FZ22" s="164"/>
      <c r="GA22" s="164"/>
      <c r="GB22" s="164"/>
      <c r="GC22" s="164"/>
      <c r="GD22" s="164"/>
      <c r="GE22" s="164"/>
      <c r="GF22" s="164"/>
      <c r="GG22" s="164"/>
      <c r="GH22" s="164"/>
      <c r="GI22" s="164"/>
      <c r="GJ22" s="164"/>
      <c r="GK22" s="164"/>
      <c r="GL22" s="164"/>
      <c r="GM22" s="164"/>
      <c r="GN22" s="164"/>
      <c r="GO22" s="164"/>
      <c r="GP22" s="164"/>
      <c r="GQ22" s="164"/>
      <c r="GR22" s="164"/>
      <c r="GS22" s="164"/>
      <c r="GT22" s="164"/>
      <c r="GU22" s="164"/>
      <c r="GV22" s="164"/>
      <c r="GW22" s="164"/>
      <c r="GX22" s="164"/>
      <c r="GY22" s="164"/>
      <c r="GZ22" s="164"/>
      <c r="HA22" s="164"/>
      <c r="HB22" s="164"/>
      <c r="HC22" s="164"/>
      <c r="HD22" s="164"/>
      <c r="HE22" s="164"/>
      <c r="HF22" s="164"/>
      <c r="HG22" s="164"/>
      <c r="HH22" s="164"/>
      <c r="HI22" s="164"/>
      <c r="HJ22" s="164"/>
      <c r="HK22" s="164"/>
      <c r="HL22" s="164"/>
      <c r="HM22" s="164"/>
      <c r="HN22" s="164"/>
      <c r="HO22" s="164"/>
      <c r="HP22" s="164"/>
      <c r="HQ22" s="164"/>
      <c r="HR22" s="164"/>
      <c r="HS22" s="164"/>
      <c r="HT22" s="164"/>
      <c r="HU22" s="164"/>
      <c r="HV22" s="164"/>
      <c r="HW22" s="164"/>
      <c r="HX22" s="164"/>
      <c r="HY22" s="164"/>
      <c r="HZ22" s="164"/>
      <c r="IA22" s="164"/>
      <c r="IB22" s="164"/>
      <c r="IC22" s="164"/>
      <c r="ID22" s="164"/>
      <c r="IE22" s="164"/>
      <c r="IF22" s="164"/>
      <c r="IG22" s="164"/>
      <c r="IH22" s="164"/>
      <c r="II22" s="164"/>
      <c r="IJ22" s="164"/>
      <c r="IK22" s="164"/>
      <c r="IL22" s="164"/>
      <c r="IM22" s="164"/>
      <c r="IN22" s="164"/>
      <c r="IO22" s="164"/>
      <c r="IP22" s="164"/>
      <c r="IQ22" s="164"/>
      <c r="IR22" s="164"/>
      <c r="IS22" s="164"/>
      <c r="IT22" s="164"/>
      <c r="IU22" s="164"/>
      <c r="IV22" s="164"/>
    </row>
    <row r="23" spans="1:256" ht="32.25" customHeight="1">
      <c r="A23" s="67"/>
      <c r="B23" s="83">
        <f t="shared" si="8"/>
        <v>44269</v>
      </c>
      <c r="C23" s="84"/>
      <c r="D23" s="136">
        <f>'Suivi EAU-ELEC'!C26</f>
        <v>0</v>
      </c>
      <c r="E23" s="87"/>
      <c r="F23" s="200">
        <f t="shared" si="0"/>
        <v>0</v>
      </c>
      <c r="G23" s="201"/>
      <c r="H23" s="202"/>
      <c r="I23" s="131"/>
      <c r="J23" s="85">
        <f>'Suivi EAU-ELEC'!E26</f>
        <v>0</v>
      </c>
      <c r="K23" s="86">
        <f>'Suivi EAU-ELEC'!G26</f>
        <v>0</v>
      </c>
      <c r="L23" s="86">
        <f>'Suivi EAU-ELEC'!I26</f>
        <v>0</v>
      </c>
      <c r="M23" s="75">
        <f t="shared" si="4"/>
        <v>0</v>
      </c>
      <c r="N23" s="52"/>
      <c r="O23" s="53">
        <f t="shared" si="5"/>
        <v>0</v>
      </c>
      <c r="P23" s="51"/>
      <c r="Q23" s="49"/>
      <c r="R23" s="50"/>
      <c r="S23" s="49"/>
      <c r="T23" s="87"/>
      <c r="U23" s="54">
        <f>'Suivi Gaz'!O21</f>
        <v>0</v>
      </c>
      <c r="V23" s="52"/>
      <c r="W23" s="53">
        <f t="shared" si="6"/>
        <v>0</v>
      </c>
      <c r="X23" s="59">
        <v>19298.96</v>
      </c>
      <c r="Y23" s="137">
        <f t="shared" si="1"/>
        <v>0</v>
      </c>
      <c r="Z23" s="58">
        <f t="shared" si="7"/>
        <v>0</v>
      </c>
      <c r="AA23" s="52"/>
      <c r="AB23" s="55"/>
      <c r="AC23" s="71"/>
      <c r="AD23" s="72"/>
      <c r="AE23" s="76"/>
      <c r="AF23" s="76"/>
      <c r="AG23" s="73"/>
      <c r="AH23" s="74"/>
      <c r="AI23" s="38"/>
      <c r="AJ23" s="118">
        <f t="shared" si="2"/>
        <v>0</v>
      </c>
      <c r="AK23" s="117" t="e">
        <f t="shared" si="3"/>
        <v>#DIV/0!</v>
      </c>
      <c r="AL23" s="68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4"/>
      <c r="BL23" s="164"/>
      <c r="BM23" s="164"/>
      <c r="BN23" s="164"/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  <c r="DQ23" s="164"/>
      <c r="DR23" s="164"/>
      <c r="DS23" s="164"/>
      <c r="DT23" s="164"/>
      <c r="DU23" s="164"/>
      <c r="DV23" s="164"/>
      <c r="DW23" s="164"/>
      <c r="DX23" s="164"/>
      <c r="DY23" s="164"/>
      <c r="DZ23" s="164"/>
      <c r="EA23" s="164"/>
      <c r="EB23" s="164"/>
      <c r="EC23" s="164"/>
      <c r="ED23" s="164"/>
      <c r="EE23" s="164"/>
      <c r="EF23" s="164"/>
      <c r="EG23" s="164"/>
      <c r="EH23" s="164"/>
      <c r="EI23" s="164"/>
      <c r="EJ23" s="164"/>
      <c r="EK23" s="164"/>
      <c r="EL23" s="164"/>
      <c r="EM23" s="164"/>
      <c r="EN23" s="164"/>
      <c r="EO23" s="164"/>
      <c r="EP23" s="164"/>
      <c r="EQ23" s="164"/>
      <c r="ER23" s="164"/>
      <c r="ES23" s="164"/>
      <c r="ET23" s="164"/>
      <c r="EU23" s="164"/>
      <c r="EV23" s="164"/>
      <c r="EW23" s="164"/>
      <c r="EX23" s="164"/>
      <c r="EY23" s="164"/>
      <c r="EZ23" s="164"/>
      <c r="FA23" s="164"/>
      <c r="FB23" s="164"/>
      <c r="FC23" s="164"/>
      <c r="FD23" s="164"/>
      <c r="FE23" s="164"/>
      <c r="FF23" s="164"/>
      <c r="FG23" s="164"/>
      <c r="FH23" s="164"/>
      <c r="FI23" s="164"/>
      <c r="FJ23" s="164"/>
      <c r="FK23" s="164"/>
      <c r="FL23" s="164"/>
      <c r="FM23" s="164"/>
      <c r="FN23" s="164"/>
      <c r="FO23" s="164"/>
      <c r="FP23" s="164"/>
      <c r="FQ23" s="164"/>
      <c r="FR23" s="164"/>
      <c r="FS23" s="164"/>
      <c r="FT23" s="164"/>
      <c r="FU23" s="164"/>
      <c r="FV23" s="164"/>
      <c r="FW23" s="164"/>
      <c r="FX23" s="164"/>
      <c r="FY23" s="164"/>
      <c r="FZ23" s="164"/>
      <c r="GA23" s="164"/>
      <c r="GB23" s="164"/>
      <c r="GC23" s="164"/>
      <c r="GD23" s="164"/>
      <c r="GE23" s="164"/>
      <c r="GF23" s="164"/>
      <c r="GG23" s="164"/>
      <c r="GH23" s="164"/>
      <c r="GI23" s="164"/>
      <c r="GJ23" s="164"/>
      <c r="GK23" s="164"/>
      <c r="GL23" s="164"/>
      <c r="GM23" s="164"/>
      <c r="GN23" s="164"/>
      <c r="GO23" s="164"/>
      <c r="GP23" s="164"/>
      <c r="GQ23" s="164"/>
      <c r="GR23" s="164"/>
      <c r="GS23" s="164"/>
      <c r="GT23" s="164"/>
      <c r="GU23" s="164"/>
      <c r="GV23" s="164"/>
      <c r="GW23" s="164"/>
      <c r="GX23" s="164"/>
      <c r="GY23" s="164"/>
      <c r="GZ23" s="164"/>
      <c r="HA23" s="164"/>
      <c r="HB23" s="164"/>
      <c r="HC23" s="164"/>
      <c r="HD23" s="164"/>
      <c r="HE23" s="164"/>
      <c r="HF23" s="164"/>
      <c r="HG23" s="164"/>
      <c r="HH23" s="164"/>
      <c r="HI23" s="164"/>
      <c r="HJ23" s="164"/>
      <c r="HK23" s="164"/>
      <c r="HL23" s="164"/>
      <c r="HM23" s="164"/>
      <c r="HN23" s="164"/>
      <c r="HO23" s="164"/>
      <c r="HP23" s="164"/>
      <c r="HQ23" s="164"/>
      <c r="HR23" s="164"/>
      <c r="HS23" s="164"/>
      <c r="HT23" s="164"/>
      <c r="HU23" s="164"/>
      <c r="HV23" s="164"/>
      <c r="HW23" s="164"/>
      <c r="HX23" s="164"/>
      <c r="HY23" s="164"/>
      <c r="HZ23" s="164"/>
      <c r="IA23" s="164"/>
      <c r="IB23" s="164"/>
      <c r="IC23" s="164"/>
      <c r="ID23" s="164"/>
      <c r="IE23" s="164"/>
      <c r="IF23" s="164"/>
      <c r="IG23" s="164"/>
      <c r="IH23" s="164"/>
      <c r="II23" s="164"/>
      <c r="IJ23" s="164"/>
      <c r="IK23" s="164"/>
      <c r="IL23" s="164"/>
      <c r="IM23" s="164"/>
      <c r="IN23" s="164"/>
      <c r="IO23" s="164"/>
      <c r="IP23" s="164"/>
      <c r="IQ23" s="164"/>
      <c r="IR23" s="164"/>
      <c r="IS23" s="164"/>
      <c r="IT23" s="164"/>
      <c r="IU23" s="164"/>
      <c r="IV23" s="164"/>
    </row>
    <row r="24" spans="1:256" ht="32.25" customHeight="1" thickBot="1">
      <c r="A24" s="67"/>
      <c r="B24" s="83">
        <f t="shared" si="8"/>
        <v>44270</v>
      </c>
      <c r="C24" s="84"/>
      <c r="D24" s="136">
        <f>'Suivi EAU-ELEC'!C27</f>
        <v>0</v>
      </c>
      <c r="E24" s="87"/>
      <c r="F24" s="200">
        <f t="shared" si="0"/>
        <v>0</v>
      </c>
      <c r="G24" s="201"/>
      <c r="H24" s="202"/>
      <c r="I24" s="131"/>
      <c r="J24" s="85">
        <f>'Suivi EAU-ELEC'!E27</f>
        <v>0</v>
      </c>
      <c r="K24" s="86">
        <f>'Suivi EAU-ELEC'!G27</f>
        <v>0</v>
      </c>
      <c r="L24" s="86">
        <f>'Suivi EAU-ELEC'!I27</f>
        <v>0</v>
      </c>
      <c r="M24" s="75">
        <f t="shared" si="4"/>
        <v>0</v>
      </c>
      <c r="N24" s="52"/>
      <c r="O24" s="53">
        <f t="shared" si="5"/>
        <v>0</v>
      </c>
      <c r="P24" s="51"/>
      <c r="Q24" s="49"/>
      <c r="R24" s="50"/>
      <c r="S24" s="49"/>
      <c r="T24" s="87"/>
      <c r="U24" s="54">
        <f>'Suivi Gaz'!O22</f>
        <v>0</v>
      </c>
      <c r="V24" s="52"/>
      <c r="W24" s="53">
        <f t="shared" si="6"/>
        <v>0</v>
      </c>
      <c r="X24" s="59"/>
      <c r="Y24" s="137">
        <f t="shared" si="1"/>
        <v>0</v>
      </c>
      <c r="Z24" s="58">
        <f t="shared" si="7"/>
        <v>0</v>
      </c>
      <c r="AA24" s="52"/>
      <c r="AB24" s="55"/>
      <c r="AC24" s="71"/>
      <c r="AD24" s="72"/>
      <c r="AE24" s="76"/>
      <c r="AF24" s="76"/>
      <c r="AG24" s="73"/>
      <c r="AH24" s="74"/>
      <c r="AI24" s="164"/>
      <c r="AJ24" s="118">
        <f>(F24+O24+W24+Z24)</f>
        <v>0</v>
      </c>
      <c r="AK24" s="117" t="e">
        <f t="shared" si="3"/>
        <v>#DIV/0!</v>
      </c>
      <c r="AL24" s="68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4"/>
      <c r="BL24" s="164"/>
      <c r="BM24" s="164"/>
      <c r="BN24" s="164"/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64"/>
      <c r="DT24" s="164"/>
      <c r="DU24" s="164"/>
      <c r="DV24" s="164"/>
      <c r="DW24" s="164"/>
      <c r="DX24" s="164"/>
      <c r="DY24" s="164"/>
      <c r="DZ24" s="164"/>
      <c r="EA24" s="164"/>
      <c r="EB24" s="164"/>
      <c r="EC24" s="164"/>
      <c r="ED24" s="164"/>
      <c r="EE24" s="164"/>
      <c r="EF24" s="164"/>
      <c r="EG24" s="164"/>
      <c r="EH24" s="164"/>
      <c r="EI24" s="164"/>
      <c r="EJ24" s="164"/>
      <c r="EK24" s="164"/>
      <c r="EL24" s="164"/>
      <c r="EM24" s="164"/>
      <c r="EN24" s="164"/>
      <c r="EO24" s="164"/>
      <c r="EP24" s="164"/>
      <c r="EQ24" s="164"/>
      <c r="ER24" s="164"/>
      <c r="ES24" s="164"/>
      <c r="ET24" s="164"/>
      <c r="EU24" s="164"/>
      <c r="EV24" s="164"/>
      <c r="EW24" s="164"/>
      <c r="EX24" s="164"/>
      <c r="EY24" s="164"/>
      <c r="EZ24" s="164"/>
      <c r="FA24" s="164"/>
      <c r="FB24" s="164"/>
      <c r="FC24" s="164"/>
      <c r="FD24" s="164"/>
      <c r="FE24" s="164"/>
      <c r="FF24" s="164"/>
      <c r="FG24" s="164"/>
      <c r="FH24" s="164"/>
      <c r="FI24" s="164"/>
      <c r="FJ24" s="164"/>
      <c r="FK24" s="164"/>
      <c r="FL24" s="164"/>
      <c r="FM24" s="164"/>
      <c r="FN24" s="164"/>
      <c r="FO24" s="164"/>
      <c r="FP24" s="164"/>
      <c r="FQ24" s="164"/>
      <c r="FR24" s="164"/>
      <c r="FS24" s="164"/>
      <c r="FT24" s="164"/>
      <c r="FU24" s="164"/>
      <c r="FV24" s="164"/>
      <c r="FW24" s="164"/>
      <c r="FX24" s="164"/>
      <c r="FY24" s="164"/>
      <c r="FZ24" s="164"/>
      <c r="GA24" s="164"/>
      <c r="GB24" s="164"/>
      <c r="GC24" s="164"/>
      <c r="GD24" s="164"/>
      <c r="GE24" s="164"/>
      <c r="GF24" s="164"/>
      <c r="GG24" s="164"/>
      <c r="GH24" s="164"/>
      <c r="GI24" s="164"/>
      <c r="GJ24" s="164"/>
      <c r="GK24" s="164"/>
      <c r="GL24" s="164"/>
      <c r="GM24" s="164"/>
      <c r="GN24" s="164"/>
      <c r="GO24" s="164"/>
      <c r="GP24" s="164"/>
      <c r="GQ24" s="164"/>
      <c r="GR24" s="164"/>
      <c r="GS24" s="164"/>
      <c r="GT24" s="164"/>
      <c r="GU24" s="164"/>
      <c r="GV24" s="164"/>
      <c r="GW24" s="164"/>
      <c r="GX24" s="164"/>
      <c r="GY24" s="164"/>
      <c r="GZ24" s="164"/>
      <c r="HA24" s="164"/>
      <c r="HB24" s="164"/>
      <c r="HC24" s="164"/>
      <c r="HD24" s="164"/>
      <c r="HE24" s="164"/>
      <c r="HF24" s="164"/>
      <c r="HG24" s="164"/>
      <c r="HH24" s="164"/>
      <c r="HI24" s="164"/>
      <c r="HJ24" s="164"/>
      <c r="HK24" s="164"/>
      <c r="HL24" s="164"/>
      <c r="HM24" s="164"/>
      <c r="HN24" s="164"/>
      <c r="HO24" s="164"/>
      <c r="HP24" s="164"/>
      <c r="HQ24" s="164"/>
      <c r="HR24" s="164"/>
      <c r="HS24" s="164"/>
      <c r="HT24" s="164"/>
      <c r="HU24" s="164"/>
      <c r="HV24" s="164"/>
      <c r="HW24" s="164"/>
      <c r="HX24" s="164"/>
      <c r="HY24" s="164"/>
      <c r="HZ24" s="164"/>
      <c r="IA24" s="164"/>
      <c r="IB24" s="164"/>
      <c r="IC24" s="164"/>
      <c r="ID24" s="164"/>
      <c r="IE24" s="164"/>
      <c r="IF24" s="164"/>
      <c r="IG24" s="164"/>
      <c r="IH24" s="164"/>
      <c r="II24" s="164"/>
      <c r="IJ24" s="164"/>
      <c r="IK24" s="164"/>
      <c r="IL24" s="164"/>
      <c r="IM24" s="164"/>
      <c r="IN24" s="164"/>
      <c r="IO24" s="164"/>
      <c r="IP24" s="164"/>
      <c r="IQ24" s="164"/>
      <c r="IR24" s="164"/>
      <c r="IS24" s="164"/>
      <c r="IT24" s="164"/>
      <c r="IU24" s="164"/>
      <c r="IV24" s="164"/>
    </row>
    <row r="25" spans="1:256" ht="32.25" customHeight="1" thickBot="1">
      <c r="A25" s="67"/>
      <c r="B25" s="83">
        <f t="shared" si="8"/>
        <v>44271</v>
      </c>
      <c r="C25" s="84"/>
      <c r="D25" s="136">
        <f>'Suivi EAU-ELEC'!C28</f>
        <v>0</v>
      </c>
      <c r="E25" s="87"/>
      <c r="F25" s="200">
        <f t="shared" si="0"/>
        <v>0</v>
      </c>
      <c r="G25" s="201"/>
      <c r="H25" s="202"/>
      <c r="I25" s="131"/>
      <c r="J25" s="85">
        <f>'Suivi EAU-ELEC'!E28</f>
        <v>0</v>
      </c>
      <c r="K25" s="86">
        <f>'Suivi EAU-ELEC'!G28</f>
        <v>0</v>
      </c>
      <c r="L25" s="86">
        <f>'Suivi EAU-ELEC'!I28</f>
        <v>0</v>
      </c>
      <c r="M25" s="75">
        <f t="shared" si="4"/>
        <v>0</v>
      </c>
      <c r="N25" s="52"/>
      <c r="O25" s="53">
        <f t="shared" si="5"/>
        <v>0</v>
      </c>
      <c r="P25" s="51"/>
      <c r="Q25" s="49"/>
      <c r="R25" s="50"/>
      <c r="S25" s="49"/>
      <c r="T25" s="87"/>
      <c r="U25" s="54">
        <f>'Suivi Gaz'!O23</f>
        <v>0</v>
      </c>
      <c r="V25" s="52"/>
      <c r="W25" s="53">
        <f t="shared" si="6"/>
        <v>0</v>
      </c>
      <c r="X25" s="59"/>
      <c r="Y25" s="137">
        <f t="shared" si="1"/>
        <v>0</v>
      </c>
      <c r="Z25" s="58">
        <f t="shared" si="7"/>
        <v>0</v>
      </c>
      <c r="AA25" s="52"/>
      <c r="AB25" s="55"/>
      <c r="AC25" s="71"/>
      <c r="AD25" s="72"/>
      <c r="AE25" s="76"/>
      <c r="AF25" s="76"/>
      <c r="AG25" s="73"/>
      <c r="AH25" s="74"/>
      <c r="AI25" s="38"/>
      <c r="AJ25" s="118">
        <f>(F25+O25+W25+Z25)</f>
        <v>0</v>
      </c>
      <c r="AK25" s="117" t="e">
        <f t="shared" si="3"/>
        <v>#DIV/0!</v>
      </c>
      <c r="AL25" s="68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4"/>
      <c r="BL25" s="164"/>
      <c r="BM25" s="164"/>
      <c r="BN25" s="164"/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4"/>
      <c r="DS25" s="164"/>
      <c r="DT25" s="164"/>
      <c r="DU25" s="164"/>
      <c r="DV25" s="164"/>
      <c r="DW25" s="164"/>
      <c r="DX25" s="164"/>
      <c r="DY25" s="164"/>
      <c r="DZ25" s="164"/>
      <c r="EA25" s="164"/>
      <c r="EB25" s="164"/>
      <c r="EC25" s="164"/>
      <c r="ED25" s="164"/>
      <c r="EE25" s="164"/>
      <c r="EF25" s="164"/>
      <c r="EG25" s="164"/>
      <c r="EH25" s="164"/>
      <c r="EI25" s="164"/>
      <c r="EJ25" s="164"/>
      <c r="EK25" s="164"/>
      <c r="EL25" s="164"/>
      <c r="EM25" s="164"/>
      <c r="EN25" s="164"/>
      <c r="EO25" s="164"/>
      <c r="EP25" s="164"/>
      <c r="EQ25" s="164"/>
      <c r="ER25" s="164"/>
      <c r="ES25" s="164"/>
      <c r="ET25" s="164"/>
      <c r="EU25" s="164"/>
      <c r="EV25" s="164"/>
      <c r="EW25" s="164"/>
      <c r="EX25" s="164"/>
      <c r="EY25" s="164"/>
      <c r="EZ25" s="164"/>
      <c r="FA25" s="164"/>
      <c r="FB25" s="164"/>
      <c r="FC25" s="164"/>
      <c r="FD25" s="164"/>
      <c r="FE25" s="164"/>
      <c r="FF25" s="164"/>
      <c r="FG25" s="164"/>
      <c r="FH25" s="164"/>
      <c r="FI25" s="164"/>
      <c r="FJ25" s="164"/>
      <c r="FK25" s="164"/>
      <c r="FL25" s="164"/>
      <c r="FM25" s="164"/>
      <c r="FN25" s="164"/>
      <c r="FO25" s="164"/>
      <c r="FP25" s="164"/>
      <c r="FQ25" s="164"/>
      <c r="FR25" s="164"/>
      <c r="FS25" s="164"/>
      <c r="FT25" s="164"/>
      <c r="FU25" s="164"/>
      <c r="FV25" s="164"/>
      <c r="FW25" s="164"/>
      <c r="FX25" s="164"/>
      <c r="FY25" s="164"/>
      <c r="FZ25" s="164"/>
      <c r="GA25" s="164"/>
      <c r="GB25" s="164"/>
      <c r="GC25" s="164"/>
      <c r="GD25" s="164"/>
      <c r="GE25" s="164"/>
      <c r="GF25" s="164"/>
      <c r="GG25" s="164"/>
      <c r="GH25" s="164"/>
      <c r="GI25" s="164"/>
      <c r="GJ25" s="164"/>
      <c r="GK25" s="164"/>
      <c r="GL25" s="164"/>
      <c r="GM25" s="164"/>
      <c r="GN25" s="164"/>
      <c r="GO25" s="164"/>
      <c r="GP25" s="164"/>
      <c r="GQ25" s="164"/>
      <c r="GR25" s="164"/>
      <c r="GS25" s="164"/>
      <c r="GT25" s="164"/>
      <c r="GU25" s="164"/>
      <c r="GV25" s="164"/>
      <c r="GW25" s="164"/>
      <c r="GX25" s="164"/>
      <c r="GY25" s="164"/>
      <c r="GZ25" s="164"/>
      <c r="HA25" s="164"/>
      <c r="HB25" s="164"/>
      <c r="HC25" s="164"/>
      <c r="HD25" s="164"/>
      <c r="HE25" s="164"/>
      <c r="HF25" s="164"/>
      <c r="HG25" s="164"/>
      <c r="HH25" s="164"/>
      <c r="HI25" s="164"/>
      <c r="HJ25" s="164"/>
      <c r="HK25" s="164"/>
      <c r="HL25" s="164"/>
      <c r="HM25" s="164"/>
      <c r="HN25" s="164"/>
      <c r="HO25" s="164"/>
      <c r="HP25" s="164"/>
      <c r="HQ25" s="164"/>
      <c r="HR25" s="164"/>
      <c r="HS25" s="164"/>
      <c r="HT25" s="164"/>
      <c r="HU25" s="164"/>
      <c r="HV25" s="164"/>
      <c r="HW25" s="164"/>
      <c r="HX25" s="164"/>
      <c r="HY25" s="164"/>
      <c r="HZ25" s="164"/>
      <c r="IA25" s="164"/>
      <c r="IB25" s="164"/>
      <c r="IC25" s="164"/>
      <c r="ID25" s="164"/>
      <c r="IE25" s="164"/>
      <c r="IF25" s="164"/>
      <c r="IG25" s="164"/>
      <c r="IH25" s="164"/>
      <c r="II25" s="164"/>
      <c r="IJ25" s="164"/>
      <c r="IK25" s="164"/>
      <c r="IL25" s="164"/>
      <c r="IM25" s="164"/>
      <c r="IN25" s="164"/>
      <c r="IO25" s="164"/>
      <c r="IP25" s="164"/>
      <c r="IQ25" s="164"/>
      <c r="IR25" s="164"/>
      <c r="IS25" s="164"/>
      <c r="IT25" s="164"/>
      <c r="IU25" s="164"/>
      <c r="IV25" s="164"/>
    </row>
    <row r="26" spans="1:256" ht="32.25" customHeight="1" thickBot="1">
      <c r="A26" s="67"/>
      <c r="B26" s="83">
        <f t="shared" si="8"/>
        <v>44272</v>
      </c>
      <c r="C26" s="84"/>
      <c r="D26" s="136">
        <f>'Suivi EAU-ELEC'!C29</f>
        <v>0</v>
      </c>
      <c r="E26" s="139"/>
      <c r="F26" s="200">
        <f t="shared" si="0"/>
        <v>0</v>
      </c>
      <c r="G26" s="201"/>
      <c r="H26" s="202"/>
      <c r="I26" s="131"/>
      <c r="J26" s="85">
        <f>'Suivi EAU-ELEC'!E29</f>
        <v>0</v>
      </c>
      <c r="K26" s="86">
        <f>'Suivi EAU-ELEC'!G29</f>
        <v>0</v>
      </c>
      <c r="L26" s="86">
        <f>'Suivi EAU-ELEC'!I29</f>
        <v>0</v>
      </c>
      <c r="M26" s="75">
        <f t="shared" si="4"/>
        <v>0</v>
      </c>
      <c r="N26" s="52"/>
      <c r="O26" s="53">
        <f t="shared" si="5"/>
        <v>0</v>
      </c>
      <c r="P26" s="51"/>
      <c r="Q26" s="49"/>
      <c r="R26" s="50"/>
      <c r="S26" s="49"/>
      <c r="T26" s="87"/>
      <c r="U26" s="54">
        <f>'Suivi Gaz'!O24</f>
        <v>0</v>
      </c>
      <c r="V26" s="77"/>
      <c r="W26" s="53">
        <f t="shared" si="6"/>
        <v>0</v>
      </c>
      <c r="X26" s="59"/>
      <c r="Y26" s="137">
        <f t="shared" si="1"/>
        <v>0</v>
      </c>
      <c r="Z26" s="58">
        <f t="shared" si="7"/>
        <v>0</v>
      </c>
      <c r="AA26" s="77"/>
      <c r="AB26" s="55"/>
      <c r="AC26" s="71"/>
      <c r="AD26" s="72"/>
      <c r="AE26" s="76"/>
      <c r="AF26" s="76"/>
      <c r="AG26" s="73"/>
      <c r="AH26" s="74"/>
      <c r="AI26" s="38"/>
      <c r="AJ26" s="118">
        <f>(F26+O26+W26+Z26)</f>
        <v>0</v>
      </c>
      <c r="AK26" s="117" t="e">
        <f t="shared" si="3"/>
        <v>#DIV/0!</v>
      </c>
      <c r="AL26" s="68"/>
      <c r="AM26" s="164"/>
      <c r="AN26" s="164"/>
      <c r="AO26" s="164"/>
      <c r="AP26" s="164"/>
      <c r="AQ26" s="164"/>
      <c r="AR26" s="164"/>
      <c r="AS26" s="164"/>
      <c r="AT26" s="164"/>
      <c r="AU26" s="164"/>
      <c r="AV26" s="164"/>
      <c r="AW26" s="164"/>
      <c r="AX26" s="164"/>
      <c r="AY26" s="164"/>
      <c r="AZ26" s="164"/>
      <c r="BA26" s="164"/>
      <c r="BB26" s="164"/>
      <c r="BC26" s="164"/>
      <c r="BD26" s="164"/>
      <c r="BE26" s="164"/>
      <c r="BF26" s="164"/>
      <c r="BG26" s="164"/>
      <c r="BH26" s="164"/>
      <c r="BI26" s="164"/>
      <c r="BJ26" s="164"/>
      <c r="BK26" s="164"/>
      <c r="BL26" s="164"/>
      <c r="BM26" s="164"/>
      <c r="BN26" s="164"/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4"/>
      <c r="DS26" s="164"/>
      <c r="DT26" s="164"/>
      <c r="DU26" s="164"/>
      <c r="DV26" s="164"/>
      <c r="DW26" s="164"/>
      <c r="DX26" s="164"/>
      <c r="DY26" s="164"/>
      <c r="DZ26" s="164"/>
      <c r="EA26" s="164"/>
      <c r="EB26" s="164"/>
      <c r="EC26" s="164"/>
      <c r="ED26" s="164"/>
      <c r="EE26" s="164"/>
      <c r="EF26" s="164"/>
      <c r="EG26" s="164"/>
      <c r="EH26" s="164"/>
      <c r="EI26" s="164"/>
      <c r="EJ26" s="164"/>
      <c r="EK26" s="164"/>
      <c r="EL26" s="164"/>
      <c r="EM26" s="164"/>
      <c r="EN26" s="164"/>
      <c r="EO26" s="164"/>
      <c r="EP26" s="164"/>
      <c r="EQ26" s="164"/>
      <c r="ER26" s="164"/>
      <c r="ES26" s="164"/>
      <c r="ET26" s="164"/>
      <c r="EU26" s="164"/>
      <c r="EV26" s="164"/>
      <c r="EW26" s="164"/>
      <c r="EX26" s="164"/>
      <c r="EY26" s="164"/>
      <c r="EZ26" s="164"/>
      <c r="FA26" s="164"/>
      <c r="FB26" s="164"/>
      <c r="FC26" s="164"/>
      <c r="FD26" s="164"/>
      <c r="FE26" s="164"/>
      <c r="FF26" s="164"/>
      <c r="FG26" s="164"/>
      <c r="FH26" s="164"/>
      <c r="FI26" s="164"/>
      <c r="FJ26" s="164"/>
      <c r="FK26" s="164"/>
      <c r="FL26" s="164"/>
      <c r="FM26" s="164"/>
      <c r="FN26" s="164"/>
      <c r="FO26" s="164"/>
      <c r="FP26" s="164"/>
      <c r="FQ26" s="164"/>
      <c r="FR26" s="164"/>
      <c r="FS26" s="164"/>
      <c r="FT26" s="164"/>
      <c r="FU26" s="164"/>
      <c r="FV26" s="164"/>
      <c r="FW26" s="164"/>
      <c r="FX26" s="164"/>
      <c r="FY26" s="164"/>
      <c r="FZ26" s="164"/>
      <c r="GA26" s="164"/>
      <c r="GB26" s="164"/>
      <c r="GC26" s="164"/>
      <c r="GD26" s="164"/>
      <c r="GE26" s="164"/>
      <c r="GF26" s="164"/>
      <c r="GG26" s="164"/>
      <c r="GH26" s="164"/>
      <c r="GI26" s="164"/>
      <c r="GJ26" s="164"/>
      <c r="GK26" s="164"/>
      <c r="GL26" s="164"/>
      <c r="GM26" s="164"/>
      <c r="GN26" s="164"/>
      <c r="GO26" s="164"/>
      <c r="GP26" s="164"/>
      <c r="GQ26" s="164"/>
      <c r="GR26" s="164"/>
      <c r="GS26" s="164"/>
      <c r="GT26" s="164"/>
      <c r="GU26" s="164"/>
      <c r="GV26" s="164"/>
      <c r="GW26" s="164"/>
      <c r="GX26" s="164"/>
      <c r="GY26" s="164"/>
      <c r="GZ26" s="164"/>
      <c r="HA26" s="164"/>
      <c r="HB26" s="164"/>
      <c r="HC26" s="164"/>
      <c r="HD26" s="164"/>
      <c r="HE26" s="164"/>
      <c r="HF26" s="164"/>
      <c r="HG26" s="164"/>
      <c r="HH26" s="164"/>
      <c r="HI26" s="164"/>
      <c r="HJ26" s="164"/>
      <c r="HK26" s="164"/>
      <c r="HL26" s="164"/>
      <c r="HM26" s="164"/>
      <c r="HN26" s="164"/>
      <c r="HO26" s="164"/>
      <c r="HP26" s="164"/>
      <c r="HQ26" s="164"/>
      <c r="HR26" s="164"/>
      <c r="HS26" s="164"/>
      <c r="HT26" s="164"/>
      <c r="HU26" s="164"/>
      <c r="HV26" s="164"/>
      <c r="HW26" s="164"/>
      <c r="HX26" s="164"/>
      <c r="HY26" s="164"/>
      <c r="HZ26" s="164"/>
      <c r="IA26" s="164"/>
      <c r="IB26" s="164"/>
      <c r="IC26" s="164"/>
      <c r="ID26" s="164"/>
      <c r="IE26" s="164"/>
      <c r="IF26" s="164"/>
      <c r="IG26" s="164"/>
      <c r="IH26" s="164"/>
      <c r="II26" s="164"/>
      <c r="IJ26" s="164"/>
      <c r="IK26" s="164"/>
      <c r="IL26" s="164"/>
      <c r="IM26" s="164"/>
      <c r="IN26" s="164"/>
      <c r="IO26" s="164"/>
      <c r="IP26" s="164"/>
      <c r="IQ26" s="164"/>
      <c r="IR26" s="164"/>
      <c r="IS26" s="164"/>
      <c r="IT26" s="164"/>
      <c r="IU26" s="164"/>
      <c r="IV26" s="164"/>
    </row>
    <row r="27" spans="1:256" ht="32.25" customHeight="1" thickBot="1">
      <c r="A27" s="67"/>
      <c r="B27" s="83">
        <f t="shared" si="8"/>
        <v>44273</v>
      </c>
      <c r="C27" s="84"/>
      <c r="D27" s="136">
        <f>'Suivi EAU-ELEC'!C30</f>
        <v>0</v>
      </c>
      <c r="E27" s="139"/>
      <c r="F27" s="200">
        <f t="shared" si="0"/>
        <v>0</v>
      </c>
      <c r="G27" s="201"/>
      <c r="H27" s="202"/>
      <c r="I27" s="131"/>
      <c r="J27" s="85">
        <f>'Suivi EAU-ELEC'!E30</f>
        <v>0</v>
      </c>
      <c r="K27" s="86">
        <f>'Suivi EAU-ELEC'!G30</f>
        <v>0</v>
      </c>
      <c r="L27" s="86">
        <f>'Suivi EAU-ELEC'!I30</f>
        <v>0</v>
      </c>
      <c r="M27" s="75">
        <f t="shared" si="4"/>
        <v>0</v>
      </c>
      <c r="N27" s="52"/>
      <c r="O27" s="53">
        <f t="shared" si="5"/>
        <v>0</v>
      </c>
      <c r="P27" s="51"/>
      <c r="Q27" s="49"/>
      <c r="R27" s="50"/>
      <c r="S27" s="49"/>
      <c r="T27" s="87"/>
      <c r="U27" s="54">
        <f>'Suivi Gaz'!O25</f>
        <v>0</v>
      </c>
      <c r="V27" s="77"/>
      <c r="W27" s="53">
        <f t="shared" si="6"/>
        <v>0</v>
      </c>
      <c r="X27" s="59"/>
      <c r="Y27" s="137">
        <f t="shared" si="1"/>
        <v>0</v>
      </c>
      <c r="Z27" s="58">
        <f t="shared" si="7"/>
        <v>0</v>
      </c>
      <c r="AA27" s="77"/>
      <c r="AB27" s="55"/>
      <c r="AC27" s="71"/>
      <c r="AD27" s="72"/>
      <c r="AE27" s="76"/>
      <c r="AF27" s="76"/>
      <c r="AG27" s="73"/>
      <c r="AH27" s="74"/>
      <c r="AI27" s="38"/>
      <c r="AJ27" s="118">
        <f t="shared" si="2"/>
        <v>0</v>
      </c>
      <c r="AK27" s="117" t="e">
        <f t="shared" si="3"/>
        <v>#DIV/0!</v>
      </c>
      <c r="AL27" s="68"/>
      <c r="AM27" s="164"/>
      <c r="AN27" s="164"/>
      <c r="AO27" s="164"/>
      <c r="AP27" s="164"/>
      <c r="AQ27" s="164"/>
      <c r="AR27" s="164"/>
      <c r="AS27" s="164"/>
      <c r="AT27" s="164"/>
      <c r="AU27" s="164"/>
      <c r="AV27" s="164"/>
      <c r="AW27" s="164"/>
      <c r="AX27" s="164"/>
      <c r="AY27" s="164"/>
      <c r="AZ27" s="164"/>
      <c r="BA27" s="164"/>
      <c r="BB27" s="164"/>
      <c r="BC27" s="164"/>
      <c r="BD27" s="164"/>
      <c r="BE27" s="164"/>
      <c r="BF27" s="164"/>
      <c r="BG27" s="164"/>
      <c r="BH27" s="164"/>
      <c r="BI27" s="164"/>
      <c r="BJ27" s="164"/>
      <c r="BK27" s="164"/>
      <c r="BL27" s="164"/>
      <c r="BM27" s="164"/>
      <c r="BN27" s="164"/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4"/>
      <c r="DS27" s="164"/>
      <c r="DT27" s="164"/>
      <c r="DU27" s="164"/>
      <c r="DV27" s="164"/>
      <c r="DW27" s="164"/>
      <c r="DX27" s="164"/>
      <c r="DY27" s="164"/>
      <c r="DZ27" s="164"/>
      <c r="EA27" s="164"/>
      <c r="EB27" s="164"/>
      <c r="EC27" s="164"/>
      <c r="ED27" s="164"/>
      <c r="EE27" s="164"/>
      <c r="EF27" s="164"/>
      <c r="EG27" s="164"/>
      <c r="EH27" s="164"/>
      <c r="EI27" s="164"/>
      <c r="EJ27" s="164"/>
      <c r="EK27" s="164"/>
      <c r="EL27" s="164"/>
      <c r="EM27" s="164"/>
      <c r="EN27" s="164"/>
      <c r="EO27" s="164"/>
      <c r="EP27" s="164"/>
      <c r="EQ27" s="164"/>
      <c r="ER27" s="164"/>
      <c r="ES27" s="164"/>
      <c r="ET27" s="164"/>
      <c r="EU27" s="164"/>
      <c r="EV27" s="164"/>
      <c r="EW27" s="164"/>
      <c r="EX27" s="164"/>
      <c r="EY27" s="164"/>
      <c r="EZ27" s="164"/>
      <c r="FA27" s="164"/>
      <c r="FB27" s="164"/>
      <c r="FC27" s="164"/>
      <c r="FD27" s="164"/>
      <c r="FE27" s="164"/>
      <c r="FF27" s="164"/>
      <c r="FG27" s="164"/>
      <c r="FH27" s="164"/>
      <c r="FI27" s="164"/>
      <c r="FJ27" s="164"/>
      <c r="FK27" s="164"/>
      <c r="FL27" s="164"/>
      <c r="FM27" s="164"/>
      <c r="FN27" s="164"/>
      <c r="FO27" s="164"/>
      <c r="FP27" s="164"/>
      <c r="FQ27" s="164"/>
      <c r="FR27" s="164"/>
      <c r="FS27" s="164"/>
      <c r="FT27" s="164"/>
      <c r="FU27" s="164"/>
      <c r="FV27" s="164"/>
      <c r="FW27" s="164"/>
      <c r="FX27" s="164"/>
      <c r="FY27" s="164"/>
      <c r="FZ27" s="164"/>
      <c r="GA27" s="164"/>
      <c r="GB27" s="164"/>
      <c r="GC27" s="164"/>
      <c r="GD27" s="164"/>
      <c r="GE27" s="164"/>
      <c r="GF27" s="164"/>
      <c r="GG27" s="164"/>
      <c r="GH27" s="164"/>
      <c r="GI27" s="164"/>
      <c r="GJ27" s="164"/>
      <c r="GK27" s="164"/>
      <c r="GL27" s="164"/>
      <c r="GM27" s="164"/>
      <c r="GN27" s="164"/>
      <c r="GO27" s="164"/>
      <c r="GP27" s="164"/>
      <c r="GQ27" s="164"/>
      <c r="GR27" s="164"/>
      <c r="GS27" s="164"/>
      <c r="GT27" s="164"/>
      <c r="GU27" s="164"/>
      <c r="GV27" s="164"/>
      <c r="GW27" s="164"/>
      <c r="GX27" s="164"/>
      <c r="GY27" s="164"/>
      <c r="GZ27" s="164"/>
      <c r="HA27" s="164"/>
      <c r="HB27" s="164"/>
      <c r="HC27" s="164"/>
      <c r="HD27" s="164"/>
      <c r="HE27" s="164"/>
      <c r="HF27" s="164"/>
      <c r="HG27" s="164"/>
      <c r="HH27" s="164"/>
      <c r="HI27" s="164"/>
      <c r="HJ27" s="164"/>
      <c r="HK27" s="164"/>
      <c r="HL27" s="164"/>
      <c r="HM27" s="164"/>
      <c r="HN27" s="164"/>
      <c r="HO27" s="164"/>
      <c r="HP27" s="164"/>
      <c r="HQ27" s="164"/>
      <c r="HR27" s="164"/>
      <c r="HS27" s="164"/>
      <c r="HT27" s="164"/>
      <c r="HU27" s="164"/>
      <c r="HV27" s="164"/>
      <c r="HW27" s="164"/>
      <c r="HX27" s="164"/>
      <c r="HY27" s="164"/>
      <c r="HZ27" s="164"/>
      <c r="IA27" s="164"/>
      <c r="IB27" s="164"/>
      <c r="IC27" s="164"/>
      <c r="ID27" s="164"/>
      <c r="IE27" s="164"/>
      <c r="IF27" s="164"/>
      <c r="IG27" s="164"/>
      <c r="IH27" s="164"/>
      <c r="II27" s="164"/>
      <c r="IJ27" s="164"/>
      <c r="IK27" s="164"/>
      <c r="IL27" s="164"/>
      <c r="IM27" s="164"/>
      <c r="IN27" s="164"/>
      <c r="IO27" s="164"/>
      <c r="IP27" s="164"/>
      <c r="IQ27" s="164"/>
      <c r="IR27" s="164"/>
      <c r="IS27" s="164"/>
      <c r="IT27" s="164"/>
      <c r="IU27" s="164"/>
      <c r="IV27" s="164"/>
    </row>
    <row r="28" spans="1:256" ht="32.25" customHeight="1" thickBot="1">
      <c r="A28" s="67"/>
      <c r="B28" s="83">
        <f t="shared" si="8"/>
        <v>44274</v>
      </c>
      <c r="C28" s="84"/>
      <c r="D28" s="136">
        <f>'Suivi EAU-ELEC'!C31</f>
        <v>0</v>
      </c>
      <c r="E28" s="139"/>
      <c r="F28" s="219">
        <f t="shared" si="0"/>
        <v>0</v>
      </c>
      <c r="G28" s="220"/>
      <c r="H28" s="221"/>
      <c r="I28" s="132"/>
      <c r="J28" s="85">
        <f>'Suivi EAU-ELEC'!E31</f>
        <v>0</v>
      </c>
      <c r="K28" s="86">
        <f>'Suivi EAU-ELEC'!G31</f>
        <v>0</v>
      </c>
      <c r="L28" s="86">
        <f>'Suivi EAU-ELEC'!I31</f>
        <v>0</v>
      </c>
      <c r="M28" s="75">
        <f t="shared" si="4"/>
        <v>0</v>
      </c>
      <c r="N28" s="52"/>
      <c r="O28" s="53">
        <f t="shared" si="5"/>
        <v>0</v>
      </c>
      <c r="P28" s="51"/>
      <c r="Q28" s="49"/>
      <c r="R28" s="50"/>
      <c r="S28" s="49"/>
      <c r="T28" s="87"/>
      <c r="U28" s="54">
        <f>'Suivi Gaz'!O26</f>
        <v>0</v>
      </c>
      <c r="V28" s="77"/>
      <c r="W28" s="53">
        <f t="shared" si="6"/>
        <v>0</v>
      </c>
      <c r="X28" s="59"/>
      <c r="Y28" s="137">
        <f t="shared" si="1"/>
        <v>0</v>
      </c>
      <c r="Z28" s="58">
        <f t="shared" si="7"/>
        <v>0</v>
      </c>
      <c r="AA28" s="77"/>
      <c r="AB28" s="55"/>
      <c r="AC28" s="71"/>
      <c r="AD28" s="72"/>
      <c r="AE28" s="76"/>
      <c r="AF28" s="76"/>
      <c r="AG28" s="73"/>
      <c r="AH28" s="74"/>
      <c r="AI28" s="38"/>
      <c r="AJ28" s="118">
        <f>(F28+O28+W28+Z28)</f>
        <v>0</v>
      </c>
      <c r="AK28" s="117" t="e">
        <f t="shared" si="3"/>
        <v>#DIV/0!</v>
      </c>
      <c r="AL28" s="68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  <c r="HJ28" s="164"/>
      <c r="HK28" s="164"/>
      <c r="HL28" s="164"/>
      <c r="HM28" s="164"/>
      <c r="HN28" s="164"/>
      <c r="HO28" s="164"/>
      <c r="HP28" s="164"/>
      <c r="HQ28" s="164"/>
      <c r="HR28" s="164"/>
      <c r="HS28" s="164"/>
      <c r="HT28" s="164"/>
      <c r="HU28" s="164"/>
      <c r="HV28" s="164"/>
      <c r="HW28" s="164"/>
      <c r="HX28" s="164"/>
      <c r="HY28" s="164"/>
      <c r="HZ28" s="164"/>
      <c r="IA28" s="164"/>
      <c r="IB28" s="164"/>
      <c r="IC28" s="164"/>
      <c r="ID28" s="164"/>
      <c r="IE28" s="164"/>
      <c r="IF28" s="164"/>
      <c r="IG28" s="164"/>
      <c r="IH28" s="164"/>
      <c r="II28" s="164"/>
      <c r="IJ28" s="164"/>
      <c r="IK28" s="164"/>
      <c r="IL28" s="164"/>
      <c r="IM28" s="164"/>
      <c r="IN28" s="164"/>
      <c r="IO28" s="164"/>
      <c r="IP28" s="164"/>
      <c r="IQ28" s="164"/>
      <c r="IR28" s="164"/>
      <c r="IS28" s="164"/>
      <c r="IT28" s="164"/>
      <c r="IU28" s="164"/>
      <c r="IV28" s="164"/>
    </row>
    <row r="29" spans="1:256" ht="32.25" customHeight="1" thickBot="1">
      <c r="A29" s="67"/>
      <c r="B29" s="83">
        <f t="shared" si="8"/>
        <v>44275</v>
      </c>
      <c r="C29" s="84"/>
      <c r="D29" s="136">
        <f>'Suivi EAU-ELEC'!C32</f>
        <v>0</v>
      </c>
      <c r="E29" s="139"/>
      <c r="F29" s="200">
        <f t="shared" si="0"/>
        <v>0</v>
      </c>
      <c r="G29" s="201"/>
      <c r="H29" s="202"/>
      <c r="I29" s="132"/>
      <c r="J29" s="85">
        <f>'Suivi EAU-ELEC'!E32</f>
        <v>0</v>
      </c>
      <c r="K29" s="86">
        <f>'Suivi EAU-ELEC'!G32</f>
        <v>0</v>
      </c>
      <c r="L29" s="86">
        <f>'Suivi EAU-ELEC'!I32</f>
        <v>0</v>
      </c>
      <c r="M29" s="75">
        <f t="shared" si="4"/>
        <v>0</v>
      </c>
      <c r="N29" s="52"/>
      <c r="O29" s="53">
        <f t="shared" si="5"/>
        <v>0</v>
      </c>
      <c r="P29" s="51"/>
      <c r="Q29" s="49"/>
      <c r="R29" s="50"/>
      <c r="S29" s="49"/>
      <c r="T29" s="87"/>
      <c r="U29" s="54">
        <f>'Suivi Gaz'!O27</f>
        <v>0</v>
      </c>
      <c r="V29" s="77"/>
      <c r="W29" s="53">
        <f t="shared" si="6"/>
        <v>0</v>
      </c>
      <c r="X29" s="59"/>
      <c r="Y29" s="137">
        <f t="shared" si="1"/>
        <v>0</v>
      </c>
      <c r="Z29" s="58">
        <f t="shared" si="7"/>
        <v>0</v>
      </c>
      <c r="AA29" s="77"/>
      <c r="AB29" s="55"/>
      <c r="AC29" s="71"/>
      <c r="AD29" s="72"/>
      <c r="AE29" s="76"/>
      <c r="AF29" s="76"/>
      <c r="AG29" s="73"/>
      <c r="AH29" s="74"/>
      <c r="AI29" s="38"/>
      <c r="AJ29" s="118">
        <f t="shared" si="2"/>
        <v>0</v>
      </c>
      <c r="AK29" s="117" t="e">
        <f t="shared" si="3"/>
        <v>#DIV/0!</v>
      </c>
      <c r="AL29" s="68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164"/>
      <c r="HJ29" s="164"/>
      <c r="HK29" s="164"/>
      <c r="HL29" s="164"/>
      <c r="HM29" s="164"/>
      <c r="HN29" s="164"/>
      <c r="HO29" s="164"/>
      <c r="HP29" s="164"/>
      <c r="HQ29" s="164"/>
      <c r="HR29" s="164"/>
      <c r="HS29" s="164"/>
      <c r="HT29" s="164"/>
      <c r="HU29" s="164"/>
      <c r="HV29" s="164"/>
      <c r="HW29" s="164"/>
      <c r="HX29" s="164"/>
      <c r="HY29" s="164"/>
      <c r="HZ29" s="164"/>
      <c r="IA29" s="164"/>
      <c r="IB29" s="164"/>
      <c r="IC29" s="164"/>
      <c r="ID29" s="164"/>
      <c r="IE29" s="164"/>
      <c r="IF29" s="164"/>
      <c r="IG29" s="164"/>
      <c r="IH29" s="164"/>
      <c r="II29" s="164"/>
      <c r="IJ29" s="164"/>
      <c r="IK29" s="164"/>
      <c r="IL29" s="164"/>
      <c r="IM29" s="164"/>
      <c r="IN29" s="164"/>
      <c r="IO29" s="164"/>
      <c r="IP29" s="164"/>
      <c r="IQ29" s="164"/>
      <c r="IR29" s="164"/>
      <c r="IS29" s="164"/>
      <c r="IT29" s="164"/>
      <c r="IU29" s="164"/>
      <c r="IV29" s="164"/>
    </row>
    <row r="30" spans="1:256" s="60" customFormat="1" ht="32.25" customHeight="1" thickBot="1">
      <c r="A30" s="88"/>
      <c r="B30" s="83">
        <f t="shared" si="8"/>
        <v>44276</v>
      </c>
      <c r="C30" s="89"/>
      <c r="D30" s="136">
        <f>'Suivi EAU-ELEC'!C33</f>
        <v>0</v>
      </c>
      <c r="E30" s="139"/>
      <c r="F30" s="219">
        <f t="shared" si="0"/>
        <v>0</v>
      </c>
      <c r="G30" s="220"/>
      <c r="H30" s="221"/>
      <c r="I30" s="132"/>
      <c r="J30" s="85">
        <f>'Suivi EAU-ELEC'!E33</f>
        <v>0</v>
      </c>
      <c r="K30" s="86">
        <f>'Suivi EAU-ELEC'!G33</f>
        <v>0</v>
      </c>
      <c r="L30" s="86">
        <f>'Suivi EAU-ELEC'!I33</f>
        <v>0</v>
      </c>
      <c r="M30" s="75">
        <f t="shared" si="4"/>
        <v>0</v>
      </c>
      <c r="N30" s="52"/>
      <c r="O30" s="53">
        <f t="shared" si="5"/>
        <v>0</v>
      </c>
      <c r="P30" s="51"/>
      <c r="Q30" s="49"/>
      <c r="R30" s="50"/>
      <c r="S30" s="49"/>
      <c r="T30" s="87"/>
      <c r="U30" s="54">
        <f>'Suivi Gaz'!O28</f>
        <v>0</v>
      </c>
      <c r="V30" s="77"/>
      <c r="W30" s="53">
        <f t="shared" si="6"/>
        <v>0</v>
      </c>
      <c r="X30" s="59"/>
      <c r="Y30" s="137">
        <f t="shared" si="1"/>
        <v>0</v>
      </c>
      <c r="Z30" s="58">
        <f t="shared" si="7"/>
        <v>0</v>
      </c>
      <c r="AA30" s="77"/>
      <c r="AB30" s="55"/>
      <c r="AC30" s="71"/>
      <c r="AD30" s="72"/>
      <c r="AE30" s="76"/>
      <c r="AF30" s="76"/>
      <c r="AG30" s="73"/>
      <c r="AH30" s="74"/>
      <c r="AI30" s="38"/>
      <c r="AJ30" s="118">
        <f t="shared" si="2"/>
        <v>0</v>
      </c>
      <c r="AK30" s="117" t="e">
        <f t="shared" si="3"/>
        <v>#DIV/0!</v>
      </c>
      <c r="AL30" s="68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4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64"/>
      <c r="II30" s="164"/>
      <c r="IJ30" s="164"/>
      <c r="IK30" s="164"/>
      <c r="IL30" s="164"/>
      <c r="IM30" s="164"/>
      <c r="IN30" s="164"/>
      <c r="IO30" s="164"/>
      <c r="IP30" s="164"/>
      <c r="IQ30" s="164"/>
      <c r="IR30" s="164"/>
      <c r="IS30" s="164"/>
      <c r="IT30" s="164"/>
      <c r="IU30" s="164"/>
      <c r="IV30" s="164"/>
    </row>
    <row r="31" spans="1:256" ht="32.25" customHeight="1" thickBot="1">
      <c r="A31" s="67"/>
      <c r="B31" s="83">
        <f t="shared" si="8"/>
        <v>44277</v>
      </c>
      <c r="C31" s="84"/>
      <c r="D31" s="136">
        <f>'Suivi EAU-ELEC'!C34</f>
        <v>0</v>
      </c>
      <c r="E31" s="87"/>
      <c r="F31" s="200">
        <f t="shared" si="0"/>
        <v>0</v>
      </c>
      <c r="G31" s="201"/>
      <c r="H31" s="202"/>
      <c r="I31" s="133"/>
      <c r="J31" s="85">
        <f>'Suivi EAU-ELEC'!E34</f>
        <v>0</v>
      </c>
      <c r="K31" s="86">
        <f>'Suivi EAU-ELEC'!G34</f>
        <v>0</v>
      </c>
      <c r="L31" s="86">
        <f>'Suivi EAU-ELEC'!I34</f>
        <v>0</v>
      </c>
      <c r="M31" s="75">
        <f t="shared" si="4"/>
        <v>0</v>
      </c>
      <c r="N31" s="52"/>
      <c r="O31" s="53">
        <f t="shared" si="5"/>
        <v>0</v>
      </c>
      <c r="P31" s="51"/>
      <c r="Q31" s="49"/>
      <c r="R31" s="50"/>
      <c r="S31" s="49"/>
      <c r="T31" s="87"/>
      <c r="U31" s="54">
        <f>'Suivi Gaz'!O29</f>
        <v>0</v>
      </c>
      <c r="V31" s="52"/>
      <c r="W31" s="53">
        <f t="shared" si="6"/>
        <v>0</v>
      </c>
      <c r="X31" s="59"/>
      <c r="Y31" s="137">
        <f t="shared" si="1"/>
        <v>0</v>
      </c>
      <c r="Z31" s="58">
        <f t="shared" si="7"/>
        <v>0</v>
      </c>
      <c r="AA31" s="52"/>
      <c r="AB31" s="55"/>
      <c r="AC31" s="71"/>
      <c r="AD31" s="72"/>
      <c r="AE31" s="76"/>
      <c r="AF31" s="76"/>
      <c r="AG31" s="73"/>
      <c r="AH31" s="74"/>
      <c r="AI31" s="38"/>
      <c r="AJ31" s="118">
        <f t="shared" si="2"/>
        <v>0</v>
      </c>
      <c r="AK31" s="117" t="e">
        <f t="shared" si="3"/>
        <v>#DIV/0!</v>
      </c>
      <c r="AL31" s="68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4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64"/>
      <c r="II31" s="164"/>
      <c r="IJ31" s="164"/>
      <c r="IK31" s="164"/>
      <c r="IL31" s="164"/>
      <c r="IM31" s="164"/>
      <c r="IN31" s="164"/>
      <c r="IO31" s="164"/>
      <c r="IP31" s="164"/>
      <c r="IQ31" s="164"/>
      <c r="IR31" s="164"/>
      <c r="IS31" s="164"/>
      <c r="IT31" s="164"/>
      <c r="IU31" s="164"/>
      <c r="IV31" s="164"/>
    </row>
    <row r="32" spans="1:256" ht="32.25" customHeight="1" thickBot="1">
      <c r="A32" s="67"/>
      <c r="B32" s="83">
        <f t="shared" si="8"/>
        <v>44278</v>
      </c>
      <c r="C32" s="84"/>
      <c r="D32" s="136">
        <f>'Suivi EAU-ELEC'!C35</f>
        <v>0</v>
      </c>
      <c r="E32" s="87"/>
      <c r="F32" s="200">
        <f t="shared" si="0"/>
        <v>0</v>
      </c>
      <c r="G32" s="201"/>
      <c r="H32" s="202"/>
      <c r="I32" s="130"/>
      <c r="J32" s="85">
        <f>'Suivi EAU-ELEC'!E35</f>
        <v>0</v>
      </c>
      <c r="K32" s="86">
        <f>'Suivi EAU-ELEC'!G35</f>
        <v>0</v>
      </c>
      <c r="L32" s="86">
        <f>'Suivi EAU-ELEC'!I35</f>
        <v>0</v>
      </c>
      <c r="M32" s="75">
        <f t="shared" si="4"/>
        <v>0</v>
      </c>
      <c r="N32" s="52"/>
      <c r="O32" s="53">
        <f t="shared" si="5"/>
        <v>0</v>
      </c>
      <c r="P32" s="51"/>
      <c r="Q32" s="49"/>
      <c r="R32" s="50"/>
      <c r="S32" s="49"/>
      <c r="T32" s="87"/>
      <c r="U32" s="54">
        <f>'Suivi Gaz'!O30</f>
        <v>0</v>
      </c>
      <c r="V32" s="52"/>
      <c r="W32" s="53">
        <f t="shared" si="6"/>
        <v>0</v>
      </c>
      <c r="X32" s="59"/>
      <c r="Y32" s="137">
        <f t="shared" si="1"/>
        <v>0</v>
      </c>
      <c r="Z32" s="58">
        <f t="shared" si="7"/>
        <v>0</v>
      </c>
      <c r="AA32" s="52"/>
      <c r="AB32" s="55"/>
      <c r="AC32" s="71"/>
      <c r="AD32" s="72"/>
      <c r="AE32" s="76"/>
      <c r="AF32" s="76"/>
      <c r="AG32" s="73"/>
      <c r="AH32" s="74"/>
      <c r="AI32" s="38"/>
      <c r="AJ32" s="118">
        <f t="shared" si="2"/>
        <v>0</v>
      </c>
      <c r="AK32" s="117" t="e">
        <f t="shared" si="3"/>
        <v>#DIV/0!</v>
      </c>
      <c r="AL32" s="68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4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64"/>
      <c r="II32" s="164"/>
      <c r="IJ32" s="164"/>
      <c r="IK32" s="164"/>
      <c r="IL32" s="164"/>
      <c r="IM32" s="164"/>
      <c r="IN32" s="164"/>
      <c r="IO32" s="164"/>
      <c r="IP32" s="164"/>
      <c r="IQ32" s="164"/>
      <c r="IR32" s="164"/>
      <c r="IS32" s="164"/>
      <c r="IT32" s="164"/>
      <c r="IU32" s="164"/>
      <c r="IV32" s="164"/>
    </row>
    <row r="33" spans="1:38" ht="32.25" customHeight="1" thickBot="1">
      <c r="A33" s="67"/>
      <c r="B33" s="83">
        <f t="shared" si="8"/>
        <v>44279</v>
      </c>
      <c r="C33" s="84"/>
      <c r="D33" s="136">
        <f>'Suivi EAU-ELEC'!C36</f>
        <v>0</v>
      </c>
      <c r="E33" s="87"/>
      <c r="F33" s="200">
        <f t="shared" si="0"/>
        <v>0</v>
      </c>
      <c r="G33" s="201"/>
      <c r="H33" s="202"/>
      <c r="I33" s="131"/>
      <c r="J33" s="85">
        <f>'Suivi EAU-ELEC'!E36</f>
        <v>0</v>
      </c>
      <c r="K33" s="86">
        <f>'Suivi EAU-ELEC'!G36</f>
        <v>0</v>
      </c>
      <c r="L33" s="86">
        <f>'Suivi EAU-ELEC'!I36</f>
        <v>0</v>
      </c>
      <c r="M33" s="75">
        <f t="shared" si="4"/>
        <v>0</v>
      </c>
      <c r="N33" s="52"/>
      <c r="O33" s="53">
        <f t="shared" si="5"/>
        <v>0</v>
      </c>
      <c r="P33" s="51"/>
      <c r="Q33" s="49"/>
      <c r="R33" s="50"/>
      <c r="S33" s="49"/>
      <c r="T33" s="87"/>
      <c r="U33" s="54">
        <f>'Suivi Gaz'!O31</f>
        <v>0</v>
      </c>
      <c r="V33" s="52"/>
      <c r="W33" s="53">
        <f t="shared" si="6"/>
        <v>0</v>
      </c>
      <c r="X33" s="59"/>
      <c r="Y33" s="137">
        <f t="shared" si="1"/>
        <v>0</v>
      </c>
      <c r="Z33" s="58">
        <f t="shared" si="7"/>
        <v>0</v>
      </c>
      <c r="AA33" s="52"/>
      <c r="AB33" s="55"/>
      <c r="AC33" s="71"/>
      <c r="AD33" s="72"/>
      <c r="AE33" s="76"/>
      <c r="AF33" s="76"/>
      <c r="AG33" s="73"/>
      <c r="AH33" s="74"/>
      <c r="AI33" s="38"/>
      <c r="AJ33" s="118">
        <f t="shared" si="2"/>
        <v>0</v>
      </c>
      <c r="AK33" s="117" t="e">
        <f t="shared" si="3"/>
        <v>#DIV/0!</v>
      </c>
      <c r="AL33" s="68"/>
    </row>
    <row r="34" spans="1:38" ht="32.25" customHeight="1" thickBot="1">
      <c r="A34" s="90"/>
      <c r="B34" s="83">
        <f t="shared" si="8"/>
        <v>44280</v>
      </c>
      <c r="C34" s="84"/>
      <c r="D34" s="136">
        <f>'Suivi EAU-ELEC'!C37</f>
        <v>0</v>
      </c>
      <c r="E34" s="87"/>
      <c r="F34" s="200">
        <f t="shared" si="0"/>
        <v>0</v>
      </c>
      <c r="G34" s="201"/>
      <c r="H34" s="202"/>
      <c r="I34" s="131"/>
      <c r="J34" s="85">
        <f>'Suivi EAU-ELEC'!E37</f>
        <v>0</v>
      </c>
      <c r="K34" s="86">
        <f>'Suivi EAU-ELEC'!G37</f>
        <v>0</v>
      </c>
      <c r="L34" s="86">
        <f>'Suivi EAU-ELEC'!I37</f>
        <v>0</v>
      </c>
      <c r="M34" s="75">
        <f t="shared" si="4"/>
        <v>0</v>
      </c>
      <c r="N34" s="52"/>
      <c r="O34" s="53">
        <f t="shared" si="5"/>
        <v>0</v>
      </c>
      <c r="P34" s="51"/>
      <c r="Q34" s="49"/>
      <c r="R34" s="50"/>
      <c r="S34" s="49"/>
      <c r="T34" s="87"/>
      <c r="U34" s="54">
        <f>'Suivi Gaz'!O32</f>
        <v>0</v>
      </c>
      <c r="V34" s="52"/>
      <c r="W34" s="53">
        <f t="shared" si="6"/>
        <v>0</v>
      </c>
      <c r="X34" s="59"/>
      <c r="Y34" s="137">
        <f t="shared" si="1"/>
        <v>0</v>
      </c>
      <c r="Z34" s="58">
        <f t="shared" si="7"/>
        <v>0</v>
      </c>
      <c r="AA34" s="52"/>
      <c r="AB34" s="55"/>
      <c r="AC34" s="71"/>
      <c r="AD34" s="72"/>
      <c r="AE34" s="76"/>
      <c r="AF34" s="76"/>
      <c r="AG34" s="73"/>
      <c r="AH34" s="74"/>
      <c r="AI34" s="38"/>
      <c r="AJ34" s="118">
        <f t="shared" si="2"/>
        <v>0</v>
      </c>
      <c r="AK34" s="117" t="e">
        <f t="shared" si="3"/>
        <v>#DIV/0!</v>
      </c>
      <c r="AL34" s="68"/>
    </row>
    <row r="35" spans="1:38" ht="32.25" customHeight="1" thickBot="1">
      <c r="A35" s="67"/>
      <c r="B35" s="83">
        <f t="shared" si="8"/>
        <v>44281</v>
      </c>
      <c r="C35" s="84"/>
      <c r="D35" s="136">
        <f>'Suivi EAU-ELEC'!C38</f>
        <v>0</v>
      </c>
      <c r="E35" s="87"/>
      <c r="F35" s="222">
        <f t="shared" si="0"/>
        <v>0</v>
      </c>
      <c r="G35" s="223"/>
      <c r="H35" s="224"/>
      <c r="I35" s="131"/>
      <c r="J35" s="85">
        <f>'Suivi EAU-ELEC'!E38</f>
        <v>0</v>
      </c>
      <c r="K35" s="86">
        <f>'Suivi EAU-ELEC'!G38</f>
        <v>0</v>
      </c>
      <c r="L35" s="86">
        <f>'Suivi EAU-ELEC'!I38</f>
        <v>0</v>
      </c>
      <c r="M35" s="75">
        <f t="shared" si="4"/>
        <v>0</v>
      </c>
      <c r="N35" s="52"/>
      <c r="O35" s="53">
        <f t="shared" si="5"/>
        <v>0</v>
      </c>
      <c r="P35" s="51"/>
      <c r="Q35" s="49"/>
      <c r="R35" s="50"/>
      <c r="S35" s="49"/>
      <c r="T35" s="87"/>
      <c r="U35" s="54">
        <f>'Suivi Gaz'!O33</f>
        <v>0</v>
      </c>
      <c r="V35" s="52"/>
      <c r="W35" s="53">
        <f t="shared" si="6"/>
        <v>0</v>
      </c>
      <c r="X35" s="59"/>
      <c r="Y35" s="137">
        <f t="shared" si="1"/>
        <v>0</v>
      </c>
      <c r="Z35" s="58">
        <f t="shared" si="7"/>
        <v>0</v>
      </c>
      <c r="AA35" s="52"/>
      <c r="AB35" s="55"/>
      <c r="AC35" s="71"/>
      <c r="AD35" s="72"/>
      <c r="AE35" s="76"/>
      <c r="AF35" s="76"/>
      <c r="AG35" s="73"/>
      <c r="AH35" s="74"/>
      <c r="AI35" s="38"/>
      <c r="AJ35" s="118">
        <f t="shared" si="2"/>
        <v>0</v>
      </c>
      <c r="AK35" s="117" t="e">
        <f t="shared" si="3"/>
        <v>#DIV/0!</v>
      </c>
      <c r="AL35" s="68"/>
    </row>
    <row r="36" spans="1:38" ht="32.25" customHeight="1" thickBot="1">
      <c r="A36" s="67"/>
      <c r="B36" s="83">
        <f t="shared" si="8"/>
        <v>44282</v>
      </c>
      <c r="C36" s="84"/>
      <c r="D36" s="136">
        <f>'Suivi EAU-ELEC'!C39</f>
        <v>0</v>
      </c>
      <c r="E36" s="87"/>
      <c r="F36" s="225">
        <f t="shared" si="0"/>
        <v>0</v>
      </c>
      <c r="G36" s="226"/>
      <c r="H36" s="227"/>
      <c r="I36" s="131"/>
      <c r="J36" s="85">
        <f>'Suivi EAU-ELEC'!E39</f>
        <v>0</v>
      </c>
      <c r="K36" s="86">
        <f>'Suivi EAU-ELEC'!G39</f>
        <v>0</v>
      </c>
      <c r="L36" s="86">
        <f>'Suivi EAU-ELEC'!I39</f>
        <v>0</v>
      </c>
      <c r="M36" s="75">
        <f t="shared" si="4"/>
        <v>0</v>
      </c>
      <c r="N36" s="52"/>
      <c r="O36" s="53">
        <f t="shared" si="5"/>
        <v>0</v>
      </c>
      <c r="P36" s="51"/>
      <c r="Q36" s="49"/>
      <c r="R36" s="50"/>
      <c r="S36" s="49"/>
      <c r="T36" s="87"/>
      <c r="U36" s="54">
        <f>'Suivi Gaz'!O34</f>
        <v>0</v>
      </c>
      <c r="V36" s="52"/>
      <c r="W36" s="53">
        <f t="shared" si="6"/>
        <v>0</v>
      </c>
      <c r="X36" s="59"/>
      <c r="Y36" s="137">
        <f t="shared" si="1"/>
        <v>0</v>
      </c>
      <c r="Z36" s="58">
        <f t="shared" si="7"/>
        <v>0</v>
      </c>
      <c r="AA36" s="52"/>
      <c r="AB36" s="55"/>
      <c r="AC36" s="71"/>
      <c r="AD36" s="72"/>
      <c r="AE36" s="76"/>
      <c r="AF36" s="76"/>
      <c r="AG36" s="73"/>
      <c r="AH36" s="74"/>
      <c r="AI36" s="38"/>
      <c r="AJ36" s="118">
        <f t="shared" si="2"/>
        <v>0</v>
      </c>
      <c r="AK36" s="117" t="e">
        <f t="shared" si="3"/>
        <v>#DIV/0!</v>
      </c>
      <c r="AL36" s="68"/>
    </row>
    <row r="37" spans="1:38" ht="32.25" customHeight="1" thickBot="1">
      <c r="A37" s="67"/>
      <c r="B37" s="83">
        <f t="shared" si="8"/>
        <v>44283</v>
      </c>
      <c r="C37" s="84"/>
      <c r="D37" s="136">
        <f>'Suivi EAU-ELEC'!C40</f>
        <v>0</v>
      </c>
      <c r="E37" s="87"/>
      <c r="F37" s="228">
        <f t="shared" si="0"/>
        <v>0</v>
      </c>
      <c r="G37" s="229"/>
      <c r="H37" s="230"/>
      <c r="I37" s="131"/>
      <c r="J37" s="85">
        <f>'Suivi EAU-ELEC'!E40</f>
        <v>0</v>
      </c>
      <c r="K37" s="86">
        <f>'Suivi EAU-ELEC'!G40</f>
        <v>0</v>
      </c>
      <c r="L37" s="86">
        <f>'Suivi EAU-ELEC'!I40</f>
        <v>0</v>
      </c>
      <c r="M37" s="75">
        <f t="shared" si="4"/>
        <v>0</v>
      </c>
      <c r="N37" s="52"/>
      <c r="O37" s="53">
        <f t="shared" si="5"/>
        <v>0</v>
      </c>
      <c r="P37" s="51"/>
      <c r="Q37" s="49"/>
      <c r="R37" s="50"/>
      <c r="S37" s="49"/>
      <c r="T37" s="87"/>
      <c r="U37" s="54">
        <f>'Suivi Gaz'!O35</f>
        <v>0</v>
      </c>
      <c r="V37" s="52"/>
      <c r="W37" s="53">
        <f t="shared" si="6"/>
        <v>0</v>
      </c>
      <c r="X37" s="59"/>
      <c r="Y37" s="137">
        <f t="shared" si="1"/>
        <v>0</v>
      </c>
      <c r="Z37" s="58">
        <f t="shared" si="7"/>
        <v>0</v>
      </c>
      <c r="AA37" s="52"/>
      <c r="AB37" s="55"/>
      <c r="AC37" s="71"/>
      <c r="AD37" s="72"/>
      <c r="AE37" s="76"/>
      <c r="AF37" s="76"/>
      <c r="AG37" s="73"/>
      <c r="AH37" s="74"/>
      <c r="AI37" s="38"/>
      <c r="AJ37" s="118">
        <f t="shared" si="2"/>
        <v>0</v>
      </c>
      <c r="AK37" s="117" t="e">
        <f t="shared" si="3"/>
        <v>#DIV/0!</v>
      </c>
      <c r="AL37" s="68"/>
    </row>
    <row r="38" spans="1:38" ht="32.25" customHeight="1" thickBot="1">
      <c r="A38" s="67"/>
      <c r="B38" s="83">
        <f t="shared" si="8"/>
        <v>44284</v>
      </c>
      <c r="C38" s="84"/>
      <c r="D38" s="136">
        <f>'Suivi EAU-ELEC'!C41</f>
        <v>0</v>
      </c>
      <c r="E38" s="87"/>
      <c r="F38" s="219">
        <f t="shared" si="0"/>
        <v>0</v>
      </c>
      <c r="G38" s="220"/>
      <c r="H38" s="221"/>
      <c r="I38" s="131"/>
      <c r="J38" s="85">
        <f>'Suivi EAU-ELEC'!E41</f>
        <v>0</v>
      </c>
      <c r="K38" s="86">
        <f>'Suivi EAU-ELEC'!G41</f>
        <v>0</v>
      </c>
      <c r="L38" s="86">
        <f>'Suivi EAU-ELEC'!I41</f>
        <v>0</v>
      </c>
      <c r="M38" s="75">
        <f t="shared" si="4"/>
        <v>0</v>
      </c>
      <c r="N38" s="52"/>
      <c r="O38" s="53">
        <f t="shared" si="5"/>
        <v>0</v>
      </c>
      <c r="P38" s="51"/>
      <c r="Q38" s="49"/>
      <c r="R38" s="50"/>
      <c r="S38" s="49"/>
      <c r="T38" s="87"/>
      <c r="U38" s="54">
        <f>'Suivi Gaz'!O36</f>
        <v>0</v>
      </c>
      <c r="V38" s="52"/>
      <c r="W38" s="53">
        <f t="shared" si="6"/>
        <v>0</v>
      </c>
      <c r="X38" s="59"/>
      <c r="Y38" s="137">
        <f t="shared" si="1"/>
        <v>0</v>
      </c>
      <c r="Z38" s="58">
        <f t="shared" si="7"/>
        <v>0</v>
      </c>
      <c r="AA38" s="52"/>
      <c r="AB38" s="55"/>
      <c r="AC38" s="71"/>
      <c r="AD38" s="72"/>
      <c r="AE38" s="76"/>
      <c r="AF38" s="76"/>
      <c r="AG38" s="73"/>
      <c r="AH38" s="74"/>
      <c r="AI38" s="38"/>
      <c r="AJ38" s="118">
        <f t="shared" si="2"/>
        <v>0</v>
      </c>
      <c r="AK38" s="117" t="e">
        <f t="shared" si="3"/>
        <v>#DIV/0!</v>
      </c>
      <c r="AL38" s="68"/>
    </row>
    <row r="39" spans="1:38" ht="32.25" customHeight="1" thickBot="1">
      <c r="A39" s="67"/>
      <c r="B39" s="83">
        <f t="shared" si="8"/>
        <v>44285</v>
      </c>
      <c r="C39" s="84"/>
      <c r="D39" s="136">
        <f>'Suivi EAU-ELEC'!C42</f>
        <v>0</v>
      </c>
      <c r="E39" s="87"/>
      <c r="F39" s="200">
        <f t="shared" si="0"/>
        <v>0</v>
      </c>
      <c r="G39" s="201"/>
      <c r="H39" s="202"/>
      <c r="I39" s="131"/>
      <c r="J39" s="85">
        <f>'Suivi EAU-ELEC'!E42</f>
        <v>0</v>
      </c>
      <c r="K39" s="86">
        <f>'Suivi EAU-ELEC'!G42</f>
        <v>0</v>
      </c>
      <c r="L39" s="86">
        <f>'Suivi EAU-ELEC'!I42</f>
        <v>0</v>
      </c>
      <c r="M39" s="75">
        <f t="shared" si="4"/>
        <v>0</v>
      </c>
      <c r="N39" s="52"/>
      <c r="O39" s="53">
        <f t="shared" si="5"/>
        <v>0</v>
      </c>
      <c r="P39" s="51"/>
      <c r="Q39" s="49"/>
      <c r="R39" s="50"/>
      <c r="S39" s="49"/>
      <c r="T39" s="87"/>
      <c r="U39" s="54">
        <f>'Suivi Gaz'!O37</f>
        <v>0</v>
      </c>
      <c r="V39" s="52"/>
      <c r="W39" s="53">
        <f t="shared" si="6"/>
        <v>0</v>
      </c>
      <c r="X39" s="59"/>
      <c r="Y39" s="137">
        <f t="shared" si="1"/>
        <v>0</v>
      </c>
      <c r="Z39" s="58">
        <f t="shared" si="7"/>
        <v>0</v>
      </c>
      <c r="AA39" s="52"/>
      <c r="AB39" s="55"/>
      <c r="AC39" s="71"/>
      <c r="AD39" s="72"/>
      <c r="AE39" s="76"/>
      <c r="AF39" s="76"/>
      <c r="AG39" s="73"/>
      <c r="AH39" s="74"/>
      <c r="AI39" s="38"/>
      <c r="AJ39" s="118">
        <f t="shared" si="2"/>
        <v>0</v>
      </c>
      <c r="AK39" s="117" t="e">
        <f t="shared" si="3"/>
        <v>#DIV/0!</v>
      </c>
      <c r="AL39" s="68"/>
    </row>
    <row r="40" spans="1:38" ht="32.25" customHeight="1" thickBot="1">
      <c r="A40" s="67"/>
      <c r="B40" s="83">
        <f t="shared" si="8"/>
        <v>44286</v>
      </c>
      <c r="C40" s="84"/>
      <c r="D40" s="136">
        <f>'Suivi EAU-ELEC'!C43</f>
        <v>0</v>
      </c>
      <c r="E40" s="138"/>
      <c r="F40" s="222">
        <f t="shared" si="0"/>
        <v>0</v>
      </c>
      <c r="G40" s="223"/>
      <c r="H40" s="224"/>
      <c r="I40" s="131"/>
      <c r="J40" s="85">
        <f>'Suivi EAU-ELEC'!E43</f>
        <v>0</v>
      </c>
      <c r="K40" s="86">
        <f>'Suivi EAU-ELEC'!G43</f>
        <v>0</v>
      </c>
      <c r="L40" s="86">
        <f>'Suivi EAU-ELEC'!I43</f>
        <v>0</v>
      </c>
      <c r="M40" s="75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7"/>
      <c r="U40" s="54">
        <f>'Suivi Gaz'!O38</f>
        <v>0</v>
      </c>
      <c r="V40" s="52"/>
      <c r="W40" s="53">
        <f t="shared" si="6"/>
        <v>0</v>
      </c>
      <c r="X40" s="59"/>
      <c r="Y40" s="137">
        <f t="shared" si="1"/>
        <v>0</v>
      </c>
      <c r="Z40" s="58">
        <f t="shared" si="7"/>
        <v>0</v>
      </c>
      <c r="AA40" s="52"/>
      <c r="AB40" s="55"/>
      <c r="AC40" s="150"/>
      <c r="AD40" s="72"/>
      <c r="AE40" s="76"/>
      <c r="AF40" s="76"/>
      <c r="AG40" s="73"/>
      <c r="AH40" s="74"/>
      <c r="AI40" s="38"/>
      <c r="AJ40" s="119">
        <f t="shared" si="2"/>
        <v>0</v>
      </c>
      <c r="AK40" s="117" t="e">
        <f t="shared" si="3"/>
        <v>#DIV/0!</v>
      </c>
      <c r="AL40" s="68"/>
    </row>
    <row r="41" spans="1:38" ht="44.25" customHeight="1" thickBot="1">
      <c r="A41" s="67"/>
      <c r="B41" s="91"/>
      <c r="C41" s="92"/>
      <c r="D41" s="151">
        <f>SUM(D10:D40)</f>
        <v>3104</v>
      </c>
      <c r="E41" s="93"/>
      <c r="F41" s="231">
        <f>SUM(F10:H40)</f>
        <v>39327.68</v>
      </c>
      <c r="G41" s="232"/>
      <c r="H41" s="233"/>
      <c r="I41" s="93"/>
      <c r="J41" s="95">
        <f>SUM(J10:J40)</f>
        <v>36893</v>
      </c>
      <c r="K41" s="95">
        <f>SUM(K10:K40)</f>
        <v>59174</v>
      </c>
      <c r="L41" s="95">
        <f>SUM(L10:L40)</f>
        <v>24854</v>
      </c>
      <c r="M41" s="95">
        <f>SUM(M10:M40)</f>
        <v>120921</v>
      </c>
      <c r="N41" s="94"/>
      <c r="O41" s="95">
        <f>SUM(O10:O40)</f>
        <v>119711.79000000001</v>
      </c>
      <c r="P41" s="94"/>
      <c r="Q41" s="96">
        <f>SUM(Q10:Q40)</f>
        <v>0</v>
      </c>
      <c r="R41" s="94"/>
      <c r="S41" s="96">
        <f>SUM(S10:S40)</f>
        <v>0</v>
      </c>
      <c r="T41" s="94"/>
      <c r="U41" s="95">
        <f>SUM(U10:U40)</f>
        <v>2448.6</v>
      </c>
      <c r="V41" s="52"/>
      <c r="W41" s="95">
        <f>SUM(W10:W40)</f>
        <v>22642.2042</v>
      </c>
      <c r="X41" s="128"/>
      <c r="Y41" s="95">
        <f>SUM(Y10:Y40)</f>
        <v>179.32999999999811</v>
      </c>
      <c r="Z41" s="95">
        <f>SUM(Z10:Z40)</f>
        <v>95044.89999999899</v>
      </c>
      <c r="AA41" s="93"/>
      <c r="AB41" s="97"/>
      <c r="AC41" s="122"/>
      <c r="AD41" s="121"/>
      <c r="AE41" s="123"/>
      <c r="AF41" s="120"/>
      <c r="AG41" s="129"/>
      <c r="AH41" s="98"/>
      <c r="AI41" s="57"/>
      <c r="AJ41" s="113">
        <f>SUM(AJ10:AJ38)</f>
        <v>276726.57419999898</v>
      </c>
      <c r="AK41" s="113" t="e">
        <f>SUM(AK10:AK38)</f>
        <v>#DIV/0!</v>
      </c>
      <c r="AL41" s="68"/>
    </row>
    <row r="42" spans="1:38" s="6" customFormat="1" ht="30.75" customHeight="1" thickBot="1">
      <c r="A42" s="78"/>
      <c r="B42" s="78"/>
      <c r="C42" s="78"/>
      <c r="D42" s="78"/>
      <c r="E42" s="78"/>
      <c r="F42" s="234"/>
      <c r="G42" s="234"/>
      <c r="H42" s="234"/>
      <c r="I42" s="78"/>
      <c r="J42" s="69"/>
      <c r="K42" s="69"/>
      <c r="L42" s="69"/>
      <c r="M42" s="93"/>
      <c r="N42" s="93"/>
      <c r="O42" s="78"/>
      <c r="P42" s="93"/>
      <c r="Q42" s="78"/>
      <c r="R42" s="93"/>
      <c r="S42" s="78"/>
      <c r="T42" s="93"/>
      <c r="U42" s="78"/>
      <c r="V42" s="93"/>
      <c r="W42" s="78"/>
      <c r="X42" s="66"/>
      <c r="Y42" s="135"/>
      <c r="Z42" s="78"/>
      <c r="AA42" s="78"/>
      <c r="AB42" s="78"/>
      <c r="AC42" s="78"/>
      <c r="AD42" s="99"/>
      <c r="AE42" s="69"/>
      <c r="AF42" s="69"/>
      <c r="AG42" s="69"/>
      <c r="AH42" s="100"/>
      <c r="AI42" s="39"/>
      <c r="AJ42" s="39"/>
      <c r="AK42" s="39"/>
    </row>
    <row r="43" spans="1:38" s="8" customFormat="1" ht="36.75" customHeight="1" thickBot="1">
      <c r="A43" s="235" t="s">
        <v>39</v>
      </c>
      <c r="B43" s="236"/>
      <c r="C43" s="237"/>
      <c r="D43" s="165" t="s">
        <v>34</v>
      </c>
      <c r="E43" s="101"/>
      <c r="F43" s="102">
        <v>0.64895000000000003</v>
      </c>
      <c r="G43" s="241">
        <f>J41</f>
        <v>36893</v>
      </c>
      <c r="H43" s="242"/>
      <c r="I43" s="243"/>
      <c r="J43" s="244">
        <f>G43*F43</f>
        <v>23941.712350000002</v>
      </c>
      <c r="K43" s="245"/>
      <c r="L43" s="246">
        <f>J43+J44+J45</f>
        <v>107237.52640999999</v>
      </c>
      <c r="M43" s="247"/>
      <c r="N43" s="247"/>
      <c r="O43" s="247"/>
      <c r="P43" s="247"/>
      <c r="Q43" s="247"/>
      <c r="R43" s="247"/>
      <c r="S43" s="247"/>
      <c r="T43" s="247"/>
      <c r="U43" s="248"/>
      <c r="V43" s="168"/>
      <c r="W43" s="168"/>
      <c r="X43" s="78"/>
      <c r="Y43" s="168"/>
      <c r="Z43" s="168"/>
      <c r="AA43" s="103"/>
      <c r="AB43" s="168"/>
      <c r="AC43" s="104"/>
      <c r="AD43" s="168"/>
      <c r="AE43" s="99"/>
      <c r="AF43" s="99"/>
      <c r="AG43" s="69"/>
      <c r="AH43" s="105"/>
      <c r="AJ43" s="40"/>
      <c r="AK43" s="40"/>
    </row>
    <row r="44" spans="1:38" s="8" customFormat="1" ht="36.75" customHeight="1" thickBot="1">
      <c r="A44" s="238"/>
      <c r="B44" s="239"/>
      <c r="C44" s="240"/>
      <c r="D44" s="166" t="s">
        <v>35</v>
      </c>
      <c r="E44" s="101"/>
      <c r="F44" s="106">
        <v>0.88605</v>
      </c>
      <c r="G44" s="241">
        <f>K41</f>
        <v>59174</v>
      </c>
      <c r="H44" s="242"/>
      <c r="I44" s="243"/>
      <c r="J44" s="244">
        <f>G44*F44</f>
        <v>52431.1227</v>
      </c>
      <c r="K44" s="245"/>
      <c r="L44" s="249"/>
      <c r="M44" s="250"/>
      <c r="N44" s="250"/>
      <c r="O44" s="250"/>
      <c r="P44" s="250"/>
      <c r="Q44" s="250"/>
      <c r="R44" s="250"/>
      <c r="S44" s="250"/>
      <c r="T44" s="250"/>
      <c r="U44" s="251"/>
      <c r="V44" s="168"/>
      <c r="W44" s="168"/>
      <c r="X44" s="168"/>
      <c r="Y44" s="168"/>
      <c r="Z44" s="168"/>
      <c r="AA44" s="103"/>
      <c r="AB44" s="168"/>
      <c r="AC44" s="103"/>
      <c r="AD44" s="168"/>
      <c r="AE44" s="168"/>
      <c r="AF44" s="103"/>
      <c r="AG44" s="168"/>
      <c r="AH44" s="69"/>
      <c r="AK44" s="40"/>
    </row>
    <row r="45" spans="1:38" s="8" customFormat="1" ht="36.75" customHeight="1" thickBot="1">
      <c r="A45" s="238"/>
      <c r="B45" s="239"/>
      <c r="C45" s="240"/>
      <c r="D45" s="167" t="s">
        <v>36</v>
      </c>
      <c r="E45" s="107"/>
      <c r="F45" s="108">
        <v>1.2418400000000001</v>
      </c>
      <c r="G45" s="255">
        <f>L41</f>
        <v>24854</v>
      </c>
      <c r="H45" s="256"/>
      <c r="I45" s="257"/>
      <c r="J45" s="244">
        <f>G45*F45</f>
        <v>30864.691360000001</v>
      </c>
      <c r="K45" s="245"/>
      <c r="L45" s="252"/>
      <c r="M45" s="253"/>
      <c r="N45" s="253"/>
      <c r="O45" s="253"/>
      <c r="P45" s="253"/>
      <c r="Q45" s="253"/>
      <c r="R45" s="253"/>
      <c r="S45" s="253"/>
      <c r="T45" s="253"/>
      <c r="U45" s="254"/>
      <c r="V45" s="168"/>
      <c r="W45" s="168"/>
      <c r="X45" s="168"/>
      <c r="Y45" s="168"/>
      <c r="Z45" s="168"/>
      <c r="AA45" s="103"/>
      <c r="AB45" s="168"/>
      <c r="AC45" s="103"/>
      <c r="AD45" s="168"/>
      <c r="AE45" s="168"/>
      <c r="AF45" s="103" t="s">
        <v>40</v>
      </c>
      <c r="AG45" s="168"/>
      <c r="AH45" s="99"/>
      <c r="AK45" s="40"/>
    </row>
    <row r="46" spans="1:38" s="9" customFormat="1" ht="59.25" customHeight="1" thickBot="1">
      <c r="A46" s="259" t="s">
        <v>41</v>
      </c>
      <c r="B46" s="260"/>
      <c r="C46" s="260"/>
      <c r="D46" s="261"/>
      <c r="E46" s="101"/>
      <c r="F46" s="109">
        <v>12.67</v>
      </c>
      <c r="G46" s="259">
        <f>D41</f>
        <v>3104</v>
      </c>
      <c r="H46" s="260"/>
      <c r="I46" s="261"/>
      <c r="J46" s="262">
        <f>G46*F46</f>
        <v>39327.68</v>
      </c>
      <c r="K46" s="263"/>
      <c r="L46" s="264">
        <f>J46</f>
        <v>39327.68</v>
      </c>
      <c r="M46" s="265"/>
      <c r="N46" s="265"/>
      <c r="O46" s="265"/>
      <c r="P46" s="265"/>
      <c r="Q46" s="265"/>
      <c r="R46" s="265"/>
      <c r="S46" s="265"/>
      <c r="T46" s="265"/>
      <c r="U46" s="266"/>
      <c r="V46" s="168"/>
      <c r="W46" s="168"/>
      <c r="X46" s="168"/>
      <c r="Y46" s="168"/>
      <c r="Z46" s="168"/>
      <c r="AA46" s="103"/>
      <c r="AB46" s="168"/>
      <c r="AC46" s="103"/>
      <c r="AD46" s="168"/>
      <c r="AE46" s="168"/>
      <c r="AF46" s="103" t="s">
        <v>42</v>
      </c>
      <c r="AG46" s="168"/>
      <c r="AH46" s="168"/>
      <c r="AK46" s="41"/>
    </row>
    <row r="47" spans="1:38" s="9" customFormat="1" ht="69.75" customHeight="1" thickBot="1">
      <c r="A47" s="267" t="s">
        <v>43</v>
      </c>
      <c r="B47" s="268"/>
      <c r="C47" s="268"/>
      <c r="D47" s="269"/>
      <c r="E47" s="101"/>
      <c r="F47" s="110">
        <v>9.2469999999999999</v>
      </c>
      <c r="G47" s="270">
        <f>U41</f>
        <v>2448.6</v>
      </c>
      <c r="H47" s="271"/>
      <c r="I47" s="272"/>
      <c r="J47" s="270">
        <f>G47*F47</f>
        <v>22642.2042</v>
      </c>
      <c r="K47" s="272"/>
      <c r="L47" s="273">
        <f>J47</f>
        <v>22642.2042</v>
      </c>
      <c r="M47" s="274"/>
      <c r="N47" s="274"/>
      <c r="O47" s="274"/>
      <c r="P47" s="274"/>
      <c r="Q47" s="274"/>
      <c r="R47" s="274"/>
      <c r="S47" s="274"/>
      <c r="T47" s="274"/>
      <c r="U47" s="275"/>
      <c r="V47" s="168"/>
      <c r="W47" s="168"/>
      <c r="X47" s="168"/>
      <c r="Y47" s="168"/>
      <c r="Z47" s="168"/>
      <c r="AA47" s="103"/>
      <c r="AB47" s="168"/>
      <c r="AC47" s="103"/>
      <c r="AD47" s="80"/>
      <c r="AE47" s="168"/>
      <c r="AF47" s="103"/>
      <c r="AG47" s="168"/>
      <c r="AH47" s="168"/>
      <c r="AI47" s="112"/>
      <c r="AK47" s="41"/>
    </row>
    <row r="48" spans="1:38" s="7" customFormat="1" ht="27" customHeight="1">
      <c r="A48" s="78"/>
      <c r="B48" s="78"/>
      <c r="C48" s="78"/>
      <c r="D48" s="78"/>
      <c r="E48" s="79"/>
      <c r="F48" s="79"/>
      <c r="G48" s="78"/>
      <c r="H48" s="78"/>
      <c r="I48" s="78"/>
      <c r="J48" s="78"/>
      <c r="K48" s="78"/>
      <c r="L48" s="67"/>
      <c r="M48" s="67"/>
      <c r="N48" s="67"/>
      <c r="O48" s="67"/>
      <c r="P48" s="67"/>
      <c r="Q48" s="67"/>
      <c r="R48" s="80"/>
      <c r="S48" s="80"/>
      <c r="T48" s="80"/>
      <c r="U48" s="80"/>
      <c r="V48" s="111"/>
      <c r="W48" s="80"/>
      <c r="X48" s="80"/>
      <c r="Y48" s="80"/>
      <c r="Z48" s="80"/>
      <c r="AA48" s="78"/>
      <c r="AB48" s="80"/>
      <c r="AC48" s="78"/>
      <c r="AD48" s="66"/>
      <c r="AE48" s="80"/>
      <c r="AF48" s="78"/>
      <c r="AG48" s="80"/>
      <c r="AH48" s="168"/>
      <c r="AK48" s="39"/>
    </row>
    <row r="49" spans="1:37" s="6" customFormat="1" ht="18.75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9"/>
      <c r="AE49" s="66"/>
      <c r="AF49" s="66"/>
      <c r="AG49" s="66"/>
      <c r="AH49" s="168"/>
      <c r="AK49" s="3"/>
    </row>
    <row r="50" spans="1:37" s="6" customFormat="1">
      <c r="AD50" s="164"/>
      <c r="AH50" s="11"/>
      <c r="AK50" s="3"/>
    </row>
    <row r="51" spans="1:37" ht="18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B51" s="164"/>
      <c r="AC51" s="164"/>
      <c r="AD51" s="164"/>
      <c r="AE51" s="164"/>
      <c r="AF51" s="164"/>
      <c r="AG51" s="164"/>
      <c r="AH51" s="3"/>
      <c r="AI51" s="164"/>
      <c r="AJ51" s="164"/>
      <c r="AK51" s="56"/>
    </row>
    <row r="52" spans="1:37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B52" s="164"/>
      <c r="AC52" s="164"/>
      <c r="AD52" s="164"/>
      <c r="AE52" s="164"/>
      <c r="AF52" s="164"/>
      <c r="AG52" s="164"/>
      <c r="AH52" s="6"/>
      <c r="AI52" s="164"/>
      <c r="AJ52" s="164"/>
      <c r="AK52" s="56"/>
    </row>
    <row r="53" spans="1:37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56"/>
    </row>
    <row r="54" spans="1:37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56"/>
    </row>
    <row r="55" spans="1:37" ht="39" customHeight="1">
      <c r="A55" s="164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  <c r="AA55" s="258"/>
      <c r="AB55" s="164"/>
      <c r="AC55" s="164"/>
      <c r="AD55" s="164"/>
      <c r="AE55" s="164"/>
      <c r="AF55" s="164"/>
      <c r="AG55" s="164"/>
      <c r="AH55" s="164"/>
      <c r="AI55" s="164"/>
      <c r="AJ55" s="164"/>
      <c r="AK55" s="56"/>
    </row>
    <row r="56" spans="1:37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56"/>
    </row>
    <row r="57" spans="1:3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56"/>
    </row>
    <row r="58" spans="1:37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56"/>
    </row>
    <row r="59" spans="1:37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56"/>
    </row>
    <row r="60" spans="1:37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56"/>
    </row>
    <row r="61" spans="1:37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56"/>
    </row>
    <row r="62" spans="1:37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56"/>
    </row>
    <row r="63" spans="1:37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56"/>
    </row>
    <row r="64" spans="1:37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56"/>
    </row>
    <row r="65" spans="37:37">
      <c r="AK65" s="56"/>
    </row>
    <row r="66" spans="37:37">
      <c r="AK66" s="56"/>
    </row>
    <row r="67" spans="37:37">
      <c r="AK67" s="56"/>
    </row>
    <row r="68" spans="37:37">
      <c r="AK68" s="56"/>
    </row>
    <row r="69" spans="37:37">
      <c r="AK69" s="56"/>
    </row>
    <row r="70" spans="37:37">
      <c r="AK70" s="56"/>
    </row>
    <row r="71" spans="37:37">
      <c r="AK71" s="56"/>
    </row>
    <row r="72" spans="37:37">
      <c r="AK72" s="56"/>
    </row>
    <row r="73" spans="37:37">
      <c r="AK73" s="56"/>
    </row>
    <row r="74" spans="37:37">
      <c r="AK74" s="56"/>
    </row>
    <row r="75" spans="37:37">
      <c r="AK75" s="56"/>
    </row>
    <row r="76" spans="37:37">
      <c r="AK76" s="56"/>
    </row>
    <row r="77" spans="37:37">
      <c r="AK77" s="56"/>
    </row>
    <row r="78" spans="37:37">
      <c r="AK78" s="56"/>
    </row>
    <row r="79" spans="37:37">
      <c r="AK79" s="56"/>
    </row>
    <row r="80" spans="37:37">
      <c r="AK80" s="56"/>
    </row>
    <row r="81" spans="37:37">
      <c r="AK81" s="56"/>
    </row>
    <row r="82" spans="37:37">
      <c r="AK82" s="56"/>
    </row>
    <row r="83" spans="37:37">
      <c r="AK83" s="56"/>
    </row>
    <row r="84" spans="37:37">
      <c r="AK84" s="56"/>
    </row>
    <row r="85" spans="37:37">
      <c r="AK85" s="56"/>
    </row>
    <row r="86" spans="37:37">
      <c r="AK86" s="56"/>
    </row>
    <row r="87" spans="37:37">
      <c r="AK87" s="56"/>
    </row>
    <row r="88" spans="37:37">
      <c r="AK88" s="56"/>
    </row>
    <row r="89" spans="37:37">
      <c r="AK89" s="56"/>
    </row>
    <row r="90" spans="37:37">
      <c r="AK90" s="56"/>
    </row>
    <row r="91" spans="37:37">
      <c r="AK91" s="56"/>
    </row>
    <row r="92" spans="37:37">
      <c r="AK92" s="56"/>
    </row>
    <row r="93" spans="37:37">
      <c r="AK93" s="56"/>
    </row>
    <row r="94" spans="37:37">
      <c r="AK94" s="56"/>
    </row>
    <row r="95" spans="37:37">
      <c r="AK95" s="56"/>
    </row>
    <row r="96" spans="37:37">
      <c r="AK96" s="56"/>
    </row>
    <row r="97" spans="37:37">
      <c r="AK97" s="56"/>
    </row>
    <row r="98" spans="37:37">
      <c r="AK98" s="56"/>
    </row>
    <row r="99" spans="37:37">
      <c r="AK99" s="56"/>
    </row>
    <row r="100" spans="37:37">
      <c r="AK100" s="56"/>
    </row>
    <row r="101" spans="37:37">
      <c r="AK101" s="56"/>
    </row>
    <row r="102" spans="37:37">
      <c r="AK102" s="56"/>
    </row>
    <row r="103" spans="37:37">
      <c r="AK103" s="56"/>
    </row>
    <row r="104" spans="37:37">
      <c r="AK104" s="56"/>
    </row>
    <row r="105" spans="37:37">
      <c r="AK105" s="56"/>
    </row>
    <row r="106" spans="37:37">
      <c r="AK106" s="56"/>
    </row>
    <row r="107" spans="37:37">
      <c r="AK107" s="56"/>
    </row>
    <row r="108" spans="37:37">
      <c r="AK108" s="56"/>
    </row>
    <row r="109" spans="37:37">
      <c r="AK109" s="56"/>
    </row>
    <row r="110" spans="37:37">
      <c r="AK110" s="56"/>
    </row>
    <row r="111" spans="37:37">
      <c r="AK111" s="56"/>
    </row>
    <row r="112" spans="37:37">
      <c r="AK112" s="56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18" activePane="bottomRight" state="frozen"/>
      <selection pane="bottomRight" activeCell="B21" sqref="B21:H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76"/>
      <c r="B1" s="276"/>
      <c r="C1" s="277"/>
      <c r="D1" s="278" t="s">
        <v>44</v>
      </c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80"/>
      <c r="AA1" s="281"/>
      <c r="AB1" s="282"/>
      <c r="AC1" s="282"/>
    </row>
    <row r="2" spans="1:31" ht="41.25" customHeight="1" thickBot="1">
      <c r="A2" s="42"/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6"/>
      <c r="Q2" s="283">
        <v>803</v>
      </c>
      <c r="R2" s="284"/>
      <c r="S2" s="284"/>
      <c r="T2" s="284">
        <v>519</v>
      </c>
      <c r="U2" s="284"/>
      <c r="V2" s="284"/>
      <c r="W2" s="284">
        <v>800</v>
      </c>
      <c r="X2" s="284"/>
      <c r="Y2" s="284"/>
      <c r="Z2" s="284">
        <v>802</v>
      </c>
      <c r="AA2" s="284"/>
      <c r="AB2" s="287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44252</v>
      </c>
      <c r="B4" s="18">
        <v>85</v>
      </c>
      <c r="C4" s="16">
        <f t="shared" ref="C4:C12" si="0">IF(AC4&gt;0,((B4-R4)+(S4-B5)),IF(B5=0, ,(B4-B5)))</f>
        <v>3</v>
      </c>
      <c r="D4" s="18">
        <v>85</v>
      </c>
      <c r="E4" s="16">
        <f t="shared" ref="E4:E12" si="1">IF(AC4&gt;0,((D4-U4)+(V4-D5)),IF(D5=0, ,(D4-D5)))</f>
        <v>0</v>
      </c>
      <c r="F4" s="18">
        <v>81</v>
      </c>
      <c r="G4" s="16">
        <f t="shared" ref="G4:G12" si="2">IF(AC4&gt;0,((F4-X4)+(Y4-F5)),IF(F5=0, ,(F4-F5)))</f>
        <v>1</v>
      </c>
      <c r="H4" s="18">
        <v>83</v>
      </c>
      <c r="I4" s="16">
        <f t="shared" ref="I4:I9" si="3">IF(AC4&gt;0,((H4-AA4)+(AB4-H5)),IF(H5=0, ,(H4-H5)))</f>
        <v>3</v>
      </c>
      <c r="J4" s="16">
        <f t="shared" ref="J4:J9" si="4">B4+D4+F4+H4</f>
        <v>334</v>
      </c>
      <c r="K4" s="16">
        <f t="shared" ref="K4:K9" si="5">J4/4</f>
        <v>83.5</v>
      </c>
      <c r="L4" s="16">
        <f t="shared" ref="L4:L9" si="6">IF(AC4&gt;0,((K4-AD4)+(AE4-K5)),IF(K5=0, ,(K4-K5)))</f>
        <v>1.75</v>
      </c>
      <c r="M4" s="16">
        <f t="shared" ref="M4:M42" si="7">7000*4</f>
        <v>28000</v>
      </c>
      <c r="N4" s="16">
        <f t="shared" ref="N4:N9" si="8">L4*M4/100</f>
        <v>490</v>
      </c>
      <c r="O4" s="16">
        <f t="shared" ref="O4:O9" si="9">N4*0.53</f>
        <v>259.7</v>
      </c>
      <c r="P4" s="19">
        <f t="shared" ref="P4:P9" si="10">O4*9.247</f>
        <v>2401.4458999999997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44253</v>
      </c>
      <c r="B5" s="18">
        <v>82</v>
      </c>
      <c r="C5" s="16">
        <f t="shared" si="0"/>
        <v>2</v>
      </c>
      <c r="D5" s="18">
        <v>85</v>
      </c>
      <c r="E5" s="16">
        <f t="shared" si="1"/>
        <v>5</v>
      </c>
      <c r="F5" s="18">
        <v>80</v>
      </c>
      <c r="G5" s="16">
        <f t="shared" si="2"/>
        <v>4</v>
      </c>
      <c r="H5" s="18">
        <v>80</v>
      </c>
      <c r="I5" s="16">
        <f t="shared" si="3"/>
        <v>0</v>
      </c>
      <c r="J5" s="16">
        <f t="shared" si="4"/>
        <v>327</v>
      </c>
      <c r="K5" s="16">
        <f t="shared" si="5"/>
        <v>81.75</v>
      </c>
      <c r="L5" s="16">
        <f t="shared" si="6"/>
        <v>2.75</v>
      </c>
      <c r="M5" s="16">
        <f t="shared" si="7"/>
        <v>28000</v>
      </c>
      <c r="N5" s="16">
        <f t="shared" si="8"/>
        <v>770</v>
      </c>
      <c r="O5" s="16">
        <f t="shared" si="9"/>
        <v>408.1</v>
      </c>
      <c r="P5" s="19">
        <f t="shared" si="10"/>
        <v>3773.7007000000003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44254</v>
      </c>
      <c r="B6" s="18">
        <v>80</v>
      </c>
      <c r="C6" s="16">
        <f t="shared" si="0"/>
        <v>2</v>
      </c>
      <c r="D6" s="18">
        <v>80</v>
      </c>
      <c r="E6" s="16">
        <f t="shared" si="1"/>
        <v>1</v>
      </c>
      <c r="F6" s="18">
        <v>76</v>
      </c>
      <c r="G6" s="16">
        <f t="shared" si="2"/>
        <v>2</v>
      </c>
      <c r="H6" s="18">
        <v>80</v>
      </c>
      <c r="I6" s="16">
        <f t="shared" si="3"/>
        <v>5</v>
      </c>
      <c r="J6" s="16">
        <f t="shared" si="4"/>
        <v>316</v>
      </c>
      <c r="K6" s="16">
        <f t="shared" si="5"/>
        <v>79</v>
      </c>
      <c r="L6" s="16">
        <f t="shared" si="6"/>
        <v>2.5</v>
      </c>
      <c r="M6" s="16">
        <f t="shared" si="7"/>
        <v>28000</v>
      </c>
      <c r="N6" s="16">
        <f t="shared" si="8"/>
        <v>700</v>
      </c>
      <c r="O6" s="16">
        <f t="shared" si="9"/>
        <v>371</v>
      </c>
      <c r="P6" s="19">
        <f t="shared" si="10"/>
        <v>3430.6370000000002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44255</v>
      </c>
      <c r="B7" s="18">
        <v>78</v>
      </c>
      <c r="C7" s="16">
        <f t="shared" si="0"/>
        <v>3</v>
      </c>
      <c r="D7" s="18">
        <v>79</v>
      </c>
      <c r="E7" s="16">
        <f t="shared" si="1"/>
        <v>1</v>
      </c>
      <c r="F7" s="18">
        <v>74</v>
      </c>
      <c r="G7" s="16">
        <f t="shared" si="2"/>
        <v>2</v>
      </c>
      <c r="H7" s="18">
        <v>75</v>
      </c>
      <c r="I7" s="16">
        <f t="shared" si="3"/>
        <v>5</v>
      </c>
      <c r="J7" s="16">
        <f t="shared" si="4"/>
        <v>306</v>
      </c>
      <c r="K7" s="16">
        <f t="shared" si="5"/>
        <v>76.5</v>
      </c>
      <c r="L7" s="16">
        <f t="shared" si="6"/>
        <v>2.75</v>
      </c>
      <c r="M7" s="16">
        <f t="shared" si="7"/>
        <v>28000</v>
      </c>
      <c r="N7" s="16">
        <f t="shared" si="8"/>
        <v>770</v>
      </c>
      <c r="O7" s="16">
        <f t="shared" si="9"/>
        <v>408.1</v>
      </c>
      <c r="P7" s="19">
        <f t="shared" si="10"/>
        <v>3773.7007000000003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44256</v>
      </c>
      <c r="B8" s="18">
        <v>75</v>
      </c>
      <c r="C8" s="16">
        <f t="shared" si="0"/>
        <v>3</v>
      </c>
      <c r="D8" s="18">
        <v>78</v>
      </c>
      <c r="E8" s="16">
        <f t="shared" si="1"/>
        <v>3</v>
      </c>
      <c r="F8" s="18">
        <v>72</v>
      </c>
      <c r="G8" s="16">
        <f t="shared" si="2"/>
        <v>1</v>
      </c>
      <c r="H8" s="18">
        <v>70</v>
      </c>
      <c r="I8" s="16">
        <f t="shared" si="3"/>
        <v>0</v>
      </c>
      <c r="J8" s="16">
        <f t="shared" si="4"/>
        <v>295</v>
      </c>
      <c r="K8" s="16">
        <f t="shared" si="5"/>
        <v>73.75</v>
      </c>
      <c r="L8" s="16">
        <f t="shared" si="6"/>
        <v>1.75</v>
      </c>
      <c r="M8" s="16">
        <f t="shared" si="7"/>
        <v>28000</v>
      </c>
      <c r="N8" s="16">
        <f t="shared" si="8"/>
        <v>490</v>
      </c>
      <c r="O8" s="16">
        <f t="shared" si="9"/>
        <v>259.7</v>
      </c>
      <c r="P8" s="19">
        <f t="shared" si="10"/>
        <v>2401.4458999999997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44257</v>
      </c>
      <c r="B9" s="18">
        <v>72</v>
      </c>
      <c r="C9" s="16">
        <f t="shared" si="0"/>
        <v>1</v>
      </c>
      <c r="D9" s="18">
        <v>75</v>
      </c>
      <c r="E9" s="16">
        <f t="shared" si="1"/>
        <v>2</v>
      </c>
      <c r="F9" s="18">
        <v>71</v>
      </c>
      <c r="G9" s="16">
        <f t="shared" si="2"/>
        <v>2</v>
      </c>
      <c r="H9" s="18">
        <v>70</v>
      </c>
      <c r="I9" s="16">
        <f t="shared" si="3"/>
        <v>0</v>
      </c>
      <c r="J9" s="16">
        <f t="shared" si="4"/>
        <v>288</v>
      </c>
      <c r="K9" s="16">
        <f t="shared" si="5"/>
        <v>72</v>
      </c>
      <c r="L9" s="16">
        <f t="shared" si="6"/>
        <v>1.25</v>
      </c>
      <c r="M9" s="16">
        <f t="shared" si="7"/>
        <v>28000</v>
      </c>
      <c r="N9" s="16">
        <f t="shared" si="8"/>
        <v>350</v>
      </c>
      <c r="O9" s="16">
        <f t="shared" si="9"/>
        <v>185.5</v>
      </c>
      <c r="P9" s="19">
        <f t="shared" si="10"/>
        <v>1715.3185000000001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44258</v>
      </c>
      <c r="B10" s="18">
        <v>71</v>
      </c>
      <c r="C10" s="16">
        <f t="shared" si="0"/>
        <v>1</v>
      </c>
      <c r="D10" s="18">
        <v>73</v>
      </c>
      <c r="E10" s="16">
        <f t="shared" si="1"/>
        <v>-1</v>
      </c>
      <c r="F10" s="18">
        <v>69</v>
      </c>
      <c r="G10" s="16">
        <f t="shared" si="2"/>
        <v>1</v>
      </c>
      <c r="H10" s="18">
        <v>70</v>
      </c>
      <c r="I10" s="16">
        <f t="shared" ref="I10:I42" si="15">IF(AC10&gt;0,((H10-AA10)+(AB10-H11)),IF(H11=0, ,(H10-H11)))</f>
        <v>3</v>
      </c>
      <c r="J10" s="16">
        <f t="shared" ref="J10:J42" si="16">B10+D10+F10+H10</f>
        <v>283</v>
      </c>
      <c r="K10" s="16">
        <f t="shared" ref="K10:K42" si="17">J10/4</f>
        <v>70.75</v>
      </c>
      <c r="L10" s="16">
        <f t="shared" ref="L10:L42" si="18">IF(AC10&gt;0,((K10-AD10)+(AE10-K11)),IF(K11=0, ,(K10-K11)))</f>
        <v>1</v>
      </c>
      <c r="M10" s="16">
        <f t="shared" si="7"/>
        <v>28000</v>
      </c>
      <c r="N10" s="16">
        <f t="shared" ref="N10:N42" si="19">L10*M10/100</f>
        <v>280</v>
      </c>
      <c r="O10" s="16">
        <f t="shared" ref="O10:O42" si="20">N10*0.53</f>
        <v>148.4</v>
      </c>
      <c r="P10" s="19">
        <f t="shared" ref="P10:P42" si="21">O10*9.247</f>
        <v>1372.2547999999999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>
        <f t="shared" si="13"/>
        <v>0</v>
      </c>
      <c r="AD10" s="43">
        <f>(R10+U10+X10+AA10)/4</f>
        <v>0</v>
      </c>
      <c r="AE10" s="43">
        <f>(S10+V10+Y10+AB10)/4</f>
        <v>0</v>
      </c>
    </row>
    <row r="11" spans="1:31" ht="32.25" customHeight="1">
      <c r="A11" s="17">
        <f t="shared" si="14"/>
        <v>44259</v>
      </c>
      <c r="B11" s="18">
        <v>70</v>
      </c>
      <c r="C11" s="16">
        <f t="shared" si="0"/>
        <v>0</v>
      </c>
      <c r="D11" s="18">
        <v>74</v>
      </c>
      <c r="E11" s="16">
        <f t="shared" si="1"/>
        <v>0</v>
      </c>
      <c r="F11" s="18">
        <v>68</v>
      </c>
      <c r="G11" s="16">
        <f t="shared" si="2"/>
        <v>2</v>
      </c>
      <c r="H11" s="18">
        <v>67</v>
      </c>
      <c r="I11" s="16">
        <f t="shared" si="15"/>
        <v>2</v>
      </c>
      <c r="J11" s="16">
        <f t="shared" si="16"/>
        <v>279</v>
      </c>
      <c r="K11" s="16">
        <f t="shared" si="17"/>
        <v>69.75</v>
      </c>
      <c r="L11" s="16">
        <f t="shared" si="18"/>
        <v>1</v>
      </c>
      <c r="M11" s="16">
        <f t="shared" si="7"/>
        <v>28000</v>
      </c>
      <c r="N11" s="16">
        <f t="shared" si="19"/>
        <v>280</v>
      </c>
      <c r="O11" s="16">
        <f t="shared" si="20"/>
        <v>148.4</v>
      </c>
      <c r="P11" s="19">
        <f>O11*9.247</f>
        <v>1372.2547999999999</v>
      </c>
      <c r="Q11" s="16">
        <v>1526</v>
      </c>
      <c r="R11" s="16">
        <v>70</v>
      </c>
      <c r="S11" s="16">
        <v>85</v>
      </c>
      <c r="T11" s="16">
        <v>1277</v>
      </c>
      <c r="U11" s="16">
        <v>74</v>
      </c>
      <c r="V11" s="16">
        <v>85</v>
      </c>
      <c r="W11" s="16">
        <v>1590</v>
      </c>
      <c r="X11" s="16">
        <v>67</v>
      </c>
      <c r="Y11" s="16">
        <v>85</v>
      </c>
      <c r="Z11" s="16">
        <v>1417</v>
      </c>
      <c r="AA11" s="16">
        <v>67</v>
      </c>
      <c r="AB11" s="16">
        <v>85</v>
      </c>
      <c r="AC11" s="16">
        <f t="shared" si="13"/>
        <v>5810</v>
      </c>
      <c r="AD11" s="43">
        <f t="shared" ref="AD11:AE13" si="22">(R11+U11+X11+AA11)/4</f>
        <v>69.5</v>
      </c>
      <c r="AE11" s="43">
        <f t="shared" si="22"/>
        <v>85</v>
      </c>
    </row>
    <row r="12" spans="1:31" ht="32.25" customHeight="1">
      <c r="A12" s="17">
        <f t="shared" si="14"/>
        <v>44260</v>
      </c>
      <c r="B12" s="18">
        <v>85</v>
      </c>
      <c r="C12" s="16">
        <f t="shared" si="0"/>
        <v>1</v>
      </c>
      <c r="D12" s="18">
        <v>85</v>
      </c>
      <c r="E12" s="16">
        <f t="shared" si="1"/>
        <v>0</v>
      </c>
      <c r="F12" s="18">
        <v>84</v>
      </c>
      <c r="G12" s="16">
        <f t="shared" si="2"/>
        <v>0</v>
      </c>
      <c r="H12" s="18">
        <v>83</v>
      </c>
      <c r="I12" s="16">
        <f t="shared" si="15"/>
        <v>0</v>
      </c>
      <c r="J12" s="16">
        <f t="shared" si="16"/>
        <v>337</v>
      </c>
      <c r="K12" s="16">
        <f t="shared" si="17"/>
        <v>84.25</v>
      </c>
      <c r="L12" s="16">
        <f t="shared" si="18"/>
        <v>0.25</v>
      </c>
      <c r="M12" s="16">
        <f t="shared" si="7"/>
        <v>28000</v>
      </c>
      <c r="N12" s="16">
        <f t="shared" si="19"/>
        <v>70</v>
      </c>
      <c r="O12" s="16">
        <f t="shared" si="20"/>
        <v>37.1</v>
      </c>
      <c r="P12" s="19">
        <f t="shared" ref="P12:P15" si="23">O12*9.247</f>
        <v>343.06369999999998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22"/>
        <v>0</v>
      </c>
      <c r="AE12" s="43">
        <f t="shared" si="22"/>
        <v>0</v>
      </c>
    </row>
    <row r="13" spans="1:31" ht="32.25" customHeight="1">
      <c r="A13" s="17">
        <f t="shared" si="14"/>
        <v>44261</v>
      </c>
      <c r="B13" s="159">
        <v>84</v>
      </c>
      <c r="C13" s="160">
        <v>0</v>
      </c>
      <c r="D13" s="159">
        <v>85</v>
      </c>
      <c r="E13" s="160">
        <v>1</v>
      </c>
      <c r="F13" s="159">
        <v>84</v>
      </c>
      <c r="G13" s="160">
        <v>0</v>
      </c>
      <c r="H13" s="159">
        <v>83</v>
      </c>
      <c r="I13" s="16">
        <v>0</v>
      </c>
      <c r="J13" s="16">
        <f t="shared" si="16"/>
        <v>336</v>
      </c>
      <c r="K13" s="16">
        <f t="shared" si="17"/>
        <v>84</v>
      </c>
      <c r="L13" s="16">
        <f t="shared" si="18"/>
        <v>0.25</v>
      </c>
      <c r="M13" s="16">
        <f t="shared" si="7"/>
        <v>28000</v>
      </c>
      <c r="N13" s="16">
        <f t="shared" si="19"/>
        <v>70</v>
      </c>
      <c r="O13" s="16">
        <f t="shared" si="20"/>
        <v>37.1</v>
      </c>
      <c r="P13" s="19">
        <f t="shared" si="23"/>
        <v>343.06369999999998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22"/>
        <v>0</v>
      </c>
      <c r="AE13" s="43">
        <f t="shared" si="22"/>
        <v>0</v>
      </c>
    </row>
    <row r="14" spans="1:31" ht="32.25" customHeight="1">
      <c r="A14" s="17">
        <f t="shared" si="14"/>
        <v>44262</v>
      </c>
      <c r="B14" s="159">
        <v>84</v>
      </c>
      <c r="C14" s="160">
        <v>0</v>
      </c>
      <c r="D14" s="159">
        <v>84</v>
      </c>
      <c r="E14" s="160">
        <v>0</v>
      </c>
      <c r="F14" s="159">
        <v>84</v>
      </c>
      <c r="G14" s="160">
        <v>1</v>
      </c>
      <c r="H14" s="159">
        <v>83</v>
      </c>
      <c r="I14" s="16">
        <f t="shared" si="15"/>
        <v>3</v>
      </c>
      <c r="J14" s="16">
        <f t="shared" si="16"/>
        <v>335</v>
      </c>
      <c r="K14" s="16">
        <f t="shared" si="17"/>
        <v>83.75</v>
      </c>
      <c r="L14" s="16">
        <f t="shared" si="18"/>
        <v>1</v>
      </c>
      <c r="M14" s="16">
        <f t="shared" si="7"/>
        <v>28000</v>
      </c>
      <c r="N14" s="16">
        <f t="shared" si="19"/>
        <v>280</v>
      </c>
      <c r="O14" s="16">
        <f t="shared" si="20"/>
        <v>148.4</v>
      </c>
      <c r="P14" s="19">
        <f t="shared" si="23"/>
        <v>1372.2547999999999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4">(R14+U14+X14+AA14)/4</f>
        <v>0</v>
      </c>
      <c r="AE14" s="43">
        <f t="shared" ref="AE14:AE42" si="25">(S14+V14+Y14+AB14)/4</f>
        <v>0</v>
      </c>
    </row>
    <row r="15" spans="1:31" ht="32.25" customHeight="1">
      <c r="A15" s="17">
        <f t="shared" si="14"/>
        <v>44263</v>
      </c>
      <c r="B15" s="159">
        <v>84</v>
      </c>
      <c r="C15" s="160">
        <v>0</v>
      </c>
      <c r="D15" s="159">
        <v>84</v>
      </c>
      <c r="E15" s="160">
        <v>0</v>
      </c>
      <c r="F15" s="159">
        <v>83</v>
      </c>
      <c r="G15" s="160">
        <v>0</v>
      </c>
      <c r="H15" s="159">
        <v>80</v>
      </c>
      <c r="I15" s="16">
        <v>0</v>
      </c>
      <c r="J15" s="16">
        <f t="shared" si="16"/>
        <v>331</v>
      </c>
      <c r="K15" s="16">
        <f t="shared" si="17"/>
        <v>82.75</v>
      </c>
      <c r="L15" s="16">
        <f t="shared" si="18"/>
        <v>1.25</v>
      </c>
      <c r="M15" s="16">
        <f t="shared" si="7"/>
        <v>28000</v>
      </c>
      <c r="N15" s="16">
        <f t="shared" si="19"/>
        <v>350</v>
      </c>
      <c r="O15" s="16">
        <f t="shared" si="20"/>
        <v>185.5</v>
      </c>
      <c r="P15" s="19">
        <f t="shared" si="23"/>
        <v>1715.3185000000001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4"/>
        <v>0</v>
      </c>
      <c r="AE15" s="43">
        <f t="shared" si="25"/>
        <v>0</v>
      </c>
    </row>
    <row r="16" spans="1:31" ht="32.25" customHeight="1">
      <c r="A16" s="17">
        <f t="shared" si="14"/>
        <v>44264</v>
      </c>
      <c r="B16" s="18">
        <v>82</v>
      </c>
      <c r="C16" s="16">
        <f t="shared" ref="C16:C21" si="26">IF(AC16&gt;0,((B16-R16)+(S16-B17)),IF(B17=0, ,(B16-B17)))</f>
        <v>2</v>
      </c>
      <c r="D16" s="18">
        <v>84</v>
      </c>
      <c r="E16" s="16">
        <f t="shared" ref="E16:E21" si="27">IF(AC16&gt;0,((D16-U16)+(V16-D17)),IF(D17=0, ,(D16-D17)))</f>
        <v>1</v>
      </c>
      <c r="F16" s="18">
        <v>80</v>
      </c>
      <c r="G16" s="16">
        <f t="shared" ref="G16:G21" si="28">IF(AC16&gt;0,((F16-X16)+(Y16-F17)),IF(F17=0, ,(F16-F17)))</f>
        <v>0</v>
      </c>
      <c r="H16" s="18">
        <v>80</v>
      </c>
      <c r="I16" s="16">
        <f t="shared" si="15"/>
        <v>2</v>
      </c>
      <c r="J16" s="16">
        <f t="shared" si="16"/>
        <v>326</v>
      </c>
      <c r="K16" s="16">
        <f t="shared" si="17"/>
        <v>81.5</v>
      </c>
      <c r="L16" s="16">
        <f t="shared" si="18"/>
        <v>1.25</v>
      </c>
      <c r="M16" s="16">
        <f t="shared" si="7"/>
        <v>28000</v>
      </c>
      <c r="N16" s="16">
        <f t="shared" si="19"/>
        <v>350</v>
      </c>
      <c r="O16" s="16">
        <f t="shared" si="20"/>
        <v>185.5</v>
      </c>
      <c r="P16" s="19">
        <f t="shared" si="21"/>
        <v>1715.3185000000001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4"/>
        <v>0</v>
      </c>
      <c r="AE16" s="43">
        <f t="shared" si="25"/>
        <v>0</v>
      </c>
    </row>
    <row r="17" spans="1:31" ht="32.25" customHeight="1">
      <c r="A17" s="17">
        <f t="shared" si="14"/>
        <v>44265</v>
      </c>
      <c r="B17" s="18">
        <v>80</v>
      </c>
      <c r="C17" s="16">
        <f t="shared" si="26"/>
        <v>1</v>
      </c>
      <c r="D17" s="18">
        <v>83</v>
      </c>
      <c r="E17" s="16">
        <f t="shared" si="27"/>
        <v>3</v>
      </c>
      <c r="F17" s="18">
        <v>80</v>
      </c>
      <c r="G17" s="16">
        <f t="shared" si="28"/>
        <v>5</v>
      </c>
      <c r="H17" s="18">
        <v>78</v>
      </c>
      <c r="I17" s="16">
        <f t="shared" si="15"/>
        <v>3</v>
      </c>
      <c r="J17" s="16">
        <f t="shared" si="16"/>
        <v>321</v>
      </c>
      <c r="K17" s="16">
        <f t="shared" si="17"/>
        <v>80.25</v>
      </c>
      <c r="L17" s="16">
        <f t="shared" si="18"/>
        <v>3</v>
      </c>
      <c r="M17" s="16">
        <f t="shared" si="7"/>
        <v>28000</v>
      </c>
      <c r="N17" s="16">
        <f t="shared" si="19"/>
        <v>840</v>
      </c>
      <c r="O17" s="16">
        <f t="shared" si="20"/>
        <v>445.20000000000005</v>
      </c>
      <c r="P17" s="19">
        <f t="shared" si="21"/>
        <v>4116.7644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f t="shared" si="13"/>
        <v>0</v>
      </c>
      <c r="AD17" s="43">
        <f t="shared" si="24"/>
        <v>0</v>
      </c>
      <c r="AE17" s="43">
        <f t="shared" si="25"/>
        <v>0</v>
      </c>
    </row>
    <row r="18" spans="1:31" ht="32.25" customHeight="1">
      <c r="A18" s="17">
        <f t="shared" si="14"/>
        <v>44266</v>
      </c>
      <c r="B18" s="18">
        <v>79</v>
      </c>
      <c r="C18" s="16">
        <f t="shared" si="26"/>
        <v>3</v>
      </c>
      <c r="D18" s="18">
        <v>80</v>
      </c>
      <c r="E18" s="16">
        <f t="shared" si="27"/>
        <v>2</v>
      </c>
      <c r="F18" s="18">
        <v>75</v>
      </c>
      <c r="G18" s="16">
        <f t="shared" si="28"/>
        <v>1</v>
      </c>
      <c r="H18" s="18">
        <v>75</v>
      </c>
      <c r="I18" s="16">
        <f t="shared" si="15"/>
        <v>0</v>
      </c>
      <c r="J18" s="16">
        <f t="shared" si="16"/>
        <v>309</v>
      </c>
      <c r="K18" s="16">
        <f t="shared" si="17"/>
        <v>77.25</v>
      </c>
      <c r="L18" s="16">
        <f t="shared" si="18"/>
        <v>1.5</v>
      </c>
      <c r="M18" s="16">
        <f t="shared" si="7"/>
        <v>28000</v>
      </c>
      <c r="N18" s="16">
        <f t="shared" si="19"/>
        <v>420</v>
      </c>
      <c r="O18" s="16">
        <f t="shared" si="20"/>
        <v>222.60000000000002</v>
      </c>
      <c r="P18" s="19">
        <f t="shared" si="21"/>
        <v>2058.3822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4"/>
        <v>0</v>
      </c>
      <c r="AE18" s="43">
        <f t="shared" si="25"/>
        <v>0</v>
      </c>
    </row>
    <row r="19" spans="1:31" ht="32.25" customHeight="1">
      <c r="A19" s="17">
        <f t="shared" si="14"/>
        <v>44267</v>
      </c>
      <c r="B19" s="18">
        <v>76</v>
      </c>
      <c r="C19" s="16">
        <f t="shared" si="26"/>
        <v>2</v>
      </c>
      <c r="D19" s="18">
        <v>78</v>
      </c>
      <c r="E19" s="16">
        <f t="shared" si="27"/>
        <v>1</v>
      </c>
      <c r="F19" s="18">
        <v>74</v>
      </c>
      <c r="G19" s="16">
        <f t="shared" si="28"/>
        <v>3</v>
      </c>
      <c r="H19" s="18">
        <v>75</v>
      </c>
      <c r="I19" s="16">
        <f t="shared" si="15"/>
        <v>1</v>
      </c>
      <c r="J19" s="16">
        <f t="shared" si="16"/>
        <v>303</v>
      </c>
      <c r="K19" s="16">
        <f t="shared" si="17"/>
        <v>75.75</v>
      </c>
      <c r="L19" s="16">
        <f t="shared" si="18"/>
        <v>1.75</v>
      </c>
      <c r="M19" s="16">
        <f t="shared" si="7"/>
        <v>28000</v>
      </c>
      <c r="N19" s="16">
        <f t="shared" si="19"/>
        <v>490</v>
      </c>
      <c r="O19" s="16">
        <f t="shared" si="20"/>
        <v>259.7</v>
      </c>
      <c r="P19" s="19">
        <f t="shared" si="21"/>
        <v>2401.4458999999997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4"/>
        <v>0</v>
      </c>
      <c r="AE19" s="43">
        <f t="shared" si="25"/>
        <v>0</v>
      </c>
    </row>
    <row r="20" spans="1:31" ht="32.25" customHeight="1">
      <c r="A20" s="17">
        <f t="shared" si="14"/>
        <v>44268</v>
      </c>
      <c r="B20" s="18">
        <v>74</v>
      </c>
      <c r="C20" s="16">
        <f t="shared" si="26"/>
        <v>1</v>
      </c>
      <c r="D20" s="18">
        <v>77</v>
      </c>
      <c r="E20" s="16">
        <f t="shared" si="27"/>
        <v>1</v>
      </c>
      <c r="F20" s="18">
        <v>71</v>
      </c>
      <c r="G20" s="16">
        <f t="shared" si="28"/>
        <v>1</v>
      </c>
      <c r="H20" s="18">
        <v>74</v>
      </c>
      <c r="I20" s="16">
        <f t="shared" si="15"/>
        <v>2</v>
      </c>
      <c r="J20" s="16">
        <f t="shared" si="16"/>
        <v>296</v>
      </c>
      <c r="K20" s="16">
        <f t="shared" si="17"/>
        <v>74</v>
      </c>
      <c r="L20" s="16">
        <f t="shared" si="18"/>
        <v>1.25</v>
      </c>
      <c r="M20" s="16">
        <f t="shared" si="7"/>
        <v>28000</v>
      </c>
      <c r="N20" s="16">
        <f t="shared" si="19"/>
        <v>350</v>
      </c>
      <c r="O20" s="16">
        <f t="shared" si="20"/>
        <v>185.5</v>
      </c>
      <c r="P20" s="19">
        <f t="shared" si="21"/>
        <v>1715.3185000000001</v>
      </c>
      <c r="Q20" s="16">
        <v>1036</v>
      </c>
      <c r="R20" s="16">
        <v>74</v>
      </c>
      <c r="S20" s="16">
        <v>85</v>
      </c>
      <c r="T20" s="16">
        <v>934</v>
      </c>
      <c r="U20" s="16">
        <v>77</v>
      </c>
      <c r="V20" s="16">
        <v>85</v>
      </c>
      <c r="W20" s="16">
        <v>1237</v>
      </c>
      <c r="X20" s="16">
        <v>71</v>
      </c>
      <c r="Y20" s="16">
        <v>85</v>
      </c>
      <c r="Z20" s="16">
        <v>1225</v>
      </c>
      <c r="AA20" s="16">
        <v>74</v>
      </c>
      <c r="AB20" s="16">
        <v>85</v>
      </c>
      <c r="AC20" s="16">
        <f t="shared" si="13"/>
        <v>4432</v>
      </c>
      <c r="AD20" s="43">
        <f t="shared" si="24"/>
        <v>74</v>
      </c>
      <c r="AE20" s="43">
        <f t="shared" si="25"/>
        <v>85</v>
      </c>
    </row>
    <row r="21" spans="1:31" ht="32.25" customHeight="1">
      <c r="A21" s="17">
        <f t="shared" si="14"/>
        <v>44269</v>
      </c>
      <c r="B21" s="18">
        <v>84</v>
      </c>
      <c r="C21" s="16">
        <f t="shared" si="26"/>
        <v>0</v>
      </c>
      <c r="D21" s="18">
        <v>84</v>
      </c>
      <c r="E21" s="16">
        <f t="shared" si="27"/>
        <v>0</v>
      </c>
      <c r="F21" s="18">
        <v>84</v>
      </c>
      <c r="G21" s="16">
        <f t="shared" si="28"/>
        <v>0</v>
      </c>
      <c r="H21" s="18">
        <v>83</v>
      </c>
      <c r="I21" s="16">
        <f t="shared" si="15"/>
        <v>0</v>
      </c>
      <c r="J21" s="16">
        <f t="shared" si="16"/>
        <v>335</v>
      </c>
      <c r="K21" s="16">
        <f t="shared" si="17"/>
        <v>83.75</v>
      </c>
      <c r="L21" s="16">
        <f t="shared" si="18"/>
        <v>0</v>
      </c>
      <c r="M21" s="16">
        <f t="shared" si="7"/>
        <v>28000</v>
      </c>
      <c r="N21" s="16">
        <f t="shared" si="19"/>
        <v>0</v>
      </c>
      <c r="O21" s="16">
        <f t="shared" si="20"/>
        <v>0</v>
      </c>
      <c r="P21" s="19">
        <f t="shared" si="21"/>
        <v>0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4"/>
        <v>0</v>
      </c>
      <c r="AE21" s="43">
        <f t="shared" si="25"/>
        <v>0</v>
      </c>
    </row>
    <row r="22" spans="1:31" ht="32.25" customHeight="1">
      <c r="A22" s="17">
        <f t="shared" si="14"/>
        <v>44270</v>
      </c>
      <c r="B22" s="18"/>
      <c r="C22" s="16">
        <f t="shared" ref="C10:C42" si="29">IF(AC22&gt;0,((B22-R22)+(S22-B23)),IF(B23=0, ,(B22-B23)))</f>
        <v>0</v>
      </c>
      <c r="D22" s="18"/>
      <c r="E22" s="16">
        <f t="shared" ref="E10:E42" si="30">IF(AC22&gt;0,((D22-U22)+(V22-D23)),IF(D23=0, ,(D22-D23)))</f>
        <v>0</v>
      </c>
      <c r="F22" s="18"/>
      <c r="G22" s="16">
        <f t="shared" ref="G10:G42" si="31">IF(AC22&gt;0,((F22-X22)+(Y22-F23)),IF(F23=0, ,(F22-F23)))</f>
        <v>0</v>
      </c>
      <c r="H22" s="18"/>
      <c r="I22" s="16">
        <f t="shared" si="15"/>
        <v>0</v>
      </c>
      <c r="J22" s="16">
        <f t="shared" si="16"/>
        <v>0</v>
      </c>
      <c r="K22" s="16">
        <f t="shared" si="17"/>
        <v>0</v>
      </c>
      <c r="L22" s="16">
        <f t="shared" si="18"/>
        <v>0</v>
      </c>
      <c r="M22" s="16">
        <f t="shared" si="7"/>
        <v>28000</v>
      </c>
      <c r="N22" s="16">
        <f t="shared" si="19"/>
        <v>0</v>
      </c>
      <c r="O22" s="16">
        <f t="shared" si="20"/>
        <v>0</v>
      </c>
      <c r="P22" s="19">
        <f t="shared" si="21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4"/>
        <v>0</v>
      </c>
      <c r="AE22" s="43">
        <f t="shared" si="25"/>
        <v>0</v>
      </c>
    </row>
    <row r="23" spans="1:31" ht="32.25" customHeight="1">
      <c r="A23" s="17">
        <f t="shared" si="14"/>
        <v>44271</v>
      </c>
      <c r="B23" s="18"/>
      <c r="C23" s="16">
        <f t="shared" si="29"/>
        <v>0</v>
      </c>
      <c r="D23" s="18"/>
      <c r="E23" s="16">
        <f t="shared" si="30"/>
        <v>0</v>
      </c>
      <c r="F23" s="18"/>
      <c r="G23" s="16">
        <f t="shared" si="31"/>
        <v>0</v>
      </c>
      <c r="H23" s="18"/>
      <c r="I23" s="16">
        <f t="shared" si="15"/>
        <v>0</v>
      </c>
      <c r="J23" s="16">
        <f t="shared" si="16"/>
        <v>0</v>
      </c>
      <c r="K23" s="16">
        <f t="shared" si="17"/>
        <v>0</v>
      </c>
      <c r="L23" s="16">
        <f t="shared" si="18"/>
        <v>0</v>
      </c>
      <c r="M23" s="16">
        <f t="shared" si="7"/>
        <v>28000</v>
      </c>
      <c r="N23" s="16">
        <f t="shared" si="19"/>
        <v>0</v>
      </c>
      <c r="O23" s="16">
        <f t="shared" si="20"/>
        <v>0</v>
      </c>
      <c r="P23" s="19">
        <f t="shared" si="21"/>
        <v>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4"/>
        <v>0</v>
      </c>
      <c r="AE23" s="43">
        <f t="shared" si="25"/>
        <v>0</v>
      </c>
    </row>
    <row r="24" spans="1:31" ht="32.25" customHeight="1">
      <c r="A24" s="17">
        <f t="shared" si="14"/>
        <v>44272</v>
      </c>
      <c r="B24" s="18"/>
      <c r="C24" s="16">
        <f t="shared" si="29"/>
        <v>0</v>
      </c>
      <c r="D24" s="18"/>
      <c r="E24" s="16">
        <f t="shared" si="30"/>
        <v>0</v>
      </c>
      <c r="F24" s="18"/>
      <c r="G24" s="16">
        <f t="shared" si="31"/>
        <v>0</v>
      </c>
      <c r="H24" s="18"/>
      <c r="I24" s="16">
        <f t="shared" si="15"/>
        <v>0</v>
      </c>
      <c r="J24" s="16">
        <f t="shared" si="16"/>
        <v>0</v>
      </c>
      <c r="K24" s="16">
        <f t="shared" si="17"/>
        <v>0</v>
      </c>
      <c r="L24" s="16">
        <f t="shared" si="18"/>
        <v>0</v>
      </c>
      <c r="M24" s="16">
        <f t="shared" si="7"/>
        <v>28000</v>
      </c>
      <c r="N24" s="16">
        <f t="shared" si="19"/>
        <v>0</v>
      </c>
      <c r="O24" s="16">
        <f t="shared" si="20"/>
        <v>0</v>
      </c>
      <c r="P24" s="19">
        <f t="shared" si="21"/>
        <v>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4"/>
        <v>0</v>
      </c>
      <c r="AE24" s="43">
        <f t="shared" si="25"/>
        <v>0</v>
      </c>
    </row>
    <row r="25" spans="1:31" ht="32.25" customHeight="1">
      <c r="A25" s="17">
        <f t="shared" si="14"/>
        <v>44273</v>
      </c>
      <c r="B25" s="18"/>
      <c r="C25" s="16">
        <f t="shared" si="29"/>
        <v>0</v>
      </c>
      <c r="D25" s="18"/>
      <c r="E25" s="16">
        <f t="shared" si="30"/>
        <v>0</v>
      </c>
      <c r="F25" s="18"/>
      <c r="G25" s="16">
        <f t="shared" si="31"/>
        <v>0</v>
      </c>
      <c r="H25" s="18"/>
      <c r="I25" s="16">
        <f t="shared" si="15"/>
        <v>0</v>
      </c>
      <c r="J25" s="16">
        <f t="shared" si="16"/>
        <v>0</v>
      </c>
      <c r="K25" s="16">
        <f t="shared" si="17"/>
        <v>0</v>
      </c>
      <c r="L25" s="16">
        <f t="shared" si="18"/>
        <v>0</v>
      </c>
      <c r="M25" s="16">
        <f t="shared" si="7"/>
        <v>28000</v>
      </c>
      <c r="N25" s="16">
        <f t="shared" si="19"/>
        <v>0</v>
      </c>
      <c r="O25" s="16">
        <f t="shared" si="20"/>
        <v>0</v>
      </c>
      <c r="P25" s="19">
        <f t="shared" si="21"/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4"/>
        <v>0</v>
      </c>
      <c r="AE25" s="43">
        <f t="shared" si="25"/>
        <v>0</v>
      </c>
    </row>
    <row r="26" spans="1:31" ht="32.25" customHeight="1">
      <c r="A26" s="17">
        <f t="shared" si="14"/>
        <v>44274</v>
      </c>
      <c r="B26" s="18"/>
      <c r="C26" s="16">
        <f t="shared" si="29"/>
        <v>0</v>
      </c>
      <c r="D26" s="18"/>
      <c r="E26" s="16">
        <f t="shared" si="30"/>
        <v>0</v>
      </c>
      <c r="F26" s="18"/>
      <c r="G26" s="16">
        <f t="shared" si="31"/>
        <v>0</v>
      </c>
      <c r="H26" s="18"/>
      <c r="I26" s="16">
        <f t="shared" si="15"/>
        <v>0</v>
      </c>
      <c r="J26" s="16">
        <f t="shared" si="16"/>
        <v>0</v>
      </c>
      <c r="K26" s="16">
        <f t="shared" si="17"/>
        <v>0</v>
      </c>
      <c r="L26" s="16">
        <f t="shared" si="18"/>
        <v>0</v>
      </c>
      <c r="M26" s="16">
        <f t="shared" si="7"/>
        <v>28000</v>
      </c>
      <c r="N26" s="16">
        <f t="shared" si="19"/>
        <v>0</v>
      </c>
      <c r="O26" s="16">
        <f t="shared" si="20"/>
        <v>0</v>
      </c>
      <c r="P26" s="19">
        <f t="shared" si="21"/>
        <v>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f t="shared" si="13"/>
        <v>0</v>
      </c>
      <c r="AD26" s="43">
        <f t="shared" si="24"/>
        <v>0</v>
      </c>
      <c r="AE26" s="43">
        <f t="shared" si="25"/>
        <v>0</v>
      </c>
    </row>
    <row r="27" spans="1:31" ht="32.25" customHeight="1">
      <c r="A27" s="17">
        <f t="shared" si="14"/>
        <v>44275</v>
      </c>
      <c r="B27" s="18"/>
      <c r="C27" s="16">
        <f t="shared" si="29"/>
        <v>0</v>
      </c>
      <c r="D27" s="18"/>
      <c r="E27" s="16">
        <f t="shared" si="30"/>
        <v>0</v>
      </c>
      <c r="F27" s="18"/>
      <c r="G27" s="16">
        <f t="shared" si="31"/>
        <v>0</v>
      </c>
      <c r="H27" s="18"/>
      <c r="I27" s="16">
        <f t="shared" si="15"/>
        <v>0</v>
      </c>
      <c r="J27" s="16">
        <f t="shared" si="16"/>
        <v>0</v>
      </c>
      <c r="K27" s="16">
        <f t="shared" si="17"/>
        <v>0</v>
      </c>
      <c r="L27" s="16">
        <f t="shared" si="18"/>
        <v>0</v>
      </c>
      <c r="M27" s="16">
        <f t="shared" si="7"/>
        <v>28000</v>
      </c>
      <c r="N27" s="16">
        <f t="shared" si="19"/>
        <v>0</v>
      </c>
      <c r="O27" s="16">
        <f t="shared" si="20"/>
        <v>0</v>
      </c>
      <c r="P27" s="19">
        <f t="shared" si="21"/>
        <v>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4"/>
        <v>0</v>
      </c>
      <c r="AE27" s="43">
        <f t="shared" si="25"/>
        <v>0</v>
      </c>
    </row>
    <row r="28" spans="1:31" ht="32.25" customHeight="1">
      <c r="A28" s="17">
        <f t="shared" si="14"/>
        <v>44276</v>
      </c>
      <c r="B28" s="18"/>
      <c r="C28" s="16">
        <f t="shared" si="29"/>
        <v>0</v>
      </c>
      <c r="D28" s="18"/>
      <c r="E28" s="16">
        <f t="shared" si="30"/>
        <v>0</v>
      </c>
      <c r="F28" s="18"/>
      <c r="G28" s="16">
        <f t="shared" si="31"/>
        <v>0</v>
      </c>
      <c r="H28" s="18"/>
      <c r="I28" s="16">
        <f t="shared" si="15"/>
        <v>0</v>
      </c>
      <c r="J28" s="16">
        <f t="shared" si="16"/>
        <v>0</v>
      </c>
      <c r="K28" s="16">
        <f t="shared" si="17"/>
        <v>0</v>
      </c>
      <c r="L28" s="16">
        <f t="shared" si="18"/>
        <v>0</v>
      </c>
      <c r="M28" s="16">
        <f t="shared" si="7"/>
        <v>28000</v>
      </c>
      <c r="N28" s="16">
        <f t="shared" si="19"/>
        <v>0</v>
      </c>
      <c r="O28" s="16">
        <f t="shared" si="20"/>
        <v>0</v>
      </c>
      <c r="P28" s="19">
        <f t="shared" si="21"/>
        <v>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4"/>
        <v>0</v>
      </c>
      <c r="AE28" s="43">
        <f t="shared" si="25"/>
        <v>0</v>
      </c>
    </row>
    <row r="29" spans="1:31" ht="32.25" customHeight="1">
      <c r="A29" s="17">
        <f t="shared" si="14"/>
        <v>44277</v>
      </c>
      <c r="B29" s="18"/>
      <c r="C29" s="16">
        <f t="shared" si="29"/>
        <v>0</v>
      </c>
      <c r="D29" s="18"/>
      <c r="E29" s="16">
        <f t="shared" si="30"/>
        <v>0</v>
      </c>
      <c r="F29" s="18"/>
      <c r="G29" s="16">
        <f t="shared" si="31"/>
        <v>0</v>
      </c>
      <c r="H29" s="18"/>
      <c r="I29" s="16">
        <f t="shared" si="15"/>
        <v>0</v>
      </c>
      <c r="J29" s="16">
        <f t="shared" si="16"/>
        <v>0</v>
      </c>
      <c r="K29" s="16">
        <f t="shared" si="17"/>
        <v>0</v>
      </c>
      <c r="L29" s="16">
        <f t="shared" si="18"/>
        <v>0</v>
      </c>
      <c r="M29" s="16">
        <f t="shared" si="7"/>
        <v>28000</v>
      </c>
      <c r="N29" s="16">
        <f t="shared" si="19"/>
        <v>0</v>
      </c>
      <c r="O29" s="16">
        <f t="shared" si="20"/>
        <v>0</v>
      </c>
      <c r="P29" s="19">
        <f t="shared" si="21"/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4"/>
        <v>0</v>
      </c>
      <c r="AE29" s="43">
        <f t="shared" si="25"/>
        <v>0</v>
      </c>
    </row>
    <row r="30" spans="1:31" ht="32.25" customHeight="1">
      <c r="A30" s="17">
        <f t="shared" si="14"/>
        <v>44278</v>
      </c>
      <c r="B30" s="18"/>
      <c r="C30" s="16">
        <f t="shared" si="29"/>
        <v>0</v>
      </c>
      <c r="D30" s="18"/>
      <c r="E30" s="16">
        <f t="shared" si="30"/>
        <v>0</v>
      </c>
      <c r="F30" s="18"/>
      <c r="G30" s="16">
        <f t="shared" si="31"/>
        <v>0</v>
      </c>
      <c r="H30" s="18"/>
      <c r="I30" s="16">
        <f t="shared" si="15"/>
        <v>0</v>
      </c>
      <c r="J30" s="16">
        <f t="shared" si="16"/>
        <v>0</v>
      </c>
      <c r="K30" s="16">
        <f t="shared" si="17"/>
        <v>0</v>
      </c>
      <c r="L30" s="16">
        <f t="shared" si="18"/>
        <v>0</v>
      </c>
      <c r="M30" s="16">
        <f t="shared" si="7"/>
        <v>28000</v>
      </c>
      <c r="N30" s="16">
        <f t="shared" si="19"/>
        <v>0</v>
      </c>
      <c r="O30" s="16">
        <f t="shared" si="20"/>
        <v>0</v>
      </c>
      <c r="P30" s="19">
        <f t="shared" si="21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4"/>
        <v>0</v>
      </c>
      <c r="AE30" s="43">
        <f t="shared" si="25"/>
        <v>0</v>
      </c>
    </row>
    <row r="31" spans="1:31" ht="32.25" customHeight="1">
      <c r="A31" s="17">
        <f t="shared" si="14"/>
        <v>44279</v>
      </c>
      <c r="B31" s="18"/>
      <c r="C31" s="16">
        <f t="shared" si="29"/>
        <v>0</v>
      </c>
      <c r="D31" s="18"/>
      <c r="E31" s="16">
        <f t="shared" si="30"/>
        <v>0</v>
      </c>
      <c r="F31" s="18"/>
      <c r="G31" s="16">
        <f t="shared" si="31"/>
        <v>0</v>
      </c>
      <c r="H31" s="18"/>
      <c r="I31" s="16">
        <f t="shared" si="15"/>
        <v>0</v>
      </c>
      <c r="J31" s="16">
        <f t="shared" si="16"/>
        <v>0</v>
      </c>
      <c r="K31" s="16">
        <f t="shared" si="17"/>
        <v>0</v>
      </c>
      <c r="L31" s="16">
        <f t="shared" si="18"/>
        <v>0</v>
      </c>
      <c r="M31" s="16">
        <f t="shared" si="7"/>
        <v>28000</v>
      </c>
      <c r="N31" s="16">
        <f t="shared" si="19"/>
        <v>0</v>
      </c>
      <c r="O31" s="16">
        <f t="shared" si="20"/>
        <v>0</v>
      </c>
      <c r="P31" s="19">
        <f t="shared" si="21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4"/>
        <v>0</v>
      </c>
      <c r="AE31" s="43">
        <f t="shared" si="25"/>
        <v>0</v>
      </c>
    </row>
    <row r="32" spans="1:31" ht="32.25" customHeight="1">
      <c r="A32" s="17">
        <f t="shared" si="14"/>
        <v>44280</v>
      </c>
      <c r="B32" s="18"/>
      <c r="C32" s="16">
        <f t="shared" si="29"/>
        <v>0</v>
      </c>
      <c r="D32" s="18"/>
      <c r="E32" s="16">
        <f t="shared" si="30"/>
        <v>0</v>
      </c>
      <c r="F32" s="18"/>
      <c r="G32" s="16">
        <f t="shared" si="31"/>
        <v>0</v>
      </c>
      <c r="H32" s="18"/>
      <c r="I32" s="16">
        <f t="shared" si="15"/>
        <v>0</v>
      </c>
      <c r="J32" s="16">
        <f t="shared" si="16"/>
        <v>0</v>
      </c>
      <c r="K32" s="16">
        <f t="shared" si="17"/>
        <v>0</v>
      </c>
      <c r="L32" s="16">
        <f t="shared" si="18"/>
        <v>0</v>
      </c>
      <c r="M32" s="16">
        <f t="shared" si="7"/>
        <v>28000</v>
      </c>
      <c r="N32" s="16">
        <f t="shared" si="19"/>
        <v>0</v>
      </c>
      <c r="O32" s="16">
        <f t="shared" si="20"/>
        <v>0</v>
      </c>
      <c r="P32" s="19">
        <f t="shared" si="21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4"/>
        <v>0</v>
      </c>
      <c r="AE32" s="43">
        <f t="shared" si="25"/>
        <v>0</v>
      </c>
    </row>
    <row r="33" spans="1:31" ht="32.25" customHeight="1">
      <c r="A33" s="17">
        <f t="shared" si="14"/>
        <v>44281</v>
      </c>
      <c r="B33" s="18"/>
      <c r="C33" s="16">
        <f t="shared" si="29"/>
        <v>0</v>
      </c>
      <c r="D33" s="18"/>
      <c r="E33" s="16">
        <f t="shared" si="30"/>
        <v>0</v>
      </c>
      <c r="F33" s="18"/>
      <c r="G33" s="16">
        <f t="shared" si="31"/>
        <v>0</v>
      </c>
      <c r="H33" s="18"/>
      <c r="I33" s="16">
        <f t="shared" si="15"/>
        <v>0</v>
      </c>
      <c r="J33" s="16">
        <f t="shared" si="16"/>
        <v>0</v>
      </c>
      <c r="K33" s="16">
        <f t="shared" si="17"/>
        <v>0</v>
      </c>
      <c r="L33" s="16">
        <f t="shared" si="18"/>
        <v>0</v>
      </c>
      <c r="M33" s="16">
        <f t="shared" si="7"/>
        <v>28000</v>
      </c>
      <c r="N33" s="16">
        <f t="shared" si="19"/>
        <v>0</v>
      </c>
      <c r="O33" s="16">
        <f t="shared" si="20"/>
        <v>0</v>
      </c>
      <c r="P33" s="19">
        <f t="shared" si="21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4"/>
        <v>0</v>
      </c>
      <c r="AE33" s="43">
        <f t="shared" si="25"/>
        <v>0</v>
      </c>
    </row>
    <row r="34" spans="1:31" ht="32.25" customHeight="1">
      <c r="A34" s="17">
        <f t="shared" si="14"/>
        <v>44282</v>
      </c>
      <c r="B34" s="18"/>
      <c r="C34" s="16">
        <f t="shared" si="29"/>
        <v>0</v>
      </c>
      <c r="D34" s="18"/>
      <c r="E34" s="16">
        <f t="shared" si="30"/>
        <v>0</v>
      </c>
      <c r="F34" s="18"/>
      <c r="G34" s="16">
        <f t="shared" si="31"/>
        <v>0</v>
      </c>
      <c r="H34" s="18"/>
      <c r="I34" s="16">
        <f t="shared" si="15"/>
        <v>0</v>
      </c>
      <c r="J34" s="16">
        <f t="shared" si="16"/>
        <v>0</v>
      </c>
      <c r="K34" s="16">
        <f t="shared" si="17"/>
        <v>0</v>
      </c>
      <c r="L34" s="16">
        <f t="shared" si="18"/>
        <v>0</v>
      </c>
      <c r="M34" s="16">
        <f t="shared" si="7"/>
        <v>28000</v>
      </c>
      <c r="N34" s="16">
        <f t="shared" si="19"/>
        <v>0</v>
      </c>
      <c r="O34" s="16">
        <f t="shared" si="20"/>
        <v>0</v>
      </c>
      <c r="P34" s="19">
        <f t="shared" si="21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4"/>
        <v>0</v>
      </c>
      <c r="AE34" s="43">
        <f t="shared" si="25"/>
        <v>0</v>
      </c>
    </row>
    <row r="35" spans="1:31" ht="32.25" customHeight="1">
      <c r="A35" s="17">
        <f t="shared" si="14"/>
        <v>44283</v>
      </c>
      <c r="B35" s="18"/>
      <c r="C35" s="16">
        <f t="shared" si="29"/>
        <v>0</v>
      </c>
      <c r="D35" s="18"/>
      <c r="E35" s="16">
        <f t="shared" si="30"/>
        <v>0</v>
      </c>
      <c r="F35" s="18"/>
      <c r="G35" s="16">
        <f t="shared" si="31"/>
        <v>0</v>
      </c>
      <c r="H35" s="18"/>
      <c r="I35" s="16">
        <f t="shared" si="15"/>
        <v>0</v>
      </c>
      <c r="J35" s="16">
        <f t="shared" si="16"/>
        <v>0</v>
      </c>
      <c r="K35" s="16">
        <f t="shared" si="17"/>
        <v>0</v>
      </c>
      <c r="L35" s="16">
        <f t="shared" si="18"/>
        <v>0</v>
      </c>
      <c r="M35" s="16">
        <f t="shared" si="7"/>
        <v>28000</v>
      </c>
      <c r="N35" s="16">
        <f t="shared" si="19"/>
        <v>0</v>
      </c>
      <c r="O35" s="16">
        <f t="shared" si="20"/>
        <v>0</v>
      </c>
      <c r="P35" s="19">
        <f t="shared" si="21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4"/>
        <v>0</v>
      </c>
      <c r="AE35" s="43">
        <f t="shared" si="25"/>
        <v>0</v>
      </c>
    </row>
    <row r="36" spans="1:31" ht="32.25" customHeight="1">
      <c r="A36" s="17">
        <f t="shared" si="14"/>
        <v>44284</v>
      </c>
      <c r="B36" s="18"/>
      <c r="C36" s="16">
        <f t="shared" si="29"/>
        <v>0</v>
      </c>
      <c r="D36" s="18"/>
      <c r="E36" s="16">
        <f t="shared" si="30"/>
        <v>0</v>
      </c>
      <c r="F36" s="18"/>
      <c r="G36" s="16">
        <f t="shared" si="31"/>
        <v>0</v>
      </c>
      <c r="H36" s="18"/>
      <c r="I36" s="16">
        <f t="shared" si="15"/>
        <v>0</v>
      </c>
      <c r="J36" s="16">
        <f t="shared" si="16"/>
        <v>0</v>
      </c>
      <c r="K36" s="16">
        <f t="shared" si="17"/>
        <v>0</v>
      </c>
      <c r="L36" s="16">
        <f t="shared" si="18"/>
        <v>0</v>
      </c>
      <c r="M36" s="16">
        <f t="shared" si="7"/>
        <v>28000</v>
      </c>
      <c r="N36" s="16">
        <f t="shared" si="19"/>
        <v>0</v>
      </c>
      <c r="O36" s="16">
        <f t="shared" si="20"/>
        <v>0</v>
      </c>
      <c r="P36" s="19">
        <f t="shared" si="21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4"/>
        <v>0</v>
      </c>
      <c r="AE36" s="43">
        <f t="shared" si="25"/>
        <v>0</v>
      </c>
    </row>
    <row r="37" spans="1:31" ht="32.25" customHeight="1">
      <c r="A37" s="17">
        <f t="shared" si="14"/>
        <v>44285</v>
      </c>
      <c r="B37" s="18"/>
      <c r="C37" s="16">
        <f t="shared" si="29"/>
        <v>0</v>
      </c>
      <c r="D37" s="18"/>
      <c r="E37" s="16">
        <f t="shared" si="30"/>
        <v>0</v>
      </c>
      <c r="F37" s="18"/>
      <c r="G37" s="16">
        <f t="shared" si="31"/>
        <v>0</v>
      </c>
      <c r="H37" s="18"/>
      <c r="I37" s="16">
        <f t="shared" si="15"/>
        <v>0</v>
      </c>
      <c r="J37" s="16">
        <f t="shared" si="16"/>
        <v>0</v>
      </c>
      <c r="K37" s="16">
        <f t="shared" si="17"/>
        <v>0</v>
      </c>
      <c r="L37" s="16">
        <f t="shared" si="18"/>
        <v>0</v>
      </c>
      <c r="M37" s="16">
        <f t="shared" si="7"/>
        <v>28000</v>
      </c>
      <c r="N37" s="16">
        <f t="shared" si="19"/>
        <v>0</v>
      </c>
      <c r="O37" s="16">
        <f t="shared" si="20"/>
        <v>0</v>
      </c>
      <c r="P37" s="19">
        <f t="shared" si="21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4"/>
        <v>0</v>
      </c>
      <c r="AE37" s="43">
        <f t="shared" si="25"/>
        <v>0</v>
      </c>
    </row>
    <row r="38" spans="1:31" ht="32.25" customHeight="1">
      <c r="A38" s="17">
        <f t="shared" si="14"/>
        <v>44286</v>
      </c>
      <c r="B38" s="18"/>
      <c r="C38" s="16">
        <f t="shared" si="29"/>
        <v>0</v>
      </c>
      <c r="D38" s="18"/>
      <c r="E38" s="16">
        <f t="shared" si="30"/>
        <v>0</v>
      </c>
      <c r="F38" s="18"/>
      <c r="G38" s="16">
        <f t="shared" si="31"/>
        <v>0</v>
      </c>
      <c r="H38" s="18"/>
      <c r="I38" s="16">
        <f t="shared" si="15"/>
        <v>0</v>
      </c>
      <c r="J38" s="16">
        <f t="shared" si="16"/>
        <v>0</v>
      </c>
      <c r="K38" s="16">
        <f t="shared" si="17"/>
        <v>0</v>
      </c>
      <c r="L38" s="16">
        <f t="shared" si="18"/>
        <v>0</v>
      </c>
      <c r="M38" s="16">
        <f t="shared" si="7"/>
        <v>28000</v>
      </c>
      <c r="N38" s="16">
        <f t="shared" si="19"/>
        <v>0</v>
      </c>
      <c r="O38" s="16">
        <f t="shared" si="20"/>
        <v>0</v>
      </c>
      <c r="P38" s="19">
        <f t="shared" si="21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4"/>
        <v>0</v>
      </c>
      <c r="AE38" s="43">
        <f t="shared" si="25"/>
        <v>0</v>
      </c>
    </row>
    <row r="39" spans="1:31" ht="32.25" customHeight="1">
      <c r="A39" s="17">
        <f t="shared" si="14"/>
        <v>44287</v>
      </c>
      <c r="B39" s="18"/>
      <c r="C39" s="16">
        <f t="shared" si="29"/>
        <v>0</v>
      </c>
      <c r="D39" s="18"/>
      <c r="E39" s="16">
        <f t="shared" si="30"/>
        <v>0</v>
      </c>
      <c r="F39" s="18"/>
      <c r="G39" s="16">
        <f t="shared" si="31"/>
        <v>0</v>
      </c>
      <c r="H39" s="18"/>
      <c r="I39" s="16">
        <f t="shared" si="15"/>
        <v>0</v>
      </c>
      <c r="J39" s="16">
        <f t="shared" si="16"/>
        <v>0</v>
      </c>
      <c r="K39" s="16">
        <f t="shared" si="17"/>
        <v>0</v>
      </c>
      <c r="L39" s="16">
        <f t="shared" si="18"/>
        <v>0</v>
      </c>
      <c r="M39" s="16">
        <f t="shared" si="7"/>
        <v>28000</v>
      </c>
      <c r="N39" s="16">
        <f t="shared" si="19"/>
        <v>0</v>
      </c>
      <c r="O39" s="16">
        <f t="shared" si="20"/>
        <v>0</v>
      </c>
      <c r="P39" s="19">
        <f t="shared" si="21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4"/>
        <v>0</v>
      </c>
      <c r="AE39" s="43">
        <f t="shared" si="25"/>
        <v>0</v>
      </c>
    </row>
    <row r="40" spans="1:31" ht="32.25" customHeight="1">
      <c r="A40" s="17">
        <f t="shared" si="14"/>
        <v>44288</v>
      </c>
      <c r="B40" s="18"/>
      <c r="C40" s="16">
        <f t="shared" si="29"/>
        <v>0</v>
      </c>
      <c r="D40" s="18"/>
      <c r="E40" s="16">
        <f t="shared" si="30"/>
        <v>0</v>
      </c>
      <c r="F40" s="18"/>
      <c r="G40" s="16">
        <f t="shared" si="31"/>
        <v>0</v>
      </c>
      <c r="H40" s="18"/>
      <c r="I40" s="16">
        <f t="shared" si="15"/>
        <v>0</v>
      </c>
      <c r="J40" s="16">
        <f t="shared" si="16"/>
        <v>0</v>
      </c>
      <c r="K40" s="16">
        <f t="shared" si="17"/>
        <v>0</v>
      </c>
      <c r="L40" s="16">
        <f t="shared" si="18"/>
        <v>0</v>
      </c>
      <c r="M40" s="16">
        <f t="shared" si="7"/>
        <v>28000</v>
      </c>
      <c r="N40" s="16">
        <f t="shared" si="19"/>
        <v>0</v>
      </c>
      <c r="O40" s="16">
        <f t="shared" si="20"/>
        <v>0</v>
      </c>
      <c r="P40" s="19">
        <f t="shared" si="21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24"/>
        <v>0</v>
      </c>
      <c r="AE40" s="43">
        <f t="shared" si="25"/>
        <v>0</v>
      </c>
    </row>
    <row r="41" spans="1:31" ht="32.25" customHeight="1">
      <c r="A41" s="17">
        <f t="shared" si="14"/>
        <v>44289</v>
      </c>
      <c r="B41" s="18"/>
      <c r="C41" s="16">
        <f t="shared" si="29"/>
        <v>0</v>
      </c>
      <c r="D41" s="18"/>
      <c r="E41" s="16">
        <f t="shared" si="30"/>
        <v>0</v>
      </c>
      <c r="F41" s="18"/>
      <c r="G41" s="16">
        <f t="shared" si="31"/>
        <v>0</v>
      </c>
      <c r="H41" s="18"/>
      <c r="I41" s="16">
        <f t="shared" si="15"/>
        <v>0</v>
      </c>
      <c r="J41" s="16">
        <f t="shared" si="16"/>
        <v>0</v>
      </c>
      <c r="K41" s="16">
        <f t="shared" si="17"/>
        <v>0</v>
      </c>
      <c r="L41" s="16">
        <f t="shared" si="18"/>
        <v>0</v>
      </c>
      <c r="M41" s="16">
        <f t="shared" si="7"/>
        <v>28000</v>
      </c>
      <c r="N41" s="16">
        <f t="shared" si="19"/>
        <v>0</v>
      </c>
      <c r="O41" s="16">
        <f t="shared" si="20"/>
        <v>0</v>
      </c>
      <c r="P41" s="19">
        <f t="shared" si="21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4"/>
        <v>0</v>
      </c>
      <c r="AE41" s="43">
        <f t="shared" si="25"/>
        <v>0</v>
      </c>
    </row>
    <row r="42" spans="1:31" ht="32.25" customHeight="1">
      <c r="A42" s="17">
        <f t="shared" si="14"/>
        <v>44290</v>
      </c>
      <c r="B42" s="18"/>
      <c r="C42" s="16">
        <f t="shared" si="29"/>
        <v>0</v>
      </c>
      <c r="D42" s="18"/>
      <c r="E42" s="16">
        <f t="shared" si="30"/>
        <v>0</v>
      </c>
      <c r="F42" s="18"/>
      <c r="G42" s="16">
        <f t="shared" si="31"/>
        <v>0</v>
      </c>
      <c r="H42" s="18"/>
      <c r="I42" s="16">
        <f t="shared" si="15"/>
        <v>0</v>
      </c>
      <c r="J42" s="16">
        <f t="shared" si="16"/>
        <v>0</v>
      </c>
      <c r="K42" s="16">
        <f t="shared" si="17"/>
        <v>0</v>
      </c>
      <c r="L42" s="16">
        <f t="shared" si="18"/>
        <v>0</v>
      </c>
      <c r="M42" s="16">
        <f t="shared" si="7"/>
        <v>28000</v>
      </c>
      <c r="N42" s="16">
        <f t="shared" si="19"/>
        <v>0</v>
      </c>
      <c r="O42" s="16">
        <f t="shared" si="20"/>
        <v>0</v>
      </c>
      <c r="P42" s="19">
        <f t="shared" si="21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4"/>
        <v>0</v>
      </c>
      <c r="AE42" s="43">
        <f t="shared" si="25"/>
        <v>0</v>
      </c>
    </row>
    <row r="43" spans="1:31" ht="32.25" customHeight="1" thickBot="1">
      <c r="B43" s="18"/>
      <c r="C43" s="16">
        <f>SUM(C8:C38)</f>
        <v>15</v>
      </c>
      <c r="D43" s="18"/>
      <c r="E43" s="16">
        <f>SUM(E8:E38)</f>
        <v>13</v>
      </c>
      <c r="F43" s="18"/>
      <c r="G43" s="16">
        <f>SUM(G8:G38)</f>
        <v>17</v>
      </c>
      <c r="H43" s="18"/>
      <c r="I43" s="16">
        <f>SUM(I8:I38)</f>
        <v>16</v>
      </c>
      <c r="J43" s="14"/>
      <c r="K43" s="14"/>
      <c r="L43" s="14"/>
      <c r="M43" s="14"/>
      <c r="N43" s="16">
        <f>SUM(N8:N38)</f>
        <v>4620</v>
      </c>
      <c r="O43" s="16">
        <f>N43*0.53</f>
        <v>2448.6</v>
      </c>
      <c r="P43" s="19">
        <f t="shared" ref="P43" si="32">O43*9.247</f>
        <v>22642.2042</v>
      </c>
      <c r="Q43" s="291">
        <f>SUM(Q8:Q38)</f>
        <v>2562</v>
      </c>
      <c r="R43" s="292"/>
      <c r="S43" s="293"/>
      <c r="T43" s="291">
        <f>SUM(T8:T38)</f>
        <v>2211</v>
      </c>
      <c r="U43" s="292"/>
      <c r="V43" s="293"/>
      <c r="W43" s="291">
        <f>SUM(W8:W38)</f>
        <v>2827</v>
      </c>
      <c r="X43" s="292"/>
      <c r="Y43" s="293"/>
      <c r="Z43" s="291">
        <f>SUM(Z8:Z38)</f>
        <v>2642</v>
      </c>
      <c r="AA43" s="292"/>
      <c r="AB43" s="293"/>
      <c r="AC43" s="126">
        <f>SUM(AC8:AC38)</f>
        <v>10242</v>
      </c>
      <c r="AD43" s="127"/>
      <c r="AE43" s="124"/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14"/>
      <c r="K44" s="14"/>
      <c r="L44" s="14"/>
      <c r="M44" s="14"/>
      <c r="N44" s="14"/>
      <c r="O44" s="14"/>
      <c r="P44" s="14"/>
      <c r="Q44" s="297">
        <f>Q43+T43+W43+Z43</f>
        <v>10242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125">
        <f>Q43+T43+W43+Z43</f>
        <v>10242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2" t="s">
        <v>69</v>
      </c>
      <c r="L46" s="173" t="s">
        <v>70</v>
      </c>
      <c r="M46" s="173" t="s">
        <v>71</v>
      </c>
    </row>
    <row r="47" spans="1:31" ht="48" customHeight="1" thickBot="1">
      <c r="H47" s="300" t="s">
        <v>72</v>
      </c>
      <c r="I47" s="301"/>
      <c r="J47" s="302"/>
      <c r="K47" s="174">
        <f>N43</f>
        <v>4620</v>
      </c>
      <c r="L47" s="175">
        <f>O43</f>
        <v>2448.6</v>
      </c>
      <c r="M47" s="175">
        <f>P43</f>
        <v>22642.2042</v>
      </c>
    </row>
    <row r="48" spans="1:31" ht="54.75" customHeight="1" thickBot="1">
      <c r="H48" s="288" t="s">
        <v>73</v>
      </c>
      <c r="I48" s="289"/>
      <c r="J48" s="290"/>
      <c r="K48" s="172">
        <f>AC43</f>
        <v>10242</v>
      </c>
      <c r="L48" s="173">
        <f>K48*0.53</f>
        <v>5428.26</v>
      </c>
      <c r="M48" s="173">
        <f>L48*9.247</f>
        <v>50195.120220000004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16" activePane="bottomRight" state="frozen"/>
      <selection pane="bottomRight" activeCell="B27" sqref="B27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1"/>
      <c r="B1" s="322"/>
      <c r="C1" s="304" t="s">
        <v>74</v>
      </c>
      <c r="D1" s="305"/>
      <c r="E1" s="305"/>
      <c r="F1" s="305"/>
      <c r="G1" s="306"/>
      <c r="H1" s="313"/>
      <c r="I1" s="314"/>
      <c r="J1" s="27"/>
      <c r="K1" s="25"/>
      <c r="L1" s="25"/>
    </row>
    <row r="2" spans="1:20" ht="16.5" customHeight="1">
      <c r="A2" s="323"/>
      <c r="B2" s="324"/>
      <c r="C2" s="307"/>
      <c r="D2" s="308"/>
      <c r="E2" s="308"/>
      <c r="F2" s="308"/>
      <c r="G2" s="309"/>
      <c r="H2" s="315"/>
      <c r="I2" s="316"/>
      <c r="J2" s="27"/>
      <c r="K2" s="25"/>
      <c r="L2" s="25"/>
    </row>
    <row r="3" spans="1:20" ht="48" customHeight="1" thickBot="1">
      <c r="A3" s="325"/>
      <c r="B3" s="326"/>
      <c r="C3" s="310"/>
      <c r="D3" s="311"/>
      <c r="E3" s="311"/>
      <c r="F3" s="311"/>
      <c r="G3" s="312"/>
      <c r="H3" s="317"/>
      <c r="I3" s="318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2458</v>
      </c>
    </row>
    <row r="6" spans="1:20" ht="10.5" customHeight="1" thickBot="1"/>
    <row r="7" spans="1:20" ht="16.5" customHeight="1" thickTop="1" thickBot="1">
      <c r="A7" s="303" t="s">
        <v>17</v>
      </c>
      <c r="B7" s="319" t="s">
        <v>75</v>
      </c>
      <c r="C7" s="319"/>
      <c r="D7" s="320" t="s">
        <v>76</v>
      </c>
      <c r="E7" s="320"/>
      <c r="F7" s="320"/>
      <c r="G7" s="320"/>
      <c r="H7" s="320"/>
      <c r="I7" s="320"/>
    </row>
    <row r="8" spans="1:20" s="10" customFormat="1" ht="28.5" customHeight="1" thickTop="1" thickBot="1">
      <c r="A8" s="303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21" thickTop="1" thickBot="1">
      <c r="A9" s="33">
        <v>44252</v>
      </c>
      <c r="B9" s="34">
        <v>10895</v>
      </c>
      <c r="C9" s="35">
        <f t="shared" ref="C9:C47" si="0">IF(B10&lt;B9,0,B10-B9)</f>
        <v>293</v>
      </c>
      <c r="D9" s="36">
        <v>19110867</v>
      </c>
      <c r="E9" s="35">
        <f t="shared" ref="E9:E12" si="1">IF(D10&lt;D9,0,D10-D9)</f>
        <v>2938</v>
      </c>
      <c r="F9" s="36">
        <v>34190567</v>
      </c>
      <c r="G9" s="35">
        <f t="shared" ref="G9:G47" si="2">IF(F10&lt;F9,0,F10-F9)</f>
        <v>5070</v>
      </c>
      <c r="H9" s="36">
        <v>15144196</v>
      </c>
      <c r="I9" s="35">
        <f t="shared" ref="I9:I47" si="3">IF(H10&lt;H9,0,H10-H9)</f>
        <v>2003</v>
      </c>
    </row>
    <row r="10" spans="1:20" ht="21" thickTop="1" thickBot="1">
      <c r="A10" s="33">
        <f>(A9+1)</f>
        <v>44253</v>
      </c>
      <c r="B10" s="34">
        <v>11188</v>
      </c>
      <c r="C10" s="35">
        <f t="shared" si="0"/>
        <v>292</v>
      </c>
      <c r="D10" s="36">
        <v>19113805</v>
      </c>
      <c r="E10" s="35">
        <f t="shared" si="1"/>
        <v>3187</v>
      </c>
      <c r="F10" s="36">
        <v>34195637</v>
      </c>
      <c r="G10" s="35">
        <f t="shared" si="2"/>
        <v>5164</v>
      </c>
      <c r="H10" s="36">
        <v>15146199</v>
      </c>
      <c r="I10" s="35">
        <f t="shared" si="3"/>
        <v>2165</v>
      </c>
    </row>
    <row r="11" spans="1:20" ht="21" thickTop="1" thickBot="1">
      <c r="A11" s="33">
        <f t="shared" ref="A11:A47" si="4">(A10+1)</f>
        <v>44254</v>
      </c>
      <c r="B11" s="34">
        <v>11480</v>
      </c>
      <c r="C11" s="35">
        <f t="shared" si="0"/>
        <v>283</v>
      </c>
      <c r="D11" s="36">
        <v>19116992</v>
      </c>
      <c r="E11" s="35">
        <f t="shared" si="1"/>
        <v>3159</v>
      </c>
      <c r="F11" s="36">
        <v>34200801</v>
      </c>
      <c r="G11" s="35">
        <f t="shared" si="2"/>
        <v>5073</v>
      </c>
      <c r="H11" s="36">
        <v>15148364</v>
      </c>
      <c r="I11" s="35">
        <f t="shared" si="3"/>
        <v>2315</v>
      </c>
    </row>
    <row r="12" spans="1:20" ht="21" thickTop="1" thickBot="1">
      <c r="A12" s="33">
        <f t="shared" si="4"/>
        <v>44255</v>
      </c>
      <c r="B12" s="34">
        <v>11763</v>
      </c>
      <c r="C12" s="35">
        <f t="shared" si="0"/>
        <v>196</v>
      </c>
      <c r="D12" s="36">
        <v>19120151</v>
      </c>
      <c r="E12" s="35">
        <f t="shared" si="1"/>
        <v>3073</v>
      </c>
      <c r="F12" s="36">
        <v>34205874</v>
      </c>
      <c r="G12" s="35">
        <f t="shared" si="2"/>
        <v>4956</v>
      </c>
      <c r="H12" s="36">
        <v>15150679</v>
      </c>
      <c r="I12" s="35">
        <f t="shared" si="3"/>
        <v>2143</v>
      </c>
    </row>
    <row r="13" spans="1:20" ht="21" thickTop="1" thickBot="1">
      <c r="A13" s="33">
        <f t="shared" si="4"/>
        <v>44256</v>
      </c>
      <c r="B13" s="34">
        <v>11959</v>
      </c>
      <c r="C13" s="35">
        <f t="shared" si="0"/>
        <v>218</v>
      </c>
      <c r="D13" s="36">
        <v>19123224</v>
      </c>
      <c r="E13" s="35">
        <f>IF(D14&lt;D13,0,D14-D13)</f>
        <v>2692</v>
      </c>
      <c r="F13" s="36">
        <v>34210830</v>
      </c>
      <c r="G13" s="35">
        <f t="shared" si="2"/>
        <v>4257</v>
      </c>
      <c r="H13" s="36">
        <v>15152822</v>
      </c>
      <c r="I13" s="35">
        <f t="shared" si="3"/>
        <v>1779</v>
      </c>
    </row>
    <row r="14" spans="1:20" ht="21" thickTop="1" thickBot="1">
      <c r="A14" s="33">
        <f t="shared" si="4"/>
        <v>44257</v>
      </c>
      <c r="B14" s="34">
        <v>12177</v>
      </c>
      <c r="C14" s="35">
        <f t="shared" si="0"/>
        <v>187</v>
      </c>
      <c r="D14" s="36">
        <v>19125916</v>
      </c>
      <c r="E14" s="35">
        <f t="shared" ref="E14:E47" si="5">IF(D15&lt;D14,0,D15-D14)</f>
        <v>3026</v>
      </c>
      <c r="F14" s="36">
        <v>34215087</v>
      </c>
      <c r="G14" s="35">
        <f t="shared" si="2"/>
        <v>4263</v>
      </c>
      <c r="H14" s="36">
        <v>15154601</v>
      </c>
      <c r="I14" s="35">
        <f t="shared" si="3"/>
        <v>1929</v>
      </c>
    </row>
    <row r="15" spans="1:20" ht="21" thickTop="1" thickBot="1">
      <c r="A15" s="33">
        <f t="shared" si="4"/>
        <v>44258</v>
      </c>
      <c r="B15" s="34">
        <v>12364</v>
      </c>
      <c r="C15" s="35">
        <f t="shared" si="0"/>
        <v>241</v>
      </c>
      <c r="D15" s="36">
        <v>19128942</v>
      </c>
      <c r="E15" s="35">
        <f t="shared" si="5"/>
        <v>2658</v>
      </c>
      <c r="F15" s="36">
        <v>34219350</v>
      </c>
      <c r="G15" s="35">
        <f t="shared" si="2"/>
        <v>4751</v>
      </c>
      <c r="H15" s="36">
        <v>15156530</v>
      </c>
      <c r="I15" s="35">
        <f t="shared" si="3"/>
        <v>2118</v>
      </c>
    </row>
    <row r="16" spans="1:20" ht="19.5">
      <c r="A16" s="33">
        <f t="shared" si="4"/>
        <v>44259</v>
      </c>
      <c r="B16" s="34">
        <v>12605</v>
      </c>
      <c r="C16" s="35">
        <f t="shared" si="0"/>
        <v>217</v>
      </c>
      <c r="D16" s="36">
        <v>19131600</v>
      </c>
      <c r="E16" s="35">
        <f t="shared" si="5"/>
        <v>2810</v>
      </c>
      <c r="F16" s="36">
        <v>34224101</v>
      </c>
      <c r="G16" s="35">
        <f t="shared" si="2"/>
        <v>4340</v>
      </c>
      <c r="H16" s="36">
        <v>15158648</v>
      </c>
      <c r="I16" s="35">
        <f t="shared" si="3"/>
        <v>1836</v>
      </c>
    </row>
    <row r="17" spans="1:9" ht="19.5">
      <c r="A17" s="33">
        <f t="shared" si="4"/>
        <v>44260</v>
      </c>
      <c r="B17" s="34">
        <v>12822</v>
      </c>
      <c r="C17" s="35">
        <f t="shared" si="0"/>
        <v>235</v>
      </c>
      <c r="D17" s="36">
        <v>19134410</v>
      </c>
      <c r="E17" s="35">
        <f t="shared" si="5"/>
        <v>2839</v>
      </c>
      <c r="F17" s="36">
        <v>34228441</v>
      </c>
      <c r="G17" s="35">
        <f t="shared" si="2"/>
        <v>4373</v>
      </c>
      <c r="H17" s="36">
        <v>15160484</v>
      </c>
      <c r="I17" s="35">
        <f t="shared" si="3"/>
        <v>1959</v>
      </c>
    </row>
    <row r="18" spans="1:9" ht="19.5">
      <c r="A18" s="33">
        <f t="shared" si="4"/>
        <v>44261</v>
      </c>
      <c r="B18" s="161">
        <v>13057</v>
      </c>
      <c r="C18" s="35">
        <f t="shared" si="0"/>
        <v>269</v>
      </c>
      <c r="D18" s="162">
        <v>19137249</v>
      </c>
      <c r="E18" s="35">
        <f t="shared" si="5"/>
        <v>2877</v>
      </c>
      <c r="F18" s="162">
        <v>34232814</v>
      </c>
      <c r="G18" s="35">
        <f t="shared" si="2"/>
        <v>4291</v>
      </c>
      <c r="H18" s="162">
        <v>15162443</v>
      </c>
      <c r="I18" s="35">
        <f t="shared" si="3"/>
        <v>1909</v>
      </c>
    </row>
    <row r="19" spans="1:9" ht="19.5">
      <c r="A19" s="33">
        <f t="shared" si="4"/>
        <v>44262</v>
      </c>
      <c r="B19" s="161">
        <v>13326</v>
      </c>
      <c r="C19" s="35">
        <f t="shared" si="0"/>
        <v>169</v>
      </c>
      <c r="D19" s="162">
        <v>19140126</v>
      </c>
      <c r="E19" s="35">
        <f t="shared" si="5"/>
        <v>2793</v>
      </c>
      <c r="F19" s="162">
        <v>34237105</v>
      </c>
      <c r="G19" s="35">
        <f t="shared" si="2"/>
        <v>4522</v>
      </c>
      <c r="H19" s="162">
        <v>15164352</v>
      </c>
      <c r="I19" s="35">
        <f t="shared" si="3"/>
        <v>1756</v>
      </c>
    </row>
    <row r="20" spans="1:9" ht="19.5">
      <c r="A20" s="33">
        <f t="shared" si="4"/>
        <v>44263</v>
      </c>
      <c r="B20" s="161">
        <v>13495</v>
      </c>
      <c r="C20" s="35">
        <f t="shared" si="0"/>
        <v>323</v>
      </c>
      <c r="D20" s="162">
        <v>19142919</v>
      </c>
      <c r="E20" s="35">
        <f t="shared" si="5"/>
        <v>2820</v>
      </c>
      <c r="F20" s="162">
        <v>34241627</v>
      </c>
      <c r="G20" s="35">
        <f t="shared" si="2"/>
        <v>4801</v>
      </c>
      <c r="H20" s="162">
        <v>15166108</v>
      </c>
      <c r="I20" s="35">
        <f t="shared" si="3"/>
        <v>1862</v>
      </c>
    </row>
    <row r="21" spans="1:9" ht="19.5">
      <c r="A21" s="33">
        <f t="shared" si="4"/>
        <v>44264</v>
      </c>
      <c r="B21" s="34">
        <v>13818</v>
      </c>
      <c r="C21" s="35">
        <f t="shared" si="0"/>
        <v>220</v>
      </c>
      <c r="D21" s="36">
        <v>19145739</v>
      </c>
      <c r="E21" s="35">
        <f t="shared" si="5"/>
        <v>2772</v>
      </c>
      <c r="F21" s="36">
        <v>34246428</v>
      </c>
      <c r="G21" s="35">
        <f t="shared" si="2"/>
        <v>4689</v>
      </c>
      <c r="H21" s="36">
        <v>15167970</v>
      </c>
      <c r="I21" s="35">
        <f t="shared" si="3"/>
        <v>1969</v>
      </c>
    </row>
    <row r="22" spans="1:9" ht="19.5">
      <c r="A22" s="33">
        <f t="shared" si="4"/>
        <v>44265</v>
      </c>
      <c r="B22" s="34">
        <v>14038</v>
      </c>
      <c r="C22" s="35">
        <f t="shared" si="0"/>
        <v>199</v>
      </c>
      <c r="D22" s="36">
        <v>19148511</v>
      </c>
      <c r="E22" s="35">
        <f t="shared" si="5"/>
        <v>2851</v>
      </c>
      <c r="F22" s="36">
        <v>34251117</v>
      </c>
      <c r="G22" s="35">
        <f t="shared" si="2"/>
        <v>4819</v>
      </c>
      <c r="H22" s="36">
        <v>15169939</v>
      </c>
      <c r="I22" s="35">
        <f t="shared" si="3"/>
        <v>2115</v>
      </c>
    </row>
    <row r="23" spans="1:9" ht="19.5">
      <c r="A23" s="33">
        <f t="shared" si="4"/>
        <v>44266</v>
      </c>
      <c r="B23" s="34">
        <v>14237</v>
      </c>
      <c r="C23" s="35">
        <f t="shared" si="0"/>
        <v>234</v>
      </c>
      <c r="D23" s="36">
        <v>19151362</v>
      </c>
      <c r="E23" s="35">
        <f t="shared" si="5"/>
        <v>2728</v>
      </c>
      <c r="F23" s="36">
        <v>34255936</v>
      </c>
      <c r="G23" s="35">
        <f t="shared" si="2"/>
        <v>4536</v>
      </c>
      <c r="H23" s="36">
        <v>15172054</v>
      </c>
      <c r="I23" s="35">
        <f t="shared" si="3"/>
        <v>1757</v>
      </c>
    </row>
    <row r="24" spans="1:9" ht="19.5">
      <c r="A24" s="33">
        <f t="shared" si="4"/>
        <v>44267</v>
      </c>
      <c r="B24" s="34">
        <v>14471</v>
      </c>
      <c r="C24" s="35">
        <f t="shared" si="0"/>
        <v>359</v>
      </c>
      <c r="D24" s="36">
        <v>19154090</v>
      </c>
      <c r="E24" s="35">
        <f t="shared" si="5"/>
        <v>2846</v>
      </c>
      <c r="F24" s="36">
        <v>34260472</v>
      </c>
      <c r="G24" s="35">
        <f t="shared" si="2"/>
        <v>4615</v>
      </c>
      <c r="H24" s="36">
        <v>15173811</v>
      </c>
      <c r="I24" s="35">
        <f t="shared" si="3"/>
        <v>1881</v>
      </c>
    </row>
    <row r="25" spans="1:9" ht="19.5">
      <c r="A25" s="33">
        <f t="shared" si="4"/>
        <v>44268</v>
      </c>
      <c r="B25" s="34">
        <v>14830</v>
      </c>
      <c r="C25" s="35">
        <f t="shared" si="0"/>
        <v>233</v>
      </c>
      <c r="D25" s="36">
        <v>19156936</v>
      </c>
      <c r="E25" s="35">
        <f t="shared" si="5"/>
        <v>3181</v>
      </c>
      <c r="F25" s="36">
        <v>34265087</v>
      </c>
      <c r="G25" s="35">
        <f t="shared" si="2"/>
        <v>4917</v>
      </c>
      <c r="H25" s="36">
        <v>15175692</v>
      </c>
      <c r="I25" s="35">
        <f t="shared" si="3"/>
        <v>1984</v>
      </c>
    </row>
    <row r="26" spans="1:9" ht="19.5">
      <c r="A26" s="33">
        <f t="shared" si="4"/>
        <v>44269</v>
      </c>
      <c r="B26" s="34">
        <v>15063</v>
      </c>
      <c r="C26" s="35">
        <f t="shared" si="0"/>
        <v>0</v>
      </c>
      <c r="D26" s="36">
        <v>19160117</v>
      </c>
      <c r="E26" s="35">
        <f t="shared" si="5"/>
        <v>0</v>
      </c>
      <c r="F26" s="36">
        <v>34270004</v>
      </c>
      <c r="G26" s="35">
        <f t="shared" si="2"/>
        <v>0</v>
      </c>
      <c r="H26" s="36">
        <v>15177676</v>
      </c>
      <c r="I26" s="35">
        <f t="shared" si="3"/>
        <v>0</v>
      </c>
    </row>
    <row r="27" spans="1:9" ht="19.5">
      <c r="A27" s="33">
        <f t="shared" si="4"/>
        <v>44270</v>
      </c>
      <c r="B27" s="34"/>
      <c r="C27" s="35">
        <f t="shared" si="0"/>
        <v>0</v>
      </c>
      <c r="D27" s="36"/>
      <c r="E27" s="35">
        <f t="shared" si="5"/>
        <v>0</v>
      </c>
      <c r="F27" s="36"/>
      <c r="G27" s="35">
        <f t="shared" si="2"/>
        <v>0</v>
      </c>
      <c r="H27" s="36"/>
      <c r="I27" s="35">
        <f t="shared" si="3"/>
        <v>0</v>
      </c>
    </row>
    <row r="28" spans="1:9" ht="19.5">
      <c r="A28" s="33">
        <f t="shared" si="4"/>
        <v>44271</v>
      </c>
      <c r="B28" s="34"/>
      <c r="C28" s="35">
        <f t="shared" si="0"/>
        <v>0</v>
      </c>
      <c r="D28" s="36"/>
      <c r="E28" s="35">
        <f t="shared" si="5"/>
        <v>0</v>
      </c>
      <c r="F28" s="36"/>
      <c r="G28" s="35">
        <f t="shared" si="2"/>
        <v>0</v>
      </c>
      <c r="H28" s="36"/>
      <c r="I28" s="35">
        <f t="shared" si="3"/>
        <v>0</v>
      </c>
    </row>
    <row r="29" spans="1:9" ht="19.5">
      <c r="A29" s="33">
        <f t="shared" si="4"/>
        <v>44272</v>
      </c>
      <c r="B29" s="34"/>
      <c r="C29" s="35">
        <f t="shared" si="0"/>
        <v>0</v>
      </c>
      <c r="D29" s="36"/>
      <c r="E29" s="35">
        <f t="shared" si="5"/>
        <v>0</v>
      </c>
      <c r="F29" s="36"/>
      <c r="G29" s="35">
        <f t="shared" si="2"/>
        <v>0</v>
      </c>
      <c r="H29" s="36"/>
      <c r="I29" s="35">
        <f t="shared" si="3"/>
        <v>0</v>
      </c>
    </row>
    <row r="30" spans="1:9" ht="19.5">
      <c r="A30" s="33">
        <f t="shared" si="4"/>
        <v>44273</v>
      </c>
      <c r="B30" s="34"/>
      <c r="C30" s="35">
        <f t="shared" si="0"/>
        <v>0</v>
      </c>
      <c r="D30" s="36"/>
      <c r="E30" s="35">
        <f t="shared" si="5"/>
        <v>0</v>
      </c>
      <c r="F30" s="36"/>
      <c r="G30" s="35">
        <f t="shared" si="2"/>
        <v>0</v>
      </c>
      <c r="H30" s="36"/>
      <c r="I30" s="35">
        <f t="shared" si="3"/>
        <v>0</v>
      </c>
    </row>
    <row r="31" spans="1:9" ht="19.5">
      <c r="A31" s="33">
        <f t="shared" si="4"/>
        <v>44274</v>
      </c>
      <c r="B31" s="34"/>
      <c r="C31" s="35">
        <f t="shared" si="0"/>
        <v>0</v>
      </c>
      <c r="D31" s="36"/>
      <c r="E31" s="35">
        <f t="shared" si="5"/>
        <v>0</v>
      </c>
      <c r="F31" s="36"/>
      <c r="G31" s="35">
        <f t="shared" si="2"/>
        <v>0</v>
      </c>
      <c r="H31" s="36"/>
      <c r="I31" s="35">
        <f t="shared" si="3"/>
        <v>0</v>
      </c>
    </row>
    <row r="32" spans="1:9" ht="19.5">
      <c r="A32" s="33">
        <f t="shared" si="4"/>
        <v>44275</v>
      </c>
      <c r="B32" s="34"/>
      <c r="C32" s="35">
        <f t="shared" si="0"/>
        <v>0</v>
      </c>
      <c r="D32" s="36"/>
      <c r="E32" s="35">
        <f t="shared" si="5"/>
        <v>0</v>
      </c>
      <c r="F32" s="36"/>
      <c r="G32" s="35">
        <f t="shared" si="2"/>
        <v>0</v>
      </c>
      <c r="H32" s="36"/>
      <c r="I32" s="35">
        <f t="shared" si="3"/>
        <v>0</v>
      </c>
    </row>
    <row r="33" spans="1:9" ht="19.5">
      <c r="A33" s="33">
        <f t="shared" si="4"/>
        <v>44276</v>
      </c>
      <c r="B33" s="34"/>
      <c r="C33" s="35">
        <f t="shared" si="0"/>
        <v>0</v>
      </c>
      <c r="D33" s="36"/>
      <c r="E33" s="35">
        <f t="shared" si="5"/>
        <v>0</v>
      </c>
      <c r="F33" s="36"/>
      <c r="G33" s="35">
        <f t="shared" si="2"/>
        <v>0</v>
      </c>
      <c r="H33" s="36"/>
      <c r="I33" s="35">
        <f t="shared" si="3"/>
        <v>0</v>
      </c>
    </row>
    <row r="34" spans="1:9" ht="19.5">
      <c r="A34" s="33">
        <f t="shared" si="4"/>
        <v>44277</v>
      </c>
      <c r="B34" s="34"/>
      <c r="C34" s="35">
        <f t="shared" si="0"/>
        <v>0</v>
      </c>
      <c r="D34" s="36"/>
      <c r="E34" s="35">
        <f t="shared" si="5"/>
        <v>0</v>
      </c>
      <c r="F34" s="36"/>
      <c r="G34" s="35">
        <f t="shared" si="2"/>
        <v>0</v>
      </c>
      <c r="H34" s="36"/>
      <c r="I34" s="35">
        <f t="shared" si="3"/>
        <v>0</v>
      </c>
    </row>
    <row r="35" spans="1:9" ht="19.5">
      <c r="A35" s="33">
        <f t="shared" si="4"/>
        <v>44278</v>
      </c>
      <c r="B35" s="34"/>
      <c r="C35" s="35">
        <f t="shared" si="0"/>
        <v>0</v>
      </c>
      <c r="D35" s="36"/>
      <c r="E35" s="35">
        <f t="shared" si="5"/>
        <v>0</v>
      </c>
      <c r="F35" s="36"/>
      <c r="G35" s="35">
        <f t="shared" si="2"/>
        <v>0</v>
      </c>
      <c r="H35" s="36"/>
      <c r="I35" s="35">
        <f t="shared" si="3"/>
        <v>0</v>
      </c>
    </row>
    <row r="36" spans="1:9" ht="19.5">
      <c r="A36" s="33">
        <f t="shared" si="4"/>
        <v>44279</v>
      </c>
      <c r="B36" s="34"/>
      <c r="C36" s="35">
        <f t="shared" si="0"/>
        <v>0</v>
      </c>
      <c r="D36" s="36"/>
      <c r="E36" s="35">
        <f t="shared" si="5"/>
        <v>0</v>
      </c>
      <c r="F36" s="36"/>
      <c r="G36" s="35">
        <f t="shared" si="2"/>
        <v>0</v>
      </c>
      <c r="H36" s="36"/>
      <c r="I36" s="35">
        <f t="shared" si="3"/>
        <v>0</v>
      </c>
    </row>
    <row r="37" spans="1:9" ht="19.5">
      <c r="A37" s="33">
        <f t="shared" si="4"/>
        <v>44280</v>
      </c>
      <c r="B37" s="34"/>
      <c r="C37" s="35">
        <f t="shared" si="0"/>
        <v>0</v>
      </c>
      <c r="D37" s="36"/>
      <c r="E37" s="35">
        <f t="shared" si="5"/>
        <v>0</v>
      </c>
      <c r="F37" s="36"/>
      <c r="G37" s="35">
        <f t="shared" si="2"/>
        <v>0</v>
      </c>
      <c r="H37" s="36"/>
      <c r="I37" s="35">
        <f t="shared" si="3"/>
        <v>0</v>
      </c>
    </row>
    <row r="38" spans="1:9" ht="19.5">
      <c r="A38" s="33">
        <f t="shared" si="4"/>
        <v>44281</v>
      </c>
      <c r="B38" s="34"/>
      <c r="C38" s="35">
        <f t="shared" si="0"/>
        <v>0</v>
      </c>
      <c r="D38" s="36"/>
      <c r="E38" s="35">
        <f t="shared" si="5"/>
        <v>0</v>
      </c>
      <c r="F38" s="36"/>
      <c r="G38" s="35">
        <f t="shared" si="2"/>
        <v>0</v>
      </c>
      <c r="H38" s="36"/>
      <c r="I38" s="35">
        <f t="shared" si="3"/>
        <v>0</v>
      </c>
    </row>
    <row r="39" spans="1:9" ht="19.5">
      <c r="A39" s="33">
        <f t="shared" si="4"/>
        <v>44282</v>
      </c>
      <c r="B39" s="34"/>
      <c r="C39" s="35">
        <f t="shared" si="0"/>
        <v>0</v>
      </c>
      <c r="D39" s="36"/>
      <c r="E39" s="35">
        <f t="shared" si="5"/>
        <v>0</v>
      </c>
      <c r="F39" s="36"/>
      <c r="G39" s="35">
        <f t="shared" si="2"/>
        <v>0</v>
      </c>
      <c r="H39" s="36"/>
      <c r="I39" s="35">
        <f t="shared" si="3"/>
        <v>0</v>
      </c>
    </row>
    <row r="40" spans="1:9" ht="19.5">
      <c r="A40" s="33">
        <f t="shared" si="4"/>
        <v>44283</v>
      </c>
      <c r="B40" s="34"/>
      <c r="C40" s="35">
        <f t="shared" si="0"/>
        <v>0</v>
      </c>
      <c r="D40" s="36"/>
      <c r="E40" s="35">
        <f t="shared" si="5"/>
        <v>0</v>
      </c>
      <c r="F40" s="36"/>
      <c r="G40" s="35">
        <f t="shared" si="2"/>
        <v>0</v>
      </c>
      <c r="H40" s="36"/>
      <c r="I40" s="35">
        <f t="shared" si="3"/>
        <v>0</v>
      </c>
    </row>
    <row r="41" spans="1:9" ht="19.5">
      <c r="A41" s="33">
        <f t="shared" si="4"/>
        <v>44284</v>
      </c>
      <c r="B41" s="34"/>
      <c r="C41" s="35">
        <f t="shared" si="0"/>
        <v>0</v>
      </c>
      <c r="D41" s="36"/>
      <c r="E41" s="35">
        <f t="shared" si="5"/>
        <v>0</v>
      </c>
      <c r="F41" s="36"/>
      <c r="G41" s="35">
        <f t="shared" si="2"/>
        <v>0</v>
      </c>
      <c r="H41" s="36"/>
      <c r="I41" s="35">
        <f t="shared" si="3"/>
        <v>0</v>
      </c>
    </row>
    <row r="42" spans="1:9" ht="19.5">
      <c r="A42" s="33">
        <f t="shared" si="4"/>
        <v>44285</v>
      </c>
      <c r="B42" s="34"/>
      <c r="C42" s="35">
        <f t="shared" si="0"/>
        <v>0</v>
      </c>
      <c r="D42" s="36"/>
      <c r="E42" s="35">
        <f t="shared" si="5"/>
        <v>0</v>
      </c>
      <c r="F42" s="36"/>
      <c r="G42" s="35">
        <f t="shared" si="2"/>
        <v>0</v>
      </c>
      <c r="H42" s="36"/>
      <c r="I42" s="35">
        <f t="shared" si="3"/>
        <v>0</v>
      </c>
    </row>
    <row r="43" spans="1:9" ht="19.5">
      <c r="A43" s="33">
        <f t="shared" si="4"/>
        <v>44286</v>
      </c>
      <c r="B43" s="34"/>
      <c r="C43" s="35">
        <f t="shared" si="0"/>
        <v>0</v>
      </c>
      <c r="D43" s="36"/>
      <c r="E43" s="35">
        <f t="shared" si="5"/>
        <v>0</v>
      </c>
      <c r="F43" s="36"/>
      <c r="G43" s="35">
        <f t="shared" si="2"/>
        <v>0</v>
      </c>
      <c r="H43" s="36"/>
      <c r="I43" s="35">
        <f t="shared" si="3"/>
        <v>0</v>
      </c>
    </row>
    <row r="44" spans="1:9" ht="19.5">
      <c r="A44" s="33">
        <f t="shared" si="4"/>
        <v>44287</v>
      </c>
      <c r="B44" s="34"/>
      <c r="C44" s="35">
        <f t="shared" si="0"/>
        <v>0</v>
      </c>
      <c r="D44" s="36"/>
      <c r="E44" s="35">
        <f t="shared" si="5"/>
        <v>0</v>
      </c>
      <c r="F44" s="36"/>
      <c r="G44" s="35">
        <f t="shared" si="2"/>
        <v>0</v>
      </c>
      <c r="H44" s="36"/>
      <c r="I44" s="35">
        <f t="shared" si="3"/>
        <v>0</v>
      </c>
    </row>
    <row r="45" spans="1:9" ht="19.5">
      <c r="A45" s="33">
        <f t="shared" si="4"/>
        <v>44288</v>
      </c>
      <c r="B45" s="34"/>
      <c r="C45" s="35">
        <f t="shared" si="0"/>
        <v>0</v>
      </c>
      <c r="D45" s="36"/>
      <c r="E45" s="35">
        <f t="shared" si="5"/>
        <v>0</v>
      </c>
      <c r="F45" s="36"/>
      <c r="G45" s="35">
        <f t="shared" si="2"/>
        <v>0</v>
      </c>
      <c r="H45" s="36"/>
      <c r="I45" s="35">
        <f t="shared" si="3"/>
        <v>0</v>
      </c>
    </row>
    <row r="46" spans="1:9" ht="19.5">
      <c r="A46" s="33">
        <f t="shared" si="4"/>
        <v>44289</v>
      </c>
      <c r="B46" s="34"/>
      <c r="C46" s="35">
        <f t="shared" si="0"/>
        <v>0</v>
      </c>
      <c r="D46" s="36"/>
      <c r="E46" s="35">
        <f t="shared" si="5"/>
        <v>0</v>
      </c>
      <c r="F46" s="36"/>
      <c r="G46" s="35">
        <f t="shared" si="2"/>
        <v>0</v>
      </c>
      <c r="H46" s="36"/>
      <c r="I46" s="35">
        <f t="shared" si="3"/>
        <v>0</v>
      </c>
    </row>
    <row r="47" spans="1:9" ht="19.5">
      <c r="A47" s="33">
        <f t="shared" si="4"/>
        <v>44290</v>
      </c>
      <c r="B47" s="34"/>
      <c r="C47" s="35">
        <f t="shared" si="0"/>
        <v>0</v>
      </c>
      <c r="D47" s="36"/>
      <c r="E47" s="35">
        <f t="shared" si="5"/>
        <v>0</v>
      </c>
      <c r="F47" s="36"/>
      <c r="G47" s="35">
        <f t="shared" si="2"/>
        <v>0</v>
      </c>
      <c r="H47" s="36"/>
      <c r="I47" s="35">
        <f t="shared" si="3"/>
        <v>0</v>
      </c>
    </row>
    <row r="48" spans="1:9" ht="21.75" customHeight="1" thickTop="1" thickBot="1">
      <c r="A48" s="37"/>
      <c r="C48" s="35">
        <f>SUM(C13:C43)</f>
        <v>3104</v>
      </c>
      <c r="E48" s="35">
        <f>SUM(E13:E43)</f>
        <v>36893</v>
      </c>
      <c r="F48" s="47"/>
      <c r="G48" s="35">
        <f>SUM(G13:G43)</f>
        <v>59174</v>
      </c>
      <c r="H48" s="47"/>
      <c r="I48" s="35">
        <f>SUM(I13:I43)</f>
        <v>24854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8" priority="1314" stopIfTrue="1" operator="lessThanOrEqual">
      <formula>0</formula>
    </cfRule>
  </conditionalFormatting>
  <conditionalFormatting sqref="C48">
    <cfRule type="cellIs" dxfId="47" priority="976" stopIfTrue="1" operator="lessThanOrEqual">
      <formula>0</formula>
    </cfRule>
  </conditionalFormatting>
  <conditionalFormatting sqref="C48">
    <cfRule type="cellIs" dxfId="46" priority="975" stopIfTrue="1" operator="lessThanOrEqual">
      <formula>0</formula>
    </cfRule>
  </conditionalFormatting>
  <conditionalFormatting sqref="C48">
    <cfRule type="cellIs" dxfId="45" priority="974" stopIfTrue="1" operator="lessThanOrEqual">
      <formula>0</formula>
    </cfRule>
  </conditionalFormatting>
  <conditionalFormatting sqref="C48">
    <cfRule type="cellIs" dxfId="44" priority="973" stopIfTrue="1" operator="lessThanOrEqual">
      <formula>0</formula>
    </cfRule>
  </conditionalFormatting>
  <conditionalFormatting sqref="C9:C11">
    <cfRule type="cellIs" dxfId="43" priority="48" stopIfTrue="1" operator="lessThanOrEqual">
      <formula>0</formula>
    </cfRule>
  </conditionalFormatting>
  <conditionalFormatting sqref="C9:C11">
    <cfRule type="cellIs" dxfId="42" priority="47" stopIfTrue="1" operator="lessThanOrEqual">
      <formula>0</formula>
    </cfRule>
  </conditionalFormatting>
  <conditionalFormatting sqref="C9:C11">
    <cfRule type="cellIs" dxfId="41" priority="46" stopIfTrue="1" operator="lessThanOrEqual">
      <formula>0</formula>
    </cfRule>
  </conditionalFormatting>
  <conditionalFormatting sqref="C9:C11">
    <cfRule type="cellIs" dxfId="40" priority="45" stopIfTrue="1" operator="lessThanOrEqual">
      <formula>0</formula>
    </cfRule>
  </conditionalFormatting>
  <conditionalFormatting sqref="C12">
    <cfRule type="cellIs" dxfId="39" priority="44" stopIfTrue="1" operator="lessThanOrEqual">
      <formula>0</formula>
    </cfRule>
  </conditionalFormatting>
  <conditionalFormatting sqref="C12">
    <cfRule type="cellIs" dxfId="38" priority="43" stopIfTrue="1" operator="lessThanOrEqual">
      <formula>0</formula>
    </cfRule>
  </conditionalFormatting>
  <conditionalFormatting sqref="C12">
    <cfRule type="cellIs" dxfId="37" priority="42" stopIfTrue="1" operator="lessThanOrEqual">
      <formula>0</formula>
    </cfRule>
  </conditionalFormatting>
  <conditionalFormatting sqref="C12">
    <cfRule type="cellIs" dxfId="36" priority="41" stopIfTrue="1" operator="lessThanOrEqual">
      <formula>0</formula>
    </cfRule>
  </conditionalFormatting>
  <conditionalFormatting sqref="C13">
    <cfRule type="cellIs" dxfId="35" priority="40" stopIfTrue="1" operator="lessThanOrEqual">
      <formula>0</formula>
    </cfRule>
  </conditionalFormatting>
  <conditionalFormatting sqref="C13">
    <cfRule type="cellIs" dxfId="34" priority="39" stopIfTrue="1" operator="lessThanOrEqual">
      <formula>0</formula>
    </cfRule>
  </conditionalFormatting>
  <conditionalFormatting sqref="C13">
    <cfRule type="cellIs" dxfId="33" priority="38" stopIfTrue="1" operator="lessThanOrEqual">
      <formula>0</formula>
    </cfRule>
  </conditionalFormatting>
  <conditionalFormatting sqref="C13">
    <cfRule type="cellIs" dxfId="32" priority="37" stopIfTrue="1" operator="lessThanOrEqual">
      <formula>0</formula>
    </cfRule>
  </conditionalFormatting>
  <conditionalFormatting sqref="E48">
    <cfRule type="cellIs" dxfId="31" priority="36" stopIfTrue="1" operator="lessThanOrEqual">
      <formula>0</formula>
    </cfRule>
  </conditionalFormatting>
  <conditionalFormatting sqref="E48">
    <cfRule type="cellIs" dxfId="30" priority="35" stopIfTrue="1" operator="lessThanOrEqual">
      <formula>0</formula>
    </cfRule>
  </conditionalFormatting>
  <conditionalFormatting sqref="E48">
    <cfRule type="cellIs" dxfId="29" priority="34" stopIfTrue="1" operator="lessThanOrEqual">
      <formula>0</formula>
    </cfRule>
  </conditionalFormatting>
  <conditionalFormatting sqref="E48">
    <cfRule type="cellIs" dxfId="28" priority="33" stopIfTrue="1" operator="lessThanOrEqual">
      <formula>0</formula>
    </cfRule>
  </conditionalFormatting>
  <conditionalFormatting sqref="G48">
    <cfRule type="cellIs" dxfId="27" priority="32" stopIfTrue="1" operator="lessThanOrEqual">
      <formula>0</formula>
    </cfRule>
  </conditionalFormatting>
  <conditionalFormatting sqref="G48">
    <cfRule type="cellIs" dxfId="26" priority="31" stopIfTrue="1" operator="lessThanOrEqual">
      <formula>0</formula>
    </cfRule>
  </conditionalFormatting>
  <conditionalFormatting sqref="G48">
    <cfRule type="cellIs" dxfId="25" priority="30" stopIfTrue="1" operator="lessThanOrEqual">
      <formula>0</formula>
    </cfRule>
  </conditionalFormatting>
  <conditionalFormatting sqref="G48">
    <cfRule type="cellIs" dxfId="24" priority="29" stopIfTrue="1" operator="lessThanOrEqual">
      <formula>0</formula>
    </cfRule>
  </conditionalFormatting>
  <conditionalFormatting sqref="I48">
    <cfRule type="cellIs" dxfId="23" priority="28" stopIfTrue="1" operator="lessThanOrEqual">
      <formula>0</formula>
    </cfRule>
  </conditionalFormatting>
  <conditionalFormatting sqref="I48">
    <cfRule type="cellIs" dxfId="22" priority="27" stopIfTrue="1" operator="lessThanOrEqual">
      <formula>0</formula>
    </cfRule>
  </conditionalFormatting>
  <conditionalFormatting sqref="I48">
    <cfRule type="cellIs" dxfId="21" priority="26" stopIfTrue="1" operator="lessThanOrEqual">
      <formula>0</formula>
    </cfRule>
  </conditionalFormatting>
  <conditionalFormatting sqref="I48">
    <cfRule type="cellIs" dxfId="20" priority="25" stopIfTrue="1" operator="lessThanOrEqual">
      <formula>0</formula>
    </cfRule>
  </conditionalFormatting>
  <conditionalFormatting sqref="C14:C15">
    <cfRule type="cellIs" dxfId="19" priority="24" stopIfTrue="1" operator="lessThanOrEqual">
      <formula>0</formula>
    </cfRule>
  </conditionalFormatting>
  <conditionalFormatting sqref="C14:C15">
    <cfRule type="cellIs" dxfId="18" priority="23" stopIfTrue="1" operator="lessThanOrEqual">
      <formula>0</formula>
    </cfRule>
  </conditionalFormatting>
  <conditionalFormatting sqref="C14:C15">
    <cfRule type="cellIs" dxfId="17" priority="22" stopIfTrue="1" operator="lessThanOrEqual">
      <formula>0</formula>
    </cfRule>
  </conditionalFormatting>
  <conditionalFormatting sqref="C14:C15">
    <cfRule type="cellIs" dxfId="16" priority="21" stopIfTrue="1" operator="lessThanOrEqual">
      <formula>0</formula>
    </cfRule>
  </conditionalFormatting>
  <conditionalFormatting sqref="C16:C21 C27:C47">
    <cfRule type="cellIs" dxfId="15" priority="20" stopIfTrue="1" operator="lessThanOrEqual">
      <formula>0</formula>
    </cfRule>
  </conditionalFormatting>
  <conditionalFormatting sqref="C16:C21 C27:C47">
    <cfRule type="cellIs" dxfId="14" priority="19" stopIfTrue="1" operator="lessThanOrEqual">
      <formula>0</formula>
    </cfRule>
  </conditionalFormatting>
  <conditionalFormatting sqref="C16:C21 C27:C47">
    <cfRule type="cellIs" dxfId="13" priority="18" stopIfTrue="1" operator="lessThanOrEqual">
      <formula>0</formula>
    </cfRule>
  </conditionalFormatting>
  <conditionalFormatting sqref="C16:C21 C27:C47">
    <cfRule type="cellIs" dxfId="12" priority="17" stopIfTrue="1" operator="lessThanOrEqual">
      <formula>0</formula>
    </cfRule>
  </conditionalFormatting>
  <conditionalFormatting sqref="C22">
    <cfRule type="cellIs" dxfId="11" priority="12" stopIfTrue="1" operator="lessThanOrEqual">
      <formula>0</formula>
    </cfRule>
  </conditionalFormatting>
  <conditionalFormatting sqref="C22">
    <cfRule type="cellIs" dxfId="10" priority="11" stopIfTrue="1" operator="lessThanOrEqual">
      <formula>0</formula>
    </cfRule>
  </conditionalFormatting>
  <conditionalFormatting sqref="C22">
    <cfRule type="cellIs" dxfId="9" priority="10" stopIfTrue="1" operator="lessThanOrEqual">
      <formula>0</formula>
    </cfRule>
  </conditionalFormatting>
  <conditionalFormatting sqref="C22">
    <cfRule type="cellIs" dxfId="8" priority="9" stopIfTrue="1" operator="lessThanOrEqual">
      <formula>0</formula>
    </cfRule>
  </conditionalFormatting>
  <conditionalFormatting sqref="C23:C25">
    <cfRule type="cellIs" dxfId="7" priority="8" stopIfTrue="1" operator="lessThanOrEqual">
      <formula>0</formula>
    </cfRule>
  </conditionalFormatting>
  <conditionalFormatting sqref="C23:C25">
    <cfRule type="cellIs" dxfId="6" priority="7" stopIfTrue="1" operator="lessThanOrEqual">
      <formula>0</formula>
    </cfRule>
  </conditionalFormatting>
  <conditionalFormatting sqref="C23:C25">
    <cfRule type="cellIs" dxfId="5" priority="6" stopIfTrue="1" operator="lessThanOrEqual">
      <formula>0</formula>
    </cfRule>
  </conditionalFormatting>
  <conditionalFormatting sqref="C23:C25">
    <cfRule type="cellIs" dxfId="4" priority="5" stopIfTrue="1" operator="lessThanOrEqual">
      <formula>0</formula>
    </cfRule>
  </conditionalFormatting>
  <conditionalFormatting sqref="C26">
    <cfRule type="cellIs" dxfId="3" priority="4" stopIfTrue="1" operator="lessThanOrEqual">
      <formula>0</formula>
    </cfRule>
  </conditionalFormatting>
  <conditionalFormatting sqref="C26">
    <cfRule type="cellIs" dxfId="2" priority="3" stopIfTrue="1" operator="lessThanOrEqual">
      <formula>0</formula>
    </cfRule>
  </conditionalFormatting>
  <conditionalFormatting sqref="C26">
    <cfRule type="cellIs" dxfId="1" priority="2" stopIfTrue="1" operator="lessThanOrEqual">
      <formula>0</formula>
    </cfRule>
  </conditionalFormatting>
  <conditionalFormatting sqref="C2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514F25-C294-40C2-A953-50BB6872018A}"/>
</file>

<file path=customXml/itemProps2.xml><?xml version="1.0" encoding="utf-8"?>
<ds:datastoreItem xmlns:ds="http://schemas.openxmlformats.org/officeDocument/2006/customXml" ds:itemID="{3A47A9EB-F5A8-49A5-9CF2-E69D2BDAB3C2}"/>
</file>

<file path=customXml/itemProps3.xml><?xml version="1.0" encoding="utf-8"?>
<ds:datastoreItem xmlns:ds="http://schemas.openxmlformats.org/officeDocument/2006/customXml" ds:itemID="{5FB19898-29D9-40FA-837A-5D7F2F24C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2021-03-14T10:23:54Z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