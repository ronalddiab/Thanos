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06 - 2022" sheetId="5" r:id="rId1"/>
    <sheet name="Total Daily " sheetId="3" r:id="rId2"/>
    <sheet name="Submetering Daily " sheetId="2" r:id="rId3"/>
  </sheets>
  <definedNames>
    <definedName name="_xlnm.Print_Area" localSheetId="0">'06 - 2022'!$A$1:$J$35</definedName>
  </definedNames>
  <calcPr calcId="162913"/>
</workbook>
</file>

<file path=xl/calcChain.xml><?xml version="1.0" encoding="utf-8"?>
<calcChain xmlns="http://schemas.openxmlformats.org/spreadsheetml/2006/main">
  <c r="J26" i="2" l="1"/>
  <c r="I26" i="2"/>
  <c r="H26" i="2"/>
  <c r="F26" i="2"/>
  <c r="E26" i="2"/>
  <c r="L26" i="3"/>
  <c r="K26" i="3"/>
  <c r="I26" i="3"/>
  <c r="G26" i="3"/>
  <c r="E26" i="3"/>
  <c r="K38" i="5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8" i="5" l="1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<sst xmlns="http://schemas.openxmlformats.org/spreadsheetml/2006/main" count="105" uniqueCount="38">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</sst>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N30" sqref="N30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>
        <v>200217</v>
      </c>
      <c r="C29" s="37">
        <v>1037064.3</v>
      </c>
      <c r="D29" s="43">
        <v>0.57999999999999996</v>
      </c>
      <c r="E29" s="45">
        <v>2436.5500000000002</v>
      </c>
      <c r="F29" s="26">
        <v>2482.2600000000002</v>
      </c>
      <c r="G29" s="38">
        <v>43184.14</v>
      </c>
      <c r="H29" s="68">
        <v>14528</v>
      </c>
      <c r="I29" s="37">
        <v>161499</v>
      </c>
      <c r="J29" s="37">
        <v>56518208</v>
      </c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>
        <v>203986</v>
      </c>
      <c r="C30" s="37">
        <v>1042738.6</v>
      </c>
      <c r="D30" s="43">
        <v>0.49</v>
      </c>
      <c r="E30" s="45">
        <v>2463.13</v>
      </c>
      <c r="F30" s="26">
        <v>2489.73</v>
      </c>
      <c r="G30" s="38">
        <v>43215.51</v>
      </c>
      <c r="H30" s="68">
        <v>14528</v>
      </c>
      <c r="I30" s="37">
        <v>161616</v>
      </c>
      <c r="J30" s="37">
        <v>56546070</v>
      </c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>
        <v>207823</v>
      </c>
      <c r="C31" s="37">
        <v>1048679.5</v>
      </c>
      <c r="D31" s="43">
        <v>0.4</v>
      </c>
      <c r="E31" s="45">
        <v>2487.42</v>
      </c>
      <c r="F31" s="26">
        <v>2497.35</v>
      </c>
      <c r="G31" s="38">
        <v>43250.48</v>
      </c>
      <c r="H31" s="68">
        <v>14528</v>
      </c>
      <c r="I31" s="37">
        <v>161738</v>
      </c>
      <c r="J31" s="37">
        <v>56581733</v>
      </c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>
        <v>212030</v>
      </c>
      <c r="C32" s="37">
        <v>1054876.3999999999</v>
      </c>
      <c r="D32" s="43">
        <v>0.35</v>
      </c>
      <c r="E32" s="40">
        <v>2512.9</v>
      </c>
      <c r="F32" s="26">
        <v>2504.58</v>
      </c>
      <c r="G32" s="38">
        <v>43283.6</v>
      </c>
      <c r="H32" s="68">
        <v>14528</v>
      </c>
      <c r="I32" s="37">
        <v>161850</v>
      </c>
      <c r="J32" s="37">
        <v>56618322</v>
      </c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>
        <v>215858</v>
      </c>
      <c r="C33" s="37">
        <v>1060595.7</v>
      </c>
      <c r="D33" s="43">
        <v>0.77</v>
      </c>
      <c r="E33" s="40">
        <v>2537.1</v>
      </c>
      <c r="F33" s="26">
        <v>2512.44</v>
      </c>
      <c r="G33" s="38">
        <v>43315.75</v>
      </c>
      <c r="H33" s="68">
        <v>14528</v>
      </c>
      <c r="I33" s="37">
        <v>161954</v>
      </c>
      <c r="J33" s="37">
        <v>56655676</v>
      </c>
      <c r="K33" s="71">
        <v>3451</v>
      </c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>
        <v>219761</v>
      </c>
      <c r="C34" s="39">
        <v>1066420.7</v>
      </c>
      <c r="D34" s="43">
        <v>0.71</v>
      </c>
      <c r="E34" s="45">
        <v>2563.5700000000002</v>
      </c>
      <c r="F34" s="26">
        <v>2521.11</v>
      </c>
      <c r="G34" s="38">
        <v>43351.13</v>
      </c>
      <c r="H34" s="68">
        <v>14528</v>
      </c>
      <c r="I34" s="38">
        <v>162067</v>
      </c>
      <c r="J34" s="38">
        <v>56694421</v>
      </c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14901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L30" sqref="L3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10129.600000000093</v>
      </c>
      <c r="F23" s="14">
        <v>0.11799999999999999</v>
      </c>
      <c r="G23" s="16">
        <f>'06 - 2022'!D29-'06 - 2022'!D28+'06 - 2022'!E29-'06 - 2022'!E28</f>
        <v>27.040000000000418</v>
      </c>
      <c r="H23" s="14">
        <v>0.99</v>
      </c>
      <c r="I23" s="16">
        <f>'06 - 2022'!J29-'06 - 2022'!J28</f>
        <v>31860</v>
      </c>
      <c r="J23" s="14">
        <v>8.1000000000000003E-2</v>
      </c>
      <c r="K23" s="23">
        <f>'06 - 2022'!H29-'06 - 2022'!H28</f>
        <v>0</v>
      </c>
      <c r="L23" s="16">
        <f>'06 - 2022'!I29-'06 - 2022'!I28</f>
        <v>102</v>
      </c>
      <c r="M23" s="15">
        <v>4.393629424766913</v>
      </c>
      <c r="N23" s="16">
        <v>67</v>
      </c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9443.2999999999302</v>
      </c>
      <c r="F24" s="14">
        <v>0.11799999999999999</v>
      </c>
      <c r="G24" s="16">
        <f>'06 - 2022'!D30-'06 - 2022'!D29+'06 - 2022'!E30-'06 - 2022'!E29</f>
        <v>26.489999999999782</v>
      </c>
      <c r="H24" s="14">
        <v>0.99</v>
      </c>
      <c r="I24" s="16">
        <f>'06 - 2022'!J30-'06 - 2022'!J29</f>
        <v>27862</v>
      </c>
      <c r="J24" s="14">
        <v>8.1000000000000003E-2</v>
      </c>
      <c r="K24" s="23">
        <f>'06 - 2022'!H30-'06 - 2022'!H29</f>
        <v>0</v>
      </c>
      <c r="L24" s="16">
        <f>'06 - 2022'!I30-'06 - 2022'!I29</f>
        <v>117</v>
      </c>
      <c r="M24" s="15">
        <v>4.393629424766913</v>
      </c>
      <c r="N24" s="16">
        <v>79</v>
      </c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9777.9000000000233</v>
      </c>
      <c r="F25" s="14">
        <v>0.11799999999999999</v>
      </c>
      <c r="G25" s="16">
        <f>'06 - 2022'!D31-'06 - 2022'!D30+'06 - 2022'!E31-'06 - 2022'!E30</f>
        <v>24.199999999999818</v>
      </c>
      <c r="H25" s="14">
        <v>0.99</v>
      </c>
      <c r="I25" s="16">
        <f>'06 - 2022'!J31-'06 - 2022'!J30</f>
        <v>35663</v>
      </c>
      <c r="J25" s="14">
        <v>8.1000000000000003E-2</v>
      </c>
      <c r="K25" s="23">
        <f>'06 - 2022'!H31-'06 - 2022'!H30</f>
        <v>0</v>
      </c>
      <c r="L25" s="16">
        <f>'06 - 2022'!I31-'06 - 2022'!I30</f>
        <v>122</v>
      </c>
      <c r="M25" s="15">
        <v>4.393629424766913</v>
      </c>
      <c r="N25" s="16">
        <v>68</v>
      </c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10403.899999999907</v>
      </c>
      <c r="F26" s="14">
        <v>0.11799999999999999</v>
      </c>
      <c r="G26" s="16">
        <f>'06 - 2022'!D32-'06 - 2022'!D31+'06 - 2022'!E32-'06 - 2022'!E31</f>
        <v>25.429999999999836</v>
      </c>
      <c r="H26" s="14">
        <v>0.99</v>
      </c>
      <c r="I26" s="16">
        <f>'06 - 2022'!J32-'06 - 2022'!J31</f>
        <v>36589</v>
      </c>
      <c r="J26" s="14">
        <v>8.1000000000000003E-2</v>
      </c>
      <c r="K26" s="23">
        <f>'06 - 2022'!H32-'06 - 2022'!H31</f>
        <v>0</v>
      </c>
      <c r="L26" s="16">
        <f>'06 - 2022'!I32-'06 - 2022'!I31</f>
        <v>112</v>
      </c>
      <c r="M26" s="15">
        <v>4.393629424766913</v>
      </c>
      <c r="N26" s="16">
        <v>63</v>
      </c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9547.3000000000466</v>
      </c>
      <c r="F27" s="14">
        <v>0.11799999999999999</v>
      </c>
      <c r="G27" s="16">
        <f>'06 - 2022'!D33-'06 - 2022'!D32+'06 - 2022'!E33-'06 - 2022'!E32</f>
        <v>24.619999999999891</v>
      </c>
      <c r="H27" s="14">
        <v>0.99</v>
      </c>
      <c r="I27" s="16">
        <f>'06 - 2022'!J33-'06 - 2022'!J32</f>
        <v>37354</v>
      </c>
      <c r="J27" s="14">
        <v>8.1000000000000003E-2</v>
      </c>
      <c r="K27" s="23">
        <f>'06 - 2022'!H33-'06 - 2022'!H32</f>
        <v>0</v>
      </c>
      <c r="L27" s="16">
        <f>'06 - 2022'!I33-'06 - 2022'!I32</f>
        <v>104</v>
      </c>
      <c r="M27" s="15">
        <v>4.393629424766913</v>
      </c>
      <c r="N27" s="16">
        <v>60</v>
      </c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9728</v>
      </c>
      <c r="F28" s="14">
        <v>0.11799999999999999</v>
      </c>
      <c r="G28" s="16">
        <f>'06 - 2022'!D34-'06 - 2022'!D33+'06 - 2022'!E34-'06 - 2022'!E33</f>
        <v>26.410000000000309</v>
      </c>
      <c r="H28" s="14">
        <v>0.99</v>
      </c>
      <c r="I28" s="16">
        <f>'06 - 2022'!J34-'06 - 2022'!J33</f>
        <v>38745</v>
      </c>
      <c r="J28" s="14">
        <v>8.1000000000000003E-2</v>
      </c>
      <c r="K28" s="23">
        <f>'06 - 2022'!H34-'06 - 2022'!H33</f>
        <v>0</v>
      </c>
      <c r="L28" s="16">
        <f>'06 - 2022'!I34-'06 - 2022'!I33</f>
        <v>113</v>
      </c>
      <c r="M28" s="15">
        <v>4.393629424766913</v>
      </c>
      <c r="N28" s="16">
        <v>51</v>
      </c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v>0</v>
      </c>
      <c r="F29" s="14">
        <v>0.11799999999999999</v>
      </c>
      <c r="G29" s="16">
        <v>0</v>
      </c>
      <c r="H29" s="14">
        <v>0.99</v>
      </c>
      <c r="I29" s="16">
        <v>0</v>
      </c>
      <c r="J29" s="14">
        <v>8.1000000000000003E-2</v>
      </c>
      <c r="K29" s="23">
        <v>0</v>
      </c>
      <c r="L29" s="16"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4"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4167</v>
      </c>
      <c r="F23" s="16">
        <f>'06 - 2022'!C29-'06 - 2022'!C28</f>
        <v>5962.6000000000931</v>
      </c>
      <c r="G23" s="14">
        <v>0.11799999999999999</v>
      </c>
      <c r="H23" s="16">
        <f>'06 - 2022'!E29-'06 - 2022'!E28</f>
        <v>27.100000000000364</v>
      </c>
      <c r="I23" s="16">
        <f>'06 - 2022'!F29-'06 - 2022'!F28</f>
        <v>8.7600000000002183</v>
      </c>
      <c r="J23" s="16">
        <f>'06 - 2022'!G29-'06 - 2022'!G28</f>
        <v>32.959999999999127</v>
      </c>
      <c r="K23" s="14">
        <v>0.74</v>
      </c>
      <c r="L23" s="16">
        <v>67</v>
      </c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3769</v>
      </c>
      <c r="F24" s="16">
        <f>'06 - 2022'!C30-'06 - 2022'!C29</f>
        <v>5674.2999999999302</v>
      </c>
      <c r="G24" s="14">
        <v>0.11799999999999999</v>
      </c>
      <c r="H24" s="16">
        <f>'06 - 2022'!E30-'06 - 2022'!E29</f>
        <v>26.579999999999927</v>
      </c>
      <c r="I24" s="16">
        <f>'06 - 2022'!F30-'06 - 2022'!F29</f>
        <v>7.4699999999997999</v>
      </c>
      <c r="J24" s="16">
        <f>'06 - 2022'!G30-'06 - 2022'!G29</f>
        <v>31.370000000002619</v>
      </c>
      <c r="K24" s="14">
        <v>0.74</v>
      </c>
      <c r="L24" s="16">
        <v>79</v>
      </c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3837</v>
      </c>
      <c r="F25" s="16">
        <f>'06 - 2022'!C31-'06 - 2022'!C30</f>
        <v>5940.9000000000233</v>
      </c>
      <c r="G25" s="14">
        <v>0.11799999999999999</v>
      </c>
      <c r="H25" s="16">
        <f>'06 - 2022'!E31-'06 - 2022'!E30</f>
        <v>24.289999999999964</v>
      </c>
      <c r="I25" s="16">
        <f>'06 - 2022'!F31-'06 - 2022'!F30</f>
        <v>7.6199999999998909</v>
      </c>
      <c r="J25" s="16">
        <f>'06 - 2022'!G31-'06 - 2022'!G30</f>
        <v>34.970000000001164</v>
      </c>
      <c r="K25" s="14">
        <v>0.74</v>
      </c>
      <c r="L25" s="4">
        <v>68</v>
      </c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4207</v>
      </c>
      <c r="F26" s="16">
        <f>'06 - 2022'!C32-'06 - 2022'!C31</f>
        <v>6196.8999999999069</v>
      </c>
      <c r="G26" s="14">
        <v>0.11799999999999999</v>
      </c>
      <c r="H26" s="16">
        <f>'06 - 2022'!E32-'06 - 2022'!E31</f>
        <v>25.480000000000018</v>
      </c>
      <c r="I26" s="16">
        <f>'06 - 2022'!F32-'06 - 2022'!F31</f>
        <v>7.2300000000000182</v>
      </c>
      <c r="J26" s="16">
        <f>'06 - 2022'!G32-'06 - 2022'!G31</f>
        <v>33.119999999995343</v>
      </c>
      <c r="K26" s="14">
        <v>0.74</v>
      </c>
      <c r="L26" s="4">
        <v>63</v>
      </c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3828</v>
      </c>
      <c r="F27" s="16">
        <f>'06 - 2022'!C33-'06 - 2022'!C32</f>
        <v>5719.3000000000466</v>
      </c>
      <c r="G27" s="14">
        <v>0.11799999999999999</v>
      </c>
      <c r="H27" s="16">
        <f>'06 - 2022'!E33-'06 - 2022'!E32</f>
        <v>24.199999999999818</v>
      </c>
      <c r="I27" s="16">
        <f>'06 - 2022'!F33-'06 - 2022'!F32</f>
        <v>7.8600000000001273</v>
      </c>
      <c r="J27" s="16">
        <f>'06 - 2022'!G33-'06 - 2022'!G32</f>
        <v>32.150000000001455</v>
      </c>
      <c r="K27" s="14">
        <v>0.74</v>
      </c>
      <c r="L27" s="16">
        <v>60</v>
      </c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3903</v>
      </c>
      <c r="F28" s="16">
        <f>'06 - 2022'!C34-'06 - 2022'!C33</f>
        <v>5825</v>
      </c>
      <c r="G28" s="14">
        <v>0.11799999999999999</v>
      </c>
      <c r="H28" s="16">
        <f>'06 - 2022'!E34-'06 - 2022'!E33</f>
        <v>26.470000000000255</v>
      </c>
      <c r="I28" s="16">
        <f>'06 - 2022'!F34-'06 - 2022'!F33</f>
        <v>8.6700000000000728</v>
      </c>
      <c r="J28" s="16">
        <f>'06 - 2022'!G34-'06 - 2022'!G33</f>
        <v>35.379999999997381</v>
      </c>
      <c r="K28" s="14">
        <v>0.74</v>
      </c>
      <c r="L28" s="4">
        <v>51</v>
      </c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v>0</v>
      </c>
      <c r="F29" s="16">
        <v>0</v>
      </c>
      <c r="G29" s="14">
        <v>0.11799999999999999</v>
      </c>
      <c r="H29" s="16">
        <v>0</v>
      </c>
      <c r="I29" s="16">
        <v>0</v>
      </c>
      <c r="J29" s="16"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06 - 2022</vt:lpstr>
      <vt:lpstr>Total Daily </vt:lpstr>
      <vt:lpstr>Submetering Daily 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2022-06-27T06:45:53Z</dcterms:modified>
</cp:coreProperties>
</file>