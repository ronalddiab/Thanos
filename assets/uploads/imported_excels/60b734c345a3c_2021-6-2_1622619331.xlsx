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filterPrivacy="1" defaultThemeVersion="124226"/>
  <xr:revisionPtr revIDLastSave="0" documentId="13_ncr:1_{B552CB5D-C1AF-4FC4-86DC-2B3BAECF59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8" i="8" l="1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C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<sst xmlns="http://schemas.openxmlformats.org/spreadsheetml/2006/main" count="201" uniqueCount="128">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</sst>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-407660.00000000006</c:v>
                </c:pt>
                <c:pt idx="1">
                  <c:v>-2308100</c:v>
                </c:pt>
                <c:pt idx="2">
                  <c:v>-222830.00000000003</c:v>
                </c:pt>
                <c:pt idx="3">
                  <c:v>-872610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-51028</c:v>
                </c:pt>
                <c:pt idx="1">
                  <c:v>0.1806761369269336</c:v>
                </c:pt>
                <c:pt idx="2" formatCode="_(* #,##0.00_);_(* \(#,##0.00\);_(* &quot;-&quot;??_);_(@_)">
                  <c:v>-198035</c:v>
                </c:pt>
                <c:pt idx="3">
                  <c:v>0.70118755930715082</c:v>
                </c:pt>
                <c:pt idx="4" formatCode="0.00">
                  <c:v>-26689</c:v>
                </c:pt>
                <c:pt idx="5">
                  <c:v>9.449842083646097E-2</c:v>
                </c:pt>
                <c:pt idx="6" formatCode="0.00">
                  <c:v>-36195</c:v>
                </c:pt>
                <c:pt idx="7">
                  <c:v>0.12815655671533985</c:v>
                </c:pt>
                <c:pt idx="8" formatCode="0.00">
                  <c:v>-6107</c:v>
                </c:pt>
                <c:pt idx="9">
                  <c:v>2.1623210163298257E-2</c:v>
                </c:pt>
                <c:pt idx="10" formatCode="0.00">
                  <c:v>-503</c:v>
                </c:pt>
                <c:pt idx="11">
                  <c:v>1.780984888183891E-3</c:v>
                </c:pt>
                <c:pt idx="12" formatCode="0.00">
                  <c:v>-66906</c:v>
                </c:pt>
                <c:pt idx="13">
                  <c:v>0.2368957752064243</c:v>
                </c:pt>
                <c:pt idx="14" formatCode="_(* #,##0.00_);_(* \(#,##0.00\);_(* &quot;-&quot;??_);_(@_)">
                  <c:v>-245992</c:v>
                </c:pt>
                <c:pt idx="15">
                  <c:v>0.87099012845751833</c:v>
                </c:pt>
                <c:pt idx="16" formatCode="0.00">
                  <c:v>-111170</c:v>
                </c:pt>
                <c:pt idx="17">
                  <c:v>0.39362244536660673</c:v>
                </c:pt>
                <c:pt idx="18" formatCode="0.00">
                  <c:v>-19755</c:v>
                </c:pt>
                <c:pt idx="19">
                  <c:v>6.994703074765958E-2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-282428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-762380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026624"/>
        <c:axId val="226028160"/>
      </c:barChart>
      <c:catAx>
        <c:axId val="226026624"/>
        <c:scaling>
          <c:orientation val="minMax"/>
        </c:scaling>
        <c:delete val="1"/>
        <c:axPos val="b"/>
        <c:majorTickMark val="none"/>
        <c:minorTickMark val="none"/>
        <c:tickLblPos val="nextTo"/>
        <c:crossAx val="226028160"/>
        <c:crosses val="autoZero"/>
        <c:auto val="1"/>
        <c:lblAlgn val="ctr"/>
        <c:lblOffset val="100"/>
        <c:noMultiLvlLbl val="0"/>
      </c:catAx>
      <c:valAx>
        <c:axId val="226028160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26026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I9" sqref="I9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6</v>
      </c>
      <c r="D2" s="46">
        <v>2021</v>
      </c>
      <c r="E2" s="107">
        <v>22750.000000000684</v>
      </c>
      <c r="F2" s="48">
        <v>0.14000000000000001</v>
      </c>
      <c r="G2" s="107">
        <v>6559</v>
      </c>
      <c r="H2" s="48">
        <v>0.4453480216384178</v>
      </c>
      <c r="I2" s="65">
        <v>428</v>
      </c>
      <c r="J2" s="76">
        <v>0.4</v>
      </c>
      <c r="K2" s="108"/>
      <c r="L2" s="76">
        <v>1.5287027707808565</v>
      </c>
      <c r="M2" s="72"/>
      <c r="N2" s="72"/>
      <c r="O2" s="72"/>
    </row>
    <row r="3" spans="1:15" ht="15" x14ac:dyDescent="0.25">
      <c r="A3" s="45" t="s">
        <v>9</v>
      </c>
      <c r="B3" s="46">
        <f>B2+1</f>
        <v>2</v>
      </c>
      <c r="C3" s="47">
        <v>6</v>
      </c>
      <c r="D3" s="46">
        <v>2021</v>
      </c>
      <c r="E3" s="107"/>
      <c r="F3" s="48">
        <v>0.14000000000000001</v>
      </c>
      <c r="G3" s="107"/>
      <c r="H3" s="48">
        <v>0.4453480216384178</v>
      </c>
      <c r="I3" s="65"/>
      <c r="J3" s="76">
        <v>0.4</v>
      </c>
      <c r="K3" s="108"/>
      <c r="L3" s="76">
        <v>1.5287027707808565</v>
      </c>
      <c r="M3" s="72"/>
      <c r="N3" s="72"/>
      <c r="O3" s="72"/>
    </row>
    <row r="4" spans="1:15" ht="15" x14ac:dyDescent="0.25">
      <c r="A4" s="45" t="s">
        <v>9</v>
      </c>
      <c r="B4" s="46">
        <f t="shared" ref="B4:B32" si="0">B3+1</f>
        <v>3</v>
      </c>
      <c r="C4" s="47">
        <v>6</v>
      </c>
      <c r="D4" s="46">
        <v>2021</v>
      </c>
      <c r="E4" s="107"/>
      <c r="F4" s="48">
        <v>0.14000000000000001</v>
      </c>
      <c r="G4" s="107"/>
      <c r="H4" s="48">
        <v>0.4453480216384178</v>
      </c>
      <c r="I4" s="65"/>
      <c r="J4" s="76">
        <v>0.4</v>
      </c>
      <c r="K4" s="108"/>
      <c r="L4" s="76">
        <v>1.5287027707808565</v>
      </c>
      <c r="M4" s="72"/>
      <c r="N4" s="72"/>
      <c r="O4" s="72"/>
    </row>
    <row r="5" spans="1:15" ht="15" x14ac:dyDescent="0.25">
      <c r="A5" s="45" t="s">
        <v>9</v>
      </c>
      <c r="B5" s="46">
        <f t="shared" si="0"/>
        <v>4</v>
      </c>
      <c r="C5" s="47">
        <v>6</v>
      </c>
      <c r="D5" s="46">
        <v>2021</v>
      </c>
      <c r="E5" s="107"/>
      <c r="F5" s="48">
        <v>0.14000000000000001</v>
      </c>
      <c r="G5" s="107"/>
      <c r="H5" s="48">
        <v>0.4453480216384178</v>
      </c>
      <c r="I5" s="65"/>
      <c r="J5" s="76">
        <v>0.4</v>
      </c>
      <c r="K5" s="108"/>
      <c r="L5" s="76">
        <v>1.5287027707808565</v>
      </c>
      <c r="M5" s="72"/>
      <c r="N5" s="72"/>
      <c r="O5" s="72"/>
    </row>
    <row r="6" spans="1:15" ht="15" x14ac:dyDescent="0.25">
      <c r="A6" s="45" t="s">
        <v>9</v>
      </c>
      <c r="B6" s="46">
        <f t="shared" si="0"/>
        <v>5</v>
      </c>
      <c r="C6" s="47">
        <v>6</v>
      </c>
      <c r="D6" s="46">
        <v>2021</v>
      </c>
      <c r="E6" s="107"/>
      <c r="F6" s="48">
        <v>0.14000000000000001</v>
      </c>
      <c r="G6" s="107"/>
      <c r="H6" s="48">
        <v>0.4453480216384178</v>
      </c>
      <c r="I6" s="65"/>
      <c r="J6" s="76">
        <v>0.4</v>
      </c>
      <c r="K6" s="108"/>
      <c r="L6" s="76">
        <v>1.5287027707808565</v>
      </c>
      <c r="M6" s="72"/>
      <c r="N6" s="72"/>
      <c r="O6" s="72"/>
    </row>
    <row r="7" spans="1:15" ht="15" x14ac:dyDescent="0.25">
      <c r="A7" s="45" t="s">
        <v>9</v>
      </c>
      <c r="B7" s="46">
        <f t="shared" si="0"/>
        <v>6</v>
      </c>
      <c r="C7" s="47">
        <v>6</v>
      </c>
      <c r="D7" s="46">
        <v>2021</v>
      </c>
      <c r="E7" s="107"/>
      <c r="F7" s="48">
        <v>0.14000000000000001</v>
      </c>
      <c r="G7" s="107"/>
      <c r="H7" s="48">
        <v>0.4453480216384178</v>
      </c>
      <c r="I7" s="65"/>
      <c r="J7" s="76">
        <v>0.4</v>
      </c>
      <c r="K7" s="108"/>
      <c r="L7" s="76">
        <v>1.5287027707808565</v>
      </c>
      <c r="M7" s="72"/>
      <c r="N7" s="72"/>
      <c r="O7" s="72"/>
    </row>
    <row r="8" spans="1:15" ht="15" x14ac:dyDescent="0.25">
      <c r="A8" s="45" t="s">
        <v>9</v>
      </c>
      <c r="B8" s="46">
        <f t="shared" si="0"/>
        <v>7</v>
      </c>
      <c r="C8" s="47">
        <v>6</v>
      </c>
      <c r="D8" s="46">
        <v>2021</v>
      </c>
      <c r="E8" s="107"/>
      <c r="F8" s="48">
        <v>0.14000000000000001</v>
      </c>
      <c r="G8" s="107"/>
      <c r="H8" s="48">
        <v>0.4453480216384178</v>
      </c>
      <c r="I8" s="65"/>
      <c r="J8" s="76">
        <v>0.4</v>
      </c>
      <c r="K8" s="108"/>
      <c r="L8" s="76">
        <v>1.5287027707808565</v>
      </c>
      <c r="M8" s="72"/>
      <c r="N8" s="72"/>
      <c r="O8" s="72"/>
    </row>
    <row r="9" spans="1:15" ht="15" x14ac:dyDescent="0.25">
      <c r="A9" s="45" t="s">
        <v>9</v>
      </c>
      <c r="B9" s="46">
        <f t="shared" si="0"/>
        <v>8</v>
      </c>
      <c r="C9" s="47">
        <v>6</v>
      </c>
      <c r="D9" s="46">
        <v>2021</v>
      </c>
      <c r="E9" s="107"/>
      <c r="F9" s="48">
        <v>0.14000000000000001</v>
      </c>
      <c r="G9" s="107"/>
      <c r="H9" s="48">
        <v>0.4453480216384178</v>
      </c>
      <c r="I9" s="65"/>
      <c r="J9" s="76">
        <v>0.4</v>
      </c>
      <c r="K9" s="108"/>
      <c r="L9" s="76">
        <v>1.5287027707808565</v>
      </c>
      <c r="M9" s="72"/>
      <c r="N9" s="72"/>
      <c r="O9" s="72"/>
    </row>
    <row r="10" spans="1:15" ht="15" x14ac:dyDescent="0.25">
      <c r="A10" s="45" t="s">
        <v>9</v>
      </c>
      <c r="B10" s="46">
        <f t="shared" si="0"/>
        <v>9</v>
      </c>
      <c r="C10" s="47">
        <v>6</v>
      </c>
      <c r="D10" s="46">
        <v>2021</v>
      </c>
      <c r="E10" s="107"/>
      <c r="F10" s="48">
        <v>0.14000000000000001</v>
      </c>
      <c r="G10" s="107"/>
      <c r="H10" s="48">
        <v>0.4453480216384178</v>
      </c>
      <c r="I10" s="65"/>
      <c r="J10" s="76">
        <v>0.4</v>
      </c>
      <c r="K10" s="108"/>
      <c r="L10" s="76">
        <v>1.5287027707808565</v>
      </c>
      <c r="M10" s="72"/>
      <c r="N10" s="72"/>
      <c r="O10" s="72"/>
    </row>
    <row r="11" spans="1:15" ht="15" x14ac:dyDescent="0.25">
      <c r="A11" s="45" t="s">
        <v>9</v>
      </c>
      <c r="B11" s="46">
        <f t="shared" si="0"/>
        <v>10</v>
      </c>
      <c r="C11" s="47">
        <v>6</v>
      </c>
      <c r="D11" s="46">
        <v>2021</v>
      </c>
      <c r="E11" s="107"/>
      <c r="F11" s="48">
        <v>0.14000000000000001</v>
      </c>
      <c r="G11" s="107"/>
      <c r="H11" s="48">
        <v>0.4453480216384178</v>
      </c>
      <c r="I11" s="65"/>
      <c r="J11" s="76">
        <v>0.4</v>
      </c>
      <c r="K11" s="108"/>
      <c r="L11" s="76">
        <v>1.5287027707808565</v>
      </c>
      <c r="M11" s="72"/>
      <c r="N11" s="72"/>
      <c r="O11" s="72"/>
    </row>
    <row r="12" spans="1:15" ht="15" x14ac:dyDescent="0.25">
      <c r="A12" s="45" t="s">
        <v>9</v>
      </c>
      <c r="B12" s="46">
        <f t="shared" si="0"/>
        <v>11</v>
      </c>
      <c r="C12" s="47">
        <v>6</v>
      </c>
      <c r="D12" s="46">
        <v>2021</v>
      </c>
      <c r="E12" s="107"/>
      <c r="F12" s="48">
        <v>0.14000000000000001</v>
      </c>
      <c r="G12" s="107"/>
      <c r="H12" s="48">
        <v>0.4453480216384178</v>
      </c>
      <c r="I12" s="65"/>
      <c r="J12" s="76">
        <v>0.4</v>
      </c>
      <c r="K12" s="108"/>
      <c r="L12" s="76">
        <v>1.5287027707808565</v>
      </c>
      <c r="M12" s="72"/>
      <c r="N12" s="72"/>
      <c r="O12" s="72"/>
    </row>
    <row r="13" spans="1:15" ht="15" x14ac:dyDescent="0.25">
      <c r="A13" s="45" t="s">
        <v>9</v>
      </c>
      <c r="B13" s="46">
        <f t="shared" si="0"/>
        <v>12</v>
      </c>
      <c r="C13" s="47">
        <v>6</v>
      </c>
      <c r="D13" s="46">
        <v>2021</v>
      </c>
      <c r="E13" s="107"/>
      <c r="F13" s="48">
        <v>0.14000000000000001</v>
      </c>
      <c r="G13" s="107"/>
      <c r="H13" s="48">
        <v>0.4453480216384178</v>
      </c>
      <c r="I13" s="65"/>
      <c r="J13" s="76">
        <v>0.4</v>
      </c>
      <c r="K13" s="108"/>
      <c r="L13" s="76">
        <v>1.5287027707808565</v>
      </c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6</v>
      </c>
      <c r="D14" s="46">
        <v>2021</v>
      </c>
      <c r="E14" s="107"/>
      <c r="F14" s="48">
        <v>0.14000000000000001</v>
      </c>
      <c r="G14" s="107"/>
      <c r="H14" s="48">
        <v>0.4453480216384178</v>
      </c>
      <c r="I14" s="65"/>
      <c r="J14" s="76">
        <v>0.4</v>
      </c>
      <c r="K14" s="108"/>
      <c r="L14" s="76">
        <v>1.5287027707808565</v>
      </c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6</v>
      </c>
      <c r="D15" s="46">
        <v>2021</v>
      </c>
      <c r="E15" s="107"/>
      <c r="F15" s="48">
        <v>0.14000000000000001</v>
      </c>
      <c r="G15" s="107"/>
      <c r="H15" s="48">
        <v>0.4453480216384178</v>
      </c>
      <c r="I15" s="65"/>
      <c r="J15" s="76">
        <v>0.4</v>
      </c>
      <c r="K15" s="108"/>
      <c r="L15" s="76">
        <v>1.5287027707808565</v>
      </c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6</v>
      </c>
      <c r="D16" s="46">
        <v>2021</v>
      </c>
      <c r="E16" s="107"/>
      <c r="F16" s="48">
        <v>0.14000000000000001</v>
      </c>
      <c r="G16" s="107"/>
      <c r="H16" s="48">
        <v>0.4453480216384178</v>
      </c>
      <c r="I16" s="65"/>
      <c r="J16" s="76">
        <v>0.4</v>
      </c>
      <c r="K16" s="108"/>
      <c r="L16" s="76">
        <v>1.5287027707808565</v>
      </c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6</v>
      </c>
      <c r="D17" s="46">
        <v>2021</v>
      </c>
      <c r="E17" s="107"/>
      <c r="F17" s="48">
        <v>0.14000000000000001</v>
      </c>
      <c r="G17" s="107"/>
      <c r="H17" s="48">
        <v>0.4453480216384178</v>
      </c>
      <c r="I17" s="65"/>
      <c r="J17" s="76">
        <v>0.4</v>
      </c>
      <c r="K17" s="108"/>
      <c r="L17" s="76">
        <v>1.5287027707808565</v>
      </c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6</v>
      </c>
      <c r="D18" s="46">
        <v>2021</v>
      </c>
      <c r="E18" s="107"/>
      <c r="F18" s="48">
        <v>0.14000000000000001</v>
      </c>
      <c r="G18" s="107"/>
      <c r="H18" s="48">
        <v>0.4453480216384178</v>
      </c>
      <c r="I18" s="65"/>
      <c r="J18" s="76">
        <v>0.4</v>
      </c>
      <c r="K18" s="108"/>
      <c r="L18" s="76">
        <v>1.5287027707808565</v>
      </c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6</v>
      </c>
      <c r="D19" s="46">
        <v>2021</v>
      </c>
      <c r="E19" s="107"/>
      <c r="F19" s="48">
        <v>0.14000000000000001</v>
      </c>
      <c r="G19" s="107"/>
      <c r="H19" s="48">
        <v>0.4453480216384178</v>
      </c>
      <c r="I19" s="65"/>
      <c r="J19" s="76">
        <v>0.4</v>
      </c>
      <c r="K19" s="108"/>
      <c r="L19" s="76">
        <v>1.5287027707808565</v>
      </c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6</v>
      </c>
      <c r="D20" s="46">
        <v>2021</v>
      </c>
      <c r="E20" s="107"/>
      <c r="F20" s="48">
        <v>0.14000000000000001</v>
      </c>
      <c r="G20" s="107"/>
      <c r="H20" s="48">
        <v>0.4453480216384178</v>
      </c>
      <c r="I20" s="65"/>
      <c r="J20" s="76">
        <v>0.4</v>
      </c>
      <c r="K20" s="108"/>
      <c r="L20" s="76">
        <v>1.5287027707808565</v>
      </c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6</v>
      </c>
      <c r="D21" s="46">
        <v>2021</v>
      </c>
      <c r="E21" s="107"/>
      <c r="F21" s="48">
        <v>0.14000000000000001</v>
      </c>
      <c r="G21" s="107"/>
      <c r="H21" s="48">
        <v>0.4453480216384178</v>
      </c>
      <c r="I21" s="65"/>
      <c r="J21" s="76">
        <v>0.4</v>
      </c>
      <c r="K21" s="108"/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6</v>
      </c>
      <c r="D22" s="46">
        <v>2021</v>
      </c>
      <c r="E22" s="107"/>
      <c r="F22" s="48">
        <v>0.14000000000000001</v>
      </c>
      <c r="G22" s="107"/>
      <c r="H22" s="48">
        <v>0.4453480216384178</v>
      </c>
      <c r="I22" s="65"/>
      <c r="J22" s="76">
        <v>0.4</v>
      </c>
      <c r="K22" s="108"/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6</v>
      </c>
      <c r="D23" s="46">
        <v>2021</v>
      </c>
      <c r="E23" s="107"/>
      <c r="F23" s="48">
        <v>0.14000000000000001</v>
      </c>
      <c r="G23" s="107"/>
      <c r="H23" s="48">
        <v>0.4453480216384178</v>
      </c>
      <c r="I23" s="65"/>
      <c r="J23" s="76">
        <v>0.4</v>
      </c>
      <c r="K23" s="108"/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6</v>
      </c>
      <c r="D24" s="46">
        <v>2021</v>
      </c>
      <c r="E24" s="107"/>
      <c r="F24" s="48">
        <v>0.14000000000000001</v>
      </c>
      <c r="G24" s="107"/>
      <c r="H24" s="48">
        <v>0.4453480216384178</v>
      </c>
      <c r="I24" s="65"/>
      <c r="J24" s="76">
        <v>0.4</v>
      </c>
      <c r="K24" s="108"/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6</v>
      </c>
      <c r="D25" s="46">
        <v>2021</v>
      </c>
      <c r="E25" s="107"/>
      <c r="F25" s="48">
        <v>0.14000000000000001</v>
      </c>
      <c r="G25" s="107"/>
      <c r="H25" s="48">
        <v>0.4453480216384178</v>
      </c>
      <c r="I25" s="65"/>
      <c r="J25" s="76">
        <v>0.4</v>
      </c>
      <c r="K25" s="108"/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6</v>
      </c>
      <c r="D26" s="46">
        <v>2021</v>
      </c>
      <c r="E26" s="107"/>
      <c r="F26" s="48">
        <v>0.14000000000000001</v>
      </c>
      <c r="G26" s="107"/>
      <c r="H26" s="48">
        <v>0.4453480216384178</v>
      </c>
      <c r="I26" s="65"/>
      <c r="J26" s="76">
        <v>0.4</v>
      </c>
      <c r="K26" s="108"/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6</v>
      </c>
      <c r="D27" s="46">
        <v>2021</v>
      </c>
      <c r="E27" s="107"/>
      <c r="F27" s="48">
        <v>0.14000000000000001</v>
      </c>
      <c r="G27" s="107"/>
      <c r="H27" s="48">
        <v>0.4453480216384178</v>
      </c>
      <c r="I27" s="65"/>
      <c r="J27" s="76">
        <v>0.4</v>
      </c>
      <c r="K27" s="108"/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6</v>
      </c>
      <c r="D28" s="46">
        <v>2021</v>
      </c>
      <c r="E28" s="107"/>
      <c r="F28" s="48">
        <v>0.14000000000000001</v>
      </c>
      <c r="G28" s="107"/>
      <c r="H28" s="48">
        <v>0.4453480216384178</v>
      </c>
      <c r="I28" s="65"/>
      <c r="J28" s="76">
        <v>0.4</v>
      </c>
      <c r="K28" s="108"/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6</v>
      </c>
      <c r="D29" s="46">
        <v>2021</v>
      </c>
      <c r="E29" s="107"/>
      <c r="F29" s="48">
        <v>0.14000000000000001</v>
      </c>
      <c r="G29" s="107"/>
      <c r="H29" s="48">
        <v>0.4453480216384178</v>
      </c>
      <c r="I29" s="65"/>
      <c r="J29" s="76">
        <v>0.4</v>
      </c>
      <c r="K29" s="108"/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6</v>
      </c>
      <c r="D30" s="46">
        <v>2021</v>
      </c>
      <c r="E30" s="107"/>
      <c r="F30" s="48">
        <v>0.14000000000000001</v>
      </c>
      <c r="G30" s="107"/>
      <c r="H30" s="48">
        <v>0.4453480216384178</v>
      </c>
      <c r="I30" s="65"/>
      <c r="J30" s="76">
        <v>0.4</v>
      </c>
      <c r="K30" s="108"/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6</v>
      </c>
      <c r="D31" s="46">
        <v>2021</v>
      </c>
      <c r="E31" s="107"/>
      <c r="F31" s="48">
        <v>0.14000000000000001</v>
      </c>
      <c r="G31" s="107"/>
      <c r="H31" s="48">
        <v>0.4453480216384178</v>
      </c>
      <c r="I31" s="65"/>
      <c r="J31" s="76">
        <v>0.4</v>
      </c>
      <c r="K31" s="108"/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6</v>
      </c>
      <c r="D32" s="46">
        <v>2021</v>
      </c>
      <c r="E32" s="107"/>
      <c r="F32" s="48">
        <v>0.14000000000000001</v>
      </c>
      <c r="G32" s="107"/>
      <c r="H32" s="48">
        <v>0.4453480216384178</v>
      </c>
      <c r="I32" s="65"/>
      <c r="J32" s="76">
        <v>0.4</v>
      </c>
      <c r="K32" s="108"/>
      <c r="L32" s="76">
        <v>1.5287027707808565</v>
      </c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22750.000000000684</v>
      </c>
      <c r="F33" s="104">
        <v>0</v>
      </c>
      <c r="G33" s="101">
        <f>SUM(G2:G32)</f>
        <v>6559</v>
      </c>
      <c r="H33" s="102">
        <v>0</v>
      </c>
      <c r="I33" s="103">
        <f>SUM(I2:I32)</f>
        <v>428</v>
      </c>
      <c r="J33" s="104">
        <v>0</v>
      </c>
      <c r="K33" s="105">
        <v>0</v>
      </c>
      <c r="L33" s="102">
        <v>0</v>
      </c>
      <c r="M33" s="106">
        <f t="shared" ref="M33:O33" si="1">SUM(M2:M32)</f>
        <v>0</v>
      </c>
      <c r="N33" s="106">
        <f t="shared" si="1"/>
        <v>0</v>
      </c>
      <c r="O33" s="106">
        <f t="shared" si="1"/>
        <v>0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T5" sqref="T5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6" t="s">
        <v>10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77"/>
      <c r="V1" s="77"/>
    </row>
    <row r="2" spans="1:25" s="17" customFormat="1" ht="33" customHeight="1" x14ac:dyDescent="0.25">
      <c r="A2" s="29" t="s">
        <v>2</v>
      </c>
      <c r="B2" s="113" t="s">
        <v>11</v>
      </c>
      <c r="C2" s="113" t="s">
        <v>12</v>
      </c>
      <c r="D2" s="113" t="s">
        <v>13</v>
      </c>
      <c r="E2" s="113" t="s">
        <v>14</v>
      </c>
      <c r="F2" s="113" t="s">
        <v>15</v>
      </c>
      <c r="G2" s="118" t="s">
        <v>16</v>
      </c>
      <c r="H2" s="120" t="s">
        <v>17</v>
      </c>
      <c r="I2" s="113" t="s">
        <v>18</v>
      </c>
      <c r="J2" s="123" t="s">
        <v>19</v>
      </c>
      <c r="K2" s="124"/>
      <c r="L2" s="125"/>
      <c r="M2" s="118" t="s">
        <v>20</v>
      </c>
      <c r="N2" s="120" t="s">
        <v>21</v>
      </c>
      <c r="O2" s="121" t="s">
        <v>22</v>
      </c>
      <c r="P2" s="120" t="s">
        <v>23</v>
      </c>
      <c r="Q2" s="126" t="s">
        <v>24</v>
      </c>
      <c r="R2" s="113" t="s">
        <v>25</v>
      </c>
      <c r="S2" s="113" t="s">
        <v>26</v>
      </c>
      <c r="T2" s="113" t="s">
        <v>27</v>
      </c>
      <c r="V2" s="115" t="s">
        <v>6</v>
      </c>
      <c r="W2" s="115" t="s">
        <v>7</v>
      </c>
      <c r="X2" s="115" t="s">
        <v>8</v>
      </c>
    </row>
    <row r="3" spans="1:25" s="17" customFormat="1" ht="45" customHeight="1" x14ac:dyDescent="0.25">
      <c r="A3" s="30"/>
      <c r="B3" s="114"/>
      <c r="C3" s="114"/>
      <c r="D3" s="114"/>
      <c r="E3" s="114"/>
      <c r="F3" s="114"/>
      <c r="G3" s="119"/>
      <c r="H3" s="120"/>
      <c r="I3" s="114"/>
      <c r="J3" s="18" t="s">
        <v>28</v>
      </c>
      <c r="K3" s="18" t="s">
        <v>29</v>
      </c>
      <c r="L3" s="18" t="s">
        <v>30</v>
      </c>
      <c r="M3" s="119"/>
      <c r="N3" s="120"/>
      <c r="O3" s="122"/>
      <c r="P3" s="120"/>
      <c r="Q3" s="127"/>
      <c r="R3" s="114"/>
      <c r="S3" s="114"/>
      <c r="T3" s="114"/>
      <c r="V3" s="115"/>
      <c r="W3" s="115"/>
      <c r="X3" s="115"/>
    </row>
    <row r="4" spans="1:25" ht="21" customHeight="1" x14ac:dyDescent="0.25">
      <c r="A4" s="8">
        <v>44348</v>
      </c>
      <c r="B4" s="1">
        <v>941.59</v>
      </c>
      <c r="C4" s="1">
        <v>222.83</v>
      </c>
      <c r="D4" s="1">
        <v>7406516.4000000004</v>
      </c>
      <c r="E4" s="1">
        <v>8087986.3700000001</v>
      </c>
      <c r="F4" s="1">
        <v>2.3081</v>
      </c>
      <c r="G4" s="1">
        <v>719.09</v>
      </c>
      <c r="H4" s="1">
        <v>608.01</v>
      </c>
      <c r="I4" s="1">
        <v>226.28</v>
      </c>
      <c r="J4" s="1">
        <v>310.55</v>
      </c>
      <c r="K4" s="1">
        <v>333.63</v>
      </c>
      <c r="L4" s="1">
        <v>228.43</v>
      </c>
      <c r="M4" s="1">
        <v>494.46</v>
      </c>
      <c r="N4" s="1">
        <v>448.54</v>
      </c>
      <c r="O4" s="1">
        <v>144.04</v>
      </c>
      <c r="P4" s="1">
        <v>586.59</v>
      </c>
      <c r="Q4" s="1">
        <v>439.13</v>
      </c>
      <c r="R4" s="1">
        <v>148.63999999999999</v>
      </c>
      <c r="S4" s="1">
        <v>111.34</v>
      </c>
      <c r="T4" s="1">
        <v>407.66</v>
      </c>
      <c r="V4" s="71"/>
      <c r="W4" s="71"/>
      <c r="X4" s="71"/>
      <c r="Y4" s="17"/>
    </row>
    <row r="5" spans="1:25" ht="21" customHeight="1" x14ac:dyDescent="0.25">
      <c r="A5" s="8">
        <v>44349</v>
      </c>
      <c r="B5" s="1">
        <v>942.77</v>
      </c>
      <c r="C5" s="1">
        <v>223.04</v>
      </c>
      <c r="D5" s="1">
        <v>7409068.96</v>
      </c>
      <c r="E5" s="1">
        <v>8091095.5300000003</v>
      </c>
      <c r="F5" s="1">
        <v>2.3100999999999998</v>
      </c>
      <c r="G5" s="1">
        <v>720.02</v>
      </c>
      <c r="H5" s="1">
        <v>608.52</v>
      </c>
      <c r="I5" s="1">
        <v>226.59</v>
      </c>
      <c r="J5" s="1">
        <v>310.7</v>
      </c>
      <c r="K5" s="1">
        <v>333.86</v>
      </c>
      <c r="L5" s="1">
        <v>228.6</v>
      </c>
      <c r="M5" s="1">
        <v>495.24</v>
      </c>
      <c r="N5" s="1">
        <v>449.31</v>
      </c>
      <c r="O5" s="1">
        <v>144.30000000000001</v>
      </c>
      <c r="P5" s="1">
        <v>587.67999999999995</v>
      </c>
      <c r="Q5" s="1">
        <v>439.8</v>
      </c>
      <c r="R5" s="1">
        <v>148.97</v>
      </c>
      <c r="S5" s="1">
        <v>111.96</v>
      </c>
      <c r="T5" s="1">
        <v>408.14</v>
      </c>
      <c r="V5" s="71"/>
      <c r="W5" s="71"/>
      <c r="X5" s="71"/>
      <c r="Y5" s="17"/>
    </row>
    <row r="6" spans="1:25" ht="21" customHeight="1" x14ac:dyDescent="0.25">
      <c r="A6" s="8">
        <v>44350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V6" s="71"/>
      <c r="W6" s="71"/>
      <c r="X6" s="71"/>
      <c r="Y6" s="17"/>
    </row>
    <row r="7" spans="1:25" ht="21" customHeight="1" x14ac:dyDescent="0.25">
      <c r="A7" s="8">
        <v>44351</v>
      </c>
      <c r="B7" s="1"/>
      <c r="C7" s="1"/>
      <c r="D7" s="109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V7" s="71"/>
      <c r="W7" s="71"/>
      <c r="X7" s="71"/>
      <c r="Y7" s="17"/>
    </row>
    <row r="8" spans="1:25" ht="21" customHeight="1" x14ac:dyDescent="0.25">
      <c r="A8" s="8">
        <v>44352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V8" s="71"/>
      <c r="W8" s="71"/>
      <c r="X8" s="71"/>
      <c r="Y8" s="17"/>
    </row>
    <row r="9" spans="1:25" ht="21" customHeight="1" x14ac:dyDescent="0.25">
      <c r="A9" s="8">
        <v>44353</v>
      </c>
      <c r="B9" s="111"/>
      <c r="D9" s="111"/>
      <c r="E9" s="111"/>
      <c r="G9" s="111"/>
      <c r="H9" s="111"/>
      <c r="I9" s="11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V9" s="71"/>
      <c r="W9" s="71"/>
      <c r="X9" s="71"/>
      <c r="Y9" s="17"/>
    </row>
    <row r="10" spans="1:25" ht="21" customHeight="1" x14ac:dyDescent="0.25">
      <c r="A10" s="8">
        <v>44354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V10" s="71"/>
      <c r="W10" s="71"/>
      <c r="X10" s="71"/>
      <c r="Y10" s="17"/>
    </row>
    <row r="11" spans="1:25" ht="21" customHeight="1" x14ac:dyDescent="0.25">
      <c r="A11" s="8">
        <v>44355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V11" s="71"/>
      <c r="W11" s="71"/>
      <c r="X11" s="71"/>
      <c r="Y11" s="17"/>
    </row>
    <row r="12" spans="1:25" ht="21" customHeight="1" x14ac:dyDescent="0.25">
      <c r="A12" s="8">
        <v>44356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V12" s="71"/>
      <c r="W12" s="71"/>
      <c r="X12" s="71"/>
      <c r="Y12" s="17"/>
    </row>
    <row r="13" spans="1:25" ht="21" customHeight="1" x14ac:dyDescent="0.25">
      <c r="A13" s="8">
        <v>44357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V13" s="71"/>
      <c r="W13" s="71"/>
      <c r="X13" s="71"/>
      <c r="Y13" s="17"/>
    </row>
    <row r="14" spans="1:25" ht="21" customHeight="1" x14ac:dyDescent="0.25">
      <c r="A14" s="8">
        <v>44358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V14" s="71"/>
      <c r="W14" s="71"/>
      <c r="X14" s="71"/>
      <c r="Y14" s="17"/>
    </row>
    <row r="15" spans="1:25" ht="21" customHeight="1" x14ac:dyDescent="0.25">
      <c r="A15" s="8">
        <v>44359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V15" s="71"/>
      <c r="W15" s="71"/>
      <c r="X15" s="71"/>
      <c r="Y15" s="17"/>
    </row>
    <row r="16" spans="1:25" ht="21" customHeight="1" x14ac:dyDescent="0.25">
      <c r="A16" s="8">
        <v>44360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V16" s="71"/>
      <c r="W16" s="71"/>
      <c r="X16" s="71"/>
      <c r="Y16" s="17"/>
    </row>
    <row r="17" spans="1:25" ht="21" customHeight="1" x14ac:dyDescent="0.25">
      <c r="A17" s="8">
        <v>44361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1"/>
      <c r="W17" s="71"/>
      <c r="X17" s="71"/>
      <c r="Y17" s="17"/>
    </row>
    <row r="18" spans="1:25" ht="21" customHeight="1" x14ac:dyDescent="0.25">
      <c r="A18" s="8">
        <v>44362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44363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44364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44365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44366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44367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44368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44369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44370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44371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44372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44373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44374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44375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44376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44377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44378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0</v>
      </c>
      <c r="W35" s="78">
        <f>SUM(W4:W34)</f>
        <v>0</v>
      </c>
      <c r="X35" s="78">
        <f>SUM(X4:X34)</f>
        <v>0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T31" sqref="T31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1" t="s">
        <v>32</v>
      </c>
      <c r="B2" s="113" t="s">
        <v>33</v>
      </c>
      <c r="C2" s="113" t="s">
        <v>34</v>
      </c>
      <c r="D2" s="113" t="s">
        <v>120</v>
      </c>
      <c r="E2" s="121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22"/>
      <c r="B3" s="114"/>
      <c r="C3" s="114"/>
      <c r="D3" s="114"/>
      <c r="E3" s="122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44348</v>
      </c>
      <c r="B4" s="26">
        <v>25520</v>
      </c>
      <c r="C4" s="4">
        <f>('Kwh Reading'!T5-'Kwh Reading'!T4)*1000</f>
        <v>479.99999999996135</v>
      </c>
      <c r="D4" s="2">
        <f>('Kwh Reading'!F5-'Kwh Reading'!F4)*1000000</f>
        <v>1999.9999999997797</v>
      </c>
      <c r="E4" s="2">
        <f>('Kwh Reading'!C5-'Kwh Reading'!C4)*1000</f>
        <v>209.99999999997954</v>
      </c>
      <c r="F4" s="2">
        <f>('Kwh Reading'!J5-'Kwh Reading'!J4)*1000</f>
        <v>149.99999999997726</v>
      </c>
      <c r="G4" s="2">
        <f>('Kwh Reading'!K5-'Kwh Reading'!K4)*1000</f>
        <v>230.00000000001819</v>
      </c>
      <c r="H4" s="2">
        <f>('Kwh Reading'!L5-'Kwh Reading'!L4)*1000</f>
        <v>169.99999999998749</v>
      </c>
      <c r="I4" s="2">
        <f>('Kwh Reading'!R5-'Kwh Reading'!R4)*1000</f>
        <v>330.00000000001251</v>
      </c>
      <c r="J4" s="2">
        <f>('Kwh Reading'!S5-'Kwh Reading'!S4)*1000</f>
        <v>619.99999999999034</v>
      </c>
      <c r="K4" s="2">
        <f>('Kwh Reading'!I5-'Kwh Reading'!I4)*1000</f>
        <v>310.00000000000227</v>
      </c>
      <c r="L4" s="2">
        <f>('Kwh Reading'!B5-'Kwh Reading'!B4)*1000</f>
        <v>1179.99999999995</v>
      </c>
      <c r="M4" s="2">
        <f>('Kwh Reading'!M5-'Kwh Reading'!M4)*1000</f>
        <v>780.00000000002956</v>
      </c>
      <c r="N4" s="2">
        <f>('Kwh Reading'!H5-'Kwh Reading'!H4)*1000</f>
        <v>509.99999999999091</v>
      </c>
      <c r="O4" s="2">
        <f>('Kwh Reading'!P5-'Kwh Reading'!P4)*1000</f>
        <v>1089.9999999999181</v>
      </c>
      <c r="P4" s="2">
        <f>('Kwh Reading'!G5-'Kwh Reading'!G4)*1000</f>
        <v>929.99999999994998</v>
      </c>
      <c r="Q4" s="2">
        <f>('Kwh Reading'!Q5-'Kwh Reading'!Q4)*1000</f>
        <v>670.00000000001592</v>
      </c>
      <c r="R4" s="2">
        <f>('Kwh Reading'!N5-'Kwh Reading'!N4)*1000</f>
        <v>769.99999999998181</v>
      </c>
      <c r="S4" s="2">
        <f>'Kwh Reading'!E5-'Kwh Reading'!E4</f>
        <v>3109.160000000149</v>
      </c>
      <c r="T4" s="2">
        <f>'Kwh Reading'!D5-'Kwh Reading'!D4</f>
        <v>2552.5599999995902</v>
      </c>
      <c r="U4" s="27">
        <f>('Kwh Reading'!O5-'Kwh Reading'!O4)*1000</f>
        <v>260.00000000001933</v>
      </c>
      <c r="V4" s="16">
        <f>B4-(SUM(C4:U4))</f>
        <v>9168.2800000006937</v>
      </c>
    </row>
    <row r="5" spans="1:22" x14ac:dyDescent="0.25">
      <c r="A5" s="3">
        <f>'Kwh Reading'!A5</f>
        <v>44349</v>
      </c>
      <c r="B5" s="26">
        <f>TOTAL!E3</f>
        <v>0</v>
      </c>
      <c r="C5" s="4">
        <f>('Kwh Reading'!T6-'Kwh Reading'!T5)*1000</f>
        <v>-408140</v>
      </c>
      <c r="D5" s="2">
        <f>('Kwh Reading'!F6-'Kwh Reading'!F5)*1000000</f>
        <v>-2310100</v>
      </c>
      <c r="E5" s="2">
        <f>('Kwh Reading'!C6-'Kwh Reading'!C5)*1000</f>
        <v>-223040</v>
      </c>
      <c r="F5" s="2">
        <f>('Kwh Reading'!J6-'Kwh Reading'!J5)*1000</f>
        <v>-310700</v>
      </c>
      <c r="G5" s="2">
        <f>('Kwh Reading'!K6-'Kwh Reading'!K5)*1000</f>
        <v>-333860</v>
      </c>
      <c r="H5" s="2">
        <f>('Kwh Reading'!L6-'Kwh Reading'!L5)*1000</f>
        <v>-228600</v>
      </c>
      <c r="I5" s="2">
        <f>('Kwh Reading'!R6-'Kwh Reading'!R5)*1000</f>
        <v>-148970</v>
      </c>
      <c r="J5" s="2">
        <f>('Kwh Reading'!S6-'Kwh Reading'!S5)*1000</f>
        <v>-111960</v>
      </c>
      <c r="K5" s="2">
        <f>('Kwh Reading'!I6-'Kwh Reading'!I5)*1000</f>
        <v>-226590</v>
      </c>
      <c r="L5" s="2">
        <f>('Kwh Reading'!B6-'Kwh Reading'!B5)*1000</f>
        <v>-942770</v>
      </c>
      <c r="M5" s="2">
        <f>('Kwh Reading'!M6-'Kwh Reading'!M5)*1000</f>
        <v>-495240</v>
      </c>
      <c r="N5" s="2">
        <f>('Kwh Reading'!H6-'Kwh Reading'!H5)*1000</f>
        <v>-608520</v>
      </c>
      <c r="O5" s="2">
        <f>('Kwh Reading'!P6-'Kwh Reading'!P5)*1000</f>
        <v>-587680</v>
      </c>
      <c r="P5" s="2">
        <f>('Kwh Reading'!G6-'Kwh Reading'!G5)*1000</f>
        <v>-720020</v>
      </c>
      <c r="Q5" s="2">
        <f>('Kwh Reading'!Q6-'Kwh Reading'!Q5)*1000</f>
        <v>-439800</v>
      </c>
      <c r="R5" s="2">
        <f>('Kwh Reading'!N6-'Kwh Reading'!N5)*1000</f>
        <v>-449310</v>
      </c>
      <c r="S5" s="2">
        <f>'Kwh Reading'!E6-'Kwh Reading'!E5</f>
        <v>-8091095.5300000003</v>
      </c>
      <c r="T5" s="2">
        <f>'Kwh Reading'!D6-'Kwh Reading'!D5</f>
        <v>-7409068.96</v>
      </c>
      <c r="U5" s="27">
        <f>('Kwh Reading'!O6-'Kwh Reading'!O5)*1000</f>
        <v>-144300</v>
      </c>
      <c r="V5" s="16">
        <f t="shared" ref="V5:V9" si="0">B5-(SUM(C5:U5))</f>
        <v>24189764.490000002</v>
      </c>
    </row>
    <row r="6" spans="1:22" x14ac:dyDescent="0.25">
      <c r="A6" s="3">
        <f>'Kwh Reading'!A6</f>
        <v>44350</v>
      </c>
      <c r="B6" s="26">
        <f>TOTAL!E4</f>
        <v>0</v>
      </c>
      <c r="C6" s="4">
        <f>('Kwh Reading'!T7-'Kwh Reading'!T6)*1000</f>
        <v>0</v>
      </c>
      <c r="D6" s="2">
        <f>('Kwh Reading'!F7-'Kwh Reading'!F6)*1000000</f>
        <v>0</v>
      </c>
      <c r="E6" s="2">
        <f>('Kwh Reading'!C7-'Kwh Reading'!C6)*1000</f>
        <v>0</v>
      </c>
      <c r="F6" s="2">
        <f>('Kwh Reading'!J7-'Kwh Reading'!J6)*1000</f>
        <v>0</v>
      </c>
      <c r="G6" s="2">
        <f>('Kwh Reading'!K7-'Kwh Reading'!K6)*1000</f>
        <v>0</v>
      </c>
      <c r="H6" s="2">
        <f>('Kwh Reading'!L7-'Kwh Reading'!L6)*1000</f>
        <v>0</v>
      </c>
      <c r="I6" s="2">
        <f>('Kwh Reading'!R7-'Kwh Reading'!R6)*1000</f>
        <v>0</v>
      </c>
      <c r="J6" s="2">
        <f>('Kwh Reading'!S7-'Kwh Reading'!S6)*1000</f>
        <v>0</v>
      </c>
      <c r="K6" s="2">
        <f>('Kwh Reading'!I7-'Kwh Reading'!I6)*1000</f>
        <v>0</v>
      </c>
      <c r="L6" s="2">
        <f>('Kwh Reading'!B7-'Kwh Reading'!B6)*1000</f>
        <v>0</v>
      </c>
      <c r="M6" s="2">
        <f>('Kwh Reading'!M7-'Kwh Reading'!M6)*1000</f>
        <v>0</v>
      </c>
      <c r="N6" s="2">
        <f>('Kwh Reading'!H7-'Kwh Reading'!H6)*1000</f>
        <v>0</v>
      </c>
      <c r="O6" s="2">
        <f>('Kwh Reading'!P7-'Kwh Reading'!P6)*1000</f>
        <v>0</v>
      </c>
      <c r="P6" s="2">
        <f>('Kwh Reading'!G7-'Kwh Reading'!G6)*1000</f>
        <v>0</v>
      </c>
      <c r="Q6" s="2">
        <f>('Kwh Reading'!Q7-'Kwh Reading'!Q6)*1000</f>
        <v>0</v>
      </c>
      <c r="R6" s="2">
        <f>('Kwh Reading'!N7-'Kwh Reading'!N6)*1000</f>
        <v>0</v>
      </c>
      <c r="S6" s="2">
        <f>'Kwh Reading'!E7-'Kwh Reading'!E6</f>
        <v>0</v>
      </c>
      <c r="T6" s="2">
        <f>'Kwh Reading'!D7-'Kwh Reading'!D6</f>
        <v>0</v>
      </c>
      <c r="U6" s="27">
        <f>('Kwh Reading'!O7-'Kwh Reading'!O6)*1000</f>
        <v>0</v>
      </c>
      <c r="V6" s="16">
        <f t="shared" si="0"/>
        <v>0</v>
      </c>
    </row>
    <row r="7" spans="1:22" x14ac:dyDescent="0.25">
      <c r="A7" s="3">
        <f>'Kwh Reading'!A7</f>
        <v>44351</v>
      </c>
      <c r="B7" s="26">
        <f>TOTAL!E5</f>
        <v>0</v>
      </c>
      <c r="C7" s="4">
        <f>('Kwh Reading'!T8-'Kwh Reading'!T7)*1000</f>
        <v>0</v>
      </c>
      <c r="D7" s="2">
        <f>('Kwh Reading'!F8-'Kwh Reading'!F7)*1000000</f>
        <v>0</v>
      </c>
      <c r="E7" s="2">
        <f>('Kwh Reading'!C8-'Kwh Reading'!C7)*1000</f>
        <v>0</v>
      </c>
      <c r="F7" s="2">
        <f>('Kwh Reading'!J8-'Kwh Reading'!J7)*1000</f>
        <v>0</v>
      </c>
      <c r="G7" s="2">
        <f>('Kwh Reading'!K8-'Kwh Reading'!K7)*1000</f>
        <v>0</v>
      </c>
      <c r="H7" s="2">
        <f>('Kwh Reading'!L8-'Kwh Reading'!L7)*1000</f>
        <v>0</v>
      </c>
      <c r="I7" s="2">
        <f>('Kwh Reading'!R8-'Kwh Reading'!R7)*1000</f>
        <v>0</v>
      </c>
      <c r="J7" s="2">
        <f>('Kwh Reading'!S8-'Kwh Reading'!S7)*1000</f>
        <v>0</v>
      </c>
      <c r="K7" s="2">
        <f>('Kwh Reading'!I8-'Kwh Reading'!I7)*1000</f>
        <v>0</v>
      </c>
      <c r="L7" s="2">
        <f>('Kwh Reading'!B8-'Kwh Reading'!B7)*1000</f>
        <v>0</v>
      </c>
      <c r="M7" s="2">
        <f>('Kwh Reading'!M8-'Kwh Reading'!M7)*1000</f>
        <v>0</v>
      </c>
      <c r="N7" s="2">
        <f>('Kwh Reading'!H8-'Kwh Reading'!H7)*1000</f>
        <v>0</v>
      </c>
      <c r="O7" s="2">
        <f>('Kwh Reading'!P8-'Kwh Reading'!P7)*1000</f>
        <v>0</v>
      </c>
      <c r="P7" s="2">
        <f>('Kwh Reading'!G8-'Kwh Reading'!G7)*1000</f>
        <v>0</v>
      </c>
      <c r="Q7" s="2">
        <f>('Kwh Reading'!Q8-'Kwh Reading'!Q7)*1000</f>
        <v>0</v>
      </c>
      <c r="R7" s="2">
        <f>('Kwh Reading'!N8-'Kwh Reading'!N7)*1000</f>
        <v>0</v>
      </c>
      <c r="S7" s="2">
        <f>'Kwh Reading'!E8-'Kwh Reading'!E7</f>
        <v>0</v>
      </c>
      <c r="T7" s="2">
        <f>'Kwh Reading'!D8-'Kwh Reading'!D7</f>
        <v>0</v>
      </c>
      <c r="U7" s="27">
        <f>('Kwh Reading'!O8-'Kwh Reading'!O7)*1000</f>
        <v>0</v>
      </c>
      <c r="V7" s="16">
        <f t="shared" si="0"/>
        <v>0</v>
      </c>
    </row>
    <row r="8" spans="1:22" x14ac:dyDescent="0.25">
      <c r="A8" s="3">
        <f>'Kwh Reading'!A8</f>
        <v>44352</v>
      </c>
      <c r="B8" s="26">
        <f>TOTAL!E6</f>
        <v>0</v>
      </c>
      <c r="C8" s="4">
        <f>('Kwh Reading'!T9-'Kwh Reading'!T8)*1000</f>
        <v>0</v>
      </c>
      <c r="D8" s="2">
        <f>('Kwh Reading'!F9-'Kwh Reading'!F8)*1000000</f>
        <v>0</v>
      </c>
      <c r="E8" s="2">
        <f>('Kwh Reading'!C9-'Kwh Reading'!C8)*1000</f>
        <v>0</v>
      </c>
      <c r="F8" s="2">
        <f>('Kwh Reading'!J9-'Kwh Reading'!J8)*1000</f>
        <v>0</v>
      </c>
      <c r="G8" s="2">
        <f>('Kwh Reading'!K9-'Kwh Reading'!K8)*1000</f>
        <v>0</v>
      </c>
      <c r="H8" s="2">
        <f>('Kwh Reading'!L9-'Kwh Reading'!L8)*1000</f>
        <v>0</v>
      </c>
      <c r="I8" s="2">
        <f>('Kwh Reading'!R9-'Kwh Reading'!R8)*1000</f>
        <v>0</v>
      </c>
      <c r="J8" s="2">
        <f>('Kwh Reading'!S9-'Kwh Reading'!S8)*1000</f>
        <v>0</v>
      </c>
      <c r="K8" s="2">
        <f>('Kwh Reading'!I9-'Kwh Reading'!I8)*1000</f>
        <v>0</v>
      </c>
      <c r="L8" s="2">
        <f>('Kwh Reading'!B9-'Kwh Reading'!B8)*1000</f>
        <v>0</v>
      </c>
      <c r="M8" s="2">
        <f>('Kwh Reading'!M9-'Kwh Reading'!M8)*1000</f>
        <v>0</v>
      </c>
      <c r="N8" s="2">
        <f>('Kwh Reading'!H9-'Kwh Reading'!H8)*1000</f>
        <v>0</v>
      </c>
      <c r="O8" s="2">
        <f>('Kwh Reading'!P9-'Kwh Reading'!P8)*1000</f>
        <v>0</v>
      </c>
      <c r="P8" s="2">
        <f>('Kwh Reading'!G9-'Kwh Reading'!G8)*1000</f>
        <v>0</v>
      </c>
      <c r="Q8" s="2">
        <f>('Kwh Reading'!Q9-'Kwh Reading'!Q8)*1000</f>
        <v>0</v>
      </c>
      <c r="R8" s="2">
        <f>('Kwh Reading'!N9-'Kwh Reading'!N8)*1000</f>
        <v>0</v>
      </c>
      <c r="S8" s="2">
        <f>'Kwh Reading'!E9-'Kwh Reading'!E8</f>
        <v>0</v>
      </c>
      <c r="T8" s="2">
        <f>'Kwh Reading'!D9-'Kwh Reading'!D8</f>
        <v>0</v>
      </c>
      <c r="U8" s="27">
        <f>('Kwh Reading'!O9-'Kwh Reading'!O8)*1000</f>
        <v>0</v>
      </c>
      <c r="V8" s="16">
        <f t="shared" si="0"/>
        <v>0</v>
      </c>
    </row>
    <row r="9" spans="1:22" x14ac:dyDescent="0.25">
      <c r="A9" s="3">
        <f>'Kwh Reading'!A9</f>
        <v>44353</v>
      </c>
      <c r="B9" s="26">
        <f>TOTAL!E7</f>
        <v>0</v>
      </c>
      <c r="C9" s="4">
        <f>('Kwh Reading'!T10-'Kwh Reading'!T9)*1000</f>
        <v>0</v>
      </c>
      <c r="D9" s="2">
        <f>('Kwh Reading'!F10-'Kwh Reading'!F9)*1000000</f>
        <v>0</v>
      </c>
      <c r="E9" s="2">
        <f>('Kwh Reading'!C10-'Kwh Reading'!C9)*1000</f>
        <v>0</v>
      </c>
      <c r="F9" s="2">
        <f>('Kwh Reading'!J10-'Kwh Reading'!J9)*1000</f>
        <v>0</v>
      </c>
      <c r="G9" s="2">
        <f>('Kwh Reading'!K10-'Kwh Reading'!K9)*1000</f>
        <v>0</v>
      </c>
      <c r="H9" s="2">
        <f>('Kwh Reading'!L10-'Kwh Reading'!L9)*1000</f>
        <v>0</v>
      </c>
      <c r="I9" s="2">
        <f>('Kwh Reading'!R10-'Kwh Reading'!R9)*1000</f>
        <v>0</v>
      </c>
      <c r="J9" s="2">
        <f>('Kwh Reading'!S10-'Kwh Reading'!S9)*1000</f>
        <v>0</v>
      </c>
      <c r="K9" s="2">
        <f>('Kwh Reading'!I10-'Kwh Reading'!I9)*1000</f>
        <v>0</v>
      </c>
      <c r="L9" s="2">
        <f>('Kwh Reading'!B10-'Kwh Reading'!B9)*1000</f>
        <v>0</v>
      </c>
      <c r="M9" s="2">
        <f>('Kwh Reading'!M10-'Kwh Reading'!M9)*1000</f>
        <v>0</v>
      </c>
      <c r="N9" s="2">
        <f>('Kwh Reading'!H10-'Kwh Reading'!H9)*1000</f>
        <v>0</v>
      </c>
      <c r="O9" s="2">
        <f>('Kwh Reading'!P10-'Kwh Reading'!P9)*1000</f>
        <v>0</v>
      </c>
      <c r="P9" s="2">
        <f>('Kwh Reading'!G10-'Kwh Reading'!G9)*1000</f>
        <v>0</v>
      </c>
      <c r="Q9" s="2">
        <f>('Kwh Reading'!Q10-'Kwh Reading'!Q9)*1000</f>
        <v>0</v>
      </c>
      <c r="R9" s="2">
        <f>('Kwh Reading'!N10-'Kwh Reading'!N9)*1000</f>
        <v>0</v>
      </c>
      <c r="S9" s="2">
        <f>'Kwh Reading'!E10-'Kwh Reading'!E9</f>
        <v>0</v>
      </c>
      <c r="T9" s="2">
        <f>'Kwh Reading'!D10-'Kwh Reading'!D9</f>
        <v>0</v>
      </c>
      <c r="U9" s="27">
        <f>('Kwh Reading'!O10-'Kwh Reading'!O9)*1000</f>
        <v>0</v>
      </c>
      <c r="V9" s="16">
        <f t="shared" si="0"/>
        <v>0</v>
      </c>
    </row>
    <row r="10" spans="1:22" x14ac:dyDescent="0.25">
      <c r="A10" s="3">
        <f>'Kwh Reading'!A10</f>
        <v>44354</v>
      </c>
      <c r="B10" s="26">
        <f>TOTAL!E8</f>
        <v>0</v>
      </c>
      <c r="C10" s="4">
        <f>('Kwh Reading'!T11-'Kwh Reading'!T10)*1000</f>
        <v>0</v>
      </c>
      <c r="D10" s="2">
        <f>('Kwh Reading'!F11-'Kwh Reading'!F10)*1000000</f>
        <v>0</v>
      </c>
      <c r="E10" s="2">
        <f>('Kwh Reading'!C11-'Kwh Reading'!C10)*1000</f>
        <v>0</v>
      </c>
      <c r="F10" s="2">
        <f>('Kwh Reading'!J11-'Kwh Reading'!J10)*1000</f>
        <v>0</v>
      </c>
      <c r="G10" s="2">
        <f>('Kwh Reading'!K11-'Kwh Reading'!K10)*1000</f>
        <v>0</v>
      </c>
      <c r="H10" s="2">
        <f>('Kwh Reading'!L11-'Kwh Reading'!L10)*1000</f>
        <v>0</v>
      </c>
      <c r="I10" s="2">
        <f>('Kwh Reading'!R11-'Kwh Reading'!R10)*1000</f>
        <v>0</v>
      </c>
      <c r="J10" s="2">
        <f>('Kwh Reading'!S11-'Kwh Reading'!S10)*1000</f>
        <v>0</v>
      </c>
      <c r="K10" s="2">
        <f>('Kwh Reading'!I11-'Kwh Reading'!I10)*1000</f>
        <v>0</v>
      </c>
      <c r="L10" s="2">
        <f>('Kwh Reading'!B11-'Kwh Reading'!B10)*1000</f>
        <v>0</v>
      </c>
      <c r="M10" s="2">
        <f>('Kwh Reading'!M11-'Kwh Reading'!M10)*1000</f>
        <v>0</v>
      </c>
      <c r="N10" s="2">
        <f>('Kwh Reading'!H11-'Kwh Reading'!H10)*1000</f>
        <v>0</v>
      </c>
      <c r="O10" s="2">
        <f>('Kwh Reading'!P11-'Kwh Reading'!P10)*1000</f>
        <v>0</v>
      </c>
      <c r="P10" s="2">
        <f>('Kwh Reading'!G11-'Kwh Reading'!G10)*1000</f>
        <v>0</v>
      </c>
      <c r="Q10" s="2">
        <f>('Kwh Reading'!Q11-'Kwh Reading'!Q10)*1000</f>
        <v>0</v>
      </c>
      <c r="R10" s="2">
        <f>('Kwh Reading'!N11-'Kwh Reading'!N10)*1000</f>
        <v>0</v>
      </c>
      <c r="S10" s="34">
        <f>'Kwh Reading'!E11-'Kwh Reading'!E10</f>
        <v>0</v>
      </c>
      <c r="T10" s="34">
        <f>'Kwh Reading'!D11-'Kwh Reading'!D10</f>
        <v>0</v>
      </c>
      <c r="U10" s="27">
        <f>('Kwh Reading'!O11-'Kwh Reading'!O10)*1000</f>
        <v>0</v>
      </c>
      <c r="V10" s="16">
        <f t="shared" ref="V10:V34" si="1">B10-(SUM(C10:U10))</f>
        <v>0</v>
      </c>
    </row>
    <row r="11" spans="1:22" x14ac:dyDescent="0.25">
      <c r="A11" s="3">
        <f>'Kwh Reading'!A11</f>
        <v>44355</v>
      </c>
      <c r="B11" s="26">
        <f>TOTAL!E9</f>
        <v>0</v>
      </c>
      <c r="C11" s="4">
        <f>('Kwh Reading'!T12-'Kwh Reading'!T11)*1000</f>
        <v>0</v>
      </c>
      <c r="D11" s="2">
        <f>('Kwh Reading'!F12-'Kwh Reading'!F11)*1000000</f>
        <v>0</v>
      </c>
      <c r="E11" s="2">
        <f>('Kwh Reading'!C12-'Kwh Reading'!C11)*1000</f>
        <v>0</v>
      </c>
      <c r="F11" s="2">
        <f>('Kwh Reading'!J12-'Kwh Reading'!J11)*1000</f>
        <v>0</v>
      </c>
      <c r="G11" s="2">
        <f>('Kwh Reading'!K12-'Kwh Reading'!K11)*1000</f>
        <v>0</v>
      </c>
      <c r="H11" s="2">
        <f>('Kwh Reading'!L12-'Kwh Reading'!L11)*1000</f>
        <v>0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0</v>
      </c>
      <c r="L11" s="2">
        <f>('Kwh Reading'!B12-'Kwh Reading'!B11)*1000</f>
        <v>0</v>
      </c>
      <c r="M11" s="2">
        <f>('Kwh Reading'!M12-'Kwh Reading'!M11)*1000</f>
        <v>0</v>
      </c>
      <c r="N11" s="2">
        <f>('Kwh Reading'!H12-'Kwh Reading'!H11)*1000</f>
        <v>0</v>
      </c>
      <c r="O11" s="2">
        <f>('Kwh Reading'!P12-'Kwh Reading'!P11)*1000</f>
        <v>0</v>
      </c>
      <c r="P11" s="2">
        <f>('Kwh Reading'!G12-'Kwh Reading'!G11)*1000</f>
        <v>0</v>
      </c>
      <c r="Q11" s="2">
        <f>('Kwh Reading'!Q12-'Kwh Reading'!Q11)*1000</f>
        <v>0</v>
      </c>
      <c r="R11" s="2">
        <f>('Kwh Reading'!N12-'Kwh Reading'!N11)*1000</f>
        <v>0</v>
      </c>
      <c r="S11" s="34">
        <f>'Kwh Reading'!E12-'Kwh Reading'!E11</f>
        <v>0</v>
      </c>
      <c r="T11" s="34">
        <f>'Kwh Reading'!D12-'Kwh Reading'!D11</f>
        <v>0</v>
      </c>
      <c r="U11" s="27">
        <f>('Kwh Reading'!O12-'Kwh Reading'!O11)*1000</f>
        <v>0</v>
      </c>
      <c r="V11" s="16">
        <f t="shared" si="1"/>
        <v>0</v>
      </c>
    </row>
    <row r="12" spans="1:22" x14ac:dyDescent="0.25">
      <c r="A12" s="3">
        <f>'Kwh Reading'!A12</f>
        <v>44356</v>
      </c>
      <c r="B12" s="26">
        <f>TOTAL!E10</f>
        <v>0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</f>
        <v>0</v>
      </c>
      <c r="M12" s="2">
        <f>('Kwh Reading'!M13-'Kwh Reading'!M12)*1000</f>
        <v>0</v>
      </c>
      <c r="N12" s="2">
        <f>('Kwh Reading'!H13-'Kwh Reading'!H12)*1000</f>
        <v>0</v>
      </c>
      <c r="O12" s="2">
        <f>('Kwh Reading'!P13-'Kwh Reading'!P12)*1000</f>
        <v>0</v>
      </c>
      <c r="P12" s="2">
        <f>('Kwh Reading'!G13-'Kwh Reading'!G12)*1000</f>
        <v>0</v>
      </c>
      <c r="Q12" s="2">
        <f>('Kwh Reading'!Q13-'Kwh Reading'!Q12)*1000</f>
        <v>0</v>
      </c>
      <c r="R12" s="2">
        <f>('Kwh Reading'!N13-'Kwh Reading'!N12)*1000</f>
        <v>0</v>
      </c>
      <c r="S12" s="34">
        <f>'Kwh Reading'!E13-'Kwh Reading'!E12</f>
        <v>0</v>
      </c>
      <c r="T12" s="34">
        <f>'Kwh Reading'!D13-'Kwh Reading'!D12</f>
        <v>0</v>
      </c>
      <c r="U12" s="27">
        <f>('Kwh Reading'!O13-'Kwh Reading'!O12)*1000</f>
        <v>0</v>
      </c>
      <c r="V12" s="16">
        <f t="shared" si="1"/>
        <v>0</v>
      </c>
    </row>
    <row r="13" spans="1:22" x14ac:dyDescent="0.25">
      <c r="A13" s="3">
        <f>'Kwh Reading'!A13</f>
        <v>44357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</f>
        <v>0</v>
      </c>
      <c r="Q13" s="2">
        <f>('Kwh Reading'!Q14-'Kwh Reading'!Q13)*1000</f>
        <v>0</v>
      </c>
      <c r="R13" s="2">
        <f>('Kwh Reading'!N14-'Kwh Reading'!N13)*1000</f>
        <v>0</v>
      </c>
      <c r="S13" s="34">
        <f>'Kwh Reading'!E14-'Kwh Reading'!E13</f>
        <v>0</v>
      </c>
      <c r="T13" s="34">
        <f>'Kwh Reading'!D14-'Kwh Reading'!D13</f>
        <v>0</v>
      </c>
      <c r="U13" s="27">
        <f>('Kwh Reading'!O14-'Kwh Reading'!O13)*1000</f>
        <v>0</v>
      </c>
      <c r="V13" s="16">
        <f t="shared" si="1"/>
        <v>0</v>
      </c>
    </row>
    <row r="14" spans="1:22" x14ac:dyDescent="0.25">
      <c r="A14" s="3">
        <f>'Kwh Reading'!A14</f>
        <v>44358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</f>
        <v>0</v>
      </c>
      <c r="Q14" s="2">
        <f>('Kwh Reading'!Q15-'Kwh Reading'!Q14)*1000</f>
        <v>0</v>
      </c>
      <c r="R14" s="2">
        <f>('Kwh Reading'!N15-'Kwh Reading'!N14)*1000</f>
        <v>0</v>
      </c>
      <c r="S14" s="34">
        <f>'Kwh Reading'!E15-'Kwh Reading'!E14</f>
        <v>0</v>
      </c>
      <c r="T14" s="34">
        <f>'Kwh Reading'!D15-'Kwh Reading'!D14</f>
        <v>0</v>
      </c>
      <c r="U14" s="27">
        <f>('Kwh Reading'!O15-'Kwh Reading'!O14)*1000</f>
        <v>0</v>
      </c>
      <c r="V14" s="16">
        <f t="shared" si="1"/>
        <v>0</v>
      </c>
    </row>
    <row r="15" spans="1:22" x14ac:dyDescent="0.25">
      <c r="A15" s="3">
        <f>'Kwh Reading'!A15</f>
        <v>44359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4">
        <f>'Kwh Reading'!E16-'Kwh Reading'!E15</f>
        <v>0</v>
      </c>
      <c r="T15" s="34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44360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4">
        <f>'Kwh Reading'!E17-'Kwh Reading'!E16</f>
        <v>0</v>
      </c>
      <c r="T16" s="34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44361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44362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44363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44364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44365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44366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44367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44368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44369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44370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44371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44372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44373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44374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44375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44376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44377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44378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25520</v>
      </c>
      <c r="C35" s="75">
        <f t="shared" ref="C35" si="2">SUM(C4:C34)</f>
        <v>-407660.00000000006</v>
      </c>
      <c r="D35" s="75">
        <f t="shared" ref="D35" si="3">SUM(D4:D34)</f>
        <v>-2308100</v>
      </c>
      <c r="E35" s="75">
        <f t="shared" ref="E35" si="4">SUM(E4:E34)</f>
        <v>-222830.00000000003</v>
      </c>
      <c r="F35" s="75">
        <f t="shared" ref="F35" si="5">SUM(F4:F34)</f>
        <v>-310550</v>
      </c>
      <c r="G35" s="75">
        <f t="shared" ref="G35:U35" si="6">SUM(G4:G34)</f>
        <v>-333630</v>
      </c>
      <c r="H35" s="75">
        <f t="shared" si="6"/>
        <v>-228430</v>
      </c>
      <c r="I35" s="75">
        <f t="shared" si="6"/>
        <v>-148640</v>
      </c>
      <c r="J35" s="75">
        <f t="shared" si="6"/>
        <v>-111340.00000000001</v>
      </c>
      <c r="K35" s="75">
        <f t="shared" si="6"/>
        <v>-226280</v>
      </c>
      <c r="L35" s="75">
        <f t="shared" si="6"/>
        <v>-941590</v>
      </c>
      <c r="M35" s="75">
        <f t="shared" si="6"/>
        <v>-494459.99999999994</v>
      </c>
      <c r="N35" s="75">
        <f t="shared" si="6"/>
        <v>-608010</v>
      </c>
      <c r="O35" s="75">
        <f t="shared" si="6"/>
        <v>-586590.00000000012</v>
      </c>
      <c r="P35" s="75">
        <f t="shared" si="6"/>
        <v>-719090</v>
      </c>
      <c r="Q35" s="75">
        <f t="shared" si="6"/>
        <v>-439130</v>
      </c>
      <c r="R35" s="75">
        <f t="shared" si="6"/>
        <v>-448540</v>
      </c>
      <c r="S35" s="75">
        <f t="shared" si="6"/>
        <v>-8087986.3700000001</v>
      </c>
      <c r="T35" s="75">
        <f t="shared" si="6"/>
        <v>-7406516.4000000004</v>
      </c>
      <c r="U35" s="75">
        <f t="shared" si="6"/>
        <v>-144039.99999999997</v>
      </c>
      <c r="V35" s="75">
        <f>SUM(V4:V34)</f>
        <v>24198932.770000003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7" sqref="C27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44348</v>
      </c>
      <c r="B3" s="83">
        <f>TOTAL!E2</f>
        <v>22750.000000000684</v>
      </c>
      <c r="C3" s="1">
        <f>'Kwh Consumption'!C4</f>
        <v>479.99999999996135</v>
      </c>
      <c r="D3" s="1">
        <f>'Kwh Consumption'!D4</f>
        <v>1999.9999999997797</v>
      </c>
      <c r="E3" s="1">
        <f>'Kwh Consumption'!E4</f>
        <v>209.99999999997954</v>
      </c>
      <c r="F3" s="1">
        <f>('Kwh Consumption'!F4+'Kwh Consumption'!G4+'Kwh Consumption'!H4)</f>
        <v>549.99999999998295</v>
      </c>
      <c r="G3" s="16">
        <f>('Kwh Consumption'!I4+'Kwh Consumption'!J4)</f>
        <v>950.00000000000284</v>
      </c>
      <c r="H3" s="1">
        <f>('Kwh Consumption'!K4+'Kwh Consumption'!L4)</f>
        <v>1489.9999999999523</v>
      </c>
      <c r="I3" s="1">
        <f>('Kwh Consumption'!M4+'Kwh Consumption'!N4+'Kwh Consumption'!O4+'Kwh Consumption'!P4+'Kwh Consumption'!Q4+'Kwh Consumption'!R4)</f>
        <v>4749.9999999998863</v>
      </c>
      <c r="J3" s="1">
        <f>('Kwh Consumption'!S4+'Kwh Consumption'!T4)</f>
        <v>5661.7199999997392</v>
      </c>
      <c r="K3" s="1">
        <f>'Kwh Consumption'!U4</f>
        <v>260.00000000001933</v>
      </c>
      <c r="L3" s="32">
        <f t="shared" ref="L3:L33" si="0">B3-C3-D3-E3-F3-G3-H3-I3-J3-K3</f>
        <v>6398.280000001384</v>
      </c>
    </row>
    <row r="4" spans="1:12" x14ac:dyDescent="0.25">
      <c r="A4" s="14">
        <f>'Kwh Reading'!A5</f>
        <v>44349</v>
      </c>
      <c r="B4" s="83">
        <f>TOTAL!E3</f>
        <v>0</v>
      </c>
      <c r="C4" s="1">
        <f>'Kwh Consumption'!C5</f>
        <v>-408140</v>
      </c>
      <c r="D4" s="1">
        <f>'Kwh Consumption'!D5</f>
        <v>-2310100</v>
      </c>
      <c r="E4" s="1">
        <f>'Kwh Consumption'!E5</f>
        <v>-223040</v>
      </c>
      <c r="F4" s="1">
        <f>('Kwh Consumption'!F5+'Kwh Consumption'!G5+'Kwh Consumption'!H5)</f>
        <v>-873160</v>
      </c>
      <c r="G4" s="16">
        <f>('Kwh Consumption'!I5+'Kwh Consumption'!J5)</f>
        <v>-260930</v>
      </c>
      <c r="H4" s="1">
        <f>('Kwh Consumption'!K5+'Kwh Consumption'!L5)</f>
        <v>-1169360</v>
      </c>
      <c r="I4" s="1">
        <f>('Kwh Consumption'!M5+'Kwh Consumption'!N5+'Kwh Consumption'!O5+'Kwh Consumption'!P5+'Kwh Consumption'!Q5+'Kwh Consumption'!R5)</f>
        <v>-3300570</v>
      </c>
      <c r="J4" s="1">
        <f>('Kwh Consumption'!S5+'Kwh Consumption'!T5)</f>
        <v>-15500164.49</v>
      </c>
      <c r="K4" s="1">
        <f>'Kwh Consumption'!U5</f>
        <v>-144300</v>
      </c>
      <c r="L4" s="32">
        <f t="shared" si="0"/>
        <v>24189764.490000002</v>
      </c>
    </row>
    <row r="5" spans="1:12" x14ac:dyDescent="0.25">
      <c r="A5" s="14">
        <f>'Kwh Reading'!A6</f>
        <v>44350</v>
      </c>
      <c r="B5" s="83">
        <f>TOTAL!E4</f>
        <v>0</v>
      </c>
      <c r="C5" s="1">
        <f>'Kwh Consumption'!C6</f>
        <v>0</v>
      </c>
      <c r="D5" s="1">
        <f>'Kwh Consumption'!D6</f>
        <v>0</v>
      </c>
      <c r="E5" s="1">
        <f>'Kwh Consumption'!E6</f>
        <v>0</v>
      </c>
      <c r="F5" s="1">
        <f>('Kwh Consumption'!F6+'Kwh Consumption'!G6+'Kwh Consumption'!H6)</f>
        <v>0</v>
      </c>
      <c r="G5" s="16">
        <f>('Kwh Consumption'!I6+'Kwh Consumption'!J6)</f>
        <v>0</v>
      </c>
      <c r="H5" s="1">
        <f>('Kwh Consumption'!K6+'Kwh Consumption'!L6)</f>
        <v>0</v>
      </c>
      <c r="I5" s="1">
        <f>('Kwh Consumption'!M6+'Kwh Consumption'!N6+'Kwh Consumption'!O6+'Kwh Consumption'!P6+'Kwh Consumption'!Q6+'Kwh Consumption'!R6)</f>
        <v>0</v>
      </c>
      <c r="J5" s="1">
        <f>('Kwh Consumption'!S6+'Kwh Consumption'!T6)</f>
        <v>0</v>
      </c>
      <c r="K5" s="1">
        <f>'Kwh Consumption'!U6</f>
        <v>0</v>
      </c>
      <c r="L5" s="32">
        <f t="shared" si="0"/>
        <v>0</v>
      </c>
    </row>
    <row r="6" spans="1:12" x14ac:dyDescent="0.25">
      <c r="A6" s="14">
        <f>'Kwh Reading'!A7</f>
        <v>44351</v>
      </c>
      <c r="B6" s="83">
        <f>TOTAL!E5</f>
        <v>0</v>
      </c>
      <c r="C6" s="1">
        <f>'Kwh Consumption'!C7</f>
        <v>0</v>
      </c>
      <c r="D6" s="1">
        <f>'Kwh Consumption'!D7</f>
        <v>0</v>
      </c>
      <c r="E6" s="1">
        <f>'Kwh Consumption'!E7</f>
        <v>0</v>
      </c>
      <c r="F6" s="1">
        <f>('Kwh Consumption'!F7+'Kwh Consumption'!G7+'Kwh Consumption'!H7)</f>
        <v>0</v>
      </c>
      <c r="G6" s="16">
        <f>('Kwh Consumption'!I7+'Kwh Consumption'!J7)</f>
        <v>0</v>
      </c>
      <c r="H6" s="1">
        <f>('Kwh Consumption'!K7+'Kwh Consumption'!L7)</f>
        <v>0</v>
      </c>
      <c r="I6" s="1">
        <f>('Kwh Consumption'!M7+'Kwh Consumption'!N7+'Kwh Consumption'!O7+'Kwh Consumption'!P7+'Kwh Consumption'!Q7+'Kwh Consumption'!R7)</f>
        <v>0</v>
      </c>
      <c r="J6" s="1">
        <f>('Kwh Consumption'!S7+'Kwh Consumption'!T7)</f>
        <v>0</v>
      </c>
      <c r="K6" s="1">
        <f>'Kwh Consumption'!U7</f>
        <v>0</v>
      </c>
      <c r="L6" s="32">
        <f t="shared" si="0"/>
        <v>0</v>
      </c>
    </row>
    <row r="7" spans="1:12" x14ac:dyDescent="0.25">
      <c r="A7" s="14">
        <f>'Kwh Reading'!A8</f>
        <v>44352</v>
      </c>
      <c r="B7" s="83">
        <f>TOTAL!E6</f>
        <v>0</v>
      </c>
      <c r="C7" s="1">
        <f>'Kwh Consumption'!C8</f>
        <v>0</v>
      </c>
      <c r="D7" s="1">
        <f>'Kwh Consumption'!D8</f>
        <v>0</v>
      </c>
      <c r="E7" s="1">
        <f>'Kwh Consumption'!E8</f>
        <v>0</v>
      </c>
      <c r="F7" s="1">
        <f>('Kwh Consumption'!F8+'Kwh Consumption'!G8+'Kwh Consumption'!H8)</f>
        <v>0</v>
      </c>
      <c r="G7" s="16">
        <f>('Kwh Consumption'!I8+'Kwh Consumption'!J8)</f>
        <v>0</v>
      </c>
      <c r="H7" s="1">
        <f>('Kwh Consumption'!K8+'Kwh Consumption'!L8)</f>
        <v>0</v>
      </c>
      <c r="I7" s="1">
        <f>('Kwh Consumption'!M8+'Kwh Consumption'!N8+'Kwh Consumption'!O8+'Kwh Consumption'!P8+'Kwh Consumption'!Q8+'Kwh Consumption'!R8)</f>
        <v>0</v>
      </c>
      <c r="J7" s="1">
        <f>('Kwh Consumption'!S8+'Kwh Consumption'!T8)</f>
        <v>0</v>
      </c>
      <c r="K7" s="1">
        <f>'Kwh Consumption'!U8</f>
        <v>0</v>
      </c>
      <c r="L7" s="32">
        <f t="shared" si="0"/>
        <v>0</v>
      </c>
    </row>
    <row r="8" spans="1:12" x14ac:dyDescent="0.25">
      <c r="A8" s="14">
        <f>'Kwh Reading'!A9</f>
        <v>44353</v>
      </c>
      <c r="B8" s="83">
        <f>TOTAL!E7</f>
        <v>0</v>
      </c>
      <c r="C8" s="1">
        <f>'Kwh Consumption'!C9</f>
        <v>0</v>
      </c>
      <c r="D8" s="1">
        <f>'Kwh Consumption'!D9</f>
        <v>0</v>
      </c>
      <c r="E8" s="1">
        <f>'Kwh Consumption'!E9</f>
        <v>0</v>
      </c>
      <c r="F8" s="1">
        <f>('Kwh Consumption'!F9+'Kwh Consumption'!G9+'Kwh Consumption'!H9)</f>
        <v>0</v>
      </c>
      <c r="G8" s="16">
        <f>('Kwh Consumption'!I9+'Kwh Consumption'!J9)</f>
        <v>0</v>
      </c>
      <c r="H8" s="1">
        <f>('Kwh Consumption'!K9+'Kwh Consumption'!L9)</f>
        <v>0</v>
      </c>
      <c r="I8" s="1">
        <f>('Kwh Consumption'!M9+'Kwh Consumption'!N9+'Kwh Consumption'!O9+'Kwh Consumption'!P9+'Kwh Consumption'!Q9+'Kwh Consumption'!R9)</f>
        <v>0</v>
      </c>
      <c r="J8" s="1">
        <f>('Kwh Consumption'!S9+'Kwh Consumption'!T9)</f>
        <v>0</v>
      </c>
      <c r="K8" s="1">
        <f>'Kwh Consumption'!U9</f>
        <v>0</v>
      </c>
      <c r="L8" s="32">
        <f t="shared" si="0"/>
        <v>0</v>
      </c>
    </row>
    <row r="9" spans="1:12" x14ac:dyDescent="0.25">
      <c r="A9" s="14">
        <f>'Kwh Reading'!A10</f>
        <v>44354</v>
      </c>
      <c r="B9" s="83">
        <f>TOTAL!E8</f>
        <v>0</v>
      </c>
      <c r="C9" s="1">
        <f>'Kwh Consumption'!C10</f>
        <v>0</v>
      </c>
      <c r="D9" s="1">
        <f>'Kwh Consumption'!D10</f>
        <v>0</v>
      </c>
      <c r="E9" s="1">
        <f>'Kwh Consumption'!E10</f>
        <v>0</v>
      </c>
      <c r="F9" s="1">
        <f>('Kwh Consumption'!F10+'Kwh Consumption'!G10+'Kwh Consumption'!H10)</f>
        <v>0</v>
      </c>
      <c r="G9" s="16">
        <f>('Kwh Consumption'!I10+'Kwh Consumption'!J10)</f>
        <v>0</v>
      </c>
      <c r="H9" s="1">
        <f>('Kwh Consumption'!K10+'Kwh Consumption'!L10)</f>
        <v>0</v>
      </c>
      <c r="I9" s="1">
        <f>('Kwh Consumption'!M10+'Kwh Consumption'!N10+'Kwh Consumption'!O10+'Kwh Consumption'!P10+'Kwh Consumption'!Q10+'Kwh Consumption'!R10)</f>
        <v>0</v>
      </c>
      <c r="J9" s="1">
        <f>('Kwh Consumption'!S10+'Kwh Consumption'!T10)</f>
        <v>0</v>
      </c>
      <c r="K9" s="1">
        <f>'Kwh Consumption'!U10</f>
        <v>0</v>
      </c>
      <c r="L9" s="32">
        <f t="shared" si="0"/>
        <v>0</v>
      </c>
    </row>
    <row r="10" spans="1:12" x14ac:dyDescent="0.25">
      <c r="A10" s="14">
        <f>'Kwh Reading'!A11</f>
        <v>44355</v>
      </c>
      <c r="B10" s="83">
        <f>TOTAL!E9</f>
        <v>0</v>
      </c>
      <c r="C10" s="1">
        <f>'Kwh Consumption'!C11</f>
        <v>0</v>
      </c>
      <c r="D10" s="1">
        <f>'Kwh Consumption'!D11</f>
        <v>0</v>
      </c>
      <c r="E10" s="1">
        <f>'Kwh Consumption'!E11</f>
        <v>0</v>
      </c>
      <c r="F10" s="1">
        <f>('Kwh Consumption'!F11+'Kwh Consumption'!G11+'Kwh Consumption'!H11)</f>
        <v>0</v>
      </c>
      <c r="G10" s="16">
        <f>('Kwh Consumption'!I11+'Kwh Consumption'!J11)</f>
        <v>0</v>
      </c>
      <c r="H10" s="1">
        <f>('Kwh Consumption'!K11+'Kwh Consumption'!L11)</f>
        <v>0</v>
      </c>
      <c r="I10" s="1">
        <f>('Kwh Consumption'!M11+'Kwh Consumption'!N11+'Kwh Consumption'!O11+'Kwh Consumption'!P11+'Kwh Consumption'!Q11+'Kwh Consumption'!R11)</f>
        <v>0</v>
      </c>
      <c r="J10" s="1">
        <f>('Kwh Consumption'!S11+'Kwh Consumption'!T11)</f>
        <v>0</v>
      </c>
      <c r="K10" s="1">
        <f>'Kwh Consumption'!U11</f>
        <v>0</v>
      </c>
      <c r="L10" s="32">
        <f t="shared" si="0"/>
        <v>0</v>
      </c>
    </row>
    <row r="11" spans="1:12" x14ac:dyDescent="0.25">
      <c r="A11" s="14">
        <f>'Kwh Reading'!A12</f>
        <v>44356</v>
      </c>
      <c r="B11" s="83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6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32">
        <f t="shared" si="0"/>
        <v>0</v>
      </c>
    </row>
    <row r="12" spans="1:12" x14ac:dyDescent="0.25">
      <c r="A12" s="14">
        <f>'Kwh Reading'!A13</f>
        <v>44357</v>
      </c>
      <c r="B12" s="83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2">
        <f t="shared" si="0"/>
        <v>0</v>
      </c>
    </row>
    <row r="13" spans="1:12" x14ac:dyDescent="0.25">
      <c r="A13" s="14">
        <f>'Kwh Reading'!A14</f>
        <v>44358</v>
      </c>
      <c r="B13" s="83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2">
        <f t="shared" si="0"/>
        <v>0</v>
      </c>
    </row>
    <row r="14" spans="1:12" x14ac:dyDescent="0.25">
      <c r="A14" s="14">
        <f>'Kwh Reading'!A15</f>
        <v>44359</v>
      </c>
      <c r="B14" s="83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2">
        <f t="shared" si="0"/>
        <v>0</v>
      </c>
    </row>
    <row r="15" spans="1:12" x14ac:dyDescent="0.25">
      <c r="A15" s="14">
        <f>'Kwh Reading'!A16</f>
        <v>44360</v>
      </c>
      <c r="B15" s="83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2">
        <f t="shared" si="0"/>
        <v>0</v>
      </c>
    </row>
    <row r="16" spans="1:12" x14ac:dyDescent="0.25">
      <c r="A16" s="14">
        <f>'Kwh Reading'!A17</f>
        <v>44361</v>
      </c>
      <c r="B16" s="83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44362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44363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44364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44365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44366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44367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44368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44369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44370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44371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44372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44373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44374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44375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44376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44377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44378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22750.000000000684</v>
      </c>
      <c r="C34" s="75">
        <f>SUM(C3:C33)</f>
        <v>-407660.00000000006</v>
      </c>
      <c r="D34" s="75">
        <f t="shared" ref="D34:L34" si="1">SUM(D3:D33)</f>
        <v>-2308100</v>
      </c>
      <c r="E34" s="75">
        <f t="shared" si="1"/>
        <v>-222830.00000000003</v>
      </c>
      <c r="F34" s="75">
        <f t="shared" si="1"/>
        <v>-872610</v>
      </c>
      <c r="G34" s="75">
        <f t="shared" si="1"/>
        <v>-259980</v>
      </c>
      <c r="H34" s="75">
        <f t="shared" si="1"/>
        <v>-1167870</v>
      </c>
      <c r="I34" s="75">
        <f t="shared" si="1"/>
        <v>-3295820</v>
      </c>
      <c r="J34" s="75">
        <f t="shared" si="1"/>
        <v>-15494502.77</v>
      </c>
      <c r="K34" s="75">
        <f t="shared" si="1"/>
        <v>-144039.99999999997</v>
      </c>
      <c r="L34" s="75">
        <f t="shared" si="1"/>
        <v>24196162.770000003</v>
      </c>
      <c r="M34" s="84">
        <f>C34+D34+E34+F34+G34+H34+I34+J34+K34+L34</f>
        <v>22750.000000003725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-57072.400000000016</v>
      </c>
      <c r="D36" s="75">
        <f>D34*B36</f>
        <v>-323134.00000000006</v>
      </c>
      <c r="E36" s="75">
        <f>E34*B36</f>
        <v>-31196.200000000008</v>
      </c>
      <c r="F36" s="75">
        <f>F34*B36</f>
        <v>-122165.40000000001</v>
      </c>
      <c r="G36" s="75">
        <f>G34*B36</f>
        <v>-36397.200000000004</v>
      </c>
      <c r="H36" s="75">
        <f>H34*B36</f>
        <v>-163501.80000000002</v>
      </c>
      <c r="I36" s="75">
        <f>I34*B36</f>
        <v>-461414.80000000005</v>
      </c>
      <c r="J36" s="75">
        <f>J34*B36</f>
        <v>-2169230.3878000001</v>
      </c>
      <c r="K36" s="75">
        <f>K34*B36</f>
        <v>-20165.599999999999</v>
      </c>
      <c r="L36" s="75">
        <f>L34*B36</f>
        <v>3387462.787800001</v>
      </c>
      <c r="M36" s="84">
        <f>C36+D36+E36+F36+G36+H36+I36+J36+K36+L36</f>
        <v>3185.0000000004657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44348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67.199999999994589</v>
      </c>
      <c r="E3" s="1">
        <f>'Kwh Consumption'!D4*' Kwh area wise $ '!B3</f>
        <v>279.99999999996919</v>
      </c>
      <c r="F3" s="1">
        <f>'Kwh Consumption'!E4*' Kwh area wise $ '!B3</f>
        <v>29.399999999997139</v>
      </c>
      <c r="G3" s="1">
        <f>('Kwh Consumption'!F4+'Kwh Consumption'!G4+'Kwh Consumption'!H4)*' Kwh area wise $ '!B3</f>
        <v>76.999999999997627</v>
      </c>
      <c r="H3" s="16">
        <f>('Kwh Consumption'!I4+'Kwh Consumption'!J4)*' Kwh area wise $ '!B3</f>
        <v>133.0000000000004</v>
      </c>
      <c r="I3" s="1">
        <f>('Kwh Consumption'!K4+'Kwh Consumption'!L4)*' Kwh area wise $ '!B3</f>
        <v>208.59999999999334</v>
      </c>
      <c r="J3" s="1">
        <f>('Kwh Consumption'!M4+'Kwh Consumption'!N4+'Kwh Consumption'!O4+'Kwh Consumption'!P4+'Kwh Consumption'!Q4+'Kwh Consumption'!R4)*' Kwh area wise $ '!B3</f>
        <v>664.9999999999842</v>
      </c>
      <c r="K3" s="1">
        <f>('Kwh Consumption'!S4+'Kwh Consumption'!T4)*' Kwh area wise $ '!B3</f>
        <v>792.64079999996352</v>
      </c>
      <c r="L3" s="1">
        <f>'Kwh Consumption'!U4*' Kwh area wise $ '!B3</f>
        <v>36.400000000002706</v>
      </c>
      <c r="M3" s="1">
        <f>'Kwh Consumption'!V4*' Kwh area wise $ '!B3</f>
        <v>1283.5592000000972</v>
      </c>
    </row>
    <row r="4" spans="1:13" x14ac:dyDescent="0.25">
      <c r="A4" s="14">
        <f>'Kwh Reading'!A5</f>
        <v>44349</v>
      </c>
      <c r="B4" s="11">
        <f>TOTAL!F3</f>
        <v>0.14000000000000001</v>
      </c>
      <c r="C4" s="11">
        <f>'Kwh Consumption'!B5*' Kwh area wise $ '!B4</f>
        <v>0</v>
      </c>
      <c r="D4" s="1">
        <f>'Kwh Consumption'!C5*' Kwh area wise $ '!B4</f>
        <v>-57139.600000000006</v>
      </c>
      <c r="E4" s="1">
        <f>'Kwh Consumption'!D5*' Kwh area wise $ '!B4</f>
        <v>-323414.00000000006</v>
      </c>
      <c r="F4" s="1">
        <f>'Kwh Consumption'!E5*' Kwh area wise $ '!B4</f>
        <v>-31225.600000000002</v>
      </c>
      <c r="G4" s="1">
        <f>('Kwh Consumption'!F5+'Kwh Consumption'!G5+'Kwh Consumption'!H5)*' Kwh area wise $ '!B4</f>
        <v>-122242.40000000001</v>
      </c>
      <c r="H4" s="16">
        <f>('Kwh Consumption'!I5+'Kwh Consumption'!J5)*' Kwh area wise $ '!B4</f>
        <v>-36530.200000000004</v>
      </c>
      <c r="I4" s="1">
        <f>('Kwh Consumption'!K5+'Kwh Consumption'!L5)*' Kwh area wise $ '!B4</f>
        <v>-163710.40000000002</v>
      </c>
      <c r="J4" s="1">
        <f>('Kwh Consumption'!M5+'Kwh Consumption'!N5+'Kwh Consumption'!O5+'Kwh Consumption'!P5+'Kwh Consumption'!Q5+'Kwh Consumption'!R5)*' Kwh area wise $ '!B4</f>
        <v>-462079.80000000005</v>
      </c>
      <c r="K4" s="1">
        <f>('Kwh Consumption'!S5+'Kwh Consumption'!T5)*' Kwh area wise $ '!B4</f>
        <v>-2170023.0286000003</v>
      </c>
      <c r="L4" s="1">
        <f>'Kwh Consumption'!U5*' Kwh area wise $ '!B4</f>
        <v>-20202.000000000004</v>
      </c>
      <c r="M4" s="1">
        <f>'Kwh Consumption'!V5*' Kwh area wise $ '!B4</f>
        <v>3386567.0286000008</v>
      </c>
    </row>
    <row r="5" spans="1:13" x14ac:dyDescent="0.25">
      <c r="A5" s="14">
        <f>'Kwh Reading'!A6</f>
        <v>44350</v>
      </c>
      <c r="B5" s="11">
        <f>TOTAL!F4</f>
        <v>0.14000000000000001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6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1">
        <f>('Kwh Consumption'!S6+'Kwh Consumption'!T6)*' Kwh area wise $ '!B5</f>
        <v>0</v>
      </c>
      <c r="L5" s="1">
        <f>'Kwh Consumption'!U6*' Kwh area wise $ '!B5</f>
        <v>0</v>
      </c>
      <c r="M5" s="1">
        <f>'Kwh Consumption'!V6*' Kwh area wise $ '!B5</f>
        <v>0</v>
      </c>
    </row>
    <row r="6" spans="1:13" x14ac:dyDescent="0.25">
      <c r="A6" s="14">
        <f>'Kwh Reading'!A7</f>
        <v>44351</v>
      </c>
      <c r="B6" s="11">
        <f>TOTAL!F5</f>
        <v>0.14000000000000001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6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1">
        <f>('Kwh Consumption'!S7+'Kwh Consumption'!T7)*' Kwh area wise $ '!B6</f>
        <v>0</v>
      </c>
      <c r="L6" s="1">
        <f>'Kwh Consumption'!U7*' Kwh area wise $ '!B6</f>
        <v>0</v>
      </c>
      <c r="M6" s="1">
        <f>'Kwh Consumption'!V7*' Kwh area wise $ '!B6</f>
        <v>0</v>
      </c>
    </row>
    <row r="7" spans="1:13" x14ac:dyDescent="0.25">
      <c r="A7" s="14">
        <f>'Kwh Reading'!A8</f>
        <v>44352</v>
      </c>
      <c r="B7" s="11">
        <f>TOTAL!F6</f>
        <v>0.14000000000000001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6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1">
        <f>('Kwh Consumption'!S8+'Kwh Consumption'!T8)*' Kwh area wise $ '!B7</f>
        <v>0</v>
      </c>
      <c r="L7" s="1">
        <f>'Kwh Consumption'!U8*' Kwh area wise $ '!B7</f>
        <v>0</v>
      </c>
      <c r="M7" s="1">
        <f>'Kwh Consumption'!V8*' Kwh area wise $ '!B7</f>
        <v>0</v>
      </c>
    </row>
    <row r="8" spans="1:13" x14ac:dyDescent="0.25">
      <c r="A8" s="14">
        <f>'Kwh Reading'!A9</f>
        <v>44353</v>
      </c>
      <c r="B8" s="11">
        <f>TOTAL!F7</f>
        <v>0.14000000000000001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1">
        <f>('Kwh Consumption'!S9+'Kwh Consumption'!T9)*' Kwh area wise $ '!B8</f>
        <v>0</v>
      </c>
      <c r="L8" s="1">
        <f>'Kwh Consumption'!U9*' Kwh area wise $ '!B8</f>
        <v>0</v>
      </c>
      <c r="M8" s="1">
        <f>'Kwh Consumption'!V9*' Kwh area wise $ '!B8</f>
        <v>0</v>
      </c>
    </row>
    <row r="9" spans="1:13" x14ac:dyDescent="0.25">
      <c r="A9" s="14">
        <f>'Kwh Reading'!A10</f>
        <v>44354</v>
      </c>
      <c r="B9" s="11">
        <f>TOTAL!F8</f>
        <v>0.14000000000000001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1">
        <f>('Kwh Consumption'!S10+'Kwh Consumption'!T10)*' Kwh area wise $ '!B9</f>
        <v>0</v>
      </c>
      <c r="L9" s="1">
        <f>'Kwh Consumption'!U10*' Kwh area wise $ '!B9</f>
        <v>0</v>
      </c>
      <c r="M9" s="1">
        <f>'Kwh Consumption'!V10*' Kwh area wise $ '!B9</f>
        <v>0</v>
      </c>
    </row>
    <row r="10" spans="1:13" x14ac:dyDescent="0.25">
      <c r="A10" s="14">
        <f>'Kwh Reading'!A11</f>
        <v>44355</v>
      </c>
      <c r="B10" s="11">
        <f>TOTAL!F9</f>
        <v>0.14000000000000001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1">
        <f>('Kwh Consumption'!S11+'Kwh Consumption'!T11)*' Kwh area wise $ '!B10</f>
        <v>0</v>
      </c>
      <c r="L10" s="1">
        <f>'Kwh Consumption'!U11*' Kwh area wise $ '!B10</f>
        <v>0</v>
      </c>
      <c r="M10" s="1">
        <f>'Kwh Consumption'!V11*' Kwh area wise $ '!B10</f>
        <v>0</v>
      </c>
    </row>
    <row r="11" spans="1:13" x14ac:dyDescent="0.25">
      <c r="A11" s="14">
        <f>'Kwh Reading'!A12</f>
        <v>44356</v>
      </c>
      <c r="B11" s="11">
        <f>TOTAL!F10</f>
        <v>0.14000000000000001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1">
        <f>('Kwh Consumption'!S12+'Kwh Consumption'!T12)*' Kwh area wise $ '!B11</f>
        <v>0</v>
      </c>
      <c r="L11" s="1">
        <f>'Kwh Consumption'!U12*' Kwh area wise $ '!B11</f>
        <v>0</v>
      </c>
      <c r="M11" s="1">
        <f>'Kwh Consumption'!V12*' Kwh area wise $ '!B11</f>
        <v>0</v>
      </c>
    </row>
    <row r="12" spans="1:13" x14ac:dyDescent="0.25">
      <c r="A12" s="14">
        <f>'Kwh Reading'!A13</f>
        <v>44357</v>
      </c>
      <c r="B12" s="11">
        <f>TOTAL!F11</f>
        <v>0.14000000000000001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1">
        <f>('Kwh Consumption'!S13+'Kwh Consumption'!T13)*' Kwh area wise $ '!B12</f>
        <v>0</v>
      </c>
      <c r="L12" s="1">
        <f>'Kwh Consumption'!U13*' Kwh area wise $ '!B12</f>
        <v>0</v>
      </c>
      <c r="M12" s="1">
        <f>'Kwh Consumption'!V13*' Kwh area wise $ '!B12</f>
        <v>0</v>
      </c>
    </row>
    <row r="13" spans="1:13" x14ac:dyDescent="0.25">
      <c r="A13" s="14">
        <f>'Kwh Reading'!A14</f>
        <v>44358</v>
      </c>
      <c r="B13" s="11">
        <f>TOTAL!F12</f>
        <v>0.14000000000000001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1">
        <f>('Kwh Consumption'!S14+'Kwh Consumption'!T14)*' Kwh area wise $ '!B13</f>
        <v>0</v>
      </c>
      <c r="L13" s="1">
        <f>'Kwh Consumption'!U14*' Kwh area wise $ '!B13</f>
        <v>0</v>
      </c>
      <c r="M13" s="1">
        <f>'Kwh Consumption'!V14*' Kwh area wise $ '!B13</f>
        <v>0</v>
      </c>
    </row>
    <row r="14" spans="1:13" x14ac:dyDescent="0.25">
      <c r="A14" s="14">
        <f>'Kwh Reading'!A15</f>
        <v>44359</v>
      </c>
      <c r="B14" s="11">
        <f>TOTAL!F13</f>
        <v>0.14000000000000001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44360</v>
      </c>
      <c r="B15" s="11">
        <f>TOTAL!F14</f>
        <v>0.14000000000000001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44361</v>
      </c>
      <c r="B16" s="11">
        <f>TOTAL!F15</f>
        <v>0.14000000000000001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44362</v>
      </c>
      <c r="B17" s="11">
        <f>TOTAL!F16</f>
        <v>0.14000000000000001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44363</v>
      </c>
      <c r="B18" s="11">
        <f>TOTAL!F17</f>
        <v>0.14000000000000001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44364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44365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44366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44367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44368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44369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44370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44371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44372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44373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44374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44375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44376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44377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44378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3572.8</v>
      </c>
      <c r="D34" s="75">
        <f t="shared" si="0"/>
        <v>-57072.400000000009</v>
      </c>
      <c r="E34" s="75">
        <f t="shared" si="0"/>
        <v>-323134.00000000012</v>
      </c>
      <c r="F34" s="75">
        <f t="shared" si="0"/>
        <v>-31196.200000000004</v>
      </c>
      <c r="G34" s="75">
        <f t="shared" si="0"/>
        <v>-122165.40000000001</v>
      </c>
      <c r="H34" s="75">
        <f t="shared" si="0"/>
        <v>-36397.200000000004</v>
      </c>
      <c r="I34" s="75">
        <f t="shared" si="0"/>
        <v>-163501.80000000002</v>
      </c>
      <c r="J34" s="75">
        <f t="shared" si="0"/>
        <v>-461414.80000000005</v>
      </c>
      <c r="K34" s="75">
        <f t="shared" si="0"/>
        <v>-2169230.3878000001</v>
      </c>
      <c r="L34" s="75">
        <f t="shared" si="0"/>
        <v>-20165.600000000002</v>
      </c>
      <c r="M34" s="75">
        <f>SUM(M3:M33)</f>
        <v>3387850.5878000008</v>
      </c>
      <c r="N34" s="84">
        <f>D34+E34+F34+G34+H34+I34+J34+K34+L34+M34</f>
        <v>3572.8000000002794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4" sqref="R4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44348</v>
      </c>
      <c r="B3" s="33">
        <v>160897</v>
      </c>
      <c r="C3" s="56">
        <v>121531</v>
      </c>
      <c r="D3" s="33">
        <v>204645</v>
      </c>
      <c r="E3" s="33">
        <v>245992</v>
      </c>
      <c r="F3" s="33">
        <v>66906</v>
      </c>
      <c r="G3" s="33">
        <v>111170</v>
      </c>
      <c r="H3" s="33">
        <v>51028</v>
      </c>
      <c r="I3" s="33">
        <v>62884</v>
      </c>
      <c r="J3" s="33">
        <v>19755</v>
      </c>
      <c r="K3" s="33">
        <v>1024</v>
      </c>
      <c r="L3" s="33">
        <v>17035</v>
      </c>
      <c r="M3" s="33">
        <v>23724</v>
      </c>
      <c r="N3" s="33">
        <v>7075</v>
      </c>
      <c r="O3" s="33">
        <v>1640</v>
      </c>
      <c r="P3" s="33">
        <v>26689</v>
      </c>
      <c r="Q3" s="33">
        <v>503</v>
      </c>
      <c r="R3" s="33">
        <v>6107</v>
      </c>
    </row>
    <row r="4" spans="1:21" x14ac:dyDescent="0.25">
      <c r="A4" s="54">
        <v>44349</v>
      </c>
      <c r="B4" s="56">
        <v>161062</v>
      </c>
      <c r="C4" s="56">
        <v>121808</v>
      </c>
      <c r="D4" s="55">
        <v>204812</v>
      </c>
      <c r="E4" s="55">
        <v>246049</v>
      </c>
      <c r="F4" s="55">
        <v>66907</v>
      </c>
      <c r="G4" s="55">
        <v>111184</v>
      </c>
      <c r="H4" s="33">
        <v>51123</v>
      </c>
      <c r="I4" s="55">
        <v>63020</v>
      </c>
      <c r="J4" s="55">
        <v>19768</v>
      </c>
      <c r="K4" s="55">
        <v>1024</v>
      </c>
      <c r="L4" s="55">
        <v>17042</v>
      </c>
      <c r="M4" s="55">
        <v>23739</v>
      </c>
      <c r="N4" s="55">
        <v>7078</v>
      </c>
      <c r="O4" s="55">
        <v>1641</v>
      </c>
      <c r="P4" s="55">
        <v>26789</v>
      </c>
      <c r="Q4" s="33">
        <v>505.3</v>
      </c>
      <c r="R4" s="55">
        <v>6111</v>
      </c>
    </row>
    <row r="5" spans="1:21" x14ac:dyDescent="0.25">
      <c r="A5" s="54">
        <v>44350</v>
      </c>
      <c r="B5" s="55"/>
      <c r="C5" s="33"/>
      <c r="D5" s="55"/>
      <c r="E5" s="55"/>
      <c r="F5" s="55"/>
      <c r="G5" s="55"/>
      <c r="H5" s="33"/>
      <c r="I5" s="55"/>
      <c r="J5" s="55"/>
      <c r="K5" s="55"/>
      <c r="L5" s="55"/>
      <c r="M5" s="55"/>
      <c r="N5" s="55"/>
      <c r="O5" s="55"/>
      <c r="P5" s="55"/>
      <c r="Q5" s="33"/>
      <c r="R5" s="55"/>
    </row>
    <row r="6" spans="1:21" x14ac:dyDescent="0.25">
      <c r="A6" s="54">
        <v>44351</v>
      </c>
      <c r="B6" s="56"/>
      <c r="C6" s="56"/>
      <c r="D6" s="55"/>
      <c r="E6" s="55"/>
      <c r="F6" s="55"/>
      <c r="G6" s="55"/>
      <c r="H6" s="33"/>
      <c r="I6" s="55"/>
      <c r="J6" s="55"/>
      <c r="K6" s="55"/>
      <c r="L6" s="55"/>
      <c r="M6" s="55"/>
      <c r="N6" s="55"/>
      <c r="O6" s="55"/>
      <c r="P6" s="55"/>
      <c r="Q6" s="33"/>
      <c r="R6" s="55"/>
    </row>
    <row r="7" spans="1:21" x14ac:dyDescent="0.25">
      <c r="A7" s="54">
        <v>44352</v>
      </c>
      <c r="B7" s="56"/>
      <c r="C7" s="33"/>
      <c r="D7" s="55"/>
      <c r="E7" s="55"/>
      <c r="F7" s="55"/>
      <c r="G7" s="55"/>
      <c r="H7" s="33"/>
      <c r="I7" s="55"/>
      <c r="J7" s="55"/>
      <c r="K7" s="55"/>
      <c r="L7" s="55"/>
      <c r="M7" s="55"/>
      <c r="N7" s="55"/>
      <c r="O7" s="55"/>
      <c r="P7" s="55"/>
      <c r="Q7" s="33"/>
      <c r="R7" s="55"/>
    </row>
    <row r="8" spans="1:21" x14ac:dyDescent="0.25">
      <c r="A8" s="54">
        <v>44353</v>
      </c>
      <c r="B8" s="33"/>
      <c r="C8" s="56"/>
      <c r="D8" s="55"/>
      <c r="E8" s="55"/>
      <c r="F8" s="55"/>
      <c r="G8" s="55"/>
      <c r="H8" s="33"/>
      <c r="I8" s="55"/>
      <c r="J8" s="55"/>
      <c r="K8" s="55"/>
      <c r="L8" s="55"/>
      <c r="M8" s="55"/>
      <c r="N8" s="55"/>
      <c r="O8" s="55"/>
      <c r="P8" s="55"/>
      <c r="Q8" s="33"/>
      <c r="R8" s="55"/>
    </row>
    <row r="9" spans="1:21" x14ac:dyDescent="0.25">
      <c r="A9" s="54">
        <v>44354</v>
      </c>
      <c r="B9" s="33"/>
      <c r="C9" s="33"/>
      <c r="D9" s="55"/>
      <c r="E9" s="55"/>
      <c r="F9" s="55"/>
      <c r="G9" s="55"/>
      <c r="H9" s="33"/>
      <c r="I9" s="55"/>
      <c r="J9" s="55"/>
      <c r="K9" s="55"/>
      <c r="L9" s="55"/>
      <c r="M9" s="55"/>
      <c r="N9" s="55"/>
      <c r="O9" s="55"/>
      <c r="P9" s="55"/>
      <c r="Q9" s="33"/>
      <c r="R9" s="55"/>
    </row>
    <row r="10" spans="1:21" x14ac:dyDescent="0.25">
      <c r="A10" s="54">
        <v>44355</v>
      </c>
      <c r="B10" s="33"/>
      <c r="C10" s="56"/>
      <c r="D10" s="55"/>
      <c r="E10" s="55"/>
      <c r="F10" s="55"/>
      <c r="G10" s="55"/>
      <c r="H10" s="33"/>
      <c r="I10" s="55"/>
      <c r="J10" s="55"/>
      <c r="K10" s="55"/>
      <c r="L10" s="55"/>
      <c r="M10" s="55"/>
      <c r="N10" s="55"/>
      <c r="O10" s="55"/>
      <c r="P10" s="55"/>
      <c r="Q10" s="33"/>
      <c r="R10" s="55"/>
    </row>
    <row r="11" spans="1:21" x14ac:dyDescent="0.25">
      <c r="A11" s="54">
        <v>44356</v>
      </c>
      <c r="B11" s="33"/>
      <c r="C11" s="33"/>
      <c r="D11" s="55"/>
      <c r="E11" s="55"/>
      <c r="F11" s="55"/>
      <c r="G11" s="55"/>
      <c r="H11" s="33"/>
      <c r="I11" s="55"/>
      <c r="J11" s="55"/>
      <c r="K11" s="55"/>
      <c r="L11" s="55"/>
      <c r="M11" s="55"/>
      <c r="N11" s="55"/>
      <c r="O11" s="55"/>
      <c r="P11" s="55"/>
      <c r="Q11" s="33"/>
      <c r="R11" s="55"/>
    </row>
    <row r="12" spans="1:21" x14ac:dyDescent="0.25">
      <c r="A12" s="54">
        <v>44357</v>
      </c>
      <c r="B12" s="33"/>
      <c r="C12" s="56"/>
      <c r="D12" s="55"/>
      <c r="E12" s="55"/>
      <c r="F12" s="55"/>
      <c r="G12" s="55"/>
      <c r="H12" s="33"/>
      <c r="I12" s="55"/>
      <c r="J12" s="55"/>
      <c r="K12" s="55"/>
      <c r="L12" s="55"/>
      <c r="M12" s="55"/>
      <c r="N12" s="55"/>
      <c r="O12" s="55"/>
      <c r="P12" s="55"/>
      <c r="Q12" s="33"/>
      <c r="R12" s="55"/>
    </row>
    <row r="13" spans="1:21" x14ac:dyDescent="0.25">
      <c r="A13" s="54">
        <v>44358</v>
      </c>
      <c r="B13" s="33"/>
      <c r="C13" s="33"/>
      <c r="D13" s="55"/>
      <c r="E13" s="55"/>
      <c r="F13" s="55"/>
      <c r="G13" s="55"/>
      <c r="H13" s="33"/>
      <c r="I13" s="55"/>
      <c r="J13" s="55"/>
      <c r="K13" s="55"/>
      <c r="L13" s="55"/>
      <c r="M13" s="55"/>
      <c r="N13" s="55"/>
      <c r="O13" s="55"/>
      <c r="P13" s="55"/>
      <c r="Q13" s="33"/>
      <c r="R13" s="55"/>
    </row>
    <row r="14" spans="1:21" x14ac:dyDescent="0.25">
      <c r="A14" s="54">
        <v>44359</v>
      </c>
      <c r="B14" s="33"/>
      <c r="C14" s="56"/>
      <c r="D14" s="55"/>
      <c r="E14" s="55"/>
      <c r="F14" s="55"/>
      <c r="G14" s="55"/>
      <c r="H14" s="33"/>
      <c r="I14" s="55"/>
      <c r="J14" s="55"/>
      <c r="K14" s="55"/>
      <c r="L14" s="55"/>
      <c r="M14" s="55"/>
      <c r="N14" s="55"/>
      <c r="O14" s="55"/>
      <c r="P14" s="55"/>
      <c r="Q14" s="33"/>
      <c r="R14" s="55"/>
    </row>
    <row r="15" spans="1:21" x14ac:dyDescent="0.25">
      <c r="A15" s="54">
        <v>44360</v>
      </c>
      <c r="B15" s="33"/>
      <c r="C15" s="33"/>
      <c r="D15" s="55"/>
      <c r="E15" s="55"/>
      <c r="F15" s="55"/>
      <c r="G15" s="55"/>
      <c r="H15" s="33"/>
      <c r="I15" s="55"/>
      <c r="J15" s="55"/>
      <c r="K15" s="55"/>
      <c r="L15" s="55"/>
      <c r="M15" s="55"/>
      <c r="N15" s="55"/>
      <c r="O15" s="55"/>
      <c r="P15" s="55"/>
      <c r="Q15" s="33"/>
      <c r="R15" s="55"/>
      <c r="T15" s="110"/>
      <c r="U15" s="110"/>
    </row>
    <row r="16" spans="1:21" x14ac:dyDescent="0.25">
      <c r="A16" s="54">
        <v>44361</v>
      </c>
      <c r="B16" s="33"/>
      <c r="C16" s="56"/>
      <c r="D16" s="55"/>
      <c r="E16" s="55"/>
      <c r="F16" s="55"/>
      <c r="G16" s="55"/>
      <c r="H16" s="33"/>
      <c r="I16" s="55"/>
      <c r="J16" s="55"/>
      <c r="K16" s="55"/>
      <c r="L16" s="55"/>
      <c r="M16" s="55"/>
      <c r="N16" s="55"/>
      <c r="O16" s="55"/>
      <c r="P16" s="55"/>
      <c r="Q16" s="33"/>
      <c r="R16" s="55"/>
    </row>
    <row r="17" spans="1:22" x14ac:dyDescent="0.25">
      <c r="A17" s="54">
        <v>44362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44363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  <c r="U18" s="110"/>
    </row>
    <row r="19" spans="1:22" x14ac:dyDescent="0.25">
      <c r="A19" s="54">
        <v>44364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44365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44366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44367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44368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44369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44370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44371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44372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44373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44374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44375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44376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44377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44378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K30" sqref="K30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9" t="s">
        <v>32</v>
      </c>
      <c r="B2" s="140" t="s">
        <v>109</v>
      </c>
      <c r="C2" s="140" t="s">
        <v>110</v>
      </c>
      <c r="D2" s="140"/>
      <c r="E2" s="141" t="s">
        <v>98</v>
      </c>
      <c r="F2" s="138"/>
      <c r="G2" s="135" t="s">
        <v>113</v>
      </c>
      <c r="H2" s="138"/>
      <c r="I2" s="135" t="s">
        <v>111</v>
      </c>
      <c r="J2" s="138"/>
      <c r="K2" s="135" t="s">
        <v>112</v>
      </c>
      <c r="L2" s="138"/>
      <c r="M2" s="135" t="s">
        <v>108</v>
      </c>
      <c r="N2" s="138"/>
      <c r="O2" s="135" t="s">
        <v>107</v>
      </c>
      <c r="P2" s="138"/>
      <c r="Q2" s="135" t="s">
        <v>114</v>
      </c>
      <c r="R2" s="138"/>
      <c r="S2" s="135" t="s">
        <v>115</v>
      </c>
      <c r="T2" s="138"/>
      <c r="U2" s="135" t="s">
        <v>116</v>
      </c>
      <c r="V2" s="138"/>
      <c r="W2" s="135" t="s">
        <v>100</v>
      </c>
      <c r="X2" s="136"/>
      <c r="Y2" s="137" t="s">
        <v>53</v>
      </c>
      <c r="Z2" s="137"/>
    </row>
    <row r="3" spans="1:26" ht="30" x14ac:dyDescent="0.35">
      <c r="A3" s="139"/>
      <c r="B3" s="140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44348</v>
      </c>
      <c r="B4" s="65">
        <v>469</v>
      </c>
      <c r="C4" s="66">
        <f>('Water Reading'!B4-'Water Reading'!B3)+('Water Reading'!C4-'Water Reading'!C3)</f>
        <v>442</v>
      </c>
      <c r="D4" s="67">
        <f>C4/B4</f>
        <v>0.94243070362473347</v>
      </c>
      <c r="E4" s="88">
        <f>'Water Reading'!H4-'Water Reading'!H3</f>
        <v>95</v>
      </c>
      <c r="F4" s="89">
        <f>E4/C4</f>
        <v>0.21493212669683259</v>
      </c>
      <c r="G4" s="93">
        <f>('Water Reading'!D4-'Water Reading'!D3)-('Water Reading'!R4-'Water Reading'!R3)-('Water Reading'!Q4-'Water Reading'!Q3)</f>
        <v>160.69999999999999</v>
      </c>
      <c r="H4" s="89">
        <f>G4/C4</f>
        <v>0.36357466063348415</v>
      </c>
      <c r="I4" s="90">
        <f>'Water Reading'!P4-'Water Reading'!P3</f>
        <v>100</v>
      </c>
      <c r="J4" s="68">
        <f>I4/C4</f>
        <v>0.22624434389140272</v>
      </c>
      <c r="K4" s="91">
        <f>('Water Reading'!I4-'Water Reading'!I3)-('Water Reading'!P4-'Water Reading'!P3)</f>
        <v>36</v>
      </c>
      <c r="L4" s="68">
        <f>K4/C4</f>
        <v>8.1447963800904979E-2</v>
      </c>
      <c r="M4" s="90">
        <f>'Water Reading'!R4-'Water Reading'!R3</f>
        <v>4</v>
      </c>
      <c r="N4" s="92">
        <f>M4/C4</f>
        <v>9.0497737556561094E-3</v>
      </c>
      <c r="O4" s="90">
        <f>'Water Reading'!Q4-'Water Reading'!Q3</f>
        <v>2.3000000000000114</v>
      </c>
      <c r="P4" s="99">
        <f>O4/C4</f>
        <v>5.2036199095022882E-3</v>
      </c>
      <c r="Q4" s="91">
        <f>'Water Reading'!F4-'Water Reading'!F3</f>
        <v>1</v>
      </c>
      <c r="R4" s="100">
        <f>Q4/C4</f>
        <v>2.2624434389140274E-3</v>
      </c>
      <c r="S4" s="90">
        <f>'Water Reading'!E4-'Water Reading'!E3</f>
        <v>57</v>
      </c>
      <c r="T4" s="100">
        <f>S4/C4</f>
        <v>0.12895927601809956</v>
      </c>
      <c r="U4" s="90">
        <f>'Water Reading'!G4-'Water Reading'!G3</f>
        <v>14</v>
      </c>
      <c r="V4" s="100">
        <f>U4/C4</f>
        <v>3.1674208144796379E-2</v>
      </c>
      <c r="W4" s="90">
        <f>'Water Reading'!J4-'Water Reading'!J3</f>
        <v>13</v>
      </c>
      <c r="X4" s="100">
        <f>W4/C4</f>
        <v>2.9411764705882353E-2</v>
      </c>
      <c r="Y4" s="66">
        <f t="shared" ref="Y4:Y34" si="0">E4+I4+K4+M4+O4+G4+Q4+S4+U4+W4</f>
        <v>483</v>
      </c>
      <c r="Z4" s="67">
        <f t="shared" ref="Z4:Z35" si="1">Y4/B4</f>
        <v>1.0298507462686568</v>
      </c>
    </row>
    <row r="5" spans="1:26" x14ac:dyDescent="0.25">
      <c r="A5" s="8">
        <f>'Water Reading'!A4</f>
        <v>44349</v>
      </c>
      <c r="B5" s="65">
        <f>TOTAL!I3</f>
        <v>0</v>
      </c>
      <c r="C5" s="66">
        <f>('Water Reading'!B5-'Water Reading'!B4)+('Water Reading'!C5-'Water Reading'!C4)</f>
        <v>-282870</v>
      </c>
      <c r="D5" s="67" t="e">
        <f t="shared" ref="D5:D34" si="2">C5/B5</f>
        <v>#DIV/0!</v>
      </c>
      <c r="E5" s="88">
        <f>'Water Reading'!H5-'Water Reading'!H4</f>
        <v>-51123</v>
      </c>
      <c r="F5" s="89">
        <f t="shared" ref="F5:F34" si="3">E5/C5</f>
        <v>0.18072966380316047</v>
      </c>
      <c r="G5" s="93">
        <f>('Water Reading'!D5-'Water Reading'!D4)-('Water Reading'!R5-'Water Reading'!R4)-('Water Reading'!Q5-'Water Reading'!Q4)</f>
        <v>-198195.7</v>
      </c>
      <c r="H5" s="89">
        <f t="shared" ref="H5:H34" si="4">G5/C5</f>
        <v>0.70066002050411857</v>
      </c>
      <c r="I5" s="90">
        <f>'Water Reading'!P5-'Water Reading'!P4</f>
        <v>-26789</v>
      </c>
      <c r="J5" s="68">
        <f t="shared" ref="J5:J34" si="5">I5/C5</f>
        <v>9.4704281118535016E-2</v>
      </c>
      <c r="K5" s="91">
        <f>('Water Reading'!I5-'Water Reading'!I4)-('Water Reading'!P5-'Water Reading'!P4)</f>
        <v>-36231</v>
      </c>
      <c r="L5" s="68">
        <f t="shared" ref="L5:L34" si="6">K5/C5</f>
        <v>0.12808357195885037</v>
      </c>
      <c r="M5" s="90">
        <f>'Water Reading'!R5-'Water Reading'!R4</f>
        <v>-6111</v>
      </c>
      <c r="N5" s="92">
        <f t="shared" ref="N5:N34" si="7">M5/C5</f>
        <v>2.1603563474387528E-2</v>
      </c>
      <c r="O5" s="90">
        <f>'Water Reading'!Q5-'Water Reading'!Q4</f>
        <v>-505.3</v>
      </c>
      <c r="P5" s="99">
        <f t="shared" ref="P5:P34" si="8">O5/C5</f>
        <v>1.7863329444621203E-3</v>
      </c>
      <c r="Q5" s="91">
        <f>'Water Reading'!F5-'Water Reading'!F4</f>
        <v>-66907</v>
      </c>
      <c r="R5" s="100">
        <f t="shared" ref="R5:R34" si="9">Q5/C5</f>
        <v>0.23652914766500513</v>
      </c>
      <c r="S5" s="90">
        <f>'Water Reading'!E5-'Water Reading'!E4</f>
        <v>-246049</v>
      </c>
      <c r="T5" s="100">
        <f t="shared" ref="T5:T34" si="10">S5/C5</f>
        <v>0.86983066426273559</v>
      </c>
      <c r="U5" s="90">
        <f>'Water Reading'!G5-'Water Reading'!G4</f>
        <v>-111184</v>
      </c>
      <c r="V5" s="100">
        <f t="shared" ref="V5:V34" si="11">U5/C5</f>
        <v>0.39305688125287236</v>
      </c>
      <c r="W5" s="90">
        <f>'Water Reading'!J5-'Water Reading'!J4</f>
        <v>-19768</v>
      </c>
      <c r="X5" s="100">
        <f t="shared" ref="X5:X34" si="12">W5/C5</f>
        <v>6.9883692155407073E-2</v>
      </c>
      <c r="Y5" s="66">
        <f t="shared" si="0"/>
        <v>-762863</v>
      </c>
      <c r="Z5" s="67" t="e">
        <f t="shared" si="1"/>
        <v>#DIV/0!</v>
      </c>
    </row>
    <row r="6" spans="1:26" x14ac:dyDescent="0.25">
      <c r="A6" s="8">
        <f>'Water Reading'!A5</f>
        <v>44350</v>
      </c>
      <c r="B6" s="65">
        <f>TOTAL!I4</f>
        <v>0</v>
      </c>
      <c r="C6" s="66">
        <f>('Water Reading'!B6-'Water Reading'!B5)+('Water Reading'!C6-'Water Reading'!C5)</f>
        <v>0</v>
      </c>
      <c r="D6" s="67" t="e">
        <f t="shared" si="2"/>
        <v>#DIV/0!</v>
      </c>
      <c r="E6" s="88">
        <f>'Water Reading'!H6-'Water Reading'!H5</f>
        <v>0</v>
      </c>
      <c r="F6" s="89" t="e">
        <f t="shared" si="3"/>
        <v>#DIV/0!</v>
      </c>
      <c r="G6" s="93">
        <f>('Water Reading'!D6-'Water Reading'!D5)-('Water Reading'!R6-'Water Reading'!R5)-('Water Reading'!Q6-'Water Reading'!Q5)</f>
        <v>0</v>
      </c>
      <c r="H6" s="89" t="e">
        <f t="shared" si="4"/>
        <v>#DIV/0!</v>
      </c>
      <c r="I6" s="90">
        <f>'Water Reading'!P6-'Water Reading'!P5</f>
        <v>0</v>
      </c>
      <c r="J6" s="68" t="e">
        <f t="shared" si="5"/>
        <v>#DIV/0!</v>
      </c>
      <c r="K6" s="91">
        <f>('Water Reading'!I6-'Water Reading'!I5)-('Water Reading'!P6-'Water Reading'!P5)</f>
        <v>0</v>
      </c>
      <c r="L6" s="68" t="e">
        <f t="shared" si="6"/>
        <v>#DIV/0!</v>
      </c>
      <c r="M6" s="90">
        <f>'Water Reading'!R6-'Water Reading'!R5</f>
        <v>0</v>
      </c>
      <c r="N6" s="92" t="e">
        <f t="shared" si="7"/>
        <v>#DIV/0!</v>
      </c>
      <c r="O6" s="90">
        <f>'Water Reading'!Q6-'Water Reading'!Q5</f>
        <v>0</v>
      </c>
      <c r="P6" s="99" t="e">
        <f t="shared" si="8"/>
        <v>#DIV/0!</v>
      </c>
      <c r="Q6" s="91">
        <f>'Water Reading'!F6-'Water Reading'!F5</f>
        <v>0</v>
      </c>
      <c r="R6" s="100" t="e">
        <f t="shared" si="9"/>
        <v>#DIV/0!</v>
      </c>
      <c r="S6" s="90">
        <f>'Water Reading'!E6-'Water Reading'!E5</f>
        <v>0</v>
      </c>
      <c r="T6" s="100" t="e">
        <f t="shared" si="10"/>
        <v>#DIV/0!</v>
      </c>
      <c r="U6" s="90">
        <f>'Water Reading'!G6-'Water Reading'!G5</f>
        <v>0</v>
      </c>
      <c r="V6" s="100" t="e">
        <f t="shared" si="11"/>
        <v>#DIV/0!</v>
      </c>
      <c r="W6" s="90">
        <f>'Water Reading'!J6-'Water Reading'!J5</f>
        <v>0</v>
      </c>
      <c r="X6" s="100" t="e">
        <f t="shared" si="12"/>
        <v>#DIV/0!</v>
      </c>
      <c r="Y6" s="66">
        <f t="shared" si="0"/>
        <v>0</v>
      </c>
      <c r="Z6" s="67" t="e">
        <f t="shared" si="1"/>
        <v>#DIV/0!</v>
      </c>
    </row>
    <row r="7" spans="1:26" x14ac:dyDescent="0.25">
      <c r="A7" s="8">
        <f>'Water Reading'!A6</f>
        <v>44351</v>
      </c>
      <c r="B7" s="65">
        <f>TOTAL!I5</f>
        <v>0</v>
      </c>
      <c r="C7" s="66">
        <f>('Water Reading'!B7-'Water Reading'!B6)+('Water Reading'!C7-'Water Reading'!C6)</f>
        <v>0</v>
      </c>
      <c r="D7" s="67" t="e">
        <f t="shared" si="2"/>
        <v>#DIV/0!</v>
      </c>
      <c r="E7" s="88">
        <f>'Water Reading'!H7-'Water Reading'!H6</f>
        <v>0</v>
      </c>
      <c r="F7" s="89" t="e">
        <f t="shared" si="3"/>
        <v>#DIV/0!</v>
      </c>
      <c r="G7" s="93">
        <f>('Water Reading'!D7-'Water Reading'!D6)-('Water Reading'!R7-'Water Reading'!R6)-('Water Reading'!Q7-'Water Reading'!Q6)</f>
        <v>0</v>
      </c>
      <c r="H7" s="89" t="e">
        <f t="shared" si="4"/>
        <v>#DIV/0!</v>
      </c>
      <c r="I7" s="90">
        <f>'Water Reading'!P7-'Water Reading'!P6</f>
        <v>0</v>
      </c>
      <c r="J7" s="68" t="e">
        <f t="shared" si="5"/>
        <v>#DIV/0!</v>
      </c>
      <c r="K7" s="91">
        <f>('Water Reading'!I7-'Water Reading'!I6)-('Water Reading'!P7-'Water Reading'!P6)</f>
        <v>0</v>
      </c>
      <c r="L7" s="68" t="e">
        <f t="shared" si="6"/>
        <v>#DIV/0!</v>
      </c>
      <c r="M7" s="90">
        <f>'Water Reading'!R7-'Water Reading'!R6</f>
        <v>0</v>
      </c>
      <c r="N7" s="92" t="e">
        <f t="shared" si="7"/>
        <v>#DIV/0!</v>
      </c>
      <c r="O7" s="90">
        <f>'Water Reading'!Q7-'Water Reading'!Q6</f>
        <v>0</v>
      </c>
      <c r="P7" s="99" t="e">
        <f t="shared" si="8"/>
        <v>#DIV/0!</v>
      </c>
      <c r="Q7" s="91">
        <f>'Water Reading'!F7-'Water Reading'!F6</f>
        <v>0</v>
      </c>
      <c r="R7" s="100" t="e">
        <f t="shared" si="9"/>
        <v>#DIV/0!</v>
      </c>
      <c r="S7" s="90">
        <f>'Water Reading'!E7-'Water Reading'!E6</f>
        <v>0</v>
      </c>
      <c r="T7" s="100" t="e">
        <f t="shared" si="10"/>
        <v>#DIV/0!</v>
      </c>
      <c r="U7" s="90">
        <f>'Water Reading'!G7-'Water Reading'!G6</f>
        <v>0</v>
      </c>
      <c r="V7" s="100" t="e">
        <f t="shared" si="11"/>
        <v>#DIV/0!</v>
      </c>
      <c r="W7" s="90">
        <f>'Water Reading'!J7-'Water Reading'!J6</f>
        <v>0</v>
      </c>
      <c r="X7" s="100" t="e">
        <f t="shared" si="12"/>
        <v>#DIV/0!</v>
      </c>
      <c r="Y7" s="66">
        <f t="shared" si="0"/>
        <v>0</v>
      </c>
      <c r="Z7" s="67" t="e">
        <f t="shared" si="1"/>
        <v>#DIV/0!</v>
      </c>
    </row>
    <row r="8" spans="1:26" x14ac:dyDescent="0.25">
      <c r="A8" s="8">
        <f>'Water Reading'!A7</f>
        <v>44352</v>
      </c>
      <c r="B8" s="65">
        <f>TOTAL!I6</f>
        <v>0</v>
      </c>
      <c r="C8" s="66">
        <f>('Water Reading'!B8-'Water Reading'!B7)+('Water Reading'!C8-'Water Reading'!C7)</f>
        <v>0</v>
      </c>
      <c r="D8" s="67" t="e">
        <f t="shared" si="2"/>
        <v>#DIV/0!</v>
      </c>
      <c r="E8" s="88">
        <f>'Water Reading'!H8-'Water Reading'!H7</f>
        <v>0</v>
      </c>
      <c r="F8" s="89" t="e">
        <f t="shared" si="3"/>
        <v>#DIV/0!</v>
      </c>
      <c r="G8" s="93">
        <f>('Water Reading'!D8-'Water Reading'!D7)-('Water Reading'!R8-'Water Reading'!R7)-('Water Reading'!Q8-'Water Reading'!Q7)</f>
        <v>0</v>
      </c>
      <c r="H8" s="89" t="e">
        <f t="shared" si="4"/>
        <v>#DIV/0!</v>
      </c>
      <c r="I8" s="90">
        <f>'Water Reading'!P8-'Water Reading'!P7</f>
        <v>0</v>
      </c>
      <c r="J8" s="68" t="e">
        <f t="shared" si="5"/>
        <v>#DIV/0!</v>
      </c>
      <c r="K8" s="91">
        <f>('Water Reading'!I8-'Water Reading'!I7)-('Water Reading'!P8-'Water Reading'!P7)</f>
        <v>0</v>
      </c>
      <c r="L8" s="68" t="e">
        <f t="shared" si="6"/>
        <v>#DIV/0!</v>
      </c>
      <c r="M8" s="90">
        <f>'Water Reading'!R8-'Water Reading'!R7</f>
        <v>0</v>
      </c>
      <c r="N8" s="92" t="e">
        <f t="shared" si="7"/>
        <v>#DIV/0!</v>
      </c>
      <c r="O8" s="90">
        <f>'Water Reading'!Q8-'Water Reading'!Q7</f>
        <v>0</v>
      </c>
      <c r="P8" s="99" t="e">
        <f t="shared" si="8"/>
        <v>#DIV/0!</v>
      </c>
      <c r="Q8" s="91">
        <f>'Water Reading'!F8-'Water Reading'!F7</f>
        <v>0</v>
      </c>
      <c r="R8" s="100" t="e">
        <f t="shared" si="9"/>
        <v>#DIV/0!</v>
      </c>
      <c r="S8" s="90">
        <f>'Water Reading'!E8-'Water Reading'!E7</f>
        <v>0</v>
      </c>
      <c r="T8" s="100" t="e">
        <f t="shared" si="10"/>
        <v>#DIV/0!</v>
      </c>
      <c r="U8" s="90">
        <f>'Water Reading'!G8-'Water Reading'!G7</f>
        <v>0</v>
      </c>
      <c r="V8" s="100" t="e">
        <f t="shared" si="11"/>
        <v>#DIV/0!</v>
      </c>
      <c r="W8" s="90">
        <f>'Water Reading'!J8-'Water Reading'!J7</f>
        <v>0</v>
      </c>
      <c r="X8" s="100" t="e">
        <f t="shared" si="12"/>
        <v>#DIV/0!</v>
      </c>
      <c r="Y8" s="66">
        <f t="shared" si="0"/>
        <v>0</v>
      </c>
      <c r="Z8" s="67" t="e">
        <f t="shared" si="1"/>
        <v>#DIV/0!</v>
      </c>
    </row>
    <row r="9" spans="1:26" x14ac:dyDescent="0.25">
      <c r="A9" s="8">
        <f>'Water Reading'!A8</f>
        <v>44353</v>
      </c>
      <c r="B9" s="65">
        <f>TOTAL!I7</f>
        <v>0</v>
      </c>
      <c r="C9" s="66">
        <f>('Water Reading'!B9-'Water Reading'!B8)+('Water Reading'!C9-'Water Reading'!C8)</f>
        <v>0</v>
      </c>
      <c r="D9" s="67" t="e">
        <f t="shared" si="2"/>
        <v>#DIV/0!</v>
      </c>
      <c r="E9" s="88">
        <f>'Water Reading'!H9-'Water Reading'!H8</f>
        <v>0</v>
      </c>
      <c r="F9" s="89" t="e">
        <f t="shared" si="3"/>
        <v>#DIV/0!</v>
      </c>
      <c r="G9" s="93">
        <f>('Water Reading'!D9-'Water Reading'!D8)-('Water Reading'!R9-'Water Reading'!R8)-('Water Reading'!Q9-'Water Reading'!Q8)</f>
        <v>0</v>
      </c>
      <c r="H9" s="89" t="e">
        <f t="shared" si="4"/>
        <v>#DIV/0!</v>
      </c>
      <c r="I9" s="90">
        <f>'Water Reading'!P9-'Water Reading'!P8</f>
        <v>0</v>
      </c>
      <c r="J9" s="68" t="e">
        <f t="shared" si="5"/>
        <v>#DIV/0!</v>
      </c>
      <c r="K9" s="91">
        <f>('Water Reading'!I9-'Water Reading'!I8)-('Water Reading'!P9-'Water Reading'!P8)</f>
        <v>0</v>
      </c>
      <c r="L9" s="68" t="e">
        <f t="shared" si="6"/>
        <v>#DIV/0!</v>
      </c>
      <c r="M9" s="90">
        <f>'Water Reading'!R9-'Water Reading'!R8</f>
        <v>0</v>
      </c>
      <c r="N9" s="92" t="e">
        <f t="shared" si="7"/>
        <v>#DIV/0!</v>
      </c>
      <c r="O9" s="90">
        <f>'Water Reading'!Q9-'Water Reading'!Q8</f>
        <v>0</v>
      </c>
      <c r="P9" s="99" t="e">
        <f t="shared" si="8"/>
        <v>#DIV/0!</v>
      </c>
      <c r="Q9" s="91">
        <f>'Water Reading'!F9-'Water Reading'!F8</f>
        <v>0</v>
      </c>
      <c r="R9" s="100" t="e">
        <f t="shared" si="9"/>
        <v>#DIV/0!</v>
      </c>
      <c r="S9" s="90">
        <f>'Water Reading'!E9-'Water Reading'!E8</f>
        <v>0</v>
      </c>
      <c r="T9" s="100" t="e">
        <f t="shared" si="10"/>
        <v>#DIV/0!</v>
      </c>
      <c r="U9" s="90">
        <f>'Water Reading'!G9-'Water Reading'!G8</f>
        <v>0</v>
      </c>
      <c r="V9" s="100" t="e">
        <f t="shared" si="11"/>
        <v>#DIV/0!</v>
      </c>
      <c r="W9" s="90">
        <f>'Water Reading'!J9-'Water Reading'!J8</f>
        <v>0</v>
      </c>
      <c r="X9" s="100" t="e">
        <f t="shared" si="12"/>
        <v>#DIV/0!</v>
      </c>
      <c r="Y9" s="66">
        <f t="shared" si="0"/>
        <v>0</v>
      </c>
      <c r="Z9" s="67" t="e">
        <f t="shared" si="1"/>
        <v>#DIV/0!</v>
      </c>
    </row>
    <row r="10" spans="1:26" x14ac:dyDescent="0.25">
      <c r="A10" s="8">
        <f>'Water Reading'!A9</f>
        <v>44354</v>
      </c>
      <c r="B10" s="65">
        <f>TOTAL!I8</f>
        <v>0</v>
      </c>
      <c r="C10" s="66">
        <f>('Water Reading'!B10-'Water Reading'!B9)+('Water Reading'!C10-'Water Reading'!C9)</f>
        <v>0</v>
      </c>
      <c r="D10" s="67" t="e">
        <f t="shared" si="2"/>
        <v>#DIV/0!</v>
      </c>
      <c r="E10" s="88">
        <f>'Water Reading'!H10-'Water Reading'!H9</f>
        <v>0</v>
      </c>
      <c r="F10" s="89" t="e">
        <f t="shared" si="3"/>
        <v>#DIV/0!</v>
      </c>
      <c r="G10" s="93">
        <f>('Water Reading'!D10-'Water Reading'!D9)-('Water Reading'!R10-'Water Reading'!R9)-('Water Reading'!Q10-'Water Reading'!Q9)</f>
        <v>0</v>
      </c>
      <c r="H10" s="89" t="e">
        <f t="shared" si="4"/>
        <v>#DIV/0!</v>
      </c>
      <c r="I10" s="90">
        <f>'Water Reading'!P10-'Water Reading'!P9</f>
        <v>0</v>
      </c>
      <c r="J10" s="68" t="e">
        <f t="shared" si="5"/>
        <v>#DIV/0!</v>
      </c>
      <c r="K10" s="91">
        <f>('Water Reading'!I10-'Water Reading'!I9)-('Water Reading'!P10-'Water Reading'!P9)</f>
        <v>0</v>
      </c>
      <c r="L10" s="68" t="e">
        <f t="shared" si="6"/>
        <v>#DIV/0!</v>
      </c>
      <c r="M10" s="90">
        <f>'Water Reading'!R10-'Water Reading'!R9</f>
        <v>0</v>
      </c>
      <c r="N10" s="92" t="e">
        <f t="shared" si="7"/>
        <v>#DIV/0!</v>
      </c>
      <c r="O10" s="90">
        <f>'Water Reading'!Q10-'Water Reading'!Q9</f>
        <v>0</v>
      </c>
      <c r="P10" s="99" t="e">
        <f t="shared" si="8"/>
        <v>#DIV/0!</v>
      </c>
      <c r="Q10" s="91">
        <f>'Water Reading'!F10-'Water Reading'!F9</f>
        <v>0</v>
      </c>
      <c r="R10" s="100" t="e">
        <f t="shared" si="9"/>
        <v>#DIV/0!</v>
      </c>
      <c r="S10" s="90">
        <f>'Water Reading'!E10-'Water Reading'!E9</f>
        <v>0</v>
      </c>
      <c r="T10" s="100" t="e">
        <f t="shared" si="10"/>
        <v>#DIV/0!</v>
      </c>
      <c r="U10" s="90">
        <f>'Water Reading'!G10-'Water Reading'!G9</f>
        <v>0</v>
      </c>
      <c r="V10" s="100" t="e">
        <f t="shared" si="11"/>
        <v>#DIV/0!</v>
      </c>
      <c r="W10" s="90">
        <f>'Water Reading'!J10-'Water Reading'!J9</f>
        <v>0</v>
      </c>
      <c r="X10" s="100" t="e">
        <f t="shared" si="12"/>
        <v>#DIV/0!</v>
      </c>
      <c r="Y10" s="66">
        <f t="shared" si="0"/>
        <v>0</v>
      </c>
      <c r="Z10" s="67" t="e">
        <f t="shared" si="1"/>
        <v>#DIV/0!</v>
      </c>
    </row>
    <row r="11" spans="1:26" x14ac:dyDescent="0.25">
      <c r="A11" s="8">
        <f>'Water Reading'!A10</f>
        <v>44355</v>
      </c>
      <c r="B11" s="65">
        <f>TOTAL!I9</f>
        <v>0</v>
      </c>
      <c r="C11" s="66">
        <f>('Water Reading'!B11-'Water Reading'!B10)+('Water Reading'!C11-'Water Reading'!C10)</f>
        <v>0</v>
      </c>
      <c r="D11" s="67" t="e">
        <f t="shared" si="2"/>
        <v>#DIV/0!</v>
      </c>
      <c r="E11" s="88">
        <f>'Water Reading'!H11-'Water Reading'!H10</f>
        <v>0</v>
      </c>
      <c r="F11" s="89" t="e">
        <f t="shared" si="3"/>
        <v>#DIV/0!</v>
      </c>
      <c r="G11" s="93">
        <f>('Water Reading'!D11-'Water Reading'!D10)-('Water Reading'!R11-'Water Reading'!R10)-('Water Reading'!Q11-'Water Reading'!Q10)</f>
        <v>0</v>
      </c>
      <c r="H11" s="89" t="e">
        <f t="shared" si="4"/>
        <v>#DIV/0!</v>
      </c>
      <c r="I11" s="90">
        <f>'Water Reading'!P11-'Water Reading'!P10</f>
        <v>0</v>
      </c>
      <c r="J11" s="68" t="e">
        <f t="shared" si="5"/>
        <v>#DIV/0!</v>
      </c>
      <c r="K11" s="91">
        <f>('Water Reading'!I11-'Water Reading'!I10)-('Water Reading'!P11-'Water Reading'!P10)</f>
        <v>0</v>
      </c>
      <c r="L11" s="68" t="e">
        <f t="shared" si="6"/>
        <v>#DIV/0!</v>
      </c>
      <c r="M11" s="90">
        <f>'Water Reading'!R11-'Water Reading'!R10</f>
        <v>0</v>
      </c>
      <c r="N11" s="92" t="e">
        <f t="shared" si="7"/>
        <v>#DIV/0!</v>
      </c>
      <c r="O11" s="98">
        <f>'Water Reading'!Q11-'Water Reading'!Q10</f>
        <v>0</v>
      </c>
      <c r="P11" s="99" t="e">
        <f t="shared" si="8"/>
        <v>#DIV/0!</v>
      </c>
      <c r="Q11" s="91">
        <f>'Water Reading'!F11-'Water Reading'!F10</f>
        <v>0</v>
      </c>
      <c r="R11" s="100" t="e">
        <f t="shared" si="9"/>
        <v>#DIV/0!</v>
      </c>
      <c r="S11" s="90">
        <f>'Water Reading'!E11-'Water Reading'!E10</f>
        <v>0</v>
      </c>
      <c r="T11" s="100" t="e">
        <f t="shared" si="10"/>
        <v>#DIV/0!</v>
      </c>
      <c r="U11" s="90">
        <f>'Water Reading'!G11-'Water Reading'!G10</f>
        <v>0</v>
      </c>
      <c r="V11" s="100" t="e">
        <f t="shared" si="11"/>
        <v>#DIV/0!</v>
      </c>
      <c r="W11" s="90">
        <f>'Water Reading'!J11-'Water Reading'!J10</f>
        <v>0</v>
      </c>
      <c r="X11" s="100" t="e">
        <f t="shared" si="12"/>
        <v>#DIV/0!</v>
      </c>
      <c r="Y11" s="66">
        <f t="shared" si="0"/>
        <v>0</v>
      </c>
      <c r="Z11" s="67" t="e">
        <f t="shared" si="1"/>
        <v>#DIV/0!</v>
      </c>
    </row>
    <row r="12" spans="1:26" x14ac:dyDescent="0.25">
      <c r="A12" s="8">
        <f>'Water Reading'!A11</f>
        <v>44356</v>
      </c>
      <c r="B12" s="65">
        <f>TOTAL!I10</f>
        <v>0</v>
      </c>
      <c r="C12" s="66">
        <f>('Water Reading'!B12-'Water Reading'!B11)+('Water Reading'!C12-'Water Reading'!C11)</f>
        <v>0</v>
      </c>
      <c r="D12" s="67" t="e">
        <f t="shared" si="2"/>
        <v>#DIV/0!</v>
      </c>
      <c r="E12" s="88">
        <f>'Water Reading'!H12-'Water Reading'!H11</f>
        <v>0</v>
      </c>
      <c r="F12" s="89" t="e">
        <f t="shared" si="3"/>
        <v>#DIV/0!</v>
      </c>
      <c r="G12" s="93">
        <f>('Water Reading'!D12-'Water Reading'!D11)-('Water Reading'!R12-'Water Reading'!R11)-('Water Reading'!Q12-'Water Reading'!Q11)</f>
        <v>0</v>
      </c>
      <c r="H12" s="89" t="e">
        <f t="shared" si="4"/>
        <v>#DIV/0!</v>
      </c>
      <c r="I12" s="90">
        <f>'Water Reading'!P12-'Water Reading'!P11</f>
        <v>0</v>
      </c>
      <c r="J12" s="68" t="e">
        <f t="shared" si="5"/>
        <v>#DIV/0!</v>
      </c>
      <c r="K12" s="91">
        <f>('Water Reading'!I12-'Water Reading'!I11)-('Water Reading'!P12-'Water Reading'!P11)</f>
        <v>0</v>
      </c>
      <c r="L12" s="68" t="e">
        <f t="shared" si="6"/>
        <v>#DIV/0!</v>
      </c>
      <c r="M12" s="90">
        <f>'Water Reading'!R12-'Water Reading'!R11</f>
        <v>0</v>
      </c>
      <c r="N12" s="92" t="e">
        <f t="shared" si="7"/>
        <v>#DIV/0!</v>
      </c>
      <c r="O12" s="98">
        <f>'Water Reading'!Q12-'Water Reading'!Q11</f>
        <v>0</v>
      </c>
      <c r="P12" s="99" t="e">
        <f t="shared" si="8"/>
        <v>#DIV/0!</v>
      </c>
      <c r="Q12" s="91">
        <f>'Water Reading'!F12-'Water Reading'!F11</f>
        <v>0</v>
      </c>
      <c r="R12" s="100" t="e">
        <f t="shared" si="9"/>
        <v>#DIV/0!</v>
      </c>
      <c r="S12" s="90">
        <f>'Water Reading'!E12-'Water Reading'!E11</f>
        <v>0</v>
      </c>
      <c r="T12" s="100" t="e">
        <f t="shared" si="10"/>
        <v>#DIV/0!</v>
      </c>
      <c r="U12" s="90">
        <f>'Water Reading'!G12-'Water Reading'!G11</f>
        <v>0</v>
      </c>
      <c r="V12" s="100" t="e">
        <f t="shared" si="11"/>
        <v>#DIV/0!</v>
      </c>
      <c r="W12" s="90">
        <f>'Water Reading'!J12-'Water Reading'!J11</f>
        <v>0</v>
      </c>
      <c r="X12" s="100" t="e">
        <f t="shared" si="12"/>
        <v>#DIV/0!</v>
      </c>
      <c r="Y12" s="66">
        <f t="shared" si="0"/>
        <v>0</v>
      </c>
      <c r="Z12" s="67" t="e">
        <f t="shared" si="1"/>
        <v>#DIV/0!</v>
      </c>
    </row>
    <row r="13" spans="1:26" x14ac:dyDescent="0.25">
      <c r="A13" s="8">
        <f>'Water Reading'!A12</f>
        <v>44357</v>
      </c>
      <c r="B13" s="65">
        <f>TOTAL!I11</f>
        <v>0</v>
      </c>
      <c r="C13" s="66">
        <f>('Water Reading'!B13-'Water Reading'!B12)+('Water Reading'!C13-'Water Reading'!C12)</f>
        <v>0</v>
      </c>
      <c r="D13" s="67" t="e">
        <f t="shared" si="2"/>
        <v>#DIV/0!</v>
      </c>
      <c r="E13" s="87">
        <f>'Water Reading'!H13-'Water Reading'!H12</f>
        <v>0</v>
      </c>
      <c r="F13" s="89" t="e">
        <f t="shared" si="3"/>
        <v>#DIV/0!</v>
      </c>
      <c r="G13" s="93">
        <f>('Water Reading'!D13-'Water Reading'!D12)-('Water Reading'!R13-'Water Reading'!R12)-('Water Reading'!Q13-'Water Reading'!Q12)</f>
        <v>0</v>
      </c>
      <c r="H13" s="89" t="e">
        <f t="shared" si="4"/>
        <v>#DIV/0!</v>
      </c>
      <c r="I13" s="90">
        <f>'Water Reading'!P13-'Water Reading'!P12</f>
        <v>0</v>
      </c>
      <c r="J13" s="68" t="e">
        <f t="shared" si="5"/>
        <v>#DIV/0!</v>
      </c>
      <c r="K13" s="91">
        <f>('Water Reading'!I13-'Water Reading'!I12)-('Water Reading'!P13-'Water Reading'!P12)</f>
        <v>0</v>
      </c>
      <c r="L13" s="68" t="e">
        <f t="shared" si="6"/>
        <v>#DIV/0!</v>
      </c>
      <c r="M13" s="90">
        <f>'Water Reading'!R13-'Water Reading'!R12</f>
        <v>0</v>
      </c>
      <c r="N13" s="92" t="e">
        <f t="shared" si="7"/>
        <v>#DIV/0!</v>
      </c>
      <c r="O13" s="90">
        <f>'Water Reading'!Q13-'Water Reading'!Q12</f>
        <v>0</v>
      </c>
      <c r="P13" s="99" t="e">
        <f t="shared" si="8"/>
        <v>#DIV/0!</v>
      </c>
      <c r="Q13" s="91">
        <f>'Water Reading'!F13-'Water Reading'!F12</f>
        <v>0</v>
      </c>
      <c r="R13" s="100" t="e">
        <f t="shared" si="9"/>
        <v>#DIV/0!</v>
      </c>
      <c r="S13" s="94">
        <f>'Water Reading'!E13-'Water Reading'!E12</f>
        <v>0</v>
      </c>
      <c r="T13" s="100" t="e">
        <f t="shared" si="10"/>
        <v>#DIV/0!</v>
      </c>
      <c r="U13" s="90">
        <f>'Water Reading'!G13-'Water Reading'!G12</f>
        <v>0</v>
      </c>
      <c r="V13" s="100" t="e">
        <f t="shared" si="11"/>
        <v>#DIV/0!</v>
      </c>
      <c r="W13" s="90">
        <f>'Water Reading'!J13-'Water Reading'!J12</f>
        <v>0</v>
      </c>
      <c r="X13" s="100" t="e">
        <f t="shared" si="12"/>
        <v>#DIV/0!</v>
      </c>
      <c r="Y13" s="66">
        <f t="shared" si="0"/>
        <v>0</v>
      </c>
      <c r="Z13" s="67" t="e">
        <f t="shared" si="1"/>
        <v>#DIV/0!</v>
      </c>
    </row>
    <row r="14" spans="1:26" x14ac:dyDescent="0.25">
      <c r="A14" s="8">
        <f>'Water Reading'!A13</f>
        <v>44358</v>
      </c>
      <c r="B14" s="65">
        <f>TOTAL!I12</f>
        <v>0</v>
      </c>
      <c r="C14" s="66">
        <f>('Water Reading'!B14-'Water Reading'!B13)+('Water Reading'!C14-'Water Reading'!C13)</f>
        <v>0</v>
      </c>
      <c r="D14" s="67" t="e">
        <f t="shared" si="2"/>
        <v>#DIV/0!</v>
      </c>
      <c r="E14" s="88">
        <f>'Water Reading'!H14-'Water Reading'!H13</f>
        <v>0</v>
      </c>
      <c r="F14" s="89" t="e">
        <f t="shared" si="3"/>
        <v>#DIV/0!</v>
      </c>
      <c r="G14" s="93">
        <f>('Water Reading'!D14-'Water Reading'!D13)-('Water Reading'!R14-'Water Reading'!R13)-('Water Reading'!Q14-'Water Reading'!Q13)</f>
        <v>0</v>
      </c>
      <c r="H14" s="89" t="e">
        <f t="shared" si="4"/>
        <v>#DIV/0!</v>
      </c>
      <c r="I14" s="90">
        <f>'Water Reading'!P14-'Water Reading'!P13</f>
        <v>0</v>
      </c>
      <c r="J14" s="68" t="e">
        <f t="shared" si="5"/>
        <v>#DIV/0!</v>
      </c>
      <c r="K14" s="91">
        <f>('Water Reading'!I14-'Water Reading'!I13)-('Water Reading'!P14-'Water Reading'!P13)</f>
        <v>0</v>
      </c>
      <c r="L14" s="68" t="e">
        <f t="shared" si="6"/>
        <v>#DIV/0!</v>
      </c>
      <c r="M14" s="90">
        <f>'Water Reading'!R14-'Water Reading'!R13</f>
        <v>0</v>
      </c>
      <c r="N14" s="92" t="e">
        <f t="shared" si="7"/>
        <v>#DIV/0!</v>
      </c>
      <c r="O14" s="90">
        <f>'Water Reading'!Q14-'Water Reading'!Q13</f>
        <v>0</v>
      </c>
      <c r="P14" s="99" t="e">
        <f t="shared" si="8"/>
        <v>#DIV/0!</v>
      </c>
      <c r="Q14" s="91">
        <f>'Water Reading'!F14-'Water Reading'!F13</f>
        <v>0</v>
      </c>
      <c r="R14" s="100" t="e">
        <f t="shared" si="9"/>
        <v>#DIV/0!</v>
      </c>
      <c r="S14" s="94">
        <f>'Water Reading'!E14-'Water Reading'!E13</f>
        <v>0</v>
      </c>
      <c r="T14" s="100" t="e">
        <f t="shared" si="10"/>
        <v>#DIV/0!</v>
      </c>
      <c r="U14" s="90">
        <f>'Water Reading'!G14-'Water Reading'!G13</f>
        <v>0</v>
      </c>
      <c r="V14" s="100" t="e">
        <f t="shared" si="11"/>
        <v>#DIV/0!</v>
      </c>
      <c r="W14" s="90">
        <f>'Water Reading'!J14-'Water Reading'!J13</f>
        <v>0</v>
      </c>
      <c r="X14" s="100" t="e">
        <f t="shared" si="12"/>
        <v>#DIV/0!</v>
      </c>
      <c r="Y14" s="66">
        <f t="shared" si="0"/>
        <v>0</v>
      </c>
      <c r="Z14" s="67" t="e">
        <f t="shared" si="1"/>
        <v>#DIV/0!</v>
      </c>
    </row>
    <row r="15" spans="1:26" x14ac:dyDescent="0.25">
      <c r="A15" s="8">
        <f>'Water Reading'!A14</f>
        <v>44359</v>
      </c>
      <c r="B15" s="65">
        <f>TOTAL!I13</f>
        <v>0</v>
      </c>
      <c r="C15" s="66">
        <f>('Water Reading'!B15-'Water Reading'!B14)+('Water Reading'!C15-'Water Reading'!C14)</f>
        <v>0</v>
      </c>
      <c r="D15" s="67" t="e">
        <f t="shared" si="2"/>
        <v>#DIV/0!</v>
      </c>
      <c r="E15" s="87">
        <f>'Water Reading'!H15-'Water Reading'!H14</f>
        <v>0</v>
      </c>
      <c r="F15" s="89" t="e">
        <f t="shared" si="3"/>
        <v>#DIV/0!</v>
      </c>
      <c r="G15" s="93">
        <f>('Water Reading'!D15-'Water Reading'!D14)-('Water Reading'!R15-'Water Reading'!R14)-('Water Reading'!Q15-'Water Reading'!Q14)</f>
        <v>0</v>
      </c>
      <c r="H15" s="89" t="e">
        <f t="shared" si="4"/>
        <v>#DIV/0!</v>
      </c>
      <c r="I15" s="90">
        <f>'Water Reading'!P15-'Water Reading'!P14</f>
        <v>0</v>
      </c>
      <c r="J15" s="68" t="e">
        <f t="shared" si="5"/>
        <v>#DIV/0!</v>
      </c>
      <c r="K15" s="91">
        <f>('Water Reading'!I15-'Water Reading'!I14)-('Water Reading'!P15-'Water Reading'!P14)</f>
        <v>0</v>
      </c>
      <c r="L15" s="68" t="e">
        <f t="shared" si="6"/>
        <v>#DIV/0!</v>
      </c>
      <c r="M15" s="90">
        <f>'Water Reading'!R15-'Water Reading'!R14</f>
        <v>0</v>
      </c>
      <c r="N15" s="92" t="e">
        <f t="shared" si="7"/>
        <v>#DIV/0!</v>
      </c>
      <c r="O15" s="90">
        <f>'Water Reading'!Q15-'Water Reading'!Q14</f>
        <v>0</v>
      </c>
      <c r="P15" s="99" t="e">
        <f t="shared" si="8"/>
        <v>#DIV/0!</v>
      </c>
      <c r="Q15" s="91">
        <f>'Water Reading'!F15-'Water Reading'!F14</f>
        <v>0</v>
      </c>
      <c r="R15" s="100" t="e">
        <f t="shared" si="9"/>
        <v>#DIV/0!</v>
      </c>
      <c r="S15" s="94">
        <f>'Water Reading'!E15-'Water Reading'!E14</f>
        <v>0</v>
      </c>
      <c r="T15" s="100" t="e">
        <f t="shared" si="10"/>
        <v>#DIV/0!</v>
      </c>
      <c r="U15" s="90">
        <f>'Water Reading'!G15-'Water Reading'!G14</f>
        <v>0</v>
      </c>
      <c r="V15" s="100" t="e">
        <f t="shared" si="11"/>
        <v>#DIV/0!</v>
      </c>
      <c r="W15" s="90">
        <f>'Water Reading'!J15-'Water Reading'!J14</f>
        <v>0</v>
      </c>
      <c r="X15" s="100" t="e">
        <f t="shared" si="12"/>
        <v>#DIV/0!</v>
      </c>
      <c r="Y15" s="66">
        <f t="shared" si="0"/>
        <v>0</v>
      </c>
      <c r="Z15" s="67" t="e">
        <f t="shared" si="1"/>
        <v>#DIV/0!</v>
      </c>
    </row>
    <row r="16" spans="1:26" x14ac:dyDescent="0.25">
      <c r="A16" s="8">
        <f>'Water Reading'!A15</f>
        <v>44360</v>
      </c>
      <c r="B16" s="65">
        <f>TOTAL!I14</f>
        <v>0</v>
      </c>
      <c r="C16" s="66">
        <f>('Water Reading'!B16-'Water Reading'!B15)+('Water Reading'!C16-'Water Reading'!C15)</f>
        <v>0</v>
      </c>
      <c r="D16" s="67" t="e">
        <f t="shared" si="2"/>
        <v>#DIV/0!</v>
      </c>
      <c r="E16" s="87">
        <f>'Water Reading'!H16-'Water Reading'!H15</f>
        <v>0</v>
      </c>
      <c r="F16" s="89" t="e">
        <f t="shared" si="3"/>
        <v>#DIV/0!</v>
      </c>
      <c r="G16" s="93">
        <f>('Water Reading'!D16-'Water Reading'!D15)-('Water Reading'!R16-'Water Reading'!R15)-('Water Reading'!Q16-'Water Reading'!Q15)</f>
        <v>0</v>
      </c>
      <c r="H16" s="89" t="e">
        <f t="shared" si="4"/>
        <v>#DIV/0!</v>
      </c>
      <c r="I16" s="90">
        <f>'Water Reading'!P16-'Water Reading'!P15</f>
        <v>0</v>
      </c>
      <c r="J16" s="68" t="e">
        <f t="shared" si="5"/>
        <v>#DIV/0!</v>
      </c>
      <c r="K16" s="91">
        <f>('Water Reading'!I16-'Water Reading'!I15)-('Water Reading'!P16-'Water Reading'!P15)</f>
        <v>0</v>
      </c>
      <c r="L16" s="68" t="e">
        <f t="shared" si="6"/>
        <v>#DIV/0!</v>
      </c>
      <c r="M16" s="90">
        <f>'Water Reading'!R16-'Water Reading'!R15</f>
        <v>0</v>
      </c>
      <c r="N16" s="92" t="e">
        <f t="shared" si="7"/>
        <v>#DIV/0!</v>
      </c>
      <c r="O16" s="90">
        <f>'Water Reading'!Q16-'Water Reading'!Q15</f>
        <v>0</v>
      </c>
      <c r="P16" s="99" t="e">
        <f t="shared" si="8"/>
        <v>#DIV/0!</v>
      </c>
      <c r="Q16" s="91">
        <f>'Water Reading'!F16-'Water Reading'!F15</f>
        <v>0</v>
      </c>
      <c r="R16" s="100" t="e">
        <f t="shared" si="9"/>
        <v>#DIV/0!</v>
      </c>
      <c r="S16" s="94">
        <f>'Water Reading'!E16-'Water Reading'!E15</f>
        <v>0</v>
      </c>
      <c r="T16" s="100" t="e">
        <f t="shared" si="10"/>
        <v>#DIV/0!</v>
      </c>
      <c r="U16" s="90">
        <f>'Water Reading'!G16-'Water Reading'!G15</f>
        <v>0</v>
      </c>
      <c r="V16" s="100" t="e">
        <f t="shared" si="11"/>
        <v>#DIV/0!</v>
      </c>
      <c r="W16" s="90">
        <f>'Water Reading'!J16-'Water Reading'!J15</f>
        <v>0</v>
      </c>
      <c r="X16" s="100" t="e">
        <f t="shared" si="12"/>
        <v>#DIV/0!</v>
      </c>
      <c r="Y16" s="66">
        <f t="shared" si="0"/>
        <v>0</v>
      </c>
      <c r="Z16" s="67" t="e">
        <f t="shared" si="1"/>
        <v>#DIV/0!</v>
      </c>
    </row>
    <row r="17" spans="1:26" x14ac:dyDescent="0.25">
      <c r="A17" s="8">
        <f>'Water Reading'!A16</f>
        <v>44361</v>
      </c>
      <c r="B17" s="65">
        <f>TOTAL!I15</f>
        <v>0</v>
      </c>
      <c r="C17" s="66">
        <f>('Water Reading'!B17-'Water Reading'!B16)+('Water Reading'!C17-'Water Reading'!C16)</f>
        <v>0</v>
      </c>
      <c r="D17" s="67" t="e">
        <f t="shared" si="2"/>
        <v>#DIV/0!</v>
      </c>
      <c r="E17" s="87">
        <f>'Water Reading'!H17-'Water Reading'!H16</f>
        <v>0</v>
      </c>
      <c r="F17" s="89" t="e">
        <f t="shared" si="3"/>
        <v>#DIV/0!</v>
      </c>
      <c r="G17" s="93">
        <f>('Water Reading'!D17-'Water Reading'!D16)-('Water Reading'!R17-'Water Reading'!R16)-('Water Reading'!Q17-'Water Reading'!Q16)</f>
        <v>0</v>
      </c>
      <c r="H17" s="89" t="e">
        <f t="shared" si="4"/>
        <v>#DIV/0!</v>
      </c>
      <c r="I17" s="90">
        <f>'Water Reading'!P17-'Water Reading'!P16</f>
        <v>0</v>
      </c>
      <c r="J17" s="68" t="e">
        <f t="shared" si="5"/>
        <v>#DIV/0!</v>
      </c>
      <c r="K17" s="91">
        <f>('Water Reading'!I17-'Water Reading'!I16)-('Water Reading'!P17-'Water Reading'!P16)</f>
        <v>0</v>
      </c>
      <c r="L17" s="68" t="e">
        <f t="shared" si="6"/>
        <v>#DIV/0!</v>
      </c>
      <c r="M17" s="90">
        <f>'Water Reading'!R17-'Water Reading'!R16</f>
        <v>0</v>
      </c>
      <c r="N17" s="92" t="e">
        <f t="shared" si="7"/>
        <v>#DIV/0!</v>
      </c>
      <c r="O17" s="90">
        <f>'Water Reading'!Q17-'Water Reading'!Q16</f>
        <v>0</v>
      </c>
      <c r="P17" s="99" t="e">
        <f t="shared" si="8"/>
        <v>#DIV/0!</v>
      </c>
      <c r="Q17" s="91">
        <f>'Water Reading'!F17-'Water Reading'!F16</f>
        <v>0</v>
      </c>
      <c r="R17" s="100" t="e">
        <f t="shared" si="9"/>
        <v>#DIV/0!</v>
      </c>
      <c r="S17" s="94">
        <f>'Water Reading'!E17-'Water Reading'!E16</f>
        <v>0</v>
      </c>
      <c r="T17" s="100" t="e">
        <f t="shared" si="10"/>
        <v>#DIV/0!</v>
      </c>
      <c r="U17" s="90">
        <f>'Water Reading'!G17-'Water Reading'!G16</f>
        <v>0</v>
      </c>
      <c r="V17" s="100" t="e">
        <f t="shared" si="11"/>
        <v>#DIV/0!</v>
      </c>
      <c r="W17" s="90">
        <f>'Water Reading'!J17-'Water Reading'!J16</f>
        <v>0</v>
      </c>
      <c r="X17" s="100" t="e">
        <f t="shared" si="12"/>
        <v>#DIV/0!</v>
      </c>
      <c r="Y17" s="66">
        <f t="shared" si="0"/>
        <v>0</v>
      </c>
      <c r="Z17" s="67" t="e">
        <f t="shared" si="1"/>
        <v>#DIV/0!</v>
      </c>
    </row>
    <row r="18" spans="1:26" x14ac:dyDescent="0.25">
      <c r="A18" s="8">
        <f>'Water Reading'!A17</f>
        <v>44362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1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44363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1">
        <f>('Water Reading'!I19-'Water Reading'!I18)-('Water Reading'!P19-'Water Reading'!P18)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44364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1">
        <f>('Water Reading'!I20-'Water Reading'!I19)-('Water Reading'!P20-'Water Reading'!P19)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44365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1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44366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1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44367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1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44368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44369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44370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44371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44372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44373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44374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44375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44376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44377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44378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469</v>
      </c>
      <c r="C35" s="75">
        <f>SUM(C4:C34)</f>
        <v>-282428</v>
      </c>
      <c r="D35" s="96">
        <f>C35/B35</f>
        <v>-602.19189765458418</v>
      </c>
      <c r="E35" s="7">
        <f>SUM(E4:E34)</f>
        <v>-51028</v>
      </c>
      <c r="F35" s="95">
        <f>E35/C35</f>
        <v>0.1806761369269336</v>
      </c>
      <c r="G35" s="75">
        <f>SUM(G4:G34)</f>
        <v>-198035</v>
      </c>
      <c r="H35" s="95">
        <f>G35/C35</f>
        <v>0.70118755930715082</v>
      </c>
      <c r="I35" s="7">
        <f>SUM(I4:I34)</f>
        <v>-26689</v>
      </c>
      <c r="J35" s="95">
        <f>I35/C35</f>
        <v>9.449842083646097E-2</v>
      </c>
      <c r="K35" s="7">
        <f>SUM(K4:K34)</f>
        <v>-36195</v>
      </c>
      <c r="L35" s="95">
        <f>K35/C35</f>
        <v>0.12815655671533985</v>
      </c>
      <c r="M35" s="7">
        <f>SUM(M4:M34)</f>
        <v>-6107</v>
      </c>
      <c r="N35" s="95">
        <f>M35/C35</f>
        <v>2.1623210163298257E-2</v>
      </c>
      <c r="O35" s="7">
        <f>SUM(O4:O34)</f>
        <v>-503</v>
      </c>
      <c r="P35" s="95">
        <f>O35/C35</f>
        <v>1.780984888183891E-3</v>
      </c>
      <c r="Q35" s="7">
        <f>SUM(Q4:Q34)</f>
        <v>-66906</v>
      </c>
      <c r="R35" s="95">
        <f>Q35/C35</f>
        <v>0.2368957752064243</v>
      </c>
      <c r="S35" s="75">
        <f>SUM(S4:S34)</f>
        <v>-245992</v>
      </c>
      <c r="T35" s="95">
        <f>S35/C35</f>
        <v>0.87099012845751833</v>
      </c>
      <c r="U35" s="7">
        <f>SUM(U4:U34)</f>
        <v>-111170</v>
      </c>
      <c r="V35" s="95">
        <f>U35/C35</f>
        <v>0.39362244536660673</v>
      </c>
      <c r="W35" s="7">
        <f>SUM(W4:W34)</f>
        <v>-19755</v>
      </c>
      <c r="X35" s="95">
        <f>W35/C35</f>
        <v>6.994703074765958E-2</v>
      </c>
      <c r="Y35" s="75">
        <f>SUM(Y4:Y34)</f>
        <v>-762380</v>
      </c>
      <c r="Z35" s="95">
        <f t="shared" si="1"/>
        <v>-1625.5437100213219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2021-06-02T07:34:32Z</dcterms:modified>
  <cp:category/>
  <cp:contentStatus/>
</cp:coreProperties>
</file>