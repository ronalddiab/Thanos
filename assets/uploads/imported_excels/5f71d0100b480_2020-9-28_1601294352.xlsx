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9" i="7" l="1"/>
  <c r="CL30" i="7"/>
  <c r="CF28" i="7"/>
  <c r="CF29" i="7"/>
  <c r="CF30" i="7"/>
  <c r="CF31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<sst xmlns="http://schemas.openxmlformats.org/spreadsheetml/2006/main" count="313" uniqueCount="148">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</sst>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3919.9999999993088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3740.0000000004229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15.299999999999955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3760.0000000001828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15.5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4109.9999999999618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15.5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4189.9999999999691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13.5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3629.9999999993665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8.2000000000000455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999.99999999988984</v>
      </c>
      <c r="F23" s="32">
        <f>'FS Desroches Daily'!F25</f>
        <v>599.99999999993395</v>
      </c>
      <c r="G23" s="31">
        <f>'FS Desroches Daily'!H25</f>
        <v>1499.9999999996128</v>
      </c>
      <c r="H23" s="32">
        <f>'FS Desroches Daily'!J25</f>
        <v>799.99999999991189</v>
      </c>
      <c r="I23" s="31">
        <f>'FS Desroches Daily'!L25</f>
        <v>1599.9999999998238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5</v>
      </c>
      <c r="M23" s="31">
        <f>'FS Desroches Daily'!T25</f>
        <v>178</v>
      </c>
      <c r="N23" s="31">
        <f>'FS Desroches Daily'!V25</f>
        <v>101.79999999998836</v>
      </c>
      <c r="O23" s="31">
        <f>'FS Desroches Daily'!X25</f>
        <v>79.999999999984084</v>
      </c>
      <c r="P23" s="31">
        <f>'FS Desroches Daily'!Z25</f>
        <v>499.99999999972289</v>
      </c>
      <c r="Q23" s="31">
        <f>'FS Desroches Daily'!AB25</f>
        <v>79.999999999984084</v>
      </c>
      <c r="R23" s="31">
        <f>'FS Desroches Daily'!AD25</f>
        <v>110.00000000001364</v>
      </c>
      <c r="S23" s="31">
        <f>'FS Desroches Daily'!AF25</f>
        <v>160.00000000002501</v>
      </c>
      <c r="T23" s="31">
        <f>'FS Desroches Daily'!AH25</f>
        <v>1.2999999999999545</v>
      </c>
      <c r="U23" s="35">
        <f>'FS Desroches Daily'!AJ25</f>
        <v>220.00000000002728</v>
      </c>
      <c r="V23" s="35">
        <f>'FS Desroches Daily'!AL25</f>
        <v>139.99999999998636</v>
      </c>
      <c r="W23" s="35">
        <f>'FS Desroches Daily'!AN25</f>
        <v>129.99999999999545</v>
      </c>
      <c r="X23" s="35">
        <f>'FS Desroches Daily'!AP25</f>
        <v>109.99999999998522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41</v>
      </c>
      <c r="AG23" s="32">
        <f>'FS Desroches Daily'!BH25</f>
        <v>0</v>
      </c>
      <c r="AH23" s="32">
        <f>'FS Desroches Daily'!BJ25</f>
        <v>9.9999999999909051</v>
      </c>
      <c r="AI23" s="32">
        <f>'FS Desroches Daily'!BL25</f>
        <v>9.9999999999909051</v>
      </c>
      <c r="AJ23" s="32">
        <f>'FS Desroches Daily'!BN25</f>
        <v>19.99999999998181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29</v>
      </c>
      <c r="AO23" s="32">
        <f>'FS Desroches Daily'!BX25</f>
        <v>30.000000000001137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44.900000000001455</v>
      </c>
      <c r="AU23" s="31">
        <f>'FS Desroches Daily'!CJ25</f>
        <v>193</v>
      </c>
      <c r="AV23" s="31">
        <f>'FS Desroches Daily'!CL25</f>
        <v>379.99999999999545</v>
      </c>
      <c r="AW23" s="31">
        <f>'FS Desroches Daily'!CM25</f>
        <v>13.5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900.0000000001229</v>
      </c>
      <c r="F24" s="32">
        <f>'FS Desroches Daily'!F26</f>
        <v>599.99999999993395</v>
      </c>
      <c r="G24" s="31">
        <f>'FS Desroches Daily'!H26</f>
        <v>1400.0000000002899</v>
      </c>
      <c r="H24" s="32">
        <f>'FS Desroches Daily'!J26</f>
        <v>700.00000000014495</v>
      </c>
      <c r="I24" s="31">
        <f>'FS Desroches Daily'!L26</f>
        <v>1600.0000000002678</v>
      </c>
      <c r="J24" s="32">
        <f>'FS Desroches Daily'!N26</f>
        <v>499.99999999994492</v>
      </c>
      <c r="K24" s="13">
        <f>'FS Desroches Daily'!P26</f>
        <v>0</v>
      </c>
      <c r="L24" s="31">
        <f>'FS Desroches Daily'!R26</f>
        <v>4</v>
      </c>
      <c r="M24" s="31">
        <f>'FS Desroches Daily'!T26</f>
        <v>109.60000000009313</v>
      </c>
      <c r="N24" s="31">
        <f>'FS Desroches Daily'!V26</f>
        <v>58.599999999976717</v>
      </c>
      <c r="O24" s="31">
        <f>'FS Desroches Daily'!X26</f>
        <v>79.999999999984084</v>
      </c>
      <c r="P24" s="31">
        <f>'FS Desroches Daily'!Z26</f>
        <v>399.99999999995595</v>
      </c>
      <c r="Q24" s="31">
        <f>'FS Desroches Daily'!AB26</f>
        <v>69.999999999993179</v>
      </c>
      <c r="R24" s="31">
        <f>'FS Desroches Daily'!AD26</f>
        <v>100.00000000002274</v>
      </c>
      <c r="S24" s="31">
        <f>'FS Desroches Daily'!AF26</f>
        <v>179.99999999994998</v>
      </c>
      <c r="T24" s="31">
        <f>'FS Desroches Daily'!AH26</f>
        <v>0.90000000000009095</v>
      </c>
      <c r="U24" s="35">
        <f>'FS Desroches Daily'!AJ26</f>
        <v>189.99999999999773</v>
      </c>
      <c r="V24" s="35">
        <f>'FS Desroches Daily'!AL26</f>
        <v>120.00000000000455</v>
      </c>
      <c r="W24" s="35">
        <f>'FS Desroches Daily'!AN26</f>
        <v>99.999999999994316</v>
      </c>
      <c r="X24" s="35">
        <f>'FS Desroches Daily'!AP26</f>
        <v>90.000000000003411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10.000000000047748</v>
      </c>
      <c r="AC24" s="35">
        <f>'FS Desroches Daily'!AZ26</f>
        <v>19.99999999998181</v>
      </c>
      <c r="AD24" s="35">
        <f>'FS Desroches Daily'!BB26</f>
        <v>30.000000000029559</v>
      </c>
      <c r="AE24" s="35">
        <f>'FS Desroches Daily'!BD26</f>
        <v>20.000000000010232</v>
      </c>
      <c r="AF24" s="31">
        <f>'FS Desroches Daily'!BF26</f>
        <v>41</v>
      </c>
      <c r="AG24" s="32">
        <f>'FS Desroches Daily'!BH26</f>
        <v>9.9999999999909051</v>
      </c>
      <c r="AH24" s="32">
        <f>'FS Desroches Daily'!BJ26</f>
        <v>10.000000000047748</v>
      </c>
      <c r="AI24" s="32">
        <f>'FS Desroches Daily'!BL26</f>
        <v>0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7</v>
      </c>
      <c r="AM24" s="32">
        <f>'FS Desroches Daily'!BT26</f>
        <v>0</v>
      </c>
      <c r="AN24" s="32">
        <f>'FS Desroches Daily'!BV26</f>
        <v>20</v>
      </c>
      <c r="AO24" s="32">
        <f>'FS Desroches Daily'!BX26</f>
        <v>20.000000000010232</v>
      </c>
      <c r="AP24" s="32">
        <f>'FS Desroches Daily'!BZ26</f>
        <v>23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24.799999999995634</v>
      </c>
      <c r="AU24" s="31">
        <f>'FS Desroches Daily'!CJ26</f>
        <v>215</v>
      </c>
      <c r="AV24" s="31">
        <f>'FS Desroches Daily'!CL26</f>
        <v>360.00000000001364</v>
      </c>
      <c r="AW24" s="31">
        <f>'FS Desroches Daily'!CM26</f>
        <v>15.299999999999955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899.99999999990087</v>
      </c>
      <c r="F25" s="32">
        <f>'FS Desroches Daily'!F27</f>
        <v>600.00000000037801</v>
      </c>
      <c r="G25" s="31">
        <f>'FS Desroches Daily'!H27</f>
        <v>1399.9999999998458</v>
      </c>
      <c r="H25" s="32">
        <f>'FS Desroches Daily'!J27</f>
        <v>799.99999999991189</v>
      </c>
      <c r="I25" s="31">
        <f>'FS Desroches Daily'!L27</f>
        <v>1500.0000000000568</v>
      </c>
      <c r="J25" s="32">
        <f>'FS Desroches Daily'!N27</f>
        <v>400.00000000017798</v>
      </c>
      <c r="K25" s="13">
        <f>'FS Desroches Daily'!P27</f>
        <v>1</v>
      </c>
      <c r="L25" s="31">
        <f>'FS Desroches Daily'!R27</f>
        <v>4</v>
      </c>
      <c r="M25" s="31">
        <f>'FS Desroches Daily'!T27</f>
        <v>153.19999999995343</v>
      </c>
      <c r="N25" s="31">
        <f>'FS Desroches Daily'!V27</f>
        <v>83.5</v>
      </c>
      <c r="O25" s="31">
        <f>'FS Desroches Daily'!X27</f>
        <v>80.000000000040927</v>
      </c>
      <c r="P25" s="31">
        <f>'FS Desroches Daily'!Z27</f>
        <v>400.00000000040006</v>
      </c>
      <c r="Q25" s="31">
        <f>'FS Desroches Daily'!AB27</f>
        <v>69.999999999993179</v>
      </c>
      <c r="R25" s="31">
        <f>'FS Desroches Daily'!AD27</f>
        <v>99.999999999965894</v>
      </c>
      <c r="S25" s="31">
        <f>'FS Desroches Daily'!AF27</f>
        <v>180.00000000000682</v>
      </c>
      <c r="T25" s="31">
        <f>'FS Desroches Daily'!AH27</f>
        <v>1.2000000000000455</v>
      </c>
      <c r="U25" s="35">
        <f>'FS Desroches Daily'!AJ27</f>
        <v>219.99999999997044</v>
      </c>
      <c r="V25" s="35">
        <f>'FS Desroches Daily'!AL27</f>
        <v>120.00000000000455</v>
      </c>
      <c r="W25" s="35">
        <f>'FS Desroches Daily'!AN27</f>
        <v>110.00000000001364</v>
      </c>
      <c r="X25" s="35">
        <f>'FS Desroches Daily'!AP27</f>
        <v>79.999999999984084</v>
      </c>
      <c r="Y25" s="35">
        <f>'FS Desroches Daily'!AR27</f>
        <v>30.000000000001137</v>
      </c>
      <c r="Z25" s="35">
        <f>'FS Desroches Daily'!AT27</f>
        <v>30.000000000029559</v>
      </c>
      <c r="AA25" s="35">
        <f>'FS Desroches Daily'!AT27</f>
        <v>30.000000000029559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38</v>
      </c>
      <c r="AG25" s="32">
        <f>'FS Desroches Daily'!BH27</f>
        <v>10.000000000019327</v>
      </c>
      <c r="AH25" s="32">
        <f>'FS Desroches Daily'!BJ27</f>
        <v>0</v>
      </c>
      <c r="AI25" s="32">
        <f>'FS Desroches Daily'!BL27</f>
        <v>9.9999999999909051</v>
      </c>
      <c r="AJ25" s="32">
        <f>'FS Desroches Daily'!BN27</f>
        <v>30.000000000001137</v>
      </c>
      <c r="AK25" s="32">
        <f>'FS Desroches Daily'!BP27</f>
        <v>20.000000000038654</v>
      </c>
      <c r="AL25" s="32">
        <f>'FS Desroches Daily'!BR27</f>
        <v>7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30.000000000001137</v>
      </c>
      <c r="AP25" s="32">
        <f>'FS Desroches Daily'!BZ27</f>
        <v>26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18.400000000001455</v>
      </c>
      <c r="AU25" s="31">
        <f>'FS Desroches Daily'!CJ27</f>
        <v>223</v>
      </c>
      <c r="AV25" s="31">
        <f>'FS Desroches Daily'!CL27</f>
        <v>340.00000000003183</v>
      </c>
      <c r="AW25" s="31">
        <f>'FS Desroches Daily'!CM27</f>
        <v>15.5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999.99999999988984</v>
      </c>
      <c r="F26" s="32">
        <f>'FS Desroches Daily'!F28</f>
        <v>599.99999999993395</v>
      </c>
      <c r="G26" s="31">
        <f>'FS Desroches Daily'!H28</f>
        <v>1500.0000000000568</v>
      </c>
      <c r="H26" s="32">
        <f>'FS Desroches Daily'!J28</f>
        <v>900.0000000001229</v>
      </c>
      <c r="I26" s="31">
        <f>'FS Desroches Daily'!L28</f>
        <v>1599.9999999998238</v>
      </c>
      <c r="J26" s="32">
        <f>'FS Desroches Daily'!N28</f>
        <v>499.99999999994492</v>
      </c>
      <c r="K26" s="13">
        <f>'FS Desroches Daily'!P28</f>
        <v>0</v>
      </c>
      <c r="L26" s="31">
        <f>'FS Desroches Daily'!R28</f>
        <v>5</v>
      </c>
      <c r="M26" s="31">
        <f>'FS Desroches Daily'!T28</f>
        <v>166</v>
      </c>
      <c r="N26" s="31">
        <f>'FS Desroches Daily'!V28</f>
        <v>83.600000000034925</v>
      </c>
      <c r="O26" s="31">
        <f>'FS Desroches Daily'!X28</f>
        <v>79.999999999984084</v>
      </c>
      <c r="P26" s="31">
        <f>'FS Desroches Daily'!Z28</f>
        <v>399.99999999995595</v>
      </c>
      <c r="Q26" s="31">
        <f>'FS Desroches Daily'!AB28</f>
        <v>79.999999999984084</v>
      </c>
      <c r="R26" s="31">
        <f>'FS Desroches Daily'!AD28</f>
        <v>120.00000000000455</v>
      </c>
      <c r="S26" s="31">
        <f>'FS Desroches Daily'!AF28</f>
        <v>180.00000000000682</v>
      </c>
      <c r="T26" s="31">
        <f>'FS Desroches Daily'!AH28</f>
        <v>1.2000000000000455</v>
      </c>
      <c r="U26" s="35">
        <f>'FS Desroches Daily'!AJ28</f>
        <v>209.99999999997954</v>
      </c>
      <c r="V26" s="35">
        <f>'FS Desroches Daily'!AL28</f>
        <v>150.00000000000568</v>
      </c>
      <c r="W26" s="35">
        <f>'FS Desroches Daily'!AN28</f>
        <v>129.99999999999545</v>
      </c>
      <c r="X26" s="35">
        <f>'FS Desroches Daily'!AP28</f>
        <v>120.00000000000455</v>
      </c>
      <c r="Y26" s="35">
        <f>'FS Desroches Daily'!AR28</f>
        <v>30.000000000001137</v>
      </c>
      <c r="Z26" s="35">
        <f>'FS Desroches Daily'!AT28</f>
        <v>29.999999999972715</v>
      </c>
      <c r="AA26" s="35">
        <f>'FS Desroches Daily'!AT28</f>
        <v>29.999999999972715</v>
      </c>
      <c r="AB26" s="35">
        <f>'FS Desroches Daily'!AV28</f>
        <v>19.99999999998181</v>
      </c>
      <c r="AC26" s="35">
        <f>'FS Desroches Daily'!AZ28</f>
        <v>20.000000000038654</v>
      </c>
      <c r="AD26" s="35">
        <f>'FS Desroches Daily'!BB28</f>
        <v>19.99999999998181</v>
      </c>
      <c r="AE26" s="35">
        <f>'FS Desroches Daily'!BD28</f>
        <v>19.99999999998181</v>
      </c>
      <c r="AF26" s="31">
        <f>'FS Desroches Daily'!BF28</f>
        <v>28</v>
      </c>
      <c r="AG26" s="32">
        <f>'FS Desroches Daily'!BH28</f>
        <v>9.9999999999909051</v>
      </c>
      <c r="AH26" s="32">
        <f>'FS Desroches Daily'!BJ28</f>
        <v>9.9999999999909051</v>
      </c>
      <c r="AI26" s="32">
        <f>'FS Desroches Daily'!BL28</f>
        <v>10.000000000019327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8</v>
      </c>
      <c r="AM26" s="32">
        <f>'FS Desroches Daily'!BT28</f>
        <v>9.9999999999909051</v>
      </c>
      <c r="AN26" s="32">
        <f>'FS Desroches Daily'!BV28</f>
        <v>29</v>
      </c>
      <c r="AO26" s="32">
        <f>'FS Desroches Daily'!BX28</f>
        <v>19.99999999998181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23.5</v>
      </c>
      <c r="AU26" s="31">
        <f>'FS Desroches Daily'!CJ28</f>
        <v>232</v>
      </c>
      <c r="AV26" s="31">
        <f>'FS Desroches Daily'!CL28</f>
        <v>389.99999999998636</v>
      </c>
      <c r="AW26" s="31">
        <f>'FS Desroches Daily'!CM28</f>
        <v>15.5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1100.000000000101</v>
      </c>
      <c r="F27" s="32">
        <f>'FS Desroches Daily'!F29</f>
        <v>599.99999999993395</v>
      </c>
      <c r="G27" s="31">
        <f>'FS Desroches Daily'!H29</f>
        <v>1500.0000000000568</v>
      </c>
      <c r="H27" s="32">
        <f>'FS Desroches Daily'!J29</f>
        <v>899.99999999990087</v>
      </c>
      <c r="I27" s="31">
        <f>'FS Desroches Daily'!L29</f>
        <v>1700.0000000000348</v>
      </c>
      <c r="J27" s="32">
        <f>'FS Desroches Daily'!N29</f>
        <v>499.99999999994492</v>
      </c>
      <c r="K27" s="13">
        <f>'FS Desroches Daily'!P29</f>
        <v>1</v>
      </c>
      <c r="L27" s="31">
        <f>'FS Desroches Daily'!R29</f>
        <v>5</v>
      </c>
      <c r="M27" s="31">
        <f>'FS Desroches Daily'!T29</f>
        <v>62.199999999953434</v>
      </c>
      <c r="N27" s="31">
        <f>'FS Desroches Daily'!V29</f>
        <v>35.799999999988358</v>
      </c>
      <c r="O27" s="31">
        <f>'FS Desroches Daily'!X29</f>
        <v>79.999999999984084</v>
      </c>
      <c r="P27" s="31">
        <f>'FS Desroches Daily'!Z29</f>
        <v>399.99999999995595</v>
      </c>
      <c r="Q27" s="31">
        <f>'FS Desroches Daily'!AB29</f>
        <v>90.000000000031832</v>
      </c>
      <c r="R27" s="31">
        <f>'FS Desroches Daily'!AD29</f>
        <v>129.99999999999545</v>
      </c>
      <c r="S27" s="31">
        <f>'FS Desroches Daily'!AF29</f>
        <v>170.00000000001592</v>
      </c>
      <c r="T27" s="31">
        <f>'FS Desroches Daily'!AH29</f>
        <v>1.2999999999999545</v>
      </c>
      <c r="U27" s="35">
        <f>'FS Desroches Daily'!AJ29</f>
        <v>270.00000000003865</v>
      </c>
      <c r="V27" s="35">
        <f>'FS Desroches Daily'!AL29</f>
        <v>149.99999999997726</v>
      </c>
      <c r="W27" s="35">
        <f>'FS Desroches Daily'!AN29</f>
        <v>129.99999999999545</v>
      </c>
      <c r="X27" s="35">
        <f>'FS Desroches Daily'!AP29</f>
        <v>120.00000000000455</v>
      </c>
      <c r="Y27" s="35">
        <f>'FS Desroches Daily'!AR29</f>
        <v>39.999999999992042</v>
      </c>
      <c r="Z27" s="35">
        <f>'FS Desroches Daily'!AT29</f>
        <v>30.000000000029559</v>
      </c>
      <c r="AA27" s="35">
        <f>'FS Desroches Daily'!AT29</f>
        <v>30.000000000029559</v>
      </c>
      <c r="AB27" s="35">
        <f>'FS Desroches Daily'!AV29</f>
        <v>20.000000000038654</v>
      </c>
      <c r="AC27" s="35">
        <f>'FS Desroches Daily'!AZ29</f>
        <v>19.99999999998181</v>
      </c>
      <c r="AD27" s="35">
        <f>'FS Desroches Daily'!BB29</f>
        <v>30.000000000029559</v>
      </c>
      <c r="AE27" s="35">
        <f>'FS Desroches Daily'!BD29</f>
        <v>20.000000000010232</v>
      </c>
      <c r="AF27" s="31">
        <f>'FS Desroches Daily'!BF29</f>
        <v>22</v>
      </c>
      <c r="AG27" s="32">
        <f>'FS Desroches Daily'!BH29</f>
        <v>0</v>
      </c>
      <c r="AH27" s="32">
        <f>'FS Desroches Daily'!BJ29</f>
        <v>9.9999999999909051</v>
      </c>
      <c r="AI27" s="32">
        <f>'FS Desroches Daily'!BL29</f>
        <v>9.9999999999909051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4</v>
      </c>
      <c r="AM27" s="32">
        <f>'FS Desroches Daily'!BT29</f>
        <v>9.9999999999909051</v>
      </c>
      <c r="AN27" s="32">
        <f>'FS Desroches Daily'!BV29</f>
        <v>31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21.5</v>
      </c>
      <c r="AU27" s="31">
        <f>'FS Desroches Daily'!CJ29</f>
        <v>208</v>
      </c>
      <c r="AV27" s="31">
        <f>'FS Desroches Daily'!CL29</f>
        <v>409.99999999996817</v>
      </c>
      <c r="AW27" s="31">
        <f>'FS Desroches Daily'!CM29</f>
        <v>13.5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899.99999999990087</v>
      </c>
      <c r="F28" s="32">
        <f>'FS Desroches Daily'!F30</f>
        <v>499.99999999972289</v>
      </c>
      <c r="G28" s="31">
        <f>'FS Desroches Daily'!H30</f>
        <v>1199.9999999998679</v>
      </c>
      <c r="H28" s="32">
        <f>'FS Desroches Daily'!J30</f>
        <v>799.99999999991189</v>
      </c>
      <c r="I28" s="31">
        <f>'FS Desroches Daily'!L30</f>
        <v>1500.0000000000568</v>
      </c>
      <c r="J28" s="32">
        <f>'FS Desroches Daily'!N30</f>
        <v>499.99999999994492</v>
      </c>
      <c r="K28" s="13">
        <f>'FS Desroches Daily'!P30</f>
        <v>0</v>
      </c>
      <c r="L28" s="31">
        <f>'FS Desroches Daily'!R30</f>
        <v>5</v>
      </c>
      <c r="M28" s="31">
        <f>'FS Desroches Daily'!T30</f>
        <v>55.800000000046566</v>
      </c>
      <c r="N28" s="31">
        <f>'FS Desroches Daily'!V30</f>
        <v>37.299999999988358</v>
      </c>
      <c r="O28" s="31">
        <f>'FS Desroches Daily'!X30</f>
        <v>69.999999999993179</v>
      </c>
      <c r="P28" s="31">
        <f>'FS Desroches Daily'!Z30</f>
        <v>399.99999999995595</v>
      </c>
      <c r="Q28" s="31">
        <f>'FS Desroches Daily'!AB30</f>
        <v>69.999999999993179</v>
      </c>
      <c r="R28" s="31">
        <f>'FS Desroches Daily'!AD30</f>
        <v>120.00000000000455</v>
      </c>
      <c r="S28" s="31">
        <f>'FS Desroches Daily'!AF30</f>
        <v>139.99999999998636</v>
      </c>
      <c r="T28" s="31">
        <f>'FS Desroches Daily'!AH30</f>
        <v>1.2000000000000455</v>
      </c>
      <c r="U28" s="35">
        <f>'FS Desroches Daily'!AJ30</f>
        <v>229.99999999996135</v>
      </c>
      <c r="V28" s="35">
        <f>'FS Desroches Daily'!AL30</f>
        <v>150.00000000000568</v>
      </c>
      <c r="W28" s="35">
        <f>'FS Desroches Daily'!AN30</f>
        <v>120.00000000000455</v>
      </c>
      <c r="X28" s="35">
        <f>'FS Desroches Daily'!AP30</f>
        <v>99.999999999994316</v>
      </c>
      <c r="Y28" s="35">
        <f>'FS Desroches Daily'!AR30</f>
        <v>20.000000000010232</v>
      </c>
      <c r="Z28" s="35">
        <f>'FS Desroches Daily'!AT30</f>
        <v>29.999999999972715</v>
      </c>
      <c r="AA28" s="35">
        <f>'FS Desroches Daily'!AT30</f>
        <v>29.999999999972715</v>
      </c>
      <c r="AB28" s="35">
        <f>'FS Desroches Daily'!AV30</f>
        <v>19.99999999998181</v>
      </c>
      <c r="AC28" s="35">
        <f>'FS Desroches Daily'!AZ30</f>
        <v>9.9999999999909051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27</v>
      </c>
      <c r="AG28" s="32">
        <f>'FS Desroches Daily'!BH30</f>
        <v>9.9999999999909051</v>
      </c>
      <c r="AH28" s="32">
        <f>'FS Desroches Daily'!BJ30</f>
        <v>9.9999999999909051</v>
      </c>
      <c r="AI28" s="32">
        <f>'FS Desroches Daily'!BL30</f>
        <v>0</v>
      </c>
      <c r="AJ28" s="32">
        <f>'FS Desroches Daily'!BN30</f>
        <v>30.000000000001137</v>
      </c>
      <c r="AK28" s="32">
        <f>'FS Desroches Daily'!BP30</f>
        <v>20.000000000038654</v>
      </c>
      <c r="AL28" s="32">
        <f>'FS Desroches Daily'!BR30</f>
        <v>4</v>
      </c>
      <c r="AM28" s="32">
        <f>'FS Desroches Daily'!BT30</f>
        <v>10.000000000019327</v>
      </c>
      <c r="AN28" s="32">
        <f>'FS Desroches Daily'!BV30</f>
        <v>30</v>
      </c>
      <c r="AO28" s="32">
        <f>'FS Desroches Daily'!BX30</f>
        <v>30.000000000001137</v>
      </c>
      <c r="AP28" s="32">
        <f>'FS Desroches Daily'!BZ30</f>
        <v>28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13.700000000004366</v>
      </c>
      <c r="AU28" s="31">
        <f>'FS Desroches Daily'!CJ30</f>
        <v>181</v>
      </c>
      <c r="AV28" s="31">
        <f>'FS Desroches Daily'!CL30</f>
        <v>269.99999999998181</v>
      </c>
      <c r="AW28" s="31">
        <f>'FS Desroches Daily'!CM30</f>
        <v>8.2000000000000455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33799.99999999984</v>
      </c>
      <c r="F33" s="17">
        <f t="shared" ref="F33:BC33" si="1">SUM(F2:F32)</f>
        <v>15799.999999999598</v>
      </c>
      <c r="G33" s="17">
        <f t="shared" si="1"/>
        <v>40899.999999999731</v>
      </c>
      <c r="H33" s="17">
        <f t="shared" si="1"/>
        <v>21799.999999999829</v>
      </c>
      <c r="I33" s="17">
        <f t="shared" si="1"/>
        <v>42600.000000000211</v>
      </c>
      <c r="J33" s="17">
        <f t="shared" si="1"/>
        <v>12199.999999999991</v>
      </c>
      <c r="K33" s="17">
        <f t="shared" si="1"/>
        <v>18</v>
      </c>
      <c r="L33" s="17">
        <f t="shared" si="1"/>
        <v>85</v>
      </c>
      <c r="M33" s="17">
        <f t="shared" si="1"/>
        <v>5809.8000000000466</v>
      </c>
      <c r="N33" s="17">
        <f t="shared" si="1"/>
        <v>2728.7000000000116</v>
      </c>
      <c r="O33" s="17">
        <f t="shared" si="1"/>
        <v>2350.0000000000227</v>
      </c>
      <c r="P33" s="17">
        <f t="shared" si="1"/>
        <v>10699.999999999938</v>
      </c>
      <c r="Q33" s="17">
        <f t="shared" si="1"/>
        <v>1959.9999999999795</v>
      </c>
      <c r="R33" s="17">
        <f t="shared" si="1"/>
        <v>2930.0000000000068</v>
      </c>
      <c r="S33" s="17">
        <f t="shared" si="1"/>
        <v>4389.9999999999864</v>
      </c>
      <c r="T33" s="17">
        <f t="shared" si="1"/>
        <v>34.5</v>
      </c>
      <c r="U33" s="35">
        <f t="shared" si="1"/>
        <v>13909.999999999969</v>
      </c>
      <c r="V33" s="35">
        <f t="shared" si="1"/>
        <v>4139.9999999999854</v>
      </c>
      <c r="W33" s="35">
        <f t="shared" si="1"/>
        <v>2819.9999999999936</v>
      </c>
      <c r="X33" s="35">
        <f t="shared" si="1"/>
        <v>2429.9999999999782</v>
      </c>
      <c r="Y33" s="35">
        <f t="shared" si="1"/>
        <v>939.99999999999773</v>
      </c>
      <c r="Z33" s="35">
        <f t="shared" si="1"/>
        <v>947.42000000000689</v>
      </c>
      <c r="AA33" s="35">
        <f t="shared" si="1"/>
        <v>947.42000000000689</v>
      </c>
      <c r="AB33" s="35">
        <f t="shared" si="1"/>
        <v>540.00000000002046</v>
      </c>
      <c r="AC33" s="35">
        <f t="shared" si="1"/>
        <v>490.00000000000909</v>
      </c>
      <c r="AD33" s="35">
        <f t="shared" si="1"/>
        <v>529.99999999997272</v>
      </c>
      <c r="AE33" s="35">
        <f t="shared" si="1"/>
        <v>480.00000000001819</v>
      </c>
      <c r="AF33" s="17">
        <f t="shared" si="1"/>
        <v>687</v>
      </c>
      <c r="AG33" s="32">
        <f t="shared" si="1"/>
        <v>340.00000000000341</v>
      </c>
      <c r="AH33" s="32">
        <f t="shared" si="1"/>
        <v>300.00000000001137</v>
      </c>
      <c r="AI33" s="32">
        <f t="shared" si="1"/>
        <v>229.99999999998977</v>
      </c>
      <c r="AJ33" s="32">
        <f t="shared" si="1"/>
        <v>480.00000000001819</v>
      </c>
      <c r="AK33" s="32">
        <f t="shared" si="1"/>
        <v>629.99999999999545</v>
      </c>
      <c r="AL33" s="32">
        <f t="shared" si="1"/>
        <v>257</v>
      </c>
      <c r="AM33" s="32">
        <f t="shared" si="1"/>
        <v>379.99999999999545</v>
      </c>
      <c r="AN33" s="32">
        <f t="shared" si="1"/>
        <v>557</v>
      </c>
      <c r="AO33" s="32">
        <f t="shared" si="1"/>
        <v>579.99999999998408</v>
      </c>
      <c r="AP33" s="32">
        <f t="shared" si="1"/>
        <v>684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785.20000000000437</v>
      </c>
      <c r="AU33" s="17">
        <f t="shared" si="1"/>
        <v>5322</v>
      </c>
      <c r="AV33" s="17">
        <f t="shared" si="1"/>
        <v>9799.9999999999527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133.69949999999997</v>
      </c>
      <c r="BC33" s="17">
        <f t="shared" si="1"/>
        <v>16</v>
      </c>
    </row>
    <row r="35" spans="5:55" x14ac:dyDescent="0.25">
      <c r="E35" s="38">
        <f>E33/E37</f>
        <v>0.29229146128435407</v>
      </c>
      <c r="G35" s="29">
        <f>G33-M36</f>
        <v>32361.499999999673</v>
      </c>
      <c r="AE35" s="35">
        <f>SUM(U33:AE33)</f>
        <v>28174.839999999956</v>
      </c>
      <c r="AG35" s="32">
        <f>SUM(AG33:AP33)</f>
        <v>4437.9999999999982</v>
      </c>
    </row>
    <row r="36" spans="5:55" x14ac:dyDescent="0.25">
      <c r="G36" s="29">
        <f>G35-633*14</f>
        <v>23499.499999999673</v>
      </c>
      <c r="M36" s="29">
        <f>M33+N33</f>
        <v>8538.5000000000582</v>
      </c>
    </row>
    <row r="37" spans="5:55" x14ac:dyDescent="0.25">
      <c r="E37" s="17">
        <f>E33+F33+G33+H33+J33-633*14</f>
        <v>115637.99999999898</v>
      </c>
      <c r="G37" s="37">
        <f>M36/E37</f>
        <v>7.3838184679777694E-2</v>
      </c>
      <c r="M37" s="35">
        <f>AE35</f>
        <v>28174.839999999956</v>
      </c>
    </row>
    <row r="38" spans="5:55" x14ac:dyDescent="0.25">
      <c r="L38" s="27">
        <f>M38/E37</f>
        <v>3.8378387727218022E-2</v>
      </c>
      <c r="M38" s="29">
        <f>AG35</f>
        <v>4437.9999999999982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G1" zoomScale="80" zoomScaleNormal="80" workbookViewId="0">
      <pane ySplit="1" topLeftCell="A14" activePane="bottomLeft" state="frozen"/>
      <selection pane="bottomLeft" activeCell="R36" sqref="R3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>
        <v>1.8348</v>
      </c>
      <c r="D25" s="64">
        <f t="shared" si="0"/>
        <v>999.99999999988984</v>
      </c>
      <c r="E25" s="58">
        <v>2.7732999999999999</v>
      </c>
      <c r="F25" s="64">
        <f t="shared" si="1"/>
        <v>599.99999999993395</v>
      </c>
      <c r="G25" s="58">
        <v>2.7275999999999998</v>
      </c>
      <c r="H25" s="64">
        <f t="shared" si="2"/>
        <v>1499.9999999996128</v>
      </c>
      <c r="I25" s="58">
        <v>1.3214999999999999</v>
      </c>
      <c r="J25" s="64">
        <f t="shared" si="3"/>
        <v>799.99999999991189</v>
      </c>
      <c r="K25" s="58">
        <v>2.0905999999999998</v>
      </c>
      <c r="L25" s="64">
        <f t="shared" si="4"/>
        <v>1599.9999999998238</v>
      </c>
      <c r="M25" s="58">
        <v>1.2503</v>
      </c>
      <c r="N25" s="64">
        <f t="shared" si="5"/>
        <v>399.99999999995595</v>
      </c>
      <c r="O25" s="58">
        <v>12654</v>
      </c>
      <c r="P25" s="67">
        <f t="shared" si="44"/>
        <v>1</v>
      </c>
      <c r="Q25" s="58">
        <v>5761</v>
      </c>
      <c r="R25" s="67">
        <f t="shared" si="6"/>
        <v>5</v>
      </c>
      <c r="S25" s="58">
        <v>855524.2</v>
      </c>
      <c r="T25" s="67">
        <f t="shared" si="7"/>
        <v>178</v>
      </c>
      <c r="U25" s="58">
        <v>349068.2</v>
      </c>
      <c r="V25" s="67">
        <f t="shared" si="8"/>
        <v>101.79999999998836</v>
      </c>
      <c r="W25" s="58">
        <v>341.69</v>
      </c>
      <c r="X25" s="65">
        <f t="shared" si="9"/>
        <v>79.999999999984084</v>
      </c>
      <c r="Y25" s="58">
        <v>2.4329999999999998</v>
      </c>
      <c r="Z25" s="65">
        <f t="shared" si="10"/>
        <v>499.99999999972289</v>
      </c>
      <c r="AA25" s="58">
        <v>333.68</v>
      </c>
      <c r="AB25" s="65">
        <f t="shared" si="11"/>
        <v>79.999999999984084</v>
      </c>
      <c r="AC25" s="58">
        <v>320.38</v>
      </c>
      <c r="AD25" s="65">
        <f t="shared" si="12"/>
        <v>110.00000000001364</v>
      </c>
      <c r="AE25" s="58">
        <v>501.1</v>
      </c>
      <c r="AF25" s="65">
        <f t="shared" si="13"/>
        <v>160.00000000002501</v>
      </c>
      <c r="AG25" s="58">
        <v>1377.1</v>
      </c>
      <c r="AH25" s="67">
        <f t="shared" si="14"/>
        <v>1.2999999999999545</v>
      </c>
      <c r="AI25" s="58">
        <v>472.97</v>
      </c>
      <c r="AJ25" s="65">
        <f t="shared" si="15"/>
        <v>220.00000000002728</v>
      </c>
      <c r="AK25" s="58">
        <v>162.22</v>
      </c>
      <c r="AL25" s="65">
        <f t="shared" si="15"/>
        <v>139.99999999998636</v>
      </c>
      <c r="AM25" s="58">
        <v>159.13</v>
      </c>
      <c r="AN25" s="65">
        <f t="shared" si="15"/>
        <v>129.99999999999545</v>
      </c>
      <c r="AO25" s="58">
        <v>154.47</v>
      </c>
      <c r="AP25" s="65">
        <f t="shared" si="15"/>
        <v>109.99999999998522</v>
      </c>
      <c r="AQ25" s="58">
        <v>221.32</v>
      </c>
      <c r="AR25" s="65">
        <f t="shared" si="16"/>
        <v>39.999999999992042</v>
      </c>
      <c r="AS25" s="58">
        <v>346.76</v>
      </c>
      <c r="AT25" s="65">
        <f t="shared" si="17"/>
        <v>29.999999999972715</v>
      </c>
      <c r="AU25" s="58">
        <v>267.52999999999997</v>
      </c>
      <c r="AV25" s="65">
        <f t="shared" si="18"/>
        <v>19.99999999998181</v>
      </c>
      <c r="AW25" s="58">
        <v>295.06</v>
      </c>
      <c r="AX25" s="65">
        <f t="shared" si="19"/>
        <v>19.99999999998181</v>
      </c>
      <c r="AY25" s="58">
        <v>346.29</v>
      </c>
      <c r="AZ25" s="65">
        <f t="shared" si="20"/>
        <v>20.000000000038654</v>
      </c>
      <c r="BA25" s="58">
        <v>366.02</v>
      </c>
      <c r="BB25" s="65">
        <f t="shared" si="21"/>
        <v>19.99999999998181</v>
      </c>
      <c r="BC25" s="58">
        <v>232.67</v>
      </c>
      <c r="BD25" s="65">
        <f t="shared" si="22"/>
        <v>9.9999999999909051</v>
      </c>
      <c r="BE25" s="59">
        <v>31413</v>
      </c>
      <c r="BF25" s="67">
        <f t="shared" si="39"/>
        <v>41</v>
      </c>
      <c r="BG25" s="60">
        <v>226.09</v>
      </c>
      <c r="BH25" s="65">
        <f t="shared" si="23"/>
        <v>0</v>
      </c>
      <c r="BI25" s="60">
        <v>284.08999999999997</v>
      </c>
      <c r="BJ25" s="65">
        <f t="shared" si="40"/>
        <v>9.9999999999909051</v>
      </c>
      <c r="BK25" s="60">
        <v>231.41</v>
      </c>
      <c r="BL25" s="65">
        <f t="shared" si="24"/>
        <v>9.9999999999909051</v>
      </c>
      <c r="BM25" s="60">
        <v>215.29</v>
      </c>
      <c r="BN25" s="65">
        <f t="shared" si="25"/>
        <v>19.99999999998181</v>
      </c>
      <c r="BO25" s="60">
        <v>280.43</v>
      </c>
      <c r="BP25" s="65">
        <f t="shared" si="26"/>
        <v>19.99999999998181</v>
      </c>
      <c r="BQ25" s="60">
        <v>39965</v>
      </c>
      <c r="BR25" s="65">
        <f t="shared" si="27"/>
        <v>7</v>
      </c>
      <c r="BS25" s="60">
        <v>194.2</v>
      </c>
      <c r="BT25" s="65">
        <f t="shared" si="42"/>
        <v>9.9999999999909051</v>
      </c>
      <c r="BU25" s="60">
        <v>31722</v>
      </c>
      <c r="BV25" s="65">
        <f t="shared" si="29"/>
        <v>29</v>
      </c>
      <c r="BW25" s="60">
        <v>225.47</v>
      </c>
      <c r="BX25" s="65">
        <f t="shared" si="30"/>
        <v>30.000000000001137</v>
      </c>
      <c r="BY25" s="60">
        <v>50332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50184.4</v>
      </c>
      <c r="CH25" s="67">
        <f t="shared" si="35"/>
        <v>44.900000000001455</v>
      </c>
      <c r="CI25" s="60">
        <v>878432</v>
      </c>
      <c r="CJ25" s="67">
        <f t="shared" si="36"/>
        <v>193</v>
      </c>
      <c r="CK25" s="60">
        <v>609.74</v>
      </c>
      <c r="CL25" s="64">
        <f t="shared" si="37"/>
        <v>379.99999999999545</v>
      </c>
      <c r="CM25" s="65">
        <f t="shared" si="41"/>
        <v>13.5</v>
      </c>
      <c r="CN25" s="62">
        <v>0</v>
      </c>
      <c r="CO25" s="62">
        <v>0</v>
      </c>
      <c r="CP25" s="68">
        <v>1020</v>
      </c>
      <c r="CQ25" s="67">
        <f t="shared" si="38"/>
        <v>9.5</v>
      </c>
      <c r="CR25" s="68">
        <v>10496</v>
      </c>
      <c r="CS25" s="67">
        <f t="shared" si="38"/>
        <v>4</v>
      </c>
      <c r="CT25" s="75">
        <v>3041</v>
      </c>
      <c r="CU25" s="67">
        <f t="shared" si="38"/>
        <v>11</v>
      </c>
      <c r="CV25" s="68">
        <v>9168</v>
      </c>
      <c r="CW25" s="67">
        <f t="shared" si="38"/>
        <v>15</v>
      </c>
    </row>
    <row r="26" spans="1:101" ht="25.5" customHeight="1" thickBot="1" x14ac:dyDescent="0.45">
      <c r="A26" s="63">
        <v>44097</v>
      </c>
      <c r="B26" s="44"/>
      <c r="C26" s="58">
        <v>1.8357000000000001</v>
      </c>
      <c r="D26" s="64">
        <f t="shared" si="0"/>
        <v>900.0000000001229</v>
      </c>
      <c r="E26" s="58">
        <v>2.7738999999999998</v>
      </c>
      <c r="F26" s="64">
        <f t="shared" si="1"/>
        <v>599.99999999993395</v>
      </c>
      <c r="G26" s="58">
        <v>2.7290000000000001</v>
      </c>
      <c r="H26" s="64">
        <f t="shared" si="2"/>
        <v>1400.0000000002899</v>
      </c>
      <c r="I26" s="58">
        <v>1.3222</v>
      </c>
      <c r="J26" s="64">
        <f t="shared" si="3"/>
        <v>700.00000000014495</v>
      </c>
      <c r="K26" s="58">
        <v>2.0922000000000001</v>
      </c>
      <c r="L26" s="64">
        <f t="shared" si="4"/>
        <v>1600.0000000002678</v>
      </c>
      <c r="M26" s="58">
        <v>1.2507999999999999</v>
      </c>
      <c r="N26" s="64">
        <f t="shared" si="5"/>
        <v>499.99999999994492</v>
      </c>
      <c r="O26" s="58">
        <v>12654</v>
      </c>
      <c r="P26" s="67">
        <f t="shared" si="44"/>
        <v>0</v>
      </c>
      <c r="Q26" s="58">
        <v>5765</v>
      </c>
      <c r="R26" s="67">
        <f t="shared" si="6"/>
        <v>4</v>
      </c>
      <c r="S26" s="58">
        <v>855633.8</v>
      </c>
      <c r="T26" s="67">
        <f t="shared" si="7"/>
        <v>109.60000000009313</v>
      </c>
      <c r="U26" s="58">
        <v>349126.8</v>
      </c>
      <c r="V26" s="67">
        <f t="shared" si="8"/>
        <v>58.599999999976717</v>
      </c>
      <c r="W26" s="58">
        <v>341.77</v>
      </c>
      <c r="X26" s="65">
        <f t="shared" si="9"/>
        <v>79.999999999984084</v>
      </c>
      <c r="Y26" s="58">
        <v>2.4333999999999998</v>
      </c>
      <c r="Z26" s="65">
        <f t="shared" si="10"/>
        <v>399.99999999995595</v>
      </c>
      <c r="AA26" s="58">
        <v>333.75</v>
      </c>
      <c r="AB26" s="65">
        <f t="shared" si="11"/>
        <v>69.999999999993179</v>
      </c>
      <c r="AC26" s="58">
        <v>320.48</v>
      </c>
      <c r="AD26" s="65">
        <f t="shared" si="12"/>
        <v>100.00000000002274</v>
      </c>
      <c r="AE26" s="58">
        <v>501.28</v>
      </c>
      <c r="AF26" s="65">
        <f t="shared" si="13"/>
        <v>179.99999999994998</v>
      </c>
      <c r="AG26" s="58">
        <v>1378</v>
      </c>
      <c r="AH26" s="67">
        <f t="shared" si="14"/>
        <v>0.90000000000009095</v>
      </c>
      <c r="AI26" s="58">
        <v>473.16</v>
      </c>
      <c r="AJ26" s="65">
        <f t="shared" si="15"/>
        <v>189.99999999999773</v>
      </c>
      <c r="AK26" s="58">
        <v>162.34</v>
      </c>
      <c r="AL26" s="65">
        <f t="shared" si="15"/>
        <v>120.00000000000455</v>
      </c>
      <c r="AM26" s="58">
        <v>159.22999999999999</v>
      </c>
      <c r="AN26" s="65">
        <f t="shared" si="15"/>
        <v>99.999999999994316</v>
      </c>
      <c r="AO26" s="58">
        <v>154.56</v>
      </c>
      <c r="AP26" s="65">
        <f t="shared" si="15"/>
        <v>90.000000000003411</v>
      </c>
      <c r="AQ26" s="58">
        <v>221.35</v>
      </c>
      <c r="AR26" s="65">
        <f t="shared" si="16"/>
        <v>30.000000000001137</v>
      </c>
      <c r="AS26" s="58">
        <v>346.78</v>
      </c>
      <c r="AT26" s="65">
        <f t="shared" si="17"/>
        <v>19.99999999998181</v>
      </c>
      <c r="AU26" s="58">
        <v>267.54000000000002</v>
      </c>
      <c r="AV26" s="65">
        <f t="shared" si="18"/>
        <v>10.000000000047748</v>
      </c>
      <c r="AW26" s="58">
        <v>295.08</v>
      </c>
      <c r="AX26" s="65">
        <f t="shared" si="19"/>
        <v>19.99999999998181</v>
      </c>
      <c r="AY26" s="58">
        <v>346.31</v>
      </c>
      <c r="AZ26" s="65">
        <f t="shared" si="20"/>
        <v>19.99999999998181</v>
      </c>
      <c r="BA26" s="58">
        <v>366.05</v>
      </c>
      <c r="BB26" s="65">
        <f t="shared" si="21"/>
        <v>30.000000000029559</v>
      </c>
      <c r="BC26" s="58">
        <v>232.69</v>
      </c>
      <c r="BD26" s="65">
        <f t="shared" si="22"/>
        <v>20.000000000010232</v>
      </c>
      <c r="BE26" s="59">
        <v>31454</v>
      </c>
      <c r="BF26" s="67">
        <f t="shared" si="39"/>
        <v>41</v>
      </c>
      <c r="BG26" s="60">
        <v>226.1</v>
      </c>
      <c r="BH26" s="65">
        <f t="shared" si="23"/>
        <v>9.9999999999909051</v>
      </c>
      <c r="BI26" s="60">
        <v>284.10000000000002</v>
      </c>
      <c r="BJ26" s="65">
        <f t="shared" si="40"/>
        <v>10.000000000047748</v>
      </c>
      <c r="BK26" s="60">
        <v>231.41</v>
      </c>
      <c r="BL26" s="65">
        <f t="shared" si="24"/>
        <v>0</v>
      </c>
      <c r="BM26" s="60">
        <v>215.31</v>
      </c>
      <c r="BN26" s="65">
        <f t="shared" si="25"/>
        <v>20.000000000010232</v>
      </c>
      <c r="BO26" s="60">
        <v>280.45</v>
      </c>
      <c r="BP26" s="65">
        <f t="shared" si="26"/>
        <v>19.99999999998181</v>
      </c>
      <c r="BQ26" s="60">
        <v>39972</v>
      </c>
      <c r="BR26" s="65">
        <f t="shared" si="27"/>
        <v>7</v>
      </c>
      <c r="BS26" s="60">
        <v>194.2</v>
      </c>
      <c r="BT26" s="65">
        <f t="shared" si="42"/>
        <v>0</v>
      </c>
      <c r="BU26" s="60">
        <v>31742</v>
      </c>
      <c r="BV26" s="65">
        <f t="shared" si="29"/>
        <v>20</v>
      </c>
      <c r="BW26" s="60">
        <v>225.49</v>
      </c>
      <c r="BX26" s="65">
        <f t="shared" si="30"/>
        <v>20.000000000010232</v>
      </c>
      <c r="BY26" s="60">
        <v>50355</v>
      </c>
      <c r="BZ26" s="67">
        <f t="shared" si="31"/>
        <v>23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50209.2</v>
      </c>
      <c r="CH26" s="67">
        <f t="shared" si="35"/>
        <v>24.799999999995634</v>
      </c>
      <c r="CI26" s="60">
        <v>878647</v>
      </c>
      <c r="CJ26" s="67">
        <f t="shared" si="36"/>
        <v>215</v>
      </c>
      <c r="CK26" s="60">
        <v>610.1</v>
      </c>
      <c r="CL26" s="64">
        <f t="shared" si="37"/>
        <v>360.00000000001364</v>
      </c>
      <c r="CM26" s="65">
        <f t="shared" si="41"/>
        <v>15.299999999999955</v>
      </c>
      <c r="CN26" s="62">
        <v>0</v>
      </c>
      <c r="CO26" s="62">
        <v>0</v>
      </c>
      <c r="CP26" s="68">
        <v>1028.3</v>
      </c>
      <c r="CQ26" s="67">
        <f t="shared" si="38"/>
        <v>8.2999999999999545</v>
      </c>
      <c r="CR26" s="68">
        <v>10503</v>
      </c>
      <c r="CS26" s="67">
        <f t="shared" si="38"/>
        <v>7</v>
      </c>
      <c r="CT26" s="75">
        <v>3053</v>
      </c>
      <c r="CU26" s="67">
        <f t="shared" si="38"/>
        <v>12</v>
      </c>
      <c r="CV26" s="68">
        <v>9183</v>
      </c>
      <c r="CW26" s="67">
        <f t="shared" si="38"/>
        <v>15</v>
      </c>
    </row>
    <row r="27" spans="1:101" ht="25.5" customHeight="1" thickBot="1" x14ac:dyDescent="0.45">
      <c r="A27" s="63">
        <v>44098</v>
      </c>
      <c r="B27" s="44"/>
      <c r="C27" s="58">
        <v>1.8366</v>
      </c>
      <c r="D27" s="64">
        <f t="shared" si="0"/>
        <v>899.99999999990087</v>
      </c>
      <c r="E27" s="58">
        <v>2.7745000000000002</v>
      </c>
      <c r="F27" s="64">
        <f t="shared" si="1"/>
        <v>600.00000000037801</v>
      </c>
      <c r="G27" s="58">
        <v>2.7303999999999999</v>
      </c>
      <c r="H27" s="64">
        <f t="shared" si="2"/>
        <v>1399.9999999998458</v>
      </c>
      <c r="I27" s="58">
        <v>1.323</v>
      </c>
      <c r="J27" s="64">
        <f t="shared" si="3"/>
        <v>799.99999999991189</v>
      </c>
      <c r="K27" s="58">
        <v>2.0937000000000001</v>
      </c>
      <c r="L27" s="64">
        <f t="shared" si="4"/>
        <v>1500.0000000000568</v>
      </c>
      <c r="M27" s="58">
        <v>1.2512000000000001</v>
      </c>
      <c r="N27" s="64">
        <f t="shared" si="5"/>
        <v>400.00000000017798</v>
      </c>
      <c r="O27" s="58">
        <v>12655</v>
      </c>
      <c r="P27" s="67">
        <f t="shared" si="44"/>
        <v>1</v>
      </c>
      <c r="Q27" s="58">
        <v>5769</v>
      </c>
      <c r="R27" s="67">
        <f t="shared" si="6"/>
        <v>4</v>
      </c>
      <c r="S27" s="58">
        <v>855787</v>
      </c>
      <c r="T27" s="67">
        <f t="shared" si="7"/>
        <v>153.19999999995343</v>
      </c>
      <c r="U27" s="58">
        <v>349210.3</v>
      </c>
      <c r="V27" s="67">
        <f t="shared" si="8"/>
        <v>83.5</v>
      </c>
      <c r="W27" s="58">
        <v>341.85</v>
      </c>
      <c r="X27" s="65">
        <f t="shared" si="9"/>
        <v>80.000000000040927</v>
      </c>
      <c r="Y27" s="58">
        <v>2.4338000000000002</v>
      </c>
      <c r="Z27" s="65">
        <f t="shared" si="10"/>
        <v>400.00000000040006</v>
      </c>
      <c r="AA27" s="58">
        <v>333.82</v>
      </c>
      <c r="AB27" s="65">
        <f t="shared" si="11"/>
        <v>69.999999999993179</v>
      </c>
      <c r="AC27" s="58">
        <v>320.58</v>
      </c>
      <c r="AD27" s="65">
        <f t="shared" si="12"/>
        <v>99.999999999965894</v>
      </c>
      <c r="AE27" s="58">
        <v>501.46</v>
      </c>
      <c r="AF27" s="65">
        <f t="shared" si="13"/>
        <v>180.00000000000682</v>
      </c>
      <c r="AG27" s="58">
        <v>1379.2</v>
      </c>
      <c r="AH27" s="67">
        <f t="shared" si="14"/>
        <v>1.2000000000000455</v>
      </c>
      <c r="AI27" s="58">
        <v>473.38</v>
      </c>
      <c r="AJ27" s="65">
        <f t="shared" si="15"/>
        <v>219.99999999997044</v>
      </c>
      <c r="AK27" s="58">
        <v>162.46</v>
      </c>
      <c r="AL27" s="65">
        <f t="shared" si="15"/>
        <v>120.00000000000455</v>
      </c>
      <c r="AM27" s="58">
        <v>159.34</v>
      </c>
      <c r="AN27" s="65">
        <f t="shared" si="15"/>
        <v>110.00000000001364</v>
      </c>
      <c r="AO27" s="58">
        <v>154.63999999999999</v>
      </c>
      <c r="AP27" s="65">
        <f t="shared" si="15"/>
        <v>79.999999999984084</v>
      </c>
      <c r="AQ27" s="58">
        <v>221.38</v>
      </c>
      <c r="AR27" s="65">
        <f t="shared" si="16"/>
        <v>30.000000000001137</v>
      </c>
      <c r="AS27" s="58">
        <v>346.81</v>
      </c>
      <c r="AT27" s="65">
        <f t="shared" si="17"/>
        <v>30.000000000029559</v>
      </c>
      <c r="AU27" s="58">
        <v>267.56</v>
      </c>
      <c r="AV27" s="65">
        <f t="shared" si="18"/>
        <v>19.99999999998181</v>
      </c>
      <c r="AW27" s="58">
        <v>295.10000000000002</v>
      </c>
      <c r="AX27" s="65">
        <f t="shared" si="19"/>
        <v>20.000000000038654</v>
      </c>
      <c r="AY27" s="58">
        <v>346.33</v>
      </c>
      <c r="AZ27" s="65">
        <f t="shared" si="20"/>
        <v>19.99999999998181</v>
      </c>
      <c r="BA27" s="58">
        <v>366.07</v>
      </c>
      <c r="BB27" s="65">
        <f t="shared" si="21"/>
        <v>19.99999999998181</v>
      </c>
      <c r="BC27" s="58">
        <v>232.71</v>
      </c>
      <c r="BD27" s="65">
        <f t="shared" si="22"/>
        <v>20.000000000010232</v>
      </c>
      <c r="BE27" s="59">
        <v>31492</v>
      </c>
      <c r="BF27" s="67">
        <f t="shared" si="39"/>
        <v>38</v>
      </c>
      <c r="BG27" s="60">
        <v>226.11</v>
      </c>
      <c r="BH27" s="65">
        <f t="shared" si="23"/>
        <v>10.000000000019327</v>
      </c>
      <c r="BI27" s="60">
        <v>284.10000000000002</v>
      </c>
      <c r="BJ27" s="65">
        <f t="shared" si="40"/>
        <v>0</v>
      </c>
      <c r="BK27" s="60">
        <v>231.42</v>
      </c>
      <c r="BL27" s="65">
        <f t="shared" si="24"/>
        <v>9.9999999999909051</v>
      </c>
      <c r="BM27" s="60">
        <v>215.34</v>
      </c>
      <c r="BN27" s="65">
        <f t="shared" si="25"/>
        <v>30.000000000001137</v>
      </c>
      <c r="BO27" s="60">
        <v>280.47000000000003</v>
      </c>
      <c r="BP27" s="65">
        <f t="shared" si="26"/>
        <v>20.000000000038654</v>
      </c>
      <c r="BQ27" s="60">
        <v>39979</v>
      </c>
      <c r="BR27" s="65">
        <f t="shared" si="27"/>
        <v>7</v>
      </c>
      <c r="BS27" s="60">
        <v>194.21</v>
      </c>
      <c r="BT27" s="65">
        <f t="shared" si="42"/>
        <v>10.000000000019327</v>
      </c>
      <c r="BU27" s="60">
        <v>31765</v>
      </c>
      <c r="BV27" s="65">
        <f t="shared" si="29"/>
        <v>23</v>
      </c>
      <c r="BW27" s="60">
        <v>225.52</v>
      </c>
      <c r="BX27" s="65">
        <f t="shared" si="30"/>
        <v>30.000000000001137</v>
      </c>
      <c r="BY27" s="60">
        <v>50381</v>
      </c>
      <c r="BZ27" s="67">
        <f t="shared" si="31"/>
        <v>26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50227.6</v>
      </c>
      <c r="CH27" s="67">
        <f t="shared" si="35"/>
        <v>18.400000000001455</v>
      </c>
      <c r="CI27" s="60">
        <v>878870</v>
      </c>
      <c r="CJ27" s="67">
        <f t="shared" si="36"/>
        <v>223</v>
      </c>
      <c r="CK27" s="60">
        <v>610.44000000000005</v>
      </c>
      <c r="CL27" s="64">
        <f t="shared" si="37"/>
        <v>340.00000000003183</v>
      </c>
      <c r="CM27" s="65">
        <f t="shared" si="41"/>
        <v>15.5</v>
      </c>
      <c r="CN27" s="62">
        <v>0</v>
      </c>
      <c r="CO27" s="62">
        <v>0</v>
      </c>
      <c r="CP27" s="68">
        <v>1039.8</v>
      </c>
      <c r="CQ27" s="67">
        <f t="shared" si="38"/>
        <v>11.5</v>
      </c>
      <c r="CR27" s="68">
        <v>10507</v>
      </c>
      <c r="CS27" s="67">
        <f t="shared" si="38"/>
        <v>4</v>
      </c>
      <c r="CT27" s="75">
        <v>3064</v>
      </c>
      <c r="CU27" s="67">
        <f t="shared" si="38"/>
        <v>11</v>
      </c>
      <c r="CV27" s="68">
        <v>9203</v>
      </c>
      <c r="CW27" s="67">
        <f t="shared" si="38"/>
        <v>20</v>
      </c>
    </row>
    <row r="28" spans="1:101" ht="25.5" customHeight="1" thickBot="1" x14ac:dyDescent="0.45">
      <c r="A28" s="63">
        <v>44099</v>
      </c>
      <c r="B28" s="44"/>
      <c r="C28" s="58">
        <v>1.8375999999999999</v>
      </c>
      <c r="D28" s="64">
        <f t="shared" si="0"/>
        <v>999.99999999988984</v>
      </c>
      <c r="E28" s="58">
        <v>2.7751000000000001</v>
      </c>
      <c r="F28" s="64">
        <f t="shared" si="1"/>
        <v>599.99999999993395</v>
      </c>
      <c r="G28" s="58">
        <v>2.7319</v>
      </c>
      <c r="H28" s="64">
        <f t="shared" si="2"/>
        <v>1500.0000000000568</v>
      </c>
      <c r="I28" s="58">
        <v>1.3239000000000001</v>
      </c>
      <c r="J28" s="64">
        <f t="shared" si="3"/>
        <v>900.0000000001229</v>
      </c>
      <c r="K28" s="58">
        <v>2.0952999999999999</v>
      </c>
      <c r="L28" s="64">
        <f t="shared" si="4"/>
        <v>1599.9999999998238</v>
      </c>
      <c r="M28" s="58">
        <v>1.2517</v>
      </c>
      <c r="N28" s="64">
        <f t="shared" si="5"/>
        <v>499.99999999994492</v>
      </c>
      <c r="O28" s="58">
        <v>12655</v>
      </c>
      <c r="P28" s="67">
        <f t="shared" si="44"/>
        <v>0</v>
      </c>
      <c r="Q28" s="58">
        <v>5774</v>
      </c>
      <c r="R28" s="67">
        <f t="shared" si="6"/>
        <v>5</v>
      </c>
      <c r="S28" s="58">
        <v>855953</v>
      </c>
      <c r="T28" s="67">
        <f t="shared" si="7"/>
        <v>166</v>
      </c>
      <c r="U28" s="58">
        <v>349293.9</v>
      </c>
      <c r="V28" s="67">
        <f t="shared" si="8"/>
        <v>83.600000000034925</v>
      </c>
      <c r="W28" s="58">
        <v>341.93</v>
      </c>
      <c r="X28" s="65">
        <f t="shared" si="9"/>
        <v>79.999999999984084</v>
      </c>
      <c r="Y28" s="58">
        <v>2.4342000000000001</v>
      </c>
      <c r="Z28" s="65">
        <f t="shared" si="10"/>
        <v>399.99999999995595</v>
      </c>
      <c r="AA28" s="58">
        <v>333.9</v>
      </c>
      <c r="AB28" s="65">
        <f t="shared" si="11"/>
        <v>79.999999999984084</v>
      </c>
      <c r="AC28" s="58">
        <v>320.7</v>
      </c>
      <c r="AD28" s="65">
        <f t="shared" si="12"/>
        <v>120.00000000000455</v>
      </c>
      <c r="AE28" s="58">
        <v>501.64</v>
      </c>
      <c r="AF28" s="65">
        <f t="shared" si="13"/>
        <v>180.00000000000682</v>
      </c>
      <c r="AG28" s="58">
        <v>1380.4</v>
      </c>
      <c r="AH28" s="67">
        <f t="shared" si="14"/>
        <v>1.2000000000000455</v>
      </c>
      <c r="AI28" s="58">
        <v>473.59</v>
      </c>
      <c r="AJ28" s="65">
        <f t="shared" si="15"/>
        <v>209.99999999997954</v>
      </c>
      <c r="AK28" s="58">
        <v>162.61000000000001</v>
      </c>
      <c r="AL28" s="65">
        <f t="shared" si="15"/>
        <v>150.00000000000568</v>
      </c>
      <c r="AM28" s="58">
        <v>159.47</v>
      </c>
      <c r="AN28" s="65">
        <f t="shared" si="15"/>
        <v>129.99999999999545</v>
      </c>
      <c r="AO28" s="58">
        <v>154.76</v>
      </c>
      <c r="AP28" s="65">
        <f t="shared" si="15"/>
        <v>120.00000000000455</v>
      </c>
      <c r="AQ28" s="58">
        <v>221.41</v>
      </c>
      <c r="AR28" s="65">
        <f t="shared" si="16"/>
        <v>30.000000000001137</v>
      </c>
      <c r="AS28" s="58">
        <v>346.84</v>
      </c>
      <c r="AT28" s="65">
        <f t="shared" si="17"/>
        <v>29.999999999972715</v>
      </c>
      <c r="AU28" s="58">
        <v>267.58</v>
      </c>
      <c r="AV28" s="65">
        <f t="shared" si="18"/>
        <v>19.99999999998181</v>
      </c>
      <c r="AW28" s="58">
        <v>295.12</v>
      </c>
      <c r="AX28" s="65">
        <f t="shared" si="19"/>
        <v>19.99999999998181</v>
      </c>
      <c r="AY28" s="58">
        <v>346.35</v>
      </c>
      <c r="AZ28" s="65">
        <f t="shared" si="20"/>
        <v>20.000000000038654</v>
      </c>
      <c r="BA28" s="58">
        <v>366.09</v>
      </c>
      <c r="BB28" s="65">
        <f t="shared" si="21"/>
        <v>19.99999999998181</v>
      </c>
      <c r="BC28" s="58">
        <v>232.73</v>
      </c>
      <c r="BD28" s="65">
        <f t="shared" si="22"/>
        <v>19.99999999998181</v>
      </c>
      <c r="BE28" s="59">
        <v>31520</v>
      </c>
      <c r="BF28" s="67">
        <f t="shared" si="39"/>
        <v>28</v>
      </c>
      <c r="BG28" s="60">
        <v>226.12</v>
      </c>
      <c r="BH28" s="65">
        <f t="shared" si="23"/>
        <v>9.9999999999909051</v>
      </c>
      <c r="BI28" s="60">
        <v>284.11</v>
      </c>
      <c r="BJ28" s="65">
        <f t="shared" si="40"/>
        <v>9.9999999999909051</v>
      </c>
      <c r="BK28" s="60">
        <v>231.43</v>
      </c>
      <c r="BL28" s="65">
        <f t="shared" si="24"/>
        <v>10.000000000019327</v>
      </c>
      <c r="BM28" s="60">
        <v>215.37</v>
      </c>
      <c r="BN28" s="65">
        <f t="shared" si="25"/>
        <v>30.000000000001137</v>
      </c>
      <c r="BO28" s="60">
        <v>280.49</v>
      </c>
      <c r="BP28" s="65">
        <f t="shared" si="26"/>
        <v>19.99999999998181</v>
      </c>
      <c r="BQ28" s="60">
        <v>39987</v>
      </c>
      <c r="BR28" s="65">
        <f t="shared" si="27"/>
        <v>8</v>
      </c>
      <c r="BS28" s="60">
        <v>194.22</v>
      </c>
      <c r="BT28" s="65">
        <f t="shared" si="42"/>
        <v>9.9999999999909051</v>
      </c>
      <c r="BU28" s="60">
        <v>31794</v>
      </c>
      <c r="BV28" s="65">
        <f t="shared" si="29"/>
        <v>29</v>
      </c>
      <c r="BW28" s="60">
        <v>225.54</v>
      </c>
      <c r="BX28" s="65">
        <f t="shared" si="30"/>
        <v>19.99999999998181</v>
      </c>
      <c r="BY28" s="60">
        <v>50411</v>
      </c>
      <c r="BZ28" s="67">
        <f t="shared" si="31"/>
        <v>30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5489.7</v>
      </c>
      <c r="CF28" s="67">
        <f t="shared" si="34"/>
        <v>0</v>
      </c>
      <c r="CG28" s="60">
        <v>50251.1</v>
      </c>
      <c r="CH28" s="67">
        <f t="shared" si="35"/>
        <v>23.5</v>
      </c>
      <c r="CI28" s="60">
        <v>879102</v>
      </c>
      <c r="CJ28" s="67">
        <f t="shared" si="36"/>
        <v>232</v>
      </c>
      <c r="CK28" s="60">
        <v>610.83000000000004</v>
      </c>
      <c r="CL28" s="64">
        <f t="shared" si="37"/>
        <v>389.99999999998636</v>
      </c>
      <c r="CM28" s="65">
        <f t="shared" si="41"/>
        <v>15.5</v>
      </c>
      <c r="CN28" s="62">
        <v>0</v>
      </c>
      <c r="CO28" s="62">
        <v>0</v>
      </c>
      <c r="CP28" s="68">
        <v>1049.3</v>
      </c>
      <c r="CQ28" s="67">
        <f t="shared" si="38"/>
        <v>9.5</v>
      </c>
      <c r="CR28" s="68">
        <v>10513</v>
      </c>
      <c r="CS28" s="67">
        <f t="shared" si="38"/>
        <v>6</v>
      </c>
      <c r="CT28" s="75">
        <v>3076</v>
      </c>
      <c r="CU28" s="67">
        <f t="shared" si="38"/>
        <v>12</v>
      </c>
      <c r="CV28" s="68">
        <v>9223</v>
      </c>
      <c r="CW28" s="67">
        <f t="shared" si="38"/>
        <v>20</v>
      </c>
    </row>
    <row r="29" spans="1:101" ht="25.5" customHeight="1" thickBot="1" x14ac:dyDescent="0.45">
      <c r="A29" s="63">
        <v>44100</v>
      </c>
      <c r="B29" s="44"/>
      <c r="C29" s="58">
        <v>1.8387</v>
      </c>
      <c r="D29" s="64">
        <f t="shared" si="0"/>
        <v>1100.000000000101</v>
      </c>
      <c r="E29" s="58">
        <v>2.7757000000000001</v>
      </c>
      <c r="F29" s="64">
        <f t="shared" si="1"/>
        <v>599.99999999993395</v>
      </c>
      <c r="G29" s="58">
        <v>2.7334000000000001</v>
      </c>
      <c r="H29" s="64">
        <f t="shared" si="2"/>
        <v>1500.0000000000568</v>
      </c>
      <c r="I29" s="58">
        <v>1.3248</v>
      </c>
      <c r="J29" s="64">
        <f t="shared" si="3"/>
        <v>899.99999999990087</v>
      </c>
      <c r="K29" s="58">
        <v>2.097</v>
      </c>
      <c r="L29" s="64">
        <f t="shared" si="4"/>
        <v>1700.0000000000348</v>
      </c>
      <c r="M29" s="58">
        <v>1.2522</v>
      </c>
      <c r="N29" s="64">
        <f t="shared" si="5"/>
        <v>499.99999999994492</v>
      </c>
      <c r="O29" s="58">
        <v>12656</v>
      </c>
      <c r="P29" s="67">
        <f t="shared" si="44"/>
        <v>1</v>
      </c>
      <c r="Q29" s="58">
        <v>5779</v>
      </c>
      <c r="R29" s="67">
        <f t="shared" si="6"/>
        <v>5</v>
      </c>
      <c r="S29" s="58">
        <v>856015.2</v>
      </c>
      <c r="T29" s="67">
        <f t="shared" si="7"/>
        <v>62.199999999953434</v>
      </c>
      <c r="U29" s="58">
        <v>349329.7</v>
      </c>
      <c r="V29" s="67">
        <f t="shared" si="8"/>
        <v>35.799999999988358</v>
      </c>
      <c r="W29" s="58">
        <v>342.01</v>
      </c>
      <c r="X29" s="65">
        <f t="shared" si="9"/>
        <v>79.999999999984084</v>
      </c>
      <c r="Y29" s="58">
        <v>2.4346000000000001</v>
      </c>
      <c r="Z29" s="65">
        <f t="shared" si="10"/>
        <v>399.99999999995595</v>
      </c>
      <c r="AA29" s="58">
        <v>333.99</v>
      </c>
      <c r="AB29" s="65">
        <f t="shared" si="11"/>
        <v>90.000000000031832</v>
      </c>
      <c r="AC29" s="58">
        <v>320.83</v>
      </c>
      <c r="AD29" s="65">
        <f t="shared" si="12"/>
        <v>129.99999999999545</v>
      </c>
      <c r="AE29" s="58">
        <v>501.81</v>
      </c>
      <c r="AF29" s="65">
        <f t="shared" si="13"/>
        <v>170.00000000001592</v>
      </c>
      <c r="AG29" s="58">
        <v>1381.7</v>
      </c>
      <c r="AH29" s="67">
        <f t="shared" si="14"/>
        <v>1.2999999999999545</v>
      </c>
      <c r="AI29" s="58">
        <v>473.86</v>
      </c>
      <c r="AJ29" s="65">
        <f t="shared" si="15"/>
        <v>270.00000000003865</v>
      </c>
      <c r="AK29" s="58">
        <v>162.76</v>
      </c>
      <c r="AL29" s="65">
        <f t="shared" si="15"/>
        <v>149.99999999997726</v>
      </c>
      <c r="AM29" s="58">
        <v>159.6</v>
      </c>
      <c r="AN29" s="65">
        <f t="shared" si="15"/>
        <v>129.99999999999545</v>
      </c>
      <c r="AO29" s="58">
        <v>154.88</v>
      </c>
      <c r="AP29" s="65">
        <f t="shared" si="15"/>
        <v>120.00000000000455</v>
      </c>
      <c r="AQ29" s="58">
        <v>221.45</v>
      </c>
      <c r="AR29" s="65">
        <f t="shared" si="16"/>
        <v>39.999999999992042</v>
      </c>
      <c r="AS29" s="58">
        <v>346.87</v>
      </c>
      <c r="AT29" s="65">
        <f t="shared" si="17"/>
        <v>30.000000000029559</v>
      </c>
      <c r="AU29" s="58">
        <v>267.60000000000002</v>
      </c>
      <c r="AV29" s="65">
        <f t="shared" si="18"/>
        <v>20.000000000038654</v>
      </c>
      <c r="AW29" s="58">
        <v>295.14</v>
      </c>
      <c r="AX29" s="65">
        <f t="shared" si="19"/>
        <v>19.99999999998181</v>
      </c>
      <c r="AY29" s="58">
        <v>346.37</v>
      </c>
      <c r="AZ29" s="65">
        <f t="shared" si="20"/>
        <v>19.99999999998181</v>
      </c>
      <c r="BA29" s="58">
        <v>366.12</v>
      </c>
      <c r="BB29" s="65">
        <f t="shared" si="21"/>
        <v>30.000000000029559</v>
      </c>
      <c r="BC29" s="58">
        <v>232.75</v>
      </c>
      <c r="BD29" s="65">
        <f t="shared" si="22"/>
        <v>20.000000000010232</v>
      </c>
      <c r="BE29" s="59">
        <v>31542</v>
      </c>
      <c r="BF29" s="67">
        <f t="shared" si="39"/>
        <v>22</v>
      </c>
      <c r="BG29" s="60">
        <v>226.12</v>
      </c>
      <c r="BH29" s="65">
        <f t="shared" si="23"/>
        <v>0</v>
      </c>
      <c r="BI29" s="60">
        <v>284.12</v>
      </c>
      <c r="BJ29" s="65">
        <f t="shared" si="40"/>
        <v>9.9999999999909051</v>
      </c>
      <c r="BK29" s="60">
        <v>231.44</v>
      </c>
      <c r="BL29" s="65">
        <f t="shared" si="24"/>
        <v>9.9999999999909051</v>
      </c>
      <c r="BM29" s="60">
        <v>215.4</v>
      </c>
      <c r="BN29" s="65">
        <f t="shared" si="25"/>
        <v>30.000000000001137</v>
      </c>
      <c r="BO29" s="60">
        <v>280.52</v>
      </c>
      <c r="BP29" s="65">
        <f t="shared" si="26"/>
        <v>29.999999999972715</v>
      </c>
      <c r="BQ29" s="60">
        <v>39991</v>
      </c>
      <c r="BR29" s="65">
        <f t="shared" si="27"/>
        <v>4</v>
      </c>
      <c r="BS29" s="60">
        <v>194.23</v>
      </c>
      <c r="BT29" s="65">
        <f t="shared" si="42"/>
        <v>9.9999999999909051</v>
      </c>
      <c r="BU29" s="60">
        <v>31825</v>
      </c>
      <c r="BV29" s="65">
        <f t="shared" si="29"/>
        <v>31</v>
      </c>
      <c r="BW29" s="60">
        <v>225.57</v>
      </c>
      <c r="BX29" s="65">
        <f t="shared" si="30"/>
        <v>30.000000000001137</v>
      </c>
      <c r="BY29" s="60">
        <v>50442</v>
      </c>
      <c r="BZ29" s="67">
        <f t="shared" si="31"/>
        <v>31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50272.6</v>
      </c>
      <c r="CH29" s="67">
        <f t="shared" si="35"/>
        <v>21.5</v>
      </c>
      <c r="CI29" s="60">
        <v>879310</v>
      </c>
      <c r="CJ29" s="67">
        <f t="shared" si="36"/>
        <v>208</v>
      </c>
      <c r="CK29" s="60">
        <v>611.24</v>
      </c>
      <c r="CL29" s="64">
        <f t="shared" si="37"/>
        <v>409.99999999996817</v>
      </c>
      <c r="CM29" s="65">
        <f t="shared" si="41"/>
        <v>13.5</v>
      </c>
      <c r="CN29" s="62">
        <v>0</v>
      </c>
      <c r="CO29" s="62">
        <v>0</v>
      </c>
      <c r="CP29" s="68">
        <v>1056.8</v>
      </c>
      <c r="CQ29" s="67">
        <f t="shared" si="38"/>
        <v>7.5</v>
      </c>
      <c r="CR29" s="68">
        <v>10519</v>
      </c>
      <c r="CS29" s="67">
        <f t="shared" si="38"/>
        <v>6</v>
      </c>
      <c r="CT29" s="75">
        <v>3090</v>
      </c>
      <c r="CU29" s="67">
        <f t="shared" si="38"/>
        <v>14</v>
      </c>
      <c r="CV29" s="68">
        <v>9244</v>
      </c>
      <c r="CW29" s="67">
        <f t="shared" si="38"/>
        <v>21</v>
      </c>
    </row>
    <row r="30" spans="1:101" ht="25.5" customHeight="1" thickBot="1" x14ac:dyDescent="0.45">
      <c r="A30" s="63">
        <v>44101</v>
      </c>
      <c r="B30" s="44"/>
      <c r="C30" s="58">
        <v>1.8395999999999999</v>
      </c>
      <c r="D30" s="64">
        <f t="shared" si="0"/>
        <v>899.99999999990087</v>
      </c>
      <c r="E30" s="58">
        <v>2.7761999999999998</v>
      </c>
      <c r="F30" s="64">
        <f t="shared" si="1"/>
        <v>499.99999999972289</v>
      </c>
      <c r="G30" s="58">
        <v>2.7345999999999999</v>
      </c>
      <c r="H30" s="64">
        <f t="shared" si="2"/>
        <v>1199.9999999998679</v>
      </c>
      <c r="I30" s="58">
        <v>1.3255999999999999</v>
      </c>
      <c r="J30" s="64">
        <f t="shared" si="3"/>
        <v>799.99999999991189</v>
      </c>
      <c r="K30" s="58">
        <v>2.0985</v>
      </c>
      <c r="L30" s="64">
        <f t="shared" si="4"/>
        <v>1500.0000000000568</v>
      </c>
      <c r="M30" s="58">
        <v>1.2526999999999999</v>
      </c>
      <c r="N30" s="64">
        <f t="shared" si="5"/>
        <v>499.99999999994492</v>
      </c>
      <c r="O30" s="58">
        <v>12656</v>
      </c>
      <c r="P30" s="67">
        <f t="shared" si="44"/>
        <v>0</v>
      </c>
      <c r="Q30" s="58">
        <v>5784</v>
      </c>
      <c r="R30" s="67">
        <f t="shared" si="6"/>
        <v>5</v>
      </c>
      <c r="S30" s="58">
        <v>856071</v>
      </c>
      <c r="T30" s="67">
        <f t="shared" si="7"/>
        <v>55.800000000046566</v>
      </c>
      <c r="U30" s="58">
        <v>349367</v>
      </c>
      <c r="V30" s="67">
        <f t="shared" si="8"/>
        <v>37.299999999988358</v>
      </c>
      <c r="W30" s="58">
        <v>342.08</v>
      </c>
      <c r="X30" s="65">
        <f t="shared" si="9"/>
        <v>69.999999999993179</v>
      </c>
      <c r="Y30" s="58">
        <v>2.4350000000000001</v>
      </c>
      <c r="Z30" s="65">
        <f t="shared" si="10"/>
        <v>399.99999999995595</v>
      </c>
      <c r="AA30" s="58">
        <v>334.06</v>
      </c>
      <c r="AB30" s="65">
        <f t="shared" si="11"/>
        <v>69.999999999993179</v>
      </c>
      <c r="AC30" s="58">
        <v>320.95</v>
      </c>
      <c r="AD30" s="65">
        <f t="shared" si="12"/>
        <v>120.00000000000455</v>
      </c>
      <c r="AE30" s="58">
        <v>501.95</v>
      </c>
      <c r="AF30" s="65">
        <f t="shared" si="13"/>
        <v>139.99999999998636</v>
      </c>
      <c r="AG30" s="58">
        <v>1382.9</v>
      </c>
      <c r="AH30" s="67">
        <f t="shared" si="14"/>
        <v>1.2000000000000455</v>
      </c>
      <c r="AI30" s="58">
        <v>474.09</v>
      </c>
      <c r="AJ30" s="65">
        <f t="shared" si="15"/>
        <v>229.99999999996135</v>
      </c>
      <c r="AK30" s="58">
        <v>162.91</v>
      </c>
      <c r="AL30" s="65">
        <f t="shared" si="15"/>
        <v>150.00000000000568</v>
      </c>
      <c r="AM30" s="58">
        <v>159.72</v>
      </c>
      <c r="AN30" s="65">
        <f t="shared" si="15"/>
        <v>120.00000000000455</v>
      </c>
      <c r="AO30" s="58">
        <v>154.97999999999999</v>
      </c>
      <c r="AP30" s="65">
        <f t="shared" si="15"/>
        <v>99.999999999994316</v>
      </c>
      <c r="AQ30" s="58">
        <v>221.47</v>
      </c>
      <c r="AR30" s="65">
        <f t="shared" si="16"/>
        <v>20.000000000010232</v>
      </c>
      <c r="AS30" s="58">
        <v>346.9</v>
      </c>
      <c r="AT30" s="65">
        <f t="shared" si="17"/>
        <v>29.999999999972715</v>
      </c>
      <c r="AU30" s="58">
        <v>267.62</v>
      </c>
      <c r="AV30" s="65">
        <f t="shared" si="18"/>
        <v>19.99999999998181</v>
      </c>
      <c r="AW30" s="58">
        <v>295.16000000000003</v>
      </c>
      <c r="AX30" s="65">
        <f t="shared" si="19"/>
        <v>20.000000000038654</v>
      </c>
      <c r="AY30" s="58">
        <v>346.38</v>
      </c>
      <c r="AZ30" s="65">
        <f t="shared" si="20"/>
        <v>9.9999999999909051</v>
      </c>
      <c r="BA30" s="58">
        <v>366.14</v>
      </c>
      <c r="BB30" s="65">
        <f t="shared" si="21"/>
        <v>19.99999999998181</v>
      </c>
      <c r="BC30" s="58">
        <v>232.77</v>
      </c>
      <c r="BD30" s="65">
        <f t="shared" si="22"/>
        <v>20.000000000010232</v>
      </c>
      <c r="BE30" s="59">
        <v>31569</v>
      </c>
      <c r="BF30" s="67">
        <f t="shared" si="39"/>
        <v>27</v>
      </c>
      <c r="BG30" s="60">
        <v>226.13</v>
      </c>
      <c r="BH30" s="65">
        <f t="shared" si="23"/>
        <v>9.9999999999909051</v>
      </c>
      <c r="BI30" s="60">
        <v>284.13</v>
      </c>
      <c r="BJ30" s="65">
        <f t="shared" si="40"/>
        <v>9.9999999999909051</v>
      </c>
      <c r="BK30" s="60">
        <v>231.44</v>
      </c>
      <c r="BL30" s="65">
        <f t="shared" si="24"/>
        <v>0</v>
      </c>
      <c r="BM30" s="60">
        <v>215.43</v>
      </c>
      <c r="BN30" s="65">
        <f t="shared" si="25"/>
        <v>30.000000000001137</v>
      </c>
      <c r="BO30" s="60">
        <v>280.54000000000002</v>
      </c>
      <c r="BP30" s="65">
        <f t="shared" si="26"/>
        <v>20.000000000038654</v>
      </c>
      <c r="BQ30" s="60">
        <v>39995</v>
      </c>
      <c r="BR30" s="65">
        <f t="shared" si="27"/>
        <v>4</v>
      </c>
      <c r="BS30" s="60">
        <v>194.24</v>
      </c>
      <c r="BT30" s="65">
        <f t="shared" si="42"/>
        <v>10.000000000019327</v>
      </c>
      <c r="BU30" s="60">
        <v>31855</v>
      </c>
      <c r="BV30" s="65">
        <f t="shared" si="29"/>
        <v>30</v>
      </c>
      <c r="BW30" s="60">
        <v>225.6</v>
      </c>
      <c r="BX30" s="65">
        <f t="shared" si="30"/>
        <v>30.000000000001137</v>
      </c>
      <c r="BY30" s="60">
        <v>50470</v>
      </c>
      <c r="BZ30" s="67">
        <f t="shared" si="31"/>
        <v>28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50286.3</v>
      </c>
      <c r="CH30" s="67">
        <f t="shared" si="35"/>
        <v>13.700000000004366</v>
      </c>
      <c r="CI30" s="60">
        <v>879491</v>
      </c>
      <c r="CJ30" s="67">
        <f t="shared" si="36"/>
        <v>181</v>
      </c>
      <c r="CK30" s="60">
        <v>611.51</v>
      </c>
      <c r="CL30" s="64">
        <f t="shared" si="37"/>
        <v>269.99999999998181</v>
      </c>
      <c r="CM30" s="65">
        <f t="shared" si="41"/>
        <v>8.2000000000000455</v>
      </c>
      <c r="CN30" s="62">
        <v>0</v>
      </c>
      <c r="CO30" s="62">
        <v>0</v>
      </c>
      <c r="CP30" s="68">
        <v>1060</v>
      </c>
      <c r="CQ30" s="67">
        <f t="shared" si="38"/>
        <v>3.2000000000000455</v>
      </c>
      <c r="CR30" s="68">
        <v>10524</v>
      </c>
      <c r="CS30" s="67">
        <f t="shared" si="38"/>
        <v>5</v>
      </c>
      <c r="CT30" s="75">
        <v>3101</v>
      </c>
      <c r="CU30" s="67">
        <f t="shared" si="38"/>
        <v>11</v>
      </c>
      <c r="CV30" s="68">
        <v>9264</v>
      </c>
      <c r="CW30" s="67">
        <f t="shared" si="38"/>
        <v>20</v>
      </c>
    </row>
    <row r="31" spans="1:101" ht="25.5" customHeight="1" thickBot="1" x14ac:dyDescent="0.45">
      <c r="A31" s="63">
        <v>44102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7" t="str">
        <f t="shared" si="7"/>
        <v/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 t="shared" ref="CF31" si="45">IF((CE32-CE30&lt;0), "",CE32-CE30)</f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V38" sqref="V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77</v>
      </c>
      <c r="O30" s="39">
        <v>1</v>
      </c>
      <c r="P30" s="39">
        <v>1</v>
      </c>
      <c r="Q30" s="39">
        <v>2849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75</v>
      </c>
      <c r="O31" s="39">
        <v>1</v>
      </c>
      <c r="P31" s="39">
        <v>1</v>
      </c>
      <c r="Q31" s="39">
        <v>2852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69</v>
      </c>
      <c r="O32" s="39">
        <v>1</v>
      </c>
      <c r="P32" s="39">
        <v>1</v>
      </c>
      <c r="Q32" s="39">
        <v>2856</v>
      </c>
      <c r="R32" s="78">
        <v>20</v>
      </c>
      <c r="S32" s="78">
        <v>196</v>
      </c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65</v>
      </c>
      <c r="O33" s="39">
        <v>1</v>
      </c>
      <c r="P33" s="39">
        <v>1</v>
      </c>
      <c r="Q33" s="39">
        <v>2858</v>
      </c>
      <c r="R33" s="78">
        <v>20</v>
      </c>
      <c r="S33" s="78">
        <v>196</v>
      </c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62</v>
      </c>
      <c r="O34" s="39">
        <v>1</v>
      </c>
      <c r="P34" s="39">
        <v>1</v>
      </c>
      <c r="Q34" s="39">
        <v>2861</v>
      </c>
      <c r="R34" s="78">
        <v>20</v>
      </c>
      <c r="S34" s="78">
        <v>196</v>
      </c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61</v>
      </c>
      <c r="O35" s="39">
        <v>1</v>
      </c>
      <c r="P35" s="39">
        <v>1</v>
      </c>
      <c r="Q35" s="39">
        <v>2863</v>
      </c>
      <c r="R35" s="78">
        <v>20</v>
      </c>
      <c r="S35" s="78">
        <v>196</v>
      </c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-196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2020-09-28T11:56:34Z</dcterms:modified>
</cp:coreProperties>
</file>