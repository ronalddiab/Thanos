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8" i="6" l="1"/>
  <c r="E38" i="6"/>
  <c r="C38" i="6"/>
  <c r="G33" i="4"/>
  <c r="E33" i="4"/>
  <c r="C33" i="4"/>
  <c r="P20" i="4" l="1"/>
  <c r="P21" i="4"/>
  <c r="P22" i="4"/>
  <c r="P23" i="4"/>
  <c r="P24" i="4"/>
  <c r="P25" i="4"/>
  <c r="P26" i="4"/>
  <c r="P27" i="4"/>
  <c r="P28" i="4"/>
  <c r="P29" i="4"/>
  <c r="P30" i="4"/>
  <c r="P31" i="4"/>
  <c r="P34" i="4"/>
  <c r="P35" i="4"/>
  <c r="P36" i="4"/>
  <c r="P37" i="4"/>
  <c r="P38" i="4"/>
  <c r="P39" i="4"/>
  <c r="P40" i="4"/>
  <c r="P41" i="4"/>
  <c r="P42" i="4"/>
  <c r="P19" i="4"/>
  <c r="G37" i="6"/>
  <c r="E37" i="6"/>
  <c r="C37" i="6"/>
  <c r="G32" i="4"/>
  <c r="E32" i="4"/>
  <c r="C32" i="4"/>
  <c r="G36" i="6" l="1"/>
  <c r="E36" i="6"/>
  <c r="C36" i="6"/>
  <c r="G31" i="4"/>
  <c r="E31" i="4"/>
  <c r="C31" i="4"/>
  <c r="G35" i="6" l="1"/>
  <c r="E35" i="6"/>
  <c r="C35" i="6"/>
  <c r="G30" i="4"/>
  <c r="E30" i="4"/>
  <c r="C30" i="4"/>
  <c r="G34" i="6" l="1"/>
  <c r="E34" i="6"/>
  <c r="C34" i="6"/>
  <c r="G29" i="4"/>
  <c r="E29" i="4"/>
  <c r="C29" i="4"/>
  <c r="G33" i="6" l="1"/>
  <c r="E33" i="6"/>
  <c r="C33" i="6"/>
  <c r="G32" i="6"/>
  <c r="E32" i="6"/>
  <c r="C32" i="6"/>
  <c r="G28" i="4"/>
  <c r="E28" i="4"/>
  <c r="C28" i="4"/>
  <c r="G27" i="4"/>
  <c r="E27" i="4"/>
  <c r="C27" i="4"/>
  <c r="G31" i="6" l="1"/>
  <c r="E31" i="6"/>
  <c r="C31" i="6"/>
  <c r="G26" i="4"/>
  <c r="E26" i="4"/>
  <c r="C26" i="4"/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34" i="1" l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L26" i="1" s="1"/>
  <c r="M26" i="1" s="1"/>
  <c r="I32" i="6"/>
  <c r="L27" i="1" s="1"/>
  <c r="I33" i="6"/>
  <c r="I34" i="6"/>
  <c r="L29" i="1" s="1"/>
  <c r="I35" i="6"/>
  <c r="I36" i="6"/>
  <c r="L31" i="1" s="1"/>
  <c r="I37" i="6"/>
  <c r="L32" i="1" s="1"/>
  <c r="I38" i="6"/>
  <c r="L33" i="1" s="1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Y31" i="1"/>
  <c r="Y30" i="1"/>
  <c r="Y29" i="1"/>
  <c r="Z29" i="1" s="1"/>
  <c r="Y27" i="1"/>
  <c r="Z27" i="1" s="1"/>
  <c r="I19" i="10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37" i="4"/>
  <c r="I22" i="4"/>
  <c r="I19" i="4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M33" i="1"/>
  <c r="K25" i="10"/>
  <c r="F34" i="1"/>
  <c r="K26" i="10"/>
  <c r="U32" i="1" l="1"/>
  <c r="P32" i="4"/>
  <c r="I24" i="10"/>
  <c r="M29" i="1"/>
  <c r="E21" i="10" s="1"/>
  <c r="L30" i="1"/>
  <c r="M30" i="1" s="1"/>
  <c r="I21" i="10"/>
  <c r="M27" i="1"/>
  <c r="O27" i="1" s="1"/>
  <c r="L28" i="1"/>
  <c r="I18" i="10"/>
  <c r="E24" i="4"/>
  <c r="C24" i="4"/>
  <c r="I24" i="4"/>
  <c r="L24" i="4"/>
  <c r="N24" i="4" s="1"/>
  <c r="O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E19" i="10"/>
  <c r="O19" i="1"/>
  <c r="E26" i="10"/>
  <c r="O34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O31" i="1" s="1"/>
  <c r="M25" i="1"/>
  <c r="M23" i="1"/>
  <c r="O23" i="1" s="1"/>
  <c r="M12" i="1"/>
  <c r="E4" i="10" s="1"/>
  <c r="M39" i="1"/>
  <c r="M36" i="1"/>
  <c r="E28" i="10" s="1"/>
  <c r="M15" i="1"/>
  <c r="M17" i="1"/>
  <c r="O17" i="1" s="1"/>
  <c r="E38" i="4"/>
  <c r="G38" i="4"/>
  <c r="C38" i="4"/>
  <c r="G9" i="4"/>
  <c r="E9" i="4"/>
  <c r="C9" i="4"/>
  <c r="L38" i="4"/>
  <c r="G35" i="4"/>
  <c r="C35" i="4"/>
  <c r="E35" i="4"/>
  <c r="G10" i="4"/>
  <c r="E10" i="4"/>
  <c r="C10" i="4"/>
  <c r="L23" i="4"/>
  <c r="N23" i="4" s="1"/>
  <c r="O23" i="4" s="1"/>
  <c r="U23" i="1" s="1"/>
  <c r="C7" i="4"/>
  <c r="G7" i="4"/>
  <c r="E7" i="4"/>
  <c r="C37" i="4"/>
  <c r="E37" i="4"/>
  <c r="G37" i="4"/>
  <c r="I8" i="4"/>
  <c r="E8" i="4"/>
  <c r="C8" i="4"/>
  <c r="G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8" i="1" s="1"/>
  <c r="I7" i="4"/>
  <c r="E34" i="4"/>
  <c r="G34" i="4"/>
  <c r="C34" i="4"/>
  <c r="G39" i="4"/>
  <c r="C39" i="4"/>
  <c r="E39" i="4"/>
  <c r="I31" i="4"/>
  <c r="I18" i="4"/>
  <c r="I27" i="4"/>
  <c r="C36" i="4"/>
  <c r="E36" i="4"/>
  <c r="G36" i="4"/>
  <c r="I20" i="4"/>
  <c r="L34" i="4"/>
  <c r="I30" i="4"/>
  <c r="Q44" i="4"/>
  <c r="E5" i="4"/>
  <c r="C5" i="4"/>
  <c r="G5" i="4"/>
  <c r="L19" i="4"/>
  <c r="N19" i="4" s="1"/>
  <c r="O19" i="4" s="1"/>
  <c r="U19" i="1" s="1"/>
  <c r="G11" i="10" s="1"/>
  <c r="L31" i="4"/>
  <c r="N31" i="4" s="1"/>
  <c r="O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U26" i="1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O16" i="1"/>
  <c r="E8" i="10"/>
  <c r="M14" i="1"/>
  <c r="L39" i="4"/>
  <c r="N39" i="4" s="1"/>
  <c r="O39" i="4" s="1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U29" i="1" s="1"/>
  <c r="I15" i="4"/>
  <c r="I11" i="4"/>
  <c r="N42" i="4"/>
  <c r="O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U30" i="1" s="1"/>
  <c r="P33" i="4" l="1"/>
  <c r="U33" i="1"/>
  <c r="E23" i="10"/>
  <c r="U31" i="1"/>
  <c r="W31" i="1" s="1"/>
  <c r="O29" i="1"/>
  <c r="U27" i="1"/>
  <c r="U25" i="1"/>
  <c r="U24" i="1"/>
  <c r="C43" i="4"/>
  <c r="U22" i="1"/>
  <c r="W19" i="1"/>
  <c r="E9" i="10"/>
  <c r="Z41" i="1"/>
  <c r="P14" i="4"/>
  <c r="U14" i="1"/>
  <c r="E43" i="4"/>
  <c r="G43" i="4"/>
  <c r="P13" i="4"/>
  <c r="U13" i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W26" i="1"/>
  <c r="G18" i="10"/>
  <c r="O18" i="10" s="1"/>
  <c r="F16" i="1"/>
  <c r="F41" i="1" s="1"/>
  <c r="K8" i="10"/>
  <c r="G46" i="1"/>
  <c r="J46" i="1" s="1"/>
  <c r="L46" i="1" s="1"/>
  <c r="P17" i="4"/>
  <c r="E2" i="10"/>
  <c r="O10" i="1"/>
  <c r="W36" i="1"/>
  <c r="G28" i="10"/>
  <c r="O28" i="10" s="1"/>
  <c r="W24" i="1"/>
  <c r="G16" i="10"/>
  <c r="W18" i="1"/>
  <c r="G10" i="10"/>
  <c r="W10" i="1"/>
  <c r="G2" i="10"/>
  <c r="W30" i="1"/>
  <c r="G22" i="10"/>
  <c r="W22" i="1"/>
  <c r="G14" i="10"/>
  <c r="O14" i="10" s="1"/>
  <c r="P15" i="4"/>
  <c r="W20" i="1"/>
  <c r="G12" i="10"/>
  <c r="O12" i="10" s="1"/>
  <c r="W27" i="1"/>
  <c r="G19" i="10"/>
  <c r="O19" i="10" s="1"/>
  <c r="W21" i="1"/>
  <c r="G13" i="10"/>
  <c r="O14" i="1"/>
  <c r="E6" i="10"/>
  <c r="P16" i="4"/>
  <c r="P18" i="4"/>
  <c r="O30" i="1"/>
  <c r="E22" i="10"/>
  <c r="G23" i="10" l="1"/>
  <c r="O23" i="10" s="1"/>
  <c r="U41" i="1"/>
  <c r="G47" i="1" s="1"/>
  <c r="J47" i="1" s="1"/>
  <c r="L47" i="1" s="1"/>
  <c r="O13" i="10"/>
  <c r="O10" i="10"/>
  <c r="O41" i="1"/>
  <c r="O16" i="10"/>
  <c r="W40" i="1"/>
  <c r="G32" i="10"/>
  <c r="W17" i="1"/>
  <c r="G9" i="10"/>
  <c r="O9" i="10" s="1"/>
  <c r="W12" i="1"/>
  <c r="G4" i="10"/>
  <c r="O4" i="10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P43" i="4" s="1"/>
  <c r="K47" i="4"/>
  <c r="O2" i="10"/>
  <c r="W41" i="1" l="1"/>
  <c r="M47" i="4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<sst xmlns="http://schemas.openxmlformats.org/spreadsheetml/2006/main" count="126" uniqueCount="82">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</sst>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10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600</c:v>
                </c:pt>
                <c:pt idx="15">
                  <c:v>520</c:v>
                </c:pt>
                <c:pt idx="16">
                  <c:v>510</c:v>
                </c:pt>
                <c:pt idx="17">
                  <c:v>590</c:v>
                </c:pt>
                <c:pt idx="18">
                  <c:v>550</c:v>
                </c:pt>
                <c:pt idx="19">
                  <c:v>570</c:v>
                </c:pt>
                <c:pt idx="20">
                  <c:v>640</c:v>
                </c:pt>
                <c:pt idx="21">
                  <c:v>630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83264"/>
        <c:axId val="94976640"/>
      </c:lineChart>
      <c:dateAx>
        <c:axId val="8348326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76640"/>
        <c:crosses val="autoZero"/>
        <c:auto val="1"/>
        <c:lblOffset val="100"/>
        <c:baseTimeUnit val="days"/>
      </c:dateAx>
      <c:valAx>
        <c:axId val="94976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832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6518</c:v>
                </c:pt>
                <c:pt idx="15">
                  <c:v>6512</c:v>
                </c:pt>
                <c:pt idx="16">
                  <c:v>6399</c:v>
                </c:pt>
                <c:pt idx="17">
                  <c:v>7030</c:v>
                </c:pt>
                <c:pt idx="18">
                  <c:v>6284</c:v>
                </c:pt>
                <c:pt idx="19">
                  <c:v>5372</c:v>
                </c:pt>
                <c:pt idx="20">
                  <c:v>5992</c:v>
                </c:pt>
                <c:pt idx="21">
                  <c:v>5500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9313</c:v>
                </c:pt>
                <c:pt idx="15">
                  <c:v>9075</c:v>
                </c:pt>
                <c:pt idx="16">
                  <c:v>9218</c:v>
                </c:pt>
                <c:pt idx="17">
                  <c:v>9740</c:v>
                </c:pt>
                <c:pt idx="18">
                  <c:v>8085</c:v>
                </c:pt>
                <c:pt idx="19">
                  <c:v>8306</c:v>
                </c:pt>
                <c:pt idx="20">
                  <c:v>7636</c:v>
                </c:pt>
                <c:pt idx="21">
                  <c:v>7753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4276</c:v>
                </c:pt>
                <c:pt idx="15">
                  <c:v>4165</c:v>
                </c:pt>
                <c:pt idx="16">
                  <c:v>4463</c:v>
                </c:pt>
                <c:pt idx="17">
                  <c:v>4712</c:v>
                </c:pt>
                <c:pt idx="18">
                  <c:v>4134</c:v>
                </c:pt>
                <c:pt idx="19">
                  <c:v>4163</c:v>
                </c:pt>
                <c:pt idx="20">
                  <c:v>3867</c:v>
                </c:pt>
                <c:pt idx="21">
                  <c:v>4182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43872"/>
        <c:axId val="100145408"/>
      </c:lineChart>
      <c:dateAx>
        <c:axId val="1001438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45408"/>
        <c:crosses val="autoZero"/>
        <c:auto val="1"/>
        <c:lblOffset val="100"/>
        <c:baseTimeUnit val="days"/>
      </c:dateAx>
      <c:valAx>
        <c:axId val="1001454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4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259.7</c:v>
                </c:pt>
                <c:pt idx="16">
                  <c:v>556.5</c:v>
                </c:pt>
                <c:pt idx="17">
                  <c:v>445.20000000000005</c:v>
                </c:pt>
                <c:pt idx="18">
                  <c:v>556.5</c:v>
                </c:pt>
                <c:pt idx="19">
                  <c:v>333.90000000000003</c:v>
                </c:pt>
                <c:pt idx="20">
                  <c:v>445.20000000000005</c:v>
                </c:pt>
                <c:pt idx="21">
                  <c:v>630.70000000000005</c:v>
                </c:pt>
                <c:pt idx="22">
                  <c:v>1780.8000000000002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72928"/>
        <c:axId val="100174464"/>
      </c:lineChart>
      <c:dateAx>
        <c:axId val="10017292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74464"/>
        <c:crosses val="autoZero"/>
        <c:auto val="1"/>
        <c:lblOffset val="100"/>
        <c:baseTimeUnit val="days"/>
      </c:dateAx>
      <c:valAx>
        <c:axId val="1001744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7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4" sqref="N24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8.0277999999999992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42976.660419999935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8.0277999999999992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42053.993040000125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8.0277999999999992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42424.394900000676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8.0277999999999992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41973.494899999328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8.0277999999999992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44480.788559999812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8.0277999999999992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45362.53456000091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8.0277999999999992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45484.921459998899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8.0277999999999992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44277.213180000486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8.0277999999999992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44304.874980000248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8.0277999999999992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44733.932219999755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8.0277999999999992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48788.042780000731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8.0277999999999992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44620.745599998656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8.0277999999999992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56930.856080001096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8.0277999999999992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48675.002080000057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8.0277999999999992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40888.127659999445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20107</v>
      </c>
      <c r="F17" s="114">
        <v>1.002</v>
      </c>
      <c r="G17" s="114">
        <f>'Consommation du 01.10 au 31.10'!U25</f>
        <v>259.7</v>
      </c>
      <c r="H17" s="114">
        <v>8.0277999999999992</v>
      </c>
      <c r="I17" s="114">
        <f>'Consommation du 01.10 au 31.10'!Y25*1000</f>
        <v>13270.000000000437</v>
      </c>
      <c r="J17" s="114">
        <v>0.84</v>
      </c>
      <c r="K17" s="114">
        <f>'Consommation du 01.10 au 31.10'!D25</f>
        <v>600</v>
      </c>
      <c r="L17" s="114">
        <v>12.67</v>
      </c>
      <c r="M17" s="128">
        <f>'Consommation du 01.10 au 31.10'!AC25</f>
        <v>100</v>
      </c>
      <c r="N17" s="128">
        <v>198</v>
      </c>
      <c r="O17" s="114">
        <f t="shared" si="0"/>
        <v>40980.833660000368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19752</v>
      </c>
      <c r="F18" s="114">
        <v>1.002</v>
      </c>
      <c r="G18" s="114">
        <f>'Consommation du 01.10 au 31.10'!U26</f>
        <v>556.5</v>
      </c>
      <c r="H18" s="114">
        <v>8.0277999999999992</v>
      </c>
      <c r="I18" s="114">
        <f>'Consommation du 01.10 au 31.10'!Y26*1000</f>
        <v>13309.999999999491</v>
      </c>
      <c r="J18" s="114">
        <v>0.84</v>
      </c>
      <c r="K18" s="114">
        <f>'Consommation du 01.10 au 31.10'!D26</f>
        <v>520</v>
      </c>
      <c r="L18" s="114">
        <v>12.67</v>
      </c>
      <c r="M18" s="128">
        <f>'Consommation du 01.10 au 31.10'!AC26</f>
        <v>121</v>
      </c>
      <c r="N18" s="128">
        <v>242</v>
      </c>
      <c r="O18" s="114">
        <f t="shared" si="0"/>
        <v>42027.774699999572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20080</v>
      </c>
      <c r="F19" s="114">
        <v>1.002</v>
      </c>
      <c r="G19" s="114">
        <f>'Consommation du 01.10 au 31.10'!U27</f>
        <v>445.20000000000005</v>
      </c>
      <c r="H19" s="114">
        <v>8.0277999999999992</v>
      </c>
      <c r="I19" s="114">
        <f>'Consommation du 01.10 au 31.10'!Y27*1000</f>
        <v>13270.000000000437</v>
      </c>
      <c r="J19" s="114">
        <v>0.84</v>
      </c>
      <c r="K19" s="114">
        <f>'Consommation du 01.10 au 31.10'!D27</f>
        <v>510</v>
      </c>
      <c r="L19" s="114">
        <v>12.67</v>
      </c>
      <c r="M19" s="128">
        <f>'Consommation du 01.10 au 31.10'!AC27</f>
        <v>131</v>
      </c>
      <c r="N19" s="128">
        <v>273</v>
      </c>
      <c r="O19" s="114">
        <f t="shared" si="0"/>
        <v>41302.636560000363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21482</v>
      </c>
      <c r="F20" s="114">
        <v>1.002</v>
      </c>
      <c r="G20" s="114">
        <f>'Consommation du 01.10 au 31.10'!U28</f>
        <v>556.5</v>
      </c>
      <c r="H20" s="114">
        <v>8.0277999999999992</v>
      </c>
      <c r="I20" s="114">
        <f>'Consommation du 01.10 au 31.10'!Y28*1000</f>
        <v>14350.000000000364</v>
      </c>
      <c r="J20" s="114">
        <v>0.84</v>
      </c>
      <c r="K20" s="114">
        <f>'Consommation du 01.10 au 31.10'!D28</f>
        <v>590</v>
      </c>
      <c r="L20" s="114">
        <v>12.67</v>
      </c>
      <c r="M20" s="128">
        <f>'Consommation du 01.10 au 31.10'!AC28</f>
        <v>133</v>
      </c>
      <c r="N20" s="128">
        <v>294</v>
      </c>
      <c r="O20" s="114">
        <f t="shared" si="0"/>
        <v>45521.734700000306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18503</v>
      </c>
      <c r="F21" s="114">
        <v>1.002</v>
      </c>
      <c r="G21" s="114">
        <f>'Consommation du 01.10 au 31.10'!U29</f>
        <v>333.90000000000003</v>
      </c>
      <c r="H21" s="114">
        <v>8.0277999999999992</v>
      </c>
      <c r="I21" s="114">
        <f>'Consommation du 01.10 au 31.10'!Y29*1000</f>
        <v>16159.999999999854</v>
      </c>
      <c r="J21" s="114">
        <v>0.84</v>
      </c>
      <c r="K21" s="114">
        <f>'Consommation du 01.10 au 31.10'!D29</f>
        <v>550</v>
      </c>
      <c r="L21" s="114">
        <v>12.67</v>
      </c>
      <c r="M21" s="128">
        <f>'Consommation du 01.10 au 31.10'!AC29</f>
        <v>126</v>
      </c>
      <c r="N21" s="128">
        <v>285</v>
      </c>
      <c r="O21" s="114">
        <f t="shared" si="0"/>
        <v>41763.388419999879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17841</v>
      </c>
      <c r="F22" s="114">
        <v>1.002</v>
      </c>
      <c r="G22" s="114">
        <f>'Consommation du 01.10 au 31.10'!U30</f>
        <v>445.20000000000005</v>
      </c>
      <c r="H22" s="114">
        <v>8.0277999999999992</v>
      </c>
      <c r="I22" s="114">
        <f>'Consommation du 01.10 au 31.10'!Y30*1000</f>
        <v>17789.999999999054</v>
      </c>
      <c r="J22" s="114">
        <v>0.84</v>
      </c>
      <c r="K22" s="114">
        <f>'Consommation du 01.10 au 31.10'!D30</f>
        <v>570</v>
      </c>
      <c r="L22" s="114">
        <v>12.67</v>
      </c>
      <c r="M22" s="128">
        <f>'Consommation du 01.10 au 31.10'!AC30</f>
        <v>128</v>
      </c>
      <c r="N22" s="128">
        <v>293</v>
      </c>
      <c r="O22" s="114">
        <f t="shared" si="0"/>
        <v>43616.158559999203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17495</v>
      </c>
      <c r="F23" s="114">
        <v>1.002</v>
      </c>
      <c r="G23" s="114">
        <f>'Consommation du 01.10 au 31.10'!U31</f>
        <v>630.70000000000005</v>
      </c>
      <c r="H23" s="114">
        <v>8.0277999999999992</v>
      </c>
      <c r="I23" s="114">
        <f>'Consommation du 01.10 au 31.10'!Y31*1000</f>
        <v>18460.000000000946</v>
      </c>
      <c r="J23" s="114">
        <v>0.84</v>
      </c>
      <c r="K23" s="114">
        <f>'Consommation du 01.10 au 31.10'!D31</f>
        <v>640</v>
      </c>
      <c r="L23" s="114">
        <v>12.67</v>
      </c>
      <c r="M23" s="128">
        <f>'Consommation du 01.10 au 31.10'!AC31</f>
        <v>133</v>
      </c>
      <c r="N23" s="128">
        <v>307</v>
      </c>
      <c r="O23" s="114">
        <f t="shared" si="0"/>
        <v>46208.3234600008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17435</v>
      </c>
      <c r="F24" s="114">
        <v>1.002</v>
      </c>
      <c r="G24" s="114">
        <f>'Consommation du 01.10 au 31.10'!U32</f>
        <v>1780.8000000000002</v>
      </c>
      <c r="H24" s="114">
        <v>8.0277999999999992</v>
      </c>
      <c r="I24" s="114">
        <f>'Consommation du 01.10 au 31.10'!Y32*1000</f>
        <v>11260.000000000218</v>
      </c>
      <c r="J24" s="114">
        <v>0.84</v>
      </c>
      <c r="K24" s="114">
        <f>'Consommation du 01.10 au 31.10'!D32</f>
        <v>630</v>
      </c>
      <c r="L24" s="114">
        <v>12.67</v>
      </c>
      <c r="M24" s="128">
        <f>'Consommation du 01.10 au 31.10'!AC32</f>
        <v>126</v>
      </c>
      <c r="N24">
        <v>301</v>
      </c>
      <c r="O24" s="114">
        <f t="shared" si="0"/>
        <v>49206.276240000181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8.0277999999999992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8.0277999999999992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8.0277999999999992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8.0277999999999992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8.0277999999999992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8.0277999999999992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8.0277999999999992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8.0277999999999992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2" zoomScale="55" zoomScaleNormal="55" zoomScaleSheetLayoutView="50" workbookViewId="0">
      <selection activeCell="X33" sqref="X33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69"/>
      <c r="B2" s="170"/>
      <c r="C2" s="170"/>
      <c r="D2" s="170"/>
      <c r="E2" s="170"/>
      <c r="F2" s="171"/>
      <c r="G2" s="152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4"/>
      <c r="AD2" s="151"/>
      <c r="AE2" s="151"/>
      <c r="AF2" s="151"/>
      <c r="AJ2" s="66"/>
    </row>
    <row r="3" spans="1:37" ht="1.5" customHeight="1" x14ac:dyDescent="0.2"/>
    <row r="4" spans="1:37" ht="39" hidden="1" customHeight="1" x14ac:dyDescent="0.2">
      <c r="A4" s="172"/>
      <c r="B4" s="172"/>
      <c r="C4" s="172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2"/>
      <c r="B5" s="172"/>
      <c r="C5" s="172"/>
      <c r="D5" s="6"/>
      <c r="E5" s="6"/>
      <c r="F5" s="6"/>
      <c r="G5" s="6"/>
      <c r="H5" s="6"/>
      <c r="I5" s="6"/>
      <c r="J5" s="6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4"/>
      <c r="E7" s="174"/>
      <c r="F7" s="174"/>
      <c r="G7" s="174"/>
      <c r="H7" s="174"/>
      <c r="I7" s="174"/>
      <c r="J7" s="174"/>
      <c r="K7" s="174"/>
      <c r="L7" s="226"/>
      <c r="M7" s="226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4"/>
      <c r="AC7" s="14"/>
      <c r="AI7" s="6"/>
      <c r="AJ7" s="6"/>
      <c r="AK7" s="6"/>
    </row>
    <row r="8" spans="1:37" ht="2.25" customHeight="1" thickBot="1" x14ac:dyDescent="0.25">
      <c r="A8" s="174"/>
      <c r="B8" s="175" t="s">
        <v>1</v>
      </c>
      <c r="C8" s="4"/>
      <c r="D8" s="219" t="s">
        <v>4</v>
      </c>
      <c r="E8" s="5"/>
      <c r="F8" s="161" t="s">
        <v>12</v>
      </c>
      <c r="G8" s="162"/>
      <c r="H8" s="163"/>
      <c r="I8" s="5"/>
      <c r="J8" s="222" t="s">
        <v>3</v>
      </c>
      <c r="K8" s="222"/>
      <c r="L8" s="222"/>
      <c r="M8" s="222" t="s">
        <v>2</v>
      </c>
      <c r="N8" s="5"/>
      <c r="O8" s="167" t="s">
        <v>12</v>
      </c>
      <c r="P8" s="5"/>
      <c r="Q8" s="167" t="s">
        <v>5</v>
      </c>
      <c r="R8" s="5"/>
      <c r="S8" s="167" t="s">
        <v>6</v>
      </c>
      <c r="T8" s="5"/>
      <c r="U8" s="227" t="s">
        <v>39</v>
      </c>
      <c r="V8" s="5"/>
      <c r="W8" s="167" t="s">
        <v>12</v>
      </c>
      <c r="X8" s="74"/>
      <c r="Y8" s="74"/>
      <c r="Z8" s="74"/>
      <c r="AA8" s="221"/>
      <c r="AB8" s="223" t="s">
        <v>80</v>
      </c>
      <c r="AC8" s="167" t="s">
        <v>75</v>
      </c>
      <c r="AD8" s="159" t="s">
        <v>54</v>
      </c>
      <c r="AE8" s="157" t="s">
        <v>59</v>
      </c>
      <c r="AF8" s="157" t="s">
        <v>60</v>
      </c>
      <c r="AG8" s="155" t="s">
        <v>61</v>
      </c>
      <c r="AH8" s="155" t="s">
        <v>62</v>
      </c>
      <c r="AI8" s="78"/>
      <c r="AJ8" s="78"/>
      <c r="AK8" s="78"/>
    </row>
    <row r="9" spans="1:37" ht="116.25" customHeight="1" thickBot="1" x14ac:dyDescent="0.25">
      <c r="A9" s="174"/>
      <c r="B9" s="175"/>
      <c r="C9" s="4"/>
      <c r="D9" s="220"/>
      <c r="E9" s="5"/>
      <c r="F9" s="164"/>
      <c r="G9" s="165"/>
      <c r="H9" s="166"/>
      <c r="I9" s="5"/>
      <c r="J9" s="90" t="s">
        <v>7</v>
      </c>
      <c r="K9" s="90" t="s">
        <v>8</v>
      </c>
      <c r="L9" s="90" t="s">
        <v>9</v>
      </c>
      <c r="M9" s="222"/>
      <c r="N9" s="5"/>
      <c r="O9" s="168"/>
      <c r="P9" s="5"/>
      <c r="Q9" s="168"/>
      <c r="R9" s="5"/>
      <c r="S9" s="168"/>
      <c r="T9" s="5"/>
      <c r="U9" s="228"/>
      <c r="V9" s="5"/>
      <c r="W9" s="168"/>
      <c r="X9" s="144" t="s">
        <v>81</v>
      </c>
      <c r="Y9" s="107" t="s">
        <v>55</v>
      </c>
      <c r="Z9" s="108" t="s">
        <v>56</v>
      </c>
      <c r="AA9" s="221"/>
      <c r="AB9" s="224"/>
      <c r="AC9" s="173"/>
      <c r="AD9" s="160"/>
      <c r="AE9" s="158"/>
      <c r="AF9" s="158"/>
      <c r="AG9" s="156"/>
      <c r="AH9" s="156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97">
        <f>D10*12.67</f>
        <v>7348.6</v>
      </c>
      <c r="G10" s="197"/>
      <c r="H10" s="198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97">
        <f t="shared" ref="F11:F40" si="0">D11*12.67</f>
        <v>7475.3</v>
      </c>
      <c r="G11" s="197"/>
      <c r="H11" s="198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97">
        <f t="shared" si="0"/>
        <v>8488.9</v>
      </c>
      <c r="G12" s="197"/>
      <c r="H12" s="198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97">
        <f t="shared" si="0"/>
        <v>6588.4</v>
      </c>
      <c r="G13" s="197"/>
      <c r="H13" s="198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97">
        <f t="shared" si="0"/>
        <v>7602</v>
      </c>
      <c r="G14" s="197"/>
      <c r="H14" s="198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97">
        <f t="shared" si="0"/>
        <v>7348.6</v>
      </c>
      <c r="G15" s="197"/>
      <c r="H15" s="198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97">
        <f t="shared" si="0"/>
        <v>6968.5</v>
      </c>
      <c r="G16" s="197"/>
      <c r="H16" s="198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97">
        <f t="shared" si="0"/>
        <v>7095.2</v>
      </c>
      <c r="G17" s="197"/>
      <c r="H17" s="198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97">
        <f t="shared" si="0"/>
        <v>6841.8</v>
      </c>
      <c r="G18" s="197"/>
      <c r="H18" s="198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97">
        <f t="shared" si="0"/>
        <v>8108.8</v>
      </c>
      <c r="G19" s="197"/>
      <c r="H19" s="198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97">
        <f t="shared" si="0"/>
        <v>7982.1</v>
      </c>
      <c r="G20" s="197"/>
      <c r="H20" s="198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97">
        <f t="shared" si="0"/>
        <v>6968.5</v>
      </c>
      <c r="G21" s="197"/>
      <c r="H21" s="198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97">
        <f t="shared" si="0"/>
        <v>7602</v>
      </c>
      <c r="G22" s="197"/>
      <c r="H22" s="198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97">
        <f t="shared" si="0"/>
        <v>8615.6</v>
      </c>
      <c r="G23" s="197"/>
      <c r="H23" s="198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97">
        <f t="shared" si="0"/>
        <v>6461.7</v>
      </c>
      <c r="G24" s="197"/>
      <c r="H24" s="198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600</v>
      </c>
      <c r="E25" s="118"/>
      <c r="F25" s="197">
        <f t="shared" si="0"/>
        <v>7602</v>
      </c>
      <c r="G25" s="197"/>
      <c r="H25" s="198"/>
      <c r="I25" s="98"/>
      <c r="J25" s="123">
        <f>'Suivi EAU-ELEC'!E30</f>
        <v>6518</v>
      </c>
      <c r="K25" s="124">
        <f>'Suivi EAU-ELEC'!G30</f>
        <v>9313</v>
      </c>
      <c r="L25" s="124">
        <f>'Suivi EAU-ELEC'!I30</f>
        <v>4276</v>
      </c>
      <c r="M25" s="125">
        <f t="shared" si="1"/>
        <v>20107</v>
      </c>
      <c r="N25" s="97"/>
      <c r="O25" s="100">
        <f t="shared" si="2"/>
        <v>20147.214</v>
      </c>
      <c r="P25" s="96"/>
      <c r="Q25" s="95"/>
      <c r="R25" s="94"/>
      <c r="S25" s="95"/>
      <c r="T25" s="103"/>
      <c r="U25" s="101">
        <f>'Suvi Gaz'!O25</f>
        <v>259.7</v>
      </c>
      <c r="V25" s="98"/>
      <c r="W25" s="100">
        <f t="shared" si="3"/>
        <v>1977.1090850000001</v>
      </c>
      <c r="X25" s="142">
        <v>14856.16</v>
      </c>
      <c r="Y25" s="105">
        <f t="shared" si="4"/>
        <v>13.270000000000437</v>
      </c>
      <c r="Z25" s="106">
        <f t="shared" si="5"/>
        <v>11146.800000000367</v>
      </c>
      <c r="AA25" s="98"/>
      <c r="AB25" s="121">
        <v>22</v>
      </c>
      <c r="AC25" s="137">
        <v>100</v>
      </c>
      <c r="AD25" s="132">
        <v>0.76919999999999999</v>
      </c>
      <c r="AE25" s="140">
        <v>27</v>
      </c>
      <c r="AF25" s="141">
        <v>28</v>
      </c>
      <c r="AG25" s="138">
        <v>27</v>
      </c>
      <c r="AH25" s="139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520</v>
      </c>
      <c r="E26" s="119"/>
      <c r="F26" s="197">
        <f t="shared" si="0"/>
        <v>6588.4</v>
      </c>
      <c r="G26" s="197"/>
      <c r="H26" s="198"/>
      <c r="I26" s="98"/>
      <c r="J26" s="123">
        <f>'Suivi EAU-ELEC'!E31</f>
        <v>6512</v>
      </c>
      <c r="K26" s="124">
        <f>'Suivi EAU-ELEC'!G31</f>
        <v>9075</v>
      </c>
      <c r="L26" s="124">
        <f>'Suivi EAU-ELEC'!I31</f>
        <v>4165</v>
      </c>
      <c r="M26" s="125">
        <f t="shared" si="1"/>
        <v>19752</v>
      </c>
      <c r="N26" s="97"/>
      <c r="O26" s="100">
        <f t="shared" si="2"/>
        <v>19791.504000000001</v>
      </c>
      <c r="P26" s="96"/>
      <c r="Q26" s="95"/>
      <c r="R26" s="94"/>
      <c r="S26" s="95"/>
      <c r="T26" s="103"/>
      <c r="U26" s="101">
        <f>'Suvi Gaz'!O26</f>
        <v>556.5</v>
      </c>
      <c r="V26" s="99"/>
      <c r="W26" s="100">
        <f t="shared" si="3"/>
        <v>4236.6623250000002</v>
      </c>
      <c r="X26" s="142">
        <v>14869.43</v>
      </c>
      <c r="Y26" s="105">
        <f t="shared" si="4"/>
        <v>13.309999999999491</v>
      </c>
      <c r="Z26" s="106">
        <f t="shared" si="5"/>
        <v>11180.399999999572</v>
      </c>
      <c r="AA26" s="99"/>
      <c r="AB26" s="121">
        <v>22</v>
      </c>
      <c r="AC26" s="137">
        <v>121</v>
      </c>
      <c r="AD26" s="132">
        <v>0.88319999999999999</v>
      </c>
      <c r="AE26" s="140">
        <v>26.5</v>
      </c>
      <c r="AF26" s="141">
        <v>29</v>
      </c>
      <c r="AG26" s="138">
        <v>26.5</v>
      </c>
      <c r="AH26" s="139">
        <v>27.5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510</v>
      </c>
      <c r="E27" s="119"/>
      <c r="F27" s="197">
        <f t="shared" si="0"/>
        <v>6461.7</v>
      </c>
      <c r="G27" s="197"/>
      <c r="H27" s="198"/>
      <c r="I27" s="98"/>
      <c r="J27" s="123">
        <f>'Suivi EAU-ELEC'!E32</f>
        <v>6399</v>
      </c>
      <c r="K27" s="124">
        <f>'Suivi EAU-ELEC'!G32</f>
        <v>9218</v>
      </c>
      <c r="L27" s="124">
        <f>'Suivi EAU-ELEC'!I32</f>
        <v>4463</v>
      </c>
      <c r="M27" s="125">
        <f t="shared" si="1"/>
        <v>20080</v>
      </c>
      <c r="N27" s="97"/>
      <c r="O27" s="100">
        <f>M27*1.002</f>
        <v>20120.16</v>
      </c>
      <c r="P27" s="96"/>
      <c r="Q27" s="95"/>
      <c r="R27" s="94"/>
      <c r="S27" s="95"/>
      <c r="T27" s="103"/>
      <c r="U27" s="101">
        <f>'Suvi Gaz'!O27</f>
        <v>445.20000000000005</v>
      </c>
      <c r="V27" s="99"/>
      <c r="W27" s="100">
        <f t="shared" si="3"/>
        <v>3389.3298600000003</v>
      </c>
      <c r="X27" s="142">
        <v>14882.74</v>
      </c>
      <c r="Y27" s="105">
        <f t="shared" si="4"/>
        <v>13.270000000000437</v>
      </c>
      <c r="Z27" s="106">
        <f t="shared" si="5"/>
        <v>11146.800000000367</v>
      </c>
      <c r="AA27" s="99"/>
      <c r="AB27" s="121">
        <v>25</v>
      </c>
      <c r="AC27" s="137">
        <v>131</v>
      </c>
      <c r="AD27" s="132">
        <v>0.95620000000000005</v>
      </c>
      <c r="AE27" s="140">
        <v>27</v>
      </c>
      <c r="AF27" s="141">
        <v>29</v>
      </c>
      <c r="AG27" s="138">
        <v>27.5</v>
      </c>
      <c r="AH27" s="139">
        <v>29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590</v>
      </c>
      <c r="E28" s="119"/>
      <c r="F28" s="197">
        <f t="shared" si="0"/>
        <v>7475.3</v>
      </c>
      <c r="G28" s="197"/>
      <c r="H28" s="198"/>
      <c r="I28" s="99"/>
      <c r="J28" s="123">
        <f>'Suivi EAU-ELEC'!E33</f>
        <v>7030</v>
      </c>
      <c r="K28" s="124">
        <f>'Suivi EAU-ELEC'!G33</f>
        <v>9740</v>
      </c>
      <c r="L28" s="124">
        <f>'Suivi EAU-ELEC'!I33</f>
        <v>4712</v>
      </c>
      <c r="M28" s="125">
        <f t="shared" si="1"/>
        <v>21482</v>
      </c>
      <c r="N28" s="97"/>
      <c r="O28" s="100">
        <f t="shared" si="2"/>
        <v>21524.964</v>
      </c>
      <c r="P28" s="96"/>
      <c r="Q28" s="95"/>
      <c r="R28" s="94"/>
      <c r="S28" s="95"/>
      <c r="T28" s="103"/>
      <c r="U28" s="101">
        <f>'Suvi Gaz'!O28</f>
        <v>556.5</v>
      </c>
      <c r="V28" s="99"/>
      <c r="W28" s="100">
        <f t="shared" si="3"/>
        <v>4236.6623250000002</v>
      </c>
      <c r="X28" s="142">
        <v>14896.01</v>
      </c>
      <c r="Y28" s="105">
        <f t="shared" si="4"/>
        <v>14.350000000000364</v>
      </c>
      <c r="Z28" s="106">
        <f t="shared" si="5"/>
        <v>12054.000000000306</v>
      </c>
      <c r="AA28" s="99"/>
      <c r="AB28" s="121">
        <v>25</v>
      </c>
      <c r="AC28" s="137">
        <v>133</v>
      </c>
      <c r="AD28" s="132">
        <v>0.97789999999999999</v>
      </c>
      <c r="AE28" s="140">
        <v>27</v>
      </c>
      <c r="AF28" s="141">
        <v>29</v>
      </c>
      <c r="AG28" s="138">
        <v>27</v>
      </c>
      <c r="AH28" s="139">
        <v>29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550</v>
      </c>
      <c r="E29" s="119"/>
      <c r="F29" s="197">
        <f t="shared" si="0"/>
        <v>6968.5</v>
      </c>
      <c r="G29" s="197"/>
      <c r="H29" s="198"/>
      <c r="I29" s="99"/>
      <c r="J29" s="123">
        <f>'Suivi EAU-ELEC'!E34</f>
        <v>6284</v>
      </c>
      <c r="K29" s="124">
        <f>'Suivi EAU-ELEC'!G34</f>
        <v>8085</v>
      </c>
      <c r="L29" s="124">
        <f>'Suivi EAU-ELEC'!I34</f>
        <v>4134</v>
      </c>
      <c r="M29" s="125">
        <f t="shared" si="1"/>
        <v>18503</v>
      </c>
      <c r="N29" s="97"/>
      <c r="O29" s="100">
        <f t="shared" si="2"/>
        <v>18540.006000000001</v>
      </c>
      <c r="P29" s="96"/>
      <c r="Q29" s="95"/>
      <c r="R29" s="94"/>
      <c r="S29" s="95"/>
      <c r="T29" s="103"/>
      <c r="U29" s="101">
        <f>'Suvi Gaz'!O29</f>
        <v>333.90000000000003</v>
      </c>
      <c r="V29" s="99"/>
      <c r="W29" s="100">
        <f t="shared" si="3"/>
        <v>2541.9973950000003</v>
      </c>
      <c r="X29" s="142">
        <v>14910.36</v>
      </c>
      <c r="Y29" s="105">
        <f t="shared" si="4"/>
        <v>16.159999999999854</v>
      </c>
      <c r="Z29" s="106">
        <f t="shared" si="5"/>
        <v>13574.399999999878</v>
      </c>
      <c r="AA29" s="99"/>
      <c r="AB29" s="121">
        <v>22</v>
      </c>
      <c r="AC29" s="137">
        <v>126</v>
      </c>
      <c r="AD29" s="132">
        <v>0.94030000000000002</v>
      </c>
      <c r="AE29" s="140">
        <v>27</v>
      </c>
      <c r="AF29" s="141">
        <v>29</v>
      </c>
      <c r="AG29" s="138">
        <v>27</v>
      </c>
      <c r="AH29" s="139">
        <v>29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570</v>
      </c>
      <c r="E30" s="119"/>
      <c r="F30" s="197">
        <f t="shared" si="0"/>
        <v>7221.9</v>
      </c>
      <c r="G30" s="197"/>
      <c r="H30" s="198"/>
      <c r="I30" s="99"/>
      <c r="J30" s="123">
        <f>'Suivi EAU-ELEC'!E35</f>
        <v>5372</v>
      </c>
      <c r="K30" s="124">
        <f>'Suivi EAU-ELEC'!G35</f>
        <v>8306</v>
      </c>
      <c r="L30" s="124">
        <f>'Suivi EAU-ELEC'!I35</f>
        <v>4163</v>
      </c>
      <c r="M30" s="125">
        <f t="shared" si="1"/>
        <v>17841</v>
      </c>
      <c r="N30" s="97"/>
      <c r="O30" s="100">
        <f t="shared" si="2"/>
        <v>17876.682000000001</v>
      </c>
      <c r="P30" s="96"/>
      <c r="Q30" s="95"/>
      <c r="R30" s="94"/>
      <c r="S30" s="95"/>
      <c r="T30" s="103"/>
      <c r="U30" s="101">
        <f>'Suvi Gaz'!O30</f>
        <v>445.20000000000005</v>
      </c>
      <c r="V30" s="99"/>
      <c r="W30" s="100">
        <f t="shared" si="3"/>
        <v>3389.3298600000003</v>
      </c>
      <c r="X30" s="142">
        <v>14926.52</v>
      </c>
      <c r="Y30" s="105">
        <f t="shared" si="4"/>
        <v>17.789999999999054</v>
      </c>
      <c r="Z30" s="106">
        <f t="shared" si="5"/>
        <v>14943.599999999204</v>
      </c>
      <c r="AA30" s="99"/>
      <c r="AB30" s="121">
        <v>18</v>
      </c>
      <c r="AC30" s="137">
        <v>128</v>
      </c>
      <c r="AD30" s="132">
        <v>0.93430000000000002</v>
      </c>
      <c r="AE30" s="140">
        <v>27</v>
      </c>
      <c r="AF30" s="141">
        <v>27.5</v>
      </c>
      <c r="AG30" s="138">
        <v>27</v>
      </c>
      <c r="AH30" s="139">
        <v>27.5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640</v>
      </c>
      <c r="E31" s="94"/>
      <c r="F31" s="197">
        <f t="shared" si="0"/>
        <v>8108.8</v>
      </c>
      <c r="G31" s="197"/>
      <c r="H31" s="198"/>
      <c r="I31" s="97"/>
      <c r="J31" s="123">
        <f>'Suivi EAU-ELEC'!E36</f>
        <v>5992</v>
      </c>
      <c r="K31" s="124">
        <f>'Suivi EAU-ELEC'!G36</f>
        <v>7636</v>
      </c>
      <c r="L31" s="124">
        <f>'Suivi EAU-ELEC'!I36</f>
        <v>3867</v>
      </c>
      <c r="M31" s="125">
        <f t="shared" si="1"/>
        <v>17495</v>
      </c>
      <c r="N31" s="97"/>
      <c r="O31" s="100">
        <f t="shared" si="2"/>
        <v>17529.990000000002</v>
      </c>
      <c r="P31" s="96"/>
      <c r="Q31" s="95"/>
      <c r="R31" s="94"/>
      <c r="S31" s="95"/>
      <c r="T31" s="103"/>
      <c r="U31" s="101">
        <f>'Suvi Gaz'!O31</f>
        <v>630.70000000000005</v>
      </c>
      <c r="V31" s="97"/>
      <c r="W31" s="100">
        <f t="shared" si="3"/>
        <v>4801.5506350000005</v>
      </c>
      <c r="X31" s="142">
        <v>14944.31</v>
      </c>
      <c r="Y31" s="105">
        <f t="shared" si="4"/>
        <v>18.460000000000946</v>
      </c>
      <c r="Z31" s="106">
        <f t="shared" si="5"/>
        <v>15506.400000000793</v>
      </c>
      <c r="AA31" s="97"/>
      <c r="AB31" s="121">
        <v>18</v>
      </c>
      <c r="AC31" s="137">
        <v>133</v>
      </c>
      <c r="AD31" s="132">
        <v>0.96379999999999999</v>
      </c>
      <c r="AE31" s="140">
        <v>26</v>
      </c>
      <c r="AF31" s="141">
        <v>26.5</v>
      </c>
      <c r="AG31" s="138">
        <v>26.5</v>
      </c>
      <c r="AH31" s="139">
        <v>27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630</v>
      </c>
      <c r="E32" s="94"/>
      <c r="F32" s="197">
        <f t="shared" si="0"/>
        <v>7982.1</v>
      </c>
      <c r="G32" s="197"/>
      <c r="H32" s="198"/>
      <c r="I32" s="97"/>
      <c r="J32" s="123">
        <f>'Suivi EAU-ELEC'!E37</f>
        <v>5500</v>
      </c>
      <c r="K32" s="124">
        <f>'Suivi EAU-ELEC'!G37</f>
        <v>7753</v>
      </c>
      <c r="L32" s="124">
        <f>'Suivi EAU-ELEC'!I37</f>
        <v>4182</v>
      </c>
      <c r="M32" s="125">
        <f t="shared" si="1"/>
        <v>17435</v>
      </c>
      <c r="N32" s="97"/>
      <c r="O32" s="100">
        <f t="shared" si="2"/>
        <v>17469.87</v>
      </c>
      <c r="P32" s="96"/>
      <c r="Q32" s="95"/>
      <c r="R32" s="94"/>
      <c r="S32" s="95"/>
      <c r="T32" s="103"/>
      <c r="U32" s="101">
        <f>'Suvi Gaz'!O32</f>
        <v>1780.8000000000002</v>
      </c>
      <c r="V32" s="97"/>
      <c r="W32" s="100">
        <f t="shared" si="3"/>
        <v>13557.319440000001</v>
      </c>
      <c r="X32" s="142">
        <v>14962.77</v>
      </c>
      <c r="Y32" s="105">
        <f t="shared" si="4"/>
        <v>11.260000000000218</v>
      </c>
      <c r="Z32" s="106">
        <f t="shared" si="5"/>
        <v>9458.4000000001815</v>
      </c>
      <c r="AA32" s="97"/>
      <c r="AB32" s="121">
        <v>17</v>
      </c>
      <c r="AC32" s="137">
        <v>126</v>
      </c>
      <c r="AD32" s="132">
        <v>0.91300000000000003</v>
      </c>
      <c r="AE32" s="279">
        <v>27</v>
      </c>
      <c r="AF32" s="280"/>
      <c r="AG32" s="138">
        <v>28</v>
      </c>
      <c r="AH32" s="139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97">
        <f t="shared" si="0"/>
        <v>0</v>
      </c>
      <c r="G33" s="197"/>
      <c r="H33" s="198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>
        <v>14974.03</v>
      </c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97">
        <f t="shared" si="0"/>
        <v>0</v>
      </c>
      <c r="G34" s="197"/>
      <c r="H34" s="198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97">
        <f t="shared" si="0"/>
        <v>0</v>
      </c>
      <c r="G35" s="197"/>
      <c r="H35" s="198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97">
        <f t="shared" si="0"/>
        <v>0</v>
      </c>
      <c r="G36" s="197"/>
      <c r="H36" s="198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97">
        <f t="shared" si="0"/>
        <v>0</v>
      </c>
      <c r="G37" s="197"/>
      <c r="H37" s="198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97">
        <f t="shared" si="0"/>
        <v>0</v>
      </c>
      <c r="G38" s="197"/>
      <c r="H38" s="198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97">
        <f t="shared" si="0"/>
        <v>0</v>
      </c>
      <c r="G39" s="197"/>
      <c r="H39" s="198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97">
        <f t="shared" si="0"/>
        <v>0</v>
      </c>
      <c r="G40" s="197"/>
      <c r="H40" s="198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13410</v>
      </c>
      <c r="E41" s="1"/>
      <c r="F41" s="176">
        <f>SUM(F10:H40)</f>
        <v>169904.69999999998</v>
      </c>
      <c r="G41" s="177"/>
      <c r="H41" s="178"/>
      <c r="I41" s="1"/>
      <c r="J41" s="92">
        <f>SUM(J10:J40)</f>
        <v>161696</v>
      </c>
      <c r="K41" s="92">
        <f t="shared" ref="K41:O41" si="7">SUM(K10:K40)</f>
        <v>252223</v>
      </c>
      <c r="L41" s="92">
        <f t="shared" si="7"/>
        <v>114988</v>
      </c>
      <c r="M41" s="92">
        <f t="shared" si="7"/>
        <v>528907</v>
      </c>
      <c r="N41" s="28"/>
      <c r="O41" s="92">
        <f t="shared" si="7"/>
        <v>529964.8139999999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12762.400000000001</v>
      </c>
      <c r="V41" s="28"/>
      <c r="W41" s="92">
        <f t="shared" ref="W41" si="9">SUM(W10:W40)</f>
        <v>97160.789320000011</v>
      </c>
      <c r="X41" s="136"/>
      <c r="Y41" s="102" t="s">
        <v>0</v>
      </c>
      <c r="Z41" s="129">
        <f>SUM(Z10:Z40)</f>
        <v>226279.2000000008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1"/>
      <c r="G42" s="201"/>
      <c r="H42" s="201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79" t="s">
        <v>10</v>
      </c>
      <c r="B43" s="180"/>
      <c r="C43" s="181"/>
      <c r="D43" s="19" t="s">
        <v>7</v>
      </c>
      <c r="E43" s="53"/>
      <c r="F43" s="20">
        <v>1.002</v>
      </c>
      <c r="G43" s="185">
        <f>J41</f>
        <v>161696</v>
      </c>
      <c r="H43" s="186"/>
      <c r="I43" s="187"/>
      <c r="J43" s="199">
        <f>G43*F43</f>
        <v>162019.39199999999</v>
      </c>
      <c r="K43" s="200"/>
      <c r="L43" s="188">
        <f>J43+J44+J45</f>
        <v>529964.81400000001</v>
      </c>
      <c r="M43" s="189"/>
      <c r="N43" s="189"/>
      <c r="O43" s="189"/>
      <c r="P43" s="189"/>
      <c r="Q43" s="189"/>
      <c r="R43" s="189"/>
      <c r="S43" s="189"/>
      <c r="T43" s="189"/>
      <c r="U43" s="190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82"/>
      <c r="B44" s="183"/>
      <c r="C44" s="184"/>
      <c r="D44" s="17" t="s">
        <v>8</v>
      </c>
      <c r="E44" s="53"/>
      <c r="F44" s="20">
        <v>1.002</v>
      </c>
      <c r="G44" s="185">
        <f>K41</f>
        <v>252223</v>
      </c>
      <c r="H44" s="186"/>
      <c r="I44" s="187"/>
      <c r="J44" s="199">
        <f>G44*F44</f>
        <v>252727.446</v>
      </c>
      <c r="K44" s="200"/>
      <c r="L44" s="191"/>
      <c r="M44" s="192"/>
      <c r="N44" s="192"/>
      <c r="O44" s="192"/>
      <c r="P44" s="192"/>
      <c r="Q44" s="192"/>
      <c r="R44" s="192"/>
      <c r="S44" s="192"/>
      <c r="T44" s="192"/>
      <c r="U44" s="19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82"/>
      <c r="B45" s="183"/>
      <c r="C45" s="184"/>
      <c r="D45" s="23" t="s">
        <v>9</v>
      </c>
      <c r="E45" s="54"/>
      <c r="F45" s="20">
        <v>1.002</v>
      </c>
      <c r="G45" s="185">
        <f>L41</f>
        <v>114988</v>
      </c>
      <c r="H45" s="186"/>
      <c r="I45" s="187"/>
      <c r="J45" s="199">
        <f>G45*F45</f>
        <v>115217.976</v>
      </c>
      <c r="K45" s="200"/>
      <c r="L45" s="194"/>
      <c r="M45" s="195"/>
      <c r="N45" s="195"/>
      <c r="O45" s="195"/>
      <c r="P45" s="195"/>
      <c r="Q45" s="195"/>
      <c r="R45" s="195"/>
      <c r="S45" s="195"/>
      <c r="T45" s="195"/>
      <c r="U45" s="19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2" t="s">
        <v>11</v>
      </c>
      <c r="B46" s="203"/>
      <c r="C46" s="203"/>
      <c r="D46" s="204"/>
      <c r="E46" s="53"/>
      <c r="F46" s="24">
        <v>12.67</v>
      </c>
      <c r="G46" s="202">
        <f>D41</f>
        <v>13410</v>
      </c>
      <c r="H46" s="203"/>
      <c r="I46" s="204"/>
      <c r="J46" s="205">
        <f>G46*F46</f>
        <v>169904.7</v>
      </c>
      <c r="K46" s="206"/>
      <c r="L46" s="213">
        <f>J46</f>
        <v>169904.7</v>
      </c>
      <c r="M46" s="214"/>
      <c r="N46" s="214"/>
      <c r="O46" s="214"/>
      <c r="P46" s="214"/>
      <c r="Q46" s="214"/>
      <c r="R46" s="214"/>
      <c r="S46" s="214"/>
      <c r="T46" s="214"/>
      <c r="U46" s="21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10" t="s">
        <v>13</v>
      </c>
      <c r="B47" s="211"/>
      <c r="C47" s="211"/>
      <c r="D47" s="212"/>
      <c r="E47" s="53"/>
      <c r="F47" s="26">
        <v>7.6130500000000003</v>
      </c>
      <c r="G47" s="207">
        <f>U41</f>
        <v>12762.400000000001</v>
      </c>
      <c r="H47" s="208"/>
      <c r="I47" s="209"/>
      <c r="J47" s="207">
        <f>G47*F47</f>
        <v>97160.789320000011</v>
      </c>
      <c r="K47" s="209"/>
      <c r="L47" s="216">
        <f>J47</f>
        <v>97160.789320000011</v>
      </c>
      <c r="M47" s="217"/>
      <c r="N47" s="217"/>
      <c r="O47" s="217"/>
      <c r="P47" s="217"/>
      <c r="Q47" s="217"/>
      <c r="R47" s="217"/>
      <c r="S47" s="217"/>
      <c r="T47" s="217"/>
      <c r="U47" s="21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8:D9"/>
    <mergeCell ref="AA8:AA9"/>
    <mergeCell ref="M8:M9"/>
    <mergeCell ref="W8:W9"/>
    <mergeCell ref="O8:O9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B34" sqref="B34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3" t="s">
        <v>0</v>
      </c>
      <c r="B1" s="243"/>
      <c r="C1" s="244"/>
      <c r="D1" s="245" t="s">
        <v>57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7"/>
      <c r="AA1" s="248"/>
      <c r="AB1" s="249"/>
      <c r="AC1" s="249"/>
    </row>
    <row r="2" spans="1:31" ht="41.25" customHeight="1" thickBot="1" x14ac:dyDescent="0.4">
      <c r="A2" s="83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3"/>
      <c r="Q2" s="250">
        <v>803</v>
      </c>
      <c r="R2" s="251"/>
      <c r="S2" s="251"/>
      <c r="T2" s="251">
        <v>519</v>
      </c>
      <c r="U2" s="251"/>
      <c r="V2" s="251"/>
      <c r="W2" s="251">
        <v>800</v>
      </c>
      <c r="X2" s="251"/>
      <c r="Y2" s="251"/>
      <c r="Z2" s="251">
        <v>802</v>
      </c>
      <c r="AA2" s="251"/>
      <c r="AB2" s="254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18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>O19*8.0278</f>
        <v>5658.7962200000002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33" si="29">IF(AC20&gt;0,((B20-R20)+(S20-B21)),IF(B21=0, ,(B20-B21)))</f>
        <v>8</v>
      </c>
      <c r="D20" s="37">
        <v>61</v>
      </c>
      <c r="E20" s="35">
        <f t="shared" ref="E20:E33" si="30">IF(AC20&gt;0,((D20-U20)+(V20-D21)),IF(D21=0, ,(D20-D21)))</f>
        <v>4</v>
      </c>
      <c r="F20" s="37">
        <v>58</v>
      </c>
      <c r="G20" s="35">
        <f t="shared" ref="G20:G33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ref="P20:P43" si="32">O20*8.0278</f>
        <v>9232.7727799999993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32"/>
        <v>5956.6275999999998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32"/>
        <v>4765.3020799999995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32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32"/>
        <v>2084.8196599999997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2</v>
      </c>
      <c r="D25" s="37">
        <v>84</v>
      </c>
      <c r="E25" s="35">
        <f t="shared" si="30"/>
        <v>1</v>
      </c>
      <c r="F25" s="37">
        <v>82</v>
      </c>
      <c r="G25" s="35">
        <f t="shared" si="31"/>
        <v>4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1.75</v>
      </c>
      <c r="M25" s="35">
        <f t="shared" si="26"/>
        <v>28000</v>
      </c>
      <c r="N25" s="35">
        <f>L25*M25/100</f>
        <v>490</v>
      </c>
      <c r="O25" s="35">
        <f>N25*0.53</f>
        <v>259.7</v>
      </c>
      <c r="P25" s="38">
        <f t="shared" si="32"/>
        <v>2084.8196599999997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>
        <v>82</v>
      </c>
      <c r="C26" s="35">
        <f t="shared" si="29"/>
        <v>4</v>
      </c>
      <c r="D26" s="37">
        <v>83</v>
      </c>
      <c r="E26" s="35">
        <f t="shared" si="30"/>
        <v>4</v>
      </c>
      <c r="F26" s="37">
        <v>78</v>
      </c>
      <c r="G26" s="35">
        <f t="shared" si="31"/>
        <v>3</v>
      </c>
      <c r="H26" s="37">
        <v>80</v>
      </c>
      <c r="I26" s="35">
        <f t="shared" si="22"/>
        <v>4</v>
      </c>
      <c r="J26" s="35">
        <f t="shared" si="23"/>
        <v>323</v>
      </c>
      <c r="K26" s="35">
        <f t="shared" si="24"/>
        <v>80.75</v>
      </c>
      <c r="L26" s="35">
        <f t="shared" si="25"/>
        <v>3.75</v>
      </c>
      <c r="M26" s="35">
        <f t="shared" si="26"/>
        <v>28000</v>
      </c>
      <c r="N26" s="35">
        <f>L26*M26/100</f>
        <v>1050</v>
      </c>
      <c r="O26" s="35">
        <f>N26*0.53</f>
        <v>556.5</v>
      </c>
      <c r="P26" s="38">
        <f t="shared" si="32"/>
        <v>4467.4706999999999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>
        <v>78</v>
      </c>
      <c r="C27" s="35">
        <f t="shared" si="29"/>
        <v>3</v>
      </c>
      <c r="D27" s="37">
        <v>79</v>
      </c>
      <c r="E27" s="35">
        <f t="shared" si="30"/>
        <v>3</v>
      </c>
      <c r="F27" s="37">
        <v>75</v>
      </c>
      <c r="G27" s="35">
        <f t="shared" si="31"/>
        <v>4</v>
      </c>
      <c r="H27" s="37">
        <v>76</v>
      </c>
      <c r="I27" s="35">
        <f t="shared" si="22"/>
        <v>2</v>
      </c>
      <c r="J27" s="35">
        <f t="shared" si="23"/>
        <v>308</v>
      </c>
      <c r="K27" s="35">
        <f t="shared" si="24"/>
        <v>77</v>
      </c>
      <c r="L27" s="35">
        <f t="shared" si="25"/>
        <v>3</v>
      </c>
      <c r="M27" s="35">
        <v>28000</v>
      </c>
      <c r="N27" s="35">
        <f t="shared" si="27"/>
        <v>840</v>
      </c>
      <c r="O27" s="35">
        <f t="shared" si="28"/>
        <v>445.20000000000005</v>
      </c>
      <c r="P27" s="38">
        <f t="shared" si="32"/>
        <v>3573.9765600000001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>
        <v>75</v>
      </c>
      <c r="C28" s="35">
        <f t="shared" si="29"/>
        <v>4</v>
      </c>
      <c r="D28" s="37">
        <v>76</v>
      </c>
      <c r="E28" s="35">
        <f t="shared" si="30"/>
        <v>4</v>
      </c>
      <c r="F28" s="37">
        <v>71</v>
      </c>
      <c r="G28" s="35">
        <f t="shared" si="31"/>
        <v>3</v>
      </c>
      <c r="H28" s="37">
        <v>74</v>
      </c>
      <c r="I28" s="35">
        <f t="shared" si="22"/>
        <v>4</v>
      </c>
      <c r="J28" s="35">
        <f t="shared" si="23"/>
        <v>296</v>
      </c>
      <c r="K28" s="35">
        <f t="shared" si="24"/>
        <v>74</v>
      </c>
      <c r="L28" s="35">
        <f t="shared" si="25"/>
        <v>3.75</v>
      </c>
      <c r="M28" s="35">
        <f t="shared" si="26"/>
        <v>28000</v>
      </c>
      <c r="N28" s="35">
        <f t="shared" si="27"/>
        <v>1050</v>
      </c>
      <c r="O28" s="35">
        <f t="shared" si="28"/>
        <v>556.5</v>
      </c>
      <c r="P28" s="38">
        <f t="shared" si="32"/>
        <v>4467.4706999999999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>
        <v>71</v>
      </c>
      <c r="C29" s="35">
        <f t="shared" si="29"/>
        <v>3</v>
      </c>
      <c r="D29" s="37">
        <v>72</v>
      </c>
      <c r="E29" s="35">
        <f t="shared" si="30"/>
        <v>2</v>
      </c>
      <c r="F29" s="37">
        <v>68</v>
      </c>
      <c r="G29" s="35">
        <f t="shared" si="31"/>
        <v>3</v>
      </c>
      <c r="H29" s="37">
        <v>70</v>
      </c>
      <c r="I29" s="35">
        <f t="shared" si="22"/>
        <v>1</v>
      </c>
      <c r="J29" s="35">
        <f t="shared" si="23"/>
        <v>281</v>
      </c>
      <c r="K29" s="35">
        <f t="shared" si="24"/>
        <v>70.25</v>
      </c>
      <c r="L29" s="35">
        <f t="shared" si="25"/>
        <v>2.25</v>
      </c>
      <c r="M29" s="35">
        <f t="shared" si="26"/>
        <v>28000</v>
      </c>
      <c r="N29" s="35">
        <f t="shared" si="27"/>
        <v>630</v>
      </c>
      <c r="O29" s="35">
        <f t="shared" si="28"/>
        <v>333.90000000000003</v>
      </c>
      <c r="P29" s="38">
        <f t="shared" si="32"/>
        <v>2680.4824199999998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>
        <v>68</v>
      </c>
      <c r="C30" s="35">
        <f t="shared" si="29"/>
        <v>2</v>
      </c>
      <c r="D30" s="37">
        <v>70</v>
      </c>
      <c r="E30" s="35">
        <f t="shared" si="30"/>
        <v>3</v>
      </c>
      <c r="F30" s="37">
        <v>65</v>
      </c>
      <c r="G30" s="35">
        <f t="shared" si="31"/>
        <v>4</v>
      </c>
      <c r="H30" s="37">
        <v>69</v>
      </c>
      <c r="I30" s="35">
        <f t="shared" si="22"/>
        <v>3</v>
      </c>
      <c r="J30" s="35">
        <f t="shared" si="23"/>
        <v>272</v>
      </c>
      <c r="K30" s="35">
        <f t="shared" si="24"/>
        <v>68</v>
      </c>
      <c r="L30" s="35">
        <f t="shared" si="25"/>
        <v>3</v>
      </c>
      <c r="M30" s="35">
        <f t="shared" si="26"/>
        <v>28000</v>
      </c>
      <c r="N30" s="35">
        <f t="shared" si="27"/>
        <v>840</v>
      </c>
      <c r="O30" s="35">
        <f t="shared" si="28"/>
        <v>445.20000000000005</v>
      </c>
      <c r="P30" s="38">
        <f t="shared" si="32"/>
        <v>3573.9765600000001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>
        <v>66</v>
      </c>
      <c r="C31" s="35">
        <f t="shared" si="29"/>
        <v>5</v>
      </c>
      <c r="D31" s="37">
        <v>67</v>
      </c>
      <c r="E31" s="35">
        <f t="shared" si="30"/>
        <v>5</v>
      </c>
      <c r="F31" s="37">
        <v>61</v>
      </c>
      <c r="G31" s="35">
        <f t="shared" si="31"/>
        <v>2</v>
      </c>
      <c r="H31" s="37">
        <v>66</v>
      </c>
      <c r="I31" s="35">
        <f t="shared" si="22"/>
        <v>5</v>
      </c>
      <c r="J31" s="35">
        <f t="shared" si="23"/>
        <v>260</v>
      </c>
      <c r="K31" s="35">
        <f t="shared" si="24"/>
        <v>65</v>
      </c>
      <c r="L31" s="35">
        <f t="shared" si="25"/>
        <v>4.25</v>
      </c>
      <c r="M31" s="35">
        <f t="shared" si="26"/>
        <v>28000</v>
      </c>
      <c r="N31" s="35">
        <f t="shared" si="27"/>
        <v>1190</v>
      </c>
      <c r="O31" s="35">
        <f t="shared" si="28"/>
        <v>630.70000000000005</v>
      </c>
      <c r="P31" s="38">
        <f t="shared" si="32"/>
        <v>5063.13346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>
        <v>61</v>
      </c>
      <c r="C32" s="35">
        <f t="shared" si="29"/>
        <v>11</v>
      </c>
      <c r="D32" s="37">
        <v>62</v>
      </c>
      <c r="E32" s="35">
        <f t="shared" si="30"/>
        <v>12</v>
      </c>
      <c r="F32" s="37">
        <v>59</v>
      </c>
      <c r="G32" s="35">
        <f t="shared" si="31"/>
        <v>14</v>
      </c>
      <c r="H32" s="37">
        <v>61</v>
      </c>
      <c r="I32" s="35">
        <f t="shared" si="22"/>
        <v>11</v>
      </c>
      <c r="J32" s="35">
        <f t="shared" si="23"/>
        <v>243</v>
      </c>
      <c r="K32" s="35">
        <f t="shared" si="24"/>
        <v>60.75</v>
      </c>
      <c r="L32" s="35">
        <f t="shared" si="25"/>
        <v>12</v>
      </c>
      <c r="M32" s="35">
        <f t="shared" si="26"/>
        <v>28000</v>
      </c>
      <c r="N32" s="35">
        <f t="shared" si="27"/>
        <v>3360</v>
      </c>
      <c r="O32" s="35">
        <f t="shared" si="28"/>
        <v>1780.8000000000002</v>
      </c>
      <c r="P32" s="38">
        <f t="shared" si="32"/>
        <v>14295.90624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>
        <v>50</v>
      </c>
      <c r="C33" s="35">
        <f t="shared" si="29"/>
        <v>0</v>
      </c>
      <c r="D33" s="37">
        <v>50</v>
      </c>
      <c r="E33" s="35">
        <f t="shared" si="30"/>
        <v>0</v>
      </c>
      <c r="F33" s="37">
        <v>45</v>
      </c>
      <c r="G33" s="35">
        <f t="shared" si="31"/>
        <v>0</v>
      </c>
      <c r="H33" s="37">
        <v>50</v>
      </c>
      <c r="I33" s="35">
        <f t="shared" si="22"/>
        <v>0</v>
      </c>
      <c r="J33" s="35">
        <f t="shared" si="23"/>
        <v>195</v>
      </c>
      <c r="K33" s="35">
        <f t="shared" si="24"/>
        <v>48.75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3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ref="C33:C42" si="33">IF(AC34&gt;0,((B34-R34)+(S34-B35)),IF(B35=0, ,(B34-B35)))</f>
        <v>0</v>
      </c>
      <c r="D34" s="37"/>
      <c r="E34" s="35">
        <f t="shared" ref="E33:E42" si="34">IF(AC34&gt;0,((D34-U34)+(V34-D35)),IF(D35=0, ,(D34-D35)))</f>
        <v>0</v>
      </c>
      <c r="F34" s="37"/>
      <c r="G34" s="35">
        <f t="shared" ref="G33:G42" si="35">IF(AC34&gt;0,((F34-X34)+(Y34-F35)),IF(F35=0, ,(F34-F35)))</f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3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33"/>
        <v>0</v>
      </c>
      <c r="D35" s="37"/>
      <c r="E35" s="35">
        <f t="shared" si="34"/>
        <v>0</v>
      </c>
      <c r="F35" s="37"/>
      <c r="G35" s="35">
        <f t="shared" si="35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3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33"/>
        <v>0</v>
      </c>
      <c r="D36" s="37"/>
      <c r="E36" s="35">
        <f t="shared" si="34"/>
        <v>0</v>
      </c>
      <c r="F36" s="37"/>
      <c r="G36" s="35">
        <f t="shared" si="35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3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33"/>
        <v>0</v>
      </c>
      <c r="D37" s="37"/>
      <c r="E37" s="35">
        <f t="shared" si="34"/>
        <v>0</v>
      </c>
      <c r="F37" s="37"/>
      <c r="G37" s="35">
        <f t="shared" si="35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3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33"/>
        <v>0</v>
      </c>
      <c r="D38" s="37"/>
      <c r="E38" s="35">
        <f t="shared" si="34"/>
        <v>0</v>
      </c>
      <c r="F38" s="37"/>
      <c r="G38" s="35">
        <f t="shared" si="35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3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33"/>
        <v>0</v>
      </c>
      <c r="D39" s="37"/>
      <c r="E39" s="35">
        <f t="shared" si="34"/>
        <v>0</v>
      </c>
      <c r="F39" s="37"/>
      <c r="G39" s="35">
        <f t="shared" si="35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3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33"/>
        <v>0</v>
      </c>
      <c r="D40" s="37"/>
      <c r="E40" s="35">
        <f t="shared" si="34"/>
        <v>0</v>
      </c>
      <c r="F40" s="37"/>
      <c r="G40" s="35">
        <f t="shared" si="35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3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3"/>
        <v>0</v>
      </c>
      <c r="D41" s="37"/>
      <c r="E41" s="35">
        <f t="shared" si="34"/>
        <v>0</v>
      </c>
      <c r="F41" s="37"/>
      <c r="G41" s="35">
        <f t="shared" si="35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3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3"/>
        <v>0</v>
      </c>
      <c r="D42" s="37"/>
      <c r="E42" s="35">
        <f t="shared" si="34"/>
        <v>0</v>
      </c>
      <c r="F42" s="37"/>
      <c r="G42" s="35">
        <f t="shared" si="35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3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81</v>
      </c>
      <c r="D43" s="37"/>
      <c r="E43" s="35">
        <f>SUM(E10:E40)</f>
        <v>78</v>
      </c>
      <c r="F43" s="37"/>
      <c r="G43" s="35">
        <f>SUM(G10:G40)</f>
        <v>89</v>
      </c>
      <c r="H43" s="37"/>
      <c r="I43" s="35">
        <f>SUM(I10:I40)</f>
        <v>80</v>
      </c>
      <c r="J43" s="33"/>
      <c r="K43" s="33"/>
      <c r="L43" s="33"/>
      <c r="M43" s="33"/>
      <c r="N43" s="35">
        <f>SUM(N10:N40)</f>
        <v>24080</v>
      </c>
      <c r="O43" s="35">
        <f>N43*0.53</f>
        <v>12762.400000000001</v>
      </c>
      <c r="P43" s="38">
        <f t="shared" si="32"/>
        <v>102453.99472</v>
      </c>
      <c r="Q43" s="232">
        <f>SUM(Q10:Q40)</f>
        <v>5192</v>
      </c>
      <c r="R43" s="232"/>
      <c r="S43" s="233"/>
      <c r="T43" s="232">
        <f>SUM(T10:T40)</f>
        <v>5120</v>
      </c>
      <c r="U43" s="232"/>
      <c r="V43" s="233"/>
      <c r="W43" s="232">
        <f>SUM(W10:W40)</f>
        <v>5448</v>
      </c>
      <c r="X43" s="232"/>
      <c r="Y43" s="233"/>
      <c r="Z43" s="232">
        <f>SUM(Z10:Z40)</f>
        <v>4223</v>
      </c>
      <c r="AA43" s="232"/>
      <c r="AB43" s="233"/>
      <c r="AC43" s="35">
        <f>SUM(AC10:AC40)</f>
        <v>19983</v>
      </c>
      <c r="AD43" s="33"/>
      <c r="AE43" s="33"/>
    </row>
    <row r="44" spans="1:31" ht="35.25" customHeight="1" thickBot="1" x14ac:dyDescent="0.35">
      <c r="B44" s="234"/>
      <c r="C44" s="235"/>
      <c r="D44" s="235"/>
      <c r="E44" s="235"/>
      <c r="F44" s="235"/>
      <c r="G44" s="235"/>
      <c r="H44" s="235"/>
      <c r="I44" s="236"/>
      <c r="J44" s="33"/>
      <c r="K44" s="33"/>
      <c r="L44" s="33"/>
      <c r="M44" s="33"/>
      <c r="N44" s="33"/>
      <c r="O44" s="33"/>
      <c r="P44" s="33"/>
      <c r="Q44" s="237">
        <f>Q43+T43+W43+Z43</f>
        <v>19983</v>
      </c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9"/>
      <c r="AC44" s="35">
        <f>Q43+T43+W43+Z43</f>
        <v>19983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0" t="s">
        <v>37</v>
      </c>
      <c r="I47" s="241"/>
      <c r="J47" s="242"/>
      <c r="K47" s="45">
        <f>N43</f>
        <v>24080</v>
      </c>
      <c r="L47" s="46">
        <f>O43</f>
        <v>12762.400000000001</v>
      </c>
      <c r="M47" s="46">
        <f>P43</f>
        <v>102453.99472</v>
      </c>
    </row>
    <row r="48" spans="1:31" ht="54.75" customHeight="1" thickBot="1" x14ac:dyDescent="0.35">
      <c r="H48" s="229" t="s">
        <v>38</v>
      </c>
      <c r="I48" s="230"/>
      <c r="J48" s="231"/>
      <c r="K48" s="43">
        <f>AC43</f>
        <v>19983</v>
      </c>
      <c r="L48" s="44">
        <f>K48*0.53</f>
        <v>10590.99</v>
      </c>
      <c r="M48" s="44">
        <f>L48*7.61305</f>
        <v>80629.736419499997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9" sqref="B39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38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38" si="6">IF(D18&lt;D17,0,D18-D17)</f>
        <v>6958</v>
      </c>
      <c r="F17" s="62">
        <v>31767279</v>
      </c>
      <c r="G17" s="61">
        <f t="shared" ref="G17:G38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600</v>
      </c>
      <c r="D30" s="62">
        <v>17624311</v>
      </c>
      <c r="E30" s="61">
        <f t="shared" si="6"/>
        <v>6518</v>
      </c>
      <c r="F30" s="62">
        <v>31925426</v>
      </c>
      <c r="G30" s="61">
        <f t="shared" si="7"/>
        <v>9313</v>
      </c>
      <c r="H30" s="62">
        <v>14092869</v>
      </c>
      <c r="I30" s="61">
        <f t="shared" si="3"/>
        <v>4276</v>
      </c>
    </row>
    <row r="31" spans="1:9" ht="21" thickTop="1" thickBot="1" x14ac:dyDescent="0.35">
      <c r="A31" s="59">
        <f>A30+1</f>
        <v>43755</v>
      </c>
      <c r="B31" s="60">
        <v>114311</v>
      </c>
      <c r="C31" s="61">
        <f t="shared" si="5"/>
        <v>520</v>
      </c>
      <c r="D31" s="62">
        <v>17630829</v>
      </c>
      <c r="E31" s="61">
        <f t="shared" si="6"/>
        <v>6512</v>
      </c>
      <c r="F31" s="62">
        <v>31934739</v>
      </c>
      <c r="G31" s="61">
        <f t="shared" si="7"/>
        <v>9075</v>
      </c>
      <c r="H31" s="62">
        <v>14097145</v>
      </c>
      <c r="I31" s="61">
        <f t="shared" si="3"/>
        <v>4165</v>
      </c>
    </row>
    <row r="32" spans="1:9" ht="21" thickTop="1" thickBot="1" x14ac:dyDescent="0.35">
      <c r="A32" s="59">
        <f t="shared" si="4"/>
        <v>43756</v>
      </c>
      <c r="B32" s="60">
        <v>114363</v>
      </c>
      <c r="C32" s="61">
        <f t="shared" si="5"/>
        <v>510</v>
      </c>
      <c r="D32" s="62">
        <v>17637341</v>
      </c>
      <c r="E32" s="61">
        <f t="shared" si="6"/>
        <v>6399</v>
      </c>
      <c r="F32" s="62">
        <v>31943814</v>
      </c>
      <c r="G32" s="61">
        <f t="shared" si="7"/>
        <v>9218</v>
      </c>
      <c r="H32" s="62">
        <v>14101310</v>
      </c>
      <c r="I32" s="61">
        <f t="shared" si="3"/>
        <v>4463</v>
      </c>
    </row>
    <row r="33" spans="1:9" ht="21" thickTop="1" thickBot="1" x14ac:dyDescent="0.35">
      <c r="A33" s="59">
        <f t="shared" si="4"/>
        <v>43757</v>
      </c>
      <c r="B33" s="60">
        <v>114414</v>
      </c>
      <c r="C33" s="61">
        <f t="shared" si="5"/>
        <v>590</v>
      </c>
      <c r="D33" s="62">
        <v>17643740</v>
      </c>
      <c r="E33" s="61">
        <f t="shared" si="6"/>
        <v>7030</v>
      </c>
      <c r="F33" s="62">
        <v>31953032</v>
      </c>
      <c r="G33" s="61">
        <f t="shared" si="7"/>
        <v>9740</v>
      </c>
      <c r="H33" s="62">
        <v>14105773</v>
      </c>
      <c r="I33" s="61">
        <f t="shared" si="3"/>
        <v>4712</v>
      </c>
    </row>
    <row r="34" spans="1:9" ht="21" thickTop="1" thickBot="1" x14ac:dyDescent="0.35">
      <c r="A34" s="59">
        <f t="shared" si="4"/>
        <v>43758</v>
      </c>
      <c r="B34" s="60">
        <v>114473</v>
      </c>
      <c r="C34" s="61">
        <f t="shared" si="5"/>
        <v>550</v>
      </c>
      <c r="D34" s="62">
        <v>17650770</v>
      </c>
      <c r="E34" s="61">
        <f t="shared" si="6"/>
        <v>6284</v>
      </c>
      <c r="F34" s="62">
        <v>31962772</v>
      </c>
      <c r="G34" s="61">
        <f t="shared" si="7"/>
        <v>8085</v>
      </c>
      <c r="H34" s="62">
        <v>14110485</v>
      </c>
      <c r="I34" s="61">
        <f t="shared" si="3"/>
        <v>4134</v>
      </c>
    </row>
    <row r="35" spans="1:9" ht="21" thickTop="1" thickBot="1" x14ac:dyDescent="0.35">
      <c r="A35" s="59">
        <f t="shared" si="4"/>
        <v>43759</v>
      </c>
      <c r="B35" s="60">
        <v>114528</v>
      </c>
      <c r="C35" s="61">
        <f t="shared" si="5"/>
        <v>570</v>
      </c>
      <c r="D35" s="62">
        <v>17657054</v>
      </c>
      <c r="E35" s="61">
        <f t="shared" si="6"/>
        <v>5372</v>
      </c>
      <c r="F35" s="62">
        <v>31970857</v>
      </c>
      <c r="G35" s="61">
        <f t="shared" si="7"/>
        <v>8306</v>
      </c>
      <c r="H35" s="62">
        <v>14114619</v>
      </c>
      <c r="I35" s="61">
        <f t="shared" si="3"/>
        <v>4163</v>
      </c>
    </row>
    <row r="36" spans="1:9" ht="21" thickTop="1" thickBot="1" x14ac:dyDescent="0.35">
      <c r="A36" s="59">
        <f t="shared" si="4"/>
        <v>43760</v>
      </c>
      <c r="B36" s="60">
        <v>114585</v>
      </c>
      <c r="C36" s="61">
        <f t="shared" si="5"/>
        <v>640</v>
      </c>
      <c r="D36" s="62">
        <v>17662426</v>
      </c>
      <c r="E36" s="61">
        <f t="shared" si="6"/>
        <v>5992</v>
      </c>
      <c r="F36" s="62">
        <v>31979163</v>
      </c>
      <c r="G36" s="61">
        <f t="shared" si="7"/>
        <v>7636</v>
      </c>
      <c r="H36" s="62">
        <v>14118782</v>
      </c>
      <c r="I36" s="61">
        <f t="shared" si="3"/>
        <v>3867</v>
      </c>
    </row>
    <row r="37" spans="1:9" ht="21" thickTop="1" thickBot="1" x14ac:dyDescent="0.35">
      <c r="A37" s="59">
        <f t="shared" si="4"/>
        <v>43761</v>
      </c>
      <c r="B37" s="60">
        <v>114649</v>
      </c>
      <c r="C37" s="61">
        <f t="shared" si="5"/>
        <v>630</v>
      </c>
      <c r="D37" s="62">
        <v>17668418</v>
      </c>
      <c r="E37" s="61">
        <f t="shared" si="6"/>
        <v>5500</v>
      </c>
      <c r="F37" s="62">
        <v>31986799</v>
      </c>
      <c r="G37" s="61">
        <f t="shared" si="7"/>
        <v>7753</v>
      </c>
      <c r="H37" s="62">
        <v>14122649</v>
      </c>
      <c r="I37" s="61">
        <f t="shared" si="3"/>
        <v>4182</v>
      </c>
    </row>
    <row r="38" spans="1:9" ht="21" thickTop="1" thickBot="1" x14ac:dyDescent="0.35">
      <c r="A38" s="59">
        <f t="shared" si="4"/>
        <v>43762</v>
      </c>
      <c r="B38" s="60">
        <v>114712</v>
      </c>
      <c r="C38" s="61">
        <f t="shared" si="5"/>
        <v>0</v>
      </c>
      <c r="D38" s="62">
        <v>17673918</v>
      </c>
      <c r="E38" s="61">
        <f t="shared" si="6"/>
        <v>0</v>
      </c>
      <c r="F38" s="62">
        <v>31994552</v>
      </c>
      <c r="G38" s="61">
        <f t="shared" si="7"/>
        <v>0</v>
      </c>
      <c r="H38" s="62">
        <v>14126831</v>
      </c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ref="C38:C46" si="8">IF(B40&lt;B39,0,B40-B39)*10</f>
        <v>0</v>
      </c>
      <c r="D39" s="62"/>
      <c r="E39" s="61">
        <f t="shared" ref="E38:E46" si="9">IF(D40&lt;D39,0,D40-D39)</f>
        <v>0</v>
      </c>
      <c r="F39" s="62"/>
      <c r="G39" s="61">
        <f t="shared" ref="G38:G46" si="10">IF(F40&lt;F39,0,F40-F39)</f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13410</v>
      </c>
      <c r="E48" s="72">
        <f>SUM(E15:E45)</f>
        <v>161696</v>
      </c>
      <c r="F48" s="88"/>
      <c r="G48" s="72">
        <f>SUM(G15:G45)</f>
        <v>252223</v>
      </c>
      <c r="H48" s="88"/>
      <c r="I48" s="72">
        <f>SUM(I15:I45)</f>
        <v>114988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103" priority="2670" stopIfTrue="1" operator="lessThanOrEqual">
      <formula>0</formula>
    </cfRule>
  </conditionalFormatting>
  <conditionalFormatting sqref="C48 E48 G48 I48">
    <cfRule type="cellIs" dxfId="102" priority="2665" stopIfTrue="1" operator="lessThanOrEqual">
      <formula>0</formula>
    </cfRule>
  </conditionalFormatting>
  <conditionalFormatting sqref="C48 E48 G48 I48">
    <cfRule type="cellIs" dxfId="101" priority="2660" stopIfTrue="1" operator="lessThanOrEqual">
      <formula>0</formula>
    </cfRule>
  </conditionalFormatting>
  <conditionalFormatting sqref="C48 E48 G48 I48">
    <cfRule type="cellIs" dxfId="100" priority="2657" stopIfTrue="1" operator="lessThanOrEqual">
      <formula>0</formula>
    </cfRule>
  </conditionalFormatting>
  <conditionalFormatting sqref="C47">
    <cfRule type="cellIs" dxfId="99" priority="228" stopIfTrue="1" operator="lessThanOrEqual">
      <formula>0</formula>
    </cfRule>
  </conditionalFormatting>
  <conditionalFormatting sqref="C47">
    <cfRule type="cellIs" dxfId="98" priority="227" stopIfTrue="1" operator="lessThanOrEqual">
      <formula>0</formula>
    </cfRule>
  </conditionalFormatting>
  <conditionalFormatting sqref="C47">
    <cfRule type="cellIs" dxfId="97" priority="226" stopIfTrue="1" operator="lessThanOrEqual">
      <formula>0</formula>
    </cfRule>
  </conditionalFormatting>
  <conditionalFormatting sqref="C47">
    <cfRule type="cellIs" dxfId="96" priority="225" stopIfTrue="1" operator="lessThanOrEqual">
      <formula>0</formula>
    </cfRule>
  </conditionalFormatting>
  <conditionalFormatting sqref="C39:C46">
    <cfRule type="cellIs" dxfId="95" priority="92" stopIfTrue="1" operator="lessThanOrEqual">
      <formula>0</formula>
    </cfRule>
  </conditionalFormatting>
  <conditionalFormatting sqref="C39:C46">
    <cfRule type="cellIs" dxfId="94" priority="91" stopIfTrue="1" operator="lessThanOrEqual">
      <formula>0</formula>
    </cfRule>
  </conditionalFormatting>
  <conditionalFormatting sqref="C39:C46">
    <cfRule type="cellIs" dxfId="93" priority="90" stopIfTrue="1" operator="lessThanOrEqual">
      <formula>0</formula>
    </cfRule>
  </conditionalFormatting>
  <conditionalFormatting sqref="C39:C46">
    <cfRule type="cellIs" dxfId="92" priority="89" stopIfTrue="1" operator="lessThanOrEqual">
      <formula>0</formula>
    </cfRule>
  </conditionalFormatting>
  <conditionalFormatting sqref="C9:C10">
    <cfRule type="cellIs" dxfId="91" priority="88" stopIfTrue="1" operator="lessThanOrEqual">
      <formula>0</formula>
    </cfRule>
  </conditionalFormatting>
  <conditionalFormatting sqref="C9:C10">
    <cfRule type="cellIs" dxfId="90" priority="87" stopIfTrue="1" operator="lessThanOrEqual">
      <formula>0</formula>
    </cfRule>
  </conditionalFormatting>
  <conditionalFormatting sqref="C9:C10">
    <cfRule type="cellIs" dxfId="89" priority="86" stopIfTrue="1" operator="lessThanOrEqual">
      <formula>0</formula>
    </cfRule>
  </conditionalFormatting>
  <conditionalFormatting sqref="C9:C10">
    <cfRule type="cellIs" dxfId="88" priority="85" stopIfTrue="1" operator="lessThanOrEqual">
      <formula>0</formula>
    </cfRule>
  </conditionalFormatting>
  <conditionalFormatting sqref="C11:C14">
    <cfRule type="cellIs" dxfId="87" priority="84" stopIfTrue="1" operator="lessThanOrEqual">
      <formula>0</formula>
    </cfRule>
  </conditionalFormatting>
  <conditionalFormatting sqref="C11:C14">
    <cfRule type="cellIs" dxfId="86" priority="83" stopIfTrue="1" operator="lessThanOrEqual">
      <formula>0</formula>
    </cfRule>
  </conditionalFormatting>
  <conditionalFormatting sqref="C11:C14">
    <cfRule type="cellIs" dxfId="85" priority="82" stopIfTrue="1" operator="lessThanOrEqual">
      <formula>0</formula>
    </cfRule>
  </conditionalFormatting>
  <conditionalFormatting sqref="C11:C14">
    <cfRule type="cellIs" dxfId="84" priority="81" stopIfTrue="1" operator="lessThanOrEqual">
      <formula>0</formula>
    </cfRule>
  </conditionalFormatting>
  <conditionalFormatting sqref="C15">
    <cfRule type="cellIs" dxfId="83" priority="80" stopIfTrue="1" operator="lessThanOrEqual">
      <formula>0</formula>
    </cfRule>
  </conditionalFormatting>
  <conditionalFormatting sqref="C15">
    <cfRule type="cellIs" dxfId="82" priority="79" stopIfTrue="1" operator="lessThanOrEqual">
      <formula>0</formula>
    </cfRule>
  </conditionalFormatting>
  <conditionalFormatting sqref="C15">
    <cfRule type="cellIs" dxfId="81" priority="78" stopIfTrue="1" operator="lessThanOrEqual">
      <formula>0</formula>
    </cfRule>
  </conditionalFormatting>
  <conditionalFormatting sqref="C15">
    <cfRule type="cellIs" dxfId="80" priority="77" stopIfTrue="1" operator="lessThanOrEqual">
      <formula>0</formula>
    </cfRule>
  </conditionalFormatting>
  <conditionalFormatting sqref="C16">
    <cfRule type="cellIs" dxfId="79" priority="76" stopIfTrue="1" operator="lessThanOrEqual">
      <formula>0</formula>
    </cfRule>
  </conditionalFormatting>
  <conditionalFormatting sqref="C16">
    <cfRule type="cellIs" dxfId="78" priority="75" stopIfTrue="1" operator="lessThanOrEqual">
      <formula>0</formula>
    </cfRule>
  </conditionalFormatting>
  <conditionalFormatting sqref="C16">
    <cfRule type="cellIs" dxfId="77" priority="74" stopIfTrue="1" operator="lessThanOrEqual">
      <formula>0</formula>
    </cfRule>
  </conditionalFormatting>
  <conditionalFormatting sqref="C16">
    <cfRule type="cellIs" dxfId="76" priority="73" stopIfTrue="1" operator="lessThanOrEqual">
      <formula>0</formula>
    </cfRule>
  </conditionalFormatting>
  <conditionalFormatting sqref="C17">
    <cfRule type="cellIs" dxfId="75" priority="72" stopIfTrue="1" operator="lessThanOrEqual">
      <formula>0</formula>
    </cfRule>
  </conditionalFormatting>
  <conditionalFormatting sqref="C17">
    <cfRule type="cellIs" dxfId="74" priority="71" stopIfTrue="1" operator="lessThanOrEqual">
      <formula>0</formula>
    </cfRule>
  </conditionalFormatting>
  <conditionalFormatting sqref="C17">
    <cfRule type="cellIs" dxfId="73" priority="70" stopIfTrue="1" operator="lessThanOrEqual">
      <formula>0</formula>
    </cfRule>
  </conditionalFormatting>
  <conditionalFormatting sqref="C17">
    <cfRule type="cellIs" dxfId="72" priority="69" stopIfTrue="1" operator="lessThanOrEqual">
      <formula>0</formula>
    </cfRule>
  </conditionalFormatting>
  <conditionalFormatting sqref="C18:C19">
    <cfRule type="cellIs" dxfId="71" priority="68" stopIfTrue="1" operator="lessThanOrEqual">
      <formula>0</formula>
    </cfRule>
  </conditionalFormatting>
  <conditionalFormatting sqref="C18:C19">
    <cfRule type="cellIs" dxfId="70" priority="67" stopIfTrue="1" operator="lessThanOrEqual">
      <formula>0</formula>
    </cfRule>
  </conditionalFormatting>
  <conditionalFormatting sqref="C18:C19">
    <cfRule type="cellIs" dxfId="69" priority="66" stopIfTrue="1" operator="lessThanOrEqual">
      <formula>0</formula>
    </cfRule>
  </conditionalFormatting>
  <conditionalFormatting sqref="C18:C19">
    <cfRule type="cellIs" dxfId="68" priority="65" stopIfTrue="1" operator="lessThanOrEqual">
      <formula>0</formula>
    </cfRule>
  </conditionalFormatting>
  <conditionalFormatting sqref="C20">
    <cfRule type="cellIs" dxfId="67" priority="64" stopIfTrue="1" operator="lessThanOrEqual">
      <formula>0</formula>
    </cfRule>
  </conditionalFormatting>
  <conditionalFormatting sqref="C20">
    <cfRule type="cellIs" dxfId="66" priority="63" stopIfTrue="1" operator="lessThanOrEqual">
      <formula>0</formula>
    </cfRule>
  </conditionalFormatting>
  <conditionalFormatting sqref="C20">
    <cfRule type="cellIs" dxfId="65" priority="62" stopIfTrue="1" operator="lessThanOrEqual">
      <formula>0</formula>
    </cfRule>
  </conditionalFormatting>
  <conditionalFormatting sqref="C20">
    <cfRule type="cellIs" dxfId="64" priority="61" stopIfTrue="1" operator="lessThanOrEqual">
      <formula>0</formula>
    </cfRule>
  </conditionalFormatting>
  <conditionalFormatting sqref="C21">
    <cfRule type="cellIs" dxfId="63" priority="60" stopIfTrue="1" operator="lessThanOrEqual">
      <formula>0</formula>
    </cfRule>
  </conditionalFormatting>
  <conditionalFormatting sqref="C21">
    <cfRule type="cellIs" dxfId="62" priority="59" stopIfTrue="1" operator="lessThanOrEqual">
      <formula>0</formula>
    </cfRule>
  </conditionalFormatting>
  <conditionalFormatting sqref="C21">
    <cfRule type="cellIs" dxfId="61" priority="58" stopIfTrue="1" operator="lessThanOrEqual">
      <formula>0</formula>
    </cfRule>
  </conditionalFormatting>
  <conditionalFormatting sqref="C21">
    <cfRule type="cellIs" dxfId="60" priority="57" stopIfTrue="1" operator="lessThanOrEqual">
      <formula>0</formula>
    </cfRule>
  </conditionalFormatting>
  <conditionalFormatting sqref="C22">
    <cfRule type="cellIs" dxfId="59" priority="56" stopIfTrue="1" operator="lessThanOrEqual">
      <formula>0</formula>
    </cfRule>
  </conditionalFormatting>
  <conditionalFormatting sqref="C22">
    <cfRule type="cellIs" dxfId="58" priority="55" stopIfTrue="1" operator="lessThanOrEqual">
      <formula>0</formula>
    </cfRule>
  </conditionalFormatting>
  <conditionalFormatting sqref="C22">
    <cfRule type="cellIs" dxfId="57" priority="54" stopIfTrue="1" operator="lessThanOrEqual">
      <formula>0</formula>
    </cfRule>
  </conditionalFormatting>
  <conditionalFormatting sqref="C22">
    <cfRule type="cellIs" dxfId="56" priority="53" stopIfTrue="1" operator="lessThanOrEqual">
      <formula>0</formula>
    </cfRule>
  </conditionalFormatting>
  <conditionalFormatting sqref="C23">
    <cfRule type="cellIs" dxfId="55" priority="52" stopIfTrue="1" operator="lessThanOrEqual">
      <formula>0</formula>
    </cfRule>
  </conditionalFormatting>
  <conditionalFormatting sqref="C23">
    <cfRule type="cellIs" dxfId="54" priority="51" stopIfTrue="1" operator="lessThanOrEqual">
      <formula>0</formula>
    </cfRule>
  </conditionalFormatting>
  <conditionalFormatting sqref="C23">
    <cfRule type="cellIs" dxfId="53" priority="50" stopIfTrue="1" operator="lessThanOrEqual">
      <formula>0</formula>
    </cfRule>
  </conditionalFormatting>
  <conditionalFormatting sqref="C23">
    <cfRule type="cellIs" dxfId="52" priority="49" stopIfTrue="1" operator="lessThanOrEqual">
      <formula>0</formula>
    </cfRule>
  </conditionalFormatting>
  <conditionalFormatting sqref="C24">
    <cfRule type="cellIs" dxfId="51" priority="48" stopIfTrue="1" operator="lessThanOrEqual">
      <formula>0</formula>
    </cfRule>
  </conditionalFormatting>
  <conditionalFormatting sqref="C24">
    <cfRule type="cellIs" dxfId="50" priority="47" stopIfTrue="1" operator="lessThanOrEqual">
      <formula>0</formula>
    </cfRule>
  </conditionalFormatting>
  <conditionalFormatting sqref="C24">
    <cfRule type="cellIs" dxfId="49" priority="46" stopIfTrue="1" operator="lessThanOrEqual">
      <formula>0</formula>
    </cfRule>
  </conditionalFormatting>
  <conditionalFormatting sqref="C24">
    <cfRule type="cellIs" dxfId="48" priority="45" stopIfTrue="1" operator="lessThanOrEqual">
      <formula>0</formula>
    </cfRule>
  </conditionalFormatting>
  <conditionalFormatting sqref="C25">
    <cfRule type="cellIs" dxfId="47" priority="44" stopIfTrue="1" operator="lessThanOrEqual">
      <formula>0</formula>
    </cfRule>
  </conditionalFormatting>
  <conditionalFormatting sqref="C25">
    <cfRule type="cellIs" dxfId="46" priority="43" stopIfTrue="1" operator="lessThanOrEqual">
      <formula>0</formula>
    </cfRule>
  </conditionalFormatting>
  <conditionalFormatting sqref="C25">
    <cfRule type="cellIs" dxfId="45" priority="42" stopIfTrue="1" operator="lessThanOrEqual">
      <formula>0</formula>
    </cfRule>
  </conditionalFormatting>
  <conditionalFormatting sqref="C25">
    <cfRule type="cellIs" dxfId="44" priority="41" stopIfTrue="1" operator="lessThanOrEqual">
      <formula>0</formula>
    </cfRule>
  </conditionalFormatting>
  <conditionalFormatting sqref="C26:C28">
    <cfRule type="cellIs" dxfId="43" priority="40" stopIfTrue="1" operator="lessThanOrEqual">
      <formula>0</formula>
    </cfRule>
  </conditionalFormatting>
  <conditionalFormatting sqref="C26:C28">
    <cfRule type="cellIs" dxfId="42" priority="39" stopIfTrue="1" operator="lessThanOrEqual">
      <formula>0</formula>
    </cfRule>
  </conditionalFormatting>
  <conditionalFormatting sqref="C26:C28">
    <cfRule type="cellIs" dxfId="41" priority="38" stopIfTrue="1" operator="lessThanOrEqual">
      <formula>0</formula>
    </cfRule>
  </conditionalFormatting>
  <conditionalFormatting sqref="C26:C28">
    <cfRule type="cellIs" dxfId="40" priority="37" stopIfTrue="1" operator="lessThanOrEqual">
      <formula>0</formula>
    </cfRule>
  </conditionalFormatting>
  <conditionalFormatting sqref="C29">
    <cfRule type="cellIs" dxfId="39" priority="36" stopIfTrue="1" operator="lessThanOrEqual">
      <formula>0</formula>
    </cfRule>
  </conditionalFormatting>
  <conditionalFormatting sqref="C29">
    <cfRule type="cellIs" dxfId="38" priority="35" stopIfTrue="1" operator="lessThanOrEqual">
      <formula>0</formula>
    </cfRule>
  </conditionalFormatting>
  <conditionalFormatting sqref="C29">
    <cfRule type="cellIs" dxfId="37" priority="34" stopIfTrue="1" operator="lessThanOrEqual">
      <formula>0</formula>
    </cfRule>
  </conditionalFormatting>
  <conditionalFormatting sqref="C29">
    <cfRule type="cellIs" dxfId="36" priority="33" stopIfTrue="1" operator="lessThanOrEqual">
      <formula>0</formula>
    </cfRule>
  </conditionalFormatting>
  <conditionalFormatting sqref="C30">
    <cfRule type="cellIs" dxfId="35" priority="32" stopIfTrue="1" operator="lessThanOrEqual">
      <formula>0</formula>
    </cfRule>
  </conditionalFormatting>
  <conditionalFormatting sqref="C30">
    <cfRule type="cellIs" dxfId="34" priority="31" stopIfTrue="1" operator="lessThanOrEqual">
      <formula>0</formula>
    </cfRule>
  </conditionalFormatting>
  <conditionalFormatting sqref="C30">
    <cfRule type="cellIs" dxfId="33" priority="30" stopIfTrue="1" operator="lessThanOrEqual">
      <formula>0</formula>
    </cfRule>
  </conditionalFormatting>
  <conditionalFormatting sqref="C30">
    <cfRule type="cellIs" dxfId="32" priority="29" stopIfTrue="1" operator="lessThanOrEqual">
      <formula>0</formula>
    </cfRule>
  </conditionalFormatting>
  <conditionalFormatting sqref="C31">
    <cfRule type="cellIs" dxfId="31" priority="28" stopIfTrue="1" operator="lessThanOrEqual">
      <formula>0</formula>
    </cfRule>
  </conditionalFormatting>
  <conditionalFormatting sqref="C31">
    <cfRule type="cellIs" dxfId="30" priority="27" stopIfTrue="1" operator="lessThanOrEqual">
      <formula>0</formula>
    </cfRule>
  </conditionalFormatting>
  <conditionalFormatting sqref="C31">
    <cfRule type="cellIs" dxfId="29" priority="26" stopIfTrue="1" operator="lessThanOrEqual">
      <formula>0</formula>
    </cfRule>
  </conditionalFormatting>
  <conditionalFormatting sqref="C31">
    <cfRule type="cellIs" dxfId="28" priority="25" stopIfTrue="1" operator="lessThanOrEqual">
      <formula>0</formula>
    </cfRule>
  </conditionalFormatting>
  <conditionalFormatting sqref="C32:C33">
    <cfRule type="cellIs" dxfId="27" priority="24" stopIfTrue="1" operator="lessThanOrEqual">
      <formula>0</formula>
    </cfRule>
  </conditionalFormatting>
  <conditionalFormatting sqref="C32:C33">
    <cfRule type="cellIs" dxfId="26" priority="23" stopIfTrue="1" operator="lessThanOrEqual">
      <formula>0</formula>
    </cfRule>
  </conditionalFormatting>
  <conditionalFormatting sqref="C32:C33">
    <cfRule type="cellIs" dxfId="25" priority="22" stopIfTrue="1" operator="lessThanOrEqual">
      <formula>0</formula>
    </cfRule>
  </conditionalFormatting>
  <conditionalFormatting sqref="C32:C33">
    <cfRule type="cellIs" dxfId="24" priority="21" stopIfTrue="1" operator="lessThanOrEqual">
      <formula>0</formula>
    </cfRule>
  </conditionalFormatting>
  <conditionalFormatting sqref="C34">
    <cfRule type="cellIs" dxfId="23" priority="20" stopIfTrue="1" operator="lessThanOrEqual">
      <formula>0</formula>
    </cfRule>
  </conditionalFormatting>
  <conditionalFormatting sqref="C34">
    <cfRule type="cellIs" dxfId="22" priority="19" stopIfTrue="1" operator="lessThanOrEqual">
      <formula>0</formula>
    </cfRule>
  </conditionalFormatting>
  <conditionalFormatting sqref="C34">
    <cfRule type="cellIs" dxfId="21" priority="18" stopIfTrue="1" operator="lessThanOrEqual">
      <formula>0</formula>
    </cfRule>
  </conditionalFormatting>
  <conditionalFormatting sqref="C34">
    <cfRule type="cellIs" dxfId="20" priority="17" stopIfTrue="1" operator="lessThanOrEqual">
      <formula>0</formula>
    </cfRule>
  </conditionalFormatting>
  <conditionalFormatting sqref="C35">
    <cfRule type="cellIs" dxfId="19" priority="16" stopIfTrue="1" operator="lessThanOrEqual">
      <formula>0</formula>
    </cfRule>
  </conditionalFormatting>
  <conditionalFormatting sqref="C35">
    <cfRule type="cellIs" dxfId="18" priority="15" stopIfTrue="1" operator="lessThanOrEqual">
      <formula>0</formula>
    </cfRule>
  </conditionalFormatting>
  <conditionalFormatting sqref="C35">
    <cfRule type="cellIs" dxfId="17" priority="14" stopIfTrue="1" operator="lessThanOrEqual">
      <formula>0</formula>
    </cfRule>
  </conditionalFormatting>
  <conditionalFormatting sqref="C35">
    <cfRule type="cellIs" dxfId="16" priority="13" stopIfTrue="1" operator="lessThanOrEqual">
      <formula>0</formula>
    </cfRule>
  </conditionalFormatting>
  <conditionalFormatting sqref="C36">
    <cfRule type="cellIs" dxfId="15" priority="12" stopIfTrue="1" operator="lessThanOrEqual">
      <formula>0</formula>
    </cfRule>
  </conditionalFormatting>
  <conditionalFormatting sqref="C36">
    <cfRule type="cellIs" dxfId="14" priority="11" stopIfTrue="1" operator="lessThanOrEqual">
      <formula>0</formula>
    </cfRule>
  </conditionalFormatting>
  <conditionalFormatting sqref="C36">
    <cfRule type="cellIs" dxfId="13" priority="10" stopIfTrue="1" operator="lessThanOrEqual">
      <formula>0</formula>
    </cfRule>
  </conditionalFormatting>
  <conditionalFormatting sqref="C36">
    <cfRule type="cellIs" dxfId="12" priority="9" stopIfTrue="1" operator="lessThanOrEqual">
      <formula>0</formula>
    </cfRule>
  </conditionalFormatting>
  <conditionalFormatting sqref="C37">
    <cfRule type="cellIs" dxfId="11" priority="8" stopIfTrue="1" operator="lessThanOrEqual">
      <formula>0</formula>
    </cfRule>
  </conditionalFormatting>
  <conditionalFormatting sqref="C37">
    <cfRule type="cellIs" dxfId="10" priority="7" stopIfTrue="1" operator="lessThanOrEqual">
      <formula>0</formula>
    </cfRule>
  </conditionalFormatting>
  <conditionalFormatting sqref="C37">
    <cfRule type="cellIs" dxfId="9" priority="6" stopIfTrue="1" operator="lessThanOrEqual">
      <formula>0</formula>
    </cfRule>
  </conditionalFormatting>
  <conditionalFormatting sqref="C37">
    <cfRule type="cellIs" dxfId="8" priority="5" stopIfTrue="1" operator="lessThanOrEqual">
      <formula>0</formula>
    </cfRule>
  </conditionalFormatting>
  <conditionalFormatting sqref="C38">
    <cfRule type="cellIs" dxfId="7" priority="4" stopIfTrue="1" operator="lessThanOrEqual">
      <formula>0</formula>
    </cfRule>
  </conditionalFormatting>
  <conditionalFormatting sqref="C38">
    <cfRule type="cellIs" dxfId="5" priority="3" stopIfTrue="1" operator="lessThanOrEqual">
      <formula>0</formula>
    </cfRule>
  </conditionalFormatting>
  <conditionalFormatting sqref="C38">
    <cfRule type="cellIs" dxfId="3" priority="2" stopIfTrue="1" operator="lessThanOrEqual">
      <formula>0</formula>
    </cfRule>
  </conditionalFormatting>
  <conditionalFormatting sqref="C3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2019-10-24T07:07:26Z</dcterms:modified>
</cp:coreProperties>
</file>