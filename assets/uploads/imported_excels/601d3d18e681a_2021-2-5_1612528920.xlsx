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H5" i="7" l="1"/>
  <c r="AH6" i="7"/>
  <c r="AH7" i="7"/>
  <c r="AD5" i="7"/>
  <c r="AD6" i="7"/>
  <c r="AD7" i="7"/>
  <c r="AB5" i="7"/>
  <c r="AB6" i="7"/>
  <c r="AW32" i="6" l="1"/>
  <c r="BB29" i="6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M4" i="7" l="1"/>
  <c r="CM5" i="7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M6" i="7" s="1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7" i="7" l="1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33" i="6" s="1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<sst xmlns="http://schemas.openxmlformats.org/spreadsheetml/2006/main" count="313" uniqueCount="148">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</sst>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20.099999999999909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4300.0000000002792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29.5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 t="e">
        <f>Submetering!E6+Submetering!F6+Submetering!G6+Submetering!H6+Submetering!J6-Submetering!AV6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 t="e">
        <f>'FS Desroches Daily'!CM8</f>
        <v>#VALUE!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K1"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80.000000000040927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>
        <f>'FS Desroches Daily'!X7</f>
        <v>100.00000000002274</v>
      </c>
      <c r="P4" s="31">
        <f>'FS Desroches Daily'!Z6</f>
        <v>500.00000000016701</v>
      </c>
      <c r="Q4" s="31">
        <f>'FS Desroches Daily'!AB6</f>
        <v>69.999999999993179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4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1000.000000000334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1799.9999999998017</v>
      </c>
      <c r="J5" s="32">
        <f>'FS Desroches Daily'!N7</f>
        <v>499.99999999994492</v>
      </c>
      <c r="K5" s="13">
        <f>'FS Desroches Daily'!P7</f>
        <v>1</v>
      </c>
      <c r="L5" s="31">
        <f>'FS Desroches Daily'!R7</f>
        <v>3</v>
      </c>
      <c r="M5" s="31">
        <f>'FS Desroches Daily'!T7</f>
        <v>258.40000000002328</v>
      </c>
      <c r="N5" s="31">
        <f>'FS Desroches Daily'!V7</f>
        <v>188.39999999996508</v>
      </c>
      <c r="O5" s="31" t="str">
        <f>'FS Desroches Daily'!X8</f>
        <v/>
      </c>
      <c r="P5" s="31">
        <f>'FS Desroches Daily'!Z7</f>
        <v>499.99999999972289</v>
      </c>
      <c r="Q5" s="31">
        <f>'FS Desroches Daily'!AB7</f>
        <v>79.999999999984084</v>
      </c>
      <c r="R5" s="31">
        <f>'FS Desroches Daily'!AD7</f>
        <v>150.00000000003411</v>
      </c>
      <c r="S5" s="31">
        <f>'FS Desroches Daily'!AF7</f>
        <v>180.00000000006366</v>
      </c>
      <c r="T5" s="31">
        <f>'FS Desroches Daily'!AH7</f>
        <v>0.59999999999990905</v>
      </c>
      <c r="U5" s="35">
        <f>'FS Desroches Daily'!AJ7</f>
        <v>259.99999999999091</v>
      </c>
      <c r="V5" s="35">
        <f>'FS Desroches Daily'!AL7</f>
        <v>30.000000000001137</v>
      </c>
      <c r="W5" s="35">
        <f>'FS Desroches Daily'!AN7</f>
        <v>20.000000000010232</v>
      </c>
      <c r="X5" s="35">
        <f>'FS Desroches Daily'!AP7</f>
        <v>19.99999999998181</v>
      </c>
      <c r="Y5" s="35">
        <f>'FS Desroches Daily'!AR7</f>
        <v>20.000000000010232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49.999999999954525</v>
      </c>
      <c r="AC5" s="35">
        <f>'FS Desroches Daily'!AZ7</f>
        <v>10.000000000047748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28</v>
      </c>
      <c r="AG5" s="32">
        <f>'FS Desroches Daily'!BH7</f>
        <v>9.9999999999909051</v>
      </c>
      <c r="AH5" s="32">
        <f>'FS Desroches Daily'!BJ7</f>
        <v>29.999999999972715</v>
      </c>
      <c r="AI5" s="32">
        <f>'FS Desroches Daily'!BL7</f>
        <v>0</v>
      </c>
      <c r="AJ5" s="32">
        <f>'FS Desroches Daily'!BN7</f>
        <v>19.99999999998181</v>
      </c>
      <c r="AK5" s="32">
        <f>'FS Desroches Daily'!BP7</f>
        <v>9.9999999999909051</v>
      </c>
      <c r="AL5" s="32">
        <f>'FS Desroches Daily'!BR7</f>
        <v>6</v>
      </c>
      <c r="AM5" s="32">
        <f>'FS Desroches Daily'!BT7</f>
        <v>9.9999999999909051</v>
      </c>
      <c r="AN5" s="32">
        <f>'FS Desroches Daily'!BV7</f>
        <v>10</v>
      </c>
      <c r="AO5" s="32">
        <f>'FS Desroches Daily'!BX7</f>
        <v>20.000000000010232</v>
      </c>
      <c r="AP5" s="32">
        <f>'FS Desroches Daily'!BZ7</f>
        <v>16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46.600000000005821</v>
      </c>
      <c r="AU5" s="31">
        <f>'FS Desroches Daily'!CJ7</f>
        <v>234</v>
      </c>
      <c r="AV5" s="31">
        <f>'FS Desroches Daily'!CL7</f>
        <v>400.00000000009095</v>
      </c>
      <c r="AW5" s="31">
        <f>'FS Desroches Daily'!CM7</f>
        <v>29.5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3800.0000000000255</v>
      </c>
      <c r="F33" s="17">
        <f t="shared" ref="F33:BC33" si="1">SUM(F2:F32)</f>
        <v>2900.000000000347</v>
      </c>
      <c r="G33" s="17">
        <f t="shared" si="1"/>
        <v>6799.9999999996944</v>
      </c>
      <c r="H33" s="17">
        <f t="shared" si="1"/>
        <v>3299.9999999998586</v>
      </c>
      <c r="I33" s="17">
        <f t="shared" si="1"/>
        <v>7299.9999999998618</v>
      </c>
      <c r="J33" s="17">
        <f t="shared" si="1"/>
        <v>2000.0000000000018</v>
      </c>
      <c r="K33" s="17">
        <f t="shared" si="1"/>
        <v>2</v>
      </c>
      <c r="L33" s="17">
        <f t="shared" si="1"/>
        <v>10</v>
      </c>
      <c r="M33" s="17">
        <f t="shared" si="1"/>
        <v>1086.1999999999534</v>
      </c>
      <c r="N33" s="17">
        <f t="shared" si="1"/>
        <v>735.09999999997672</v>
      </c>
      <c r="O33" s="17">
        <f t="shared" si="1"/>
        <v>410.00000000002501</v>
      </c>
      <c r="P33" s="17">
        <f t="shared" si="1"/>
        <v>1899.9999999995687</v>
      </c>
      <c r="Q33" s="17">
        <f t="shared" si="1"/>
        <v>310.00000000000227</v>
      </c>
      <c r="R33" s="17">
        <f t="shared" si="1"/>
        <v>500</v>
      </c>
      <c r="S33" s="17">
        <f t="shared" si="1"/>
        <v>730.00000000001819</v>
      </c>
      <c r="T33" s="17">
        <f t="shared" si="1"/>
        <v>5.3999999999998636</v>
      </c>
      <c r="U33" s="35">
        <f t="shared" si="1"/>
        <v>990.00000000000909</v>
      </c>
      <c r="V33" s="35">
        <f t="shared" si="1"/>
        <v>119.99999999997613</v>
      </c>
      <c r="W33" s="35">
        <f t="shared" si="1"/>
        <v>90.000000000003411</v>
      </c>
      <c r="X33" s="35">
        <f t="shared" si="1"/>
        <v>90.000000000003411</v>
      </c>
      <c r="Y33" s="35">
        <f t="shared" si="1"/>
        <v>80.000000000012506</v>
      </c>
      <c r="Z33" s="35">
        <f t="shared" si="1"/>
        <v>69.999999999993179</v>
      </c>
      <c r="AA33" s="35">
        <f t="shared" si="1"/>
        <v>69.999999999993179</v>
      </c>
      <c r="AB33" s="35">
        <f t="shared" si="1"/>
        <v>99.999999999965894</v>
      </c>
      <c r="AC33" s="35">
        <f t="shared" si="1"/>
        <v>69.999999999993179</v>
      </c>
      <c r="AD33" s="35">
        <f t="shared" si="1"/>
        <v>109.9999999999568</v>
      </c>
      <c r="AE33" s="35">
        <f t="shared" si="1"/>
        <v>39.999999999992042</v>
      </c>
      <c r="AF33" s="17">
        <f t="shared" si="1"/>
        <v>94</v>
      </c>
      <c r="AG33" s="32">
        <f t="shared" si="1"/>
        <v>69.999999999993179</v>
      </c>
      <c r="AH33" s="32">
        <f t="shared" si="1"/>
        <v>129.99999999999545</v>
      </c>
      <c r="AI33" s="32">
        <f t="shared" si="1"/>
        <v>20.000000000010232</v>
      </c>
      <c r="AJ33" s="32">
        <f t="shared" si="1"/>
        <v>79.999999999984084</v>
      </c>
      <c r="AK33" s="32">
        <f t="shared" si="1"/>
        <v>50.000000000011369</v>
      </c>
      <c r="AL33" s="32">
        <f t="shared" si="1"/>
        <v>22</v>
      </c>
      <c r="AM33" s="32">
        <f t="shared" si="1"/>
        <v>39.999999999992042</v>
      </c>
      <c r="AN33" s="32">
        <f t="shared" si="1"/>
        <v>35</v>
      </c>
      <c r="AO33" s="32">
        <f t="shared" si="1"/>
        <v>60.000000000002274</v>
      </c>
      <c r="AP33" s="32">
        <f t="shared" si="1"/>
        <v>59</v>
      </c>
      <c r="AQ33" s="17">
        <f t="shared" si="1"/>
        <v>5</v>
      </c>
      <c r="AR33" s="17">
        <f t="shared" si="1"/>
        <v>0</v>
      </c>
      <c r="AS33" s="17">
        <f t="shared" si="1"/>
        <v>0</v>
      </c>
      <c r="AT33" s="17">
        <f t="shared" si="1"/>
        <v>164.5</v>
      </c>
      <c r="AU33" s="17">
        <f t="shared" si="1"/>
        <v>921</v>
      </c>
      <c r="AV33" s="17">
        <f t="shared" si="1"/>
        <v>1700.0000000000455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0.38237069832964915</v>
      </c>
      <c r="G35" s="29">
        <f>G33-M36</f>
        <v>4978.6999999997643</v>
      </c>
      <c r="AE35" s="35">
        <f>SUM(U33:AE33)</f>
        <v>1829.9999999998988</v>
      </c>
      <c r="AG35" s="32">
        <f>SUM(AG33:AP33)</f>
        <v>565.99999999998863</v>
      </c>
    </row>
    <row r="36" spans="5:55" x14ac:dyDescent="0.25">
      <c r="G36" s="29">
        <f>G35-633*14</f>
        <v>-3883.3000000002357</v>
      </c>
      <c r="M36" s="29">
        <f>M33+N33</f>
        <v>1821.2999999999302</v>
      </c>
    </row>
    <row r="37" spans="5:55" x14ac:dyDescent="0.25">
      <c r="E37" s="17">
        <f>E33+F33+G33+H33+J33-633*14</f>
        <v>9937.9999999999272</v>
      </c>
      <c r="G37" s="37">
        <f>M36/E37</f>
        <v>0.18326625075467332</v>
      </c>
      <c r="M37" s="35">
        <f>AE35</f>
        <v>1829.9999999998988</v>
      </c>
    </row>
    <row r="38" spans="5:55" x14ac:dyDescent="0.25">
      <c r="L38" s="27">
        <f>M38/E37</f>
        <v>5.6953109277519898E-2</v>
      </c>
      <c r="M38" s="29">
        <f>AG35</f>
        <v>565.99999999998863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CC1" zoomScale="80" zoomScaleNormal="80" workbookViewId="0">
      <pane ySplit="1" topLeftCell="A2" activePane="bottomLeft" state="frozen"/>
      <selection pane="bottomLeft" activeCell="BH11" sqref="BH1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355.22</v>
      </c>
      <c r="AB5" s="65">
        <f t="shared" si="11"/>
        <v>80.000000000040927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69.999999999993179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283.55</v>
      </c>
      <c r="BP6" s="65">
        <f t="shared" si="26"/>
        <v>9.9999999999909051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35316</v>
      </c>
      <c r="BV6" s="65">
        <f t="shared" si="28"/>
        <v>7</v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>
        <v>2.0468000000000002</v>
      </c>
      <c r="D7" s="64">
        <f t="shared" si="0"/>
        <v>1000.000000000334</v>
      </c>
      <c r="E7" s="58">
        <v>2.9157000000000002</v>
      </c>
      <c r="F7" s="64">
        <f t="shared" si="1"/>
        <v>700.00000000014495</v>
      </c>
      <c r="G7" s="58">
        <v>2.9733999999999998</v>
      </c>
      <c r="H7" s="64">
        <f t="shared" si="2"/>
        <v>1700.0000000000348</v>
      </c>
      <c r="I7" s="58">
        <v>1.4543999999999999</v>
      </c>
      <c r="J7" s="64">
        <f t="shared" si="3"/>
        <v>799.99999999991189</v>
      </c>
      <c r="K7" s="58">
        <v>2.3454999999999999</v>
      </c>
      <c r="L7" s="64">
        <f t="shared" si="39"/>
        <v>1799.9999999998017</v>
      </c>
      <c r="M7" s="58">
        <v>1.3343</v>
      </c>
      <c r="N7" s="64">
        <f t="shared" si="4"/>
        <v>499.99999999994492</v>
      </c>
      <c r="O7" s="58">
        <v>12738</v>
      </c>
      <c r="P7" s="67">
        <f t="shared" si="5"/>
        <v>1</v>
      </c>
      <c r="Q7" s="58">
        <v>272</v>
      </c>
      <c r="R7" s="67">
        <f t="shared" si="6"/>
        <v>3</v>
      </c>
      <c r="S7" s="58">
        <v>897201</v>
      </c>
      <c r="T7" s="67">
        <f t="shared" si="7"/>
        <v>258.40000000002328</v>
      </c>
      <c r="U7" s="58">
        <v>371402.6</v>
      </c>
      <c r="V7" s="67">
        <f t="shared" si="8"/>
        <v>188.39999999996508</v>
      </c>
      <c r="W7" s="58">
        <v>361.06</v>
      </c>
      <c r="X7" s="65">
        <f t="shared" si="9"/>
        <v>100.00000000002274</v>
      </c>
      <c r="Y7" s="58">
        <v>2.5442999999999998</v>
      </c>
      <c r="Z7" s="65">
        <f t="shared" si="10"/>
        <v>499.99999999972289</v>
      </c>
      <c r="AA7" s="58">
        <v>355.37</v>
      </c>
      <c r="AB7" s="65">
        <f t="shared" si="11"/>
        <v>79.999999999984084</v>
      </c>
      <c r="AC7" s="58">
        <v>341.11</v>
      </c>
      <c r="AD7" s="65">
        <f t="shared" si="12"/>
        <v>150.00000000003411</v>
      </c>
      <c r="AE7" s="58">
        <v>528.21</v>
      </c>
      <c r="AF7" s="65">
        <f t="shared" si="13"/>
        <v>180.00000000006366</v>
      </c>
      <c r="AG7" s="58">
        <v>1557.3</v>
      </c>
      <c r="AH7" s="67">
        <f t="shared" si="14"/>
        <v>0.59999999999990905</v>
      </c>
      <c r="AI7" s="58">
        <v>528.34</v>
      </c>
      <c r="AJ7" s="65">
        <f t="shared" si="15"/>
        <v>259.99999999999091</v>
      </c>
      <c r="AK7" s="58">
        <v>181.42</v>
      </c>
      <c r="AL7" s="65">
        <f t="shared" si="15"/>
        <v>30.000000000001137</v>
      </c>
      <c r="AM7" s="58">
        <v>179.36</v>
      </c>
      <c r="AN7" s="65">
        <f t="shared" si="15"/>
        <v>20.000000000010232</v>
      </c>
      <c r="AO7" s="58">
        <v>171.01</v>
      </c>
      <c r="AP7" s="65">
        <f t="shared" si="15"/>
        <v>19.99999999998181</v>
      </c>
      <c r="AQ7" s="58">
        <v>229.28</v>
      </c>
      <c r="AR7" s="65">
        <f t="shared" si="16"/>
        <v>20.000000000010232</v>
      </c>
      <c r="AS7" s="58">
        <v>356.78</v>
      </c>
      <c r="AT7" s="65">
        <f t="shared" si="17"/>
        <v>19.99999999998181</v>
      </c>
      <c r="AU7" s="58">
        <v>275.64999999999998</v>
      </c>
      <c r="AV7" s="65">
        <f t="shared" si="18"/>
        <v>49.999999999954525</v>
      </c>
      <c r="AW7" s="58">
        <v>309.95</v>
      </c>
      <c r="AX7" s="65">
        <f t="shared" si="19"/>
        <v>319.99999999999318</v>
      </c>
      <c r="AY7" s="58">
        <v>356.79</v>
      </c>
      <c r="AZ7" s="65">
        <f t="shared" si="20"/>
        <v>10.000000000047748</v>
      </c>
      <c r="BA7" s="58">
        <v>378.03</v>
      </c>
      <c r="BB7" s="65">
        <f t="shared" si="21"/>
        <v>19.99999999998181</v>
      </c>
      <c r="BC7" s="58">
        <v>236.69</v>
      </c>
      <c r="BD7" s="65">
        <f t="shared" si="22"/>
        <v>9.9999999999909051</v>
      </c>
      <c r="BE7" s="59">
        <v>35201</v>
      </c>
      <c r="BF7" s="67">
        <f t="shared" si="40"/>
        <v>28</v>
      </c>
      <c r="BG7" s="60">
        <v>228.91</v>
      </c>
      <c r="BH7" s="65">
        <f t="shared" si="23"/>
        <v>9.9999999999909051</v>
      </c>
      <c r="BI7" s="60">
        <v>287.83</v>
      </c>
      <c r="BJ7" s="65">
        <f t="shared" si="41"/>
        <v>29.999999999972715</v>
      </c>
      <c r="BK7" s="60">
        <v>233</v>
      </c>
      <c r="BL7" s="65">
        <f t="shared" si="24"/>
        <v>0</v>
      </c>
      <c r="BM7" s="60">
        <v>218.32</v>
      </c>
      <c r="BN7" s="65">
        <f t="shared" si="25"/>
        <v>19.99999999998181</v>
      </c>
      <c r="BO7" s="60">
        <v>283.56</v>
      </c>
      <c r="BP7" s="65">
        <f t="shared" si="26"/>
        <v>9.9999999999909051</v>
      </c>
      <c r="BQ7" s="60">
        <v>41811</v>
      </c>
      <c r="BR7" s="65">
        <f t="shared" si="27"/>
        <v>6</v>
      </c>
      <c r="BS7" s="60">
        <v>196.78</v>
      </c>
      <c r="BT7" s="65">
        <f t="shared" si="42"/>
        <v>9.9999999999909051</v>
      </c>
      <c r="BU7" s="60">
        <v>35326</v>
      </c>
      <c r="BV7" s="65">
        <f t="shared" si="28"/>
        <v>10</v>
      </c>
      <c r="BW7" s="60">
        <v>228.28</v>
      </c>
      <c r="BX7" s="65">
        <f t="shared" si="29"/>
        <v>20.000000000010232</v>
      </c>
      <c r="BY7" s="60">
        <v>53968</v>
      </c>
      <c r="BZ7" s="67">
        <f t="shared" si="30"/>
        <v>16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54678.8</v>
      </c>
      <c r="CH7" s="67">
        <f t="shared" si="34"/>
        <v>46.600000000005821</v>
      </c>
      <c r="CI7" s="60">
        <v>909841</v>
      </c>
      <c r="CJ7" s="67">
        <f t="shared" si="35"/>
        <v>234</v>
      </c>
      <c r="CK7" s="60">
        <v>675.19</v>
      </c>
      <c r="CL7" s="64">
        <f t="shared" si="36"/>
        <v>400.00000000009095</v>
      </c>
      <c r="CM7" s="65">
        <f t="shared" si="37"/>
        <v>29.5</v>
      </c>
      <c r="CN7" s="62">
        <v>0</v>
      </c>
      <c r="CO7" s="62">
        <v>0</v>
      </c>
      <c r="CP7" s="68">
        <v>3804</v>
      </c>
      <c r="CQ7" s="67">
        <f t="shared" si="38"/>
        <v>21.5</v>
      </c>
      <c r="CR7" s="68">
        <v>11907</v>
      </c>
      <c r="CS7" s="67">
        <f t="shared" si="38"/>
        <v>8</v>
      </c>
      <c r="CT7" s="75">
        <v>4634</v>
      </c>
      <c r="CU7" s="67">
        <f t="shared" si="38"/>
        <v>11</v>
      </c>
      <c r="CV7" s="68">
        <v>12022</v>
      </c>
      <c r="CW7" s="67">
        <f t="shared" si="38"/>
        <v>22</v>
      </c>
    </row>
    <row r="8" spans="1:102" ht="25.5" customHeight="1" thickBot="1" x14ac:dyDescent="0.45">
      <c r="A8" s="63">
        <v>44232</v>
      </c>
      <c r="B8" s="44"/>
      <c r="C8" s="58"/>
      <c r="D8" s="64" t="str">
        <f t="shared" si="0"/>
        <v>0</v>
      </c>
      <c r="E8" s="58"/>
      <c r="F8" s="64" t="str">
        <f t="shared" si="1"/>
        <v>0</v>
      </c>
      <c r="G8" s="58"/>
      <c r="H8" s="64" t="str">
        <f t="shared" si="2"/>
        <v>0</v>
      </c>
      <c r="I8" s="58"/>
      <c r="J8" s="64" t="str">
        <f t="shared" si="3"/>
        <v>0</v>
      </c>
      <c r="K8" s="58"/>
      <c r="L8" s="64" t="str">
        <f t="shared" si="39"/>
        <v>0</v>
      </c>
      <c r="M8" s="58"/>
      <c r="N8" s="64" t="str">
        <f t="shared" si="4"/>
        <v/>
      </c>
      <c r="O8" s="58"/>
      <c r="P8" s="67" t="str">
        <f t="shared" si="5"/>
        <v/>
      </c>
      <c r="Q8" s="58"/>
      <c r="R8" s="67" t="str">
        <f t="shared" si="6"/>
        <v/>
      </c>
      <c r="S8" s="58"/>
      <c r="T8" s="67" t="str">
        <f t="shared" si="7"/>
        <v/>
      </c>
      <c r="U8" s="58"/>
      <c r="V8" s="67" t="str">
        <f t="shared" si="8"/>
        <v/>
      </c>
      <c r="W8" s="58"/>
      <c r="X8" s="65" t="str">
        <f t="shared" si="9"/>
        <v/>
      </c>
      <c r="Y8" s="58"/>
      <c r="Z8" s="65" t="str">
        <f t="shared" si="10"/>
        <v/>
      </c>
      <c r="AA8" s="58"/>
      <c r="AB8" s="65" t="str">
        <f t="shared" si="11"/>
        <v/>
      </c>
      <c r="AC8" s="58"/>
      <c r="AD8" s="65" t="str">
        <f t="shared" si="12"/>
        <v/>
      </c>
      <c r="AE8" s="58"/>
      <c r="AF8" s="65" t="str">
        <f t="shared" si="13"/>
        <v/>
      </c>
      <c r="AG8" s="58"/>
      <c r="AH8" s="67" t="str">
        <f t="shared" si="14"/>
        <v/>
      </c>
      <c r="AI8" s="58"/>
      <c r="AJ8" s="65" t="str">
        <f t="shared" si="15"/>
        <v/>
      </c>
      <c r="AK8" s="58"/>
      <c r="AL8" s="65" t="str">
        <f t="shared" si="15"/>
        <v/>
      </c>
      <c r="AM8" s="58"/>
      <c r="AN8" s="65" t="str">
        <f t="shared" si="15"/>
        <v/>
      </c>
      <c r="AO8" s="58"/>
      <c r="AP8" s="65" t="str">
        <f t="shared" si="15"/>
        <v/>
      </c>
      <c r="AQ8" s="58"/>
      <c r="AR8" s="65" t="str">
        <f t="shared" si="16"/>
        <v/>
      </c>
      <c r="AS8" s="58"/>
      <c r="AT8" s="65" t="str">
        <f t="shared" si="17"/>
        <v/>
      </c>
      <c r="AU8" s="58"/>
      <c r="AV8" s="65" t="str">
        <f t="shared" si="18"/>
        <v/>
      </c>
      <c r="AW8" s="58"/>
      <c r="AX8" s="65" t="str">
        <f t="shared" si="19"/>
        <v/>
      </c>
      <c r="AY8" s="58"/>
      <c r="AZ8" s="65" t="str">
        <f t="shared" si="20"/>
        <v/>
      </c>
      <c r="BA8" s="58"/>
      <c r="BB8" s="65" t="str">
        <f t="shared" si="21"/>
        <v/>
      </c>
      <c r="BC8" s="58"/>
      <c r="BD8" s="65" t="str">
        <f t="shared" si="22"/>
        <v/>
      </c>
      <c r="BE8" s="59"/>
      <c r="BF8" s="67" t="str">
        <f t="shared" si="40"/>
        <v/>
      </c>
      <c r="BG8" s="60"/>
      <c r="BH8" s="65" t="str">
        <f t="shared" si="23"/>
        <v/>
      </c>
      <c r="BI8" s="60"/>
      <c r="BJ8" s="65" t="str">
        <f t="shared" si="41"/>
        <v/>
      </c>
      <c r="BK8" s="60"/>
      <c r="BL8" s="65" t="str">
        <f t="shared" si="24"/>
        <v/>
      </c>
      <c r="BM8" s="60"/>
      <c r="BN8" s="65" t="str">
        <f t="shared" si="25"/>
        <v/>
      </c>
      <c r="BO8" s="60"/>
      <c r="BP8" s="65" t="str">
        <f t="shared" si="26"/>
        <v/>
      </c>
      <c r="BQ8" s="60"/>
      <c r="BR8" s="65" t="str">
        <f t="shared" si="27"/>
        <v/>
      </c>
      <c r="BS8" s="60"/>
      <c r="BT8" s="65" t="str">
        <f t="shared" si="42"/>
        <v/>
      </c>
      <c r="BU8" s="60"/>
      <c r="BV8" s="65" t="str">
        <f t="shared" si="28"/>
        <v/>
      </c>
      <c r="BW8" s="60"/>
      <c r="BX8" s="65" t="str">
        <f t="shared" si="29"/>
        <v/>
      </c>
      <c r="BY8" s="60"/>
      <c r="BZ8" s="67" t="str">
        <f t="shared" si="30"/>
        <v/>
      </c>
      <c r="CA8" s="60"/>
      <c r="CB8" s="67" t="str">
        <f t="shared" si="31"/>
        <v/>
      </c>
      <c r="CC8" s="60"/>
      <c r="CD8" s="67" t="str">
        <f t="shared" si="32"/>
        <v/>
      </c>
      <c r="CE8" s="60"/>
      <c r="CF8" s="67" t="str">
        <f t="shared" si="33"/>
        <v/>
      </c>
      <c r="CG8" s="60"/>
      <c r="CH8" s="67" t="str">
        <f t="shared" si="34"/>
        <v/>
      </c>
      <c r="CI8" s="60"/>
      <c r="CJ8" s="67" t="str">
        <f t="shared" si="35"/>
        <v/>
      </c>
      <c r="CK8" s="60"/>
      <c r="CL8" s="64" t="str">
        <f t="shared" si="36"/>
        <v/>
      </c>
      <c r="CM8" s="65" t="e">
        <f t="shared" si="37"/>
        <v>#VALUE!</v>
      </c>
      <c r="CN8" s="62">
        <v>0</v>
      </c>
      <c r="CO8" s="62">
        <v>0</v>
      </c>
      <c r="CP8" s="68"/>
      <c r="CQ8" s="67" t="str">
        <f t="shared" si="38"/>
        <v/>
      </c>
      <c r="CR8" s="68"/>
      <c r="CS8" s="67" t="str">
        <f t="shared" si="38"/>
        <v/>
      </c>
      <c r="CT8" s="75"/>
      <c r="CU8" s="67" t="str">
        <f t="shared" si="38"/>
        <v/>
      </c>
      <c r="CV8" s="68"/>
      <c r="CW8" s="67" t="str">
        <f t="shared" si="38"/>
        <v/>
      </c>
    </row>
    <row r="9" spans="1:102" ht="25.5" customHeight="1" thickBot="1" x14ac:dyDescent="0.45">
      <c r="A9" s="63">
        <v>44233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39"/>
        <v>0</v>
      </c>
      <c r="M9" s="58"/>
      <c r="N9" s="64">
        <f t="shared" si="4"/>
        <v>0</v>
      </c>
      <c r="O9" s="58"/>
      <c r="P9" s="67">
        <f t="shared" si="5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40"/>
        <v>0</v>
      </c>
      <c r="BG9" s="60"/>
      <c r="BH9" s="65">
        <f t="shared" si="23"/>
        <v>0</v>
      </c>
      <c r="BI9" s="60"/>
      <c r="BJ9" s="65">
        <f t="shared" si="41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8"/>
        <v>0</v>
      </c>
      <c r="BW9" s="60"/>
      <c r="BX9" s="65">
        <f t="shared" si="29"/>
        <v>0</v>
      </c>
      <c r="BY9" s="60"/>
      <c r="BZ9" s="67">
        <f t="shared" si="30"/>
        <v>0</v>
      </c>
      <c r="CA9" s="60"/>
      <c r="CB9" s="67">
        <f t="shared" si="31"/>
        <v>0</v>
      </c>
      <c r="CC9" s="60"/>
      <c r="CD9" s="67">
        <f t="shared" si="32"/>
        <v>0</v>
      </c>
      <c r="CE9" s="60"/>
      <c r="CF9" s="67">
        <f t="shared" si="33"/>
        <v>0</v>
      </c>
      <c r="CG9" s="60"/>
      <c r="CH9" s="67">
        <f t="shared" si="34"/>
        <v>0</v>
      </c>
      <c r="CI9" s="60"/>
      <c r="CJ9" s="67">
        <f t="shared" si="35"/>
        <v>0</v>
      </c>
      <c r="CK9" s="60"/>
      <c r="CL9" s="64">
        <f t="shared" si="36"/>
        <v>0</v>
      </c>
      <c r="CM9" s="65">
        <f t="shared" si="37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44234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39"/>
        <v>0</v>
      </c>
      <c r="M10" s="58"/>
      <c r="N10" s="64">
        <f t="shared" si="4"/>
        <v>0</v>
      </c>
      <c r="O10" s="58"/>
      <c r="P10" s="67">
        <f t="shared" si="5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40"/>
        <v>0</v>
      </c>
      <c r="BG10" s="60"/>
      <c r="BH10" s="65">
        <f t="shared" si="23"/>
        <v>0</v>
      </c>
      <c r="BI10" s="60"/>
      <c r="BJ10" s="65">
        <f t="shared" si="41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8"/>
        <v>0</v>
      </c>
      <c r="BW10" s="60"/>
      <c r="BX10" s="65">
        <f t="shared" si="29"/>
        <v>0</v>
      </c>
      <c r="BY10" s="60"/>
      <c r="BZ10" s="67">
        <f t="shared" si="30"/>
        <v>0</v>
      </c>
      <c r="CA10" s="60"/>
      <c r="CB10" s="67">
        <f t="shared" si="31"/>
        <v>0</v>
      </c>
      <c r="CC10" s="60"/>
      <c r="CD10" s="67">
        <f t="shared" si="32"/>
        <v>0</v>
      </c>
      <c r="CE10" s="60"/>
      <c r="CF10" s="67">
        <f t="shared" si="33"/>
        <v>0</v>
      </c>
      <c r="CG10" s="60"/>
      <c r="CH10" s="67">
        <f t="shared" si="34"/>
        <v>0</v>
      </c>
      <c r="CI10" s="60"/>
      <c r="CJ10" s="67">
        <f t="shared" si="35"/>
        <v>0</v>
      </c>
      <c r="CK10" s="60"/>
      <c r="CL10" s="64">
        <f t="shared" si="36"/>
        <v>0</v>
      </c>
      <c r="CM10" s="65">
        <f t="shared" si="37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44235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39"/>
        <v>0</v>
      </c>
      <c r="M11" s="58"/>
      <c r="N11" s="64">
        <f t="shared" si="4"/>
        <v>0</v>
      </c>
      <c r="O11" s="58"/>
      <c r="P11" s="67">
        <f t="shared" ref="P11:P34" si="43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40"/>
        <v>0</v>
      </c>
      <c r="BG11" s="60"/>
      <c r="BH11" s="65">
        <f t="shared" si="23"/>
        <v>0</v>
      </c>
      <c r="BI11" s="60"/>
      <c r="BJ11" s="65">
        <f t="shared" si="41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8"/>
        <v>0</v>
      </c>
      <c r="BW11" s="60"/>
      <c r="BX11" s="65">
        <f t="shared" si="29"/>
        <v>0</v>
      </c>
      <c r="BY11" s="60"/>
      <c r="BZ11" s="67">
        <f t="shared" si="30"/>
        <v>0</v>
      </c>
      <c r="CA11" s="60"/>
      <c r="CB11" s="67">
        <f t="shared" si="31"/>
        <v>0</v>
      </c>
      <c r="CC11" s="60"/>
      <c r="CD11" s="67">
        <f t="shared" si="32"/>
        <v>0</v>
      </c>
      <c r="CE11" s="60"/>
      <c r="CF11" s="67">
        <f t="shared" si="33"/>
        <v>0</v>
      </c>
      <c r="CG11" s="60"/>
      <c r="CH11" s="67">
        <f t="shared" si="34"/>
        <v>0</v>
      </c>
      <c r="CI11" s="60"/>
      <c r="CJ11" s="67">
        <f t="shared" si="35"/>
        <v>0</v>
      </c>
      <c r="CK11" s="60"/>
      <c r="CL11" s="64">
        <f t="shared" si="36"/>
        <v>0</v>
      </c>
      <c r="CM11" s="65">
        <f t="shared" si="37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44236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9"/>
        <v>0</v>
      </c>
      <c r="M12" s="58"/>
      <c r="N12" s="64">
        <f t="shared" si="4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40"/>
        <v>0</v>
      </c>
      <c r="BG12" s="60"/>
      <c r="BH12" s="65">
        <f t="shared" si="23"/>
        <v>0</v>
      </c>
      <c r="BI12" s="60"/>
      <c r="BJ12" s="65">
        <f t="shared" si="41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37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44237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9"/>
        <v>0</v>
      </c>
      <c r="M13" s="58"/>
      <c r="N13" s="64">
        <f t="shared" si="4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40"/>
        <v>0</v>
      </c>
      <c r="BG13" s="60"/>
      <c r="BH13" s="65">
        <f t="shared" si="23"/>
        <v>0</v>
      </c>
      <c r="BI13" s="60"/>
      <c r="BJ13" s="65">
        <f t="shared" si="41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37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44238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44239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44240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 t="shared" si="31"/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44241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 t="shared" si="31"/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44242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 t="shared" si="31"/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44243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44244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44245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44246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44247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44248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44250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44251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44252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44253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44254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44255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/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tabSelected="1" zoomScaleNormal="100" workbookViewId="0">
      <selection activeCell="G15" sqref="G1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5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>
        <v>1</v>
      </c>
      <c r="C11" s="40">
        <v>1</v>
      </c>
      <c r="D11" s="40">
        <v>3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86</v>
      </c>
      <c r="M11" s="42">
        <v>1173</v>
      </c>
      <c r="N11" s="39">
        <v>85</v>
      </c>
      <c r="O11" s="39">
        <v>1</v>
      </c>
      <c r="P11" s="39">
        <v>84</v>
      </c>
      <c r="Q11" s="39">
        <v>3281</v>
      </c>
      <c r="R11" s="78">
        <v>79</v>
      </c>
      <c r="S11" s="78">
        <v>197</v>
      </c>
      <c r="T11">
        <f t="shared" si="0"/>
        <v>0</v>
      </c>
    </row>
    <row r="12" spans="1:20" x14ac:dyDescent="0.25">
      <c r="A12" s="73">
        <v>44233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0"/>
        <v>-197</v>
      </c>
    </row>
    <row r="13" spans="1:20" x14ac:dyDescent="0.25">
      <c r="A13" s="73">
        <v>44234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0"/>
        <v>0</v>
      </c>
    </row>
    <row r="14" spans="1:20" x14ac:dyDescent="0.25">
      <c r="A14" s="73">
        <v>44235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0"/>
        <v>0</v>
      </c>
    </row>
    <row r="15" spans="1:20" x14ac:dyDescent="0.25">
      <c r="A15" s="73">
        <v>44236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0"/>
        <v>0</v>
      </c>
    </row>
    <row r="16" spans="1:20" x14ac:dyDescent="0.25">
      <c r="A16" s="73">
        <v>44237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0"/>
        <v>0</v>
      </c>
    </row>
    <row r="17" spans="1:20" x14ac:dyDescent="0.25">
      <c r="A17" s="73">
        <v>44238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0"/>
        <v>0</v>
      </c>
    </row>
    <row r="18" spans="1:20" x14ac:dyDescent="0.25">
      <c r="A18" s="73">
        <v>44239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0"/>
        <v>0</v>
      </c>
    </row>
    <row r="19" spans="1:20" x14ac:dyDescent="0.25">
      <c r="A19" s="73">
        <v>44240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0"/>
        <v>0</v>
      </c>
    </row>
    <row r="20" spans="1:20" x14ac:dyDescent="0.25">
      <c r="A20" s="73">
        <v>44241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0</v>
      </c>
    </row>
    <row r="21" spans="1:20" x14ac:dyDescent="0.25">
      <c r="A21" s="73">
        <v>44242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44243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44244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44245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44246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44247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44248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44249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44250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44251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44252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44253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44254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44255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/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2021-02-05T12:41:35Z</dcterms:modified>
</cp:coreProperties>
</file>