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8" l="1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<sst xmlns="http://schemas.openxmlformats.org/spreadsheetml/2006/main" count="579" uniqueCount="345">
  <si>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</si>
  <si>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</si>
  <si>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</si>
  <si>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</si>
  <si>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</si>
  <si>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</si>
  <si>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</si>
  <si>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</si>
  <si>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</si>
  <si>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</si>
  <si>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</si>
  <si>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</si>
  <si>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</si>
  <si>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</si>
  <si>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</si>
  <si>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</si>
  <si>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</si>
  <si>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</si>
  <si>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</si>
  <si>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</si>
  <si>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</si>
  <si>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</si>
  <si>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</si>
  <si>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</si>
  <si>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</si>
  <si>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</si>
  <si>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</si>
  <si>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</si>
  <si>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</si>
  <si>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</si>
  <si>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</si>
  <si>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</si>
  <si>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</si>
  <si>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</si>
  <si>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</si>
  <si>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</si>
  <si>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</si>
  <si>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</si>
  <si>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</si>
  <si>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</si>
  <si>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</si>
  <si>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</si>
  <si>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</si>
  <si>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</si>
  <si>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</si>
  <si>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</si>
  <si>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</si>
  <si>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</si>
  <si>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</si>
  <si>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</si>
  <si>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</si>
  <si>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</si>
  <si>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</si>
  <si>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</si>
  <si>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</si>
  <si>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</si>
  <si>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</si>
  <si>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</si>
  <si>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</si>
  <si>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</si>
  <si>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</si>
  <si>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</si>
  <si>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</si>
  <si>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</si>
  <si>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</si>
  <si>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</si>
  <si>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</si>
  <si>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</si>
  <si>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</si>
  <si>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</si>
  <si>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</si>
  <si>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</si>
  <si>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</si>
  <si>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</si>
  <si>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</si>
  <si>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</si>
  <si>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</si>
  <si>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</si>
  <si>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</si>
  <si>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</si>
  <si>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</si>
  <si>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</si>
  <si>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</si>
  <si>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</si>
  <si>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</si>
  <si>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</si>
  <si>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</si>
  <si>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</si>
  <si>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</si>
  <si>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</si>
  <si>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</si>
  <si>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</si>
  <si>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</si>
  <si>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</si>
  <si>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</si>
  <si>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</si>
  <si>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</si>
  <si>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</si>
  <si>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</si>
  <si>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</si>
  <si>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</si>
  <si>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</si>
  <si>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</si>
  <si>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</si>
  <si>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</si>
  <si>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</si>
  <si>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</si>
  <si>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</si>
  <si>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</si>
  <si>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</si>
  <si>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</si>
  <si>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</si>
  <si>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</si>
  <si>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</si>
  <si>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</si>
  <si>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</si>
  <si>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</si>
  <si>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</si>
  <si>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</si>
  <si>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</si>
  <si>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</si>
  <si>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</si>
  <si>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</si>
  <si>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</si>
  <si>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</si>
  <si>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</si>
  <si>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</si>
  <si>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</si>
  <si>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</si>
  <si>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</si>
  <si>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</si>
  <si>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</si>
  <si>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</si>
  <si>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</si>
  <si>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</si>
  <si>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</si>
  <si>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</si>
  <si>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</si>
  <si>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</si>
  <si>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</si>
  <si>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</si>
  <si>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</si>
  <si>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</si>
  <si>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</si>
  <si>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</si>
  <si>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</si>
  <si>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</si>
  <si>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</si>
  <si>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</si>
  <si>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</si>
  <si>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</si>
  <si>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</si>
  <si>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</si>
  <si>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</si>
  <si>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</si>
  <si>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</si>
  <si>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</si>
  <si>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</si>
  <si>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</si>
  <si>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</si>
  <si>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</si>
  <si>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</si>
  <si>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</si>
  <si>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</si>
  <si>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</si>
  <si>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</si>
  <si>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</si>
  <si>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</si>
  <si>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</si>
  <si>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</si>
  <si>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</si>
  <si>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</si>
  <si>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</si>
  <si>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</si>
  <si>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</si>
  <si>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</si>
  <si>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</si>
  <si>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</si>
  <si>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</si>
  <si>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</si>
  <si>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</si>
  <si>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</si>
  <si>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</si>
  <si>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</si>
  <si>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</si>
  <si>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</si>
  <si>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</si>
  <si>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</si>
  <si>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</si>
  <si>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</si>
  <si>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</si>
  <si>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</si>
  <si>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</si>
  <si>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</si>
  <si>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</si>
  <si>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</si>
  <si>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</si>
  <si>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</si>
  <si>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</si>
  <si>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</si>
  <si>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</si>
  <si>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</si>
  <si>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</si>
  <si>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</si>
  <si>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</si>
  <si>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</si>
  <si>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</si>
  <si>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</si>
  <si>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</si>
  <si>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</si>
  <si>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</si>
  <si>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</si>
  <si>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</si>
  <si>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</si>
  <si>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</si>
  <si>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</si>
  <si>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</si>
  <si>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</si>
  <si>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</si>
  <si>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</si>
  <si>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</si>
  <si>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</si>
  <si>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</si>
  <si>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</si>
  <si>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</si>
  <si>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</si>
  <si>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</si>
  <si>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</si>
  <si>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</si>
  <si>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</si>
  <si>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</si>
  <si>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</si>
  <si>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</si>
  <si>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</si>
  <si>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</si>
  <si>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</si>
  <si>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</si>
  <si>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</si>
  <si>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</si>
  <si>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</si>
  <si>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</si>
  <si>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</si>
  <si>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</si>
  <si>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</si>
  <si>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</si>
  <si>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</si>
  <si>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</si>
  <si>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</si>
  <si>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</si>
  <si>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</si>
  <si>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</si>
  <si>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</si>
  <si>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</si>
  <si>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</si>
  <si>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</si>
  <si>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</si>
  <si>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</si>
  <si>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</si>
  <si>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</si>
  <si>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</si>
  <si>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</si>
  <si>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</si>
  <si>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</si>
  <si>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</si>
  <si>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</si>
  <si>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</si>
  <si>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</si>
  <si>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</si>
  <si>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</si>
  <si>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</si>
  <si>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</si>
  <si>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</si>
  <si>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</si>
  <si>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</si>
  <si>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</si>
  <si>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</si>
  <si>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</si>
  <si>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</si>
  <si>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</si>
  <si>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</si>
  <si>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</si>
  <si>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</si>
  <si>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</si>
  <si>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</si>
  <si>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</si>
  <si>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</si>
  <si>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</si>
  <si>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</si>
  <si>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</si>
  <si>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</si>
  <si>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</si>
  <si>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</si>
  <si>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</si>
  <si>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</si>
  <si>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</si>
  <si>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</si>
  <si>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</si>
  <si>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</si>
  <si>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</si>
  <si>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</si>
  <si>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</si>
  <si>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</si>
  <si>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</si>
  <si>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</si>
  <si>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</si>
  <si>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</si>
  <si>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</si>
  <si>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</si>
  <si>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</si>
  <si>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</si>
  <si>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</si>
  <si>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</si>
  <si>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</si>
  <si>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</si>
  <si>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</si>
  <si>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</si>
  <si>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</si>
  <si>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</si>
  <si>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</si>
  <si>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</si>
  <si>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</si>
  <si>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</si>
  <si>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</si>
  <si>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</si>
  <si>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</si>
  <si>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</si>
  <si>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</si>
  <si>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</si>
  <si>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</si>
  <si>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</si>
  <si>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</si>
  <si>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</si>
  <si>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</si>
  <si>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</si>
  <si>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</si>
  <si>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</si>
  <si>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</si>
  <si>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</si>
  <si>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</si>
  <si>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</si>
  <si>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</si>
  <si>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</si>
  <si>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</si>
  <si>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</si>
  <si>
    <t xml:space="preserve">                                   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</si>
</sst>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2856</c:v>
                </c:pt>
                <c:pt idx="19">
                  <c:v>2700</c:v>
                </c:pt>
                <c:pt idx="20">
                  <c:v>2593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4744704"/>
        <c:axId val="1347464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748032"/>
        <c:axId val="134749568"/>
      </c:lineChart>
      <c:catAx>
        <c:axId val="1347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46496"/>
        <c:crosses val="autoZero"/>
        <c:auto val="1"/>
        <c:lblAlgn val="ctr"/>
        <c:lblOffset val="100"/>
      </c:catAx>
      <c:valAx>
        <c:axId val="1347464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44704"/>
        <c:crosses val="autoZero"/>
        <c:crossBetween val="between"/>
        <c:majorUnit val="200"/>
      </c:valAx>
      <c:catAx>
        <c:axId val="134748032"/>
        <c:scaling>
          <c:orientation val="minMax"/>
        </c:scaling>
        <c:delete val="1"/>
        <c:axPos val="b"/>
        <c:tickLblPos val="none"/>
        <c:crossAx val="134749568"/>
        <c:crosses val="autoZero"/>
        <c:auto val="1"/>
        <c:lblAlgn val="ctr"/>
        <c:lblOffset val="100"/>
      </c:catAx>
      <c:valAx>
        <c:axId val="134749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48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4800128"/>
        <c:axId val="134801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4803456"/>
        <c:axId val="134804992"/>
      </c:lineChart>
      <c:catAx>
        <c:axId val="13480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01664"/>
        <c:crosses val="autoZero"/>
        <c:auto val="1"/>
        <c:lblAlgn val="ctr"/>
        <c:lblOffset val="100"/>
      </c:catAx>
      <c:valAx>
        <c:axId val="13480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00128"/>
        <c:crosses val="autoZero"/>
        <c:crossBetween val="between"/>
        <c:majorUnit val="200"/>
      </c:valAx>
      <c:catAx>
        <c:axId val="134803456"/>
        <c:scaling>
          <c:orientation val="minMax"/>
        </c:scaling>
        <c:delete val="1"/>
        <c:axPos val="b"/>
        <c:tickLblPos val="none"/>
        <c:crossAx val="134804992"/>
        <c:crosses val="autoZero"/>
        <c:auto val="1"/>
        <c:lblAlgn val="ctr"/>
        <c:lblOffset val="100"/>
      </c:catAx>
      <c:valAx>
        <c:axId val="134804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03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5913856"/>
        <c:axId val="95915392"/>
      </c:lineChart>
      <c:catAx>
        <c:axId val="9591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5392"/>
        <c:crosses val="autoZero"/>
        <c:auto val="1"/>
        <c:lblAlgn val="ctr"/>
        <c:lblOffset val="200"/>
        <c:tickLblSkip val="1"/>
      </c:catAx>
      <c:valAx>
        <c:axId val="959153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5939968"/>
        <c:axId val="96625792"/>
      </c:lineChart>
      <c:catAx>
        <c:axId val="9593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25792"/>
        <c:crosses val="autoZero"/>
        <c:auto val="1"/>
        <c:lblAlgn val="ctr"/>
        <c:lblOffset val="100"/>
      </c:catAx>
      <c:valAx>
        <c:axId val="966257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6142464"/>
        <c:axId val="96144384"/>
      </c:lineChart>
      <c:catAx>
        <c:axId val="96142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4384"/>
        <c:crosses val="autoZero"/>
        <c:auto val="1"/>
        <c:lblAlgn val="ctr"/>
        <c:lblOffset val="100"/>
      </c:catAx>
      <c:valAx>
        <c:axId val="961443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2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6198016"/>
        <c:axId val="96654848"/>
      </c:lineChart>
      <c:catAx>
        <c:axId val="9619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4848"/>
        <c:crosses val="autoZero"/>
        <c:auto val="1"/>
        <c:lblAlgn val="ctr"/>
        <c:lblOffset val="100"/>
      </c:catAx>
      <c:valAx>
        <c:axId val="966548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98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-334971.47200000007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7208192"/>
        <c:axId val="97209728"/>
      </c:lineChart>
      <c:catAx>
        <c:axId val="9720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09728"/>
        <c:crosses val="autoZero"/>
        <c:auto val="1"/>
        <c:lblAlgn val="ctr"/>
        <c:lblOffset val="100"/>
      </c:catAx>
      <c:valAx>
        <c:axId val="97209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0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7251712"/>
        <c:axId val="97253248"/>
      </c:lineChart>
      <c:catAx>
        <c:axId val="9725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53248"/>
        <c:crosses val="autoZero"/>
        <c:auto val="1"/>
        <c:lblAlgn val="ctr"/>
        <c:lblOffset val="100"/>
      </c:catAx>
      <c:valAx>
        <c:axId val="9725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5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7682944"/>
        <c:axId val="97684480"/>
      </c:lineChart>
      <c:catAx>
        <c:axId val="976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4480"/>
        <c:crosses val="autoZero"/>
        <c:auto val="1"/>
        <c:lblAlgn val="ctr"/>
        <c:lblOffset val="100"/>
      </c:catAx>
      <c:valAx>
        <c:axId val="9768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234"/>
          <c:y val="7.471324705112218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7713152"/>
        <c:axId val="98456320"/>
      </c:lineChart>
      <c:catAx>
        <c:axId val="9771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56320"/>
        <c:crosses val="autoZero"/>
        <c:auto val="1"/>
        <c:lblAlgn val="ctr"/>
        <c:lblOffset val="200"/>
        <c:tickLblSkip val="1"/>
      </c:catAx>
      <c:valAx>
        <c:axId val="984563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8485376"/>
        <c:axId val="98486912"/>
      </c:lineChart>
      <c:catAx>
        <c:axId val="9848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6912"/>
        <c:crosses val="autoZero"/>
        <c:auto val="1"/>
        <c:lblAlgn val="ctr"/>
        <c:lblOffset val="100"/>
      </c:catAx>
      <c:valAx>
        <c:axId val="9848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8249344"/>
        <c:axId val="98292480"/>
      </c:lineChart>
      <c:catAx>
        <c:axId val="98249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92480"/>
        <c:crosses val="autoZero"/>
        <c:auto val="1"/>
        <c:lblAlgn val="ctr"/>
        <c:lblOffset val="100"/>
      </c:catAx>
      <c:valAx>
        <c:axId val="982924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49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8808960"/>
        <c:axId val="98810880"/>
      </c:lineChart>
      <c:catAx>
        <c:axId val="98808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10880"/>
        <c:crosses val="autoZero"/>
        <c:auto val="1"/>
        <c:lblAlgn val="ctr"/>
        <c:lblOffset val="100"/>
      </c:catAx>
      <c:valAx>
        <c:axId val="98810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089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9233152"/>
        <c:axId val="99239040"/>
      </c:lineChart>
      <c:catAx>
        <c:axId val="9923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9040"/>
        <c:crosses val="autoZero"/>
        <c:auto val="1"/>
        <c:lblAlgn val="ctr"/>
        <c:lblOffset val="100"/>
      </c:catAx>
      <c:valAx>
        <c:axId val="9923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9268480"/>
        <c:axId val="99270016"/>
      </c:lineChart>
      <c:catAx>
        <c:axId val="9926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70016"/>
        <c:crosses val="autoZero"/>
        <c:auto val="1"/>
        <c:lblAlgn val="ctr"/>
        <c:lblOffset val="100"/>
      </c:catAx>
      <c:valAx>
        <c:axId val="9927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9044352"/>
        <c:axId val="99050240"/>
      </c:lineChart>
      <c:catAx>
        <c:axId val="990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50240"/>
        <c:crosses val="autoZero"/>
        <c:auto val="1"/>
        <c:lblAlgn val="ctr"/>
        <c:lblOffset val="100"/>
      </c:catAx>
      <c:valAx>
        <c:axId val="9905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611"/>
          <c:y val="7.47132470511225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9551104"/>
        <c:axId val="995526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9558528"/>
        <c:axId val="99560064"/>
      </c:lineChart>
      <c:catAx>
        <c:axId val="99551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2640"/>
        <c:crosses val="autoZero"/>
        <c:lblAlgn val="ctr"/>
        <c:lblOffset val="100"/>
        <c:tickMarkSkip val="1"/>
      </c:catAx>
      <c:valAx>
        <c:axId val="99552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1104"/>
        <c:crosses val="autoZero"/>
        <c:crossBetween val="between"/>
      </c:valAx>
      <c:catAx>
        <c:axId val="99558528"/>
        <c:scaling>
          <c:orientation val="minMax"/>
        </c:scaling>
        <c:delete val="1"/>
        <c:axPos val="b"/>
        <c:numFmt formatCode="[$-409]d\-mmm\-yy;@" sourceLinked="1"/>
        <c:tickLblPos val="none"/>
        <c:crossAx val="99560064"/>
        <c:crosses val="autoZero"/>
        <c:lblAlgn val="ctr"/>
        <c:lblOffset val="100"/>
      </c:catAx>
      <c:valAx>
        <c:axId val="9956006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8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9601024"/>
        <c:axId val="99848576"/>
      </c:lineChart>
      <c:catAx>
        <c:axId val="9960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48576"/>
        <c:crosses val="autoZero"/>
        <c:auto val="1"/>
        <c:lblAlgn val="ctr"/>
        <c:lblOffset val="100"/>
      </c:catAx>
      <c:valAx>
        <c:axId val="998485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0008320"/>
        <c:axId val="100009856"/>
      </c:lineChart>
      <c:catAx>
        <c:axId val="1000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09856"/>
        <c:crosses val="autoZero"/>
        <c:auto val="1"/>
        <c:lblAlgn val="ctr"/>
        <c:lblOffset val="100"/>
      </c:catAx>
      <c:valAx>
        <c:axId val="1000098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0053376"/>
        <c:axId val="1000549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0056448"/>
        <c:axId val="95954048"/>
      </c:lineChart>
      <c:catAx>
        <c:axId val="1000533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54912"/>
        <c:crosses val="autoZero"/>
        <c:lblAlgn val="ctr"/>
        <c:lblOffset val="100"/>
        <c:tickMarkSkip val="1"/>
      </c:catAx>
      <c:valAx>
        <c:axId val="10005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53376"/>
        <c:crosses val="autoZero"/>
        <c:crossBetween val="between"/>
      </c:valAx>
      <c:catAx>
        <c:axId val="100056448"/>
        <c:scaling>
          <c:orientation val="minMax"/>
        </c:scaling>
        <c:delete val="1"/>
        <c:axPos val="b"/>
        <c:numFmt formatCode="General" sourceLinked="1"/>
        <c:tickLblPos val="none"/>
        <c:crossAx val="95954048"/>
        <c:crosses val="autoZero"/>
        <c:lblAlgn val="ctr"/>
        <c:lblOffset val="100"/>
      </c:catAx>
      <c:valAx>
        <c:axId val="959540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56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5994624"/>
        <c:axId val="95996160"/>
      </c:lineChart>
      <c:catAx>
        <c:axId val="959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6160"/>
        <c:crosses val="autoZero"/>
        <c:auto val="1"/>
        <c:lblAlgn val="ctr"/>
        <c:lblOffset val="100"/>
      </c:catAx>
      <c:valAx>
        <c:axId val="9599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6120576"/>
        <c:axId val="136142848"/>
      </c:lineChart>
      <c:catAx>
        <c:axId val="13612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42848"/>
        <c:crosses val="autoZero"/>
        <c:auto val="1"/>
        <c:lblAlgn val="ctr"/>
        <c:lblOffset val="100"/>
      </c:catAx>
      <c:valAx>
        <c:axId val="13614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6091520"/>
        <c:axId val="1360930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6103040"/>
        <c:axId val="136104576"/>
      </c:lineChart>
      <c:catAx>
        <c:axId val="1360915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93056"/>
        <c:crosses val="autoZero"/>
        <c:lblAlgn val="ctr"/>
        <c:lblOffset val="100"/>
        <c:tickMarkSkip val="1"/>
      </c:catAx>
      <c:valAx>
        <c:axId val="1360930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91520"/>
        <c:crosses val="autoZero"/>
        <c:crossBetween val="between"/>
      </c:valAx>
      <c:catAx>
        <c:axId val="136103040"/>
        <c:scaling>
          <c:orientation val="minMax"/>
        </c:scaling>
        <c:delete val="1"/>
        <c:axPos val="b"/>
        <c:numFmt formatCode="[$-409]d\-mmm\-yy;@" sourceLinked="1"/>
        <c:tickLblPos val="none"/>
        <c:crossAx val="136104576"/>
        <c:crosses val="autoZero"/>
        <c:lblAlgn val="ctr"/>
        <c:lblOffset val="100"/>
      </c:catAx>
      <c:valAx>
        <c:axId val="1361045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03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70889600"/>
        <c:axId val="1708911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70892672"/>
        <c:axId val="170914944"/>
      </c:lineChart>
      <c:catAx>
        <c:axId val="1708896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91136"/>
        <c:crosses val="autoZero"/>
        <c:lblAlgn val="ctr"/>
        <c:lblOffset val="100"/>
        <c:tickMarkSkip val="1"/>
      </c:catAx>
      <c:valAx>
        <c:axId val="17089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89600"/>
        <c:crosses val="autoZero"/>
        <c:crossBetween val="between"/>
      </c:valAx>
      <c:catAx>
        <c:axId val="170892672"/>
        <c:scaling>
          <c:orientation val="minMax"/>
        </c:scaling>
        <c:delete val="1"/>
        <c:axPos val="b"/>
        <c:numFmt formatCode="General" sourceLinked="1"/>
        <c:tickLblPos val="none"/>
        <c:crossAx val="170914944"/>
        <c:crosses val="autoZero"/>
        <c:lblAlgn val="ctr"/>
        <c:lblOffset val="100"/>
      </c:catAx>
      <c:valAx>
        <c:axId val="170914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92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1105664"/>
        <c:axId val="17110745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1108992"/>
        <c:axId val="171114880"/>
      </c:lineChart>
      <c:catAx>
        <c:axId val="171105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7456"/>
        <c:crosses val="autoZero"/>
        <c:lblAlgn val="ctr"/>
        <c:lblOffset val="100"/>
        <c:tickMarkSkip val="1"/>
      </c:catAx>
      <c:valAx>
        <c:axId val="171107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5664"/>
        <c:crosses val="autoZero"/>
        <c:crossBetween val="between"/>
      </c:valAx>
      <c:catAx>
        <c:axId val="171108992"/>
        <c:scaling>
          <c:orientation val="minMax"/>
        </c:scaling>
        <c:delete val="1"/>
        <c:axPos val="b"/>
        <c:numFmt formatCode="[$-409]d\-mmm\-yy;@" sourceLinked="1"/>
        <c:tickLblPos val="none"/>
        <c:crossAx val="171114880"/>
        <c:crosses val="autoZero"/>
        <c:lblAlgn val="ctr"/>
        <c:lblOffset val="100"/>
      </c:catAx>
      <c:valAx>
        <c:axId val="1711148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8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1161472"/>
        <c:axId val="1711630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1168896"/>
        <c:axId val="171170432"/>
      </c:lineChart>
      <c:catAx>
        <c:axId val="1711614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63008"/>
        <c:crosses val="autoZero"/>
        <c:lblAlgn val="ctr"/>
        <c:lblOffset val="100"/>
        <c:tickMarkSkip val="1"/>
      </c:catAx>
      <c:valAx>
        <c:axId val="17116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61472"/>
        <c:crosses val="autoZero"/>
        <c:crossBetween val="between"/>
      </c:valAx>
      <c:catAx>
        <c:axId val="171168896"/>
        <c:scaling>
          <c:orientation val="minMax"/>
        </c:scaling>
        <c:delete val="1"/>
        <c:axPos val="b"/>
        <c:numFmt formatCode="General" sourceLinked="1"/>
        <c:tickLblPos val="none"/>
        <c:crossAx val="171170432"/>
        <c:crosses val="autoZero"/>
        <c:lblAlgn val="ctr"/>
        <c:lblOffset val="100"/>
      </c:catAx>
      <c:valAx>
        <c:axId val="171170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68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2461056"/>
        <c:axId val="172475520"/>
      </c:lineChart>
      <c:catAx>
        <c:axId val="172461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5520"/>
        <c:crosses val="autoZero"/>
        <c:auto val="1"/>
        <c:lblAlgn val="ctr"/>
        <c:lblOffset val="100"/>
      </c:catAx>
      <c:valAx>
        <c:axId val="172475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61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2484096"/>
        <c:axId val="172486016"/>
      </c:lineChart>
      <c:catAx>
        <c:axId val="172484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86016"/>
        <c:crosses val="autoZero"/>
        <c:auto val="1"/>
        <c:lblAlgn val="ctr"/>
        <c:lblOffset val="100"/>
      </c:catAx>
      <c:valAx>
        <c:axId val="172486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84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3146112"/>
        <c:axId val="173147648"/>
      </c:lineChart>
      <c:catAx>
        <c:axId val="17314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47648"/>
        <c:crosses val="autoZero"/>
        <c:auto val="1"/>
        <c:lblAlgn val="ctr"/>
        <c:lblOffset val="200"/>
        <c:tickLblSkip val="1"/>
      </c:catAx>
      <c:valAx>
        <c:axId val="173147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4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3176320"/>
        <c:axId val="173177856"/>
      </c:lineChart>
      <c:catAx>
        <c:axId val="17317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77856"/>
        <c:crosses val="autoZero"/>
        <c:auto val="1"/>
        <c:lblAlgn val="ctr"/>
        <c:lblOffset val="100"/>
      </c:catAx>
      <c:valAx>
        <c:axId val="1731778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3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-334971.47200000007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3202432"/>
        <c:axId val="173347584"/>
      </c:lineChart>
      <c:catAx>
        <c:axId val="17320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47584"/>
        <c:crosses val="autoZero"/>
        <c:auto val="1"/>
        <c:lblAlgn val="ctr"/>
        <c:lblOffset val="100"/>
      </c:catAx>
      <c:valAx>
        <c:axId val="173347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0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4199552"/>
        <c:axId val="174201472"/>
      </c:lineChart>
      <c:catAx>
        <c:axId val="174199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01472"/>
        <c:crosses val="autoZero"/>
        <c:auto val="1"/>
        <c:lblAlgn val="ctr"/>
        <c:lblOffset val="100"/>
      </c:catAx>
      <c:valAx>
        <c:axId val="1742014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995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4230528"/>
        <c:axId val="174257280"/>
      </c:lineChart>
      <c:catAx>
        <c:axId val="174230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57280"/>
        <c:crosses val="autoZero"/>
        <c:auto val="1"/>
        <c:lblAlgn val="ctr"/>
        <c:lblOffset val="100"/>
      </c:catAx>
      <c:valAx>
        <c:axId val="174257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30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4405120"/>
        <c:axId val="174406656"/>
      </c:lineChart>
      <c:catAx>
        <c:axId val="17440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06656"/>
        <c:crosses val="autoZero"/>
        <c:auto val="1"/>
        <c:lblAlgn val="ctr"/>
        <c:lblOffset val="200"/>
        <c:tickLblSkip val="1"/>
      </c:catAx>
      <c:valAx>
        <c:axId val="174406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0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4443520"/>
        <c:axId val="174445312"/>
      </c:lineChart>
      <c:catAx>
        <c:axId val="1744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45312"/>
        <c:crosses val="autoZero"/>
        <c:auto val="1"/>
        <c:lblAlgn val="ctr"/>
        <c:lblOffset val="100"/>
      </c:catAx>
      <c:valAx>
        <c:axId val="1744453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3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-334971.47200000007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4883584"/>
        <c:axId val="174885120"/>
      </c:lineChart>
      <c:catAx>
        <c:axId val="17488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85120"/>
        <c:crosses val="autoZero"/>
        <c:auto val="1"/>
        <c:lblAlgn val="ctr"/>
        <c:lblOffset val="100"/>
      </c:catAx>
      <c:valAx>
        <c:axId val="174885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8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5978752"/>
        <c:axId val="175997312"/>
      </c:lineChart>
      <c:catAx>
        <c:axId val="175978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97312"/>
        <c:crosses val="autoZero"/>
        <c:auto val="1"/>
        <c:lblAlgn val="ctr"/>
        <c:lblOffset val="100"/>
      </c:catAx>
      <c:valAx>
        <c:axId val="175997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78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5510272"/>
        <c:axId val="175512192"/>
      </c:lineChart>
      <c:catAx>
        <c:axId val="175510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12192"/>
        <c:crosses val="autoZero"/>
        <c:auto val="1"/>
        <c:lblAlgn val="ctr"/>
        <c:lblOffset val="100"/>
      </c:catAx>
      <c:valAx>
        <c:axId val="175512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102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5545344"/>
        <c:axId val="175555328"/>
      </c:lineChart>
      <c:catAx>
        <c:axId val="17554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55328"/>
        <c:crosses val="autoZero"/>
        <c:auto val="1"/>
        <c:lblAlgn val="ctr"/>
        <c:lblOffset val="200"/>
        <c:tickLblSkip val="1"/>
      </c:catAx>
      <c:valAx>
        <c:axId val="175555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4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6558848"/>
        <c:axId val="176560384"/>
      </c:lineChart>
      <c:catAx>
        <c:axId val="1765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60384"/>
        <c:crosses val="autoZero"/>
        <c:auto val="1"/>
        <c:lblAlgn val="ctr"/>
        <c:lblOffset val="100"/>
      </c:catAx>
      <c:valAx>
        <c:axId val="17656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51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6589056"/>
        <c:axId val="176615424"/>
      </c:lineChart>
      <c:catAx>
        <c:axId val="17658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15424"/>
        <c:crosses val="autoZero"/>
        <c:auto val="1"/>
        <c:lblAlgn val="ctr"/>
        <c:lblOffset val="100"/>
      </c:catAx>
      <c:valAx>
        <c:axId val="17661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8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6394240"/>
        <c:axId val="176396160"/>
      </c:lineChart>
      <c:catAx>
        <c:axId val="176394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96160"/>
        <c:crosses val="autoZero"/>
        <c:auto val="1"/>
        <c:lblAlgn val="ctr"/>
        <c:lblOffset val="100"/>
      </c:catAx>
      <c:valAx>
        <c:axId val="176396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942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6908544"/>
        <c:axId val="176923008"/>
      </c:lineChart>
      <c:catAx>
        <c:axId val="176908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23008"/>
        <c:crosses val="autoZero"/>
        <c:auto val="1"/>
        <c:lblAlgn val="ctr"/>
        <c:lblOffset val="100"/>
      </c:catAx>
      <c:valAx>
        <c:axId val="176923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08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7079040"/>
        <c:axId val="177080576"/>
      </c:lineChart>
      <c:catAx>
        <c:axId val="17707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80576"/>
        <c:crosses val="autoZero"/>
        <c:auto val="1"/>
        <c:lblAlgn val="ctr"/>
        <c:lblOffset val="200"/>
        <c:tickLblSkip val="1"/>
      </c:catAx>
      <c:valAx>
        <c:axId val="177080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7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7109248"/>
        <c:axId val="177115136"/>
      </c:lineChart>
      <c:catAx>
        <c:axId val="17710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15136"/>
        <c:crosses val="autoZero"/>
        <c:auto val="1"/>
        <c:lblAlgn val="ctr"/>
        <c:lblOffset val="100"/>
      </c:catAx>
      <c:valAx>
        <c:axId val="17711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0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51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7414144"/>
        <c:axId val="177415680"/>
      </c:lineChart>
      <c:catAx>
        <c:axId val="17741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15680"/>
        <c:crosses val="autoZero"/>
        <c:auto val="1"/>
        <c:lblAlgn val="ctr"/>
        <c:lblOffset val="100"/>
      </c:catAx>
      <c:valAx>
        <c:axId val="17741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2856</v>
      </c>
      <c r="F21" s="418">
        <f>('UTILITY REPORT 1'!E22*'UTILITY REPORT 1'!D22)/'UTILITY REPORT 1'!F22</f>
        <v>0.41581932773109243</v>
      </c>
      <c r="G21" s="418">
        <f>IF('Utility summery'!M25&lt;0,"0",'Utility summery'!M25)</f>
        <v>65.955999999959033</v>
      </c>
      <c r="H21" s="423">
        <v>0</v>
      </c>
      <c r="I21" s="418">
        <f>IF('UTILITY REPORT 1'!G22&lt;0,"0",'UTILITY REPORT 1'!G22)</f>
        <v>66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2700</v>
      </c>
      <c r="F22" s="418">
        <f>('UTILITY REPORT 1'!E23*'UTILITY REPORT 1'!D23)/'UTILITY REPORT 1'!F23</f>
        <v>0.41387407407407406</v>
      </c>
      <c r="G22" s="418">
        <f>IF('Utility summery'!M26&lt;0,"0",'Utility summery'!M26)</f>
        <v>65.560000000038428</v>
      </c>
      <c r="H22" s="423">
        <v>0</v>
      </c>
      <c r="I22" s="418">
        <f>IF('UTILITY REPORT 1'!G23&lt;0,"0",'UTILITY REPORT 1'!G23)</f>
        <v>47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2593</v>
      </c>
      <c r="F23" s="418">
        <f>('UTILITY REPORT 1'!E24*'UTILITY REPORT 1'!D24)/'UTILITY REPORT 1'!F24</f>
        <v>0.41092942537601235</v>
      </c>
      <c r="G23" s="418">
        <f>IF('Utility summery'!M27&lt;0,"0",'Utility summery'!M27)</f>
        <v>58.211999999982076</v>
      </c>
      <c r="H23" s="423">
        <v>0</v>
      </c>
      <c r="I23" s="418">
        <f>IF('UTILITY REPORT 1'!G24&lt;0,"0",'UTILITY REPORT 1'!G24)</f>
        <v>50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41.140000000025616</v>
      </c>
      <c r="H24" s="423">
        <v>0</v>
      </c>
      <c r="I24" s="418" t="str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 t="str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67.459999999999994</v>
      </c>
      <c r="F21" s="456">
        <f>'UTILITY REPORT 1'!E22</f>
        <v>1187.58</v>
      </c>
      <c r="G21" s="457">
        <f>'UTILITY REPORT 1'!F22</f>
        <v>2856</v>
      </c>
      <c r="H21" s="456">
        <f>IF('Kit report'!F23&lt;0,"0",'Kit report'!F23)</f>
        <v>252.00000000004366</v>
      </c>
      <c r="I21" s="456">
        <f>IF('Kit report'!X23&lt;0,"0",'Kit report'!X23)</f>
        <v>239.99999999996362</v>
      </c>
      <c r="J21" s="456">
        <f>IF('Utility summery'!H25&lt;0,"0",'Utility summery'!H25)</f>
        <v>40</v>
      </c>
      <c r="K21" s="457">
        <f>IF('UTILITY REPORT 1'!H22&lt;0,"0",'UTILITY REPORT 1'!H22)</f>
        <v>130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66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16</v>
      </c>
      <c r="U21" s="242">
        <f>IF('Water-Meter'!AG25&lt;0,"0",'Water-Meter'!AG25)</f>
        <v>0</v>
      </c>
      <c r="V21" s="242">
        <f>IF('Water-Meter'!AJ25&lt;0,"0",'Water-Meter'!AJ25)</f>
        <v>28</v>
      </c>
      <c r="W21" s="30">
        <f>'Water-Meter'!AN25</f>
        <v>44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17.399999999999999</v>
      </c>
      <c r="F22" s="456">
        <f>'UTILITY REPORT 1'!E23</f>
        <v>1117.46</v>
      </c>
      <c r="G22" s="457">
        <f>'UTILITY REPORT 1'!F23</f>
        <v>2700</v>
      </c>
      <c r="H22" s="456">
        <f>IF('Kit report'!F24&lt;0,"0",'Kit report'!F24)</f>
        <v>227.99999999995634</v>
      </c>
      <c r="I22" s="456">
        <f>IF('Kit report'!X24&lt;0,"0",'Kit report'!X24)</f>
        <v>279.99999999992724</v>
      </c>
      <c r="J22" s="456">
        <f>IF('Utility summery'!H26&lt;0,"0",'Utility summery'!H26)</f>
        <v>45</v>
      </c>
      <c r="K22" s="457">
        <f>IF('UTILITY REPORT 1'!H23&lt;0,"0",'UTILITY REPORT 1'!H23)</f>
        <v>56</v>
      </c>
      <c r="L22" s="456">
        <f>'Water-Meter'!K26</f>
        <v>3</v>
      </c>
      <c r="M22" s="457">
        <f>'Water-Meter'!H26</f>
        <v>0</v>
      </c>
      <c r="N22" s="457">
        <f>'Water-Meter'!Q26</f>
        <v>3</v>
      </c>
      <c r="O22" s="456" t="e">
        <f>K22*E22+H22*I22+#REF!*#REF!+J22*L22</f>
        <v>#REF!</v>
      </c>
      <c r="P22" s="462">
        <f>'Water-Meter'!E26</f>
        <v>47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46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54.930000000000007</v>
      </c>
      <c r="F23" s="456">
        <f>'UTILITY REPORT 1'!E24</f>
        <v>1065.54</v>
      </c>
      <c r="G23" s="457">
        <f>'UTILITY REPORT 1'!F24</f>
        <v>2593</v>
      </c>
      <c r="H23" s="456">
        <f>IF('Kit report'!F25&lt;0,"0",'Kit report'!F25)</f>
        <v>227.99999999995634</v>
      </c>
      <c r="I23" s="456">
        <f>IF('Kit report'!X25&lt;0,"0",'Kit report'!X25)</f>
        <v>339.99999999996362</v>
      </c>
      <c r="J23" s="456">
        <f>IF('Utility summery'!H27&lt;0,"0",'Utility summery'!H27)</f>
        <v>46</v>
      </c>
      <c r="K23" s="457">
        <f>IF('UTILITY REPORT 1'!H24&lt;0,"0",'UTILITY REPORT 1'!H24)</f>
        <v>0</v>
      </c>
      <c r="L23" s="456">
        <f>'Water-Meter'!K27</f>
        <v>2</v>
      </c>
      <c r="M23" s="457" t="str">
        <f>'Water-Meter'!H27</f>
        <v>0</v>
      </c>
      <c r="N23" s="457">
        <f>'Water-Meter'!Q27</f>
        <v>6</v>
      </c>
      <c r="O23" s="456" t="e">
        <f>K23*E23+H23*I23+#REF!*#REF!+J23*L23</f>
        <v>#REF!</v>
      </c>
      <c r="P23" s="462">
        <f>'Water-Meter'!E27</f>
        <v>50</v>
      </c>
      <c r="Q23" s="242">
        <f>IF('Water-Meter'!U27&lt;0,"0",'Water-Meter'!U27)</f>
        <v>61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28</v>
      </c>
      <c r="W23" s="30">
        <f>'Water-Meter'!AN27</f>
        <v>105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 t="str">
        <f>IF('Kit report'!F26&lt;0,"0",'Kit report'!F26)</f>
        <v>0</v>
      </c>
      <c r="I24" s="456" t="str">
        <f>IF('Kit report'!X26&lt;0,"0",'Kit report'!X26)</f>
        <v>0</v>
      </c>
      <c r="J24" s="456" t="e">
        <f>IF('Utility summery'!H28&lt;0,"0",'Utility summery'!H28)</f>
        <v>#VALUE!</v>
      </c>
      <c r="K24" s="457" t="str">
        <f>IF('UTILITY REPORT 1'!H25&lt;0,"0",'UTILITY REPORT 1'!H25)</f>
        <v>0</v>
      </c>
      <c r="L24" s="456" t="str">
        <f>'Water-Meter'!K28</f>
        <v>0</v>
      </c>
      <c r="M24" s="457" t="str">
        <f>'Water-Meter'!H28</f>
        <v>0</v>
      </c>
      <c r="N24" s="457" t="str">
        <f>'Water-Meter'!Q28</f>
        <v>0</v>
      </c>
      <c r="O24" s="456" t="e">
        <f>K24*E24+H24*I24+#REF!*#REF!+J24*L24</f>
        <v>#REF!</v>
      </c>
      <c r="P24" s="462" t="str">
        <f>'Water-Meter'!E28</f>
        <v>0</v>
      </c>
      <c r="Q24" s="242" t="str">
        <f>IF('Water-Meter'!U28&lt;0,"0",'Water-Meter'!U28)</f>
        <v>0</v>
      </c>
      <c r="R24" s="242" t="str">
        <f>IF('Water-Meter'!X28&lt;0,"0",'Water-Meter'!X28)</f>
        <v>0</v>
      </c>
      <c r="S24" s="242" t="str">
        <f>IF('Water-Meter'!AA28&lt;0,"0",'Water-Meter'!AA28)</f>
        <v>0</v>
      </c>
      <c r="T24" s="242" t="str">
        <f>IF('Water-Meter'!AD28&lt;0,"0",'Water-Meter'!AD28)</f>
        <v>0</v>
      </c>
      <c r="U24" s="242" t="str">
        <f>IF('Water-Meter'!AG28&lt;0,"0",'Water-Meter'!AG28)</f>
        <v>0</v>
      </c>
      <c r="V24" s="242" t="str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 t="e">
        <f>IF('Utility summery'!H29&lt;0,"0",'Utility summery'!H29)</f>
        <v>#VALUE!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 t="e">
        <f>IF('Kit report'!X28&lt;0,"0",'Kit report'!X28)</f>
        <v>#VALUE!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#VALUE!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 t="e">
        <f>IF('Kit report'!X29&lt;0,"0",'Kit report'!X29)</f>
        <v>#VALUE!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#VALUE!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5" t="s">
        <v>314</v>
      </c>
      <c r="B1" s="865"/>
      <c r="C1" s="865"/>
      <c r="D1" s="865"/>
      <c r="E1" s="865"/>
      <c r="F1" s="865"/>
      <c r="G1" s="865"/>
      <c r="H1" s="86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1187.58</v>
      </c>
      <c r="F22" s="405">
        <f>Gen!T30</f>
        <v>2856</v>
      </c>
      <c r="G22" s="405">
        <f>'Water-Meter'!E25</f>
        <v>66</v>
      </c>
      <c r="H22" s="405">
        <f>'Utility report '!AC25</f>
        <v>130</v>
      </c>
      <c r="I22" s="405">
        <f>Gen!AJ30</f>
        <v>67.459999999999994</v>
      </c>
    </row>
    <row r="23" spans="1:9" ht="13.5">
      <c r="A23" s="402">
        <f>Gen!A31</f>
        <v>44307</v>
      </c>
      <c r="B23" s="404">
        <f>Gen!B31</f>
        <v>2.5999999999999999E-2</v>
      </c>
      <c r="C23" s="405">
        <f>'Summery Report'!E25</f>
        <v>0</v>
      </c>
      <c r="D23" s="406">
        <v>1</v>
      </c>
      <c r="E23" s="405">
        <f>Gen!S31</f>
        <v>1117.46</v>
      </c>
      <c r="F23" s="405">
        <f>Gen!T31</f>
        <v>2700</v>
      </c>
      <c r="G23" s="405">
        <f>'Water-Meter'!E26</f>
        <v>47</v>
      </c>
      <c r="H23" s="405">
        <f>'Utility report '!AC26</f>
        <v>56</v>
      </c>
      <c r="I23" s="405">
        <f>Gen!AJ31</f>
        <v>17.399999999999999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1065.54</v>
      </c>
      <c r="F24" s="405">
        <f>Gen!T32</f>
        <v>2593</v>
      </c>
      <c r="G24" s="405">
        <f>'Water-Meter'!E27</f>
        <v>50</v>
      </c>
      <c r="H24" s="405">
        <f>'Utility report '!AC27</f>
        <v>0</v>
      </c>
      <c r="I24" s="405">
        <f>Gen!AJ32</f>
        <v>54.930000000000007</v>
      </c>
    </row>
    <row r="25" spans="1:9" ht="13.5">
      <c r="A25" s="402">
        <f>Gen!A33</f>
        <v>44309</v>
      </c>
      <c r="B25" s="404">
        <f>Gen!B33</f>
        <v>1.2999999999999999E-2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 t="str">
        <f>'Water-Meter'!E28</f>
        <v>0</v>
      </c>
      <c r="H25" s="405">
        <f>'Utility report '!AC28</f>
        <v>-574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6" t="s">
        <v>135</v>
      </c>
      <c r="E4" s="866"/>
      <c r="F4" s="866"/>
      <c r="G4" s="867" t="s">
        <v>20</v>
      </c>
      <c r="H4" s="867"/>
      <c r="I4" s="867"/>
      <c r="J4" s="868" t="s">
        <v>54</v>
      </c>
      <c r="K4" s="868"/>
      <c r="L4" s="868"/>
      <c r="M4" s="868"/>
      <c r="N4" s="869" t="s">
        <v>143</v>
      </c>
      <c r="O4" s="869"/>
      <c r="P4" s="869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>
        <f>Gen!U30</f>
        <v>0.41581932773109243</v>
      </c>
      <c r="D25" s="152">
        <f>Gen!T30</f>
        <v>2856</v>
      </c>
      <c r="E25" s="152">
        <f>Gen!AK30</f>
        <v>0</v>
      </c>
      <c r="F25" s="152">
        <f>Gen!AS30</f>
        <v>0</v>
      </c>
      <c r="G25" s="153">
        <f>'Utility report '!AC25</f>
        <v>130</v>
      </c>
      <c r="H25" s="153">
        <f>'Utility report '!AE25</f>
        <v>40</v>
      </c>
      <c r="I25" s="296">
        <f>'Water-Meter'!E25</f>
        <v>66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3998.3999999999996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>
        <f>Gen!U31</f>
        <v>0.41387407407407406</v>
      </c>
      <c r="D26" s="152">
        <f>Gen!T31</f>
        <v>2700</v>
      </c>
      <c r="E26" s="152">
        <f>Gen!AK31</f>
        <v>0</v>
      </c>
      <c r="F26" s="152">
        <f>Gen!AS31</f>
        <v>0</v>
      </c>
      <c r="G26" s="153">
        <f>'Utility report '!AC26</f>
        <v>56</v>
      </c>
      <c r="H26" s="153">
        <f>'Utility report '!AE26</f>
        <v>45</v>
      </c>
      <c r="I26" s="296">
        <f>'Water-Meter'!E26</f>
        <v>47</v>
      </c>
      <c r="J26" s="154">
        <f>'Lpg (2)'!B30</f>
        <v>85</v>
      </c>
      <c r="K26" s="154">
        <f>'Lpg (2)'!C30</f>
        <v>85</v>
      </c>
      <c r="L26" s="154">
        <f>'Lpg (2)'!D30</f>
        <v>27</v>
      </c>
      <c r="M26" s="449">
        <f>'Lpg (2)'!G30</f>
        <v>65.560000000038428</v>
      </c>
      <c r="N26" s="151">
        <f t="shared" si="2"/>
        <v>3779.9999999999995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>
        <f>Gen!U32</f>
        <v>0.41092942537601235</v>
      </c>
      <c r="D27" s="152">
        <f>Gen!T32</f>
        <v>2593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46</v>
      </c>
      <c r="I27" s="296">
        <f>'Water-Meter'!E27</f>
        <v>50</v>
      </c>
      <c r="J27" s="154">
        <f>'Lpg (2)'!B31</f>
        <v>85</v>
      </c>
      <c r="K27" s="154">
        <f>'Lpg (2)'!C31</f>
        <v>85</v>
      </c>
      <c r="L27" s="154">
        <f>'Lpg (2)'!D31</f>
        <v>25</v>
      </c>
      <c r="M27" s="449">
        <f>'Lpg (2)'!G31</f>
        <v>58.211999999982076</v>
      </c>
      <c r="N27" s="151">
        <f t="shared" si="2"/>
        <v>3630.2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-574</v>
      </c>
      <c r="H28" s="153" t="e">
        <f>'Utility report '!AE28</f>
        <v>#VALUE!</v>
      </c>
      <c r="I28" s="296" t="str">
        <f>'Water-Meter'!E28</f>
        <v>0</v>
      </c>
      <c r="J28" s="154">
        <f>'Lpg (2)'!B32</f>
        <v>85</v>
      </c>
      <c r="K28" s="154">
        <f>'Lpg (2)'!C32</f>
        <v>85</v>
      </c>
      <c r="L28" s="154">
        <f>'Lpg (2)'!D32</f>
        <v>20</v>
      </c>
      <c r="M28" s="449">
        <f>'Lpg (2)'!G32</f>
        <v>41.140000000025616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 t="e">
        <f>'Utility report '!AE29</f>
        <v>#VALUE!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-334971.47200000007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62765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 t="e">
        <f t="shared" si="3"/>
        <v>#VALUE!</v>
      </c>
      <c r="I39" s="453">
        <f t="shared" si="3"/>
        <v>1602</v>
      </c>
      <c r="J39" s="453">
        <f t="shared" si="3"/>
        <v>1275</v>
      </c>
      <c r="K39" s="453">
        <f t="shared" si="3"/>
        <v>1288</v>
      </c>
      <c r="L39" s="453">
        <f t="shared" si="3"/>
        <v>1312</v>
      </c>
      <c r="M39" s="453">
        <f t="shared" si="3"/>
        <v>-333476.88000000006</v>
      </c>
      <c r="N39" s="453">
        <f t="shared" si="3"/>
        <v>87870.999999999985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7">
        <f>A6</f>
        <v>44287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9"/>
    </row>
    <row r="2" spans="1:37" ht="61.5" customHeight="1" thickBot="1">
      <c r="A2" s="137" t="s">
        <v>98</v>
      </c>
      <c r="B2" s="880" t="s">
        <v>99</v>
      </c>
      <c r="C2" s="881"/>
      <c r="D2" s="882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0" t="s">
        <v>103</v>
      </c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284" t="s">
        <v>104</v>
      </c>
      <c r="AB2" s="880" t="s">
        <v>164</v>
      </c>
      <c r="AC2" s="882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3">
        <f>SUM(D3/B3)</f>
        <v>1.3262195121951219</v>
      </c>
      <c r="G3" s="884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0" t="s">
        <v>112</v>
      </c>
      <c r="P3" s="870"/>
      <c r="Q3" s="870"/>
      <c r="R3" s="870"/>
      <c r="S3" s="871" t="s">
        <v>113</v>
      </c>
      <c r="T3" s="872"/>
      <c r="U3" s="872"/>
      <c r="V3" s="873"/>
      <c r="W3" s="874" t="s">
        <v>114</v>
      </c>
      <c r="X3" s="875"/>
      <c r="Y3" s="875"/>
      <c r="Z3" s="876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1207958.4000000001</v>
      </c>
      <c r="AB23" s="709">
        <v>351</v>
      </c>
      <c r="AC23" s="690">
        <f t="shared" si="11"/>
        <v>38</v>
      </c>
      <c r="AD23" s="864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26707.000000000007</v>
      </c>
      <c r="I25" s="720">
        <f>Gen!E30</f>
        <v>15000</v>
      </c>
      <c r="J25" s="759">
        <f>Gen!T30</f>
        <v>2856</v>
      </c>
      <c r="K25" s="764">
        <f>Gen!AK30</f>
        <v>0</v>
      </c>
      <c r="L25" s="755">
        <f t="shared" si="17"/>
        <v>2856</v>
      </c>
      <c r="M25" s="448">
        <f>'Water-Meter'!K65</f>
        <v>499.23768889017356</v>
      </c>
      <c r="N25" s="715">
        <f>'Water-Meter'!E25</f>
        <v>66</v>
      </c>
      <c r="O25" s="706"/>
      <c r="P25" s="713">
        <v>19032</v>
      </c>
      <c r="Q25" s="725">
        <f t="shared" si="2"/>
        <v>0</v>
      </c>
      <c r="R25" s="426">
        <f t="shared" si="5"/>
        <v>0</v>
      </c>
      <c r="S25" s="701">
        <v>6.2</v>
      </c>
      <c r="T25" s="702">
        <v>17909</v>
      </c>
      <c r="U25" s="725">
        <f t="shared" si="6"/>
        <v>16</v>
      </c>
      <c r="V25" s="427">
        <f t="shared" si="19"/>
        <v>99.2</v>
      </c>
      <c r="W25" s="706">
        <v>1.8</v>
      </c>
      <c r="X25" s="707">
        <v>27962</v>
      </c>
      <c r="Y25" s="725">
        <f t="shared" si="8"/>
        <v>9</v>
      </c>
      <c r="Z25" s="705">
        <f t="shared" si="9"/>
        <v>16.2</v>
      </c>
      <c r="AA25" s="712">
        <f t="shared" si="10"/>
        <v>452984.39999999997</v>
      </c>
      <c r="AB25" s="709">
        <v>518</v>
      </c>
      <c r="AC25" s="690">
        <f t="shared" si="11"/>
        <v>130</v>
      </c>
      <c r="AD25" s="693">
        <v>215230</v>
      </c>
      <c r="AE25" s="178">
        <f t="shared" si="15"/>
        <v>40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2.5999999999999999E-2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25451.960000000006</v>
      </c>
      <c r="I26" s="720">
        <f>Gen!E31</f>
        <v>0</v>
      </c>
      <c r="J26" s="759">
        <f>Gen!T31</f>
        <v>2700</v>
      </c>
      <c r="K26" s="764">
        <f>Gen!AK31</f>
        <v>0</v>
      </c>
      <c r="L26" s="755">
        <f t="shared" si="17"/>
        <v>2700</v>
      </c>
      <c r="M26" s="448">
        <f>'Water-Meter'!K66</f>
        <v>431.38915033446347</v>
      </c>
      <c r="N26" s="715">
        <f>'Water-Meter'!E26</f>
        <v>47</v>
      </c>
      <c r="O26" s="706"/>
      <c r="P26" s="713">
        <v>19032</v>
      </c>
      <c r="Q26" s="725">
        <f t="shared" si="2"/>
        <v>0</v>
      </c>
      <c r="R26" s="426">
        <f t="shared" si="5"/>
        <v>0</v>
      </c>
      <c r="S26" s="701">
        <v>6.2</v>
      </c>
      <c r="T26" s="702">
        <v>17917</v>
      </c>
      <c r="U26" s="725">
        <f t="shared" si="6"/>
        <v>8</v>
      </c>
      <c r="V26" s="427">
        <f t="shared" si="19"/>
        <v>49.6</v>
      </c>
      <c r="W26" s="706">
        <v>1.8</v>
      </c>
      <c r="X26" s="707">
        <v>27962</v>
      </c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>
        <v>574</v>
      </c>
      <c r="AC26" s="690">
        <f t="shared" si="11"/>
        <v>56</v>
      </c>
      <c r="AD26" s="693">
        <v>215275</v>
      </c>
      <c r="AE26" s="178">
        <f t="shared" si="15"/>
        <v>45</v>
      </c>
      <c r="AF26" s="719">
        <f>'Lpg (2)'!B30*2000/85</f>
        <v>2000</v>
      </c>
      <c r="AG26" s="266">
        <f>'Lpg (2)'!C30*1000/85</f>
        <v>1000</v>
      </c>
      <c r="AH26" s="732">
        <f>'Lpg (2)'!D30*1000/85</f>
        <v>317.64705882352939</v>
      </c>
      <c r="AI26" s="722">
        <f t="shared" si="18"/>
        <v>5317647.0588235296</v>
      </c>
      <c r="AJ26" s="428">
        <f t="shared" si="4"/>
        <v>47058.823529411107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39117.100000000006</v>
      </c>
      <c r="I27" s="720">
        <f>Gen!E32</f>
        <v>0</v>
      </c>
      <c r="J27" s="759">
        <f>Gen!T32</f>
        <v>2593</v>
      </c>
      <c r="K27" s="764">
        <f>Gen!AK32</f>
        <v>0</v>
      </c>
      <c r="L27" s="755">
        <f t="shared" si="17"/>
        <v>2593</v>
      </c>
      <c r="M27" s="448">
        <f>'Water-Meter'!K67</f>
        <v>388.70300105450343</v>
      </c>
      <c r="N27" s="715">
        <f>'Water-Meter'!E27</f>
        <v>50</v>
      </c>
      <c r="O27" s="706"/>
      <c r="P27" s="713">
        <v>19032</v>
      </c>
      <c r="Q27" s="725">
        <f t="shared" si="2"/>
        <v>0</v>
      </c>
      <c r="R27" s="426">
        <f t="shared" si="5"/>
        <v>0</v>
      </c>
      <c r="S27" s="701">
        <v>6.2</v>
      </c>
      <c r="T27" s="702">
        <v>17917</v>
      </c>
      <c r="U27" s="725">
        <f t="shared" si="6"/>
        <v>0</v>
      </c>
      <c r="V27" s="427">
        <f t="shared" si="19"/>
        <v>0</v>
      </c>
      <c r="W27" s="706">
        <v>1.8</v>
      </c>
      <c r="X27" s="707">
        <v>27962</v>
      </c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>
        <v>574</v>
      </c>
      <c r="AC27" s="690">
        <f t="shared" si="11"/>
        <v>0</v>
      </c>
      <c r="AD27" s="693">
        <v>215321</v>
      </c>
      <c r="AE27" s="178">
        <f t="shared" si="15"/>
        <v>46</v>
      </c>
      <c r="AF27" s="719">
        <f>'Lpg (2)'!B31*2000/85</f>
        <v>2000</v>
      </c>
      <c r="AG27" s="266">
        <f>'Lpg (2)'!C31*1000/85</f>
        <v>1000</v>
      </c>
      <c r="AH27" s="732">
        <f>'Lpg (2)'!D31*1000/85</f>
        <v>294.11764705882354</v>
      </c>
      <c r="AI27" s="722">
        <f t="shared" si="18"/>
        <v>5294117.6470588231</v>
      </c>
      <c r="AJ27" s="428">
        <f t="shared" si="4"/>
        <v>23529.411764706485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1.2999999999999999E-2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37996.630000000005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456.41933882579349</v>
      </c>
      <c r="N28" s="715" t="str">
        <f>'Water-Meter'!E28</f>
        <v>0</v>
      </c>
      <c r="O28" s="706"/>
      <c r="P28" s="713"/>
      <c r="Q28" s="725">
        <f t="shared" si="2"/>
        <v>-19032</v>
      </c>
      <c r="R28" s="426">
        <f t="shared" si="5"/>
        <v>0</v>
      </c>
      <c r="S28" s="701"/>
      <c r="T28" s="702"/>
      <c r="U28" s="725">
        <f t="shared" si="6"/>
        <v>-17917</v>
      </c>
      <c r="V28" s="427">
        <f t="shared" si="19"/>
        <v>0</v>
      </c>
      <c r="W28" s="701"/>
      <c r="X28" s="707"/>
      <c r="Y28" s="725">
        <f t="shared" si="8"/>
        <v>-27962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-574</v>
      </c>
      <c r="AD28" s="693" t="s">
        <v>344</v>
      </c>
      <c r="AE28" s="178" t="e">
        <f t="shared" si="15"/>
        <v>#VALUE!</v>
      </c>
      <c r="AF28" s="719">
        <f>'Lpg (2)'!B32*2000/85</f>
        <v>2000</v>
      </c>
      <c r="AG28" s="266">
        <f>'Lpg (2)'!C32*1000/85</f>
        <v>1000</v>
      </c>
      <c r="AH28" s="732">
        <f>'Lpg (2)'!D32*1000/85</f>
        <v>235.29411764705881</v>
      </c>
      <c r="AI28" s="722">
        <f t="shared" si="18"/>
        <v>5235294.1176470593</v>
      </c>
      <c r="AJ28" s="428">
        <f t="shared" si="4"/>
        <v>58823.529411763884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37996.630000000005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 t="e">
        <f t="shared" si="15"/>
        <v>#VALUE!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5235294.1176470593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37996.630000000005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37996.630000000005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37996.630000000005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37996.630000000005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37996.630000000005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37996.630000000005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37996.630000000005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65940</v>
      </c>
      <c r="K37" s="770"/>
      <c r="L37" s="756">
        <f t="shared" si="17"/>
        <v>65940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8" sqref="W2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5" t="s">
        <v>150</v>
      </c>
      <c r="C1" s="886"/>
      <c r="D1" s="886"/>
      <c r="E1" s="886"/>
      <c r="F1" s="887"/>
      <c r="G1" s="157"/>
      <c r="H1" s="885" t="s">
        <v>151</v>
      </c>
      <c r="I1" s="886"/>
      <c r="J1" s="886"/>
      <c r="K1" s="886"/>
      <c r="L1" s="887"/>
      <c r="M1" s="885" t="s">
        <v>170</v>
      </c>
      <c r="N1" s="886"/>
      <c r="O1" s="886"/>
      <c r="P1" s="886"/>
      <c r="Q1" s="887"/>
      <c r="R1" s="157"/>
      <c r="T1" s="885" t="s">
        <v>166</v>
      </c>
      <c r="U1" s="886"/>
      <c r="V1" s="886"/>
      <c r="W1" s="886"/>
      <c r="X1" s="887"/>
      <c r="Y1" s="885" t="s">
        <v>169</v>
      </c>
      <c r="Z1" s="886"/>
      <c r="AA1" s="886"/>
      <c r="AB1" s="886"/>
      <c r="AC1" s="887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8" t="s">
        <v>156</v>
      </c>
      <c r="C3" s="889"/>
      <c r="D3" s="166"/>
      <c r="E3" s="577">
        <v>9204</v>
      </c>
      <c r="F3" s="584" t="s">
        <v>157</v>
      </c>
      <c r="G3" s="585"/>
      <c r="H3" s="888" t="s">
        <v>156</v>
      </c>
      <c r="I3" s="889"/>
      <c r="J3" s="611">
        <f>'Water-Meter'!G5</f>
        <v>75790</v>
      </c>
      <c r="K3" s="586">
        <f>'Water-Meter'!G5</f>
        <v>75790</v>
      </c>
      <c r="L3" s="241"/>
      <c r="M3" s="888" t="s">
        <v>156</v>
      </c>
      <c r="N3" s="889"/>
      <c r="O3" s="166"/>
      <c r="P3" s="587">
        <f>'Water-Meter'!J5</f>
        <v>8362</v>
      </c>
      <c r="Q3" s="165"/>
      <c r="R3" s="241"/>
      <c r="S3" s="640"/>
      <c r="T3" s="888" t="s">
        <v>156</v>
      </c>
      <c r="U3" s="889"/>
      <c r="V3" s="166"/>
      <c r="W3" s="578">
        <v>8073</v>
      </c>
      <c r="X3" s="588">
        <f t="shared" ref="X3:X35" si="0">(W3-V3)*200</f>
        <v>1614600</v>
      </c>
      <c r="Y3" s="888" t="s">
        <v>156</v>
      </c>
      <c r="Z3" s="889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>
        <v>9247.1</v>
      </c>
      <c r="F23" s="581">
        <f t="shared" ref="F23:F34" si="15">SUM(E23-D23)*120</f>
        <v>252.00000000004366</v>
      </c>
      <c r="G23" s="576"/>
      <c r="H23" s="623">
        <f t="shared" si="6"/>
        <v>44306</v>
      </c>
      <c r="I23" s="579"/>
      <c r="J23" s="624">
        <f>'Water-Meter'!G25</f>
        <v>75790</v>
      </c>
      <c r="K23" s="625">
        <f>'Water-Meter'!G26</f>
        <v>75790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8392</v>
      </c>
      <c r="P23" s="580">
        <f>'Water-Meter'!J25</f>
        <v>8392</v>
      </c>
      <c r="Q23" s="576">
        <f t="shared" si="13"/>
        <v>-8391</v>
      </c>
      <c r="R23" s="626">
        <f t="shared" si="14"/>
        <v>-5.1956656346749224</v>
      </c>
      <c r="S23" s="627">
        <f>Gen!T30</f>
        <v>2856</v>
      </c>
      <c r="T23" s="628">
        <f t="shared" si="9"/>
        <v>44306</v>
      </c>
      <c r="U23" s="579"/>
      <c r="V23" s="581">
        <f t="shared" si="5"/>
        <v>8104.6</v>
      </c>
      <c r="W23" s="578">
        <v>8105.8</v>
      </c>
      <c r="X23" s="581">
        <f t="shared" si="0"/>
        <v>239.99999999996362</v>
      </c>
      <c r="Y23" s="623">
        <f t="shared" si="10"/>
        <v>44306</v>
      </c>
      <c r="Z23" s="579"/>
      <c r="AA23" s="576"/>
      <c r="AB23" s="580">
        <f>'Water-Meter'!P25</f>
        <v>21194</v>
      </c>
      <c r="AC23" s="633">
        <f t="shared" si="11"/>
        <v>-21191</v>
      </c>
    </row>
    <row r="24" spans="1:29" ht="19.5" thickBot="1">
      <c r="A24" s="642">
        <f>Gen!B31</f>
        <v>2.5999999999999999E-2</v>
      </c>
      <c r="B24" s="592">
        <f>Gen!A31</f>
        <v>44307</v>
      </c>
      <c r="C24" s="579"/>
      <c r="D24" s="581">
        <f t="shared" ref="D24:D35" si="16">SUM(E23)</f>
        <v>9247.1</v>
      </c>
      <c r="E24" s="577">
        <v>9249</v>
      </c>
      <c r="F24" s="581">
        <f t="shared" si="15"/>
        <v>227.99999999995634</v>
      </c>
      <c r="G24" s="576"/>
      <c r="H24" s="623">
        <f t="shared" si="6"/>
        <v>44307</v>
      </c>
      <c r="I24" s="579"/>
      <c r="J24" s="624">
        <f>'Water-Meter'!G26</f>
        <v>75790</v>
      </c>
      <c r="K24" s="625">
        <f>'Water-Meter'!G27</f>
        <v>75790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8395</v>
      </c>
      <c r="P24" s="580">
        <f>'Water-Meter'!J26</f>
        <v>8395</v>
      </c>
      <c r="Q24" s="576">
        <f t="shared" si="13"/>
        <v>-8392</v>
      </c>
      <c r="R24" s="626">
        <f t="shared" si="14"/>
        <v>-5.1962848297213622</v>
      </c>
      <c r="S24" s="627">
        <f>Gen!T31</f>
        <v>2700</v>
      </c>
      <c r="T24" s="628">
        <f t="shared" si="9"/>
        <v>44307</v>
      </c>
      <c r="U24" s="579"/>
      <c r="V24" s="581">
        <f t="shared" si="5"/>
        <v>8105.8</v>
      </c>
      <c r="W24" s="578">
        <v>8107.2</v>
      </c>
      <c r="X24" s="581">
        <f t="shared" si="0"/>
        <v>279.99999999992724</v>
      </c>
      <c r="Y24" s="623">
        <f t="shared" si="10"/>
        <v>44307</v>
      </c>
      <c r="Z24" s="579"/>
      <c r="AA24" s="576"/>
      <c r="AB24" s="580">
        <f>'Water-Meter'!P26</f>
        <v>21197</v>
      </c>
      <c r="AC24" s="633">
        <f t="shared" si="11"/>
        <v>-21194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9249</v>
      </c>
      <c r="E25" s="577">
        <v>9250.9</v>
      </c>
      <c r="F25" s="581">
        <f t="shared" si="15"/>
        <v>227.99999999995634</v>
      </c>
      <c r="G25" s="576"/>
      <c r="H25" s="623">
        <f t="shared" si="6"/>
        <v>44308</v>
      </c>
      <c r="I25" s="579"/>
      <c r="J25" s="624">
        <f>'Water-Meter'!G27</f>
        <v>75790</v>
      </c>
      <c r="K25" s="625">
        <f>'Water-Meter'!G28</f>
        <v>0</v>
      </c>
      <c r="L25" s="576">
        <f t="shared" si="3"/>
        <v>-75790</v>
      </c>
      <c r="M25" s="623">
        <f t="shared" si="7"/>
        <v>44308</v>
      </c>
      <c r="N25" s="579"/>
      <c r="O25" s="6">
        <f>'Water-Meter'!J27</f>
        <v>8397</v>
      </c>
      <c r="P25" s="580">
        <f>'Water-Meter'!J27</f>
        <v>8397</v>
      </c>
      <c r="Q25" s="576">
        <f t="shared" si="13"/>
        <v>-8395</v>
      </c>
      <c r="R25" s="626">
        <f t="shared" si="14"/>
        <v>-5.1981424148606807</v>
      </c>
      <c r="S25" s="627">
        <f>Gen!T32</f>
        <v>2593</v>
      </c>
      <c r="T25" s="628">
        <f t="shared" si="9"/>
        <v>44308</v>
      </c>
      <c r="U25" s="579"/>
      <c r="V25" s="581">
        <f t="shared" si="5"/>
        <v>8107.2</v>
      </c>
      <c r="W25" s="578">
        <v>8108.9</v>
      </c>
      <c r="X25" s="581">
        <f t="shared" si="0"/>
        <v>339.99999999996362</v>
      </c>
      <c r="Y25" s="623">
        <f t="shared" si="10"/>
        <v>44308</v>
      </c>
      <c r="Z25" s="579"/>
      <c r="AA25" s="576"/>
      <c r="AB25" s="580">
        <f>'Water-Meter'!P27</f>
        <v>21203</v>
      </c>
      <c r="AC25" s="633">
        <f t="shared" si="11"/>
        <v>-21197</v>
      </c>
    </row>
    <row r="26" spans="1:29" ht="19.5" thickBot="1">
      <c r="A26" s="642">
        <f>Gen!B33</f>
        <v>1.2999999999999999E-2</v>
      </c>
      <c r="B26" s="592">
        <f>Gen!A33</f>
        <v>44309</v>
      </c>
      <c r="C26" s="579"/>
      <c r="D26" s="581">
        <f t="shared" si="16"/>
        <v>9250.9</v>
      </c>
      <c r="E26" s="577"/>
      <c r="F26" s="581">
        <f t="shared" si="15"/>
        <v>-1110108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-8397</v>
      </c>
      <c r="R26" s="626">
        <f t="shared" si="14"/>
        <v>-5.1993808049535604</v>
      </c>
      <c r="S26" s="627">
        <f>Gen!T33</f>
        <v>0</v>
      </c>
      <c r="T26" s="628">
        <f t="shared" si="9"/>
        <v>44309</v>
      </c>
      <c r="U26" s="579"/>
      <c r="V26" s="581">
        <f t="shared" si="5"/>
        <v>8108.9</v>
      </c>
      <c r="W26" s="578"/>
      <c r="X26" s="581">
        <f t="shared" si="0"/>
        <v>-1621780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-21203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 t="s">
        <v>253</v>
      </c>
      <c r="X28" s="581" t="e">
        <f t="shared" si="0"/>
        <v>#VALUE!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 t="str">
        <f t="shared" si="5"/>
        <v xml:space="preserve"> </v>
      </c>
      <c r="W29" s="578"/>
      <c r="X29" s="581" t="e">
        <f t="shared" si="0"/>
        <v>#VALUE!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-75790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0">
        <f>A5</f>
        <v>44287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</row>
    <row r="2" spans="1:13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24</v>
      </c>
      <c r="C24" s="87">
        <f>Gen!B30</f>
        <v>5.1999999999999998E-2</v>
      </c>
      <c r="D24" s="434">
        <f t="shared" si="0"/>
        <v>0</v>
      </c>
      <c r="E24" s="74"/>
      <c r="F24" s="70">
        <f>Gen!U30</f>
        <v>0.41581932773109243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26707.000000000007</v>
      </c>
      <c r="K24" s="295">
        <f>'Water-Meter'!E25</f>
        <v>66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24</v>
      </c>
      <c r="C25" s="87">
        <f>Gen!B31</f>
        <v>2.5999999999999999E-2</v>
      </c>
      <c r="D25" s="434">
        <f t="shared" si="0"/>
        <v>0</v>
      </c>
      <c r="E25" s="74"/>
      <c r="F25" s="70">
        <f>Gen!U31</f>
        <v>0.41387407407407406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25451.960000000006</v>
      </c>
      <c r="K25" s="295">
        <f>'Water-Meter'!E26</f>
        <v>47</v>
      </c>
      <c r="L25" s="653">
        <f>'Lpg (2)'!G30</f>
        <v>65.560000000038428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0.41092942537601235</v>
      </c>
      <c r="G26" s="85">
        <f>Gen!T30</f>
        <v>2856</v>
      </c>
      <c r="H26" s="85">
        <f>Gen!AK32</f>
        <v>0</v>
      </c>
      <c r="I26" s="85">
        <f t="shared" si="1"/>
        <v>2856</v>
      </c>
      <c r="J26" s="446">
        <f>Gen!C32</f>
        <v>39117.100000000006</v>
      </c>
      <c r="K26" s="295">
        <f>'Water-Meter'!E27</f>
        <v>50</v>
      </c>
      <c r="L26" s="653">
        <f>'Lpg (2)'!G31</f>
        <v>58.211999999982076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-159447</v>
      </c>
      <c r="C27" s="87">
        <f>Gen!B33</f>
        <v>1.2999999999999999E-2</v>
      </c>
      <c r="D27" s="434">
        <f t="shared" si="0"/>
        <v>0</v>
      </c>
      <c r="E27" s="74"/>
      <c r="F27" s="70" t="e">
        <f>Gen!U33</f>
        <v>#DIV/0!</v>
      </c>
      <c r="G27" s="85">
        <f>Gen!T31</f>
        <v>2700</v>
      </c>
      <c r="H27" s="85">
        <f>Gen!AK33</f>
        <v>0</v>
      </c>
      <c r="I27" s="85">
        <f t="shared" si="1"/>
        <v>2700</v>
      </c>
      <c r="J27" s="446">
        <f>Gen!C33</f>
        <v>37996.630000000005</v>
      </c>
      <c r="K27" s="295" t="str">
        <f>'Water-Meter'!E28</f>
        <v>0</v>
      </c>
      <c r="L27" s="653">
        <f>'Lpg (2)'!G32</f>
        <v>41.140000000025616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2593</v>
      </c>
      <c r="H28" s="85">
        <f>Gen!AK34</f>
        <v>0</v>
      </c>
      <c r="I28" s="85">
        <f t="shared" si="1"/>
        <v>2593</v>
      </c>
      <c r="J28" s="446">
        <f>Gen!C34</f>
        <v>37996.630000000005</v>
      </c>
      <c r="K28" s="295">
        <f>'Water-Meter'!E29</f>
        <v>0</v>
      </c>
      <c r="L28" s="653">
        <f>'Lpg (2)'!G33</f>
        <v>-334971.47200000007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37996.630000000005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37996.630000000005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37996.630000000005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37996.630000000005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37996.630000000005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37996.630000000005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37996.630000000005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37996.630000000005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B1" activePane="topRight" state="frozen"/>
      <selection pane="topRight" activeCell="D31" sqref="D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2">
        <f>A6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19"/>
    </row>
    <row r="2" spans="1:29" ht="12" customHeight="1" thickBo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4" t="s">
        <v>298</v>
      </c>
      <c r="L3" s="895"/>
      <c r="M3" s="896"/>
      <c r="N3" s="894" t="s">
        <v>299</v>
      </c>
      <c r="O3" s="895"/>
      <c r="P3" s="896"/>
      <c r="Q3" s="894" t="s">
        <v>300</v>
      </c>
      <c r="R3" s="895"/>
      <c r="S3" s="896"/>
      <c r="T3" s="894" t="s">
        <v>301</v>
      </c>
      <c r="U3" s="895"/>
      <c r="V3" s="896"/>
      <c r="W3" s="894" t="s">
        <v>302</v>
      </c>
      <c r="X3" s="895"/>
      <c r="Y3" s="896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 thickBo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8">
        <v>21292.6</v>
      </c>
      <c r="K24" s="858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 thickBot="1">
      <c r="A25" s="856">
        <f>Gen!A30</f>
        <v>44306</v>
      </c>
      <c r="B25" s="851"/>
      <c r="C25" s="863">
        <v>4434</v>
      </c>
      <c r="D25" s="145">
        <v>22273</v>
      </c>
      <c r="E25" s="145"/>
      <c r="F25" s="145"/>
      <c r="G25" s="145">
        <v>67.459999999999994</v>
      </c>
      <c r="H25" s="145"/>
      <c r="I25" s="145">
        <v>31939.8</v>
      </c>
      <c r="J25" s="848">
        <v>21295.7</v>
      </c>
      <c r="K25" s="858">
        <f t="shared" si="0"/>
        <v>36213</v>
      </c>
      <c r="L25" s="305">
        <v>36213</v>
      </c>
      <c r="M25" s="304">
        <f t="shared" si="1"/>
        <v>0</v>
      </c>
      <c r="N25" s="306">
        <f t="shared" si="2"/>
        <v>31125</v>
      </c>
      <c r="O25" s="125">
        <v>31125</v>
      </c>
      <c r="P25" s="304">
        <f t="shared" si="3"/>
        <v>0</v>
      </c>
      <c r="Q25" s="304">
        <f t="shared" si="4"/>
        <v>36416</v>
      </c>
      <c r="R25" s="125">
        <v>36416</v>
      </c>
      <c r="S25" s="304">
        <f t="shared" si="5"/>
        <v>0</v>
      </c>
      <c r="T25" s="304">
        <f t="shared" si="6"/>
        <v>33587</v>
      </c>
      <c r="U25" s="305">
        <v>33611</v>
      </c>
      <c r="V25" s="304">
        <f t="shared" si="7"/>
        <v>24</v>
      </c>
      <c r="W25" s="306">
        <f t="shared" si="8"/>
        <v>22034</v>
      </c>
      <c r="X25" s="673">
        <v>22034</v>
      </c>
      <c r="Y25" s="304">
        <f t="shared" si="9"/>
        <v>0</v>
      </c>
      <c r="Z25" s="307">
        <f t="shared" si="10"/>
        <v>24</v>
      </c>
      <c r="AA25" s="125">
        <v>226</v>
      </c>
      <c r="AB25" s="125">
        <v>130</v>
      </c>
      <c r="AC25" s="684">
        <f>Gen!AR30</f>
        <v>1255.04</v>
      </c>
    </row>
    <row r="26" spans="1:29" ht="20.100000000000001" customHeight="1" thickBot="1">
      <c r="A26" s="856">
        <f>Gen!A31</f>
        <v>44307</v>
      </c>
      <c r="B26" s="851"/>
      <c r="C26" s="850">
        <v>3178.96</v>
      </c>
      <c r="D26" s="145">
        <v>22273</v>
      </c>
      <c r="E26" s="145"/>
      <c r="F26" s="145"/>
      <c r="G26" s="145">
        <v>17.399999999999999</v>
      </c>
      <c r="H26" s="145"/>
      <c r="I26" s="145">
        <v>31944.7</v>
      </c>
      <c r="J26" s="848">
        <v>21298.9</v>
      </c>
      <c r="K26" s="858">
        <f t="shared" si="0"/>
        <v>36213</v>
      </c>
      <c r="L26" s="305">
        <v>36213</v>
      </c>
      <c r="M26" s="304">
        <f t="shared" si="1"/>
        <v>0</v>
      </c>
      <c r="N26" s="306">
        <f t="shared" si="2"/>
        <v>31125</v>
      </c>
      <c r="O26" s="125">
        <v>31149</v>
      </c>
      <c r="P26" s="304">
        <f t="shared" si="3"/>
        <v>24</v>
      </c>
      <c r="Q26" s="304">
        <f t="shared" si="4"/>
        <v>36416</v>
      </c>
      <c r="R26" s="125">
        <v>36416</v>
      </c>
      <c r="S26" s="304">
        <f t="shared" si="5"/>
        <v>0</v>
      </c>
      <c r="T26" s="304">
        <f t="shared" si="6"/>
        <v>33611</v>
      </c>
      <c r="U26" s="305">
        <v>33611</v>
      </c>
      <c r="V26" s="304">
        <f t="shared" si="7"/>
        <v>0</v>
      </c>
      <c r="W26" s="306">
        <f t="shared" si="8"/>
        <v>22034</v>
      </c>
      <c r="X26" s="673">
        <v>22034</v>
      </c>
      <c r="Y26" s="304">
        <f t="shared" si="9"/>
        <v>0</v>
      </c>
      <c r="Z26" s="307">
        <f t="shared" ref="Z26:Z37" si="12">Y26+V26+S26+P26+M26</f>
        <v>24</v>
      </c>
      <c r="AA26" s="125">
        <v>225</v>
      </c>
      <c r="AB26" s="125">
        <v>125</v>
      </c>
      <c r="AC26" s="684">
        <f>Gen!AR31</f>
        <v>1134.8600000000001</v>
      </c>
    </row>
    <row r="27" spans="1:29" ht="20.100000000000001" customHeight="1">
      <c r="A27" s="856">
        <f>Gen!A32</f>
        <v>44308</v>
      </c>
      <c r="B27" s="851"/>
      <c r="C27" s="850">
        <v>16844.009999999998</v>
      </c>
      <c r="D27" s="145">
        <v>22273</v>
      </c>
      <c r="E27" s="145"/>
      <c r="F27" s="145"/>
      <c r="G27" s="145">
        <v>54.93</v>
      </c>
      <c r="H27" s="145"/>
      <c r="I27" s="145">
        <v>31949.3</v>
      </c>
      <c r="J27" s="848">
        <v>21301.8</v>
      </c>
      <c r="K27" s="858">
        <f t="shared" si="0"/>
        <v>36213</v>
      </c>
      <c r="L27" s="305">
        <v>36213</v>
      </c>
      <c r="M27" s="304">
        <f t="shared" si="1"/>
        <v>0</v>
      </c>
      <c r="N27" s="306">
        <f t="shared" si="2"/>
        <v>31149</v>
      </c>
      <c r="O27" s="125">
        <v>31149</v>
      </c>
      <c r="P27" s="304">
        <f t="shared" si="3"/>
        <v>0</v>
      </c>
      <c r="Q27" s="304">
        <f t="shared" si="4"/>
        <v>36416</v>
      </c>
      <c r="R27" s="305">
        <v>36440</v>
      </c>
      <c r="S27" s="304">
        <f t="shared" si="5"/>
        <v>24</v>
      </c>
      <c r="T27" s="304">
        <f t="shared" si="6"/>
        <v>33611</v>
      </c>
      <c r="U27" s="305">
        <v>33611</v>
      </c>
      <c r="V27" s="304">
        <f t="shared" si="7"/>
        <v>0</v>
      </c>
      <c r="W27" s="306">
        <f t="shared" si="8"/>
        <v>22034</v>
      </c>
      <c r="X27" s="673">
        <v>22034</v>
      </c>
      <c r="Y27" s="304">
        <f t="shared" si="9"/>
        <v>0</v>
      </c>
      <c r="Z27" s="307">
        <f t="shared" si="12"/>
        <v>24</v>
      </c>
      <c r="AA27" s="125">
        <v>210</v>
      </c>
      <c r="AB27" s="125">
        <v>120</v>
      </c>
      <c r="AC27" s="684">
        <f>Gen!AR32</f>
        <v>1120.47</v>
      </c>
    </row>
    <row r="28" spans="1:29" ht="20.100000000000001" customHeight="1">
      <c r="A28" s="856">
        <f>Gen!A33</f>
        <v>44309</v>
      </c>
      <c r="B28" s="860"/>
      <c r="C28" s="788">
        <v>15723.63</v>
      </c>
      <c r="D28" s="145">
        <v>22273</v>
      </c>
      <c r="E28" s="305"/>
      <c r="F28" s="305"/>
      <c r="G28" s="305"/>
      <c r="H28" s="305"/>
      <c r="I28" s="305">
        <v>31953.9</v>
      </c>
      <c r="J28" s="305">
        <v>21304.6</v>
      </c>
      <c r="K28" s="858">
        <f t="shared" si="0"/>
        <v>36213</v>
      </c>
      <c r="L28" s="305"/>
      <c r="M28" s="304">
        <f t="shared" si="1"/>
        <v>-36213</v>
      </c>
      <c r="N28" s="306">
        <f t="shared" si="2"/>
        <v>31149</v>
      </c>
      <c r="O28" s="305"/>
      <c r="P28" s="304">
        <f t="shared" si="3"/>
        <v>-31149</v>
      </c>
      <c r="Q28" s="304">
        <f t="shared" si="4"/>
        <v>36440</v>
      </c>
      <c r="R28" s="305"/>
      <c r="S28" s="304">
        <f t="shared" si="5"/>
        <v>-36440</v>
      </c>
      <c r="T28" s="304">
        <f t="shared" si="6"/>
        <v>33611</v>
      </c>
      <c r="U28" s="305"/>
      <c r="V28" s="304">
        <f t="shared" si="7"/>
        <v>-33611</v>
      </c>
      <c r="W28" s="306">
        <f t="shared" si="8"/>
        <v>22034</v>
      </c>
      <c r="X28" s="305"/>
      <c r="Y28" s="304">
        <f t="shared" si="9"/>
        <v>-22034</v>
      </c>
      <c r="Z28" s="307">
        <f t="shared" si="12"/>
        <v>-159447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13" workbookViewId="0">
      <pane xSplit="1" topLeftCell="B1" activePane="topRight" state="frozen"/>
      <selection pane="topRight" activeCell="I31" sqref="I31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6"/>
      <c r="B1" s="906"/>
    </row>
    <row r="2" spans="1:46" ht="26.25">
      <c r="A2" s="906"/>
      <c r="B2" s="906"/>
      <c r="D2" s="907">
        <f>A11</f>
        <v>44287</v>
      </c>
      <c r="E2" s="907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  <c r="AP2" s="908"/>
      <c r="AQ2" s="908"/>
      <c r="AR2" s="908"/>
      <c r="AS2" s="908"/>
      <c r="AT2" s="908"/>
    </row>
    <row r="3" spans="1:46" ht="12.75" customHeight="1">
      <c r="A3" s="906"/>
      <c r="B3" s="906"/>
      <c r="H3" s="909"/>
      <c r="I3" s="909"/>
      <c r="J3" s="909"/>
      <c r="K3" s="181"/>
      <c r="Q3" s="181"/>
    </row>
    <row r="4" spans="1:46" ht="11.25" customHeight="1">
      <c r="A4" s="906"/>
      <c r="B4" s="906"/>
      <c r="H4" s="909"/>
      <c r="I4" s="909"/>
      <c r="J4" s="909"/>
      <c r="K4" s="181"/>
      <c r="Q4" s="181"/>
    </row>
    <row r="5" spans="1:46" ht="12" thickBot="1">
      <c r="A5" s="906"/>
      <c r="B5" s="906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6"/>
      <c r="B6" s="906"/>
      <c r="C6" s="186"/>
      <c r="F6" s="910" t="s">
        <v>57</v>
      </c>
      <c r="G6" s="911"/>
      <c r="H6" s="911"/>
      <c r="I6" s="911"/>
      <c r="J6" s="911"/>
      <c r="K6" s="911"/>
      <c r="L6" s="912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3" t="s">
        <v>201</v>
      </c>
      <c r="G7" s="914"/>
      <c r="H7" s="914"/>
      <c r="I7" s="914"/>
      <c r="J7" s="914"/>
      <c r="K7" s="914"/>
      <c r="L7" s="915"/>
      <c r="M7" s="916" t="s">
        <v>40</v>
      </c>
      <c r="N7" s="917"/>
      <c r="O7" s="917"/>
      <c r="P7" s="917"/>
      <c r="Q7" s="917"/>
      <c r="R7" s="918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>
        <v>0</v>
      </c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>
        <v>1.2999999999999999E-2</v>
      </c>
      <c r="C27" s="802">
        <f t="shared" si="6"/>
        <v>30616.600000000006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>
        <v>3.9E-2</v>
      </c>
      <c r="C28" s="802">
        <f t="shared" si="6"/>
        <v>29367.510000000006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6">
        <v>6.5000000000000002E-2</v>
      </c>
      <c r="C29" s="802">
        <f t="shared" si="6"/>
        <v>28202.210000000006</v>
      </c>
      <c r="D29" s="803"/>
      <c r="E29" s="800"/>
      <c r="F29" s="804"/>
      <c r="G29" s="801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6">
        <v>5.1999999999999998E-2</v>
      </c>
      <c r="C30" s="802">
        <f t="shared" si="6"/>
        <v>26707.000000000007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>
        <v>1187.58</v>
      </c>
      <c r="L30" s="525"/>
      <c r="M30" s="298"/>
      <c r="N30" s="206"/>
      <c r="O30" s="206"/>
      <c r="P30" s="206"/>
      <c r="Q30" s="206">
        <v>2856</v>
      </c>
      <c r="R30" s="562"/>
      <c r="S30" s="570">
        <f t="shared" si="0"/>
        <v>1187.58</v>
      </c>
      <c r="T30" s="218">
        <f t="shared" si="1"/>
        <v>2856</v>
      </c>
      <c r="U30" s="571">
        <f t="shared" si="4"/>
        <v>0.41581932773109243</v>
      </c>
      <c r="V30" s="211"/>
      <c r="W30" s="219"/>
      <c r="X30" s="197"/>
      <c r="Y30" s="219"/>
      <c r="Z30" s="204"/>
      <c r="AA30" s="273"/>
      <c r="AB30" s="219"/>
      <c r="AC30" s="219">
        <v>67.459999999999994</v>
      </c>
      <c r="AD30" s="219"/>
      <c r="AE30" s="219"/>
      <c r="AF30" s="219"/>
      <c r="AG30" s="219"/>
      <c r="AH30" s="219"/>
      <c r="AI30" s="386"/>
      <c r="AJ30" s="271">
        <f t="shared" si="3"/>
        <v>67.459999999999994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1255.04</v>
      </c>
      <c r="AS30" s="221">
        <f t="shared" si="7"/>
        <v>0</v>
      </c>
      <c r="AT30" s="283">
        <f t="shared" si="5"/>
        <v>26707.000000000007</v>
      </c>
    </row>
    <row r="31" spans="1:46" ht="15.75">
      <c r="A31" s="575">
        <v>44307</v>
      </c>
      <c r="B31" s="826">
        <v>2.5999999999999999E-2</v>
      </c>
      <c r="C31" s="802">
        <f t="shared" si="6"/>
        <v>25451.960000000006</v>
      </c>
      <c r="D31" s="803"/>
      <c r="E31" s="800"/>
      <c r="F31" s="804"/>
      <c r="G31" s="801"/>
      <c r="H31" s="219">
        <v>1117.46</v>
      </c>
      <c r="I31" s="205"/>
      <c r="J31" s="204"/>
      <c r="K31" s="204"/>
      <c r="L31" s="525"/>
      <c r="M31" s="298"/>
      <c r="N31" s="206">
        <v>2700</v>
      </c>
      <c r="O31" s="206"/>
      <c r="P31" s="206"/>
      <c r="Q31" s="206"/>
      <c r="R31" s="562"/>
      <c r="S31" s="570">
        <f t="shared" si="0"/>
        <v>1117.46</v>
      </c>
      <c r="T31" s="218">
        <f t="shared" si="1"/>
        <v>2700</v>
      </c>
      <c r="U31" s="571">
        <f t="shared" si="4"/>
        <v>0.41387407407407406</v>
      </c>
      <c r="V31" s="211"/>
      <c r="W31" s="219"/>
      <c r="X31" s="197">
        <v>17.399999999999999</v>
      </c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17.399999999999999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1134.8600000000001</v>
      </c>
      <c r="AS31" s="221">
        <f t="shared" si="7"/>
        <v>0</v>
      </c>
      <c r="AT31" s="283">
        <f t="shared" si="5"/>
        <v>25451.960000000006</v>
      </c>
    </row>
    <row r="32" spans="1:46" ht="15.75">
      <c r="A32" s="575">
        <v>44308</v>
      </c>
      <c r="B32" s="826">
        <v>0</v>
      </c>
      <c r="C32" s="802">
        <f t="shared" si="6"/>
        <v>39117.100000000006</v>
      </c>
      <c r="D32" s="803">
        <v>14800</v>
      </c>
      <c r="E32" s="800"/>
      <c r="F32" s="804"/>
      <c r="G32" s="801"/>
      <c r="H32" s="204"/>
      <c r="I32" s="204"/>
      <c r="J32" s="204">
        <v>1065.54</v>
      </c>
      <c r="K32" s="204"/>
      <c r="L32" s="525"/>
      <c r="M32" s="298"/>
      <c r="N32" s="206"/>
      <c r="O32" s="206"/>
      <c r="P32" s="206">
        <v>2593</v>
      </c>
      <c r="Q32" s="206"/>
      <c r="R32" s="562"/>
      <c r="S32" s="570">
        <f t="shared" si="0"/>
        <v>1065.54</v>
      </c>
      <c r="T32" s="218">
        <f t="shared" si="1"/>
        <v>2593</v>
      </c>
      <c r="U32" s="571">
        <f t="shared" si="4"/>
        <v>0.41092942537601235</v>
      </c>
      <c r="V32" s="211"/>
      <c r="W32" s="219"/>
      <c r="X32" s="197">
        <v>13.16</v>
      </c>
      <c r="Y32" s="219"/>
      <c r="Z32" s="204">
        <v>41.77</v>
      </c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54.930000000000007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1120.47</v>
      </c>
      <c r="AS32" s="221">
        <f t="shared" si="7"/>
        <v>0</v>
      </c>
      <c r="AT32" s="283">
        <f t="shared" si="5"/>
        <v>39117.100000000006</v>
      </c>
    </row>
    <row r="33" spans="1:46" ht="15.75">
      <c r="A33" s="575">
        <v>44309</v>
      </c>
      <c r="B33" s="826">
        <v>1.2999999999999999E-2</v>
      </c>
      <c r="C33" s="802">
        <f t="shared" si="6"/>
        <v>37996.630000000005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37996.630000000005</v>
      </c>
    </row>
    <row r="34" spans="1:46" ht="15.75">
      <c r="A34" s="575">
        <v>44310</v>
      </c>
      <c r="B34" s="826"/>
      <c r="C34" s="802">
        <f t="shared" si="6"/>
        <v>37996.630000000005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37996.630000000005</v>
      </c>
    </row>
    <row r="35" spans="1:46" ht="15.75">
      <c r="A35" s="575">
        <v>44311</v>
      </c>
      <c r="B35" s="826"/>
      <c r="C35" s="802">
        <f t="shared" si="6"/>
        <v>37996.630000000005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37996.630000000005</v>
      </c>
    </row>
    <row r="36" spans="1:46" ht="15.75">
      <c r="A36" s="575">
        <v>44312</v>
      </c>
      <c r="B36" s="826"/>
      <c r="C36" s="802">
        <f t="shared" si="6"/>
        <v>37996.630000000005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37996.630000000005</v>
      </c>
    </row>
    <row r="37" spans="1:46" ht="15.75">
      <c r="A37" s="575">
        <v>44313</v>
      </c>
      <c r="B37" s="826"/>
      <c r="C37" s="802">
        <f t="shared" si="6"/>
        <v>37996.630000000005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37996.630000000005</v>
      </c>
    </row>
    <row r="38" spans="1:46" ht="15.75">
      <c r="A38" s="575">
        <v>44314</v>
      </c>
      <c r="B38" s="826"/>
      <c r="C38" s="802">
        <f t="shared" si="6"/>
        <v>37996.630000000005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37996.630000000005</v>
      </c>
    </row>
    <row r="39" spans="1:46" ht="15.75">
      <c r="A39" s="575">
        <v>44315</v>
      </c>
      <c r="B39" s="826"/>
      <c r="C39" s="802">
        <f t="shared" si="6"/>
        <v>37996.630000000005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37996.630000000005</v>
      </c>
    </row>
    <row r="40" spans="1:46" ht="15.75">
      <c r="A40" s="575">
        <v>44316</v>
      </c>
      <c r="B40" s="826"/>
      <c r="C40" s="802">
        <f t="shared" si="6"/>
        <v>37996.630000000005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37996.630000000005</v>
      </c>
    </row>
    <row r="41" spans="1:46" ht="15.75">
      <c r="A41" s="575"/>
      <c r="B41" s="826"/>
      <c r="C41" s="802">
        <f t="shared" si="6"/>
        <v>37996.630000000005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37996.630000000005</v>
      </c>
    </row>
    <row r="42" spans="1:46" ht="14.25">
      <c r="A42" s="575"/>
      <c r="B42" s="574"/>
      <c r="C42" s="802">
        <f t="shared" si="6"/>
        <v>37996.630000000005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37996.630000000005</v>
      </c>
    </row>
    <row r="43" spans="1:46" ht="14.25">
      <c r="A43" s="495" t="s">
        <v>25</v>
      </c>
      <c r="B43" s="469">
        <f>AVERAGE(B11:B42)</f>
        <v>7.4999999999999997E-2</v>
      </c>
      <c r="C43" s="798">
        <f t="shared" si="6"/>
        <v>37996.630000000005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37996.630000000005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32800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6260.9500000000007</v>
      </c>
      <c r="H45" s="308">
        <f t="shared" si="8"/>
        <v>7123.59</v>
      </c>
      <c r="I45" s="313">
        <f t="shared" si="8"/>
        <v>0</v>
      </c>
      <c r="J45" s="308">
        <f t="shared" si="8"/>
        <v>7302.22</v>
      </c>
      <c r="K45" s="313">
        <f t="shared" si="8"/>
        <v>5979.5499999999993</v>
      </c>
      <c r="L45" s="308">
        <f t="shared" si="8"/>
        <v>0</v>
      </c>
      <c r="M45" s="313">
        <f t="shared" si="8"/>
        <v>18567</v>
      </c>
      <c r="N45" s="553">
        <f t="shared" si="8"/>
        <v>14380</v>
      </c>
      <c r="O45" s="313">
        <f t="shared" si="8"/>
        <v>0</v>
      </c>
      <c r="P45" s="308">
        <f>SUM(P11:P43)</f>
        <v>18284</v>
      </c>
      <c r="Q45" s="313">
        <f>SUM(Q11:Q44)</f>
        <v>14709</v>
      </c>
      <c r="R45" s="308">
        <f>SUM(R11:R44)</f>
        <v>0</v>
      </c>
      <c r="S45" s="551">
        <f>SUM(G45:L45)</f>
        <v>26666.31</v>
      </c>
      <c r="T45" s="308">
        <f>SUM(M45:R45)</f>
        <v>65940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460.84</v>
      </c>
      <c r="Y45" s="234">
        <f t="shared" si="9"/>
        <v>213.5</v>
      </c>
      <c r="Z45" s="546">
        <f t="shared" si="9"/>
        <v>575.61</v>
      </c>
      <c r="AA45" s="234">
        <f t="shared" si="9"/>
        <v>0</v>
      </c>
      <c r="AB45" s="546">
        <f t="shared" si="9"/>
        <v>66.66</v>
      </c>
      <c r="AC45" s="234">
        <f>SUM(AC10:AC44)</f>
        <v>122.35999999999999</v>
      </c>
      <c r="AD45" s="546">
        <f>SUM(AD10:AD44)</f>
        <v>130.86000000000001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853</v>
      </c>
      <c r="AI45" s="234">
        <f>SUM(AI9:AI39)</f>
        <v>230.2</v>
      </c>
      <c r="AJ45" s="546">
        <f>SUM(AJ9:AJ44)</f>
        <v>2653.03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29319.339999999997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860.2035483870967</v>
      </c>
      <c r="T47" s="316">
        <f>S45*2315</f>
        <v>61732507.650000006</v>
      </c>
      <c r="U47" s="317" t="s">
        <v>244</v>
      </c>
      <c r="AR47" s="522">
        <f>AR45*2143</f>
        <v>62831345.61999999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26969.203866317173</v>
      </c>
      <c r="U48" s="317" t="s">
        <v>245</v>
      </c>
      <c r="W48" s="191"/>
      <c r="X48" s="191"/>
      <c r="Y48" s="191"/>
      <c r="Z48" s="191"/>
      <c r="AA48" s="191"/>
      <c r="AR48" s="316">
        <f>AR47/2289</f>
        <v>27449.255404106592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9" t="s">
        <v>241</v>
      </c>
      <c r="C50" s="920"/>
      <c r="D50" s="920"/>
      <c r="E50" s="920"/>
      <c r="F50" s="921"/>
      <c r="H50" s="897" t="s">
        <v>213</v>
      </c>
      <c r="I50" s="898"/>
      <c r="J50" s="898"/>
      <c r="K50" s="898"/>
      <c r="L50" s="899"/>
      <c r="N50" s="900" t="s">
        <v>309</v>
      </c>
      <c r="O50" s="901"/>
      <c r="P50" s="901"/>
      <c r="Q50" s="901"/>
      <c r="R50" s="902"/>
      <c r="T50" s="903" t="s">
        <v>226</v>
      </c>
      <c r="U50" s="904"/>
      <c r="V50" s="904"/>
      <c r="W50" s="904"/>
      <c r="X50" s="904"/>
      <c r="Y50" s="905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4" sqref="F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4"/>
      <c r="D6" s="925"/>
      <c r="E6" s="926"/>
      <c r="F6" s="926"/>
      <c r="G6" s="48" t="s">
        <v>4</v>
      </c>
      <c r="H6" s="46" t="s">
        <v>14</v>
      </c>
      <c r="I6" s="41"/>
      <c r="J6" s="113"/>
    </row>
    <row r="7" spans="1:15" ht="18" customHeight="1">
      <c r="A7" s="927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8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3">
        <f t="shared" si="2"/>
        <v>585776.75134719012</v>
      </c>
      <c r="J29" s="844">
        <f t="shared" si="1"/>
        <v>1.1259579668921836E-4</v>
      </c>
    </row>
    <row r="30" spans="1:14" ht="18.75">
      <c r="A30" s="94">
        <f>Gen!A31</f>
        <v>44307</v>
      </c>
      <c r="B30" s="268">
        <v>85</v>
      </c>
      <c r="C30" s="268">
        <v>85</v>
      </c>
      <c r="D30" s="268">
        <v>27</v>
      </c>
      <c r="E30" s="268"/>
      <c r="F30" s="268">
        <v>76107.3</v>
      </c>
      <c r="G30" s="268">
        <f t="shared" si="0"/>
        <v>65.560000000038428</v>
      </c>
      <c r="H30" s="111">
        <f>[5]Gen!B31</f>
        <v>0.18179999999999999</v>
      </c>
      <c r="I30" s="843">
        <f t="shared" si="2"/>
        <v>418632.01320132019</v>
      </c>
      <c r="J30" s="844">
        <f t="shared" si="1"/>
        <v>1.566053190693532E-4</v>
      </c>
    </row>
    <row r="31" spans="1:14" ht="18.75">
      <c r="A31" s="94">
        <f>Gen!A32</f>
        <v>44308</v>
      </c>
      <c r="B31" s="268">
        <v>85</v>
      </c>
      <c r="C31" s="268">
        <v>85</v>
      </c>
      <c r="D31" s="268">
        <v>25</v>
      </c>
      <c r="E31" s="268"/>
      <c r="F31" s="268">
        <v>76120.53</v>
      </c>
      <c r="G31" s="268">
        <f t="shared" si="0"/>
        <v>58.211999999982076</v>
      </c>
      <c r="H31" s="111">
        <f>[5]Gen!B32</f>
        <v>0.31169999999999998</v>
      </c>
      <c r="I31" s="843">
        <f t="shared" si="2"/>
        <v>244210.87584215595</v>
      </c>
      <c r="J31" s="844">
        <f t="shared" si="1"/>
        <v>2.3836776228429324E-4</v>
      </c>
    </row>
    <row r="32" spans="1:14" ht="18.75">
      <c r="A32" s="94">
        <f>Gen!A33</f>
        <v>44309</v>
      </c>
      <c r="B32" s="268">
        <v>85</v>
      </c>
      <c r="C32" s="268">
        <v>85</v>
      </c>
      <c r="D32" s="268">
        <v>20</v>
      </c>
      <c r="E32" s="268"/>
      <c r="F32" s="268">
        <v>76129.88</v>
      </c>
      <c r="G32" s="268">
        <f t="shared" si="0"/>
        <v>41.140000000025616</v>
      </c>
      <c r="H32" s="111">
        <f>[5]Gen!B33</f>
        <v>0.41560000000000002</v>
      </c>
      <c r="I32" s="843">
        <f t="shared" si="2"/>
        <v>183180.65447545718</v>
      </c>
      <c r="J32" s="844">
        <f t="shared" si="1"/>
        <v>2.2458703468349937E-4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-334971.47200000007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3" t="s">
        <v>6</v>
      </c>
      <c r="D42" s="923"/>
      <c r="E42" s="2">
        <f t="shared" ref="E42" si="4">SUM(E10:E40)</f>
        <v>0</v>
      </c>
      <c r="F42" s="2">
        <f>SUM(F10:F41)</f>
        <v>1747422.96</v>
      </c>
      <c r="G42" s="101">
        <f>SUM(G10:G40)</f>
        <v>-332229.70000000007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2"/>
      <c r="C45" s="922"/>
      <c r="D45" s="922"/>
      <c r="E45" s="922"/>
      <c r="F45" s="922"/>
      <c r="G45" s="922"/>
      <c r="H45" s="922"/>
      <c r="I45" s="831"/>
      <c r="J45" s="838"/>
    </row>
    <row r="46" spans="1:10">
      <c r="A46" s="19"/>
      <c r="B46" s="922"/>
      <c r="C46" s="922"/>
      <c r="D46" s="922"/>
      <c r="E46" s="922"/>
      <c r="F46" s="922"/>
      <c r="G46" s="922"/>
      <c r="H46" s="922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" zoomScale="94" zoomScaleNormal="94" workbookViewId="0">
      <pane xSplit="1" topLeftCell="B1" activePane="topRight" state="frozen"/>
      <selection pane="topRight" activeCell="AI28" sqref="AI2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8" t="s">
        <v>315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</row>
    <row r="2" spans="1:40" ht="13.5" customHeight="1" thickTop="1">
      <c r="A2" s="29"/>
      <c r="B2" s="29"/>
      <c r="C2" s="947" t="s">
        <v>52</v>
      </c>
      <c r="D2" s="947"/>
      <c r="E2" s="947"/>
      <c r="F2" s="947" t="s">
        <v>17</v>
      </c>
      <c r="G2" s="947"/>
      <c r="H2" s="947"/>
      <c r="I2" s="947" t="s">
        <v>131</v>
      </c>
      <c r="J2" s="947"/>
      <c r="K2" s="947"/>
      <c r="L2" s="947" t="s">
        <v>134</v>
      </c>
      <c r="M2" s="947"/>
      <c r="N2" s="947"/>
      <c r="O2" s="947" t="s">
        <v>132</v>
      </c>
      <c r="P2" s="947"/>
      <c r="Q2" s="947"/>
      <c r="R2" s="252"/>
      <c r="S2" s="956" t="s">
        <v>181</v>
      </c>
      <c r="T2" s="957"/>
      <c r="U2" s="958"/>
      <c r="V2" s="956" t="s">
        <v>182</v>
      </c>
      <c r="W2" s="957"/>
      <c r="X2" s="958"/>
      <c r="Y2" s="956" t="s">
        <v>183</v>
      </c>
      <c r="Z2" s="957"/>
      <c r="AA2" s="958"/>
      <c r="AB2" s="956" t="s">
        <v>184</v>
      </c>
      <c r="AC2" s="957"/>
      <c r="AD2" s="958"/>
      <c r="AE2" s="950" t="s">
        <v>239</v>
      </c>
      <c r="AF2" s="951"/>
      <c r="AG2" s="962"/>
      <c r="AH2" s="950" t="s">
        <v>243</v>
      </c>
      <c r="AI2" s="951"/>
      <c r="AJ2" s="962"/>
      <c r="AK2" s="950" t="s">
        <v>240</v>
      </c>
      <c r="AL2" s="951"/>
      <c r="AM2" s="951"/>
      <c r="AN2" s="954" t="s">
        <v>189</v>
      </c>
    </row>
    <row r="3" spans="1:40" ht="21.75" customHeight="1" thickBot="1">
      <c r="A3" s="945" t="s">
        <v>7</v>
      </c>
      <c r="B3" s="29"/>
      <c r="C3" s="947" t="s">
        <v>133</v>
      </c>
      <c r="D3" s="947" t="s">
        <v>15</v>
      </c>
      <c r="E3" s="947" t="s">
        <v>16</v>
      </c>
      <c r="F3" s="947" t="s">
        <v>133</v>
      </c>
      <c r="G3" s="947" t="s">
        <v>15</v>
      </c>
      <c r="H3" s="947" t="s">
        <v>16</v>
      </c>
      <c r="I3" s="947" t="s">
        <v>133</v>
      </c>
      <c r="J3" s="947" t="s">
        <v>15</v>
      </c>
      <c r="K3" s="947" t="s">
        <v>16</v>
      </c>
      <c r="L3" s="947" t="s">
        <v>133</v>
      </c>
      <c r="M3" s="947" t="s">
        <v>15</v>
      </c>
      <c r="N3" s="947" t="s">
        <v>16</v>
      </c>
      <c r="O3" s="947" t="s">
        <v>133</v>
      </c>
      <c r="P3" s="947" t="s">
        <v>15</v>
      </c>
      <c r="Q3" s="947" t="s">
        <v>16</v>
      </c>
      <c r="R3" s="964" t="s">
        <v>185</v>
      </c>
      <c r="S3" s="959"/>
      <c r="T3" s="960"/>
      <c r="U3" s="961"/>
      <c r="V3" s="959"/>
      <c r="W3" s="960"/>
      <c r="X3" s="961"/>
      <c r="Y3" s="959"/>
      <c r="Z3" s="960"/>
      <c r="AA3" s="961"/>
      <c r="AB3" s="959"/>
      <c r="AC3" s="960"/>
      <c r="AD3" s="961"/>
      <c r="AE3" s="952"/>
      <c r="AF3" s="953"/>
      <c r="AG3" s="963"/>
      <c r="AH3" s="952"/>
      <c r="AI3" s="953"/>
      <c r="AJ3" s="963"/>
      <c r="AK3" s="952"/>
      <c r="AL3" s="953"/>
      <c r="AM3" s="953"/>
      <c r="AN3" s="955"/>
    </row>
    <row r="4" spans="1:40" ht="15.75" thickTop="1">
      <c r="A4" s="946"/>
      <c r="B4" s="244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Q4" s="947"/>
      <c r="R4" s="96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>
        <v>254238</v>
      </c>
      <c r="E25" s="474">
        <f t="shared" si="29"/>
        <v>66</v>
      </c>
      <c r="F25" s="95">
        <f t="shared" si="2"/>
        <v>75790</v>
      </c>
      <c r="G25" s="387">
        <v>75790</v>
      </c>
      <c r="H25" s="474">
        <f>IF((G26-G24)&lt;0,"0",(G26-G24))</f>
        <v>0</v>
      </c>
      <c r="I25" s="95">
        <f t="shared" ref="I25:I37" si="32">J24</f>
        <v>8391</v>
      </c>
      <c r="J25" s="1">
        <v>8392</v>
      </c>
      <c r="K25" s="474">
        <f t="shared" si="28"/>
        <v>1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>
        <v>21194</v>
      </c>
      <c r="Q25" s="474">
        <f t="shared" si="7"/>
        <v>3</v>
      </c>
      <c r="R25" s="250"/>
      <c r="S25" s="245">
        <f t="shared" ref="S25:S37" si="35">T24</f>
        <v>68609</v>
      </c>
      <c r="T25" s="384">
        <v>68609</v>
      </c>
      <c r="U25" s="475">
        <f t="shared" ref="U25:U37" si="36">IF((T25-T24)&lt;0,"0",(T25-T24))</f>
        <v>0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90129</v>
      </c>
      <c r="Z25" s="384">
        <v>90129</v>
      </c>
      <c r="AA25" s="475">
        <f t="shared" si="18"/>
        <v>0</v>
      </c>
      <c r="AB25" s="606">
        <f t="shared" si="22"/>
        <v>19083</v>
      </c>
      <c r="AC25" s="607">
        <v>19099</v>
      </c>
      <c r="AD25" s="609">
        <f t="shared" si="23"/>
        <v>16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30844</v>
      </c>
      <c r="AI25" s="385">
        <v>30872</v>
      </c>
      <c r="AJ25" s="475">
        <f t="shared" si="20"/>
        <v>28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44</v>
      </c>
    </row>
    <row r="26" spans="1:40" ht="23.1" customHeight="1">
      <c r="A26" s="57">
        <f>Gen!A31</f>
        <v>44307</v>
      </c>
      <c r="B26" s="4"/>
      <c r="C26" s="95">
        <f>D25</f>
        <v>254238</v>
      </c>
      <c r="D26" s="1">
        <v>254285</v>
      </c>
      <c r="E26" s="474">
        <f t="shared" si="29"/>
        <v>47</v>
      </c>
      <c r="F26" s="95">
        <f>G26</f>
        <v>75790</v>
      </c>
      <c r="G26" s="387">
        <v>75790</v>
      </c>
      <c r="H26" s="474">
        <f t="shared" ref="H26:H27" si="37">IF((G27-G25)&lt;0,"0",(G27-G25))</f>
        <v>0</v>
      </c>
      <c r="I26" s="95">
        <f t="shared" si="32"/>
        <v>8392</v>
      </c>
      <c r="J26" s="1">
        <v>8395</v>
      </c>
      <c r="K26" s="474">
        <f t="shared" si="28"/>
        <v>3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21194</v>
      </c>
      <c r="P26" s="383">
        <v>21197</v>
      </c>
      <c r="Q26" s="474">
        <f t="shared" si="7"/>
        <v>3</v>
      </c>
      <c r="R26" s="250"/>
      <c r="S26" s="245">
        <f t="shared" si="35"/>
        <v>68609</v>
      </c>
      <c r="T26" s="384">
        <v>68609</v>
      </c>
      <c r="U26" s="475">
        <f t="shared" si="36"/>
        <v>0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90129</v>
      </c>
      <c r="Z26" s="384">
        <v>90129</v>
      </c>
      <c r="AA26" s="475">
        <f t="shared" si="18"/>
        <v>0</v>
      </c>
      <c r="AB26" s="606">
        <f t="shared" si="22"/>
        <v>19099</v>
      </c>
      <c r="AC26" s="607">
        <v>19116</v>
      </c>
      <c r="AD26" s="609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30872</v>
      </c>
      <c r="AI26" s="385">
        <v>30901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46</v>
      </c>
    </row>
    <row r="27" spans="1:40" ht="23.1" customHeight="1">
      <c r="A27" s="57">
        <f>Gen!A32</f>
        <v>44308</v>
      </c>
      <c r="B27" s="4"/>
      <c r="C27" s="95">
        <f>D26</f>
        <v>254285</v>
      </c>
      <c r="D27" s="1">
        <v>254335</v>
      </c>
      <c r="E27" s="474">
        <f t="shared" si="29"/>
        <v>50</v>
      </c>
      <c r="F27" s="95">
        <f t="shared" ref="F27:F31" si="39">G27</f>
        <v>75790</v>
      </c>
      <c r="G27" s="387">
        <v>75790</v>
      </c>
      <c r="H27" s="474" t="str">
        <f t="shared" si="37"/>
        <v>0</v>
      </c>
      <c r="I27" s="95">
        <f t="shared" si="32"/>
        <v>8395</v>
      </c>
      <c r="J27" s="1">
        <v>8397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21197</v>
      </c>
      <c r="P27" s="383">
        <v>21203</v>
      </c>
      <c r="Q27" s="474">
        <f t="shared" si="7"/>
        <v>6</v>
      </c>
      <c r="R27" s="250"/>
      <c r="S27" s="245">
        <f t="shared" si="35"/>
        <v>68609</v>
      </c>
      <c r="T27" s="384">
        <v>68670</v>
      </c>
      <c r="U27" s="475">
        <f t="shared" si="36"/>
        <v>61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90129</v>
      </c>
      <c r="Z27" s="384">
        <v>90129</v>
      </c>
      <c r="AA27" s="475">
        <f t="shared" si="18"/>
        <v>0</v>
      </c>
      <c r="AB27" s="606">
        <f t="shared" si="22"/>
        <v>19116</v>
      </c>
      <c r="AC27" s="607">
        <v>19132</v>
      </c>
      <c r="AD27" s="609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30901</v>
      </c>
      <c r="AI27" s="385">
        <v>30929</v>
      </c>
      <c r="AJ27" s="475">
        <f t="shared" si="20"/>
        <v>28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105</v>
      </c>
    </row>
    <row r="28" spans="1:40" ht="23.1" customHeight="1">
      <c r="A28" s="57">
        <f>Gen!A33</f>
        <v>44309</v>
      </c>
      <c r="B28" s="4"/>
      <c r="C28" s="95">
        <f t="shared" ref="C28:C37" si="40">D27</f>
        <v>254335</v>
      </c>
      <c r="D28" s="1"/>
      <c r="E28" s="474" t="str">
        <f t="shared" si="29"/>
        <v>0</v>
      </c>
      <c r="F28" s="95">
        <f t="shared" si="39"/>
        <v>0</v>
      </c>
      <c r="G28" s="387"/>
      <c r="H28" s="474" t="str">
        <f t="shared" ref="H28:H37" si="41">IF((G28-G27)&lt;0,"0",(G28-G27))</f>
        <v>0</v>
      </c>
      <c r="I28" s="95">
        <f t="shared" si="32"/>
        <v>8397</v>
      </c>
      <c r="J28" s="1"/>
      <c r="K28" s="474" t="str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21203</v>
      </c>
      <c r="P28" s="383"/>
      <c r="Q28" s="474" t="str">
        <f t="shared" ref="Q28:Q37" si="42">IF((P28-P27)&lt;0,"0",(P28-P27))</f>
        <v>0</v>
      </c>
      <c r="R28" s="250"/>
      <c r="S28" s="245">
        <f t="shared" si="35"/>
        <v>68670</v>
      </c>
      <c r="T28" s="384"/>
      <c r="U28" s="475" t="str">
        <f t="shared" si="36"/>
        <v>0</v>
      </c>
      <c r="V28" s="245">
        <f t="shared" si="31"/>
        <v>73031</v>
      </c>
      <c r="W28" s="384"/>
      <c r="X28" s="475" t="str">
        <f t="shared" si="17"/>
        <v>0</v>
      </c>
      <c r="Y28" s="245">
        <f t="shared" si="9"/>
        <v>90129</v>
      </c>
      <c r="Z28" s="384"/>
      <c r="AA28" s="475" t="str">
        <f t="shared" si="18"/>
        <v>0</v>
      </c>
      <c r="AB28" s="606">
        <f t="shared" si="22"/>
        <v>19132</v>
      </c>
      <c r="AC28" s="607"/>
      <c r="AD28" s="609" t="str">
        <f t="shared" si="23"/>
        <v>0</v>
      </c>
      <c r="AE28" s="245">
        <f t="shared" si="10"/>
        <v>18300</v>
      </c>
      <c r="AF28" s="385"/>
      <c r="AG28" s="475" t="str">
        <f t="shared" si="19"/>
        <v>0</v>
      </c>
      <c r="AH28" s="245">
        <f t="shared" si="11"/>
        <v>30929</v>
      </c>
      <c r="AI28" s="385"/>
      <c r="AJ28" s="475" t="str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1214</v>
      </c>
    </row>
    <row r="38" spans="1:41" ht="18.75">
      <c r="A38" s="57"/>
      <c r="B38" s="21"/>
      <c r="C38" s="965" t="s">
        <v>6</v>
      </c>
      <c r="D38" s="965"/>
      <c r="E38" s="22">
        <f>SUM(E6:E36)</f>
        <v>1691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35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1691</v>
      </c>
      <c r="S38" s="247"/>
      <c r="T38" s="247"/>
      <c r="U38" s="257">
        <f>SUM(U6:U37)</f>
        <v>1214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1214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4"/>
      <c r="B42" s="277"/>
      <c r="C42" s="931" t="s">
        <v>222</v>
      </c>
      <c r="D42" s="932"/>
      <c r="E42" s="932"/>
      <c r="F42" s="932"/>
      <c r="G42" s="932"/>
      <c r="H42" s="932"/>
      <c r="I42" s="932"/>
      <c r="J42" s="932"/>
      <c r="K42" s="933"/>
      <c r="R42" s="19"/>
    </row>
    <row r="43" spans="1:41" ht="24.75" customHeight="1">
      <c r="A43" s="935"/>
      <c r="B43" s="19"/>
      <c r="C43" s="937" t="s">
        <v>216</v>
      </c>
      <c r="D43" s="938"/>
      <c r="E43" s="939" t="s">
        <v>237</v>
      </c>
      <c r="F43" s="940"/>
      <c r="G43" s="941" t="s">
        <v>217</v>
      </c>
      <c r="H43" s="942"/>
      <c r="I43" s="941" t="s">
        <v>238</v>
      </c>
      <c r="J43" s="942"/>
      <c r="K43" s="92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5"/>
      <c r="B44" s="19"/>
      <c r="C44" s="943" t="s">
        <v>218</v>
      </c>
      <c r="D44" s="944"/>
      <c r="E44" s="943" t="s">
        <v>219</v>
      </c>
      <c r="F44" s="944"/>
      <c r="G44" s="943" t="s">
        <v>220</v>
      </c>
      <c r="H44" s="944"/>
      <c r="I44" s="943" t="s">
        <v>221</v>
      </c>
      <c r="J44" s="944"/>
      <c r="K44" s="93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>
        <v>145</v>
      </c>
      <c r="D66" s="325">
        <f t="shared" si="49"/>
        <v>104.88333333333334</v>
      </c>
      <c r="E66" s="6">
        <v>110</v>
      </c>
      <c r="F66" s="325">
        <f t="shared" si="50"/>
        <v>33.180327868852459</v>
      </c>
      <c r="G66" s="477">
        <v>247</v>
      </c>
      <c r="H66" s="325">
        <f t="shared" si="51"/>
        <v>94.156657963446477</v>
      </c>
      <c r="I66" s="6">
        <v>288</v>
      </c>
      <c r="J66" s="325">
        <f t="shared" si="52"/>
        <v>199.16883116883116</v>
      </c>
      <c r="K66" s="331">
        <f t="shared" si="53"/>
        <v>431.38915033446347</v>
      </c>
    </row>
    <row r="67" spans="1:11" ht="13.5">
      <c r="A67" s="293">
        <f>Gen!A32</f>
        <v>44308</v>
      </c>
      <c r="B67" s="19"/>
      <c r="C67" s="62">
        <v>105</v>
      </c>
      <c r="D67" s="325">
        <f t="shared" si="49"/>
        <v>75.95</v>
      </c>
      <c r="E67" s="6">
        <v>60</v>
      </c>
      <c r="F67" s="325">
        <f t="shared" si="50"/>
        <v>18.098360655737704</v>
      </c>
      <c r="G67" s="477">
        <v>265</v>
      </c>
      <c r="H67" s="325">
        <f t="shared" si="51"/>
        <v>101.0182767624021</v>
      </c>
      <c r="I67" s="6">
        <v>280</v>
      </c>
      <c r="J67" s="325">
        <f t="shared" si="52"/>
        <v>193.63636363636363</v>
      </c>
      <c r="K67" s="331">
        <f t="shared" si="53"/>
        <v>388.70300105450343</v>
      </c>
    </row>
    <row r="68" spans="1:11" ht="13.5">
      <c r="A68" s="293">
        <f>Gen!A33</f>
        <v>44309</v>
      </c>
      <c r="B68" s="19"/>
      <c r="C68" s="62">
        <v>225</v>
      </c>
      <c r="D68" s="325">
        <f t="shared" si="49"/>
        <v>162.75</v>
      </c>
      <c r="E68" s="6">
        <v>190</v>
      </c>
      <c r="F68" s="325">
        <f t="shared" si="50"/>
        <v>57.311475409836063</v>
      </c>
      <c r="G68" s="477">
        <v>103</v>
      </c>
      <c r="H68" s="325">
        <f t="shared" si="51"/>
        <v>39.263707571801568</v>
      </c>
      <c r="I68" s="6">
        <v>285</v>
      </c>
      <c r="J68" s="325">
        <f t="shared" si="52"/>
        <v>197.09415584415584</v>
      </c>
      <c r="K68" s="331">
        <f t="shared" si="53"/>
        <v>456.41933882579349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6" t="s">
        <v>316</v>
      </c>
      <c r="B2" s="967"/>
      <c r="C2" s="967"/>
      <c r="D2" s="967"/>
      <c r="E2" s="96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>
        <f>Gen!U30</f>
        <v>0.41581932773109243</v>
      </c>
      <c r="G24" s="85">
        <f>Gen!T30</f>
        <v>2856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66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4.25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2.5999999999999999E-2</v>
      </c>
      <c r="D25" s="434">
        <f t="shared" si="2"/>
        <v>2.0019999999999998</v>
      </c>
      <c r="E25" s="74"/>
      <c r="F25" s="70">
        <f>Gen!U31</f>
        <v>0.41387407407407406</v>
      </c>
      <c r="G25" s="85">
        <f>Gen!T31</f>
        <v>2700</v>
      </c>
      <c r="H25" s="85">
        <f>[1]Gen!AJ31</f>
        <v>172.05</v>
      </c>
      <c r="I25" s="85">
        <f t="shared" si="0"/>
        <v>2872.05</v>
      </c>
      <c r="J25" s="85">
        <f>[1]Gen!AT31</f>
        <v>41422.370000000032</v>
      </c>
      <c r="K25" s="69">
        <f>'Water-Meter'!E26</f>
        <v>47</v>
      </c>
      <c r="L25" s="447">
        <f>'Lpg (2)'!G30</f>
        <v>65.560000000038428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6346799.6924999999</v>
      </c>
      <c r="R25" s="76">
        <f t="shared" si="3"/>
        <v>2001.4075862584386</v>
      </c>
      <c r="S25" s="438" t="e">
        <f t="shared" si="4"/>
        <v>#DIV/0!</v>
      </c>
      <c r="T25" s="76">
        <f t="shared" si="5"/>
        <v>3.0265151515151514</v>
      </c>
      <c r="U25" s="122">
        <f t="shared" si="6"/>
        <v>81.246388888936508</v>
      </c>
      <c r="V25" s="17">
        <f t="shared" si="7"/>
        <v>6346883.9654040402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0.41092942537601235</v>
      </c>
      <c r="G26" s="85">
        <f>Gen!T32</f>
        <v>2593</v>
      </c>
      <c r="H26" s="85">
        <f>[1]Gen!AJ32</f>
        <v>18.63</v>
      </c>
      <c r="I26" s="85">
        <f t="shared" si="0"/>
        <v>2611.63</v>
      </c>
      <c r="J26" s="85">
        <f>[1]Gen!AT32</f>
        <v>38988.160000000033</v>
      </c>
      <c r="K26" s="69">
        <f>'Water-Meter'!E27</f>
        <v>50</v>
      </c>
      <c r="L26" s="447">
        <f>'Lpg (2)'!G31</f>
        <v>58.211999999982076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5771310.5554999998</v>
      </c>
      <c r="R26" s="76" t="e">
        <f t="shared" si="3"/>
        <v>#DIV/0!</v>
      </c>
      <c r="S26" s="438" t="e">
        <f t="shared" si="4"/>
        <v>#DIV/0!</v>
      </c>
      <c r="T26" s="76">
        <f t="shared" si="5"/>
        <v>3.2196969696969697</v>
      </c>
      <c r="U26" s="122">
        <f t="shared" si="6"/>
        <v>72.140249999977783</v>
      </c>
      <c r="V26" s="17">
        <f t="shared" si="7"/>
        <v>5771385.9154469697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1.2999999999999999E-2</v>
      </c>
      <c r="D27" s="434">
        <f t="shared" si="2"/>
        <v>1.0009999999999999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 t="str">
        <f>'Water-Meter'!E28</f>
        <v>0</v>
      </c>
      <c r="L27" s="447">
        <f>'Lpg (2)'!G32</f>
        <v>41.140000000025616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>
        <f t="shared" si="3"/>
        <v>433.91879521993167</v>
      </c>
      <c r="S27" s="438" t="e">
        <f t="shared" si="4"/>
        <v>#DIV/0!</v>
      </c>
      <c r="T27" s="76">
        <f t="shared" si="5"/>
        <v>0</v>
      </c>
      <c r="U27" s="122">
        <f t="shared" si="6"/>
        <v>50.983472222253965</v>
      </c>
      <c r="V27" s="17">
        <f t="shared" si="7"/>
        <v>688065.68247222225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-334971.47200000007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-415119.317888889</v>
      </c>
      <c r="V28" s="17">
        <f t="shared" si="7"/>
        <v>426170.57711111091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1691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9" t="s">
        <v>180</v>
      </c>
      <c r="B1" s="970"/>
      <c r="C1" s="970"/>
      <c r="D1" s="970"/>
      <c r="E1" s="970"/>
      <c r="F1" s="970"/>
      <c r="G1" s="971"/>
    </row>
    <row r="2" spans="1:7" ht="13.5" thickBot="1">
      <c r="A2" s="300"/>
      <c r="B2" s="972" t="s">
        <v>175</v>
      </c>
      <c r="C2" s="973"/>
      <c r="D2" s="974"/>
      <c r="E2" s="972" t="s">
        <v>176</v>
      </c>
      <c r="F2" s="973"/>
      <c r="G2" s="974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9" t="s">
        <v>230</v>
      </c>
      <c r="B1" s="970"/>
      <c r="C1" s="970"/>
      <c r="D1" s="970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5"/>
      <c r="C76" s="976"/>
      <c r="D76" s="976"/>
      <c r="E76" s="977"/>
      <c r="H76" s="975"/>
      <c r="I76" s="976"/>
      <c r="J76" s="976"/>
      <c r="K76" s="976"/>
      <c r="L76" s="977"/>
    </row>
    <row r="77" spans="1:12">
      <c r="B77" s="978"/>
      <c r="C77" s="979"/>
      <c r="D77" s="979"/>
      <c r="E77" s="980"/>
      <c r="H77" s="978"/>
      <c r="I77" s="979"/>
      <c r="J77" s="979"/>
      <c r="K77" s="979"/>
      <c r="L77" s="980"/>
    </row>
    <row r="78" spans="1:12">
      <c r="B78" s="978"/>
      <c r="C78" s="979"/>
      <c r="D78" s="979"/>
      <c r="E78" s="980"/>
      <c r="H78" s="978"/>
      <c r="I78" s="979"/>
      <c r="J78" s="979"/>
      <c r="K78" s="979"/>
      <c r="L78" s="980"/>
    </row>
    <row r="79" spans="1:12">
      <c r="B79" s="978"/>
      <c r="C79" s="979"/>
      <c r="D79" s="979"/>
      <c r="E79" s="980"/>
      <c r="H79" s="978"/>
      <c r="I79" s="979"/>
      <c r="J79" s="979"/>
      <c r="K79" s="979"/>
      <c r="L79" s="980"/>
    </row>
    <row r="80" spans="1:12">
      <c r="B80" s="978"/>
      <c r="C80" s="979"/>
      <c r="D80" s="979"/>
      <c r="E80" s="980"/>
      <c r="H80" s="978"/>
      <c r="I80" s="979"/>
      <c r="J80" s="979"/>
      <c r="K80" s="979"/>
      <c r="L80" s="980"/>
    </row>
    <row r="81" spans="2:12">
      <c r="B81" s="978"/>
      <c r="C81" s="979"/>
      <c r="D81" s="979"/>
      <c r="E81" s="980"/>
      <c r="H81" s="978"/>
      <c r="I81" s="979"/>
      <c r="J81" s="979"/>
      <c r="K81" s="979"/>
      <c r="L81" s="980"/>
    </row>
    <row r="82" spans="2:12">
      <c r="B82" s="978"/>
      <c r="C82" s="979"/>
      <c r="D82" s="979"/>
      <c r="E82" s="980"/>
      <c r="H82" s="978"/>
      <c r="I82" s="979"/>
      <c r="J82" s="979"/>
      <c r="K82" s="979"/>
      <c r="L82" s="980"/>
    </row>
    <row r="83" spans="2:12">
      <c r="B83" s="978"/>
      <c r="C83" s="979"/>
      <c r="D83" s="979"/>
      <c r="E83" s="980"/>
      <c r="H83" s="978"/>
      <c r="I83" s="979"/>
      <c r="J83" s="979"/>
      <c r="K83" s="979"/>
      <c r="L83" s="980"/>
    </row>
    <row r="84" spans="2:12">
      <c r="B84" s="978"/>
      <c r="C84" s="979"/>
      <c r="D84" s="979"/>
      <c r="E84" s="980"/>
      <c r="H84" s="978"/>
      <c r="I84" s="979"/>
      <c r="J84" s="979"/>
      <c r="K84" s="979"/>
      <c r="L84" s="980"/>
    </row>
    <row r="85" spans="2:12">
      <c r="B85" s="978"/>
      <c r="C85" s="979"/>
      <c r="D85" s="979"/>
      <c r="E85" s="980"/>
      <c r="H85" s="978"/>
      <c r="I85" s="979"/>
      <c r="J85" s="979"/>
      <c r="K85" s="979"/>
      <c r="L85" s="980"/>
    </row>
    <row r="86" spans="2:12">
      <c r="B86" s="978"/>
      <c r="C86" s="979"/>
      <c r="D86" s="979"/>
      <c r="E86" s="980"/>
      <c r="H86" s="978"/>
      <c r="I86" s="979"/>
      <c r="J86" s="979"/>
      <c r="K86" s="979"/>
      <c r="L86" s="980"/>
    </row>
    <row r="87" spans="2:12">
      <c r="B87" s="978"/>
      <c r="C87" s="979"/>
      <c r="D87" s="979"/>
      <c r="E87" s="980"/>
      <c r="H87" s="978"/>
      <c r="I87" s="979"/>
      <c r="J87" s="979"/>
      <c r="K87" s="979"/>
      <c r="L87" s="980"/>
    </row>
    <row r="88" spans="2:12">
      <c r="B88" s="978"/>
      <c r="C88" s="979"/>
      <c r="D88" s="979"/>
      <c r="E88" s="980"/>
      <c r="H88" s="978"/>
      <c r="I88" s="979"/>
      <c r="J88" s="979"/>
      <c r="K88" s="979"/>
      <c r="L88" s="980"/>
    </row>
    <row r="89" spans="2:12">
      <c r="B89" s="978"/>
      <c r="C89" s="979"/>
      <c r="D89" s="979"/>
      <c r="E89" s="980"/>
      <c r="H89" s="978"/>
      <c r="I89" s="979"/>
      <c r="J89" s="979"/>
      <c r="K89" s="979"/>
      <c r="L89" s="980"/>
    </row>
    <row r="90" spans="2:12" ht="13.5" thickBot="1">
      <c r="B90" s="981"/>
      <c r="C90" s="982"/>
      <c r="D90" s="982"/>
      <c r="E90" s="983"/>
      <c r="H90" s="981"/>
      <c r="I90" s="982"/>
      <c r="J90" s="982"/>
      <c r="K90" s="982"/>
      <c r="L90" s="983"/>
    </row>
    <row r="91" spans="2:12">
      <c r="B91" s="984" t="s">
        <v>312</v>
      </c>
      <c r="C91" s="985"/>
      <c r="D91" s="985"/>
      <c r="E91" s="986"/>
      <c r="H91" s="984" t="s">
        <v>313</v>
      </c>
      <c r="I91" s="985"/>
      <c r="J91" s="985"/>
      <c r="K91" s="985"/>
      <c r="L91" s="986"/>
    </row>
    <row r="92" spans="2:12">
      <c r="B92" s="987"/>
      <c r="C92" s="988"/>
      <c r="D92" s="988"/>
      <c r="E92" s="989"/>
      <c r="H92" s="987"/>
      <c r="I92" s="988"/>
      <c r="J92" s="988"/>
      <c r="K92" s="988"/>
      <c r="L92" s="989"/>
    </row>
    <row r="93" spans="2:12" ht="13.5" thickBot="1">
      <c r="B93" s="990"/>
      <c r="C93" s="991"/>
      <c r="D93" s="991"/>
      <c r="E93" s="992"/>
      <c r="H93" s="990"/>
      <c r="I93" s="991"/>
      <c r="J93" s="991"/>
      <c r="K93" s="991"/>
      <c r="L93" s="99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3" t="s">
        <v>254</v>
      </c>
      <c r="B1" s="993"/>
      <c r="C1" s="993"/>
      <c r="D1" s="993"/>
      <c r="E1" s="993"/>
      <c r="F1" s="993"/>
      <c r="G1" s="993"/>
      <c r="H1" s="993"/>
      <c r="I1" s="993"/>
      <c r="J1" s="993"/>
    </row>
    <row r="2" spans="1:10" ht="19.5" thickBot="1">
      <c r="A2" s="1002">
        <f>A5</f>
        <v>44287</v>
      </c>
      <c r="B2" s="1003"/>
      <c r="C2" s="1003"/>
      <c r="D2" s="1003"/>
      <c r="E2" s="1003"/>
      <c r="F2" s="1003"/>
      <c r="G2" s="1003"/>
      <c r="H2" s="1003"/>
      <c r="I2" s="1003"/>
      <c r="J2" s="1003"/>
    </row>
    <row r="3" spans="1:10" ht="15.75" thickBot="1">
      <c r="A3" s="994" t="s">
        <v>7</v>
      </c>
      <c r="B3" s="996" t="s">
        <v>255</v>
      </c>
      <c r="C3" s="440"/>
      <c r="D3" s="998" t="s">
        <v>256</v>
      </c>
      <c r="E3" s="999"/>
      <c r="F3" s="1000" t="s">
        <v>257</v>
      </c>
      <c r="G3" s="1001"/>
      <c r="H3" s="999"/>
      <c r="I3" s="1000" t="s">
        <v>258</v>
      </c>
      <c r="J3" s="999"/>
    </row>
    <row r="4" spans="1:10" ht="30.75" thickBot="1">
      <c r="A4" s="995"/>
      <c r="B4" s="997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28202.210000000006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67.459999999999994</v>
      </c>
      <c r="D24" s="444">
        <f>Gen!S30</f>
        <v>1187.58</v>
      </c>
      <c r="E24" s="395">
        <f>Gen!C30</f>
        <v>26707.000000000007</v>
      </c>
      <c r="F24" s="396">
        <f>'Water-Meter'!E25</f>
        <v>66</v>
      </c>
      <c r="G24" s="397">
        <f>'Water-Meter'!AN25</f>
        <v>44</v>
      </c>
      <c r="H24" s="395">
        <f>'Utility report '!AC25</f>
        <v>130</v>
      </c>
      <c r="I24" s="394">
        <f>'Kit report'!F23</f>
        <v>252.00000000004366</v>
      </c>
      <c r="J24" s="395">
        <f>'Kit report'!X23</f>
        <v>239.99999999996362</v>
      </c>
    </row>
    <row r="25" spans="1:10" ht="15" customHeight="1" thickBot="1">
      <c r="A25" s="217">
        <f>Gen!A31</f>
        <v>44307</v>
      </c>
      <c r="B25" s="399">
        <f>Gen!B31</f>
        <v>2.5999999999999999E-2</v>
      </c>
      <c r="C25" s="443">
        <f>Gen!AJ31</f>
        <v>17.399999999999999</v>
      </c>
      <c r="D25" s="444">
        <f>Gen!S31</f>
        <v>1117.46</v>
      </c>
      <c r="E25" s="395">
        <f>Gen!C31</f>
        <v>25451.960000000006</v>
      </c>
      <c r="F25" s="396">
        <f>'Water-Meter'!E26</f>
        <v>47</v>
      </c>
      <c r="G25" s="397">
        <f>'Water-Meter'!AN26</f>
        <v>46</v>
      </c>
      <c r="H25" s="395">
        <f>'Utility report '!AC26</f>
        <v>56</v>
      </c>
      <c r="I25" s="394">
        <f>'Kit report'!F24</f>
        <v>227.99999999995634</v>
      </c>
      <c r="J25" s="395">
        <f>'Kit report'!X24</f>
        <v>279.99999999992724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54.930000000000007</v>
      </c>
      <c r="D26" s="444">
        <f>Gen!S32</f>
        <v>1065.54</v>
      </c>
      <c r="E26" s="395">
        <f>Gen!C32</f>
        <v>39117.100000000006</v>
      </c>
      <c r="F26" s="396">
        <f>'Water-Meter'!E27</f>
        <v>50</v>
      </c>
      <c r="G26" s="397">
        <f>'Water-Meter'!AN27</f>
        <v>105</v>
      </c>
      <c r="H26" s="395">
        <f>'Utility report '!AC27</f>
        <v>0</v>
      </c>
      <c r="I26" s="394">
        <f>'Kit report'!F25</f>
        <v>227.99999999995634</v>
      </c>
      <c r="J26" s="395">
        <f>'Kit report'!X25</f>
        <v>339.99999999996362</v>
      </c>
    </row>
    <row r="27" spans="1:10" ht="15" customHeight="1" thickBot="1">
      <c r="A27" s="217">
        <f>Gen!A33</f>
        <v>44309</v>
      </c>
      <c r="B27" s="399">
        <f>Gen!B33</f>
        <v>1.2999999999999999E-2</v>
      </c>
      <c r="C27" s="443">
        <f>Gen!AJ33</f>
        <v>0</v>
      </c>
      <c r="D27" s="444">
        <f>Gen!S33</f>
        <v>0</v>
      </c>
      <c r="E27" s="395">
        <f>Gen!C33</f>
        <v>37996.630000000005</v>
      </c>
      <c r="F27" s="396" t="str">
        <f>'Water-Meter'!E28</f>
        <v>0</v>
      </c>
      <c r="G27" s="397">
        <f>'Water-Meter'!AN28</f>
        <v>0</v>
      </c>
      <c r="H27" s="395">
        <f>'Utility report '!AC28</f>
        <v>-574</v>
      </c>
      <c r="I27" s="394">
        <f>'Kit report'!F26</f>
        <v>-1110108</v>
      </c>
      <c r="J27" s="395">
        <f>'Kit report'!X26</f>
        <v>-1621780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37996.630000000005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37996.630000000005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 t="e">
        <f>'Kit report'!X28</f>
        <v>#VALUE!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37996.630000000005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 t="e">
        <f>'Kit report'!X29</f>
        <v>#VALUE!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37996.630000000005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37996.630000000005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37996.630000000005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37996.630000000005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37996.630000000005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37996.630000000005</v>
      </c>
      <c r="F36" s="396">
        <f>'Water-Meter'!E37</f>
        <v>0</v>
      </c>
      <c r="G36" s="397">
        <f>'Water-Meter'!AN37</f>
        <v>1214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2021-04-23T12:08:44Z</dcterms:modified>
</cp:coreProperties>
</file>