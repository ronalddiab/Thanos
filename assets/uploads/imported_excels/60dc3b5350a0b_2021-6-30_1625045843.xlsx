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4804" documentId="8_{5B502D95-7A37-4D5A-8B6B-374537CC2F26}" xr6:coauthVersionLast="47" xr6:coauthVersionMax="47" xr10:uidLastSave="{765750FB-BEFD-42A0-8C8D-0DF4E957BB8C}"/>
  <bookViews>
    <workbookView xWindow="-120" yWindow="-120" windowWidth="15600" windowHeight="11760" tabRatio="764" firstSheet="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8" i="2" l="1"/>
  <c r="N39" i="2"/>
  <c r="M39" i="2"/>
  <c r="L39" i="2"/>
  <c r="F39" i="2"/>
  <c r="K38" i="6"/>
  <c r="I38" i="6"/>
  <c r="G38" i="6"/>
  <c r="E38" i="6"/>
  <c r="C38" i="6"/>
  <c r="V37" i="2"/>
  <c r="N38" i="2"/>
  <c r="M38" i="2"/>
  <c r="L38" i="2"/>
  <c r="F38" i="2"/>
  <c r="K37" i="6"/>
  <c r="I37" i="6"/>
  <c r="G37" i="6"/>
  <c r="E37" i="6"/>
  <c r="C37" i="6"/>
  <c r="V33" i="2"/>
  <c r="V34" i="2"/>
  <c r="V35" i="2"/>
  <c r="V36" i="2"/>
  <c r="N34" i="2"/>
  <c r="N35" i="2"/>
  <c r="N36" i="2"/>
  <c r="N37" i="2"/>
  <c r="M34" i="2"/>
  <c r="M35" i="2"/>
  <c r="M36" i="2"/>
  <c r="M37" i="2"/>
  <c r="L34" i="2"/>
  <c r="L35" i="2"/>
  <c r="L36" i="2"/>
  <c r="L37" i="2"/>
  <c r="F34" i="2"/>
  <c r="F35" i="2"/>
  <c r="F36" i="2"/>
  <c r="F37" i="2"/>
  <c r="K36" i="6"/>
  <c r="I36" i="6"/>
  <c r="G36" i="6"/>
  <c r="E36" i="6"/>
  <c r="C36" i="6"/>
  <c r="C31" i="4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V32" i="2"/>
  <c r="F33" i="2"/>
  <c r="N33" i="2"/>
  <c r="M33" i="2"/>
  <c r="K32" i="6"/>
  <c r="I32" i="6"/>
  <c r="G32" i="6"/>
  <c r="E32" i="6"/>
  <c r="C32" i="6"/>
  <c r="V31" i="2"/>
  <c r="N32" i="2"/>
  <c r="M32" i="2"/>
  <c r="L32" i="2"/>
  <c r="L33" i="2"/>
  <c r="F32" i="2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7" i="2"/>
  <c r="V28" i="2"/>
  <c r="V29" i="2"/>
  <c r="N28" i="2"/>
  <c r="N29" i="2"/>
  <c r="N30" i="2"/>
  <c r="M28" i="2"/>
  <c r="M29" i="2"/>
  <c r="M30" i="2"/>
  <c r="L28" i="2"/>
  <c r="L29" i="2"/>
  <c r="L30" i="2"/>
  <c r="F28" i="2"/>
  <c r="F29" i="2"/>
  <c r="F30" i="2"/>
  <c r="K29" i="6"/>
  <c r="I29" i="6"/>
  <c r="G29" i="6"/>
  <c r="E29" i="6"/>
  <c r="C29" i="6"/>
  <c r="K28" i="6"/>
  <c r="I28" i="6"/>
  <c r="G28" i="6"/>
  <c r="C28" i="6"/>
  <c r="E28" i="6"/>
  <c r="K27" i="6"/>
  <c r="I27" i="6"/>
  <c r="G27" i="6"/>
  <c r="E27" i="6"/>
  <c r="C27" i="6"/>
  <c r="V26" i="2"/>
  <c r="N27" i="2"/>
  <c r="M27" i="2"/>
  <c r="L27" i="2"/>
  <c r="F27" i="2"/>
  <c r="K26" i="6"/>
  <c r="I26" i="6"/>
  <c r="G26" i="6"/>
  <c r="E25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0" i="2"/>
  <c r="V21" i="2"/>
  <c r="V22" i="2"/>
  <c r="N21" i="2"/>
  <c r="N22" i="2"/>
  <c r="N23" i="2"/>
  <c r="M21" i="2"/>
  <c r="M22" i="2"/>
  <c r="M23" i="2"/>
  <c r="L21" i="2"/>
  <c r="L22" i="2"/>
  <c r="L23" i="2"/>
  <c r="F21" i="2"/>
  <c r="F22" i="2"/>
  <c r="F23" i="2"/>
  <c r="K22" i="6"/>
  <c r="I22" i="6"/>
  <c r="G22" i="6"/>
  <c r="E22" i="6"/>
  <c r="C21" i="6"/>
  <c r="C22" i="6"/>
  <c r="K21" i="6"/>
  <c r="I21" i="6"/>
  <c r="G21" i="6"/>
  <c r="E21" i="6"/>
  <c r="K20" i="6"/>
  <c r="I20" i="6"/>
  <c r="G20" i="6"/>
  <c r="E20" i="6"/>
  <c r="C20" i="6"/>
  <c r="V19" i="2"/>
  <c r="K19" i="6"/>
  <c r="N20" i="2" s="1"/>
  <c r="I19" i="6"/>
  <c r="M20" i="2" s="1"/>
  <c r="G19" i="6"/>
  <c r="L20" i="2" s="1"/>
  <c r="E19" i="6"/>
  <c r="F20" i="2" s="1"/>
  <c r="C19" i="6"/>
  <c r="V18" i="2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6" i="2"/>
  <c r="K16" i="6"/>
  <c r="N17" i="2" s="1"/>
  <c r="I16" i="6"/>
  <c r="M17" i="2" s="1"/>
  <c r="G16" i="6"/>
  <c r="L17" i="2" s="1"/>
  <c r="E16" i="6"/>
  <c r="F17" i="2" s="1"/>
  <c r="C16" i="6"/>
  <c r="V13" i="2"/>
  <c r="V14" i="2"/>
  <c r="V15" i="2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K13" i="6"/>
  <c r="N14" i="2" s="1"/>
  <c r="I13" i="6"/>
  <c r="M14" i="2" s="1"/>
  <c r="G13" i="6"/>
  <c r="L14" i="2" s="1"/>
  <c r="E13" i="6"/>
  <c r="F14" i="2" s="1"/>
  <c r="C13" i="6"/>
  <c r="V12" i="2"/>
  <c r="K12" i="6"/>
  <c r="N13" i="2" s="1"/>
  <c r="I12" i="6"/>
  <c r="M13" i="2" s="1"/>
  <c r="G12" i="6"/>
  <c r="L13" i="2" s="1"/>
  <c r="E12" i="6"/>
  <c r="F13" i="2" s="1"/>
  <c r="C12" i="6"/>
  <c r="V11" i="2"/>
  <c r="K11" i="6"/>
  <c r="N12" i="2" s="1"/>
  <c r="I11" i="6"/>
  <c r="M12" i="2" s="1"/>
  <c r="G11" i="6"/>
  <c r="L12" i="2" s="1"/>
  <c r="E11" i="6"/>
  <c r="F12" i="2" s="1"/>
  <c r="C11" i="6"/>
  <c r="K10" i="6"/>
  <c r="N11" i="2" s="1"/>
  <c r="I10" i="6"/>
  <c r="M11" i="2" s="1"/>
  <c r="G10" i="6"/>
  <c r="L11" i="2" s="1"/>
  <c r="E10" i="6"/>
  <c r="F11" i="2" s="1"/>
  <c r="C10" i="6"/>
  <c r="L28" i="22"/>
  <c r="L29" i="22"/>
  <c r="L30" i="22"/>
  <c r="L31" i="22"/>
  <c r="K28" i="22"/>
  <c r="K29" i="22"/>
  <c r="K30" i="22"/>
  <c r="K31" i="22"/>
  <c r="G27" i="22"/>
  <c r="G28" i="22"/>
  <c r="G29" i="22"/>
  <c r="G30" i="22"/>
  <c r="X39" i="2"/>
  <c r="O39" i="2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C35" i="4"/>
  <c r="I30" i="4"/>
  <c r="Q39" i="2"/>
  <c r="H39" i="2"/>
  <c r="G5" i="4"/>
  <c r="G7" i="4"/>
  <c r="G8" i="4"/>
  <c r="G10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0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0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I31" i="21"/>
  <c r="H31" i="21"/>
  <c r="G31" i="21"/>
  <c r="F31" i="21"/>
  <c r="E31" i="21"/>
  <c r="E31" i="22" s="1"/>
  <c r="I31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0" i="22" s="1"/>
  <c r="E28" i="22"/>
  <c r="E29" i="22"/>
  <c r="O38" i="2"/>
  <c r="E23" i="22"/>
  <c r="E24" i="22"/>
  <c r="E25" i="22"/>
  <c r="E26" i="22"/>
  <c r="E27" i="2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X38" i="2"/>
  <c r="F40" i="2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32" i="4" l="1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E8" i="22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X36" i="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0" i="2" s="1"/>
  <c r="L40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I47" i="2"/>
  <c r="L47" i="2" s="1"/>
  <c r="N47" i="2" s="1"/>
  <c r="I43" i="2"/>
  <c r="L43" i="2" s="1"/>
  <c r="N43" i="2" s="1"/>
  <c r="N46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0" i="2" s="1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<sst xmlns="http://schemas.openxmlformats.org/spreadsheetml/2006/main" count="476" uniqueCount="185">
  <si>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</si>
  <si>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</si>
  <si>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</si>
  <si>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</si>
  <si>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</si>
  <si>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</si>
  <si>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</si>
  <si>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</si>
  <si>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</si>
  <si>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</si>
  <si>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</si>
  <si>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</si>
  <si>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</si>
  <si>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</si>
  <si>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</si>
  <si>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</si>
  <si>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</si>
  <si>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</si>
  <si>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</si>
  <si>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</si>
  <si>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</si>
  <si>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</si>
  <si>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</si>
  <si>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</si>
  <si>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</si>
  <si>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</si>
  <si>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</si>
  <si>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</si>
  <si>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</si>
  <si>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</si>
  <si>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</si>
  <si>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</si>
  <si>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</si>
  <si>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</si>
  <si>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</si>
  <si>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</si>
  <si>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</si>
  <si>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</si>
  <si>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</si>
  <si>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</si>
  <si>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</si>
  <si>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</si>
  <si>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</si>
  <si>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</si>
  <si>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</si>
  <si>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</si>
  <si>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</si>
  <si>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</si>
  <si>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</si>
  <si>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</si>
  <si>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</si>
  <si>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</si>
  <si>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</si>
  <si>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</si>
  <si>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</si>
  <si>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</si>
  <si>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</si>
  <si>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</si>
  <si>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</si>
  <si>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</si>
  <si>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</si>
  <si>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</si>
  <si>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</si>
  <si>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</si>
  <si>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</si>
  <si>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</si>
  <si>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</si>
  <si>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</si>
  <si>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</si>
  <si>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</si>
  <si>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</si>
  <si>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</si>
  <si>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</si>
  <si>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</si>
  <si>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</si>
  <si>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</si>
  <si>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</si>
  <si>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</si>
  <si>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</si>
  <si>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</si>
  <si>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</si>
  <si>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</si>
  <si>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</si>
  <si>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</si>
  <si>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</si>
  <si>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</si>
  <si>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</si>
  <si>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</si>
  <si>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</si>
  <si>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</si>
  <si>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</si>
  <si>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</si>
  <si>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</si>
  <si>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</si>
  <si>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</si>
  <si>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</si>
  <si>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</si>
  <si>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</si>
  <si>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</si>
  <si>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</si>
  <si>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</si>
  <si>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</si>
  <si>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</si>
  <si>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</si>
  <si>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</si>
  <si>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</si>
  <si>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</si>
  <si>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</si>
  <si>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</si>
  <si>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</si>
  <si>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</si>
  <si>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</si>
  <si>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</si>
  <si>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</si>
  <si>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</si>
  <si>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</si>
  <si>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</si>
  <si>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</si>
  <si>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</si>
  <si>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</si>
  <si>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</si>
  <si>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</si>
  <si>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</si>
  <si>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</si>
  <si>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</si>
  <si>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</si>
  <si>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</si>
  <si>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</si>
  <si>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</si>
  <si>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</si>
  <si>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</si>
  <si>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</si>
  <si>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Juin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</si>
  <si>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</si>
  <si>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</si>
  <si>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</si>
  <si>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</si>
  <si>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</si>
  <si>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</si>
  <si>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</si>
  <si>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</si>
  <si>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</si>
  <si>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</si>
  <si>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</si>
  <si>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</si>
  <si>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</si>
  <si>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</si>
  <si>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</si>
  <si>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</si>
  <si>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</si>
  <si>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</si>
  <si>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</si>
  <si>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</si>
  <si>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</si>
  <si>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Juin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</si>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</sst>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69.299999999988358</c:v>
                </c:pt>
                <c:pt idx="1">
                  <c:v>73.80000000000291</c:v>
                </c:pt>
                <c:pt idx="2">
                  <c:v>118.19999999999709</c:v>
                </c:pt>
                <c:pt idx="3">
                  <c:v>95.200000000011642</c:v>
                </c:pt>
                <c:pt idx="4">
                  <c:v>90.899999999994179</c:v>
                </c:pt>
                <c:pt idx="5">
                  <c:v>101.60000000000582</c:v>
                </c:pt>
                <c:pt idx="6">
                  <c:v>71.69999999999709</c:v>
                </c:pt>
                <c:pt idx="7">
                  <c:v>77.399999999994179</c:v>
                </c:pt>
                <c:pt idx="8">
                  <c:v>68.400000000008731</c:v>
                </c:pt>
                <c:pt idx="9">
                  <c:v>63.19999999999709</c:v>
                </c:pt>
                <c:pt idx="10">
                  <c:v>76.19999999999709</c:v>
                </c:pt>
                <c:pt idx="11">
                  <c:v>95.69999999999709</c:v>
                </c:pt>
                <c:pt idx="12">
                  <c:v>99.30000000000291</c:v>
                </c:pt>
                <c:pt idx="13">
                  <c:v>92</c:v>
                </c:pt>
                <c:pt idx="14">
                  <c:v>88.5</c:v>
                </c:pt>
                <c:pt idx="15">
                  <c:v>95.80000000000291</c:v>
                </c:pt>
                <c:pt idx="16">
                  <c:v>103.09999999999127</c:v>
                </c:pt>
                <c:pt idx="17">
                  <c:v>82.700000000011642</c:v>
                </c:pt>
                <c:pt idx="18">
                  <c:v>228.19999999999709</c:v>
                </c:pt>
                <c:pt idx="19">
                  <c:v>60.69999999999709</c:v>
                </c:pt>
                <c:pt idx="20">
                  <c:v>107</c:v>
                </c:pt>
                <c:pt idx="21">
                  <c:v>107.39999999999418</c:v>
                </c:pt>
                <c:pt idx="22">
                  <c:v>97.700000000011642</c:v>
                </c:pt>
                <c:pt idx="23">
                  <c:v>100.89999999999418</c:v>
                </c:pt>
                <c:pt idx="24">
                  <c:v>111.80000000000291</c:v>
                </c:pt>
                <c:pt idx="25">
                  <c:v>112.69999999999709</c:v>
                </c:pt>
                <c:pt idx="26">
                  <c:v>92.5</c:v>
                </c:pt>
                <c:pt idx="27">
                  <c:v>95.5</c:v>
                </c:pt>
                <c:pt idx="28">
                  <c:v>98.30000000000291</c:v>
                </c:pt>
                <c:pt idx="29">
                  <c:v>112.09999999999127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2794</c:v>
                </c:pt>
                <c:pt idx="1">
                  <c:v>2350</c:v>
                </c:pt>
                <c:pt idx="2">
                  <c:v>3656</c:v>
                </c:pt>
                <c:pt idx="3">
                  <c:v>2947</c:v>
                </c:pt>
                <c:pt idx="4">
                  <c:v>2928</c:v>
                </c:pt>
                <c:pt idx="5">
                  <c:v>3095</c:v>
                </c:pt>
                <c:pt idx="6">
                  <c:v>2223</c:v>
                </c:pt>
                <c:pt idx="7">
                  <c:v>2739</c:v>
                </c:pt>
                <c:pt idx="8">
                  <c:v>2858</c:v>
                </c:pt>
                <c:pt idx="9">
                  <c:v>2785</c:v>
                </c:pt>
                <c:pt idx="10">
                  <c:v>3022</c:v>
                </c:pt>
                <c:pt idx="11">
                  <c:v>3496</c:v>
                </c:pt>
                <c:pt idx="12">
                  <c:v>3327</c:v>
                </c:pt>
                <c:pt idx="13">
                  <c:v>2741</c:v>
                </c:pt>
                <c:pt idx="14">
                  <c:v>2329</c:v>
                </c:pt>
                <c:pt idx="15">
                  <c:v>2987</c:v>
                </c:pt>
                <c:pt idx="16">
                  <c:v>3168</c:v>
                </c:pt>
                <c:pt idx="17">
                  <c:v>2949</c:v>
                </c:pt>
                <c:pt idx="18">
                  <c:v>2951</c:v>
                </c:pt>
                <c:pt idx="19">
                  <c:v>3069</c:v>
                </c:pt>
                <c:pt idx="20">
                  <c:v>2795</c:v>
                </c:pt>
                <c:pt idx="21">
                  <c:v>2439</c:v>
                </c:pt>
                <c:pt idx="22">
                  <c:v>3005</c:v>
                </c:pt>
                <c:pt idx="23">
                  <c:v>3426</c:v>
                </c:pt>
                <c:pt idx="24">
                  <c:v>3446</c:v>
                </c:pt>
                <c:pt idx="25">
                  <c:v>3481</c:v>
                </c:pt>
                <c:pt idx="26">
                  <c:v>3355</c:v>
                </c:pt>
                <c:pt idx="27">
                  <c:v>2591</c:v>
                </c:pt>
                <c:pt idx="28">
                  <c:v>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5274</c:v>
                </c:pt>
                <c:pt idx="1">
                  <c:v>5922</c:v>
                </c:pt>
                <c:pt idx="2">
                  <c:v>6906</c:v>
                </c:pt>
                <c:pt idx="3">
                  <c:v>6633</c:v>
                </c:pt>
                <c:pt idx="4">
                  <c:v>6423</c:v>
                </c:pt>
                <c:pt idx="5">
                  <c:v>6629</c:v>
                </c:pt>
                <c:pt idx="6">
                  <c:v>5612</c:v>
                </c:pt>
                <c:pt idx="7">
                  <c:v>6520</c:v>
                </c:pt>
                <c:pt idx="8">
                  <c:v>6081</c:v>
                </c:pt>
                <c:pt idx="9">
                  <c:v>6446</c:v>
                </c:pt>
                <c:pt idx="10">
                  <c:v>7195</c:v>
                </c:pt>
                <c:pt idx="11">
                  <c:v>6761</c:v>
                </c:pt>
                <c:pt idx="12">
                  <c:v>6262</c:v>
                </c:pt>
                <c:pt idx="13">
                  <c:v>5826</c:v>
                </c:pt>
                <c:pt idx="14">
                  <c:v>6031</c:v>
                </c:pt>
                <c:pt idx="15">
                  <c:v>6168</c:v>
                </c:pt>
                <c:pt idx="16">
                  <c:v>6386</c:v>
                </c:pt>
                <c:pt idx="17">
                  <c:v>6466</c:v>
                </c:pt>
                <c:pt idx="18">
                  <c:v>6434</c:v>
                </c:pt>
                <c:pt idx="19">
                  <c:v>6209</c:v>
                </c:pt>
                <c:pt idx="20">
                  <c:v>5698</c:v>
                </c:pt>
                <c:pt idx="21">
                  <c:v>5875</c:v>
                </c:pt>
                <c:pt idx="22">
                  <c:v>6171</c:v>
                </c:pt>
                <c:pt idx="23">
                  <c:v>7491</c:v>
                </c:pt>
                <c:pt idx="24">
                  <c:v>7959</c:v>
                </c:pt>
                <c:pt idx="25">
                  <c:v>7274</c:v>
                </c:pt>
                <c:pt idx="26">
                  <c:v>7656</c:v>
                </c:pt>
                <c:pt idx="27">
                  <c:v>6333</c:v>
                </c:pt>
                <c:pt idx="28">
                  <c:v>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1876</c:v>
                </c:pt>
                <c:pt idx="1">
                  <c:v>2241</c:v>
                </c:pt>
                <c:pt idx="2">
                  <c:v>2537</c:v>
                </c:pt>
                <c:pt idx="3">
                  <c:v>2751</c:v>
                </c:pt>
                <c:pt idx="4">
                  <c:v>2579</c:v>
                </c:pt>
                <c:pt idx="5">
                  <c:v>2639</c:v>
                </c:pt>
                <c:pt idx="6">
                  <c:v>2207</c:v>
                </c:pt>
                <c:pt idx="7">
                  <c:v>2171</c:v>
                </c:pt>
                <c:pt idx="8">
                  <c:v>2153</c:v>
                </c:pt>
                <c:pt idx="9">
                  <c:v>2380</c:v>
                </c:pt>
                <c:pt idx="10">
                  <c:v>2718</c:v>
                </c:pt>
                <c:pt idx="11">
                  <c:v>2508</c:v>
                </c:pt>
                <c:pt idx="12">
                  <c:v>2213</c:v>
                </c:pt>
                <c:pt idx="13">
                  <c:v>2257</c:v>
                </c:pt>
                <c:pt idx="14">
                  <c:v>2039</c:v>
                </c:pt>
                <c:pt idx="15">
                  <c:v>2279</c:v>
                </c:pt>
                <c:pt idx="16">
                  <c:v>2280</c:v>
                </c:pt>
                <c:pt idx="17">
                  <c:v>2439</c:v>
                </c:pt>
                <c:pt idx="18">
                  <c:v>2638</c:v>
                </c:pt>
                <c:pt idx="19">
                  <c:v>2196</c:v>
                </c:pt>
                <c:pt idx="20">
                  <c:v>2295</c:v>
                </c:pt>
                <c:pt idx="21">
                  <c:v>2408</c:v>
                </c:pt>
                <c:pt idx="22">
                  <c:v>2267</c:v>
                </c:pt>
                <c:pt idx="23">
                  <c:v>3164</c:v>
                </c:pt>
                <c:pt idx="24">
                  <c:v>2838</c:v>
                </c:pt>
                <c:pt idx="25">
                  <c:v>2554</c:v>
                </c:pt>
                <c:pt idx="26">
                  <c:v>2859</c:v>
                </c:pt>
                <c:pt idx="27">
                  <c:v>2380</c:v>
                </c:pt>
                <c:pt idx="28">
                  <c:v>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333.27000000000004</c:v>
                </c:pt>
                <c:pt idx="2">
                  <c:v>592.48</c:v>
                </c:pt>
                <c:pt idx="3">
                  <c:v>371</c:v>
                </c:pt>
                <c:pt idx="4">
                  <c:v>223.99447000000001</c:v>
                </c:pt>
                <c:pt idx="5">
                  <c:v>383.99052</c:v>
                </c:pt>
                <c:pt idx="6">
                  <c:v>223.99447000000001</c:v>
                </c:pt>
                <c:pt idx="7">
                  <c:v>255.99368000000001</c:v>
                </c:pt>
                <c:pt idx="8">
                  <c:v>255.99368000000001</c:v>
                </c:pt>
                <c:pt idx="9">
                  <c:v>255.99368000000001</c:v>
                </c:pt>
                <c:pt idx="10">
                  <c:v>383.99052</c:v>
                </c:pt>
                <c:pt idx="11">
                  <c:v>383.99052</c:v>
                </c:pt>
                <c:pt idx="12">
                  <c:v>351.99131</c:v>
                </c:pt>
                <c:pt idx="13">
                  <c:v>287.99288999999999</c:v>
                </c:pt>
                <c:pt idx="14">
                  <c:v>415.98973000000001</c:v>
                </c:pt>
                <c:pt idx="15">
                  <c:v>191.99526</c:v>
                </c:pt>
                <c:pt idx="16">
                  <c:v>191.99526</c:v>
                </c:pt>
                <c:pt idx="17">
                  <c:v>383.99052</c:v>
                </c:pt>
                <c:pt idx="18">
                  <c:v>575.98577999999998</c:v>
                </c:pt>
                <c:pt idx="19">
                  <c:v>671.98341000000005</c:v>
                </c:pt>
                <c:pt idx="20">
                  <c:v>63.998420000000003</c:v>
                </c:pt>
                <c:pt idx="21">
                  <c:v>351.99131</c:v>
                </c:pt>
                <c:pt idx="22">
                  <c:v>351.99131</c:v>
                </c:pt>
                <c:pt idx="23">
                  <c:v>447.98894000000001</c:v>
                </c:pt>
                <c:pt idx="24">
                  <c:v>127.99684000000001</c:v>
                </c:pt>
                <c:pt idx="25">
                  <c:v>191.99526</c:v>
                </c:pt>
                <c:pt idx="26">
                  <c:v>575.98577999999998</c:v>
                </c:pt>
                <c:pt idx="27">
                  <c:v>447.98894000000001</c:v>
                </c:pt>
                <c:pt idx="28">
                  <c:v>607.98499000000004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L27" sqref="L27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2021</v>
      </c>
      <c r="E2" s="137">
        <f>submetering!E2+submetering!F2+submetering!G2</f>
        <v>9944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69.299999999988358</v>
      </c>
      <c r="J2" s="134">
        <v>11.4</v>
      </c>
      <c r="K2" s="137">
        <f>'Consommation mensuel énergie'!D10</f>
        <v>51</v>
      </c>
      <c r="L2" s="137">
        <f>'Consommation mensuel énergie'!E10</f>
        <v>68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submetering!E3+submetering!F3+submetering!G3</f>
        <v>10851</v>
      </c>
      <c r="F3" s="134">
        <v>1.05</v>
      </c>
      <c r="G3" s="134">
        <f>'Consommation mensuel énergie'!V11</f>
        <v>333.27000000000004</v>
      </c>
      <c r="H3" s="134">
        <v>8.6999999999999993</v>
      </c>
      <c r="I3" s="134">
        <f>'Consommation mensuel énergie'!F11</f>
        <v>73.80000000000291</v>
      </c>
      <c r="J3" s="134">
        <v>11.4</v>
      </c>
      <c r="K3" s="137">
        <f>'Consommation mensuel énergie'!D11</f>
        <v>73</v>
      </c>
      <c r="L3" s="137">
        <f>'Consommation mensuel énergie'!E11</f>
        <v>99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submetering!E4+submetering!F4+submetering!G4</f>
        <v>13099</v>
      </c>
      <c r="F4" s="134">
        <v>1.05</v>
      </c>
      <c r="G4" s="134">
        <f>'Consommation mensuel énergie'!V12</f>
        <v>592.48</v>
      </c>
      <c r="H4" s="134">
        <v>8.6999999999999993</v>
      </c>
      <c r="I4" s="134">
        <f>'Consommation mensuel énergie'!F12</f>
        <v>118.19999999999709</v>
      </c>
      <c r="J4" s="134">
        <v>11.4</v>
      </c>
      <c r="K4" s="137">
        <f>'Consommation mensuel énergie'!D12</f>
        <v>56</v>
      </c>
      <c r="L4" s="137">
        <f>'Consommation mensuel énergie'!E12</f>
        <v>91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submetering!E5+submetering!F5+submetering!G5</f>
        <v>12331</v>
      </c>
      <c r="F5" s="134">
        <v>1.05</v>
      </c>
      <c r="G5" s="134">
        <f>'Consommation mensuel énergie'!V13</f>
        <v>371</v>
      </c>
      <c r="H5" s="134">
        <v>8.6999999999999993</v>
      </c>
      <c r="I5" s="134">
        <f>'Consommation mensuel énergie'!F13</f>
        <v>95.200000000011642</v>
      </c>
      <c r="J5" s="134">
        <v>11.4</v>
      </c>
      <c r="K5" s="137">
        <f>'Consommation mensuel énergie'!D13</f>
        <v>73</v>
      </c>
      <c r="L5" s="137">
        <f>'Consommation mensuel énergie'!E13</f>
        <v>133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submetering!E6+submetering!F6+submetering!G6</f>
        <v>11930</v>
      </c>
      <c r="F6" s="134">
        <v>1.05</v>
      </c>
      <c r="G6" s="134">
        <f>'Consommation mensuel énergie'!V14</f>
        <v>223.99447000000001</v>
      </c>
      <c r="H6" s="134">
        <v>8.6999999999999993</v>
      </c>
      <c r="I6" s="134">
        <f>'Consommation mensuel énergie'!F14</f>
        <v>90.899999999994179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119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submetering!E7+submetering!F7+submetering!G7</f>
        <v>12363</v>
      </c>
      <c r="F7" s="134">
        <v>1.05</v>
      </c>
      <c r="G7" s="134">
        <f>'Consommation mensuel énergie'!V15</f>
        <v>383.99052</v>
      </c>
      <c r="H7" s="134">
        <v>8.6999999999999993</v>
      </c>
      <c r="I7" s="134">
        <f>'Consommation mensuel énergie'!F15</f>
        <v>101.60000000000582</v>
      </c>
      <c r="J7" s="134">
        <v>11.4</v>
      </c>
      <c r="K7" s="137">
        <f>'Consommation mensuel énergie'!D15</f>
        <v>36</v>
      </c>
      <c r="L7" s="137">
        <f>'Consommation mensuel énergie'!E15</f>
        <v>46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submetering!E8+submetering!F8+submetering!G8</f>
        <v>10042</v>
      </c>
      <c r="F8" s="134">
        <v>1.05</v>
      </c>
      <c r="G8" s="134">
        <f>'Consommation mensuel énergie'!V16</f>
        <v>223.99447000000001</v>
      </c>
      <c r="H8" s="134">
        <v>8.6999999999999993</v>
      </c>
      <c r="I8" s="134">
        <f>'Consommation mensuel énergie'!F16</f>
        <v>71.69999999999709</v>
      </c>
      <c r="J8" s="134">
        <v>11.4</v>
      </c>
      <c r="K8" s="137">
        <f>'Consommation mensuel énergie'!D16</f>
        <v>30</v>
      </c>
      <c r="L8" s="137">
        <f>'Consommation mensuel énergie'!E16</f>
        <v>37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submetering!E9+submetering!F9+submetering!G9</f>
        <v>11430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77.399999999994179</v>
      </c>
      <c r="J9" s="134">
        <v>11.4</v>
      </c>
      <c r="K9" s="137">
        <f>'Consommation mensuel énergie'!D17</f>
        <v>34</v>
      </c>
      <c r="L9" s="137">
        <f>'Consommation mensuel énergie'!E17</f>
        <v>48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submetering!E10+submetering!F10+submetering!G10</f>
        <v>11092</v>
      </c>
      <c r="F10" s="134">
        <v>1.05</v>
      </c>
      <c r="G10" s="134">
        <f>'Consommation mensuel énergie'!V19</f>
        <v>255.99368000000001</v>
      </c>
      <c r="H10" s="134">
        <v>8.6999999999999993</v>
      </c>
      <c r="I10" s="134">
        <f>'Consommation mensuel énergie'!F18</f>
        <v>68.400000000008731</v>
      </c>
      <c r="J10" s="134">
        <v>11.4</v>
      </c>
      <c r="K10" s="137">
        <f>'Consommation mensuel énergie'!D18</f>
        <v>44</v>
      </c>
      <c r="L10" s="137">
        <f>'Consommation mensuel énergie'!E18</f>
        <v>57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submetering!E11+submetering!F11+submetering!G11</f>
        <v>11611</v>
      </c>
      <c r="F11" s="134">
        <v>1.05</v>
      </c>
      <c r="G11" s="134">
        <f>'Consommation mensuel énergie'!V20</f>
        <v>383.99052</v>
      </c>
      <c r="H11" s="134">
        <v>8.6999999999999993</v>
      </c>
      <c r="I11" s="134">
        <f>'Consommation mensuel énergie'!F19</f>
        <v>63.19999999999709</v>
      </c>
      <c r="J11" s="134">
        <v>11.4</v>
      </c>
      <c r="K11" s="137">
        <f>'Consommation mensuel énergie'!D19</f>
        <v>43</v>
      </c>
      <c r="L11" s="137">
        <f>'Consommation mensuel énergie'!E19</f>
        <v>63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submetering!E12+submetering!F12+submetering!G12</f>
        <v>12935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76.19999999999709</v>
      </c>
      <c r="J12" s="134">
        <v>11.4</v>
      </c>
      <c r="K12" s="137">
        <f>'Consommation mensuel énergie'!D20</f>
        <v>49</v>
      </c>
      <c r="L12" s="137">
        <f>'Consommation mensuel énergie'!E20</f>
        <v>73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submetering!E13+submetering!F13+submetering!G13</f>
        <v>12765</v>
      </c>
      <c r="F13" s="134">
        <v>1.05</v>
      </c>
      <c r="G13" s="134">
        <f>'Consommation mensuel énergie'!V22</f>
        <v>351.99131</v>
      </c>
      <c r="H13" s="134">
        <v>8.6999999999999993</v>
      </c>
      <c r="I13" s="134">
        <f>'Consommation mensuel énergie'!F21</f>
        <v>95.69999999999709</v>
      </c>
      <c r="J13" s="134">
        <v>11.4</v>
      </c>
      <c r="K13" s="137">
        <f>'Consommation mensuel énergie'!D21</f>
        <v>46</v>
      </c>
      <c r="L13" s="137">
        <f>'Consommation mensuel énergie'!E21</f>
        <v>69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submetering!E14+submetering!F14+submetering!G14</f>
        <v>11802</v>
      </c>
      <c r="F14" s="134">
        <v>1.05</v>
      </c>
      <c r="G14" s="134">
        <f>'Consommation mensuel énergie'!V23</f>
        <v>287.99288999999999</v>
      </c>
      <c r="H14" s="134">
        <v>8.6999999999999993</v>
      </c>
      <c r="I14" s="134">
        <f>'Consommation mensuel énergie'!F22</f>
        <v>99.30000000000291</v>
      </c>
      <c r="J14" s="134">
        <v>11.4</v>
      </c>
      <c r="K14" s="137">
        <f>'Consommation mensuel énergie'!D22</f>
        <v>50</v>
      </c>
      <c r="L14" s="137">
        <f>'Consommation mensuel énergie'!E22</f>
        <v>70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submetering!E15+submetering!F15+submetering!G15</f>
        <v>10824</v>
      </c>
      <c r="F15" s="134">
        <v>1.05</v>
      </c>
      <c r="G15" s="134">
        <f>'Consommation mensuel énergie'!V24</f>
        <v>415.98973000000001</v>
      </c>
      <c r="H15" s="134">
        <v>8.6999999999999993</v>
      </c>
      <c r="I15" s="134">
        <f>'Consommation mensuel énergie'!F23</f>
        <v>92</v>
      </c>
      <c r="J15" s="134">
        <v>11.4</v>
      </c>
      <c r="K15" s="137">
        <f>'Consommation mensuel énergie'!D23</f>
        <v>54</v>
      </c>
      <c r="L15" s="137">
        <f>'Consommation mensuel énergie'!E23</f>
        <v>70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submetering!E16+submetering!F16+submetering!G16</f>
        <v>10399</v>
      </c>
      <c r="F16" s="134">
        <v>1.05</v>
      </c>
      <c r="G16" s="134">
        <f>'Consommation mensuel énergie'!V25</f>
        <v>191.99526</v>
      </c>
      <c r="H16" s="134">
        <v>8.6999999999999993</v>
      </c>
      <c r="I16" s="134">
        <f>'Consommation mensuel énergie'!F24</f>
        <v>88.5</v>
      </c>
      <c r="J16" s="134">
        <v>11.4</v>
      </c>
      <c r="K16" s="137">
        <f>'Consommation mensuel énergie'!D24</f>
        <v>55</v>
      </c>
      <c r="L16" s="137">
        <f>'Consommation mensuel énergie'!E24</f>
        <v>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submetering!E17+submetering!F17+submetering!G17</f>
        <v>11434</v>
      </c>
      <c r="F17" s="134">
        <v>1.05</v>
      </c>
      <c r="G17" s="134">
        <f>'Consommation mensuel énergie'!V26</f>
        <v>191.99526</v>
      </c>
      <c r="H17" s="134">
        <v>8.6999999999999993</v>
      </c>
      <c r="I17" s="134">
        <f>'Consommation mensuel énergie'!F25</f>
        <v>95.80000000000291</v>
      </c>
      <c r="J17" s="134">
        <v>11.4</v>
      </c>
      <c r="K17" s="137">
        <f>'Consommation mensuel énergie'!D25</f>
        <v>37</v>
      </c>
      <c r="L17" s="137">
        <f>'Consommation mensuel énergie'!E25</f>
        <v>49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submetering!E18+submetering!F18+submetering!G18</f>
        <v>11834</v>
      </c>
      <c r="F18" s="134">
        <v>1.05</v>
      </c>
      <c r="G18" s="134">
        <f>'Consommation mensuel énergie'!V27</f>
        <v>383.99052</v>
      </c>
      <c r="H18" s="134">
        <v>8.6999999999999993</v>
      </c>
      <c r="I18" s="134">
        <f>'Consommation mensuel énergie'!F26</f>
        <v>103.09999999999127</v>
      </c>
      <c r="J18" s="134">
        <v>11.4</v>
      </c>
      <c r="K18" s="137">
        <f>'Consommation mensuel énergie'!D26</f>
        <v>39</v>
      </c>
      <c r="L18" s="137">
        <f>'Consommation mensuel énergie'!E26</f>
        <v>53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submetering!E19+submetering!F19+submetering!G19</f>
        <v>11854</v>
      </c>
      <c r="F19" s="134">
        <v>1.05</v>
      </c>
      <c r="G19" s="134">
        <f>'Consommation mensuel énergie'!V28</f>
        <v>575.98577999999998</v>
      </c>
      <c r="H19" s="134">
        <v>8.6999999999999993</v>
      </c>
      <c r="I19" s="134">
        <f>'Consommation mensuel énergie'!F27</f>
        <v>82.700000000011642</v>
      </c>
      <c r="J19" s="134">
        <v>11.4</v>
      </c>
      <c r="K19" s="137">
        <f>'Consommation mensuel énergie'!D27</f>
        <v>53</v>
      </c>
      <c r="L19" s="137">
        <f>'Consommation mensuel énergie'!E27</f>
        <v>85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submetering!E20+submetering!F20+submetering!G20</f>
        <v>12023</v>
      </c>
      <c r="F20" s="134">
        <v>1.05</v>
      </c>
      <c r="G20" s="134">
        <f>'Consommation mensuel énergie'!V29</f>
        <v>671.98341000000005</v>
      </c>
      <c r="H20" s="134">
        <v>8.6999999999999993</v>
      </c>
      <c r="I20" s="134">
        <f>'Consommation mensuel énergie'!F28</f>
        <v>228.19999999999709</v>
      </c>
      <c r="J20" s="134">
        <v>11.4</v>
      </c>
      <c r="K20" s="137">
        <f>'Consommation mensuel énergie'!D28</f>
        <v>63</v>
      </c>
      <c r="L20" s="137">
        <f>'Consommation mensuel énergie'!E28</f>
        <v>95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submetering!E21+submetering!F21+submetering!G21</f>
        <v>11474</v>
      </c>
      <c r="F21" s="134">
        <v>1.05</v>
      </c>
      <c r="G21" s="134">
        <f>'Consommation mensuel énergie'!V30</f>
        <v>63.998420000000003</v>
      </c>
      <c r="H21" s="134">
        <v>8.6999999999999993</v>
      </c>
      <c r="I21" s="134">
        <f>'Consommation mensuel énergie'!F29</f>
        <v>60.69999999999709</v>
      </c>
      <c r="J21" s="134">
        <v>11.4</v>
      </c>
      <c r="K21" s="137">
        <f>'Consommation mensuel énergie'!D29</f>
        <v>50</v>
      </c>
      <c r="L21" s="137">
        <f>'Consommation mensuel énergie'!E29</f>
        <v>64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submetering!E22+submetering!F22+submetering!G22</f>
        <v>10788</v>
      </c>
      <c r="F22" s="134">
        <v>1.05</v>
      </c>
      <c r="G22" s="134">
        <f>'Consommation mensuel énergie'!V31</f>
        <v>351.99131</v>
      </c>
      <c r="H22" s="134">
        <v>8.6999999999999993</v>
      </c>
      <c r="I22" s="134">
        <f>'Consommation mensuel énergie'!F30</f>
        <v>107</v>
      </c>
      <c r="J22" s="134">
        <v>11.4</v>
      </c>
      <c r="K22" s="137">
        <f>'Consommation mensuel énergie'!D30</f>
        <v>53</v>
      </c>
      <c r="L22" s="137">
        <f>'Consommation mensuel énergie'!E30</f>
        <v>70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submetering!E23+submetering!F23+submetering!G23</f>
        <v>10722</v>
      </c>
      <c r="F23" s="134">
        <v>1.05</v>
      </c>
      <c r="G23" s="134">
        <f>'Consommation mensuel énergie'!V32</f>
        <v>351.99131</v>
      </c>
      <c r="H23" s="134">
        <v>8.6999999999999993</v>
      </c>
      <c r="I23" s="134">
        <f>'Consommation mensuel énergie'!F31</f>
        <v>107.39999999999418</v>
      </c>
      <c r="J23" s="134">
        <v>11.4</v>
      </c>
      <c r="K23" s="137">
        <f>'Consommation mensuel énergie'!D31</f>
        <v>67</v>
      </c>
      <c r="L23" s="137">
        <f>'Consommation mensuel énergie'!E31</f>
        <v>92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submetering!E24+submetering!F24+submetering!G24</f>
        <v>11443</v>
      </c>
      <c r="F24" s="134">
        <v>1.05</v>
      </c>
      <c r="G24" s="134">
        <f>'Consommation mensuel énergie'!V33</f>
        <v>447.98894000000001</v>
      </c>
      <c r="H24" s="134">
        <v>8.6999999999999993</v>
      </c>
      <c r="I24" s="134">
        <f>'Consommation mensuel énergie'!F32</f>
        <v>97.700000000011642</v>
      </c>
      <c r="J24" s="134">
        <v>11.4</v>
      </c>
      <c r="K24" s="137">
        <f>'Consommation mensuel énergie'!D32</f>
        <v>95</v>
      </c>
      <c r="L24" s="137">
        <f>'Consommation mensuel énergie'!E32</f>
        <v>137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submetering!E25+submetering!F25+submetering!G25</f>
        <v>14081</v>
      </c>
      <c r="F25" s="134">
        <v>1.05</v>
      </c>
      <c r="G25" s="134">
        <f>'Consommation mensuel énergie'!V34</f>
        <v>127.99684000000001</v>
      </c>
      <c r="H25" s="134">
        <v>8.6999999999999993</v>
      </c>
      <c r="I25" s="134">
        <f>'Consommation mensuel énergie'!F33</f>
        <v>100.89999999999418</v>
      </c>
      <c r="J25" s="134">
        <v>11.4</v>
      </c>
      <c r="K25" s="137">
        <f>'Consommation mensuel énergie'!D33</f>
        <v>59</v>
      </c>
      <c r="L25" s="137">
        <f>'Consommation mensuel énergie'!E33</f>
        <v>95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submetering!E26+submetering!F26+submetering!G26</f>
        <v>14243</v>
      </c>
      <c r="F26" s="134">
        <v>1.05</v>
      </c>
      <c r="G26" s="134">
        <f>'Consommation mensuel énergie'!V35</f>
        <v>191.99526</v>
      </c>
      <c r="H26" s="134">
        <v>8.6999999999999993</v>
      </c>
      <c r="I26" s="134">
        <f>'Consommation mensuel énergie'!F34</f>
        <v>111.80000000000291</v>
      </c>
      <c r="J26" s="134">
        <v>11.4</v>
      </c>
      <c r="K26" s="137">
        <f>'Consommation mensuel énergie'!D34</f>
        <v>48</v>
      </c>
      <c r="L26" s="137">
        <f>'Consommation mensuel énergie'!E34</f>
        <v>78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submetering!E27+submetering!F27+submetering!G27</f>
        <v>13309</v>
      </c>
      <c r="F27" s="134">
        <v>1.05</v>
      </c>
      <c r="G27" s="134">
        <f>'Consommation mensuel énergie'!V36</f>
        <v>575.98577999999998</v>
      </c>
      <c r="H27" s="134">
        <v>8.6999999999999993</v>
      </c>
      <c r="I27" s="134">
        <f>'Consommation mensuel énergie'!F35</f>
        <v>112.69999999999709</v>
      </c>
      <c r="J27" s="134">
        <v>11.4</v>
      </c>
      <c r="K27" s="137">
        <f>'Consommation mensuel énergie'!D35</f>
        <v>52</v>
      </c>
      <c r="L27" s="137">
        <f>'Consommation mensuel énergie'!E35</f>
        <v>93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submetering!E28+submetering!F28+submetering!G28</f>
        <v>13870</v>
      </c>
      <c r="F28" s="134">
        <v>1.05</v>
      </c>
      <c r="G28" s="134">
        <f>'Consommation mensuel énergie'!V37</f>
        <v>447.98894000000001</v>
      </c>
      <c r="H28" s="134">
        <v>8.6999999999999993</v>
      </c>
      <c r="I28" s="134">
        <f>'Consommation mensuel énergie'!F36</f>
        <v>92.5</v>
      </c>
      <c r="J28" s="134">
        <v>11.4</v>
      </c>
      <c r="K28" s="137">
        <f>'Consommation mensuel énergie'!D36</f>
        <v>55</v>
      </c>
      <c r="L28" s="137">
        <f>'Consommation mensuel énergie'!E36</f>
        <v>93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submetering!E29+submetering!F29+submetering!G29</f>
        <v>11304</v>
      </c>
      <c r="F29" s="134">
        <v>1.05</v>
      </c>
      <c r="G29" s="134">
        <f>'Consommation mensuel énergie'!V38</f>
        <v>607.98499000000004</v>
      </c>
      <c r="H29" s="134">
        <v>8.6999999999999993</v>
      </c>
      <c r="I29" s="134">
        <f>'Consommation mensuel énergie'!F37</f>
        <v>95.5</v>
      </c>
      <c r="J29" s="134">
        <v>11.4</v>
      </c>
      <c r="K29" s="137">
        <f>'Consommation mensuel énergie'!D37</f>
        <v>64</v>
      </c>
      <c r="L29" s="137">
        <f>'Consommation mensuel énergie'!E37</f>
        <v>111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submetering!E30+submetering!F30+submetering!G30</f>
        <v>13616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98.30000000000291</v>
      </c>
      <c r="J30" s="134">
        <v>11.4</v>
      </c>
      <c r="K30" s="137">
        <f>'Consommation mensuel énergie'!D38</f>
        <v>59</v>
      </c>
      <c r="L30" s="137">
        <f>'Consommation mensuel énergie'!E38</f>
        <v>92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submetering!E31+submetering!F31+submetering!G31</f>
        <v>14178</v>
      </c>
      <c r="F31" s="134">
        <v>1.05</v>
      </c>
      <c r="G31" s="134">
        <f>'Consommation mensuel énergie'!V40</f>
        <v>10163.747489999998</v>
      </c>
      <c r="H31" s="134">
        <v>8.6999999999999993</v>
      </c>
      <c r="I31" s="134">
        <f>'Consommation mensuel énergie'!F39</f>
        <v>112.09999999999127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6"/>
      <c r="F34" s="134"/>
      <c r="G34" s="134"/>
      <c r="H34" s="134"/>
      <c r="I34" s="134"/>
      <c r="J34" s="134"/>
    </row>
    <row r="35" spans="1:13">
      <c r="A35" s="166"/>
      <c r="F35" s="134"/>
      <c r="G35" s="134"/>
      <c r="H35" s="134"/>
      <c r="I35" s="134"/>
      <c r="J35" s="134"/>
    </row>
    <row r="36" spans="1:13">
      <c r="A36" s="166"/>
      <c r="F36" s="134"/>
      <c r="G36" s="134"/>
      <c r="H36" s="134"/>
      <c r="I36" s="134"/>
      <c r="J36" s="134"/>
    </row>
    <row r="37" spans="1:13">
      <c r="A37" s="166"/>
      <c r="F37" s="134"/>
      <c r="G37" s="134"/>
      <c r="H37" s="134"/>
      <c r="I37" s="134"/>
      <c r="J37" s="134"/>
    </row>
    <row r="38" spans="1:13">
      <c r="A38" s="166"/>
      <c r="F38" s="134"/>
      <c r="G38" s="134"/>
      <c r="H38" s="134"/>
      <c r="I38" s="134"/>
      <c r="J38" s="134"/>
    </row>
    <row r="39" spans="1:13">
      <c r="A39" s="166"/>
      <c r="F39" s="134"/>
      <c r="G39" s="134"/>
      <c r="H39" s="134"/>
      <c r="I39" s="134"/>
      <c r="J39" s="134"/>
    </row>
    <row r="40" spans="1:13">
      <c r="A40" s="166"/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2021</v>
      </c>
      <c r="E2" s="137">
        <f>'Consommation mensuel énergie'!L10</f>
        <v>2794</v>
      </c>
      <c r="F2" s="137">
        <f>'Consommation mensuel énergie'!M10</f>
        <v>5274</v>
      </c>
      <c r="G2" s="137">
        <f>'Consommation mensuel énergie'!N10</f>
        <v>1876</v>
      </c>
      <c r="H2" s="137">
        <f>'Consommation mensuel énergie'!D10</f>
        <v>51</v>
      </c>
      <c r="I2" s="137">
        <f>'Consommation mensuel énergie'!E10</f>
        <v>68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'Consommation mensuel énergie'!L11</f>
        <v>2350</v>
      </c>
      <c r="F3" s="137">
        <f>'Consommation mensuel énergie'!M11</f>
        <v>5922</v>
      </c>
      <c r="G3" s="137">
        <f>'Consommation mensuel énergie'!N14</f>
        <v>2579</v>
      </c>
      <c r="H3" s="137">
        <f>'Consommation mensuel énergie'!D11</f>
        <v>73</v>
      </c>
      <c r="I3" s="137">
        <f>'Consommation mensuel énergie'!E11</f>
        <v>99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'Consommation mensuel énergie'!L12</f>
        <v>3656</v>
      </c>
      <c r="F4" s="137">
        <f>'Consommation mensuel énergie'!M12</f>
        <v>6906</v>
      </c>
      <c r="G4" s="137">
        <f>'Consommation mensuel énergie'!N12</f>
        <v>2537</v>
      </c>
      <c r="H4" s="137">
        <f>'Consommation mensuel énergie'!D12</f>
        <v>56</v>
      </c>
      <c r="I4" s="137">
        <f>'Consommation mensuel énergie'!E12</f>
        <v>91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'Consommation mensuel énergie'!L13</f>
        <v>2947</v>
      </c>
      <c r="F5" s="137">
        <f>'Consommation mensuel énergie'!M13</f>
        <v>6633</v>
      </c>
      <c r="G5" s="137">
        <f>'Consommation mensuel énergie'!N13</f>
        <v>2751</v>
      </c>
      <c r="H5" s="137">
        <f>'Consommation mensuel énergie'!D13</f>
        <v>73</v>
      </c>
      <c r="I5" s="137">
        <f>'Consommation mensuel énergie'!E13</f>
        <v>133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'Consommation mensuel énergie'!L14</f>
        <v>2928</v>
      </c>
      <c r="F6" s="137">
        <f>'Consommation mensuel énergie'!M14</f>
        <v>6423</v>
      </c>
      <c r="G6" s="137">
        <f>'Consommation mensuel énergie'!N14</f>
        <v>2579</v>
      </c>
      <c r="H6" s="137">
        <f>'Consommation mensuel énergie'!D14</f>
        <v>66</v>
      </c>
      <c r="I6" s="137">
        <f>'Consommation mensuel énergie'!E14</f>
        <v>119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'Consommation mensuel énergie'!L15</f>
        <v>3095</v>
      </c>
      <c r="F7" s="137">
        <f>'Consommation mensuel énergie'!M15</f>
        <v>6629</v>
      </c>
      <c r="G7" s="137">
        <f>'Consommation mensuel énergie'!N15</f>
        <v>2639</v>
      </c>
      <c r="H7" s="137">
        <f>'Consommation mensuel énergie'!D15</f>
        <v>36</v>
      </c>
      <c r="I7" s="137">
        <f>'Consommation mensuel énergie'!E15</f>
        <v>46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'Consommation mensuel énergie'!L16</f>
        <v>2223</v>
      </c>
      <c r="F8" s="137">
        <f>'Consommation mensuel énergie'!M16</f>
        <v>5612</v>
      </c>
      <c r="G8" s="137">
        <f>'Consommation mensuel énergie'!N16</f>
        <v>2207</v>
      </c>
      <c r="H8" s="137">
        <f>'Consommation mensuel énergie'!D16</f>
        <v>30</v>
      </c>
      <c r="I8" s="137">
        <f>'Consommation mensuel énergie'!E16</f>
        <v>37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'Consommation mensuel énergie'!L17</f>
        <v>2739</v>
      </c>
      <c r="F9" s="137">
        <f>'Consommation mensuel énergie'!M17</f>
        <v>6520</v>
      </c>
      <c r="G9" s="137">
        <f>'Consommation mensuel énergie'!N17</f>
        <v>2171</v>
      </c>
      <c r="H9" s="137">
        <f>'Consommation mensuel énergie'!D17</f>
        <v>34</v>
      </c>
      <c r="I9" s="137">
        <f>'Consommation mensuel énergie'!E17</f>
        <v>48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'Consommation mensuel énergie'!L18</f>
        <v>2858</v>
      </c>
      <c r="F10" s="137">
        <f>'Consommation mensuel énergie'!M18</f>
        <v>6081</v>
      </c>
      <c r="G10" s="137">
        <f>'Consommation mensuel énergie'!N18</f>
        <v>2153</v>
      </c>
      <c r="H10" s="137">
        <f>'Consommation mensuel énergie'!D18</f>
        <v>44</v>
      </c>
      <c r="I10" s="137">
        <f>'Consommation mensuel énergie'!E18</f>
        <v>57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'Consommation mensuel énergie'!L19</f>
        <v>2785</v>
      </c>
      <c r="F11" s="137">
        <f>'Consommation mensuel énergie'!M19</f>
        <v>6446</v>
      </c>
      <c r="G11" s="137">
        <f>'Consommation mensuel énergie'!N19</f>
        <v>2380</v>
      </c>
      <c r="H11" s="137">
        <f>'Consommation mensuel énergie'!D19</f>
        <v>43</v>
      </c>
      <c r="I11" s="137">
        <f>'Consommation mensuel énergie'!E19</f>
        <v>63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'Consommation mensuel énergie'!L20</f>
        <v>3022</v>
      </c>
      <c r="F12" s="137">
        <f>'Consommation mensuel énergie'!M20</f>
        <v>7195</v>
      </c>
      <c r="G12" s="137">
        <f>'Consommation mensuel énergie'!N20</f>
        <v>2718</v>
      </c>
      <c r="H12" s="137">
        <f>'Consommation mensuel énergie'!D20</f>
        <v>49</v>
      </c>
      <c r="I12" s="137">
        <f>'Consommation mensuel énergie'!E20</f>
        <v>73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'Consommation mensuel énergie'!L21</f>
        <v>3496</v>
      </c>
      <c r="F13" s="137">
        <f>'Consommation mensuel énergie'!M21</f>
        <v>6761</v>
      </c>
      <c r="G13" s="137">
        <f>'Consommation mensuel énergie'!N21</f>
        <v>2508</v>
      </c>
      <c r="H13" s="137">
        <f>'Consommation mensuel énergie'!D21</f>
        <v>46</v>
      </c>
      <c r="I13" s="137">
        <f>'Consommation mensuel énergie'!E21</f>
        <v>69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'Consommation mensuel énergie'!L22</f>
        <v>3327</v>
      </c>
      <c r="F14" s="137">
        <f>'Consommation mensuel énergie'!M22</f>
        <v>6262</v>
      </c>
      <c r="G14" s="137">
        <f>'Consommation mensuel énergie'!N22</f>
        <v>2213</v>
      </c>
      <c r="H14" s="137">
        <f>'Consommation mensuel énergie'!D22</f>
        <v>50</v>
      </c>
      <c r="I14" s="137">
        <f>'Consommation mensuel énergie'!E22</f>
        <v>70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'Consommation mensuel énergie'!L23</f>
        <v>2741</v>
      </c>
      <c r="F15" s="137">
        <f>'Consommation mensuel énergie'!M23</f>
        <v>5826</v>
      </c>
      <c r="G15" s="137">
        <f>'Consommation mensuel énergie'!N23</f>
        <v>2257</v>
      </c>
      <c r="H15" s="137">
        <f>'Consommation mensuel énergie'!D23</f>
        <v>54</v>
      </c>
      <c r="I15" s="137">
        <f>'Consommation mensuel énergie'!E23</f>
        <v>70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'Consommation mensuel énergie'!L24</f>
        <v>2329</v>
      </c>
      <c r="F16" s="137">
        <f>'Consommation mensuel énergie'!M24</f>
        <v>6031</v>
      </c>
      <c r="G16" s="137">
        <f>'Consommation mensuel énergie'!N24</f>
        <v>2039</v>
      </c>
      <c r="H16" s="137">
        <f>'Consommation mensuel énergie'!D24</f>
        <v>55</v>
      </c>
      <c r="I16" s="137">
        <f>'Consommation mensuel énergie'!E24</f>
        <v>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'Consommation mensuel énergie'!L25</f>
        <v>2987</v>
      </c>
      <c r="F17" s="137">
        <f>'Consommation mensuel énergie'!M25</f>
        <v>6168</v>
      </c>
      <c r="G17" s="137">
        <f>'Consommation mensuel énergie'!N25</f>
        <v>2279</v>
      </c>
      <c r="H17" s="137">
        <f>'Consommation mensuel énergie'!D25</f>
        <v>37</v>
      </c>
      <c r="I17" s="137">
        <f>'Consommation mensuel énergie'!E25</f>
        <v>49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'Consommation mensuel énergie'!L26</f>
        <v>3168</v>
      </c>
      <c r="F18" s="137">
        <f>'Consommation mensuel énergie'!M26</f>
        <v>6386</v>
      </c>
      <c r="G18" s="137">
        <f>'Consommation mensuel énergie'!N26</f>
        <v>2280</v>
      </c>
      <c r="H18" s="137">
        <f>'Consommation mensuel énergie'!D26</f>
        <v>39</v>
      </c>
      <c r="I18" s="137">
        <f>'Consommation mensuel énergie'!E26</f>
        <v>53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'Consommation mensuel énergie'!L27</f>
        <v>2949</v>
      </c>
      <c r="F19" s="137">
        <f>'Consommation mensuel énergie'!M27</f>
        <v>6466</v>
      </c>
      <c r="G19" s="137">
        <f>'Consommation mensuel énergie'!N27</f>
        <v>2439</v>
      </c>
      <c r="H19" s="137">
        <f>'Consommation mensuel énergie'!D27</f>
        <v>53</v>
      </c>
      <c r="I19" s="137">
        <f>'Consommation mensuel énergie'!E27</f>
        <v>85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'Consommation mensuel énergie'!L28</f>
        <v>2951</v>
      </c>
      <c r="F20" s="137">
        <f>'Consommation mensuel énergie'!M28</f>
        <v>6434</v>
      </c>
      <c r="G20" s="137">
        <f>'Consommation mensuel énergie'!N28</f>
        <v>2638</v>
      </c>
      <c r="H20" s="137">
        <f>'Consommation mensuel énergie'!D28</f>
        <v>63</v>
      </c>
      <c r="I20" s="137">
        <f>'Consommation mensuel énergie'!E28</f>
        <v>95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'Consommation mensuel énergie'!L29</f>
        <v>3069</v>
      </c>
      <c r="F21" s="137">
        <f>'Consommation mensuel énergie'!M29</f>
        <v>6209</v>
      </c>
      <c r="G21" s="137">
        <f>'Consommation mensuel énergie'!N29</f>
        <v>2196</v>
      </c>
      <c r="H21" s="137">
        <f>'Consommation mensuel énergie'!D29</f>
        <v>50</v>
      </c>
      <c r="I21" s="137">
        <f>'Consommation mensuel énergie'!E29</f>
        <v>64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'Consommation mensuel énergie'!L30</f>
        <v>2795</v>
      </c>
      <c r="F22" s="137">
        <f>'Consommation mensuel énergie'!M30</f>
        <v>5698</v>
      </c>
      <c r="G22" s="137">
        <f>'Consommation mensuel énergie'!N30</f>
        <v>2295</v>
      </c>
      <c r="H22" s="137">
        <f>'Consommation mensuel énergie'!D30</f>
        <v>53</v>
      </c>
      <c r="I22" s="137">
        <f>'Consommation mensuel énergie'!E30</f>
        <v>70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'Consommation mensuel énergie'!L31</f>
        <v>2439</v>
      </c>
      <c r="F23" s="137">
        <f>'Consommation mensuel énergie'!M31</f>
        <v>5875</v>
      </c>
      <c r="G23" s="137">
        <f>'Consommation mensuel énergie'!N31</f>
        <v>2408</v>
      </c>
      <c r="H23" s="137">
        <f>'Consommation mensuel énergie'!D31</f>
        <v>67</v>
      </c>
      <c r="I23" s="137">
        <f>'Consommation mensuel énergie'!E31</f>
        <v>92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'Consommation mensuel énergie'!L32</f>
        <v>3005</v>
      </c>
      <c r="F24" s="137">
        <f>'Consommation mensuel énergie'!M32</f>
        <v>6171</v>
      </c>
      <c r="G24" s="137">
        <f>'Consommation mensuel énergie'!N32</f>
        <v>2267</v>
      </c>
      <c r="H24" s="137">
        <f>'Consommation mensuel énergie'!D32</f>
        <v>95</v>
      </c>
      <c r="I24" s="137">
        <f>'Consommation mensuel énergie'!E32</f>
        <v>137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'Consommation mensuel énergie'!L33</f>
        <v>3426</v>
      </c>
      <c r="F25" s="137">
        <f>'Consommation mensuel énergie'!M33</f>
        <v>7491</v>
      </c>
      <c r="G25" s="137">
        <f>'Consommation mensuel énergie'!N33</f>
        <v>3164</v>
      </c>
      <c r="H25" s="137">
        <f>'Consommation mensuel énergie'!D33</f>
        <v>59</v>
      </c>
      <c r="I25" s="137">
        <f>'Consommation mensuel énergie'!E33</f>
        <v>95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'Consommation mensuel énergie'!L34</f>
        <v>3446</v>
      </c>
      <c r="F26" s="137">
        <f>'Consommation mensuel énergie'!M34</f>
        <v>7959</v>
      </c>
      <c r="G26" s="137">
        <f>'Consommation mensuel énergie'!N34</f>
        <v>2838</v>
      </c>
      <c r="H26" s="137">
        <f>'Consommation mensuel énergie'!D34</f>
        <v>48</v>
      </c>
      <c r="I26" s="137">
        <f>'Consommation mensuel énergie'!E34</f>
        <v>78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'Consommation mensuel énergie'!L35</f>
        <v>3481</v>
      </c>
      <c r="F27" s="137">
        <f>'Consommation mensuel énergie'!M35</f>
        <v>7274</v>
      </c>
      <c r="G27" s="137">
        <f>'Consommation mensuel énergie'!N35</f>
        <v>2554</v>
      </c>
      <c r="H27" s="137">
        <f>'Consommation mensuel énergie'!D35</f>
        <v>52</v>
      </c>
      <c r="I27" s="137">
        <f>'Consommation mensuel énergie'!E35</f>
        <v>93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'Consommation mensuel énergie'!L36</f>
        <v>3355</v>
      </c>
      <c r="F28" s="137">
        <f>'Consommation mensuel énergie'!M36</f>
        <v>7656</v>
      </c>
      <c r="G28" s="137">
        <f>'Consommation mensuel énergie'!N36</f>
        <v>2859</v>
      </c>
      <c r="H28" s="137">
        <f>'Consommation mensuel énergie'!D36</f>
        <v>55</v>
      </c>
      <c r="I28" s="137">
        <f>'Consommation mensuel énergie'!E36</f>
        <v>93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'Consommation mensuel énergie'!L37</f>
        <v>2591</v>
      </c>
      <c r="F29" s="137">
        <f>'Consommation mensuel énergie'!M37</f>
        <v>6333</v>
      </c>
      <c r="G29" s="137">
        <f>'Consommation mensuel énergie'!N37</f>
        <v>2380</v>
      </c>
      <c r="H29" s="137">
        <f>'Consommation mensuel énergie'!D37</f>
        <v>64</v>
      </c>
      <c r="I29" s="137">
        <f>'Consommation mensuel énergie'!E37</f>
        <v>111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'Consommation mensuel énergie'!L38</f>
        <v>3327</v>
      </c>
      <c r="F30" s="137">
        <f>'Consommation mensuel énergie'!M38</f>
        <v>7656</v>
      </c>
      <c r="G30" s="137">
        <f>'Consommation mensuel énergie'!N38</f>
        <v>2633</v>
      </c>
      <c r="H30" s="137">
        <f>'Consommation mensuel énergie'!D38</f>
        <v>59</v>
      </c>
      <c r="I30" s="137">
        <f>'Consommation mensuel énergie'!E38</f>
        <v>92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'Consommation mensuel énergie'!L39</f>
        <v>3758</v>
      </c>
      <c r="F31" s="137">
        <f>'Consommation mensuel énergie'!M39</f>
        <v>7534</v>
      </c>
      <c r="G31" s="137">
        <f>'Consommation mensuel énergie'!N39</f>
        <v>2886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6"/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34" activePane="bottomRight" state="frozen"/>
      <selection pane="bottomRight" activeCell="E39" sqref="E3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</row>
    <row r="2" spans="1:24" ht="100.5" customHeight="1" thickBot="1">
      <c r="A2" s="181"/>
      <c r="B2" s="182"/>
      <c r="C2" s="182"/>
      <c r="D2" s="182"/>
      <c r="E2" s="182"/>
      <c r="F2" s="182"/>
      <c r="G2" s="182"/>
      <c r="H2" s="183"/>
      <c r="I2" s="192" t="s">
        <v>17</v>
      </c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</row>
    <row r="3" spans="1:24" ht="15" hidden="1" customHeight="1" thickBo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</row>
    <row r="4" spans="1:24" ht="39" hidden="1" customHeight="1" thickBot="1">
      <c r="A4" s="184"/>
      <c r="B4" s="184"/>
      <c r="C4" s="184"/>
      <c r="D4" s="165"/>
      <c r="E4" s="165"/>
      <c r="F4" s="165"/>
      <c r="G4" s="165"/>
      <c r="H4" s="165"/>
      <c r="I4" s="165"/>
      <c r="J4" s="165"/>
      <c r="K4" s="165"/>
      <c r="L4" s="16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4"/>
      <c r="B5" s="184"/>
      <c r="C5" s="184"/>
      <c r="D5" s="165"/>
      <c r="E5" s="165"/>
      <c r="F5" s="165"/>
      <c r="G5" s="165"/>
      <c r="H5" s="165"/>
      <c r="I5" s="165"/>
      <c r="J5" s="165"/>
      <c r="K5" s="165"/>
      <c r="L5" s="16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</row>
    <row r="6" spans="1:24" s="5" customFormat="1" ht="44.25" hidden="1" customHeight="1" thickBot="1">
      <c r="A6" s="3"/>
      <c r="B6" s="3"/>
      <c r="C6" s="3"/>
      <c r="D6" s="165"/>
      <c r="E6" s="165"/>
      <c r="F6" s="165"/>
      <c r="G6" s="165"/>
      <c r="H6" s="165"/>
      <c r="I6" s="165"/>
      <c r="J6" s="165"/>
      <c r="K6" s="165"/>
      <c r="L6" s="16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</row>
    <row r="7" spans="1:24" s="5" customFormat="1" ht="18.75" hidden="1" customHeight="1" thickBot="1">
      <c r="A7" s="165"/>
      <c r="B7" s="165"/>
      <c r="C7" s="165"/>
      <c r="D7" s="165"/>
      <c r="E7" s="165"/>
      <c r="F7" s="185"/>
      <c r="G7" s="185"/>
      <c r="H7" s="185"/>
      <c r="I7" s="185"/>
      <c r="J7" s="185"/>
      <c r="K7" s="185"/>
      <c r="L7" s="185"/>
      <c r="M7" s="185"/>
      <c r="N7" s="194"/>
      <c r="O7" s="194"/>
      <c r="P7" s="185"/>
      <c r="Q7" s="185"/>
      <c r="R7" s="185"/>
      <c r="S7" s="185"/>
      <c r="T7" s="185"/>
      <c r="U7" s="185"/>
      <c r="V7" s="185"/>
      <c r="W7" s="185"/>
      <c r="X7" s="185"/>
    </row>
    <row r="8" spans="1:24" ht="18.75" customHeight="1" thickBot="1">
      <c r="A8" s="185"/>
      <c r="B8" s="196" t="s">
        <v>19</v>
      </c>
      <c r="C8" s="4"/>
      <c r="D8" s="197" t="s">
        <v>20</v>
      </c>
      <c r="E8" s="197" t="s">
        <v>21</v>
      </c>
      <c r="F8" s="179" t="s">
        <v>22</v>
      </c>
      <c r="G8" s="2"/>
      <c r="H8" s="186" t="s">
        <v>23</v>
      </c>
      <c r="I8" s="187"/>
      <c r="J8" s="188"/>
      <c r="K8" s="174" t="s">
        <v>24</v>
      </c>
      <c r="L8" s="178" t="s">
        <v>25</v>
      </c>
      <c r="M8" s="178"/>
      <c r="N8" s="178"/>
      <c r="O8" s="178" t="s">
        <v>26</v>
      </c>
      <c r="P8" s="2"/>
      <c r="Q8" s="176" t="s">
        <v>23</v>
      </c>
      <c r="R8" s="2"/>
      <c r="S8" s="176" t="s">
        <v>27</v>
      </c>
      <c r="T8" s="2"/>
      <c r="U8" s="176" t="s">
        <v>28</v>
      </c>
      <c r="V8" s="199" t="s">
        <v>29</v>
      </c>
      <c r="W8" s="2"/>
      <c r="X8" s="176" t="s">
        <v>23</v>
      </c>
    </row>
    <row r="9" spans="1:24" ht="59.25" customHeight="1" thickBot="1">
      <c r="A9" s="185"/>
      <c r="B9" s="196"/>
      <c r="C9" s="4"/>
      <c r="D9" s="198"/>
      <c r="E9" s="198"/>
      <c r="F9" s="180"/>
      <c r="G9" s="2"/>
      <c r="H9" s="189"/>
      <c r="I9" s="190"/>
      <c r="J9" s="191"/>
      <c r="K9" s="175"/>
      <c r="L9" s="164" t="s">
        <v>30</v>
      </c>
      <c r="M9" s="164" t="s">
        <v>31</v>
      </c>
      <c r="N9" s="164" t="s">
        <v>32</v>
      </c>
      <c r="O9" s="195"/>
      <c r="P9" s="2"/>
      <c r="Q9" s="177"/>
      <c r="R9" s="2"/>
      <c r="S9" s="177"/>
      <c r="T9" s="2"/>
      <c r="U9" s="177"/>
      <c r="V9" s="200"/>
      <c r="W9" s="2"/>
      <c r="X9" s="177"/>
    </row>
    <row r="10" spans="1:24" ht="32.25" customHeight="1">
      <c r="A10" s="2"/>
      <c r="B10" s="6">
        <v>44348</v>
      </c>
      <c r="C10" s="7"/>
      <c r="D10" s="143">
        <v>51</v>
      </c>
      <c r="E10" s="143">
        <v>68</v>
      </c>
      <c r="F10" s="13">
        <f>'Suivi EAU-ELEC'!E9</f>
        <v>69.299999999988358</v>
      </c>
      <c r="G10" s="11"/>
      <c r="H10" s="170">
        <f>F10*8.79</f>
        <v>609.14699999989762</v>
      </c>
      <c r="I10" s="171"/>
      <c r="J10" s="171"/>
      <c r="K10" s="60">
        <v>42278</v>
      </c>
      <c r="L10" s="90">
        <f>'Suivi EAU-ELEC'!G9</f>
        <v>2794</v>
      </c>
      <c r="M10" s="91">
        <f>'Suivi EAU-ELEC'!I9</f>
        <v>5274</v>
      </c>
      <c r="N10" s="91">
        <f>'Suivi EAU-ELEC'!K9</f>
        <v>1876</v>
      </c>
      <c r="O10" s="91">
        <f>L10+M10+N10</f>
        <v>9944</v>
      </c>
      <c r="P10" s="11"/>
      <c r="Q10" s="34">
        <f>L10*0.6985+M10*0.9514+N10*1.3304</f>
        <v>9465.1229999999996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44349</v>
      </c>
      <c r="C11" s="7"/>
      <c r="D11" s="143">
        <v>73</v>
      </c>
      <c r="E11" s="143">
        <v>99</v>
      </c>
      <c r="F11" s="13">
        <f>'Suivi EAU-ELEC'!E10</f>
        <v>73.80000000000291</v>
      </c>
      <c r="G11" s="11"/>
      <c r="H11" s="170">
        <f t="shared" ref="H11:H21" si="0">F11*8.79</f>
        <v>648.70200000002546</v>
      </c>
      <c r="I11" s="171"/>
      <c r="J11" s="171"/>
      <c r="K11" s="60">
        <v>42279</v>
      </c>
      <c r="L11" s="90">
        <f>'Suivi EAU-ELEC'!G10</f>
        <v>2350</v>
      </c>
      <c r="M11" s="91">
        <f>'Suivi EAU-ELEC'!I10</f>
        <v>5922</v>
      </c>
      <c r="N11" s="91">
        <f>'Suivi EAU-ELEC'!K10</f>
        <v>2241</v>
      </c>
      <c r="O11" s="91">
        <f>L11+M11+N11</f>
        <v>10513</v>
      </c>
      <c r="P11" s="11"/>
      <c r="Q11" s="34">
        <f>L11*0.6985+M11*0.9514+N14*1.3304</f>
        <v>10706.767400000001</v>
      </c>
      <c r="R11" s="11"/>
      <c r="S11" s="28"/>
      <c r="T11" s="11"/>
      <c r="U11" s="28"/>
      <c r="V11" s="147">
        <f>'Suvi Gaz'!O5</f>
        <v>333.27000000000004</v>
      </c>
      <c r="W11" s="11"/>
      <c r="X11" s="34">
        <f t="shared" ref="X11:X39" si="1">V11*9.8209</f>
        <v>3273.0113430000006</v>
      </c>
    </row>
    <row r="12" spans="1:24" ht="32.25" customHeight="1">
      <c r="A12" s="2"/>
      <c r="B12" s="6">
        <v>44350</v>
      </c>
      <c r="C12" s="7"/>
      <c r="D12" s="143">
        <v>56</v>
      </c>
      <c r="E12" s="143">
        <v>91</v>
      </c>
      <c r="F12" s="13">
        <f>'Suivi EAU-ELEC'!E11</f>
        <v>118.19999999999709</v>
      </c>
      <c r="G12" s="11"/>
      <c r="H12" s="170">
        <f t="shared" si="0"/>
        <v>1038.9779999999744</v>
      </c>
      <c r="I12" s="171"/>
      <c r="J12" s="171"/>
      <c r="K12" s="60">
        <v>42280</v>
      </c>
      <c r="L12" s="90">
        <f>'Suivi EAU-ELEC'!G11</f>
        <v>3656</v>
      </c>
      <c r="M12" s="91">
        <f>'Suivi EAU-ELEC'!I11</f>
        <v>6906</v>
      </c>
      <c r="N12" s="91">
        <f>'Suivi EAU-ELEC'!K11</f>
        <v>2537</v>
      </c>
      <c r="O12" s="91">
        <f>L12+M12+N12</f>
        <v>13099</v>
      </c>
      <c r="P12" s="11"/>
      <c r="Q12" s="34">
        <f>L12*0.6985+M12*0.9514+N12*1.3304</f>
        <v>12499.3092</v>
      </c>
      <c r="R12" s="11"/>
      <c r="S12" s="28"/>
      <c r="T12" s="11"/>
      <c r="U12" s="28"/>
      <c r="V12" s="147">
        <f>'Suvi Gaz'!O6</f>
        <v>592.48</v>
      </c>
      <c r="W12" s="11"/>
      <c r="X12" s="34">
        <f t="shared" si="1"/>
        <v>5818.6868320000003</v>
      </c>
    </row>
    <row r="13" spans="1:24" ht="32.25" customHeight="1">
      <c r="A13" s="2"/>
      <c r="B13" s="6">
        <v>44351</v>
      </c>
      <c r="C13" s="7"/>
      <c r="D13" s="143">
        <v>73</v>
      </c>
      <c r="E13" s="143">
        <v>133</v>
      </c>
      <c r="F13" s="13">
        <f>'Suivi EAU-ELEC'!E12</f>
        <v>95.200000000011642</v>
      </c>
      <c r="G13" s="11"/>
      <c r="H13" s="170">
        <f t="shared" si="0"/>
        <v>836.8080000001022</v>
      </c>
      <c r="I13" s="171"/>
      <c r="J13" s="171"/>
      <c r="K13" s="60">
        <v>42281</v>
      </c>
      <c r="L13" s="90">
        <f>'Suivi EAU-ELEC'!G12</f>
        <v>2947</v>
      </c>
      <c r="M13" s="91">
        <f>'Suivi EAU-ELEC'!I12</f>
        <v>6633</v>
      </c>
      <c r="N13" s="91">
        <f>'Suivi EAU-ELEC'!K12</f>
        <v>2751</v>
      </c>
      <c r="O13" s="91">
        <f t="shared" ref="O13:O39" si="2">L13+M13+N13</f>
        <v>12331</v>
      </c>
      <c r="P13" s="11"/>
      <c r="Q13" s="34">
        <f t="shared" ref="Q13:Q39" si="3">L13*0.6985+M13*0.9514+N13*1.3304</f>
        <v>12029.0461</v>
      </c>
      <c r="R13" s="11"/>
      <c r="S13" s="28"/>
      <c r="T13" s="11"/>
      <c r="U13" s="28"/>
      <c r="V13" s="147">
        <f>'Suvi Gaz'!O7</f>
        <v>371</v>
      </c>
      <c r="W13" s="11"/>
      <c r="X13" s="34">
        <f t="shared" si="1"/>
        <v>3643.5538999999999</v>
      </c>
    </row>
    <row r="14" spans="1:24" ht="32.25" customHeight="1">
      <c r="A14" s="2"/>
      <c r="B14" s="6">
        <v>44352</v>
      </c>
      <c r="C14" s="7"/>
      <c r="D14" s="143">
        <v>66</v>
      </c>
      <c r="E14" s="143">
        <v>119</v>
      </c>
      <c r="F14" s="13">
        <f>'Suivi EAU-ELEC'!E13</f>
        <v>90.899999999994179</v>
      </c>
      <c r="G14" s="12"/>
      <c r="H14" s="170">
        <f t="shared" si="0"/>
        <v>799.01099999994881</v>
      </c>
      <c r="I14" s="171"/>
      <c r="J14" s="171"/>
      <c r="K14" s="60">
        <v>42282</v>
      </c>
      <c r="L14" s="90">
        <f>'Suivi EAU-ELEC'!G13</f>
        <v>2928</v>
      </c>
      <c r="M14" s="91">
        <f>'Suivi EAU-ELEC'!I13</f>
        <v>6423</v>
      </c>
      <c r="N14" s="91">
        <f>'Suivi EAU-ELEC'!K13</f>
        <v>2579</v>
      </c>
      <c r="O14" s="91">
        <f t="shared" si="2"/>
        <v>11930</v>
      </c>
      <c r="P14" s="12"/>
      <c r="Q14" s="34">
        <f t="shared" si="3"/>
        <v>11587.1518</v>
      </c>
      <c r="R14" s="12"/>
      <c r="S14" s="28"/>
      <c r="T14" s="12"/>
      <c r="U14" s="28"/>
      <c r="V14" s="147">
        <f>'Suvi Gaz'!O8</f>
        <v>223.99447000000001</v>
      </c>
      <c r="W14" s="11"/>
      <c r="X14" s="34">
        <f t="shared" si="1"/>
        <v>2199.8272904230002</v>
      </c>
    </row>
    <row r="15" spans="1:24" ht="32.25" customHeight="1">
      <c r="A15" s="165"/>
      <c r="B15" s="6">
        <v>44353</v>
      </c>
      <c r="C15" s="7"/>
      <c r="D15" s="143">
        <v>36</v>
      </c>
      <c r="E15" s="143">
        <v>46</v>
      </c>
      <c r="F15" s="13">
        <f>'Suivi EAU-ELEC'!E14</f>
        <v>101.60000000000582</v>
      </c>
      <c r="G15" s="11"/>
      <c r="H15" s="170">
        <f t="shared" si="0"/>
        <v>893.06400000005112</v>
      </c>
      <c r="I15" s="171"/>
      <c r="J15" s="171"/>
      <c r="K15" s="60">
        <v>42283</v>
      </c>
      <c r="L15" s="90">
        <f>'Suivi EAU-ELEC'!G14</f>
        <v>3095</v>
      </c>
      <c r="M15" s="91">
        <f>'Suivi EAU-ELEC'!I14</f>
        <v>6629</v>
      </c>
      <c r="N15" s="91">
        <f>'Suivi EAU-ELEC'!K14</f>
        <v>2639</v>
      </c>
      <c r="O15" s="91">
        <f t="shared" si="2"/>
        <v>12363</v>
      </c>
      <c r="P15" s="12"/>
      <c r="Q15" s="34">
        <f>L15*0.6985+M15*0.9514+N15*1.3304</f>
        <v>11979.6137</v>
      </c>
      <c r="R15" s="12"/>
      <c r="S15" s="28"/>
      <c r="T15" s="12"/>
      <c r="U15" s="28"/>
      <c r="V15" s="147">
        <f>'Suvi Gaz'!O9</f>
        <v>383.99052</v>
      </c>
      <c r="W15" s="11"/>
      <c r="X15" s="34">
        <f t="shared" si="1"/>
        <v>3771.132497868</v>
      </c>
    </row>
    <row r="16" spans="1:24" ht="32.25" customHeight="1">
      <c r="A16" s="165"/>
      <c r="B16" s="6">
        <v>44354</v>
      </c>
      <c r="C16" s="7"/>
      <c r="D16" s="143">
        <v>30</v>
      </c>
      <c r="E16" s="143">
        <v>37</v>
      </c>
      <c r="F16" s="13">
        <f>'Suivi EAU-ELEC'!E15</f>
        <v>71.69999999999709</v>
      </c>
      <c r="G16" s="11"/>
      <c r="H16" s="170">
        <f t="shared" si="0"/>
        <v>630.24299999997436</v>
      </c>
      <c r="I16" s="171"/>
      <c r="J16" s="171"/>
      <c r="K16" s="60">
        <v>42284</v>
      </c>
      <c r="L16" s="90">
        <f>'Suivi EAU-ELEC'!G15</f>
        <v>2223</v>
      </c>
      <c r="M16" s="91">
        <f>'Suivi EAU-ELEC'!I15</f>
        <v>5612</v>
      </c>
      <c r="N16" s="91">
        <f>'Suivi EAU-ELEC'!K15</f>
        <v>2207</v>
      </c>
      <c r="O16" s="91">
        <f t="shared" si="2"/>
        <v>10042</v>
      </c>
      <c r="P16" s="11"/>
      <c r="Q16" s="34">
        <f t="shared" si="3"/>
        <v>9828.2151000000013</v>
      </c>
      <c r="R16" s="11"/>
      <c r="S16" s="28"/>
      <c r="T16" s="11"/>
      <c r="U16" s="28"/>
      <c r="V16" s="147">
        <f>'Suvi Gaz'!O10</f>
        <v>223.99447000000001</v>
      </c>
      <c r="W16" s="11"/>
      <c r="X16" s="34">
        <f t="shared" si="1"/>
        <v>2199.8272904230002</v>
      </c>
    </row>
    <row r="17" spans="1:24" s="5" customFormat="1" ht="32.25" customHeight="1">
      <c r="A17" s="2"/>
      <c r="B17" s="6">
        <v>44355</v>
      </c>
      <c r="C17" s="7"/>
      <c r="D17" s="143">
        <v>34</v>
      </c>
      <c r="E17" s="143">
        <v>48</v>
      </c>
      <c r="F17" s="13">
        <f>'Suivi EAU-ELEC'!E16</f>
        <v>77.399999999994179</v>
      </c>
      <c r="G17" s="11"/>
      <c r="H17" s="170">
        <f t="shared" si="0"/>
        <v>680.34599999994873</v>
      </c>
      <c r="I17" s="171"/>
      <c r="J17" s="171"/>
      <c r="K17" s="60">
        <v>42285</v>
      </c>
      <c r="L17" s="90">
        <f>'Suivi EAU-ELEC'!G16</f>
        <v>2739</v>
      </c>
      <c r="M17" s="91">
        <f>'Suivi EAU-ELEC'!I16</f>
        <v>6520</v>
      </c>
      <c r="N17" s="91">
        <f>'Suivi EAU-ELEC'!K16</f>
        <v>2171</v>
      </c>
      <c r="O17" s="91">
        <f t="shared" si="2"/>
        <v>11430</v>
      </c>
      <c r="P17" s="12"/>
      <c r="Q17" s="34">
        <f t="shared" si="3"/>
        <v>11004.617899999999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>
      <c r="A18" s="2"/>
      <c r="B18" s="6">
        <v>44356</v>
      </c>
      <c r="C18" s="7"/>
      <c r="D18" s="143">
        <v>44</v>
      </c>
      <c r="E18" s="143">
        <v>57</v>
      </c>
      <c r="F18" s="13">
        <f>'Suivi EAU-ELEC'!E17</f>
        <v>68.400000000008731</v>
      </c>
      <c r="G18" s="11"/>
      <c r="H18" s="170">
        <f t="shared" si="0"/>
        <v>601.23600000007673</v>
      </c>
      <c r="I18" s="171"/>
      <c r="J18" s="171"/>
      <c r="K18" s="60">
        <v>42286</v>
      </c>
      <c r="L18" s="90">
        <f>'Suivi EAU-ELEC'!G17</f>
        <v>2858</v>
      </c>
      <c r="M18" s="91">
        <f>'Suivi EAU-ELEC'!I17</f>
        <v>6081</v>
      </c>
      <c r="N18" s="91">
        <f>'Suivi EAU-ELEC'!K17</f>
        <v>2153</v>
      </c>
      <c r="O18" s="91">
        <f t="shared" si="2"/>
        <v>11092</v>
      </c>
      <c r="P18" s="12"/>
      <c r="Q18" s="34">
        <f t="shared" si="3"/>
        <v>10646.1276</v>
      </c>
      <c r="R18" s="12"/>
      <c r="S18" s="28"/>
      <c r="T18" s="12"/>
      <c r="U18" s="28"/>
      <c r="V18" s="147">
        <f>'Suvi Gaz'!O12</f>
        <v>255.99368000000001</v>
      </c>
      <c r="W18" s="11"/>
      <c r="X18" s="34">
        <f t="shared" si="1"/>
        <v>2514.0883319120003</v>
      </c>
    </row>
    <row r="19" spans="1:24" ht="32.25" customHeight="1">
      <c r="A19" s="2"/>
      <c r="B19" s="6">
        <v>44357</v>
      </c>
      <c r="C19" s="7"/>
      <c r="D19" s="143">
        <v>43</v>
      </c>
      <c r="E19" s="143">
        <v>63</v>
      </c>
      <c r="F19" s="13">
        <f>'Suivi EAU-ELEC'!E18</f>
        <v>63.19999999999709</v>
      </c>
      <c r="G19" s="12"/>
      <c r="H19" s="170">
        <f t="shared" si="0"/>
        <v>555.52799999997433</v>
      </c>
      <c r="I19" s="171"/>
      <c r="J19" s="171"/>
      <c r="K19" s="60">
        <v>42287</v>
      </c>
      <c r="L19" s="90">
        <f>'Suivi EAU-ELEC'!G18</f>
        <v>2785</v>
      </c>
      <c r="M19" s="91">
        <f>'Suivi EAU-ELEC'!I18</f>
        <v>6446</v>
      </c>
      <c r="N19" s="91">
        <f>'Suivi EAU-ELEC'!K18</f>
        <v>2380</v>
      </c>
      <c r="O19" s="91">
        <f t="shared" si="2"/>
        <v>11611</v>
      </c>
      <c r="P19" s="12"/>
      <c r="Q19" s="34">
        <f t="shared" si="3"/>
        <v>11244.3989</v>
      </c>
      <c r="R19" s="12"/>
      <c r="S19" s="28"/>
      <c r="T19" s="12"/>
      <c r="U19" s="28"/>
      <c r="V19" s="147">
        <f>'Suvi Gaz'!O13</f>
        <v>255.99368000000001</v>
      </c>
      <c r="W19" s="11"/>
      <c r="X19" s="34">
        <f t="shared" si="1"/>
        <v>2514.0883319120003</v>
      </c>
    </row>
    <row r="20" spans="1:24" ht="32.25" customHeight="1">
      <c r="A20" s="2"/>
      <c r="B20" s="6">
        <v>44358</v>
      </c>
      <c r="C20" s="7"/>
      <c r="D20" s="143">
        <v>49</v>
      </c>
      <c r="E20" s="143">
        <v>73</v>
      </c>
      <c r="F20" s="13">
        <f>'Suivi EAU-ELEC'!E19</f>
        <v>76.19999999999709</v>
      </c>
      <c r="G20" s="12"/>
      <c r="H20" s="170">
        <f t="shared" si="0"/>
        <v>669.79799999997431</v>
      </c>
      <c r="I20" s="171"/>
      <c r="J20" s="171"/>
      <c r="K20" s="60">
        <v>42288</v>
      </c>
      <c r="L20" s="90">
        <f>'Suivi EAU-ELEC'!G19</f>
        <v>3022</v>
      </c>
      <c r="M20" s="91">
        <f>'Suivi EAU-ELEC'!I19</f>
        <v>7195</v>
      </c>
      <c r="N20" s="91">
        <f>'Suivi EAU-ELEC'!K19</f>
        <v>2718</v>
      </c>
      <c r="O20" s="91">
        <f t="shared" si="2"/>
        <v>12935</v>
      </c>
      <c r="P20" s="12"/>
      <c r="Q20" s="34">
        <f t="shared" si="3"/>
        <v>12572.217200000001</v>
      </c>
      <c r="R20" s="12"/>
      <c r="S20" s="28"/>
      <c r="T20" s="12"/>
      <c r="U20" s="28"/>
      <c r="V20" s="147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44359</v>
      </c>
      <c r="C21" s="7"/>
      <c r="D21" s="143">
        <v>46</v>
      </c>
      <c r="E21" s="143">
        <v>69</v>
      </c>
      <c r="F21" s="13">
        <f>'Suivi EAU-ELEC'!E20</f>
        <v>95.69999999999709</v>
      </c>
      <c r="G21" s="12"/>
      <c r="H21" s="170">
        <f t="shared" si="0"/>
        <v>841.20299999997428</v>
      </c>
      <c r="I21" s="171"/>
      <c r="J21" s="171"/>
      <c r="K21" s="60">
        <v>42289</v>
      </c>
      <c r="L21" s="90">
        <f>'Suivi EAU-ELEC'!G20</f>
        <v>3496</v>
      </c>
      <c r="M21" s="91">
        <f>'Suivi EAU-ELEC'!I20</f>
        <v>6761</v>
      </c>
      <c r="N21" s="91">
        <f>'Suivi EAU-ELEC'!K20</f>
        <v>2508</v>
      </c>
      <c r="O21" s="91">
        <f>L21+M21+N21</f>
        <v>12765</v>
      </c>
      <c r="P21" s="12"/>
      <c r="Q21" s="34">
        <f t="shared" si="3"/>
        <v>12211.0146</v>
      </c>
      <c r="R21" s="12"/>
      <c r="S21" s="28"/>
      <c r="T21" s="12"/>
      <c r="U21" s="28"/>
      <c r="V21" s="147">
        <f>'Suvi Gaz'!O15</f>
        <v>383.99052</v>
      </c>
      <c r="W21" s="11"/>
      <c r="X21" s="34">
        <f t="shared" si="1"/>
        <v>3771.132497868</v>
      </c>
    </row>
    <row r="22" spans="1:24" ht="32.25" customHeight="1">
      <c r="A22" s="2"/>
      <c r="B22" s="6">
        <v>44360</v>
      </c>
      <c r="C22" s="7"/>
      <c r="D22" s="143">
        <v>50</v>
      </c>
      <c r="E22" s="143">
        <v>70</v>
      </c>
      <c r="F22" s="13">
        <f>'Suivi EAU-ELEC'!E21</f>
        <v>99.30000000000291</v>
      </c>
      <c r="G22" s="12"/>
      <c r="H22" s="170">
        <f t="shared" ref="H22:H35" si="4">F22*8.79</f>
        <v>872.84700000002545</v>
      </c>
      <c r="I22" s="171"/>
      <c r="J22" s="171"/>
      <c r="K22" s="60">
        <v>42290</v>
      </c>
      <c r="L22" s="90">
        <f>'Suivi EAU-ELEC'!G21</f>
        <v>3327</v>
      </c>
      <c r="M22" s="91">
        <f>'Suivi EAU-ELEC'!I21</f>
        <v>6262</v>
      </c>
      <c r="N22" s="91">
        <f>'Suivi EAU-ELEC'!K21</f>
        <v>2213</v>
      </c>
      <c r="O22" s="91">
        <f t="shared" si="2"/>
        <v>11802</v>
      </c>
      <c r="P22" s="12"/>
      <c r="Q22" s="34">
        <f t="shared" si="3"/>
        <v>11225.7515</v>
      </c>
      <c r="R22" s="12"/>
      <c r="S22" s="28"/>
      <c r="T22" s="12"/>
      <c r="U22" s="28"/>
      <c r="V22" s="147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44361</v>
      </c>
      <c r="C23" s="7"/>
      <c r="D23" s="143">
        <v>54</v>
      </c>
      <c r="E23" s="143">
        <v>70</v>
      </c>
      <c r="F23" s="13">
        <f>'Suivi EAU-ELEC'!E22</f>
        <v>92</v>
      </c>
      <c r="G23" s="14"/>
      <c r="H23" s="170">
        <f t="shared" si="4"/>
        <v>808.68</v>
      </c>
      <c r="I23" s="171"/>
      <c r="J23" s="171"/>
      <c r="K23" s="60">
        <v>42291</v>
      </c>
      <c r="L23" s="90">
        <f>'Suivi EAU-ELEC'!G22</f>
        <v>2741</v>
      </c>
      <c r="M23" s="91">
        <f>'Suivi EAU-ELEC'!I22</f>
        <v>5826</v>
      </c>
      <c r="N23" s="91">
        <f>'Suivi EAU-ELEC'!K22</f>
        <v>2257</v>
      </c>
      <c r="O23" s="91">
        <f t="shared" si="2"/>
        <v>10824</v>
      </c>
      <c r="P23" s="12"/>
      <c r="Q23" s="34">
        <f t="shared" si="3"/>
        <v>10460.1577</v>
      </c>
      <c r="R23" s="12"/>
      <c r="S23" s="28"/>
      <c r="T23" s="14"/>
      <c r="U23" s="28"/>
      <c r="V23" s="147">
        <f>'Suvi Gaz'!O17</f>
        <v>287.99288999999999</v>
      </c>
      <c r="W23" s="11"/>
      <c r="X23" s="34">
        <f t="shared" si="1"/>
        <v>2828.3493734009999</v>
      </c>
    </row>
    <row r="24" spans="1:24" ht="32.25" customHeight="1">
      <c r="A24" s="2"/>
      <c r="B24" s="6">
        <v>44362</v>
      </c>
      <c r="C24" s="7"/>
      <c r="D24" s="143">
        <v>55</v>
      </c>
      <c r="E24" s="143">
        <v>75</v>
      </c>
      <c r="F24" s="13">
        <f>'Suivi EAU-ELEC'!E23</f>
        <v>88.5</v>
      </c>
      <c r="G24" s="14"/>
      <c r="H24" s="170">
        <f t="shared" si="4"/>
        <v>777.91499999999996</v>
      </c>
      <c r="I24" s="171"/>
      <c r="J24" s="171"/>
      <c r="K24" s="60">
        <v>42292</v>
      </c>
      <c r="L24" s="90">
        <f>'Suivi EAU-ELEC'!G23</f>
        <v>2329</v>
      </c>
      <c r="M24" s="91">
        <f>'Suivi EAU-ELEC'!I23</f>
        <v>6031</v>
      </c>
      <c r="N24" s="91">
        <f>'Suivi EAU-ELEC'!K23</f>
        <v>2039</v>
      </c>
      <c r="O24" s="91">
        <f t="shared" si="2"/>
        <v>10399</v>
      </c>
      <c r="P24" s="12"/>
      <c r="Q24" s="34">
        <f t="shared" si="3"/>
        <v>10077.3855</v>
      </c>
      <c r="R24" s="12"/>
      <c r="S24" s="28"/>
      <c r="T24" s="14"/>
      <c r="U24" s="28"/>
      <c r="V24" s="147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44363</v>
      </c>
      <c r="C25" s="7"/>
      <c r="D25" s="143">
        <v>37</v>
      </c>
      <c r="E25" s="143">
        <v>49</v>
      </c>
      <c r="F25" s="13">
        <f>'Suivi EAU-ELEC'!E24</f>
        <v>95.80000000000291</v>
      </c>
      <c r="G25" s="14"/>
      <c r="H25" s="170">
        <f t="shared" si="4"/>
        <v>842.08200000002546</v>
      </c>
      <c r="I25" s="171"/>
      <c r="J25" s="171"/>
      <c r="K25" s="60">
        <v>42293</v>
      </c>
      <c r="L25" s="90">
        <f>'Suivi EAU-ELEC'!G24</f>
        <v>2987</v>
      </c>
      <c r="M25" s="91">
        <f>'Suivi EAU-ELEC'!I24</f>
        <v>6168</v>
      </c>
      <c r="N25" s="91">
        <f>'Suivi EAU-ELEC'!K24</f>
        <v>2279</v>
      </c>
      <c r="O25" s="91">
        <f t="shared" si="2"/>
        <v>11434</v>
      </c>
      <c r="P25" s="12"/>
      <c r="Q25" s="34">
        <f t="shared" si="3"/>
        <v>10986.6363</v>
      </c>
      <c r="R25" s="12"/>
      <c r="S25" s="28"/>
      <c r="T25" s="14"/>
      <c r="U25" s="28"/>
      <c r="V25" s="147">
        <f>'Suvi Gaz'!O19</f>
        <v>191.99526</v>
      </c>
      <c r="W25" s="11"/>
      <c r="X25" s="34">
        <f t="shared" si="1"/>
        <v>1885.566248934</v>
      </c>
    </row>
    <row r="26" spans="1:24" ht="32.25" customHeight="1">
      <c r="A26" s="2"/>
      <c r="B26" s="6">
        <v>44364</v>
      </c>
      <c r="C26" s="7"/>
      <c r="D26" s="143">
        <v>39</v>
      </c>
      <c r="E26" s="143">
        <v>53</v>
      </c>
      <c r="F26" s="13">
        <f>'Suivi EAU-ELEC'!E25</f>
        <v>103.09999999999127</v>
      </c>
      <c r="G26" s="14"/>
      <c r="H26" s="170">
        <f t="shared" si="4"/>
        <v>906.24899999992317</v>
      </c>
      <c r="I26" s="171"/>
      <c r="J26" s="171"/>
      <c r="K26" s="60">
        <v>42294</v>
      </c>
      <c r="L26" s="90">
        <f>'Suivi EAU-ELEC'!G25</f>
        <v>3168</v>
      </c>
      <c r="M26" s="91">
        <f>'Suivi EAU-ELEC'!I25</f>
        <v>6386</v>
      </c>
      <c r="N26" s="91">
        <f>'Suivi EAU-ELEC'!K25</f>
        <v>2280</v>
      </c>
      <c r="O26" s="91">
        <f t="shared" si="2"/>
        <v>11834</v>
      </c>
      <c r="P26" s="14"/>
      <c r="Q26" s="34">
        <f t="shared" si="3"/>
        <v>11321.8004</v>
      </c>
      <c r="R26" s="14"/>
      <c r="S26" s="28"/>
      <c r="T26" s="14"/>
      <c r="U26" s="28"/>
      <c r="V26" s="147">
        <f>'Suvi Gaz'!O20</f>
        <v>191.99526</v>
      </c>
      <c r="W26" s="11"/>
      <c r="X26" s="34">
        <f t="shared" si="1"/>
        <v>1885.566248934</v>
      </c>
    </row>
    <row r="27" spans="1:24" ht="32.25" customHeight="1">
      <c r="A27" s="2"/>
      <c r="B27" s="6">
        <v>44365</v>
      </c>
      <c r="C27" s="7"/>
      <c r="D27" s="143">
        <v>53</v>
      </c>
      <c r="E27" s="143">
        <v>85</v>
      </c>
      <c r="F27" s="13">
        <f>'Suivi EAU-ELEC'!E26</f>
        <v>82.700000000011642</v>
      </c>
      <c r="G27" s="14"/>
      <c r="H27" s="170">
        <f t="shared" si="4"/>
        <v>726.93300000010231</v>
      </c>
      <c r="I27" s="171"/>
      <c r="J27" s="171"/>
      <c r="K27" s="60">
        <v>42295</v>
      </c>
      <c r="L27" s="90">
        <f>'Suivi EAU-ELEC'!G26</f>
        <v>2949</v>
      </c>
      <c r="M27" s="91">
        <f>'Suivi EAU-ELEC'!I26</f>
        <v>6466</v>
      </c>
      <c r="N27" s="91">
        <f>'Suivi EAU-ELEC'!K26</f>
        <v>2439</v>
      </c>
      <c r="O27" s="91">
        <f t="shared" si="2"/>
        <v>11854</v>
      </c>
      <c r="P27" s="14"/>
      <c r="Q27" s="34">
        <f t="shared" si="3"/>
        <v>11456.4745</v>
      </c>
      <c r="R27" s="14"/>
      <c r="S27" s="28"/>
      <c r="T27" s="14"/>
      <c r="U27" s="28"/>
      <c r="V27" s="147">
        <f>'Suvi Gaz'!O21</f>
        <v>383.99052</v>
      </c>
      <c r="W27" s="11"/>
      <c r="X27" s="34">
        <f t="shared" si="1"/>
        <v>3771.132497868</v>
      </c>
    </row>
    <row r="28" spans="1:24" ht="32.25" customHeight="1">
      <c r="A28" s="2"/>
      <c r="B28" s="6">
        <v>44366</v>
      </c>
      <c r="C28" s="7"/>
      <c r="D28" s="143">
        <v>63</v>
      </c>
      <c r="E28" s="143">
        <v>95</v>
      </c>
      <c r="F28" s="13">
        <f>'Suivi EAU-ELEC'!E27</f>
        <v>228.19999999999709</v>
      </c>
      <c r="G28" s="11"/>
      <c r="H28" s="170">
        <f t="shared" si="4"/>
        <v>2005.8779999999742</v>
      </c>
      <c r="I28" s="171"/>
      <c r="J28" s="171"/>
      <c r="K28" s="60">
        <v>42296</v>
      </c>
      <c r="L28" s="90">
        <f>'Suivi EAU-ELEC'!G27</f>
        <v>2951</v>
      </c>
      <c r="M28" s="91">
        <f>'Suivi EAU-ELEC'!I27</f>
        <v>6434</v>
      </c>
      <c r="N28" s="91">
        <f>'Suivi EAU-ELEC'!K27</f>
        <v>2638</v>
      </c>
      <c r="O28" s="91">
        <f t="shared" si="2"/>
        <v>12023</v>
      </c>
      <c r="P28" s="11"/>
      <c r="Q28" s="34">
        <f>L28*0.6985+M28*0.9514+N28*1.3304</f>
        <v>11692.176300000001</v>
      </c>
      <c r="R28" s="11"/>
      <c r="S28" s="28"/>
      <c r="T28" s="11"/>
      <c r="U28" s="28"/>
      <c r="V28" s="147">
        <f>'Suvi Gaz'!O22</f>
        <v>575.98577999999998</v>
      </c>
      <c r="W28" s="11"/>
      <c r="X28" s="34">
        <f t="shared" si="1"/>
        <v>5656.6987468019997</v>
      </c>
    </row>
    <row r="29" spans="1:24" ht="32.25" customHeight="1">
      <c r="A29" s="2"/>
      <c r="B29" s="6">
        <v>44367</v>
      </c>
      <c r="C29" s="7"/>
      <c r="D29" s="143">
        <v>50</v>
      </c>
      <c r="E29" s="143">
        <v>64</v>
      </c>
      <c r="F29" s="13">
        <f>'Suivi EAU-ELEC'!E28</f>
        <v>60.69999999999709</v>
      </c>
      <c r="G29" s="11"/>
      <c r="H29" s="170">
        <f t="shared" si="4"/>
        <v>533.55299999997442</v>
      </c>
      <c r="I29" s="171"/>
      <c r="J29" s="171"/>
      <c r="K29" s="60">
        <v>42297</v>
      </c>
      <c r="L29" s="90">
        <f>'Suivi EAU-ELEC'!G28</f>
        <v>3069</v>
      </c>
      <c r="M29" s="91">
        <f>'Suivi EAU-ELEC'!I28</f>
        <v>6209</v>
      </c>
      <c r="N29" s="91">
        <f>'Suivi EAU-ELEC'!K28</f>
        <v>2196</v>
      </c>
      <c r="O29" s="91">
        <f>L29+M29+N29</f>
        <v>11474</v>
      </c>
      <c r="P29" s="11"/>
      <c r="Q29" s="34">
        <f t="shared" si="3"/>
        <v>10972.497500000001</v>
      </c>
      <c r="R29" s="11"/>
      <c r="S29" s="28"/>
      <c r="T29" s="11"/>
      <c r="U29" s="28"/>
      <c r="V29" s="147">
        <f>'Suvi Gaz'!O23</f>
        <v>671.98341000000005</v>
      </c>
      <c r="W29" s="11"/>
      <c r="X29" s="34">
        <f t="shared" si="1"/>
        <v>6599.4818712690003</v>
      </c>
    </row>
    <row r="30" spans="1:24" ht="32.25" customHeight="1">
      <c r="A30" s="2"/>
      <c r="B30" s="6">
        <v>44368</v>
      </c>
      <c r="C30" s="7"/>
      <c r="D30" s="143">
        <v>53</v>
      </c>
      <c r="E30" s="143">
        <v>70</v>
      </c>
      <c r="F30" s="13">
        <f>'Suivi EAU-ELEC'!E29</f>
        <v>107</v>
      </c>
      <c r="G30" s="11"/>
      <c r="H30" s="170">
        <f t="shared" si="4"/>
        <v>940.52999999999986</v>
      </c>
      <c r="I30" s="171"/>
      <c r="J30" s="171"/>
      <c r="K30" s="60">
        <v>42298</v>
      </c>
      <c r="L30" s="90">
        <f>'Suivi EAU-ELEC'!G29</f>
        <v>2795</v>
      </c>
      <c r="M30" s="91">
        <f>'Suivi EAU-ELEC'!I29</f>
        <v>5698</v>
      </c>
      <c r="N30" s="91">
        <f>'Suivi EAU-ELEC'!K29</f>
        <v>2295</v>
      </c>
      <c r="O30" s="91">
        <f>L30+M30+N30</f>
        <v>10788</v>
      </c>
      <c r="P30" s="11"/>
      <c r="Q30" s="34">
        <f>L30*0.6985+M30*0.9514+N30*1.3304</f>
        <v>10426.652699999999</v>
      </c>
      <c r="R30" s="11"/>
      <c r="S30" s="28"/>
      <c r="T30" s="11"/>
      <c r="U30" s="28"/>
      <c r="V30" s="147">
        <f>'Suvi Gaz'!O24</f>
        <v>63.998420000000003</v>
      </c>
      <c r="W30" s="11"/>
      <c r="X30" s="34">
        <f t="shared" si="1"/>
        <v>628.52208297800007</v>
      </c>
    </row>
    <row r="31" spans="1:24" ht="27.75" customHeight="1">
      <c r="A31" s="2"/>
      <c r="B31" s="6">
        <v>44369</v>
      </c>
      <c r="C31" s="7"/>
      <c r="D31" s="143">
        <v>67</v>
      </c>
      <c r="E31" s="143">
        <v>92</v>
      </c>
      <c r="F31" s="13">
        <f>'Suivi EAU-ELEC'!E30</f>
        <v>107.39999999999418</v>
      </c>
      <c r="G31" s="11"/>
      <c r="H31" s="170">
        <f t="shared" si="4"/>
        <v>944.04599999994878</v>
      </c>
      <c r="I31" s="171"/>
      <c r="J31" s="171"/>
      <c r="K31" s="60">
        <v>42299</v>
      </c>
      <c r="L31" s="90">
        <f>'Suivi EAU-ELEC'!G30</f>
        <v>2439</v>
      </c>
      <c r="M31" s="91">
        <f>'Suivi EAU-ELEC'!I30</f>
        <v>5875</v>
      </c>
      <c r="N31" s="91">
        <f>'Suivi EAU-ELEC'!K30</f>
        <v>2408</v>
      </c>
      <c r="O31" s="91">
        <f>L31+M31+N31</f>
        <v>10722</v>
      </c>
      <c r="P31" s="11"/>
      <c r="Q31" s="34">
        <f>L31*0.6985+M31*0.9514+N31*1.3304</f>
        <v>10496.7197</v>
      </c>
      <c r="R31" s="11"/>
      <c r="S31" s="28"/>
      <c r="T31" s="11"/>
      <c r="U31" s="28"/>
      <c r="V31" s="147">
        <f>'Suvi Gaz'!O25</f>
        <v>351.99131</v>
      </c>
      <c r="W31" s="11"/>
      <c r="X31" s="34">
        <f t="shared" si="1"/>
        <v>3456.8714563789999</v>
      </c>
    </row>
    <row r="32" spans="1:24" ht="37.5" customHeight="1">
      <c r="A32" s="2"/>
      <c r="B32" s="6">
        <v>44370</v>
      </c>
      <c r="C32" s="7"/>
      <c r="D32" s="143">
        <v>95</v>
      </c>
      <c r="E32" s="143">
        <v>137</v>
      </c>
      <c r="F32" s="13">
        <f>'Suivi EAU-ELEC'!E31</f>
        <v>97.700000000011642</v>
      </c>
      <c r="G32" s="11"/>
      <c r="H32" s="170">
        <f t="shared" si="4"/>
        <v>858.78300000010222</v>
      </c>
      <c r="I32" s="171"/>
      <c r="J32" s="171"/>
      <c r="K32" s="60">
        <v>42300</v>
      </c>
      <c r="L32" s="90">
        <f>'Suivi EAU-ELEC'!G31</f>
        <v>3005</v>
      </c>
      <c r="M32" s="91">
        <f>'Suivi EAU-ELEC'!I31</f>
        <v>6171</v>
      </c>
      <c r="N32" s="91">
        <f>'Suivi EAU-ELEC'!K31</f>
        <v>2267</v>
      </c>
      <c r="O32" s="91">
        <f t="shared" si="2"/>
        <v>11443</v>
      </c>
      <c r="P32" s="11"/>
      <c r="Q32" s="34">
        <f t="shared" si="3"/>
        <v>10986.098699999999</v>
      </c>
      <c r="R32" s="11"/>
      <c r="S32" s="28"/>
      <c r="T32" s="11"/>
      <c r="U32" s="28"/>
      <c r="V32" s="147">
        <f>'Suvi Gaz'!O26</f>
        <v>351.99131</v>
      </c>
      <c r="W32" s="11"/>
      <c r="X32" s="34">
        <f t="shared" si="1"/>
        <v>3456.8714563789999</v>
      </c>
    </row>
    <row r="33" spans="1:24" ht="37.5" customHeight="1">
      <c r="A33" s="2"/>
      <c r="B33" s="6">
        <v>44371</v>
      </c>
      <c r="C33" s="7"/>
      <c r="D33" s="143">
        <v>59</v>
      </c>
      <c r="E33" s="143">
        <v>95</v>
      </c>
      <c r="F33" s="13">
        <f>'Suivi EAU-ELEC'!E32</f>
        <v>100.89999999999418</v>
      </c>
      <c r="G33" s="11"/>
      <c r="H33" s="170">
        <f t="shared" si="4"/>
        <v>886.91099999994879</v>
      </c>
      <c r="I33" s="171"/>
      <c r="J33" s="171"/>
      <c r="K33" s="60">
        <v>42301</v>
      </c>
      <c r="L33" s="90">
        <f>'Suivi EAU-ELEC'!G32</f>
        <v>3426</v>
      </c>
      <c r="M33" s="91">
        <f>'Suivi EAU-ELEC'!I32</f>
        <v>7491</v>
      </c>
      <c r="N33" s="91">
        <f>'Suivi EAU-ELEC'!K32</f>
        <v>3164</v>
      </c>
      <c r="O33" s="91">
        <f t="shared" si="2"/>
        <v>14081</v>
      </c>
      <c r="P33" s="11"/>
      <c r="Q33" s="34">
        <f t="shared" si="3"/>
        <v>13729.384000000002</v>
      </c>
      <c r="R33" s="11"/>
      <c r="S33" s="28"/>
      <c r="T33" s="11"/>
      <c r="U33" s="28"/>
      <c r="V33" s="147">
        <f>'Suvi Gaz'!O27</f>
        <v>447.98894000000001</v>
      </c>
      <c r="W33" s="11"/>
      <c r="X33" s="34">
        <f t="shared" si="1"/>
        <v>4399.6545808460005</v>
      </c>
    </row>
    <row r="34" spans="1:24" ht="37.5" customHeight="1">
      <c r="A34" s="2"/>
      <c r="B34" s="6">
        <v>44372</v>
      </c>
      <c r="C34" s="7"/>
      <c r="D34" s="143">
        <v>48</v>
      </c>
      <c r="E34" s="143">
        <v>78</v>
      </c>
      <c r="F34" s="13">
        <f>'Suivi EAU-ELEC'!E33</f>
        <v>111.80000000000291</v>
      </c>
      <c r="G34" s="11"/>
      <c r="H34" s="170">
        <f t="shared" si="4"/>
        <v>982.72200000002545</v>
      </c>
      <c r="I34" s="171"/>
      <c r="J34" s="171"/>
      <c r="K34" s="60">
        <v>42302</v>
      </c>
      <c r="L34" s="90">
        <f>'Suivi EAU-ELEC'!G33</f>
        <v>3446</v>
      </c>
      <c r="M34" s="91">
        <f>'Suivi EAU-ELEC'!I33</f>
        <v>7959</v>
      </c>
      <c r="N34" s="91">
        <f>'Suivi EAU-ELEC'!K33</f>
        <v>2838</v>
      </c>
      <c r="O34" s="91">
        <f t="shared" si="2"/>
        <v>14243</v>
      </c>
      <c r="P34" s="11"/>
      <c r="Q34" s="34">
        <f t="shared" si="3"/>
        <v>13754.898800000001</v>
      </c>
      <c r="R34" s="11"/>
      <c r="S34" s="28"/>
      <c r="T34" s="11"/>
      <c r="U34" s="28"/>
      <c r="V34" s="147">
        <f>'Suvi Gaz'!O28</f>
        <v>127.99684000000001</v>
      </c>
      <c r="W34" s="11"/>
      <c r="X34" s="34">
        <f t="shared" si="1"/>
        <v>1257.0441659560001</v>
      </c>
    </row>
    <row r="35" spans="1:24" ht="33.75" customHeight="1">
      <c r="A35" s="2"/>
      <c r="B35" s="6">
        <v>44373</v>
      </c>
      <c r="C35" s="7"/>
      <c r="D35" s="143">
        <v>52</v>
      </c>
      <c r="E35" s="143">
        <v>93</v>
      </c>
      <c r="F35" s="13">
        <f>'Suivi EAU-ELEC'!E34</f>
        <v>112.69999999999709</v>
      </c>
      <c r="G35" s="11"/>
      <c r="H35" s="170">
        <f t="shared" si="4"/>
        <v>990.63299999997434</v>
      </c>
      <c r="I35" s="171"/>
      <c r="J35" s="171"/>
      <c r="K35" s="60">
        <v>42303</v>
      </c>
      <c r="L35" s="90">
        <f>'Suivi EAU-ELEC'!G34</f>
        <v>3481</v>
      </c>
      <c r="M35" s="91">
        <f>'Suivi EAU-ELEC'!I34</f>
        <v>7274</v>
      </c>
      <c r="N35" s="91">
        <f>'Suivi EAU-ELEC'!K34</f>
        <v>2554</v>
      </c>
      <c r="O35" s="91">
        <f t="shared" si="2"/>
        <v>13309</v>
      </c>
      <c r="P35" s="11"/>
      <c r="Q35" s="34">
        <f t="shared" si="3"/>
        <v>12749.8037</v>
      </c>
      <c r="R35" s="11"/>
      <c r="S35" s="28"/>
      <c r="T35" s="11"/>
      <c r="U35" s="28"/>
      <c r="V35" s="147">
        <f>'Suvi Gaz'!O29</f>
        <v>191.99526</v>
      </c>
      <c r="W35" s="11"/>
      <c r="X35" s="34">
        <f t="shared" si="1"/>
        <v>1885.566248934</v>
      </c>
    </row>
    <row r="36" spans="1:24" ht="33.75" customHeight="1">
      <c r="A36" s="2"/>
      <c r="B36" s="6">
        <v>44374</v>
      </c>
      <c r="C36" s="7"/>
      <c r="D36" s="143">
        <v>55</v>
      </c>
      <c r="E36" s="143">
        <v>93</v>
      </c>
      <c r="F36" s="13">
        <f>'Suivi EAU-ELEC'!E35</f>
        <v>92.5</v>
      </c>
      <c r="G36" s="11"/>
      <c r="H36" s="170">
        <f>F36*8.79</f>
        <v>813.07499999999993</v>
      </c>
      <c r="I36" s="171"/>
      <c r="J36" s="171"/>
      <c r="K36" s="60">
        <v>42304</v>
      </c>
      <c r="L36" s="90">
        <f>'Suivi EAU-ELEC'!G35</f>
        <v>3355</v>
      </c>
      <c r="M36" s="91">
        <f>'Suivi EAU-ELEC'!I35</f>
        <v>7656</v>
      </c>
      <c r="N36" s="91">
        <f>'Suivi EAU-ELEC'!K35</f>
        <v>2859</v>
      </c>
      <c r="O36" s="91">
        <f t="shared" si="2"/>
        <v>13870</v>
      </c>
      <c r="P36" s="11"/>
      <c r="Q36" s="34">
        <f t="shared" si="3"/>
        <v>13430.999500000002</v>
      </c>
      <c r="R36" s="11"/>
      <c r="S36" s="28"/>
      <c r="T36" s="11"/>
      <c r="U36" s="28"/>
      <c r="V36" s="147">
        <f>'Suvi Gaz'!O30</f>
        <v>575.98577999999998</v>
      </c>
      <c r="W36" s="11"/>
      <c r="X36" s="34">
        <f t="shared" si="1"/>
        <v>5656.6987468019997</v>
      </c>
    </row>
    <row r="37" spans="1:24" ht="33.75" customHeight="1">
      <c r="A37" s="2"/>
      <c r="B37" s="6">
        <v>44375</v>
      </c>
      <c r="C37" s="7"/>
      <c r="D37" s="143">
        <v>64</v>
      </c>
      <c r="E37" s="143">
        <v>111</v>
      </c>
      <c r="F37" s="13">
        <f>'Suivi EAU-ELEC'!E36</f>
        <v>95.5</v>
      </c>
      <c r="G37" s="11"/>
      <c r="H37" s="170">
        <f t="shared" ref="H37:H38" si="5">F37*8.79</f>
        <v>839.44499999999994</v>
      </c>
      <c r="I37" s="171"/>
      <c r="J37" s="171"/>
      <c r="K37" s="60"/>
      <c r="L37" s="90">
        <f>'Suivi EAU-ELEC'!G36</f>
        <v>2591</v>
      </c>
      <c r="M37" s="91">
        <f>'Suivi EAU-ELEC'!I36</f>
        <v>6333</v>
      </c>
      <c r="N37" s="91">
        <f>'Suivi EAU-ELEC'!K36</f>
        <v>2380</v>
      </c>
      <c r="O37" s="91">
        <f t="shared" si="2"/>
        <v>11304</v>
      </c>
      <c r="P37" s="11"/>
      <c r="Q37" s="34">
        <f t="shared" si="3"/>
        <v>11001.3817</v>
      </c>
      <c r="R37" s="11"/>
      <c r="S37" s="28"/>
      <c r="T37" s="11"/>
      <c r="U37" s="28"/>
      <c r="V37" s="147">
        <f>'Suvi Gaz'!O31</f>
        <v>447.98894000000001</v>
      </c>
      <c r="W37" s="11"/>
      <c r="X37" s="34">
        <f t="shared" si="1"/>
        <v>4399.6545808460005</v>
      </c>
    </row>
    <row r="38" spans="1:24" ht="33.75" customHeight="1">
      <c r="A38" s="2"/>
      <c r="B38" s="6">
        <v>44376</v>
      </c>
      <c r="C38" s="7"/>
      <c r="D38" s="143">
        <v>59</v>
      </c>
      <c r="E38" s="143">
        <v>92</v>
      </c>
      <c r="F38" s="13">
        <f>'Suivi EAU-ELEC'!E37</f>
        <v>98.30000000000291</v>
      </c>
      <c r="G38" s="11"/>
      <c r="H38" s="170">
        <f t="shared" si="5"/>
        <v>864.05700000002548</v>
      </c>
      <c r="I38" s="171"/>
      <c r="J38" s="171"/>
      <c r="K38" s="60"/>
      <c r="L38" s="90">
        <f>'Suivi EAU-ELEC'!G37</f>
        <v>3327</v>
      </c>
      <c r="M38" s="91">
        <f>'Suivi EAU-ELEC'!I37</f>
        <v>7656</v>
      </c>
      <c r="N38" s="91">
        <f>'Suivi EAU-ELEC'!K37</f>
        <v>2633</v>
      </c>
      <c r="O38" s="91">
        <f t="shared" si="2"/>
        <v>13616</v>
      </c>
      <c r="P38" s="11"/>
      <c r="Q38" s="34">
        <f t="shared" si="3"/>
        <v>13110.7711</v>
      </c>
      <c r="R38" s="11"/>
      <c r="S38" s="28"/>
      <c r="T38" s="11"/>
      <c r="U38" s="28"/>
      <c r="V38" s="147">
        <f>'Suvi Gaz'!O32</f>
        <v>607.98499000000004</v>
      </c>
      <c r="W38" s="11"/>
      <c r="X38" s="34">
        <f t="shared" si="1"/>
        <v>5970.9597882910002</v>
      </c>
    </row>
    <row r="39" spans="1:24" ht="33.75" customHeight="1">
      <c r="A39" s="2"/>
      <c r="B39" s="6">
        <v>44377</v>
      </c>
      <c r="C39" s="7"/>
      <c r="D39" s="143"/>
      <c r="E39" s="143"/>
      <c r="F39" s="13">
        <f>'Suivi EAU-ELEC'!E38</f>
        <v>112.09999999999127</v>
      </c>
      <c r="G39" s="11"/>
      <c r="H39" s="170">
        <f t="shared" ref="H39" si="6">F39*8.79</f>
        <v>985.35899999992318</v>
      </c>
      <c r="I39" s="171"/>
      <c r="J39" s="171"/>
      <c r="K39" s="60"/>
      <c r="L39" s="90">
        <f>'Suivi EAU-ELEC'!G38</f>
        <v>3758</v>
      </c>
      <c r="M39" s="91">
        <f>'Suivi EAU-ELEC'!I38</f>
        <v>7534</v>
      </c>
      <c r="N39" s="91">
        <f>'Suivi EAU-ELEC'!K38</f>
        <v>2886</v>
      </c>
      <c r="O39" s="91">
        <f t="shared" si="2"/>
        <v>14178</v>
      </c>
      <c r="P39" s="11"/>
      <c r="Q39" s="34">
        <f t="shared" si="3"/>
        <v>13632.345000000001</v>
      </c>
      <c r="R39" s="11"/>
      <c r="S39" s="28"/>
      <c r="T39" s="11"/>
      <c r="U39" s="28"/>
      <c r="V39" s="147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1554</v>
      </c>
      <c r="E40" s="8">
        <f>SUM(E10:E39)</f>
        <v>2325</v>
      </c>
      <c r="F40" s="153">
        <f>SUM(F10:F39)</f>
        <v>2887.7999999999884</v>
      </c>
      <c r="G40" s="1"/>
      <c r="H40" s="251">
        <f>SUM(H10:H39)</f>
        <v>25383.761999999901</v>
      </c>
      <c r="I40" s="252"/>
      <c r="J40" s="253"/>
      <c r="K40" s="1"/>
      <c r="L40" s="53">
        <f>SUM(L10:L39)</f>
        <v>90037</v>
      </c>
      <c r="M40" s="53">
        <f>SUM(M10:M39)</f>
        <v>195831</v>
      </c>
      <c r="N40" s="54">
        <f>SUM(N10:N39)</f>
        <v>73385</v>
      </c>
      <c r="O40" s="55">
        <f>SUM(O10:O39)</f>
        <v>359253</v>
      </c>
      <c r="P40" s="31"/>
      <c r="Q40" s="32">
        <f>SUM(Q10:Q39)</f>
        <v>347285.53710000007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10163.747489999998</v>
      </c>
      <c r="W40" s="31"/>
      <c r="X40" s="32">
        <f>SUM(X10:X39)</f>
        <v>99817.147724541006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5"/>
      <c r="M41" s="165"/>
      <c r="N41" s="165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6" t="s">
        <v>33</v>
      </c>
      <c r="B42" s="207"/>
      <c r="C42" s="207"/>
      <c r="D42" s="207"/>
      <c r="E42" s="207"/>
      <c r="F42" s="208"/>
      <c r="G42" s="26"/>
      <c r="H42" s="27" t="s">
        <v>34</v>
      </c>
      <c r="I42" s="245" t="s">
        <v>35</v>
      </c>
      <c r="J42" s="246"/>
      <c r="K42" s="247"/>
      <c r="L42" s="220" t="s">
        <v>36</v>
      </c>
      <c r="M42" s="221"/>
      <c r="N42" s="206" t="s">
        <v>37</v>
      </c>
      <c r="O42" s="207"/>
      <c r="P42" s="207"/>
      <c r="Q42" s="207"/>
      <c r="R42" s="207"/>
      <c r="S42" s="207"/>
      <c r="T42" s="207"/>
      <c r="U42" s="207"/>
      <c r="V42" s="207"/>
      <c r="W42" s="207"/>
      <c r="X42" s="208"/>
    </row>
    <row r="43" spans="1:24" s="18" customFormat="1" ht="29.25" customHeight="1" thickBot="1">
      <c r="A43" s="214" t="s">
        <v>38</v>
      </c>
      <c r="B43" s="215"/>
      <c r="C43" s="216"/>
      <c r="D43" s="161" t="s">
        <v>30</v>
      </c>
      <c r="E43" s="161" t="s">
        <v>30</v>
      </c>
      <c r="F43" s="161" t="s">
        <v>30</v>
      </c>
      <c r="G43" s="16"/>
      <c r="H43" s="17">
        <v>0.69850000000000001</v>
      </c>
      <c r="I43" s="211">
        <f>L40</f>
        <v>90037</v>
      </c>
      <c r="J43" s="212"/>
      <c r="K43" s="213"/>
      <c r="L43" s="172">
        <f>I43*H43</f>
        <v>62890.844499999999</v>
      </c>
      <c r="M43" s="173"/>
      <c r="N43" s="229">
        <f>L43+L44+L45</f>
        <v>346835.86190000002</v>
      </c>
      <c r="O43" s="230"/>
      <c r="P43" s="230"/>
      <c r="Q43" s="230"/>
      <c r="R43" s="230"/>
      <c r="S43" s="230"/>
      <c r="T43" s="230"/>
      <c r="U43" s="230"/>
      <c r="V43" s="230"/>
      <c r="W43" s="230"/>
      <c r="X43" s="231"/>
    </row>
    <row r="44" spans="1:24" s="18" customFormat="1" ht="29.25" customHeight="1" thickBot="1">
      <c r="A44" s="217"/>
      <c r="B44" s="218"/>
      <c r="C44" s="219"/>
      <c r="D44" s="160" t="s">
        <v>31</v>
      </c>
      <c r="E44" s="160" t="s">
        <v>31</v>
      </c>
      <c r="F44" s="160" t="s">
        <v>31</v>
      </c>
      <c r="G44" s="16"/>
      <c r="H44" s="19">
        <v>0.95140000000000002</v>
      </c>
      <c r="I44" s="211">
        <f>M40</f>
        <v>195831</v>
      </c>
      <c r="J44" s="212"/>
      <c r="K44" s="213"/>
      <c r="L44" s="172">
        <f>I44*H44</f>
        <v>186313.6134</v>
      </c>
      <c r="M44" s="173"/>
      <c r="N44" s="232"/>
      <c r="O44" s="233"/>
      <c r="P44" s="233"/>
      <c r="Q44" s="233"/>
      <c r="R44" s="233"/>
      <c r="S44" s="233"/>
      <c r="T44" s="233"/>
      <c r="U44" s="233"/>
      <c r="V44" s="233"/>
      <c r="W44" s="233"/>
      <c r="X44" s="234"/>
    </row>
    <row r="45" spans="1:24" s="18" customFormat="1" ht="24.75" customHeight="1" thickBot="1">
      <c r="A45" s="217"/>
      <c r="B45" s="218"/>
      <c r="C45" s="219"/>
      <c r="D45" s="157" t="s">
        <v>32</v>
      </c>
      <c r="E45" s="157" t="s">
        <v>32</v>
      </c>
      <c r="F45" s="157" t="s">
        <v>32</v>
      </c>
      <c r="G45" s="20"/>
      <c r="H45" s="20">
        <v>1.3304</v>
      </c>
      <c r="I45" s="242">
        <f>N40</f>
        <v>73385</v>
      </c>
      <c r="J45" s="243"/>
      <c r="K45" s="244"/>
      <c r="L45" s="172">
        <f>I45*H45</f>
        <v>97631.403999999995</v>
      </c>
      <c r="M45" s="173"/>
      <c r="N45" s="235"/>
      <c r="O45" s="236"/>
      <c r="P45" s="236"/>
      <c r="Q45" s="236"/>
      <c r="R45" s="236"/>
      <c r="S45" s="236"/>
      <c r="T45" s="236"/>
      <c r="U45" s="236"/>
      <c r="V45" s="236"/>
      <c r="W45" s="236"/>
      <c r="X45" s="237"/>
    </row>
    <row r="46" spans="1:24" s="18" customFormat="1" ht="43.5" customHeight="1" thickBot="1">
      <c r="A46" s="162"/>
      <c r="B46" s="163"/>
      <c r="C46" s="163"/>
      <c r="D46" s="157"/>
      <c r="E46" s="157"/>
      <c r="F46" s="157"/>
      <c r="G46" s="16"/>
      <c r="H46" s="16"/>
      <c r="I46" s="155"/>
      <c r="J46" s="156"/>
      <c r="K46" s="157"/>
      <c r="L46" s="158"/>
      <c r="M46" s="159"/>
      <c r="N46" s="248">
        <f>N43*1.3</f>
        <v>450886.62047000002</v>
      </c>
      <c r="O46" s="249"/>
      <c r="P46" s="249"/>
      <c r="Q46" s="249"/>
      <c r="R46" s="249"/>
      <c r="S46" s="249"/>
      <c r="T46" s="249"/>
      <c r="U46" s="249"/>
      <c r="V46" s="249"/>
      <c r="W46" s="249"/>
      <c r="X46" s="250"/>
    </row>
    <row r="47" spans="1:24" s="23" customFormat="1" ht="32.25" customHeight="1" thickBot="1">
      <c r="A47" s="203" t="s">
        <v>39</v>
      </c>
      <c r="B47" s="204"/>
      <c r="C47" s="204"/>
      <c r="D47" s="204"/>
      <c r="E47" s="204"/>
      <c r="F47" s="205"/>
      <c r="G47" s="21"/>
      <c r="H47" s="22">
        <v>8.7899999999999991</v>
      </c>
      <c r="I47" s="203">
        <f>F40</f>
        <v>2887.7999999999884</v>
      </c>
      <c r="J47" s="204"/>
      <c r="K47" s="205"/>
      <c r="L47" s="209">
        <f>I47*H47</f>
        <v>25383.761999999897</v>
      </c>
      <c r="M47" s="210"/>
      <c r="N47" s="226">
        <f>L47</f>
        <v>25383.761999999897</v>
      </c>
      <c r="O47" s="227"/>
      <c r="P47" s="227"/>
      <c r="Q47" s="227"/>
      <c r="R47" s="227"/>
      <c r="S47" s="227"/>
      <c r="T47" s="227"/>
      <c r="U47" s="227"/>
      <c r="V47" s="227"/>
      <c r="W47" s="227"/>
      <c r="X47" s="228"/>
    </row>
    <row r="48" spans="1:24" s="23" customFormat="1" ht="36.75" customHeight="1">
      <c r="A48" s="238" t="s">
        <v>40</v>
      </c>
      <c r="B48" s="239"/>
      <c r="C48" s="239"/>
      <c r="D48" s="239"/>
      <c r="E48" s="239"/>
      <c r="F48" s="240"/>
      <c r="G48" s="24"/>
      <c r="H48" s="25">
        <v>9.8209</v>
      </c>
      <c r="I48" s="201">
        <f>V40</f>
        <v>10163.747489999998</v>
      </c>
      <c r="J48" s="241"/>
      <c r="K48" s="202"/>
      <c r="L48" s="201">
        <f>I48*H48</f>
        <v>99817.147724540977</v>
      </c>
      <c r="M48" s="202"/>
      <c r="N48" s="223">
        <f>L48</f>
        <v>99817.147724540977</v>
      </c>
      <c r="O48" s="224"/>
      <c r="P48" s="224"/>
      <c r="Q48" s="224"/>
      <c r="R48" s="224"/>
      <c r="S48" s="224"/>
      <c r="T48" s="224"/>
      <c r="U48" s="224"/>
      <c r="V48" s="224"/>
      <c r="W48" s="224"/>
      <c r="X48" s="22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</row>
    <row r="54" spans="1:24" ht="39" customHeight="1">
      <c r="A54" s="154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2" activePane="bottomRight" state="frozen"/>
      <selection pane="bottomRight" activeCell="K37" sqref="K37:K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>
      <c r="A6" s="166"/>
      <c r="B6" s="166"/>
      <c r="C6" s="166"/>
    </row>
    <row r="7" spans="1:12" ht="16.5" customHeight="1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44348</v>
      </c>
      <c r="B9" s="116">
        <v>2559</v>
      </c>
      <c r="C9" s="115">
        <v>0</v>
      </c>
      <c r="D9" s="57">
        <v>111004.4</v>
      </c>
      <c r="E9" s="50">
        <v>69.299999999988358</v>
      </c>
      <c r="F9" s="51">
        <v>10605184</v>
      </c>
      <c r="G9" s="50">
        <v>2794</v>
      </c>
      <c r="H9" s="51">
        <v>17852469</v>
      </c>
      <c r="I9" s="50">
        <v>5274</v>
      </c>
      <c r="J9" s="51">
        <v>7898077</v>
      </c>
      <c r="K9" s="50">
        <v>1876</v>
      </c>
    </row>
    <row r="10" spans="1:12" ht="19.5">
      <c r="A10" s="59">
        <v>44349</v>
      </c>
      <c r="B10" s="116">
        <v>2559</v>
      </c>
      <c r="C10" s="115">
        <f>B10-B9</f>
        <v>0</v>
      </c>
      <c r="D10" s="57">
        <v>111078.2</v>
      </c>
      <c r="E10" s="50">
        <f>D10-D9</f>
        <v>73.80000000000291</v>
      </c>
      <c r="F10" s="51">
        <v>10607534</v>
      </c>
      <c r="G10" s="50">
        <f>F10-F9</f>
        <v>2350</v>
      </c>
      <c r="H10" s="51">
        <v>17858391</v>
      </c>
      <c r="I10" s="50">
        <f>H10-H9</f>
        <v>5922</v>
      </c>
      <c r="J10" s="51">
        <v>7900318</v>
      </c>
      <c r="K10" s="50">
        <f>J10-J9</f>
        <v>2241</v>
      </c>
    </row>
    <row r="11" spans="1:12" ht="19.5">
      <c r="A11" s="59">
        <v>44350</v>
      </c>
      <c r="B11" s="116">
        <v>2559</v>
      </c>
      <c r="C11" s="115">
        <f>B11-B10</f>
        <v>0</v>
      </c>
      <c r="D11" s="57">
        <v>111196.4</v>
      </c>
      <c r="E11" s="50">
        <f>D11-D10</f>
        <v>118.19999999999709</v>
      </c>
      <c r="F11" s="51">
        <v>10611190</v>
      </c>
      <c r="G11" s="50">
        <f>F11-F10</f>
        <v>3656</v>
      </c>
      <c r="H11" s="51">
        <v>17865297</v>
      </c>
      <c r="I11" s="50">
        <f>H11-H10</f>
        <v>6906</v>
      </c>
      <c r="J11" s="51">
        <v>7902855</v>
      </c>
      <c r="K11" s="50">
        <f>J11-J10</f>
        <v>2537</v>
      </c>
    </row>
    <row r="12" spans="1:12" ht="19.5">
      <c r="A12" s="59">
        <v>44351</v>
      </c>
      <c r="B12" s="116">
        <v>2559</v>
      </c>
      <c r="C12" s="115">
        <f>B12-B11</f>
        <v>0</v>
      </c>
      <c r="D12" s="57">
        <v>111291.6</v>
      </c>
      <c r="E12" s="50">
        <f>D12-D11</f>
        <v>95.200000000011642</v>
      </c>
      <c r="F12" s="51">
        <v>10614137</v>
      </c>
      <c r="G12" s="50">
        <f>F12-F11</f>
        <v>2947</v>
      </c>
      <c r="H12" s="51">
        <v>17871930</v>
      </c>
      <c r="I12" s="50">
        <f>H12-H11</f>
        <v>6633</v>
      </c>
      <c r="J12" s="51">
        <v>7905606</v>
      </c>
      <c r="K12" s="50">
        <f>J12-J11</f>
        <v>2751</v>
      </c>
    </row>
    <row r="13" spans="1:12" ht="19.5">
      <c r="A13" s="59">
        <v>44352</v>
      </c>
      <c r="B13" s="116">
        <v>2559</v>
      </c>
      <c r="C13" s="115">
        <f>B13-B12</f>
        <v>0</v>
      </c>
      <c r="D13" s="57">
        <v>111382.5</v>
      </c>
      <c r="E13" s="50">
        <f>D13-D12</f>
        <v>90.899999999994179</v>
      </c>
      <c r="F13" s="51">
        <v>10617065</v>
      </c>
      <c r="G13" s="50">
        <f>F13-F12</f>
        <v>2928</v>
      </c>
      <c r="H13" s="51">
        <v>17878353</v>
      </c>
      <c r="I13" s="50">
        <f>H13-H12</f>
        <v>6423</v>
      </c>
      <c r="J13" s="51">
        <v>7908185</v>
      </c>
      <c r="K13" s="50">
        <f>J13-J12</f>
        <v>2579</v>
      </c>
    </row>
    <row r="14" spans="1:12" ht="19.5">
      <c r="A14" s="59">
        <v>44353</v>
      </c>
      <c r="B14" s="116">
        <v>2559</v>
      </c>
      <c r="C14" s="115">
        <f t="shared" ref="C14:C38" si="0">B14-B13</f>
        <v>0</v>
      </c>
      <c r="D14" s="57">
        <v>111484.1</v>
      </c>
      <c r="E14" s="50">
        <f t="shared" ref="E14:E38" si="1">D14-D13</f>
        <v>101.60000000000582</v>
      </c>
      <c r="F14" s="51">
        <v>10620160</v>
      </c>
      <c r="G14" s="50">
        <f t="shared" ref="G14:G38" si="2">F14-F13</f>
        <v>3095</v>
      </c>
      <c r="H14" s="51">
        <v>17884982</v>
      </c>
      <c r="I14" s="50">
        <f t="shared" ref="I14:I20" si="3">H14-H13</f>
        <v>6629</v>
      </c>
      <c r="J14" s="51">
        <v>7910824</v>
      </c>
      <c r="K14" s="50">
        <f t="shared" ref="K14:K38" si="4">J14-J13</f>
        <v>2639</v>
      </c>
    </row>
    <row r="15" spans="1:12" ht="19.5">
      <c r="A15" s="59">
        <v>44354</v>
      </c>
      <c r="B15" s="116">
        <v>2559</v>
      </c>
      <c r="C15" s="115">
        <f t="shared" si="0"/>
        <v>0</v>
      </c>
      <c r="D15" s="57">
        <v>111555.8</v>
      </c>
      <c r="E15" s="50">
        <f t="shared" si="1"/>
        <v>71.69999999999709</v>
      </c>
      <c r="F15" s="51">
        <v>10622383</v>
      </c>
      <c r="G15" s="50">
        <f t="shared" si="2"/>
        <v>2223</v>
      </c>
      <c r="H15" s="51">
        <v>17890594</v>
      </c>
      <c r="I15" s="50">
        <f t="shared" si="3"/>
        <v>5612</v>
      </c>
      <c r="J15" s="51">
        <v>7913031</v>
      </c>
      <c r="K15" s="50">
        <f t="shared" si="4"/>
        <v>2207</v>
      </c>
    </row>
    <row r="16" spans="1:12" ht="19.5">
      <c r="A16" s="59">
        <v>44355</v>
      </c>
      <c r="B16" s="116">
        <v>2559</v>
      </c>
      <c r="C16" s="115">
        <f t="shared" si="0"/>
        <v>0</v>
      </c>
      <c r="D16" s="57">
        <v>111633.2</v>
      </c>
      <c r="E16" s="50">
        <f t="shared" si="1"/>
        <v>77.399999999994179</v>
      </c>
      <c r="F16" s="51">
        <v>10625122</v>
      </c>
      <c r="G16" s="50">
        <f t="shared" si="2"/>
        <v>2739</v>
      </c>
      <c r="H16" s="51">
        <v>17897114</v>
      </c>
      <c r="I16" s="50">
        <f t="shared" si="3"/>
        <v>6520</v>
      </c>
      <c r="J16" s="51">
        <v>7915202</v>
      </c>
      <c r="K16" s="50">
        <f t="shared" si="4"/>
        <v>2171</v>
      </c>
    </row>
    <row r="17" spans="1:29" ht="19.5">
      <c r="A17" s="59">
        <v>44356</v>
      </c>
      <c r="B17" s="116">
        <v>2559</v>
      </c>
      <c r="C17" s="115">
        <f t="shared" si="0"/>
        <v>0</v>
      </c>
      <c r="D17" s="57">
        <v>111701.6</v>
      </c>
      <c r="E17" s="50">
        <f t="shared" si="1"/>
        <v>68.400000000008731</v>
      </c>
      <c r="F17" s="51">
        <v>10627980</v>
      </c>
      <c r="G17" s="50">
        <f t="shared" si="2"/>
        <v>2858</v>
      </c>
      <c r="H17" s="51">
        <v>17903195</v>
      </c>
      <c r="I17" s="50">
        <f t="shared" si="3"/>
        <v>6081</v>
      </c>
      <c r="J17" s="51">
        <v>7917355</v>
      </c>
      <c r="K17" s="50">
        <f t="shared" si="4"/>
        <v>2153</v>
      </c>
    </row>
    <row r="18" spans="1:29" ht="19.5">
      <c r="A18" s="59">
        <v>44357</v>
      </c>
      <c r="B18" s="116">
        <v>2559</v>
      </c>
      <c r="C18" s="115">
        <f t="shared" si="0"/>
        <v>0</v>
      </c>
      <c r="D18" s="57">
        <v>111764.8</v>
      </c>
      <c r="E18" s="50">
        <f t="shared" si="1"/>
        <v>63.19999999999709</v>
      </c>
      <c r="F18" s="51">
        <v>10630765</v>
      </c>
      <c r="G18" s="50">
        <f t="shared" si="2"/>
        <v>2785</v>
      </c>
      <c r="H18" s="51">
        <v>17909641</v>
      </c>
      <c r="I18" s="50">
        <f t="shared" si="3"/>
        <v>6446</v>
      </c>
      <c r="J18" s="51">
        <v>7919735</v>
      </c>
      <c r="K18" s="50">
        <f t="shared" si="4"/>
        <v>2380</v>
      </c>
    </row>
    <row r="19" spans="1:29" ht="19.5">
      <c r="A19" s="59">
        <v>44358</v>
      </c>
      <c r="B19" s="116">
        <v>2559</v>
      </c>
      <c r="C19" s="115">
        <f t="shared" si="0"/>
        <v>0</v>
      </c>
      <c r="D19" s="57">
        <v>111841</v>
      </c>
      <c r="E19" s="50">
        <f t="shared" si="1"/>
        <v>76.19999999999709</v>
      </c>
      <c r="F19" s="51">
        <v>10633787</v>
      </c>
      <c r="G19" s="50">
        <f t="shared" si="2"/>
        <v>3022</v>
      </c>
      <c r="H19" s="51">
        <v>17916836</v>
      </c>
      <c r="I19" s="50">
        <f t="shared" si="3"/>
        <v>7195</v>
      </c>
      <c r="J19" s="51">
        <v>7922453</v>
      </c>
      <c r="K19" s="50">
        <f t="shared" si="4"/>
        <v>2718</v>
      </c>
    </row>
    <row r="20" spans="1:29" ht="25.5">
      <c r="A20" s="59">
        <v>44359</v>
      </c>
      <c r="B20" s="116">
        <v>2559</v>
      </c>
      <c r="C20" s="115">
        <f t="shared" si="0"/>
        <v>0</v>
      </c>
      <c r="D20" s="57">
        <v>111936.7</v>
      </c>
      <c r="E20" s="50">
        <f t="shared" si="1"/>
        <v>95.69999999999709</v>
      </c>
      <c r="F20" s="51">
        <v>10637283</v>
      </c>
      <c r="G20" s="50">
        <f t="shared" si="2"/>
        <v>3496</v>
      </c>
      <c r="H20" s="51">
        <v>17923597</v>
      </c>
      <c r="I20" s="50">
        <f t="shared" si="3"/>
        <v>6761</v>
      </c>
      <c r="J20" s="51">
        <v>7924961</v>
      </c>
      <c r="K20" s="50">
        <f t="shared" si="4"/>
        <v>2508</v>
      </c>
      <c r="L20" s="117" t="s">
        <v>18</v>
      </c>
      <c r="AC20" t="s">
        <v>56</v>
      </c>
    </row>
    <row r="21" spans="1:29" ht="19.5">
      <c r="A21" s="59">
        <v>44360</v>
      </c>
      <c r="B21" s="116">
        <v>2559</v>
      </c>
      <c r="C21" s="115">
        <f t="shared" si="0"/>
        <v>0</v>
      </c>
      <c r="D21" s="57">
        <v>112036</v>
      </c>
      <c r="E21" s="50">
        <f t="shared" si="1"/>
        <v>99.30000000000291</v>
      </c>
      <c r="F21" s="51">
        <v>10640610</v>
      </c>
      <c r="G21" s="50">
        <f t="shared" si="2"/>
        <v>3327</v>
      </c>
      <c r="H21" s="51">
        <v>17929859</v>
      </c>
      <c r="I21" s="50">
        <f>H21-H20</f>
        <v>6262</v>
      </c>
      <c r="J21" s="51">
        <v>7927174</v>
      </c>
      <c r="K21" s="50">
        <f t="shared" si="4"/>
        <v>2213</v>
      </c>
    </row>
    <row r="22" spans="1:29" ht="19.5">
      <c r="A22" s="59">
        <v>44361</v>
      </c>
      <c r="B22" s="116">
        <v>2559</v>
      </c>
      <c r="C22" s="115">
        <f t="shared" si="0"/>
        <v>0</v>
      </c>
      <c r="D22" s="57">
        <v>112128</v>
      </c>
      <c r="E22" s="50">
        <f t="shared" si="1"/>
        <v>92</v>
      </c>
      <c r="F22" s="51">
        <v>10643351</v>
      </c>
      <c r="G22" s="50">
        <f t="shared" si="2"/>
        <v>2741</v>
      </c>
      <c r="H22" s="51">
        <v>17935685</v>
      </c>
      <c r="I22" s="50">
        <f>H22-H21</f>
        <v>5826</v>
      </c>
      <c r="J22" s="51">
        <v>7929431</v>
      </c>
      <c r="K22" s="50">
        <f t="shared" si="4"/>
        <v>2257</v>
      </c>
    </row>
    <row r="23" spans="1:29" ht="19.5">
      <c r="A23" s="59">
        <v>44362</v>
      </c>
      <c r="B23" s="116">
        <v>2559</v>
      </c>
      <c r="C23" s="115">
        <f t="shared" si="0"/>
        <v>0</v>
      </c>
      <c r="D23" s="57">
        <v>112216.5</v>
      </c>
      <c r="E23" s="50">
        <f t="shared" si="1"/>
        <v>88.5</v>
      </c>
      <c r="F23" s="51">
        <v>10645680</v>
      </c>
      <c r="G23" s="50">
        <f t="shared" si="2"/>
        <v>2329</v>
      </c>
      <c r="H23" s="51">
        <v>17941716</v>
      </c>
      <c r="I23" s="50">
        <f>H23-H22</f>
        <v>6031</v>
      </c>
      <c r="J23" s="51">
        <v>7931470</v>
      </c>
      <c r="K23" s="50">
        <f t="shared" si="4"/>
        <v>2039</v>
      </c>
    </row>
    <row r="24" spans="1:29" ht="19.5">
      <c r="A24" s="59">
        <v>44363</v>
      </c>
      <c r="B24" s="116">
        <v>2559</v>
      </c>
      <c r="C24" s="115">
        <f t="shared" si="0"/>
        <v>0</v>
      </c>
      <c r="D24" s="57">
        <v>112312.3</v>
      </c>
      <c r="E24" s="50">
        <f t="shared" si="1"/>
        <v>95.80000000000291</v>
      </c>
      <c r="F24" s="51">
        <v>10648667</v>
      </c>
      <c r="G24" s="50">
        <f t="shared" si="2"/>
        <v>2987</v>
      </c>
      <c r="H24" s="51">
        <v>17947884</v>
      </c>
      <c r="I24" s="50">
        <f>H24-H23</f>
        <v>6168</v>
      </c>
      <c r="J24" s="51">
        <v>7933749</v>
      </c>
      <c r="K24" s="50">
        <f t="shared" si="4"/>
        <v>2279</v>
      </c>
    </row>
    <row r="25" spans="1:29" ht="19.5">
      <c r="A25" s="59">
        <v>44364</v>
      </c>
      <c r="B25" s="116">
        <v>2559</v>
      </c>
      <c r="C25" s="115">
        <f t="shared" si="0"/>
        <v>0</v>
      </c>
      <c r="D25" s="57">
        <v>112415.4</v>
      </c>
      <c r="E25" s="50">
        <f>D25-D24</f>
        <v>103.09999999999127</v>
      </c>
      <c r="F25" s="51">
        <v>10651835</v>
      </c>
      <c r="G25" s="50">
        <f t="shared" si="2"/>
        <v>3168</v>
      </c>
      <c r="H25" s="51">
        <v>17954270</v>
      </c>
      <c r="I25" s="50">
        <f>H25-H24</f>
        <v>6386</v>
      </c>
      <c r="J25" s="51">
        <v>7936029</v>
      </c>
      <c r="K25" s="50">
        <f t="shared" si="4"/>
        <v>2280</v>
      </c>
    </row>
    <row r="26" spans="1:29" ht="19.5">
      <c r="A26" s="59">
        <v>44365</v>
      </c>
      <c r="B26" s="116">
        <v>2559</v>
      </c>
      <c r="C26" s="115">
        <f t="shared" si="0"/>
        <v>0</v>
      </c>
      <c r="D26" s="57">
        <v>112498.1</v>
      </c>
      <c r="E26" s="50">
        <f t="shared" si="1"/>
        <v>82.700000000011642</v>
      </c>
      <c r="F26" s="51">
        <v>10654784</v>
      </c>
      <c r="G26" s="50">
        <f t="shared" si="2"/>
        <v>2949</v>
      </c>
      <c r="H26" s="51">
        <v>17960736</v>
      </c>
      <c r="I26" s="50">
        <f>H26-H25</f>
        <v>6466</v>
      </c>
      <c r="J26" s="51">
        <v>7938468</v>
      </c>
      <c r="K26" s="50">
        <f t="shared" si="4"/>
        <v>2439</v>
      </c>
    </row>
    <row r="27" spans="1:29" ht="19.5">
      <c r="A27" s="59">
        <v>44366</v>
      </c>
      <c r="B27" s="116">
        <v>2559</v>
      </c>
      <c r="C27" s="115">
        <f t="shared" si="0"/>
        <v>0</v>
      </c>
      <c r="D27" s="57">
        <v>112726.3</v>
      </c>
      <c r="E27" s="50">
        <f t="shared" si="1"/>
        <v>228.19999999999709</v>
      </c>
      <c r="F27" s="51">
        <v>10657735</v>
      </c>
      <c r="G27" s="50">
        <f t="shared" si="2"/>
        <v>2951</v>
      </c>
      <c r="H27" s="51">
        <v>17967170</v>
      </c>
      <c r="I27" s="50">
        <f>H27-H26</f>
        <v>6434</v>
      </c>
      <c r="J27" s="51">
        <v>7941106</v>
      </c>
      <c r="K27" s="50">
        <f t="shared" si="4"/>
        <v>2638</v>
      </c>
    </row>
    <row r="28" spans="1:29" ht="19.5">
      <c r="A28" s="59">
        <v>44367</v>
      </c>
      <c r="B28" s="116">
        <v>2559</v>
      </c>
      <c r="C28" s="115">
        <f t="shared" si="0"/>
        <v>0</v>
      </c>
      <c r="D28" s="57">
        <v>112787</v>
      </c>
      <c r="E28" s="50">
        <f t="shared" si="1"/>
        <v>60.69999999999709</v>
      </c>
      <c r="F28" s="51">
        <v>10660804</v>
      </c>
      <c r="G28" s="50">
        <f t="shared" si="2"/>
        <v>3069</v>
      </c>
      <c r="H28" s="51">
        <v>17973379</v>
      </c>
      <c r="I28" s="50">
        <f>H28-H27</f>
        <v>6209</v>
      </c>
      <c r="J28" s="51">
        <v>7943302</v>
      </c>
      <c r="K28" s="50">
        <f t="shared" si="4"/>
        <v>2196</v>
      </c>
    </row>
    <row r="29" spans="1:29" ht="19.5">
      <c r="A29" s="59">
        <v>44368</v>
      </c>
      <c r="B29" s="116">
        <v>2559</v>
      </c>
      <c r="C29" s="115">
        <f t="shared" si="0"/>
        <v>0</v>
      </c>
      <c r="D29" s="57">
        <v>112894</v>
      </c>
      <c r="E29" s="50">
        <f t="shared" si="1"/>
        <v>107</v>
      </c>
      <c r="F29" s="51">
        <v>10663599</v>
      </c>
      <c r="G29" s="50">
        <f t="shared" si="2"/>
        <v>2795</v>
      </c>
      <c r="H29" s="51">
        <v>17979077</v>
      </c>
      <c r="I29" s="50">
        <f>H29-H28</f>
        <v>5698</v>
      </c>
      <c r="J29" s="51">
        <v>7945597</v>
      </c>
      <c r="K29" s="50">
        <f t="shared" si="4"/>
        <v>2295</v>
      </c>
    </row>
    <row r="30" spans="1:29" ht="19.5">
      <c r="A30" s="59">
        <v>44369</v>
      </c>
      <c r="B30" s="116">
        <v>2559</v>
      </c>
      <c r="C30" s="115">
        <f t="shared" si="0"/>
        <v>0</v>
      </c>
      <c r="D30" s="57">
        <v>113001.4</v>
      </c>
      <c r="E30" s="50">
        <f t="shared" si="1"/>
        <v>107.39999999999418</v>
      </c>
      <c r="F30" s="51">
        <v>10666038</v>
      </c>
      <c r="G30" s="50">
        <f t="shared" si="2"/>
        <v>2439</v>
      </c>
      <c r="H30" s="51">
        <v>17984952</v>
      </c>
      <c r="I30" s="50">
        <f>H30-H29</f>
        <v>5875</v>
      </c>
      <c r="J30" s="51">
        <v>7948005</v>
      </c>
      <c r="K30" s="50">
        <f t="shared" si="4"/>
        <v>2408</v>
      </c>
    </row>
    <row r="31" spans="1:29" ht="19.5">
      <c r="A31" s="59">
        <v>44370</v>
      </c>
      <c r="B31" s="116">
        <v>2559</v>
      </c>
      <c r="C31" s="115">
        <f t="shared" si="0"/>
        <v>0</v>
      </c>
      <c r="D31" s="57">
        <v>113099.1</v>
      </c>
      <c r="E31" s="50">
        <f t="shared" si="1"/>
        <v>97.700000000011642</v>
      </c>
      <c r="F31" s="51">
        <v>10669043</v>
      </c>
      <c r="G31" s="50">
        <f t="shared" si="2"/>
        <v>3005</v>
      </c>
      <c r="H31" s="51">
        <v>17991123</v>
      </c>
      <c r="I31" s="50">
        <f>H31-H30</f>
        <v>6171</v>
      </c>
      <c r="J31" s="51">
        <v>7950272</v>
      </c>
      <c r="K31" s="50">
        <f t="shared" si="4"/>
        <v>2267</v>
      </c>
    </row>
    <row r="32" spans="1:29" ht="19.5">
      <c r="A32" s="59">
        <v>44371</v>
      </c>
      <c r="B32" s="116">
        <v>2559</v>
      </c>
      <c r="C32" s="115">
        <f t="shared" si="0"/>
        <v>0</v>
      </c>
      <c r="D32" s="57">
        <v>113200</v>
      </c>
      <c r="E32" s="50">
        <f t="shared" si="1"/>
        <v>100.89999999999418</v>
      </c>
      <c r="F32" s="51">
        <v>10672469</v>
      </c>
      <c r="G32" s="50">
        <f t="shared" si="2"/>
        <v>3426</v>
      </c>
      <c r="H32" s="51">
        <v>17998614</v>
      </c>
      <c r="I32" s="50">
        <f>H32-H31</f>
        <v>7491</v>
      </c>
      <c r="J32" s="51">
        <v>7953436</v>
      </c>
      <c r="K32" s="50">
        <f t="shared" si="4"/>
        <v>3164</v>
      </c>
    </row>
    <row r="33" spans="1:11" ht="19.5">
      <c r="A33" s="59">
        <v>44372</v>
      </c>
      <c r="B33" s="116">
        <v>2559</v>
      </c>
      <c r="C33" s="115">
        <f t="shared" si="0"/>
        <v>0</v>
      </c>
      <c r="D33" s="57">
        <v>113311.8</v>
      </c>
      <c r="E33" s="50">
        <f t="shared" si="1"/>
        <v>111.80000000000291</v>
      </c>
      <c r="F33" s="51">
        <v>10675915</v>
      </c>
      <c r="G33" s="50">
        <f t="shared" si="2"/>
        <v>3446</v>
      </c>
      <c r="H33" s="51">
        <v>18006573</v>
      </c>
      <c r="I33" s="50">
        <f>H33-H32</f>
        <v>7959</v>
      </c>
      <c r="J33" s="51">
        <v>7956274</v>
      </c>
      <c r="K33" s="50">
        <f t="shared" si="4"/>
        <v>2838</v>
      </c>
    </row>
    <row r="34" spans="1:11" ht="19.5">
      <c r="A34" s="59">
        <v>44373</v>
      </c>
      <c r="B34" s="116">
        <v>2559</v>
      </c>
      <c r="C34" s="115">
        <f t="shared" si="0"/>
        <v>0</v>
      </c>
      <c r="D34" s="57">
        <v>113424.5</v>
      </c>
      <c r="E34" s="50">
        <f t="shared" si="1"/>
        <v>112.69999999999709</v>
      </c>
      <c r="F34" s="51">
        <v>10679396</v>
      </c>
      <c r="G34" s="50">
        <f t="shared" si="2"/>
        <v>3481</v>
      </c>
      <c r="H34" s="51">
        <v>18013847</v>
      </c>
      <c r="I34" s="50">
        <f>H34-H33</f>
        <v>7274</v>
      </c>
      <c r="J34" s="51">
        <v>7958828</v>
      </c>
      <c r="K34" s="50">
        <f t="shared" si="4"/>
        <v>2554</v>
      </c>
    </row>
    <row r="35" spans="1:11" ht="19.5">
      <c r="A35" s="59">
        <v>44374</v>
      </c>
      <c r="B35" s="116">
        <v>2559</v>
      </c>
      <c r="C35" s="115">
        <f t="shared" si="0"/>
        <v>0</v>
      </c>
      <c r="D35" s="57">
        <v>113517</v>
      </c>
      <c r="E35" s="50">
        <f t="shared" si="1"/>
        <v>92.5</v>
      </c>
      <c r="F35" s="51">
        <v>10682751</v>
      </c>
      <c r="G35" s="50">
        <f t="shared" si="2"/>
        <v>3355</v>
      </c>
      <c r="H35" s="51">
        <v>18021503</v>
      </c>
      <c r="I35" s="50">
        <f>H35-H34</f>
        <v>7656</v>
      </c>
      <c r="J35" s="51">
        <v>7961687</v>
      </c>
      <c r="K35" s="50">
        <f t="shared" si="4"/>
        <v>2859</v>
      </c>
    </row>
    <row r="36" spans="1:11" ht="19.5">
      <c r="A36" s="59">
        <v>44375</v>
      </c>
      <c r="B36" s="116">
        <v>2559</v>
      </c>
      <c r="C36" s="115">
        <f t="shared" si="0"/>
        <v>0</v>
      </c>
      <c r="D36" s="57">
        <v>113612.5</v>
      </c>
      <c r="E36" s="50">
        <f t="shared" si="1"/>
        <v>95.5</v>
      </c>
      <c r="F36" s="51">
        <v>10685342</v>
      </c>
      <c r="G36" s="50">
        <f t="shared" si="2"/>
        <v>2591</v>
      </c>
      <c r="H36" s="51">
        <v>18027836</v>
      </c>
      <c r="I36" s="50">
        <f>H36-H35</f>
        <v>6333</v>
      </c>
      <c r="J36" s="51">
        <v>7964067</v>
      </c>
      <c r="K36" s="50">
        <f t="shared" si="4"/>
        <v>2380</v>
      </c>
    </row>
    <row r="37" spans="1:11" ht="19.5">
      <c r="A37" s="59">
        <v>44376</v>
      </c>
      <c r="B37" s="116">
        <v>2559</v>
      </c>
      <c r="C37" s="115">
        <f t="shared" si="0"/>
        <v>0</v>
      </c>
      <c r="D37" s="57">
        <v>113710.8</v>
      </c>
      <c r="E37" s="50">
        <f t="shared" si="1"/>
        <v>98.30000000000291</v>
      </c>
      <c r="F37" s="51">
        <v>10688669</v>
      </c>
      <c r="G37" s="50">
        <f t="shared" si="2"/>
        <v>3327</v>
      </c>
      <c r="H37" s="51">
        <v>18035492</v>
      </c>
      <c r="I37" s="50">
        <f>H37-H36</f>
        <v>7656</v>
      </c>
      <c r="J37" s="51">
        <v>7966700</v>
      </c>
      <c r="K37" s="50">
        <f t="shared" si="4"/>
        <v>2633</v>
      </c>
    </row>
    <row r="38" spans="1:11" ht="19.5">
      <c r="A38" s="59">
        <v>44377</v>
      </c>
      <c r="B38" s="116">
        <v>2559</v>
      </c>
      <c r="C38" s="115">
        <f t="shared" si="0"/>
        <v>0</v>
      </c>
      <c r="D38" s="57">
        <v>113822.9</v>
      </c>
      <c r="E38" s="50">
        <f t="shared" si="1"/>
        <v>112.09999999999127</v>
      </c>
      <c r="F38" s="51">
        <v>10692427</v>
      </c>
      <c r="G38" s="50">
        <f t="shared" si="2"/>
        <v>3758</v>
      </c>
      <c r="H38" s="51">
        <v>18043026</v>
      </c>
      <c r="I38" s="50">
        <f>H38-H37</f>
        <v>7534</v>
      </c>
      <c r="J38" s="51">
        <v>7969586</v>
      </c>
      <c r="K38" s="50">
        <f t="shared" si="4"/>
        <v>2886</v>
      </c>
    </row>
    <row r="39" spans="1:11" ht="19.5">
      <c r="A39" s="59">
        <v>44378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7" activePane="bottomRight" state="frozen"/>
      <selection pane="bottomRight" activeCell="B34" sqref="B3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44348</v>
      </c>
      <c r="B4" s="41">
        <v>56</v>
      </c>
      <c r="C4" s="39">
        <f t="shared" ref="C4:C35" si="0">IF(AC4&gt;0,((B4-R4)+(S4-B5)),IF(B5=0, ,(B4-B5)))</f>
        <v>1</v>
      </c>
      <c r="D4" s="41">
        <v>59</v>
      </c>
      <c r="E4" s="39">
        <f t="shared" ref="E4:E35" si="1">IF(AC4&gt;0,((D4-U4)+(V4-D5)),IF(D5=0, ,(D4-D5)))</f>
        <v>2</v>
      </c>
      <c r="F4" s="41">
        <v>57</v>
      </c>
      <c r="G4" s="39">
        <f t="shared" ref="G4:G35" si="2">IF(AC4&gt;0,((F4-X4)+(Y4-F5)),IF(F5=0, ,(F4-F5)))</f>
        <v>2</v>
      </c>
      <c r="H4" s="41">
        <v>59</v>
      </c>
      <c r="I4" s="39">
        <f>IF(AC4&gt;0,((H4-AA4)+(AB4-H5)),IF(H5=0, ,(H4-H5)))</f>
        <v>2</v>
      </c>
      <c r="J4" s="39">
        <f>B4+D4+F4+H4</f>
        <v>231</v>
      </c>
      <c r="K4" s="39">
        <f>J4/4</f>
        <v>57.75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44349</v>
      </c>
      <c r="B5" s="41">
        <v>55</v>
      </c>
      <c r="C5" s="39">
        <f t="shared" si="0"/>
        <v>1</v>
      </c>
      <c r="D5" s="41">
        <v>57</v>
      </c>
      <c r="E5" s="39">
        <f t="shared" si="1"/>
        <v>4</v>
      </c>
      <c r="F5" s="41">
        <v>55</v>
      </c>
      <c r="G5" s="39">
        <f t="shared" si="2"/>
        <v>2</v>
      </c>
      <c r="H5" s="41">
        <v>57</v>
      </c>
      <c r="I5" s="39">
        <f>IF(AC5&gt;0,((H5-AA5)+(AB5-H6)),IF(H6=0, ,(H5-H6)))</f>
        <v>2</v>
      </c>
      <c r="J5" s="39">
        <f>B5+D5+F5+H5</f>
        <v>224</v>
      </c>
      <c r="K5" s="39">
        <f>J5/4</f>
        <v>56</v>
      </c>
      <c r="L5" s="39">
        <f>IF(AC5&gt;0,((K5-AD5)+(AE5-K6)),IF(K6=0, ,(K5-K6)))</f>
        <v>2.25</v>
      </c>
      <c r="M5" s="150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38" si="7">O5*8.7</f>
        <v>2899.4490000000001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44350</v>
      </c>
      <c r="B6" s="41">
        <v>54</v>
      </c>
      <c r="C6" s="39">
        <f t="shared" si="0"/>
        <v>4</v>
      </c>
      <c r="D6" s="41">
        <v>53</v>
      </c>
      <c r="E6" s="39">
        <f t="shared" si="1"/>
        <v>5</v>
      </c>
      <c r="F6" s="41">
        <v>53</v>
      </c>
      <c r="G6" s="39">
        <f t="shared" si="2"/>
        <v>3</v>
      </c>
      <c r="H6" s="41">
        <v>55</v>
      </c>
      <c r="I6" s="39">
        <f t="shared" ref="I6:I36" si="8">IF(AC6&gt;0,((H6-AA6)+(AB6-H7)),IF(H7=0, ,(H6-H7)))</f>
        <v>4</v>
      </c>
      <c r="J6" s="39">
        <f t="shared" ref="J6:J42" si="9">B6+D6+F6+H6</f>
        <v>215</v>
      </c>
      <c r="K6" s="39">
        <f t="shared" ref="K6:K42" si="10">J6/4</f>
        <v>53.75</v>
      </c>
      <c r="L6" s="39">
        <f t="shared" ref="L6:L19" si="11">IF(AC6&gt;0,((K6-AD6)+(AE6-K7)),IF(K7=0, ,(K6-K7)))</f>
        <v>4</v>
      </c>
      <c r="M6" s="150">
        <f t="shared" si="6"/>
        <v>28000</v>
      </c>
      <c r="N6" s="39">
        <f t="shared" ref="N6:N42" si="12">L6*M6/100</f>
        <v>1120</v>
      </c>
      <c r="O6" s="39">
        <f>N6*0.529</f>
        <v>592.48</v>
      </c>
      <c r="P6" s="42">
        <f t="shared" si="7"/>
        <v>5154.576</v>
      </c>
      <c r="Q6" s="39">
        <v>2682</v>
      </c>
      <c r="R6" s="39">
        <v>50</v>
      </c>
      <c r="S6" s="39">
        <v>85</v>
      </c>
      <c r="T6" s="39">
        <v>2915</v>
      </c>
      <c r="U6" s="39">
        <v>48</v>
      </c>
      <c r="V6" s="39">
        <v>85</v>
      </c>
      <c r="W6" s="39">
        <v>2680</v>
      </c>
      <c r="X6" s="39">
        <v>50</v>
      </c>
      <c r="Y6" s="39">
        <v>85</v>
      </c>
      <c r="Z6" s="39">
        <v>2595</v>
      </c>
      <c r="AA6" s="39">
        <v>51</v>
      </c>
      <c r="AB6" s="39">
        <v>85</v>
      </c>
      <c r="AC6" s="39">
        <f t="shared" si="3"/>
        <v>10872</v>
      </c>
      <c r="AD6" s="38">
        <f t="shared" si="4"/>
        <v>49.75</v>
      </c>
      <c r="AE6" s="38">
        <f t="shared" si="5"/>
        <v>85</v>
      </c>
    </row>
    <row r="7" spans="1:31" ht="32.25" customHeight="1">
      <c r="A7" s="40">
        <v>44351</v>
      </c>
      <c r="B7" s="41">
        <v>85</v>
      </c>
      <c r="C7" s="39">
        <f t="shared" si="0"/>
        <v>2</v>
      </c>
      <c r="D7" s="41">
        <v>85</v>
      </c>
      <c r="E7" s="39">
        <f t="shared" si="1"/>
        <v>3</v>
      </c>
      <c r="F7" s="41">
        <v>85</v>
      </c>
      <c r="G7" s="39">
        <f t="shared" si="2"/>
        <v>2</v>
      </c>
      <c r="H7" s="41">
        <v>85</v>
      </c>
      <c r="I7" s="39">
        <f t="shared" si="8"/>
        <v>3</v>
      </c>
      <c r="J7" s="39">
        <f t="shared" si="9"/>
        <v>340</v>
      </c>
      <c r="K7" s="39">
        <f t="shared" si="10"/>
        <v>85</v>
      </c>
      <c r="L7" s="39">
        <f t="shared" si="11"/>
        <v>2.5</v>
      </c>
      <c r="M7" s="150">
        <f t="shared" si="6"/>
        <v>28000</v>
      </c>
      <c r="N7" s="39">
        <f t="shared" si="12"/>
        <v>700</v>
      </c>
      <c r="O7" s="39">
        <f>N7*0.53</f>
        <v>371</v>
      </c>
      <c r="P7" s="42">
        <f t="shared" si="7"/>
        <v>3227.7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44352</v>
      </c>
      <c r="B8" s="41">
        <v>83</v>
      </c>
      <c r="C8" s="39">
        <f t="shared" si="0"/>
        <v>2</v>
      </c>
      <c r="D8" s="41">
        <v>82</v>
      </c>
      <c r="E8" s="39">
        <f t="shared" si="1"/>
        <v>1</v>
      </c>
      <c r="F8" s="41">
        <v>83</v>
      </c>
      <c r="G8" s="39">
        <f t="shared" si="2"/>
        <v>2</v>
      </c>
      <c r="H8" s="41">
        <v>82</v>
      </c>
      <c r="I8" s="39">
        <f t="shared" si="8"/>
        <v>2</v>
      </c>
      <c r="J8" s="39">
        <f t="shared" si="9"/>
        <v>330</v>
      </c>
      <c r="K8" s="39">
        <f t="shared" si="10"/>
        <v>82.5</v>
      </c>
      <c r="L8" s="39">
        <f t="shared" si="11"/>
        <v>1.75</v>
      </c>
      <c r="M8" s="150">
        <f>6049*4</f>
        <v>24196</v>
      </c>
      <c r="N8" s="39">
        <f t="shared" si="12"/>
        <v>423.43</v>
      </c>
      <c r="O8" s="149">
        <f t="shared" ref="O8:O37" si="13">N8*0.529</f>
        <v>223.99447000000001</v>
      </c>
      <c r="P8" s="42">
        <f t="shared" si="7"/>
        <v>1948.7518889999999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44353</v>
      </c>
      <c r="B9" s="41">
        <v>81</v>
      </c>
      <c r="C9" s="39">
        <f t="shared" si="0"/>
        <v>4</v>
      </c>
      <c r="D9" s="41">
        <v>81</v>
      </c>
      <c r="E9" s="39">
        <f t="shared" si="1"/>
        <v>2</v>
      </c>
      <c r="F9" s="41">
        <v>81</v>
      </c>
      <c r="G9" s="39">
        <f t="shared" si="2"/>
        <v>4</v>
      </c>
      <c r="H9" s="41">
        <v>80</v>
      </c>
      <c r="I9" s="39">
        <f t="shared" si="8"/>
        <v>2</v>
      </c>
      <c r="J9" s="39">
        <f t="shared" si="9"/>
        <v>323</v>
      </c>
      <c r="K9" s="39">
        <f t="shared" si="10"/>
        <v>80.75</v>
      </c>
      <c r="L9" s="39">
        <f t="shared" si="11"/>
        <v>3</v>
      </c>
      <c r="M9" s="150">
        <f t="shared" ref="M9:M42" si="14">6049*4</f>
        <v>24196</v>
      </c>
      <c r="N9" s="39">
        <f t="shared" si="12"/>
        <v>725.88</v>
      </c>
      <c r="O9" s="39">
        <f t="shared" si="13"/>
        <v>383.99052</v>
      </c>
      <c r="P9" s="42">
        <f t="shared" si="7"/>
        <v>3340.7175239999997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44354</v>
      </c>
      <c r="B10" s="41">
        <v>77</v>
      </c>
      <c r="C10" s="39">
        <f t="shared" si="0"/>
        <v>2</v>
      </c>
      <c r="D10" s="41">
        <v>79</v>
      </c>
      <c r="E10" s="39">
        <f t="shared" si="1"/>
        <v>2</v>
      </c>
      <c r="F10" s="41">
        <v>77</v>
      </c>
      <c r="G10" s="39">
        <f t="shared" si="2"/>
        <v>1</v>
      </c>
      <c r="H10" s="41">
        <v>78</v>
      </c>
      <c r="I10" s="39">
        <f t="shared" si="8"/>
        <v>2</v>
      </c>
      <c r="J10" s="39">
        <f t="shared" si="9"/>
        <v>311</v>
      </c>
      <c r="K10" s="39">
        <f t="shared" si="10"/>
        <v>77.75</v>
      </c>
      <c r="L10" s="39">
        <f t="shared" si="11"/>
        <v>1.75</v>
      </c>
      <c r="M10" s="150">
        <f t="shared" si="14"/>
        <v>24196</v>
      </c>
      <c r="N10" s="39">
        <f t="shared" si="12"/>
        <v>423.43</v>
      </c>
      <c r="O10" s="149">
        <f t="shared" si="13"/>
        <v>223.99447000000001</v>
      </c>
      <c r="P10" s="42">
        <f t="shared" si="7"/>
        <v>1948.7518889999999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44355</v>
      </c>
      <c r="B11" s="41">
        <v>75</v>
      </c>
      <c r="C11" s="39">
        <f t="shared" si="0"/>
        <v>2</v>
      </c>
      <c r="D11" s="41">
        <v>77</v>
      </c>
      <c r="E11" s="39">
        <f t="shared" si="1"/>
        <v>3</v>
      </c>
      <c r="F11" s="41">
        <v>76</v>
      </c>
      <c r="G11" s="39">
        <f t="shared" si="2"/>
        <v>2</v>
      </c>
      <c r="H11" s="41">
        <v>76</v>
      </c>
      <c r="I11" s="39">
        <f t="shared" si="8"/>
        <v>1</v>
      </c>
      <c r="J11" s="39">
        <f t="shared" si="9"/>
        <v>304</v>
      </c>
      <c r="K11" s="39">
        <f t="shared" si="10"/>
        <v>76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44356</v>
      </c>
      <c r="B12" s="41">
        <v>73</v>
      </c>
      <c r="C12" s="39">
        <f t="shared" si="0"/>
        <v>3</v>
      </c>
      <c r="D12" s="41">
        <v>74</v>
      </c>
      <c r="E12" s="39">
        <f t="shared" si="1"/>
        <v>1</v>
      </c>
      <c r="F12" s="41">
        <v>74</v>
      </c>
      <c r="G12" s="39">
        <f t="shared" si="2"/>
        <v>3</v>
      </c>
      <c r="H12" s="41">
        <v>75</v>
      </c>
      <c r="I12" s="39">
        <f t="shared" si="8"/>
        <v>1</v>
      </c>
      <c r="J12" s="39">
        <f t="shared" si="9"/>
        <v>296</v>
      </c>
      <c r="K12" s="39">
        <f t="shared" si="10"/>
        <v>74</v>
      </c>
      <c r="L12" s="39">
        <f t="shared" si="11"/>
        <v>2</v>
      </c>
      <c r="M12" s="150">
        <f t="shared" si="14"/>
        <v>24196</v>
      </c>
      <c r="N12" s="39">
        <f t="shared" si="12"/>
        <v>483.92</v>
      </c>
      <c r="O12" s="39">
        <f t="shared" si="13"/>
        <v>255.99368000000001</v>
      </c>
      <c r="P12" s="42">
        <f t="shared" si="7"/>
        <v>2227.1450159999999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44357</v>
      </c>
      <c r="B13" s="41">
        <v>70</v>
      </c>
      <c r="C13" s="39">
        <f t="shared" si="0"/>
        <v>1</v>
      </c>
      <c r="D13" s="41">
        <v>73</v>
      </c>
      <c r="E13" s="39">
        <f t="shared" si="1"/>
        <v>3</v>
      </c>
      <c r="F13" s="41">
        <v>71</v>
      </c>
      <c r="G13" s="39">
        <f t="shared" si="2"/>
        <v>1</v>
      </c>
      <c r="H13" s="41">
        <v>74</v>
      </c>
      <c r="I13" s="39">
        <f t="shared" si="8"/>
        <v>3</v>
      </c>
      <c r="J13" s="39">
        <f t="shared" si="9"/>
        <v>288</v>
      </c>
      <c r="K13" s="39">
        <f t="shared" si="10"/>
        <v>72</v>
      </c>
      <c r="L13" s="39">
        <f t="shared" si="11"/>
        <v>2</v>
      </c>
      <c r="M13" s="150">
        <f t="shared" si="14"/>
        <v>24196</v>
      </c>
      <c r="N13" s="39">
        <f t="shared" si="12"/>
        <v>483.92</v>
      </c>
      <c r="O13" s="39">
        <f t="shared" si="13"/>
        <v>255.99368000000001</v>
      </c>
      <c r="P13" s="42">
        <f t="shared" si="7"/>
        <v>2227.1450159999999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44358</v>
      </c>
      <c r="B14" s="41">
        <v>69</v>
      </c>
      <c r="C14" s="39">
        <f t="shared" si="0"/>
        <v>3</v>
      </c>
      <c r="D14" s="41">
        <v>70</v>
      </c>
      <c r="E14" s="39">
        <f t="shared" si="1"/>
        <v>2</v>
      </c>
      <c r="F14" s="41">
        <v>70</v>
      </c>
      <c r="G14" s="39">
        <f t="shared" si="2"/>
        <v>4</v>
      </c>
      <c r="H14" s="41">
        <v>71</v>
      </c>
      <c r="I14" s="39">
        <f>IF(AC14&gt;0,((H14-AA14)+(AB14-H15)),IF(H15=0, ,(H14-H15)))</f>
        <v>3</v>
      </c>
      <c r="J14" s="39">
        <f t="shared" si="9"/>
        <v>280</v>
      </c>
      <c r="K14" s="39">
        <f t="shared" si="10"/>
        <v>70</v>
      </c>
      <c r="L14" s="39">
        <f t="shared" si="11"/>
        <v>3</v>
      </c>
      <c r="M14" s="150">
        <f t="shared" si="14"/>
        <v>24196</v>
      </c>
      <c r="N14" s="39">
        <f t="shared" si="12"/>
        <v>725.88</v>
      </c>
      <c r="O14" s="39">
        <f t="shared" si="13"/>
        <v>383.99052</v>
      </c>
      <c r="P14" s="42">
        <f t="shared" si="7"/>
        <v>3340.7175239999997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44359</v>
      </c>
      <c r="B15" s="41">
        <v>66</v>
      </c>
      <c r="C15" s="39">
        <f t="shared" si="0"/>
        <v>3</v>
      </c>
      <c r="D15" s="41">
        <v>68</v>
      </c>
      <c r="E15" s="39">
        <f t="shared" si="1"/>
        <v>2</v>
      </c>
      <c r="F15" s="41">
        <v>66</v>
      </c>
      <c r="G15" s="39">
        <f t="shared" si="2"/>
        <v>4</v>
      </c>
      <c r="H15" s="41">
        <v>68</v>
      </c>
      <c r="I15" s="39">
        <f>IF(AC15&gt;0,((H15-AA15)+(AB15-H16)),IF(H16=0, ,(H15-H16)))</f>
        <v>3</v>
      </c>
      <c r="J15" s="39">
        <f t="shared" si="9"/>
        <v>268</v>
      </c>
      <c r="K15" s="39">
        <f t="shared" si="10"/>
        <v>67</v>
      </c>
      <c r="L15" s="39">
        <f t="shared" si="11"/>
        <v>3</v>
      </c>
      <c r="M15" s="150">
        <f t="shared" si="14"/>
        <v>24196</v>
      </c>
      <c r="N15" s="39">
        <f t="shared" si="12"/>
        <v>725.88</v>
      </c>
      <c r="O15" s="39">
        <f t="shared" si="13"/>
        <v>383.99052</v>
      </c>
      <c r="P15" s="42">
        <f t="shared" si="7"/>
        <v>3340.7175239999997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44360</v>
      </c>
      <c r="B16" s="41">
        <v>63</v>
      </c>
      <c r="C16" s="39">
        <f t="shared" si="0"/>
        <v>3</v>
      </c>
      <c r="D16" s="41">
        <v>66</v>
      </c>
      <c r="E16" s="39">
        <f t="shared" si="1"/>
        <v>5</v>
      </c>
      <c r="F16" s="41">
        <v>62</v>
      </c>
      <c r="G16" s="39">
        <f t="shared" si="2"/>
        <v>2</v>
      </c>
      <c r="H16" s="41">
        <v>65</v>
      </c>
      <c r="I16" s="39">
        <f t="shared" si="8"/>
        <v>1</v>
      </c>
      <c r="J16" s="39">
        <f t="shared" si="9"/>
        <v>256</v>
      </c>
      <c r="K16" s="39">
        <f t="shared" si="10"/>
        <v>64</v>
      </c>
      <c r="L16" s="39">
        <f t="shared" si="11"/>
        <v>2.75</v>
      </c>
      <c r="M16" s="150">
        <f t="shared" si="14"/>
        <v>24196</v>
      </c>
      <c r="N16" s="39">
        <f t="shared" si="12"/>
        <v>665.39</v>
      </c>
      <c r="O16" s="39">
        <f t="shared" si="13"/>
        <v>351.99131</v>
      </c>
      <c r="P16" s="42">
        <f t="shared" si="7"/>
        <v>3062.3243969999999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44361</v>
      </c>
      <c r="B17" s="41">
        <v>60</v>
      </c>
      <c r="C17" s="39">
        <f t="shared" si="0"/>
        <v>2</v>
      </c>
      <c r="D17" s="41">
        <v>61</v>
      </c>
      <c r="E17" s="39">
        <f t="shared" si="1"/>
        <v>2</v>
      </c>
      <c r="F17" s="41">
        <v>60</v>
      </c>
      <c r="G17" s="39">
        <f t="shared" si="2"/>
        <v>1</v>
      </c>
      <c r="H17" s="41">
        <v>64</v>
      </c>
      <c r="I17" s="39">
        <f t="shared" si="8"/>
        <v>4</v>
      </c>
      <c r="J17" s="39">
        <f t="shared" si="9"/>
        <v>245</v>
      </c>
      <c r="K17" s="39">
        <f t="shared" si="10"/>
        <v>61.25</v>
      </c>
      <c r="L17" s="39">
        <f t="shared" si="11"/>
        <v>2.25</v>
      </c>
      <c r="M17" s="150">
        <f t="shared" si="14"/>
        <v>24196</v>
      </c>
      <c r="N17" s="39">
        <f t="shared" si="12"/>
        <v>544.41</v>
      </c>
      <c r="O17" s="39">
        <f t="shared" si="13"/>
        <v>287.99288999999999</v>
      </c>
      <c r="P17" s="42">
        <f t="shared" si="7"/>
        <v>2505.5381429999998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44362</v>
      </c>
      <c r="B18" s="41">
        <v>58</v>
      </c>
      <c r="C18" s="39">
        <f t="shared" si="0"/>
        <v>3</v>
      </c>
      <c r="D18" s="41">
        <v>59</v>
      </c>
      <c r="E18" s="39">
        <f t="shared" si="1"/>
        <v>4</v>
      </c>
      <c r="F18" s="41">
        <v>59</v>
      </c>
      <c r="G18" s="39">
        <f t="shared" si="2"/>
        <v>3</v>
      </c>
      <c r="H18" s="41">
        <v>60</v>
      </c>
      <c r="I18" s="39">
        <f t="shared" si="8"/>
        <v>3</v>
      </c>
      <c r="J18" s="39">
        <f t="shared" si="9"/>
        <v>236</v>
      </c>
      <c r="K18" s="39">
        <f t="shared" si="10"/>
        <v>59</v>
      </c>
      <c r="L18" s="39">
        <f t="shared" si="11"/>
        <v>3.25</v>
      </c>
      <c r="M18" s="150">
        <f t="shared" si="14"/>
        <v>24196</v>
      </c>
      <c r="N18" s="39">
        <f t="shared" si="12"/>
        <v>786.37</v>
      </c>
      <c r="O18" s="39">
        <f t="shared" si="13"/>
        <v>415.98973000000001</v>
      </c>
      <c r="P18" s="42">
        <f t="shared" si="7"/>
        <v>3619.110651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44363</v>
      </c>
      <c r="B19" s="41">
        <v>55</v>
      </c>
      <c r="C19" s="39">
        <f t="shared" si="0"/>
        <v>3</v>
      </c>
      <c r="D19" s="41">
        <v>55</v>
      </c>
      <c r="E19" s="39">
        <f t="shared" si="1"/>
        <v>0</v>
      </c>
      <c r="F19" s="41">
        <v>56</v>
      </c>
      <c r="G19" s="39">
        <f t="shared" si="2"/>
        <v>1</v>
      </c>
      <c r="H19" s="41">
        <v>57</v>
      </c>
      <c r="I19" s="39">
        <f t="shared" si="8"/>
        <v>2</v>
      </c>
      <c r="J19" s="39">
        <f t="shared" si="9"/>
        <v>223</v>
      </c>
      <c r="K19" s="39">
        <f t="shared" si="10"/>
        <v>55.75</v>
      </c>
      <c r="L19" s="39">
        <f t="shared" si="11"/>
        <v>1.5</v>
      </c>
      <c r="M19" s="150">
        <f t="shared" si="14"/>
        <v>24196</v>
      </c>
      <c r="N19" s="39">
        <f t="shared" si="12"/>
        <v>362.94</v>
      </c>
      <c r="O19" s="39">
        <f t="shared" si="13"/>
        <v>191.99526</v>
      </c>
      <c r="P19" s="42">
        <f t="shared" si="7"/>
        <v>1670.3587619999998</v>
      </c>
      <c r="Q19" s="39">
        <v>2479</v>
      </c>
      <c r="R19" s="39">
        <v>52</v>
      </c>
      <c r="S19" s="39">
        <v>85</v>
      </c>
      <c r="T19" s="39">
        <v>2424</v>
      </c>
      <c r="U19" s="39">
        <v>55</v>
      </c>
      <c r="V19" s="39">
        <v>85</v>
      </c>
      <c r="W19" s="39">
        <v>2413</v>
      </c>
      <c r="X19" s="39">
        <v>55</v>
      </c>
      <c r="Y19" s="39">
        <v>85</v>
      </c>
      <c r="Z19" s="39">
        <v>2229</v>
      </c>
      <c r="AA19" s="39">
        <v>55</v>
      </c>
      <c r="AB19" s="39">
        <v>85</v>
      </c>
      <c r="AC19" s="39">
        <f t="shared" si="3"/>
        <v>9545</v>
      </c>
      <c r="AD19" s="38">
        <f t="shared" si="4"/>
        <v>54.25</v>
      </c>
      <c r="AE19" s="38">
        <f t="shared" si="5"/>
        <v>85</v>
      </c>
    </row>
    <row r="20" spans="1:31" ht="32.25" customHeight="1">
      <c r="A20" s="40">
        <v>44364</v>
      </c>
      <c r="B20" s="41">
        <v>85</v>
      </c>
      <c r="C20" s="39">
        <f t="shared" si="0"/>
        <v>2</v>
      </c>
      <c r="D20" s="41">
        <v>85</v>
      </c>
      <c r="E20" s="39">
        <f t="shared" si="1"/>
        <v>1</v>
      </c>
      <c r="F20" s="41">
        <v>85</v>
      </c>
      <c r="G20" s="39">
        <f t="shared" si="2"/>
        <v>2</v>
      </c>
      <c r="H20" s="41">
        <v>85</v>
      </c>
      <c r="I20" s="39">
        <f t="shared" si="8"/>
        <v>1</v>
      </c>
      <c r="J20" s="39">
        <f t="shared" si="9"/>
        <v>340</v>
      </c>
      <c r="K20" s="39">
        <f t="shared" si="10"/>
        <v>85</v>
      </c>
      <c r="L20" s="39">
        <f t="shared" ref="L20:L42" si="15">IF(AC20&gt;0,((K20-AD20)+(AE20-K21)),IF(K21=0, ,(K20-K21)))</f>
        <v>1.5</v>
      </c>
      <c r="M20" s="150">
        <f t="shared" si="14"/>
        <v>24196</v>
      </c>
      <c r="N20" s="39">
        <f t="shared" si="12"/>
        <v>362.94</v>
      </c>
      <c r="O20" s="39">
        <f t="shared" si="13"/>
        <v>191.99526</v>
      </c>
      <c r="P20" s="42">
        <f t="shared" si="7"/>
        <v>1670.3587619999998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44365</v>
      </c>
      <c r="B21" s="41">
        <v>83</v>
      </c>
      <c r="C21" s="39">
        <f t="shared" si="0"/>
        <v>3</v>
      </c>
      <c r="D21" s="41">
        <v>84</v>
      </c>
      <c r="E21" s="39">
        <f t="shared" si="1"/>
        <v>2</v>
      </c>
      <c r="F21" s="41">
        <v>83</v>
      </c>
      <c r="G21" s="39">
        <f t="shared" si="2"/>
        <v>3</v>
      </c>
      <c r="H21" s="41">
        <v>84</v>
      </c>
      <c r="I21" s="39">
        <f t="shared" si="8"/>
        <v>4</v>
      </c>
      <c r="J21" s="39">
        <f t="shared" si="9"/>
        <v>334</v>
      </c>
      <c r="K21" s="39">
        <f t="shared" si="10"/>
        <v>83.5</v>
      </c>
      <c r="L21" s="39">
        <f>IF(AC21&gt;0,((K21-AD21)+(AE21-K22)),IF(K22=0, ,(K21-K22)))</f>
        <v>3</v>
      </c>
      <c r="M21" s="150">
        <f t="shared" si="14"/>
        <v>24196</v>
      </c>
      <c r="N21" s="39">
        <f t="shared" si="12"/>
        <v>725.88</v>
      </c>
      <c r="O21" s="39">
        <f t="shared" si="13"/>
        <v>383.99052</v>
      </c>
      <c r="P21" s="42">
        <f t="shared" si="7"/>
        <v>3340.7175239999997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44366</v>
      </c>
      <c r="B22" s="41">
        <v>80</v>
      </c>
      <c r="C22" s="39">
        <f t="shared" si="0"/>
        <v>5</v>
      </c>
      <c r="D22" s="41">
        <v>82</v>
      </c>
      <c r="E22" s="39">
        <f t="shared" si="1"/>
        <v>4</v>
      </c>
      <c r="F22" s="41">
        <v>80</v>
      </c>
      <c r="G22" s="39">
        <f t="shared" si="2"/>
        <v>5</v>
      </c>
      <c r="H22" s="41">
        <v>80</v>
      </c>
      <c r="I22" s="39">
        <f t="shared" si="8"/>
        <v>4</v>
      </c>
      <c r="J22" s="39">
        <f t="shared" si="9"/>
        <v>322</v>
      </c>
      <c r="K22" s="39">
        <f t="shared" si="10"/>
        <v>80.5</v>
      </c>
      <c r="L22" s="39">
        <f>IF(AC22&gt;0,((K22-AD22)+(AE22-K23)),IF(K23=0, ,(K22-K23)))</f>
        <v>4.5</v>
      </c>
      <c r="M22" s="150">
        <f t="shared" si="14"/>
        <v>24196</v>
      </c>
      <c r="N22" s="39">
        <f t="shared" si="12"/>
        <v>1088.82</v>
      </c>
      <c r="O22" s="39">
        <f t="shared" si="13"/>
        <v>575.98577999999998</v>
      </c>
      <c r="P22" s="42">
        <f t="shared" si="7"/>
        <v>5011.0762859999995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44367</v>
      </c>
      <c r="B23" s="41">
        <v>75</v>
      </c>
      <c r="C23" s="39">
        <f t="shared" si="0"/>
        <v>5</v>
      </c>
      <c r="D23" s="41">
        <v>78</v>
      </c>
      <c r="E23" s="39">
        <f t="shared" si="1"/>
        <v>5</v>
      </c>
      <c r="F23" s="41">
        <v>75</v>
      </c>
      <c r="G23" s="39">
        <f t="shared" si="2"/>
        <v>5</v>
      </c>
      <c r="H23" s="41">
        <v>76</v>
      </c>
      <c r="I23" s="39">
        <f t="shared" si="8"/>
        <v>6</v>
      </c>
      <c r="J23" s="39">
        <f t="shared" si="9"/>
        <v>304</v>
      </c>
      <c r="K23" s="39">
        <f t="shared" si="10"/>
        <v>76</v>
      </c>
      <c r="L23" s="39">
        <f t="shared" si="15"/>
        <v>5.25</v>
      </c>
      <c r="M23" s="150">
        <f t="shared" si="14"/>
        <v>24196</v>
      </c>
      <c r="N23" s="39">
        <f t="shared" si="12"/>
        <v>1270.29</v>
      </c>
      <c r="O23" s="39">
        <f t="shared" si="13"/>
        <v>671.98341000000005</v>
      </c>
      <c r="P23" s="42">
        <f t="shared" si="7"/>
        <v>5846.2556670000004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44368</v>
      </c>
      <c r="B24" s="41">
        <v>70</v>
      </c>
      <c r="C24" s="39">
        <f t="shared" si="0"/>
        <v>1</v>
      </c>
      <c r="D24" s="41">
        <v>73</v>
      </c>
      <c r="E24" s="39">
        <f t="shared" si="1"/>
        <v>2</v>
      </c>
      <c r="F24" s="41">
        <v>70</v>
      </c>
      <c r="G24" s="39">
        <f t="shared" si="2"/>
        <v>0</v>
      </c>
      <c r="H24" s="41">
        <v>70</v>
      </c>
      <c r="I24" s="39">
        <f t="shared" si="8"/>
        <v>-1</v>
      </c>
      <c r="J24" s="39">
        <f t="shared" si="9"/>
        <v>283</v>
      </c>
      <c r="K24" s="39">
        <f t="shared" si="10"/>
        <v>70.75</v>
      </c>
      <c r="L24" s="39">
        <f t="shared" si="15"/>
        <v>0.5</v>
      </c>
      <c r="M24" s="150">
        <f t="shared" si="14"/>
        <v>24196</v>
      </c>
      <c r="N24" s="39">
        <f t="shared" si="12"/>
        <v>120.98</v>
      </c>
      <c r="O24" s="39">
        <f t="shared" si="13"/>
        <v>63.998420000000003</v>
      </c>
      <c r="P24" s="42">
        <f t="shared" si="7"/>
        <v>556.78625399999999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44369</v>
      </c>
      <c r="B25" s="41">
        <v>69</v>
      </c>
      <c r="C25" s="39">
        <f t="shared" si="0"/>
        <v>3</v>
      </c>
      <c r="D25" s="41">
        <v>71</v>
      </c>
      <c r="E25" s="39">
        <f t="shared" si="1"/>
        <v>3</v>
      </c>
      <c r="F25" s="41">
        <v>70</v>
      </c>
      <c r="G25" s="39">
        <f t="shared" si="2"/>
        <v>3</v>
      </c>
      <c r="H25" s="41">
        <v>71</v>
      </c>
      <c r="I25" s="39">
        <f t="shared" si="8"/>
        <v>2</v>
      </c>
      <c r="J25" s="39">
        <f t="shared" si="9"/>
        <v>281</v>
      </c>
      <c r="K25" s="39">
        <f t="shared" si="10"/>
        <v>70.25</v>
      </c>
      <c r="L25" s="39">
        <f t="shared" si="15"/>
        <v>2.75</v>
      </c>
      <c r="M25" s="150">
        <f t="shared" si="14"/>
        <v>24196</v>
      </c>
      <c r="N25" s="39">
        <f t="shared" si="12"/>
        <v>665.39</v>
      </c>
      <c r="O25" s="39">
        <f t="shared" si="13"/>
        <v>351.99131</v>
      </c>
      <c r="P25" s="42">
        <f t="shared" si="7"/>
        <v>3062.3243969999999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44370</v>
      </c>
      <c r="B26" s="41">
        <v>66</v>
      </c>
      <c r="C26" s="39">
        <f t="shared" si="0"/>
        <v>2</v>
      </c>
      <c r="D26" s="41">
        <v>68</v>
      </c>
      <c r="E26" s="39">
        <f t="shared" si="1"/>
        <v>3</v>
      </c>
      <c r="F26" s="41">
        <v>67</v>
      </c>
      <c r="G26" s="39">
        <f t="shared" si="2"/>
        <v>2</v>
      </c>
      <c r="H26" s="41">
        <v>69</v>
      </c>
      <c r="I26" s="39">
        <f t="shared" si="8"/>
        <v>4</v>
      </c>
      <c r="J26" s="39">
        <f t="shared" si="9"/>
        <v>270</v>
      </c>
      <c r="K26" s="39">
        <f t="shared" si="10"/>
        <v>67.5</v>
      </c>
      <c r="L26" s="39">
        <f t="shared" si="15"/>
        <v>2.75</v>
      </c>
      <c r="M26" s="150">
        <f t="shared" si="14"/>
        <v>24196</v>
      </c>
      <c r="N26" s="39">
        <f t="shared" si="12"/>
        <v>665.39</v>
      </c>
      <c r="O26" s="39">
        <f t="shared" si="13"/>
        <v>351.99131</v>
      </c>
      <c r="P26" s="42">
        <f t="shared" si="7"/>
        <v>3062.3243969999999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44371</v>
      </c>
      <c r="B27" s="41">
        <v>64</v>
      </c>
      <c r="C27" s="39">
        <f t="shared" si="0"/>
        <v>3</v>
      </c>
      <c r="D27" s="41">
        <v>65</v>
      </c>
      <c r="E27" s="39">
        <f t="shared" si="1"/>
        <v>4</v>
      </c>
      <c r="F27" s="41">
        <v>65</v>
      </c>
      <c r="G27" s="39">
        <f t="shared" si="2"/>
        <v>4</v>
      </c>
      <c r="H27" s="41">
        <v>65</v>
      </c>
      <c r="I27" s="39">
        <f t="shared" si="8"/>
        <v>3</v>
      </c>
      <c r="J27" s="39">
        <f t="shared" si="9"/>
        <v>259</v>
      </c>
      <c r="K27" s="39">
        <f t="shared" si="10"/>
        <v>64.75</v>
      </c>
      <c r="L27" s="39">
        <f t="shared" si="15"/>
        <v>3.5</v>
      </c>
      <c r="M27" s="150">
        <f t="shared" si="14"/>
        <v>24196</v>
      </c>
      <c r="N27" s="39">
        <f t="shared" si="12"/>
        <v>846.86</v>
      </c>
      <c r="O27" s="39">
        <f t="shared" si="13"/>
        <v>447.98894000000001</v>
      </c>
      <c r="P27" s="42">
        <f t="shared" si="7"/>
        <v>3897.5037779999998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44372</v>
      </c>
      <c r="B28" s="41">
        <v>61</v>
      </c>
      <c r="C28" s="39">
        <f t="shared" si="0"/>
        <v>1</v>
      </c>
      <c r="D28" s="41">
        <v>61</v>
      </c>
      <c r="E28" s="39">
        <f t="shared" si="1"/>
        <v>1</v>
      </c>
      <c r="F28" s="41">
        <v>61</v>
      </c>
      <c r="G28" s="39">
        <f t="shared" si="2"/>
        <v>1</v>
      </c>
      <c r="H28" s="41">
        <v>62</v>
      </c>
      <c r="I28" s="39">
        <f>IF(AC28&gt;0,((H28-AA28)+(AB28-H29)),IF(H29=0, ,(H28-H29)))</f>
        <v>1</v>
      </c>
      <c r="J28" s="39">
        <f t="shared" si="9"/>
        <v>245</v>
      </c>
      <c r="K28" s="39">
        <f t="shared" si="10"/>
        <v>61.25</v>
      </c>
      <c r="L28" s="39">
        <f t="shared" si="15"/>
        <v>1</v>
      </c>
      <c r="M28" s="150">
        <f t="shared" si="14"/>
        <v>24196</v>
      </c>
      <c r="N28" s="39">
        <f t="shared" si="12"/>
        <v>241.96</v>
      </c>
      <c r="O28" s="39">
        <f t="shared" si="13"/>
        <v>127.99684000000001</v>
      </c>
      <c r="P28" s="42">
        <f t="shared" si="7"/>
        <v>1113.572508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44373</v>
      </c>
      <c r="B29" s="41">
        <v>60</v>
      </c>
      <c r="C29" s="39">
        <f t="shared" si="0"/>
        <v>2</v>
      </c>
      <c r="D29" s="41">
        <v>60</v>
      </c>
      <c r="E29" s="39">
        <f t="shared" si="1"/>
        <v>2</v>
      </c>
      <c r="F29" s="41">
        <v>60</v>
      </c>
      <c r="G29" s="39">
        <f t="shared" si="2"/>
        <v>1</v>
      </c>
      <c r="H29" s="41">
        <v>61</v>
      </c>
      <c r="I29" s="39">
        <f t="shared" si="8"/>
        <v>1</v>
      </c>
      <c r="J29" s="39">
        <f t="shared" si="9"/>
        <v>241</v>
      </c>
      <c r="K29" s="39">
        <f t="shared" si="10"/>
        <v>60.25</v>
      </c>
      <c r="L29" s="39">
        <f t="shared" si="15"/>
        <v>1.5</v>
      </c>
      <c r="M29" s="150">
        <f t="shared" si="14"/>
        <v>24196</v>
      </c>
      <c r="N29" s="39">
        <f t="shared" si="12"/>
        <v>362.94</v>
      </c>
      <c r="O29" s="39">
        <f t="shared" si="13"/>
        <v>191.99526</v>
      </c>
      <c r="P29" s="42">
        <f t="shared" si="7"/>
        <v>1670.3587619999998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44374</v>
      </c>
      <c r="B30" s="41">
        <v>58</v>
      </c>
      <c r="C30" s="39">
        <f t="shared" si="0"/>
        <v>4</v>
      </c>
      <c r="D30" s="41">
        <v>58</v>
      </c>
      <c r="E30" s="39">
        <f t="shared" si="1"/>
        <v>5</v>
      </c>
      <c r="F30" s="41">
        <v>59</v>
      </c>
      <c r="G30" s="39">
        <f t="shared" si="2"/>
        <v>4</v>
      </c>
      <c r="H30" s="41">
        <v>60</v>
      </c>
      <c r="I30" s="39">
        <f t="shared" si="8"/>
        <v>5</v>
      </c>
      <c r="J30" s="39">
        <f t="shared" si="9"/>
        <v>235</v>
      </c>
      <c r="K30" s="39">
        <f t="shared" si="10"/>
        <v>58.75</v>
      </c>
      <c r="L30" s="39">
        <f t="shared" si="15"/>
        <v>4.5</v>
      </c>
      <c r="M30" s="150">
        <f t="shared" si="14"/>
        <v>24196</v>
      </c>
      <c r="N30" s="39">
        <f t="shared" si="12"/>
        <v>1088.82</v>
      </c>
      <c r="O30" s="39">
        <f t="shared" si="13"/>
        <v>575.98577999999998</v>
      </c>
      <c r="P30" s="42">
        <f t="shared" si="7"/>
        <v>5011.0762859999995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44375</v>
      </c>
      <c r="B31" s="41">
        <v>54</v>
      </c>
      <c r="C31" s="39">
        <f t="shared" si="0"/>
        <v>4</v>
      </c>
      <c r="D31" s="41">
        <v>53</v>
      </c>
      <c r="E31" s="39">
        <f t="shared" si="1"/>
        <v>2</v>
      </c>
      <c r="F31" s="41">
        <v>55</v>
      </c>
      <c r="G31" s="39">
        <f t="shared" si="2"/>
        <v>4</v>
      </c>
      <c r="H31" s="41">
        <v>55</v>
      </c>
      <c r="I31" s="39">
        <f t="shared" si="8"/>
        <v>4</v>
      </c>
      <c r="J31" s="39">
        <f t="shared" si="9"/>
        <v>217</v>
      </c>
      <c r="K31" s="39">
        <f t="shared" si="10"/>
        <v>54.25</v>
      </c>
      <c r="L31" s="39">
        <f t="shared" si="15"/>
        <v>3.5</v>
      </c>
      <c r="M31" s="150">
        <f t="shared" si="14"/>
        <v>24196</v>
      </c>
      <c r="N31" s="39">
        <f t="shared" si="12"/>
        <v>846.86</v>
      </c>
      <c r="O31" s="39">
        <f t="shared" si="13"/>
        <v>447.98894000000001</v>
      </c>
      <c r="P31" s="42">
        <f t="shared" si="7"/>
        <v>3897.5037779999998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44376</v>
      </c>
      <c r="B32" s="41">
        <v>50</v>
      </c>
      <c r="C32" s="39">
        <f t="shared" si="0"/>
        <v>1</v>
      </c>
      <c r="D32" s="41">
        <v>51</v>
      </c>
      <c r="E32" s="39">
        <f t="shared" si="1"/>
        <v>7</v>
      </c>
      <c r="F32" s="41">
        <v>51</v>
      </c>
      <c r="G32" s="39">
        <f t="shared" si="2"/>
        <v>4</v>
      </c>
      <c r="H32" s="41">
        <v>51</v>
      </c>
      <c r="I32" s="39">
        <f t="shared" si="8"/>
        <v>7</v>
      </c>
      <c r="J32" s="39">
        <f t="shared" si="9"/>
        <v>203</v>
      </c>
      <c r="K32" s="39">
        <f t="shared" si="10"/>
        <v>50.75</v>
      </c>
      <c r="L32" s="39">
        <f t="shared" si="15"/>
        <v>4.75</v>
      </c>
      <c r="M32" s="150">
        <f t="shared" si="14"/>
        <v>24196</v>
      </c>
      <c r="N32" s="39">
        <f t="shared" si="12"/>
        <v>1149.31</v>
      </c>
      <c r="O32" s="150">
        <f t="shared" si="13"/>
        <v>607.98499000000004</v>
      </c>
      <c r="P32" s="42">
        <f t="shared" si="7"/>
        <v>5289.4694129999998</v>
      </c>
      <c r="Q32" s="39">
        <v>1600</v>
      </c>
      <c r="R32" s="39">
        <v>45</v>
      </c>
      <c r="S32" s="39">
        <v>65</v>
      </c>
      <c r="T32" s="39">
        <v>1600</v>
      </c>
      <c r="U32" s="39">
        <v>45</v>
      </c>
      <c r="V32" s="39">
        <v>67</v>
      </c>
      <c r="W32" s="39">
        <v>1236</v>
      </c>
      <c r="X32" s="39">
        <v>47</v>
      </c>
      <c r="Y32" s="39">
        <v>65</v>
      </c>
      <c r="Z32" s="39">
        <v>1235</v>
      </c>
      <c r="AA32" s="39">
        <v>47</v>
      </c>
      <c r="AB32" s="39">
        <v>65</v>
      </c>
      <c r="AC32" s="39">
        <f>Q32+T32+W32+Z32</f>
        <v>5671</v>
      </c>
      <c r="AD32" s="38">
        <f t="shared" si="16"/>
        <v>46</v>
      </c>
      <c r="AE32" s="38">
        <f t="shared" si="18"/>
        <v>65.5</v>
      </c>
    </row>
    <row r="33" spans="1:31" ht="32.25" customHeight="1">
      <c r="A33" s="40">
        <v>44377</v>
      </c>
      <c r="B33" s="41">
        <v>69</v>
      </c>
      <c r="C33" s="39">
        <f t="shared" si="0"/>
        <v>0</v>
      </c>
      <c r="D33" s="41">
        <v>66</v>
      </c>
      <c r="E33" s="39">
        <f t="shared" si="1"/>
        <v>0</v>
      </c>
      <c r="F33" s="41">
        <v>65</v>
      </c>
      <c r="G33" s="39">
        <f t="shared" si="2"/>
        <v>0</v>
      </c>
      <c r="H33" s="41">
        <v>62</v>
      </c>
      <c r="I33" s="39">
        <f t="shared" si="8"/>
        <v>0</v>
      </c>
      <c r="J33" s="39">
        <f t="shared" si="9"/>
        <v>262</v>
      </c>
      <c r="K33" s="39">
        <f t="shared" si="10"/>
        <v>65.5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44378</v>
      </c>
      <c r="B34" s="41"/>
      <c r="C34" s="39">
        <f t="shared" si="0"/>
        <v>0</v>
      </c>
      <c r="D34" s="41"/>
      <c r="E34" s="39">
        <f t="shared" si="1"/>
        <v>0</v>
      </c>
      <c r="F34" s="41"/>
      <c r="G34" s="39">
        <f t="shared" si="2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44379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4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5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19211.810000000005</v>
      </c>
      <c r="O43" s="39">
        <f>N43*0.529</f>
        <v>10163.047490000003</v>
      </c>
      <c r="P43" s="42">
        <f>O43*8.7</f>
        <v>88418.513163000011</v>
      </c>
      <c r="Q43" s="288">
        <f>SUM(Q4:Q42)</f>
        <v>6761</v>
      </c>
      <c r="R43" s="289"/>
      <c r="S43" s="290"/>
      <c r="T43" s="291">
        <f>SUM(T4:T42)</f>
        <v>6939</v>
      </c>
      <c r="U43" s="289"/>
      <c r="V43" s="290"/>
      <c r="W43" s="291">
        <f>SUM(W4:W42)</f>
        <v>6329</v>
      </c>
      <c r="X43" s="289"/>
      <c r="Y43" s="290"/>
      <c r="Z43" s="291">
        <f>SUM(Z4:Z42)</f>
        <v>6059</v>
      </c>
      <c r="AA43" s="289"/>
      <c r="AB43" s="290"/>
      <c r="AC43" s="39">
        <f t="shared" si="17"/>
        <v>26088</v>
      </c>
    </row>
    <row r="44" spans="1:31" ht="35.25" customHeight="1" thickBot="1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26088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26088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4" t="s">
        <v>85</v>
      </c>
      <c r="I47" s="285"/>
      <c r="J47" s="286"/>
      <c r="K47" s="45">
        <f>N43</f>
        <v>19211.810000000005</v>
      </c>
      <c r="L47" s="46">
        <f>O43</f>
        <v>10163.047490000003</v>
      </c>
      <c r="M47" s="46">
        <f>P43</f>
        <v>88418.513163000011</v>
      </c>
    </row>
    <row r="48" spans="1:31" ht="54.75" customHeight="1" thickBot="1">
      <c r="H48" s="284" t="s">
        <v>86</v>
      </c>
      <c r="I48" s="285"/>
      <c r="J48" s="286"/>
      <c r="K48" s="43">
        <f>AC44</f>
        <v>26088</v>
      </c>
      <c r="L48" s="44">
        <f>K48*0.529</f>
        <v>13800.552000000001</v>
      </c>
      <c r="M48" s="44">
        <f>L48*8.7</f>
        <v>120064.8024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/>
    <row r="7" spans="1:10" ht="36.75" thickTop="1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>
      <c r="A8" s="326">
        <v>95670781</v>
      </c>
      <c r="B8" s="326"/>
      <c r="C8" s="327">
        <v>44344</v>
      </c>
      <c r="D8" s="328"/>
      <c r="E8" s="113">
        <v>44375</v>
      </c>
      <c r="F8" s="168" t="s">
        <v>97</v>
      </c>
      <c r="G8" s="62"/>
      <c r="H8" s="62"/>
      <c r="I8" s="329"/>
      <c r="J8" s="330"/>
    </row>
    <row r="10" spans="1:10" ht="23.25" customHeight="1" thickBot="1"/>
    <row r="11" spans="1:10" ht="24.75" customHeight="1" thickTop="1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909</v>
      </c>
      <c r="H12" s="338"/>
      <c r="I12" s="339"/>
      <c r="J12" s="339"/>
    </row>
    <row r="13" spans="1:10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>
      <c r="A17" s="342" t="s">
        <v>110</v>
      </c>
      <c r="B17" s="343"/>
      <c r="C17" s="66">
        <v>18027836</v>
      </c>
      <c r="D17" s="66">
        <v>17830411</v>
      </c>
      <c r="E17" s="67">
        <f>MIN(C17-D17)</f>
        <v>197425</v>
      </c>
      <c r="F17" s="67">
        <f>+E17</f>
        <v>197425</v>
      </c>
      <c r="G17" s="344"/>
      <c r="H17" s="345"/>
      <c r="I17" s="344">
        <f>+E17</f>
        <v>197425</v>
      </c>
      <c r="J17" s="345"/>
    </row>
    <row r="18" spans="1:10">
      <c r="A18" s="342" t="s">
        <v>111</v>
      </c>
      <c r="B18" s="343"/>
      <c r="C18" s="66">
        <v>10683972</v>
      </c>
      <c r="D18" s="66">
        <v>10592993</v>
      </c>
      <c r="E18" s="67">
        <f>MIN(C18-D18)</f>
        <v>90979</v>
      </c>
      <c r="F18" s="67">
        <f>+E18</f>
        <v>90979</v>
      </c>
      <c r="G18" s="344"/>
      <c r="H18" s="345"/>
      <c r="I18" s="344">
        <f>+E18</f>
        <v>90979</v>
      </c>
      <c r="J18" s="345"/>
    </row>
    <row r="19" spans="1:10">
      <c r="A19" s="342" t="s">
        <v>112</v>
      </c>
      <c r="B19" s="343"/>
      <c r="C19" s="66">
        <v>7964067</v>
      </c>
      <c r="D19" s="66">
        <v>7889662</v>
      </c>
      <c r="E19" s="67">
        <f>AVERAGE(C19-D19)</f>
        <v>74405</v>
      </c>
      <c r="F19" s="67">
        <f>+E19</f>
        <v>74405</v>
      </c>
      <c r="G19" s="344"/>
      <c r="H19" s="345"/>
      <c r="I19" s="344">
        <f>+E19</f>
        <v>74405</v>
      </c>
      <c r="J19" s="345"/>
    </row>
    <row r="20" spans="1:10" ht="15">
      <c r="A20" s="346" t="s">
        <v>113</v>
      </c>
      <c r="B20" s="347"/>
      <c r="C20" s="68"/>
      <c r="D20" s="69"/>
      <c r="E20" s="68">
        <f>SUM(E17:E19)</f>
        <v>362809</v>
      </c>
      <c r="F20" s="70"/>
      <c r="G20" s="348"/>
      <c r="H20" s="349"/>
      <c r="I20" s="348"/>
      <c r="J20" s="349"/>
    </row>
    <row r="21" spans="1:10">
      <c r="C21" s="110" t="s">
        <v>18</v>
      </c>
      <c r="D21" t="s">
        <v>114</v>
      </c>
      <c r="G21" s="350"/>
      <c r="H21" s="350"/>
    </row>
    <row r="22" spans="1:10" ht="13.5" thickBot="1">
      <c r="G22" s="351"/>
      <c r="H22" s="351"/>
    </row>
    <row r="23" spans="1:10" ht="13.5" thickTop="1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2" t="s">
        <v>120</v>
      </c>
      <c r="J23" s="362"/>
    </row>
    <row r="24" spans="1:10">
      <c r="A24" s="355"/>
      <c r="B24" s="356"/>
      <c r="C24" s="357"/>
      <c r="D24" s="358"/>
      <c r="E24" s="358"/>
      <c r="F24" s="360"/>
      <c r="G24" s="167" t="s">
        <v>121</v>
      </c>
      <c r="H24" s="71" t="s">
        <v>122</v>
      </c>
      <c r="I24" s="362"/>
      <c r="J24" s="362"/>
    </row>
    <row r="25" spans="1:10" ht="15">
      <c r="A25" s="363" t="s">
        <v>123</v>
      </c>
      <c r="B25" s="364"/>
      <c r="C25" s="365"/>
      <c r="D25" s="67">
        <f>+E17</f>
        <v>197425</v>
      </c>
      <c r="E25" s="72">
        <v>0.95140000000000002</v>
      </c>
      <c r="F25" s="73">
        <f>PRODUCT(D25*E25)</f>
        <v>187830.14500000002</v>
      </c>
      <c r="G25" s="152">
        <v>14</v>
      </c>
      <c r="H25" s="65">
        <f>PRODUCT(0.14,F25)</f>
        <v>26296.220300000004</v>
      </c>
      <c r="I25" s="366">
        <f>SUM(H25,F25)</f>
        <v>214126.36530000003</v>
      </c>
      <c r="J25" s="367"/>
    </row>
    <row r="26" spans="1:10" ht="15">
      <c r="A26" s="368" t="s">
        <v>124</v>
      </c>
      <c r="B26" s="369"/>
      <c r="C26" s="370"/>
      <c r="D26" s="67">
        <f>+E18</f>
        <v>90979</v>
      </c>
      <c r="E26" s="74">
        <v>0.69850000000000001</v>
      </c>
      <c r="F26" s="73">
        <f>PRODUCT(D26*E26)</f>
        <v>63548.8315</v>
      </c>
      <c r="G26">
        <v>14</v>
      </c>
      <c r="H26" s="67">
        <f>PRODUCT(0.14,F26)</f>
        <v>8896.8364100000017</v>
      </c>
      <c r="I26" s="366">
        <f t="shared" ref="I26:I31" si="0">SUM(H26,F26)</f>
        <v>72445.667910000004</v>
      </c>
      <c r="J26" s="367"/>
    </row>
    <row r="27" spans="1:10" ht="15">
      <c r="A27" s="368" t="s">
        <v>125</v>
      </c>
      <c r="B27" s="369"/>
      <c r="C27" s="370"/>
      <c r="D27" s="67">
        <f>+E19</f>
        <v>74405</v>
      </c>
      <c r="E27" s="74">
        <v>1.3304</v>
      </c>
      <c r="F27" s="73">
        <f>PRODUCT(D27*E27)</f>
        <v>98988.411999999997</v>
      </c>
      <c r="G27">
        <v>14</v>
      </c>
      <c r="H27" s="67">
        <f>PRODUCT(0.14,F27)</f>
        <v>13858.377680000001</v>
      </c>
      <c r="I27" s="366">
        <f>SUM(H27,F27)</f>
        <v>112846.78968</v>
      </c>
      <c r="J27" s="367"/>
    </row>
    <row r="28" spans="1:10" ht="15">
      <c r="A28" s="368" t="s">
        <v>126</v>
      </c>
      <c r="B28" s="369"/>
      <c r="C28" s="37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6">
        <f t="shared" si="0"/>
        <v>50025.103799999997</v>
      </c>
      <c r="J28" s="367"/>
    </row>
    <row r="29" spans="1:10" ht="15">
      <c r="A29" s="379" t="s">
        <v>127</v>
      </c>
      <c r="B29" s="380"/>
      <c r="C29" s="381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2">
        <f t="shared" si="0"/>
        <v>0</v>
      </c>
      <c r="J29" s="383"/>
    </row>
    <row r="30" spans="1:10" ht="15">
      <c r="A30" s="368" t="s">
        <v>128</v>
      </c>
      <c r="B30" s="369"/>
      <c r="C30" s="37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6">
        <f>SUM(H30,F30)</f>
        <v>1009.2</v>
      </c>
      <c r="J30" s="367"/>
    </row>
    <row r="31" spans="1:10" ht="15.75" thickBot="1">
      <c r="A31" s="371" t="s">
        <v>129</v>
      </c>
      <c r="B31" s="372"/>
      <c r="C31" s="37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6">
        <f t="shared" si="0"/>
        <v>1596.44</v>
      </c>
      <c r="J31" s="367"/>
    </row>
    <row r="32" spans="1:10" ht="21">
      <c r="A32" s="374" t="s">
        <v>130</v>
      </c>
      <c r="B32" s="375"/>
      <c r="C32" s="375"/>
      <c r="D32" s="375"/>
      <c r="E32" s="375"/>
      <c r="F32" s="84">
        <f>SUM(F25:F31)</f>
        <v>396582.05849999998</v>
      </c>
      <c r="G32" s="85"/>
      <c r="H32" s="86"/>
      <c r="I32" s="378">
        <f>SUM(I25:J31)</f>
        <v>452049.56669000001</v>
      </c>
      <c r="J32" s="378"/>
    </row>
    <row r="33" spans="1:10" ht="21.75" thickBot="1">
      <c r="A33" s="376"/>
      <c r="B33" s="377"/>
      <c r="C33" s="377"/>
      <c r="D33" s="377"/>
      <c r="E33" s="377"/>
      <c r="F33" s="87"/>
      <c r="G33" s="88"/>
      <c r="H33" s="89"/>
      <c r="I33" s="378"/>
      <c r="J33" s="37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D17" sqref="D17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/>
    <row r="7" spans="1:10" ht="36.75" thickTop="1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>
      <c r="A8" s="326">
        <v>95670781</v>
      </c>
      <c r="B8" s="326"/>
      <c r="C8" s="327">
        <v>44261</v>
      </c>
      <c r="D8" s="328"/>
      <c r="E8" s="113">
        <v>44292</v>
      </c>
      <c r="F8" s="168" t="s">
        <v>131</v>
      </c>
      <c r="G8" s="62"/>
      <c r="H8" s="62"/>
      <c r="I8" s="329"/>
      <c r="J8" s="330"/>
    </row>
    <row r="10" spans="1:10" ht="23.25" customHeight="1" thickBot="1"/>
    <row r="11" spans="1:10" ht="24.75" customHeight="1" thickTop="1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712</v>
      </c>
      <c r="H12" s="338"/>
      <c r="I12" s="339"/>
      <c r="J12" s="339"/>
    </row>
    <row r="13" spans="1:10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>
      <c r="A17" s="342" t="s">
        <v>110</v>
      </c>
      <c r="B17" s="343"/>
      <c r="C17" s="66">
        <v>17865297</v>
      </c>
      <c r="D17" s="66">
        <v>17865297</v>
      </c>
      <c r="E17" s="67">
        <f>MIN(C17-D17)</f>
        <v>0</v>
      </c>
      <c r="F17" s="67">
        <f>+E17</f>
        <v>0</v>
      </c>
      <c r="G17" s="344"/>
      <c r="H17" s="345"/>
      <c r="I17" s="344">
        <f>+E17</f>
        <v>0</v>
      </c>
      <c r="J17" s="345"/>
    </row>
    <row r="18" spans="1:10">
      <c r="A18" s="342" t="s">
        <v>111</v>
      </c>
      <c r="B18" s="343"/>
      <c r="C18" s="66">
        <v>10611190</v>
      </c>
      <c r="D18" s="66">
        <v>10611190</v>
      </c>
      <c r="E18" s="67">
        <f>MIN(C18-D18)</f>
        <v>0</v>
      </c>
      <c r="F18" s="67">
        <f>+E18</f>
        <v>0</v>
      </c>
      <c r="G18" s="344"/>
      <c r="H18" s="345"/>
      <c r="I18" s="344">
        <f>+E18</f>
        <v>0</v>
      </c>
      <c r="J18" s="345"/>
    </row>
    <row r="19" spans="1:10">
      <c r="A19" s="342" t="s">
        <v>112</v>
      </c>
      <c r="B19" s="343"/>
      <c r="C19" s="66">
        <v>7902855</v>
      </c>
      <c r="D19" s="66">
        <v>7902855</v>
      </c>
      <c r="E19" s="67">
        <f>AVERAGE(C19-D19)</f>
        <v>0</v>
      </c>
      <c r="F19" s="67">
        <f>+E19</f>
        <v>0</v>
      </c>
      <c r="G19" s="344"/>
      <c r="H19" s="345"/>
      <c r="I19" s="344">
        <f>+E19</f>
        <v>0</v>
      </c>
      <c r="J19" s="345"/>
    </row>
    <row r="20" spans="1:10" ht="15">
      <c r="A20" s="346" t="s">
        <v>113</v>
      </c>
      <c r="B20" s="347"/>
      <c r="C20" s="68"/>
      <c r="D20" s="69"/>
      <c r="E20" s="68">
        <f>SUM(E17:E19)</f>
        <v>0</v>
      </c>
      <c r="F20" s="70"/>
      <c r="G20" s="348"/>
      <c r="H20" s="349"/>
      <c r="I20" s="348"/>
      <c r="J20" s="349"/>
    </row>
    <row r="21" spans="1:10">
      <c r="C21" s="110" t="s">
        <v>18</v>
      </c>
      <c r="D21" t="s">
        <v>114</v>
      </c>
      <c r="G21" s="350"/>
      <c r="H21" s="350"/>
    </row>
    <row r="22" spans="1:10" ht="13.5" thickBot="1">
      <c r="G22" s="351"/>
      <c r="H22" s="351"/>
    </row>
    <row r="23" spans="1:10" ht="13.5" thickTop="1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2" t="s">
        <v>120</v>
      </c>
      <c r="J23" s="362"/>
    </row>
    <row r="24" spans="1:10">
      <c r="A24" s="355"/>
      <c r="B24" s="356"/>
      <c r="C24" s="357"/>
      <c r="D24" s="358"/>
      <c r="E24" s="358"/>
      <c r="F24" s="360"/>
      <c r="G24" s="167" t="s">
        <v>121</v>
      </c>
      <c r="H24" s="71" t="s">
        <v>122</v>
      </c>
      <c r="I24" s="362"/>
      <c r="J24" s="362"/>
    </row>
    <row r="25" spans="1:10" ht="15">
      <c r="A25" s="363" t="s">
        <v>123</v>
      </c>
      <c r="B25" s="364"/>
      <c r="C25" s="365"/>
      <c r="D25" s="67">
        <f>+E17</f>
        <v>0</v>
      </c>
      <c r="E25" s="72">
        <v>0.95140000000000002</v>
      </c>
      <c r="F25" s="73">
        <f>PRODUCT(D25*E25)</f>
        <v>0</v>
      </c>
      <c r="G25" s="152">
        <v>14</v>
      </c>
      <c r="H25" s="65">
        <f>PRODUCT(0.14,F25)</f>
        <v>0</v>
      </c>
      <c r="I25" s="366">
        <f>SUM(H25,F25)</f>
        <v>0</v>
      </c>
      <c r="J25" s="367"/>
    </row>
    <row r="26" spans="1:10" ht="15">
      <c r="A26" s="368" t="s">
        <v>124</v>
      </c>
      <c r="B26" s="369"/>
      <c r="C26" s="370"/>
      <c r="D26" s="67">
        <f>+E18</f>
        <v>0</v>
      </c>
      <c r="E26" s="74">
        <v>0.69850000000000001</v>
      </c>
      <c r="F26" s="73">
        <f>PRODUCT(D26*E26)</f>
        <v>0</v>
      </c>
      <c r="G26">
        <v>14</v>
      </c>
      <c r="H26" s="67">
        <f>PRODUCT(0.14,F26)</f>
        <v>0</v>
      </c>
      <c r="I26" s="366">
        <f t="shared" ref="I26:I31" si="0">SUM(H26,F26)</f>
        <v>0</v>
      </c>
      <c r="J26" s="367"/>
    </row>
    <row r="27" spans="1:10" ht="15">
      <c r="A27" s="368" t="s">
        <v>125</v>
      </c>
      <c r="B27" s="369"/>
      <c r="C27" s="370"/>
      <c r="D27" s="67">
        <f>+E19</f>
        <v>0</v>
      </c>
      <c r="E27" s="74">
        <v>1.3304</v>
      </c>
      <c r="F27" s="73">
        <f>PRODUCT(D27*E27)</f>
        <v>0</v>
      </c>
      <c r="G27">
        <v>14</v>
      </c>
      <c r="H27" s="67">
        <f>PRODUCT(0.14,F27)</f>
        <v>0</v>
      </c>
      <c r="I27" s="366">
        <f>SUM(H27,F27)</f>
        <v>0</v>
      </c>
      <c r="J27" s="367"/>
    </row>
    <row r="28" spans="1:10" ht="15">
      <c r="A28" s="368" t="s">
        <v>126</v>
      </c>
      <c r="B28" s="369"/>
      <c r="C28" s="37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6">
        <f t="shared" si="0"/>
        <v>50025.103799999997</v>
      </c>
      <c r="J28" s="367"/>
    </row>
    <row r="29" spans="1:10" ht="15">
      <c r="A29" s="379" t="s">
        <v>127</v>
      </c>
      <c r="B29" s="380"/>
      <c r="C29" s="381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2">
        <f t="shared" si="0"/>
        <v>0</v>
      </c>
      <c r="J29" s="383"/>
    </row>
    <row r="30" spans="1:10" ht="15">
      <c r="A30" s="368" t="s">
        <v>128</v>
      </c>
      <c r="B30" s="369"/>
      <c r="C30" s="37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6">
        <f>SUM(H30,F30)</f>
        <v>1009.2</v>
      </c>
      <c r="J30" s="367"/>
    </row>
    <row r="31" spans="1:10" ht="15.75" thickBot="1">
      <c r="A31" s="371" t="s">
        <v>129</v>
      </c>
      <c r="B31" s="372"/>
      <c r="C31" s="37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6">
        <f t="shared" si="0"/>
        <v>1596.44</v>
      </c>
      <c r="J31" s="367"/>
    </row>
    <row r="32" spans="1:10" ht="21">
      <c r="A32" s="374" t="s">
        <v>130</v>
      </c>
      <c r="B32" s="375"/>
      <c r="C32" s="375"/>
      <c r="D32" s="375"/>
      <c r="E32" s="375"/>
      <c r="F32" s="84">
        <f>SUM(F25:F31)</f>
        <v>46214.67</v>
      </c>
      <c r="G32" s="85"/>
      <c r="H32" s="86"/>
      <c r="I32" s="378">
        <f>SUM(I25:J31)</f>
        <v>52630.743799999997</v>
      </c>
      <c r="J32" s="378"/>
    </row>
    <row r="33" spans="1:10" ht="21.75" thickBot="1">
      <c r="A33" s="376"/>
      <c r="B33" s="377"/>
      <c r="C33" s="377"/>
      <c r="D33" s="377"/>
      <c r="E33" s="377"/>
      <c r="F33" s="87"/>
      <c r="G33" s="88"/>
      <c r="H33" s="89"/>
      <c r="I33" s="378"/>
      <c r="J33" s="37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132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108477.2</v>
      </c>
      <c r="D8" s="97">
        <v>43952</v>
      </c>
      <c r="E8" s="96">
        <v>111004.4</v>
      </c>
      <c r="F8" s="97">
        <v>44348</v>
      </c>
      <c r="G8" s="98">
        <f>E8-C8</f>
        <v>2527.1999999999971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142</v>
      </c>
      <c r="B13" s="400">
        <f>G8</f>
        <v>2527.1999999999971</v>
      </c>
      <c r="C13" s="400"/>
      <c r="D13" s="400">
        <v>8.7899999999999991</v>
      </c>
      <c r="E13" s="400"/>
      <c r="F13" s="402">
        <f>PRODUCT(D13,B13)</f>
        <v>22214.087999999971</v>
      </c>
      <c r="G13" s="402"/>
      <c r="H13" s="402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>
      <c r="A17" s="103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>
      <c r="A18" s="103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>
      <c r="A19" s="103" t="s">
        <v>147</v>
      </c>
      <c r="B19" s="400">
        <f>G8</f>
        <v>2527.1999999999971</v>
      </c>
      <c r="C19" s="400"/>
      <c r="D19" s="400">
        <v>2.61</v>
      </c>
      <c r="E19" s="400"/>
      <c r="F19" s="400">
        <f>PRODUCT(D19,B19)</f>
        <v>6595.991999999992</v>
      </c>
      <c r="G19" s="400"/>
      <c r="H19" s="400"/>
    </row>
    <row r="20" spans="1:8" ht="18.75">
      <c r="A20" s="416" t="s">
        <v>148</v>
      </c>
      <c r="B20" s="417"/>
      <c r="C20" s="417"/>
      <c r="D20" s="417"/>
      <c r="E20" s="418"/>
      <c r="F20" s="419">
        <f>SUM(F11+F13+F16+F17+F18+F19)</f>
        <v>28833.079999999962</v>
      </c>
      <c r="G20" s="419"/>
      <c r="H20" s="419"/>
    </row>
    <row r="21" spans="1:8" ht="15">
      <c r="A21" s="405" t="s">
        <v>149</v>
      </c>
      <c r="B21" s="406"/>
      <c r="C21" s="406"/>
      <c r="D21" s="406"/>
      <c r="E21" s="407"/>
      <c r="F21" s="400">
        <f>PRODUCT(F20,0.07)</f>
        <v>2018.3155999999974</v>
      </c>
      <c r="G21" s="400"/>
      <c r="H21" s="400"/>
    </row>
    <row r="22" spans="1:8" ht="15">
      <c r="A22" s="420" t="s">
        <v>150</v>
      </c>
      <c r="B22" s="421"/>
      <c r="C22" s="421"/>
      <c r="D22" s="421"/>
      <c r="E22" s="422"/>
      <c r="F22" s="400">
        <v>208.26</v>
      </c>
      <c r="G22" s="400"/>
      <c r="H22" s="400"/>
    </row>
    <row r="23" spans="1:8" ht="15.75">
      <c r="A23" s="405" t="s">
        <v>151</v>
      </c>
      <c r="B23" s="406"/>
      <c r="C23" s="406"/>
      <c r="D23" s="406"/>
      <c r="E23" s="407"/>
      <c r="F23" s="408">
        <f>SUM(F21:H22)</f>
        <v>2226.5755999999974</v>
      </c>
      <c r="G23" s="408"/>
      <c r="H23" s="408"/>
    </row>
    <row r="24" spans="1:8">
      <c r="A24" s="409" t="s">
        <v>152</v>
      </c>
      <c r="B24" s="410"/>
      <c r="C24" s="410"/>
      <c r="D24" s="410"/>
      <c r="E24" s="411"/>
      <c r="F24" s="415">
        <f>SUM(F20,F23)</f>
        <v>31059.655599999958</v>
      </c>
      <c r="G24" s="415"/>
      <c r="H24" s="415"/>
    </row>
    <row r="25" spans="1:8">
      <c r="A25" s="412"/>
      <c r="B25" s="413"/>
      <c r="C25" s="413"/>
      <c r="D25" s="413"/>
      <c r="E25" s="414"/>
      <c r="F25" s="415"/>
      <c r="G25" s="415"/>
      <c r="H25" s="415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132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142</v>
      </c>
      <c r="B13" s="400">
        <f>G8</f>
        <v>89.69999999999709</v>
      </c>
      <c r="C13" s="400"/>
      <c r="D13" s="400">
        <v>8.5</v>
      </c>
      <c r="E13" s="400"/>
      <c r="F13" s="402">
        <f>PRODUCT(D13,B13)</f>
        <v>762.44999999997526</v>
      </c>
      <c r="G13" s="402"/>
      <c r="H13" s="402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>
      <c r="A17" s="103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>
      <c r="A18" s="103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>
      <c r="A19" s="103" t="s">
        <v>147</v>
      </c>
      <c r="B19" s="400">
        <v>0</v>
      </c>
      <c r="C19" s="400"/>
      <c r="D19" s="423">
        <v>0</v>
      </c>
      <c r="E19" s="424"/>
      <c r="F19" s="423">
        <v>0</v>
      </c>
      <c r="G19" s="424"/>
      <c r="H19" s="169"/>
    </row>
    <row r="20" spans="1:8" ht="15">
      <c r="A20" s="103" t="s">
        <v>153</v>
      </c>
      <c r="B20" s="400">
        <f>G8</f>
        <v>89.69999999999709</v>
      </c>
      <c r="C20" s="400"/>
      <c r="D20" s="400">
        <v>2.54</v>
      </c>
      <c r="E20" s="400"/>
      <c r="F20" s="400">
        <f>PRODUCT(D20,B20)</f>
        <v>227.8379999999926</v>
      </c>
      <c r="G20" s="400"/>
      <c r="H20" s="400"/>
    </row>
    <row r="21" spans="1:8" ht="18.75">
      <c r="A21" s="416" t="s">
        <v>148</v>
      </c>
      <c r="B21" s="417"/>
      <c r="C21" s="417"/>
      <c r="D21" s="417"/>
      <c r="E21" s="418"/>
      <c r="F21" s="419">
        <f>SUM(F11+F13+F16+F17+F18+F20)</f>
        <v>1013.2879999999678</v>
      </c>
      <c r="G21" s="419"/>
      <c r="H21" s="419"/>
    </row>
    <row r="22" spans="1:8" ht="15">
      <c r="A22" s="405" t="s">
        <v>149</v>
      </c>
      <c r="B22" s="406"/>
      <c r="C22" s="406"/>
      <c r="D22" s="406"/>
      <c r="E22" s="407"/>
      <c r="F22" s="400">
        <f>PRODUCT(F21,0.07)</f>
        <v>70.930159999997755</v>
      </c>
      <c r="G22" s="400"/>
      <c r="H22" s="400"/>
    </row>
    <row r="23" spans="1:8" ht="15">
      <c r="A23" s="420" t="s">
        <v>150</v>
      </c>
      <c r="B23" s="421"/>
      <c r="C23" s="421"/>
      <c r="D23" s="421"/>
      <c r="E23" s="422"/>
      <c r="F23" s="400">
        <v>208.26</v>
      </c>
      <c r="G23" s="400"/>
      <c r="H23" s="400"/>
    </row>
    <row r="24" spans="1:8" ht="15.75">
      <c r="A24" s="405" t="s">
        <v>151</v>
      </c>
      <c r="B24" s="406"/>
      <c r="C24" s="406"/>
      <c r="D24" s="406"/>
      <c r="E24" s="407"/>
      <c r="F24" s="408">
        <f>SUM(F22:H23)</f>
        <v>279.19015999999772</v>
      </c>
      <c r="G24" s="408"/>
      <c r="H24" s="408"/>
    </row>
    <row r="25" spans="1:8">
      <c r="A25" s="409" t="s">
        <v>152</v>
      </c>
      <c r="B25" s="410"/>
      <c r="C25" s="410"/>
      <c r="D25" s="410"/>
      <c r="E25" s="411"/>
      <c r="F25" s="415">
        <f>SUM(F21,F24)</f>
        <v>1292.4781599999656</v>
      </c>
      <c r="G25" s="415"/>
      <c r="H25" s="415"/>
    </row>
    <row r="26" spans="1:8">
      <c r="A26" s="412"/>
      <c r="B26" s="413"/>
      <c r="C26" s="413"/>
      <c r="D26" s="413"/>
      <c r="E26" s="414"/>
      <c r="F26" s="415"/>
      <c r="G26" s="415"/>
      <c r="H26" s="415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154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15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155</v>
      </c>
      <c r="B13" s="400">
        <f>G8</f>
        <v>0</v>
      </c>
      <c r="C13" s="400"/>
      <c r="D13" s="400">
        <v>16.48</v>
      </c>
      <c r="E13" s="400"/>
      <c r="F13" s="402">
        <f>PRODUCT(D13,B13)</f>
        <v>0</v>
      </c>
      <c r="G13" s="402"/>
      <c r="H13" s="402"/>
    </row>
    <row r="14" spans="1:8" ht="15">
      <c r="A14" s="102" t="s">
        <v>156</v>
      </c>
      <c r="B14" s="423"/>
      <c r="C14" s="424"/>
      <c r="D14" s="423"/>
      <c r="E14" s="424"/>
      <c r="F14" s="423"/>
      <c r="G14" s="424"/>
      <c r="H14" s="111"/>
    </row>
    <row r="15" spans="1:8" ht="15">
      <c r="A15" s="102" t="s">
        <v>157</v>
      </c>
      <c r="B15" s="423"/>
      <c r="C15" s="424"/>
      <c r="D15" s="423"/>
      <c r="E15" s="424"/>
      <c r="F15" s="423"/>
      <c r="G15" s="424"/>
      <c r="H15" s="111"/>
    </row>
    <row r="16" spans="1:8" ht="15">
      <c r="A16" s="102" t="s">
        <v>158</v>
      </c>
      <c r="B16" s="423"/>
      <c r="C16" s="424"/>
      <c r="D16" s="423"/>
      <c r="E16" s="424"/>
      <c r="F16" s="423"/>
      <c r="G16" s="424"/>
      <c r="H16" s="111"/>
    </row>
    <row r="17" spans="1:8" ht="15">
      <c r="A17" s="102" t="s">
        <v>159</v>
      </c>
      <c r="B17" s="423"/>
      <c r="C17" s="424"/>
      <c r="D17" s="423"/>
      <c r="E17" s="424"/>
      <c r="F17" s="423"/>
      <c r="G17" s="424"/>
      <c r="H17" s="111"/>
    </row>
    <row r="18" spans="1:8" ht="45" customHeight="1">
      <c r="A18" s="403" t="s">
        <v>143</v>
      </c>
      <c r="B18" s="403"/>
      <c r="C18" s="403"/>
      <c r="D18" s="403"/>
      <c r="E18" s="403"/>
      <c r="F18" s="403"/>
      <c r="G18" s="403"/>
      <c r="H18" s="403"/>
    </row>
    <row r="19" spans="1:8">
      <c r="A19" s="404"/>
      <c r="B19" s="404"/>
      <c r="C19" s="404"/>
      <c r="D19" s="404"/>
      <c r="E19" s="404"/>
      <c r="F19" s="404"/>
      <c r="G19" s="404"/>
      <c r="H19" s="404"/>
    </row>
    <row r="20" spans="1:8" ht="15">
      <c r="A20" s="103" t="s">
        <v>144</v>
      </c>
      <c r="B20" s="400">
        <v>0</v>
      </c>
      <c r="C20" s="400"/>
      <c r="D20" s="400">
        <v>0</v>
      </c>
      <c r="E20" s="400"/>
      <c r="F20" s="400">
        <f>PRODUCT(D20,B20)</f>
        <v>0</v>
      </c>
      <c r="G20" s="400"/>
      <c r="H20" s="400"/>
    </row>
    <row r="21" spans="1:8" ht="15">
      <c r="A21" s="103" t="s">
        <v>145</v>
      </c>
      <c r="B21" s="400">
        <v>0</v>
      </c>
      <c r="C21" s="400"/>
      <c r="D21" s="400">
        <v>0</v>
      </c>
      <c r="E21" s="400"/>
      <c r="F21" s="400">
        <f>PRODUCT(D21,B21)</f>
        <v>0</v>
      </c>
      <c r="G21" s="400"/>
      <c r="H21" s="400"/>
    </row>
    <row r="22" spans="1:8" ht="15">
      <c r="A22" s="103" t="s">
        <v>146</v>
      </c>
      <c r="B22" s="400">
        <v>0</v>
      </c>
      <c r="C22" s="400"/>
      <c r="D22" s="400">
        <v>0</v>
      </c>
      <c r="E22" s="400"/>
      <c r="F22" s="400">
        <f>PRODUCT(D22,B22)</f>
        <v>0</v>
      </c>
      <c r="G22" s="400"/>
      <c r="H22" s="400"/>
    </row>
    <row r="23" spans="1:8" ht="15">
      <c r="A23" s="103" t="s">
        <v>147</v>
      </c>
      <c r="B23" s="400">
        <f>G8</f>
        <v>0</v>
      </c>
      <c r="C23" s="400"/>
      <c r="D23" s="400">
        <v>0</v>
      </c>
      <c r="E23" s="400"/>
      <c r="F23" s="400">
        <f>PRODUCT(D23,B23)</f>
        <v>0</v>
      </c>
      <c r="G23" s="400"/>
      <c r="H23" s="400"/>
    </row>
    <row r="24" spans="1:8" ht="15">
      <c r="A24" s="103" t="s">
        <v>153</v>
      </c>
      <c r="B24" s="423">
        <v>0</v>
      </c>
      <c r="C24" s="424"/>
      <c r="D24" s="423">
        <v>2.54</v>
      </c>
      <c r="E24" s="424"/>
      <c r="F24" s="423">
        <f>B24*D24</f>
        <v>0</v>
      </c>
      <c r="G24" s="424"/>
      <c r="H24" s="169"/>
    </row>
    <row r="25" spans="1:8" ht="18.75">
      <c r="A25" s="416" t="s">
        <v>148</v>
      </c>
      <c r="B25" s="417"/>
      <c r="C25" s="417"/>
      <c r="D25" s="417"/>
      <c r="E25" s="418"/>
      <c r="F25" s="425">
        <f>SUM(F11+F13+F20+F21+F22+F23)</f>
        <v>15</v>
      </c>
      <c r="G25" s="419"/>
      <c r="H25" s="419"/>
    </row>
    <row r="26" spans="1:8" ht="15">
      <c r="A26" s="405" t="s">
        <v>149</v>
      </c>
      <c r="B26" s="406"/>
      <c r="C26" s="406"/>
      <c r="D26" s="406"/>
      <c r="E26" s="407"/>
      <c r="F26" s="400">
        <v>63.63</v>
      </c>
      <c r="G26" s="400"/>
      <c r="H26" s="400"/>
    </row>
    <row r="27" spans="1:8" ht="15">
      <c r="A27" s="420" t="s">
        <v>150</v>
      </c>
      <c r="B27" s="421"/>
      <c r="C27" s="421"/>
      <c r="D27" s="421"/>
      <c r="E27" s="422"/>
      <c r="F27" s="400">
        <v>2.4300000000000002</v>
      </c>
      <c r="G27" s="400"/>
      <c r="H27" s="400"/>
    </row>
    <row r="28" spans="1:8" ht="15.75">
      <c r="A28" s="405" t="s">
        <v>151</v>
      </c>
      <c r="B28" s="406"/>
      <c r="C28" s="406"/>
      <c r="D28" s="406"/>
      <c r="E28" s="407"/>
      <c r="F28" s="408">
        <f>SUM(F26:H27)</f>
        <v>66.06</v>
      </c>
      <c r="G28" s="408"/>
      <c r="H28" s="408"/>
    </row>
    <row r="29" spans="1:8">
      <c r="A29" s="409" t="s">
        <v>152</v>
      </c>
      <c r="B29" s="410"/>
      <c r="C29" s="410"/>
      <c r="D29" s="410"/>
      <c r="E29" s="411"/>
      <c r="F29" s="415">
        <f>SUM(F25,F28)</f>
        <v>81.06</v>
      </c>
      <c r="G29" s="415"/>
      <c r="H29" s="415"/>
    </row>
    <row r="30" spans="1:8">
      <c r="A30" s="412"/>
      <c r="B30" s="413"/>
      <c r="C30" s="413"/>
      <c r="D30" s="413"/>
      <c r="E30" s="414"/>
      <c r="F30" s="415"/>
      <c r="G30" s="415"/>
      <c r="H30" s="415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1" zoomScaleNormal="100" workbookViewId="0">
      <selection activeCell="H24" sqref="H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6" t="s">
        <v>160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180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181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182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8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G24" sqref="G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183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/>
      <c r="I14" s="104"/>
      <c r="J14" s="104"/>
      <c r="K14" s="104"/>
      <c r="L14" s="104"/>
      <c r="M14" s="104"/>
      <c r="N14" s="104"/>
    </row>
    <row r="15" spans="2:14" ht="21" thickBot="1">
      <c r="C15" s="429" t="s">
        <v>184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2021-06-30T09:09:44Z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